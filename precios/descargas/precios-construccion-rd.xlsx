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'Catálogo'!$A$2:$AF$2187</definedName>
    <definedName name="_xlnm._FilterDatabase" localSheetId="1" hidden="1">'Comparativo'!$A$2:$AC$2181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323.12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1101.34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169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1400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555.05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1026.24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386.75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1127.34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2112.23</v>
      </c>
      <c r="L236" s="6" t="n">
        <v>1291.51</v>
      </c>
      <c r="M236" s="6" t="n">
        <v>3214.08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1725.01</v>
      </c>
      <c r="L237" s="6" t="n">
        <v>1239.18</v>
      </c>
      <c r="M237" s="6" t="n">
        <v>1825.08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espesor_mm: 5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120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2945.45</v>
      </c>
      <c r="L239" s="6" t="n">
        <v>2945.45</v>
      </c>
      <c r="M239" s="6" t="n">
        <v>2945.45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120</v>
      </c>
      <c r="V239" s="7" t="inlineStr">
        <is>
          <t>120 x 120 cm</t>
        </is>
      </c>
      <c r="AE239" s="7" t="inlineStr">
        <is>
          <t>pared</t>
        </is>
      </c>
      <c r="AF239" s="4" t="inlineStr">
        <is>
          <t>material: ceramica · ancho_cm: 120 · piezas_m2: 0.69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1459.08</v>
      </c>
      <c r="L240" s="6" t="n">
        <v>1439.19</v>
      </c>
      <c r="M240" s="6" t="n">
        <v>1474.84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20 cm</t>
        </is>
      </c>
      <c r="AE240" s="7" t="inlineStr">
        <is>
          <t>pared</t>
        </is>
      </c>
      <c r="AF240" s="4" t="inlineStr">
        <is>
          <t>material: ceramica · ancho_cm: 20 · piezas_m2: 4.16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2227.8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 · acabado: mate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3077.3</v>
      </c>
      <c r="L242" s="6" t="n">
        <v>2625.11</v>
      </c>
      <c r="M242" s="6" t="n">
        <v>3663.85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2520.03</v>
      </c>
      <c r="L243" s="6" t="n">
        <v>2119.72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2854.38</v>
      </c>
      <c r="L244" s="6" t="n">
        <v>2505.07</v>
      </c>
      <c r="M244" s="6" t="n">
        <v>3140.13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2565.64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1444.74</v>
      </c>
      <c r="L246" s="6" t="n">
        <v>1444.74</v>
      </c>
      <c r="M246" s="6" t="n">
        <v>1444.74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20 x 10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17.5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767.39</v>
      </c>
      <c r="L247" s="6" t="n">
        <v>767.39</v>
      </c>
      <c r="M247" s="6" t="n">
        <v>772.8200000000001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20</v>
      </c>
      <c r="V247" s="7" t="inlineStr">
        <is>
          <t>20 x 17.5 cm</t>
        </is>
      </c>
      <c r="AE247" s="7" t="inlineStr">
        <is>
          <t>pared</t>
        </is>
      </c>
      <c r="AF247" s="4" t="inlineStr">
        <is>
          <t>material: ceramica · ancho_cm: 17.5 · piezas_m2: 28.57 · espesor_mm: 8 · acabado: brillante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20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2</v>
      </c>
      <c r="K248" s="6" t="n">
        <v>989.73</v>
      </c>
      <c r="L248" s="6" t="n">
        <v>924.83</v>
      </c>
      <c r="M248" s="6" t="n">
        <v>2469.57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 · La Ibérica</t>
        </is>
      </c>
      <c r="V248" s="7" t="inlineStr">
        <is>
          <t>20 x 20 cm</t>
        </is>
      </c>
      <c r="AE248" s="7" t="inlineStr">
        <is>
          <t>pared</t>
        </is>
      </c>
      <c r="AF248" s="4" t="inlineStr">
        <is>
          <t>material: ceramica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22.3 x 22.3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1177.9</v>
      </c>
      <c r="L249" s="6" t="n">
        <v>1177.9</v>
      </c>
      <c r="M249" s="6" t="n">
        <v>1177.9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22.3</v>
      </c>
      <c r="V249" s="7" t="inlineStr">
        <is>
          <t>22.3 x 22.3 cm</t>
        </is>
      </c>
      <c r="AE249" s="7" t="inlineStr">
        <is>
          <t>pared</t>
        </is>
      </c>
      <c r="AF249" s="4" t="inlineStr">
        <is>
          <t>material: ceramica · ancho_cm: 22.3 · piezas_m2: 2.7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10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1204.05</v>
      </c>
      <c r="L250" s="6" t="n">
        <v>874.58</v>
      </c>
      <c r="M250" s="6" t="n">
        <v>1480.52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30</v>
      </c>
      <c r="V250" s="7" t="inlineStr">
        <is>
          <t>30 x 10 cm</t>
        </is>
      </c>
      <c r="AE250" s="7" t="inlineStr">
        <is>
          <t>pared</t>
        </is>
      </c>
      <c r="AF250" s="4" t="inlineStr">
        <is>
          <t>material: ceramica · ancho_cm: 10 · piezas_m2: 33.33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30 x 20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2210.93</v>
      </c>
      <c r="L251" s="6" t="n">
        <v>2210.93</v>
      </c>
      <c r="M251" s="6" t="n">
        <v>2210.93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</t>
        </is>
      </c>
      <c r="V251" s="7" t="inlineStr">
        <is>
          <t>30 x 20 cm</t>
        </is>
      </c>
      <c r="AE251" s="7" t="inlineStr">
        <is>
          <t>pared</t>
        </is>
      </c>
      <c r="AF251" s="4" t="inlineStr">
        <is>
          <t>material: ceramica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7.5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2</v>
      </c>
      <c r="K252" s="6" t="n">
        <v>2336.59</v>
      </c>
      <c r="L252" s="6" t="n">
        <v>806.14</v>
      </c>
      <c r="M252" s="6" t="n">
        <v>3184.93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CerArte · Ferretería Ochoa (8A)</t>
        </is>
      </c>
      <c r="U252" s="7" t="n">
        <v>30</v>
      </c>
      <c r="V252" s="7" t="inlineStr">
        <is>
          <t>30 x 7.5 cm</t>
        </is>
      </c>
      <c r="AE252" s="7" t="inlineStr">
        <is>
          <t>pared</t>
        </is>
      </c>
      <c r="AF252" s="4" t="inlineStr">
        <is>
          <t>material: ceramica · ancho_cm: 7.5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40 x 25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1364.21</v>
      </c>
      <c r="L253" s="6" t="n">
        <v>1100</v>
      </c>
      <c r="M253" s="6" t="n">
        <v>1628.41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La Ibérica</t>
        </is>
      </c>
      <c r="V253" s="7" t="inlineStr">
        <is>
          <t>40 x 25 cm</t>
        </is>
      </c>
      <c r="AE253" s="7" t="inlineStr">
        <is>
          <t>pared</t>
        </is>
      </c>
      <c r="AF253" s="4" t="inlineStr">
        <is>
          <t>material: ceramica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45 x 45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832.97</v>
      </c>
      <c r="L254" s="6" t="n">
        <v>709.33</v>
      </c>
      <c r="M254" s="6" t="n">
        <v>1123.94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45</v>
      </c>
      <c r="V254" s="7" t="inlineStr">
        <is>
          <t>45 x 45 cm</t>
        </is>
      </c>
      <c r="AE254" s="7" t="inlineStr">
        <is>
          <t>pared</t>
        </is>
      </c>
      <c r="AF254" s="4" t="inlineStr">
        <is>
          <t>material: ceramica · ancho_cm: 45 · piezas_m2: 4.93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17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1238.82</v>
      </c>
      <c r="L255" s="6" t="n">
        <v>1238.82</v>
      </c>
      <c r="M255" s="6" t="n">
        <v>1238.82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17 cm</t>
        </is>
      </c>
      <c r="AE255" s="7" t="inlineStr">
        <is>
          <t>pared</t>
        </is>
      </c>
      <c r="AF255" s="4" t="inlineStr">
        <is>
          <t>material: ceramica · ancho_cm: 17 · piezas_m2: 11.33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2752.62</v>
      </c>
      <c r="L256" s="6" t="n">
        <v>2752.62</v>
      </c>
      <c r="M256" s="6" t="n">
        <v>2752.62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2026-09-10</t>
        </is>
      </c>
      <c r="Q256" s="4" t="inlineStr">
        <is>
          <t>CerArte</t>
        </is>
      </c>
      <c r="V256" s="7" t="inlineStr">
        <is>
          <t>50 x 20 cm</t>
        </is>
      </c>
      <c r="AE256" s="7" t="inlineStr">
        <is>
          <t>pared</t>
        </is>
      </c>
      <c r="AF256" s="4" t="inlineStr">
        <is>
          <t>material: ceramica · acabado: mate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25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541.6799999999999</v>
      </c>
      <c r="L257" s="6" t="n">
        <v>541.6799999999999</v>
      </c>
      <c r="M257" s="6" t="n">
        <v>541.6799999999999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CerArte</t>
        </is>
      </c>
      <c r="V257" s="7" t="inlineStr">
        <is>
          <t>50 x 25 cm</t>
        </is>
      </c>
      <c r="AE257" s="7" t="inlineStr">
        <is>
          <t>pared</t>
        </is>
      </c>
      <c r="AF257" s="4" t="inlineStr">
        <is>
          <t>material: ceramica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1229.86</v>
      </c>
      <c r="L258" s="6" t="n">
        <v>1173.88</v>
      </c>
      <c r="M258" s="6" t="n">
        <v>1229.86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50</v>
      </c>
      <c r="V258" s="7" t="inlineStr">
        <is>
          <t>50 x 33 cm</t>
        </is>
      </c>
      <c r="AE258" s="7" t="inlineStr">
        <is>
          <t>pared</t>
        </is>
      </c>
      <c r="AF258" s="4" t="inlineStr">
        <is>
          <t>material: ceramica · ancho_cm: 33 · piezas_m2: 5.88 · acabado: mate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35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1215.03</v>
      </c>
      <c r="L259" s="6" t="n">
        <v>1215.03</v>
      </c>
      <c r="M259" s="6" t="n">
        <v>1215.03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35 cm</t>
        </is>
      </c>
      <c r="AE259" s="7" t="inlineStr">
        <is>
          <t>pared</t>
        </is>
      </c>
      <c r="AF259" s="4" t="inlineStr">
        <is>
          <t>material: ceramica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55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3</v>
      </c>
      <c r="K260" s="6" t="n">
        <v>822.24</v>
      </c>
      <c r="L260" s="6" t="n">
        <v>680.76</v>
      </c>
      <c r="M260" s="6" t="n">
        <v>1189.99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2026-09-10</t>
        </is>
      </c>
      <c r="Q260" s="4" t="inlineStr">
        <is>
          <t>Bellón · Ferretería Ochoa (8A) · La Ibérica</t>
        </is>
      </c>
      <c r="U260" s="7" t="n">
        <v>55</v>
      </c>
      <c r="V260" s="7" t="inlineStr">
        <is>
          <t>55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19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785.33</v>
      </c>
      <c r="L261" s="6" t="n">
        <v>760.26</v>
      </c>
      <c r="M261" s="6" t="n">
        <v>1461.04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58</v>
      </c>
      <c r="V261" s="7" t="inlineStr">
        <is>
          <t>58 x 19 cm</t>
        </is>
      </c>
      <c r="AE261" s="7" t="inlineStr">
        <is>
          <t>pared</t>
        </is>
      </c>
      <c r="AF261" s="4" t="inlineStr">
        <is>
          <t>material: ceramica · ancho_cm: 19 · acabado: mate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58 x 30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1684.92</v>
      </c>
      <c r="L262" s="6" t="n">
        <v>1684.92</v>
      </c>
      <c r="M262" s="6" t="n">
        <v>1684.92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58</v>
      </c>
      <c r="V262" s="7" t="inlineStr">
        <is>
          <t>58 x 30 cm</t>
        </is>
      </c>
      <c r="AE262" s="7" t="inlineStr">
        <is>
          <t>pared</t>
        </is>
      </c>
      <c r="AF262" s="4" t="inlineStr">
        <is>
          <t>material: ceramica · ancho_cm: 30 · piezas_m2: 5.75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33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2</v>
      </c>
      <c r="K263" s="6" t="n">
        <v>401.21</v>
      </c>
      <c r="L263" s="6" t="n">
        <v>333.42</v>
      </c>
      <c r="M263" s="6" t="n">
        <v>944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Ferremix (Grupo Alterra) · Ferretería Ochoa (8A)</t>
        </is>
      </c>
      <c r="U263" s="7" t="n">
        <v>58</v>
      </c>
      <c r="V263" s="7" t="inlineStr">
        <is>
          <t>58 x 33 cm</t>
        </is>
      </c>
      <c r="AE263" s="7" t="inlineStr">
        <is>
          <t>pared</t>
        </is>
      </c>
      <c r="AF263" s="4" t="inlineStr">
        <is>
          <t>material: ceramica · ancho_cm: 33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1264.08</v>
      </c>
      <c r="L264" s="6" t="n">
        <v>1162.7</v>
      </c>
      <c r="M264" s="6" t="n">
        <v>1640.18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2026-09-10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20 cm</t>
        </is>
      </c>
      <c r="AE264" s="7" t="inlineStr">
        <is>
          <t>pared</t>
        </is>
      </c>
      <c r="AF264" s="4" t="inlineStr">
        <is>
          <t>material: ceramica · ancho_cm: 20 · piezas_m2: 8.33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60 x 30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3</v>
      </c>
      <c r="K265" s="6" t="n">
        <v>800.16</v>
      </c>
      <c r="L265" s="6" t="n">
        <v>418.91</v>
      </c>
      <c r="M265" s="6" t="n">
        <v>1654.68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CerArte · Ferretería Ochoa (8A) · La Ibérica</t>
        </is>
      </c>
      <c r="U265" s="7" t="n">
        <v>60</v>
      </c>
      <c r="V265" s="7" t="inlineStr">
        <is>
          <t>60 x 30 cm</t>
        </is>
      </c>
      <c r="AE265" s="7" t="inlineStr">
        <is>
          <t>pared</t>
        </is>
      </c>
      <c r="AF265" s="4" t="inlineStr">
        <is>
          <t>material: ceramica · ancho_cm: 30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33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876.1</v>
      </c>
      <c r="L266" s="6" t="n">
        <v>724.97</v>
      </c>
      <c r="M266" s="6" t="n">
        <v>1027.23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33 cm</t>
        </is>
      </c>
      <c r="AE266" s="7" t="inlineStr">
        <is>
          <t>pared</t>
        </is>
      </c>
      <c r="AF266" s="4" t="inlineStr">
        <is>
          <t>material: ceramica · ancho_cm: 33 · piezas_m2: 5.27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60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1195.21</v>
      </c>
      <c r="L267" s="6" t="n">
        <v>1195.21</v>
      </c>
      <c r="M267" s="6" t="n">
        <v>1195.21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60</v>
      </c>
      <c r="V267" s="7" t="inlineStr">
        <is>
          <t>60 x 60 cm</t>
        </is>
      </c>
      <c r="AE267" s="7" t="inlineStr">
        <is>
          <t>pared</t>
        </is>
      </c>
      <c r="AF267" s="4" t="inlineStr">
        <is>
          <t>material: ceramica · ancho_cm: 60 · piezas_m2: 2.7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70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199.95</v>
      </c>
      <c r="L268" s="6" t="n">
        <v>199.95</v>
      </c>
      <c r="M268" s="6" t="n">
        <v>199.95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70</v>
      </c>
      <c r="V268" s="7" t="inlineStr">
        <is>
          <t>70 x 25 cm</t>
        </is>
      </c>
      <c r="AE268" s="7" t="inlineStr">
        <is>
          <t>pared</t>
        </is>
      </c>
      <c r="AF268" s="4" t="inlineStr">
        <is>
          <t>material: ceramica · ancho_cm: 25 · piezas_m2: 5.69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75 x 25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2</v>
      </c>
      <c r="K269" s="6" t="n">
        <v>1279.89</v>
      </c>
      <c r="L269" s="6" t="n">
        <v>883.8200000000001</v>
      </c>
      <c r="M269" s="6" t="n">
        <v>1675.01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2026-09-10</t>
        </is>
      </c>
      <c r="Q269" s="4" t="inlineStr">
        <is>
          <t>CerArte · Ferretería Ochoa (8A)</t>
        </is>
      </c>
      <c r="U269" s="7" t="n">
        <v>75</v>
      </c>
      <c r="V269" s="7" t="inlineStr">
        <is>
          <t>75 x 25 cm</t>
        </is>
      </c>
      <c r="AE269" s="7" t="inlineStr">
        <is>
          <t>pared</t>
        </is>
      </c>
      <c r="AF269" s="4" t="inlineStr">
        <is>
          <t>material: ceramica · ancho_cm: 25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75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1789.97</v>
      </c>
      <c r="L270" s="6" t="n">
        <v>1789.97</v>
      </c>
      <c r="M270" s="6" t="n">
        <v>1789.97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2026-09-10</t>
        </is>
      </c>
      <c r="Q270" s="4" t="inlineStr">
        <is>
          <t>La Ibérica</t>
        </is>
      </c>
      <c r="V270" s="7" t="inlineStr">
        <is>
          <t>75 x 30 cm</t>
        </is>
      </c>
      <c r="AE270" s="7" t="inlineStr">
        <is>
          <t>pared</t>
        </is>
      </c>
      <c r="AF270" s="4" t="inlineStr">
        <is>
          <t>material: ceramica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35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2071.81</v>
      </c>
      <c r="L271" s="6" t="n">
        <v>1856.2</v>
      </c>
      <c r="M271" s="6" t="n">
        <v>2071.82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</t>
        </is>
      </c>
      <c r="V271" s="7" t="inlineStr">
        <is>
          <t>75 x 35 cm</t>
        </is>
      </c>
      <c r="AE271" s="7" t="inlineStr">
        <is>
          <t>pared</t>
        </is>
      </c>
      <c r="AF271" s="4" t="inlineStr">
        <is>
          <t>material: ceramica · acabado: mate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38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644.1900000000001</v>
      </c>
      <c r="L272" s="6" t="n">
        <v>527.28</v>
      </c>
      <c r="M272" s="6" t="n">
        <v>761.11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75</v>
      </c>
      <c r="V272" s="7" t="inlineStr">
        <is>
          <t>75 x 38 cm</t>
        </is>
      </c>
      <c r="AE272" s="7" t="inlineStr">
        <is>
          <t>pared</t>
        </is>
      </c>
      <c r="AF272" s="4" t="inlineStr">
        <is>
          <t>material: ceramica · ancho_cm: 38 · piezas_m2: 3.5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80 x 36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1511.88</v>
      </c>
      <c r="L273" s="6" t="n">
        <v>1343.86</v>
      </c>
      <c r="M273" s="6" t="n">
        <v>1679.9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80</v>
      </c>
      <c r="V273" s="7" t="inlineStr">
        <is>
          <t>80 x 36 cm</t>
        </is>
      </c>
      <c r="AE273" s="7" t="inlineStr">
        <is>
          <t>pared</t>
        </is>
      </c>
      <c r="AF273" s="4" t="inlineStr">
        <is>
          <t>material: ceramica · ancho_cm: 36 · piezas_m2: 3.47 · acabado: brillante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90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3</v>
      </c>
      <c r="K274" s="6" t="n">
        <v>1817.04</v>
      </c>
      <c r="L274" s="6" t="n">
        <v>401.35</v>
      </c>
      <c r="M274" s="6" t="n">
        <v>2977.12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 · La Ibérica</t>
        </is>
      </c>
      <c r="U274" s="7" t="n">
        <v>90</v>
      </c>
      <c r="V274" s="7" t="inlineStr">
        <is>
          <t>90 x 30 cm</t>
        </is>
      </c>
      <c r="AE274" s="7" t="inlineStr">
        <is>
          <t>pared</t>
        </is>
      </c>
      <c r="AF274" s="4" t="inlineStr">
        <is>
          <t>material: ceramica · ancho_cm: 30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90 x 33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1770.01</v>
      </c>
      <c r="L275" s="6" t="n">
        <v>1690.02</v>
      </c>
      <c r="M275" s="6" t="n">
        <v>1850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2026-09-10</t>
        </is>
      </c>
      <c r="Q275" s="4" t="inlineStr">
        <is>
          <t>La Ibérica</t>
        </is>
      </c>
      <c r="V275" s="7" t="inlineStr">
        <is>
          <t>90 x 33 cm</t>
        </is>
      </c>
      <c r="AE275" s="7" t="inlineStr">
        <is>
          <t>pared</t>
        </is>
      </c>
      <c r="AF275" s="4" t="inlineStr">
        <is>
          <t>material: ceramica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45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2</v>
      </c>
      <c r="K276" s="6" t="n">
        <v>2169.48</v>
      </c>
      <c r="L276" s="6" t="n">
        <v>1832.08</v>
      </c>
      <c r="M276" s="6" t="n">
        <v>2506.89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</t>
        </is>
      </c>
      <c r="U276" s="7" t="n">
        <v>90</v>
      </c>
      <c r="V276" s="7" t="inlineStr">
        <is>
          <t>90 x 45 cm</t>
        </is>
      </c>
      <c r="AE276" s="7" t="inlineStr">
        <is>
          <t>pared</t>
        </is>
      </c>
      <c r="AF276" s="4" t="inlineStr">
        <is>
          <t>material: ceramica · ancho_cm: 45 · piezas_m2: 2.46 · espesor_mm: 9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100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1419.42</v>
      </c>
      <c r="L277" s="6" t="n">
        <v>1333.56</v>
      </c>
      <c r="M277" s="6" t="n">
        <v>1505.28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100</v>
      </c>
      <c r="V277" s="7" t="inlineStr">
        <is>
          <t>100 x 33 cm</t>
        </is>
      </c>
      <c r="AE277" s="7" t="inlineStr">
        <is>
          <t>piso</t>
        </is>
      </c>
      <c r="AF277" s="4" t="inlineStr">
        <is>
          <t>material: ceramica · ancho_cm: 33 · piezas_m2: 3 · espesor_mm: 10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100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1352</v>
      </c>
      <c r="L278" s="6" t="n">
        <v>1352</v>
      </c>
      <c r="M278" s="6" t="n">
        <v>1352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</t>
        </is>
      </c>
      <c r="V278" s="7" t="inlineStr">
        <is>
          <t>100 x 45 cm</t>
        </is>
      </c>
      <c r="AE278" s="7" t="inlineStr">
        <is>
          <t>piso</t>
        </is>
      </c>
      <c r="AF278" s="4" t="inlineStr">
        <is>
          <t>material: ceramica · acabado: mate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110 x 55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784.04</v>
      </c>
      <c r="L279" s="6" t="n">
        <v>784.04</v>
      </c>
      <c r="M279" s="6" t="n">
        <v>784.04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2026-09-10</t>
        </is>
      </c>
      <c r="Q279" s="4" t="inlineStr">
        <is>
          <t>CerArte</t>
        </is>
      </c>
      <c r="V279" s="7" t="inlineStr">
        <is>
          <t>110 x 55 cm</t>
        </is>
      </c>
      <c r="AE279" s="7" t="inlineStr">
        <is>
          <t>piso</t>
        </is>
      </c>
      <c r="AF279" s="4" t="inlineStr">
        <is>
          <t>material: ceramica · acabado: pulido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113 x 55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2</v>
      </c>
      <c r="K280" s="6" t="n">
        <v>975</v>
      </c>
      <c r="L280" s="6" t="n">
        <v>489.48</v>
      </c>
      <c r="M280" s="6" t="n">
        <v>975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Ferremix (Grupo Alterra) · Ferretería Ochoa (8A)</t>
        </is>
      </c>
      <c r="U280" s="7" t="n">
        <v>113</v>
      </c>
      <c r="V280" s="7" t="inlineStr">
        <is>
          <t>113 x 55 cm</t>
        </is>
      </c>
      <c r="AE280" s="7" t="inlineStr">
        <is>
          <t>piso</t>
        </is>
      </c>
      <c r="AF280" s="4" t="inlineStr">
        <is>
          <t>material: ceramica · ancho_cm: 55 · piezas_m2: 1.58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114 x 18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737.36</v>
      </c>
      <c r="L281" s="6" t="n">
        <v>669.27</v>
      </c>
      <c r="M281" s="6" t="n">
        <v>743.3200000000001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114</v>
      </c>
      <c r="V281" s="7" t="inlineStr">
        <is>
          <t>114 x 18 cm</t>
        </is>
      </c>
      <c r="AE281" s="7" t="inlineStr">
        <is>
          <t>piso</t>
        </is>
      </c>
      <c r="AF281" s="4" t="inlineStr">
        <is>
          <t>material: ceramica · ancho_cm: 18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120 x 15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3981.13</v>
      </c>
      <c r="L282" s="6" t="n">
        <v>1690</v>
      </c>
      <c r="M282" s="6" t="n">
        <v>4005.16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Ferretería Ochoa (8A) · La Ibérica</t>
        </is>
      </c>
      <c r="U282" s="7" t="n">
        <v>120</v>
      </c>
      <c r="V282" s="7" t="inlineStr">
        <is>
          <t>120 x 15 cm</t>
        </is>
      </c>
      <c r="AE282" s="7" t="inlineStr">
        <is>
          <t>piso</t>
        </is>
      </c>
      <c r="AF282" s="4" t="inlineStr">
        <is>
          <t>material: ceramica · ancho_cm: 15 · acabado: mate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120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2136.75</v>
      </c>
      <c r="L283" s="6" t="n">
        <v>1732.1</v>
      </c>
      <c r="M283" s="6" t="n">
        <v>2390.44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120</v>
      </c>
      <c r="V283" s="7" t="inlineStr">
        <is>
          <t>120 x 20 cm</t>
        </is>
      </c>
      <c r="AE283" s="7" t="inlineStr">
        <is>
          <t>piso</t>
        </is>
      </c>
      <c r="AF283" s="4" t="inlineStr">
        <is>
          <t>material: ceramica · ancho_cm: 20 · espesor_mm: 9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23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1295.89</v>
      </c>
      <c r="L284" s="6" t="n">
        <v>1253.57</v>
      </c>
      <c r="M284" s="6" t="n">
        <v>1327.67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120</v>
      </c>
      <c r="V284" s="7" t="inlineStr">
        <is>
          <t>120 x 23 cm</t>
        </is>
      </c>
      <c r="AE284" s="7" t="inlineStr">
        <is>
          <t>piso</t>
        </is>
      </c>
      <c r="AF284" s="4" t="inlineStr">
        <is>
          <t>material: ceramica · ancho_cm: 23 · piezas_m2: 3.62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40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2036.8</v>
      </c>
      <c r="L285" s="6" t="n">
        <v>1624.23</v>
      </c>
      <c r="M285" s="6" t="n">
        <v>3746.48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40 cm</t>
        </is>
      </c>
      <c r="AE285" s="7" t="inlineStr">
        <is>
          <t>piso</t>
        </is>
      </c>
      <c r="AF285" s="4" t="inlineStr">
        <is>
          <t>material: ceramica · ancho_cm: 40 · acabado: mate · espesor_mm: 9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60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2</v>
      </c>
      <c r="K286" s="6" t="n">
        <v>1697.46</v>
      </c>
      <c r="L286" s="6" t="n">
        <v>819.97</v>
      </c>
      <c r="M286" s="6" t="n">
        <v>2737.53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2026-09-10</t>
        </is>
      </c>
      <c r="Q286" s="4" t="inlineStr">
        <is>
          <t>CerArte · Ferretería Ochoa (8A)</t>
        </is>
      </c>
      <c r="U286" s="7" t="n">
        <v>120</v>
      </c>
      <c r="V286" s="7" t="inlineStr">
        <is>
          <t>120 x 60 cm</t>
        </is>
      </c>
      <c r="AE286" s="7" t="inlineStr">
        <is>
          <t>piso</t>
        </is>
      </c>
      <c r="AF286" s="4" t="inlineStr">
        <is>
          <t>material: ceramica · ancho_cm: 60 · piezas_m2: 1.38 · espesor_mm: 10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15 x 15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3</v>
      </c>
      <c r="K287" s="6" t="n">
        <v>1889.91</v>
      </c>
      <c r="L287" s="6" t="n">
        <v>741.84</v>
      </c>
      <c r="M287" s="6" t="n">
        <v>2174.92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Bellón · Ferretería Ochoa (8A) · La Ibérica</t>
        </is>
      </c>
      <c r="U287" s="7" t="n">
        <v>15</v>
      </c>
      <c r="V287" s="7" t="inlineStr">
        <is>
          <t>15 x 15 cm</t>
        </is>
      </c>
      <c r="AE287" s="7" t="inlineStr">
        <is>
          <t>piso</t>
        </is>
      </c>
      <c r="AF287" s="4" t="inlineStr">
        <is>
          <t>material: ceramica · ancho_cm: 15 · piezas_m2: 44 · acabado: mate · espesor_mm: 9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150 x 75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3031.01</v>
      </c>
      <c r="L288" s="6" t="n">
        <v>2996.81</v>
      </c>
      <c r="M288" s="6" t="n">
        <v>3033.86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</t>
        </is>
      </c>
      <c r="V288" s="7" t="inlineStr">
        <is>
          <t>150 x 75 cm</t>
        </is>
      </c>
      <c r="AE288" s="7" t="inlineStr">
        <is>
          <t>piso</t>
        </is>
      </c>
      <c r="AF288" s="4" t="inlineStr">
        <is>
          <t>material: ceramica · acabado: mate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20 x 20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324.25</v>
      </c>
      <c r="L289" s="6" t="n">
        <v>324.25</v>
      </c>
      <c r="M289" s="6" t="n">
        <v>324.25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20</v>
      </c>
      <c r="V289" s="7" t="inlineStr">
        <is>
          <t>20 x 20 cm</t>
        </is>
      </c>
      <c r="AE289" s="7" t="inlineStr">
        <is>
          <t>piso</t>
        </is>
      </c>
      <c r="AF289" s="4" t="inlineStr">
        <is>
          <t>material: ceramica · ancho_cm: 20 · piezas_m2: 25 · acabado: mate · espesor_mm: 9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22.3 x 22.3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2595</v>
      </c>
      <c r="L290" s="6" t="n">
        <v>2595</v>
      </c>
      <c r="M290" s="6" t="n">
        <v>2595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22.3</v>
      </c>
      <c r="V290" s="7" t="inlineStr">
        <is>
          <t>22.3 x 22.3 cm</t>
        </is>
      </c>
      <c r="AE290" s="7" t="inlineStr">
        <is>
          <t>piso</t>
        </is>
      </c>
      <c r="AF290" s="4" t="inlineStr">
        <is>
          <t>material: ceramica · ancho_cm: 22.3 · piezas_m2: 20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30 x 7.5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2989.56</v>
      </c>
      <c r="L291" s="6" t="n">
        <v>2989.56</v>
      </c>
      <c r="M291" s="6" t="n">
        <v>2989.56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V291" s="7" t="inlineStr">
        <is>
          <t>30 x 7.5 cm</t>
        </is>
      </c>
      <c r="AE291" s="7" t="inlineStr">
        <is>
          <t>piso</t>
        </is>
      </c>
      <c r="AF291" s="4" t="inlineStr">
        <is>
          <t>material: ceramica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33 x 33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899.08</v>
      </c>
      <c r="L292" s="6" t="n">
        <v>850</v>
      </c>
      <c r="M292" s="6" t="n">
        <v>948.15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V292" s="7" t="inlineStr">
        <is>
          <t>33 x 33 cm</t>
        </is>
      </c>
      <c r="AE292" s="7" t="inlineStr">
        <is>
          <t>piso</t>
        </is>
      </c>
      <c r="AF292" s="4" t="inlineStr">
        <is>
          <t>material: ceramica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45 x 45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4</v>
      </c>
      <c r="K293" s="6" t="n">
        <v>718.77</v>
      </c>
      <c r="L293" s="6" t="n">
        <v>371.25</v>
      </c>
      <c r="M293" s="6" t="n">
        <v>1597.37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Bellón · CerArte · Ferretería Ochoa (8A) · La Ibérica</t>
        </is>
      </c>
      <c r="U293" s="7" t="n">
        <v>45</v>
      </c>
      <c r="V293" s="7" t="inlineStr">
        <is>
          <t>45 x 45 cm</t>
        </is>
      </c>
      <c r="AE293" s="7" t="inlineStr">
        <is>
          <t>piso</t>
        </is>
      </c>
      <c r="AF293" s="4" t="inlineStr">
        <is>
          <t>material: ceramica · ancho_cm: 45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50 x 17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1223.85</v>
      </c>
      <c r="L294" s="6" t="n">
        <v>1169.89</v>
      </c>
      <c r="M294" s="6" t="n">
        <v>1312.83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50</v>
      </c>
      <c r="V294" s="7" t="inlineStr">
        <is>
          <t>50 x 17 cm</t>
        </is>
      </c>
      <c r="AE294" s="7" t="inlineStr">
        <is>
          <t>piso</t>
        </is>
      </c>
      <c r="AF294" s="4" t="inlineStr">
        <is>
          <t>material: ceramica · ancho_cm: 17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50 x 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394.57</v>
      </c>
      <c r="L295" s="6" t="n">
        <v>344.43</v>
      </c>
      <c r="M295" s="6" t="n">
        <v>767.95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50</v>
      </c>
      <c r="V295" s="7" t="inlineStr">
        <is>
          <t>50 x 50 cm</t>
        </is>
      </c>
      <c r="AE295" s="7" t="inlineStr">
        <is>
          <t>piso</t>
        </is>
      </c>
      <c r="AF295" s="4" t="inlineStr">
        <is>
          <t>material: ceramica · ancho_cm: 50 · piezas_m2: 3.86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55 x 33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2</v>
      </c>
      <c r="K296" s="6" t="n">
        <v>831.15</v>
      </c>
      <c r="L296" s="6" t="n">
        <v>596.66</v>
      </c>
      <c r="M296" s="6" t="n">
        <v>1080.68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2026-09-10</t>
        </is>
      </c>
      <c r="Q296" s="4" t="inlineStr">
        <is>
          <t>Bellón · Ferretería Ochoa (8A)</t>
        </is>
      </c>
      <c r="U296" s="7" t="n">
        <v>55</v>
      </c>
      <c r="V296" s="7" t="inlineStr">
        <is>
          <t>55 x 33 cm</t>
        </is>
      </c>
      <c r="AE296" s="7" t="inlineStr">
        <is>
          <t>piso</t>
        </is>
      </c>
      <c r="AF296" s="4" t="inlineStr">
        <is>
          <t>material: ceramica · ancho_cm: 33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55 x 55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718.6799999999999</v>
      </c>
      <c r="L297" s="6" t="n">
        <v>524.7</v>
      </c>
      <c r="M297" s="6" t="n">
        <v>906.3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2026-09-10</t>
        </is>
      </c>
      <c r="Q297" s="4" t="inlineStr">
        <is>
          <t>Bellón</t>
        </is>
      </c>
      <c r="V297" s="7" t="inlineStr">
        <is>
          <t>55 x 55 cm</t>
        </is>
      </c>
      <c r="AE297" s="7" t="inlineStr">
        <is>
          <t>piso</t>
        </is>
      </c>
      <c r="AF297" s="4" t="inlineStr">
        <is>
          <t>material: ceramica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58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509.76</v>
      </c>
      <c r="L298" s="6" t="n">
        <v>380.26</v>
      </c>
      <c r="M298" s="6" t="n">
        <v>509.76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58</v>
      </c>
      <c r="V298" s="7" t="inlineStr">
        <is>
          <t>58 x 33 cm</t>
        </is>
      </c>
      <c r="AE298" s="7" t="inlineStr">
        <is>
          <t>piso</t>
        </is>
      </c>
      <c r="AF298" s="4" t="inlineStr">
        <is>
          <t>material: ceramica · ancho_cm: 33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58 x 58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389</v>
      </c>
      <c r="L299" s="6" t="n">
        <v>342.39</v>
      </c>
      <c r="M299" s="6" t="n">
        <v>575.8099999999999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Ferremix (Grupo Alterra) · Ferretería Ochoa (8A)</t>
        </is>
      </c>
      <c r="U299" s="7" t="n">
        <v>58</v>
      </c>
      <c r="V299" s="7" t="inlineStr">
        <is>
          <t>58 x 58 cm</t>
        </is>
      </c>
      <c r="AE299" s="7" t="inlineStr">
        <is>
          <t>piso</t>
        </is>
      </c>
      <c r="AF299" s="4" t="inlineStr">
        <is>
          <t>material: ceramica · ancho_cm: 58 · acabado: brillante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60 x 20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2</v>
      </c>
      <c r="K300" s="6" t="n">
        <v>880.0599999999999</v>
      </c>
      <c r="L300" s="6" t="n">
        <v>445.65</v>
      </c>
      <c r="M300" s="6" t="n">
        <v>1227.01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2026-09-10</t>
        </is>
      </c>
      <c r="Q300" s="4" t="inlineStr">
        <is>
          <t>CerArte · Ferretería Ochoa (8A)</t>
        </is>
      </c>
      <c r="U300" s="7" t="n">
        <v>60</v>
      </c>
      <c r="V300" s="7" t="inlineStr">
        <is>
          <t>60 x 20 cm</t>
        </is>
      </c>
      <c r="AE300" s="7" t="inlineStr">
        <is>
          <t>piso</t>
        </is>
      </c>
      <c r="AF300" s="4" t="inlineStr">
        <is>
          <t>material: ceramica · ancho_cm: 20 · acabado: mate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60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1343.36</v>
      </c>
      <c r="L301" s="6" t="n">
        <v>846.53</v>
      </c>
      <c r="M301" s="6" t="n">
        <v>2044.4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60</v>
      </c>
      <c r="V301" s="7" t="inlineStr">
        <is>
          <t>60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33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902.6</v>
      </c>
      <c r="L302" s="6" t="n">
        <v>902.6</v>
      </c>
      <c r="M302" s="6" t="n">
        <v>902.6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60</v>
      </c>
      <c r="V302" s="7" t="inlineStr">
        <is>
          <t>60 x 33 cm</t>
        </is>
      </c>
      <c r="AE302" s="7" t="inlineStr">
        <is>
          <t>piso</t>
        </is>
      </c>
      <c r="AF302" s="4" t="inlineStr">
        <is>
          <t>material: ceramica · ancho_cm: 33 · piezas_m2: 5 · acabado: mate · espesor_mm: 9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60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2</v>
      </c>
      <c r="K303" s="6" t="n">
        <v>1196.92</v>
      </c>
      <c r="L303" s="6" t="n">
        <v>687.72</v>
      </c>
      <c r="M303" s="6" t="n">
        <v>1796.04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 · Ferretería Ochoa (8A)</t>
        </is>
      </c>
      <c r="U303" s="7" t="n">
        <v>60</v>
      </c>
      <c r="V303" s="7" t="inlineStr">
        <is>
          <t>60 x 60 cm</t>
        </is>
      </c>
      <c r="AE303" s="7" t="inlineStr">
        <is>
          <t>piso</t>
        </is>
      </c>
      <c r="AF303" s="4" t="inlineStr">
        <is>
          <t>material: ceramica · ancho_cm: 60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7.1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2092.5</v>
      </c>
      <c r="L304" s="6" t="n">
        <v>2092.5</v>
      </c>
      <c r="M304" s="6" t="n">
        <v>2092.5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7.1 cm</t>
        </is>
      </c>
      <c r="AE304" s="7" t="inlineStr">
        <is>
          <t>piso</t>
        </is>
      </c>
      <c r="AF304" s="4" t="inlineStr">
        <is>
          <t>material: ceramica · ancho_cm: 7.1 · piezas_m2: 23.25 · acabado: antideslizante · espesor_mm: 9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70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509.73</v>
      </c>
      <c r="L305" s="6" t="n">
        <v>509.73</v>
      </c>
      <c r="M305" s="6" t="n">
        <v>509.73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70</v>
      </c>
      <c r="V305" s="7" t="inlineStr">
        <is>
          <t>70 x 25 cm</t>
        </is>
      </c>
      <c r="AE305" s="7" t="inlineStr">
        <is>
          <t>piso</t>
        </is>
      </c>
      <c r="AF305" s="4" t="inlineStr">
        <is>
          <t>material: ceramica · ancho_cm: 25 · piezas_m2: 5.71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75 x 25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1318.41</v>
      </c>
      <c r="L306" s="6" t="n">
        <v>1055.55</v>
      </c>
      <c r="M306" s="6" t="n">
        <v>1618.56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75</v>
      </c>
      <c r="V306" s="7" t="inlineStr">
        <is>
          <t>75 x 25 cm</t>
        </is>
      </c>
      <c r="AE306" s="7" t="inlineStr">
        <is>
          <t>piso</t>
        </is>
      </c>
      <c r="AF306" s="4" t="inlineStr">
        <is>
          <t>material: ceramica · ancho_cm: 25 · piezas_m2: 5.33 · acabado: mate · espesor_mm: 9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75 x 75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1011.3</v>
      </c>
      <c r="L307" s="6" t="n">
        <v>794.1900000000001</v>
      </c>
      <c r="M307" s="6" t="n">
        <v>1228.42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V307" s="7" t="inlineStr">
        <is>
          <t>75 x 75 cm</t>
        </is>
      </c>
      <c r="AE307" s="7" t="inlineStr">
        <is>
          <t>piso</t>
        </is>
      </c>
      <c r="AF307" s="4" t="inlineStr">
        <is>
          <t>material: ceramica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80 x 80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2</v>
      </c>
      <c r="K308" s="6" t="n">
        <v>1191.86</v>
      </c>
      <c r="L308" s="6" t="n">
        <v>845.45</v>
      </c>
      <c r="M308" s="6" t="n">
        <v>1832.08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CerArte · Ferretería Ochoa (8A)</t>
        </is>
      </c>
      <c r="U308" s="7" t="n">
        <v>80</v>
      </c>
      <c r="V308" s="7" t="inlineStr">
        <is>
          <t>80 x 80 cm</t>
        </is>
      </c>
      <c r="AE308" s="7" t="inlineStr">
        <is>
          <t>piso</t>
        </is>
      </c>
      <c r="AF308" s="4" t="inlineStr">
        <is>
          <t>material: ceramica · ancho_cm: 80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90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1042.92</v>
      </c>
      <c r="L309" s="6" t="n">
        <v>1042.92</v>
      </c>
      <c r="M309" s="6" t="n">
        <v>1042.92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90</v>
      </c>
      <c r="V309" s="7" t="inlineStr">
        <is>
          <t>90 x 15 cm</t>
        </is>
      </c>
      <c r="AE309" s="7" t="inlineStr">
        <is>
          <t>piso</t>
        </is>
      </c>
      <c r="AF309" s="4" t="inlineStr">
        <is>
          <t>material: ceramica · ancho_cm: 15 · piezas_m2: 7.69 · acabado: antideslizante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90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1646.97</v>
      </c>
      <c r="L310" s="6" t="n">
        <v>954.53</v>
      </c>
      <c r="M310" s="6" t="n">
        <v>2286.13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90</v>
      </c>
      <c r="V310" s="7" t="inlineStr">
        <is>
          <t>90 x 30 cm</t>
        </is>
      </c>
      <c r="AE310" s="7" t="inlineStr">
        <is>
          <t>piso</t>
        </is>
      </c>
      <c r="AF310" s="4" t="inlineStr">
        <is>
          <t>material: ceramica · ancho_cm: 30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100 x 30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2014.5</v>
      </c>
      <c r="L311" s="6" t="n">
        <v>1700.29</v>
      </c>
      <c r="M311" s="6" t="n">
        <v>2499.39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100</v>
      </c>
      <c r="V311" s="7" t="inlineStr">
        <is>
          <t>100 x 30 cm</t>
        </is>
      </c>
      <c r="AE311" s="7" t="inlineStr">
        <is>
          <t>piso y pared</t>
        </is>
      </c>
      <c r="AF311" s="4" t="inlineStr">
        <is>
          <t>material: ceramica · ancho_cm: 30 · piezas_m2: 3.17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113 x 55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872.1900000000001</v>
      </c>
      <c r="L312" s="6" t="n">
        <v>493.24</v>
      </c>
      <c r="M312" s="6" t="n">
        <v>918.9400000000001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113</v>
      </c>
      <c r="V312" s="7" t="inlineStr">
        <is>
          <t>113 x 55 cm</t>
        </is>
      </c>
      <c r="AE312" s="7" t="inlineStr">
        <is>
          <t>piso y pared</t>
        </is>
      </c>
      <c r="AF312" s="4" t="inlineStr">
        <is>
          <t>material: ceramica · ancho_cm: 55 · piezas_m2: 1.58 · acabado: pulido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120 x 20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1922.79</v>
      </c>
      <c r="L313" s="6" t="n">
        <v>1294.63</v>
      </c>
      <c r="M313" s="6" t="n">
        <v>2401.05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120</v>
      </c>
      <c r="V313" s="7" t="inlineStr">
        <is>
          <t>120 x 20 cm</t>
        </is>
      </c>
      <c r="AE313" s="7" t="inlineStr">
        <is>
          <t>piso y pared</t>
        </is>
      </c>
      <c r="AF313" s="4" t="inlineStr">
        <is>
          <t>material: ceramica · ancho_cm: 20 · acabado: mate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120 x 23.3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1394.83</v>
      </c>
      <c r="L314" s="6" t="n">
        <v>1394.83</v>
      </c>
      <c r="M314" s="6" t="n">
        <v>1394.83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120</v>
      </c>
      <c r="V314" s="7" t="inlineStr">
        <is>
          <t>120 x 23.3 cm</t>
        </is>
      </c>
      <c r="AE314" s="7" t="inlineStr">
        <is>
          <t>piso y pared</t>
        </is>
      </c>
      <c r="AF314" s="4" t="inlineStr">
        <is>
          <t>material: ceramica · ancho_cm: 23.3 · piezas_m2: 3.57 · acabado: brillante · espesor_mm: 9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1973.41</v>
      </c>
      <c r="L315" s="6" t="n">
        <v>1905.01</v>
      </c>
      <c r="M315" s="6" t="n">
        <v>1981.7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30 cm</t>
        </is>
      </c>
      <c r="AE315" s="7" t="inlineStr">
        <is>
          <t>piso y pared</t>
        </is>
      </c>
      <c r="AF315" s="4" t="inlineStr">
        <is>
          <t>material: ceramica · ancho_cm: 30 · piezas_m2: 2.8 · acabado: mate · espesor_mm: 10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40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2113.36</v>
      </c>
      <c r="L316" s="6" t="n">
        <v>1397.03</v>
      </c>
      <c r="M316" s="6" t="n">
        <v>3055.54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40 cm</t>
        </is>
      </c>
      <c r="AE316" s="7" t="inlineStr">
        <is>
          <t>piso y pared</t>
        </is>
      </c>
      <c r="AF316" s="4" t="inlineStr">
        <is>
          <t>material: ceramica · ancho_cm: 40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60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1964.18</v>
      </c>
      <c r="L317" s="6" t="n">
        <v>1481.03</v>
      </c>
      <c r="M317" s="6" t="n">
        <v>2744.85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60 cm</t>
        </is>
      </c>
      <c r="AE317" s="7" t="inlineStr">
        <is>
          <t>piso y pared</t>
        </is>
      </c>
      <c r="AF317" s="4" t="inlineStr">
        <is>
          <t>material: ceramica · ancho_cm: 60 · piezas_m2: 1.38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15 x 15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1640.37</v>
      </c>
      <c r="L318" s="6" t="n">
        <v>516.5599999999999</v>
      </c>
      <c r="M318" s="6" t="n">
        <v>2764.17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15</v>
      </c>
      <c r="V318" s="7" t="inlineStr">
        <is>
          <t>15 x 15 cm</t>
        </is>
      </c>
      <c r="AE318" s="7" t="inlineStr">
        <is>
          <t>piso y pared</t>
        </is>
      </c>
      <c r="AF318" s="4" t="inlineStr">
        <is>
          <t>material: ceramica · ancho_cm: 15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18.5 x 18.5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3184.41</v>
      </c>
      <c r="L319" s="6" t="n">
        <v>3184.41</v>
      </c>
      <c r="M319" s="6" t="n">
        <v>3184.41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18.5</v>
      </c>
      <c r="V319" s="7" t="inlineStr">
        <is>
          <t>18.5 x 18.5 cm</t>
        </is>
      </c>
      <c r="AE319" s="7" t="inlineStr">
        <is>
          <t>piso y pared</t>
        </is>
      </c>
      <c r="AF319" s="4" t="inlineStr">
        <is>
          <t>material: ceramica · ancho_cm: 18.5 · piezas_m2: 29.54 · espesor_mm: 9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180 x 90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3073.71</v>
      </c>
      <c r="L320" s="6" t="n">
        <v>3073.71</v>
      </c>
      <c r="M320" s="6" t="n">
        <v>3073.71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180</v>
      </c>
      <c r="V320" s="7" t="inlineStr">
        <is>
          <t>180 x 90 cm</t>
        </is>
      </c>
      <c r="AE320" s="7" t="inlineStr">
        <is>
          <t>piso y pared</t>
        </is>
      </c>
      <c r="AF320" s="4" t="inlineStr">
        <is>
          <t>material: ceramica · ancho_cm: 90 · piezas_m2: 0.61 · acabado: mate · espesor_mm: 10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915.75</v>
      </c>
      <c r="L321" s="6" t="n">
        <v>915.75</v>
      </c>
      <c r="M321" s="6" t="n">
        <v>915.75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20</v>
      </c>
      <c r="V321" s="7" t="inlineStr">
        <is>
          <t>20 x 20 cm</t>
        </is>
      </c>
      <c r="AE321" s="7" t="inlineStr">
        <is>
          <t>piso y pared</t>
        </is>
      </c>
      <c r="AF321" s="4" t="inlineStr">
        <is>
          <t>material: ceramica · ancho_cm: 20 · piezas_m2: 25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20 x 6.5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2621.99</v>
      </c>
      <c r="L322" s="6" t="n">
        <v>2599.62</v>
      </c>
      <c r="M322" s="6" t="n">
        <v>2644.36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20</v>
      </c>
      <c r="V322" s="7" t="inlineStr">
        <is>
          <t>20 x 6.5 cm</t>
        </is>
      </c>
      <c r="AE322" s="7" t="inlineStr">
        <is>
          <t>piso y pared</t>
        </is>
      </c>
      <c r="AF322" s="4" t="inlineStr">
        <is>
          <t>material: ceramica · ancho_cm: 6.5 · piezas_m2: 77.14 · acabado: mate · espesor_mm: 9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22.3 x 22.3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2550.6</v>
      </c>
      <c r="L323" s="6" t="n">
        <v>2550.6</v>
      </c>
      <c r="M323" s="6" t="n">
        <v>2550.6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22.3</v>
      </c>
      <c r="V323" s="7" t="inlineStr">
        <is>
          <t>22.3 x 22.3 cm</t>
        </is>
      </c>
      <c r="AE323" s="7" t="inlineStr">
        <is>
          <t>piso y pared</t>
        </is>
      </c>
      <c r="AF323" s="4" t="inlineStr">
        <is>
          <t>material: ceramica · ancho_cm: 22.3 · piezas_m2: 20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22.8 x 20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2071.61</v>
      </c>
      <c r="L324" s="6" t="n">
        <v>1614.78</v>
      </c>
      <c r="M324" s="6" t="n">
        <v>3195.27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22.8</v>
      </c>
      <c r="V324" s="7" t="inlineStr">
        <is>
          <t>22.8 x 20 cm</t>
        </is>
      </c>
      <c r="AE324" s="7" t="inlineStr">
        <is>
          <t>piso y pared</t>
        </is>
      </c>
      <c r="AF324" s="4" t="inlineStr">
        <is>
          <t>material: ceramica · ancho_cm: 20 · piezas_m2: 28.57 · acabado: mate · espesor_mm: 9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25 x 25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1641.67</v>
      </c>
      <c r="L325" s="6" t="n">
        <v>1470.37</v>
      </c>
      <c r="M325" s="6" t="n">
        <v>1643.9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25</v>
      </c>
      <c r="V325" s="7" t="inlineStr">
        <is>
          <t>25 x 25 cm</t>
        </is>
      </c>
      <c r="AE325" s="7" t="inlineStr">
        <is>
          <t>piso y pared</t>
        </is>
      </c>
      <c r="AF325" s="4" t="inlineStr">
        <is>
          <t>material: ceramica · ancho_cm: 25 · piezas_m2: 15.92 · espesor_mm: 9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26.8 x 23.2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2504.68</v>
      </c>
      <c r="L326" s="6" t="n">
        <v>2504.68</v>
      </c>
      <c r="M326" s="6" t="n">
        <v>2504.68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26.8</v>
      </c>
      <c r="V326" s="7" t="inlineStr">
        <is>
          <t>26.8 x 23.2 cm</t>
        </is>
      </c>
      <c r="AE326" s="7" t="inlineStr">
        <is>
          <t>piso y pared</t>
        </is>
      </c>
      <c r="AF326" s="4" t="inlineStr">
        <is>
          <t>material: ceramica · ancho_cm: 23.2 · piezas_m2: 21.62 · espesor_mm: 8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30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1914.66</v>
      </c>
      <c r="L327" s="6" t="n">
        <v>1914.66</v>
      </c>
      <c r="M327" s="6" t="n">
        <v>1914.66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30</v>
      </c>
      <c r="V327" s="7" t="inlineStr">
        <is>
          <t>30 x 25 cm</t>
        </is>
      </c>
      <c r="AE327" s="7" t="inlineStr">
        <is>
          <t>piso y pared</t>
        </is>
      </c>
      <c r="AF327" s="4" t="inlineStr">
        <is>
          <t>material: ceramica · ancho_cm: 25 · piezas_m2: 18 · acabado: mate · espesor_mm: 9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40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779.2</v>
      </c>
      <c r="L328" s="6" t="n">
        <v>779.2</v>
      </c>
      <c r="M328" s="6" t="n">
        <v>779.2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40</v>
      </c>
      <c r="V328" s="7" t="inlineStr">
        <is>
          <t>40 x 25 cm</t>
        </is>
      </c>
      <c r="AE328" s="7" t="inlineStr">
        <is>
          <t>piso y pared</t>
        </is>
      </c>
      <c r="AF328" s="4" t="inlineStr">
        <is>
          <t>material: ceramica · ancho_cm: 25 · piezas_m2: 10 · acabado: mate · espesor_mm: 9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45 x 45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883.6</v>
      </c>
      <c r="L329" s="6" t="n">
        <v>666.6799999999999</v>
      </c>
      <c r="M329" s="6" t="n">
        <v>1415.45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45</v>
      </c>
      <c r="V329" s="7" t="inlineStr">
        <is>
          <t>45 x 45 cm</t>
        </is>
      </c>
      <c r="AE329" s="7" t="inlineStr">
        <is>
          <t>piso y pared</t>
        </is>
      </c>
      <c r="AF329" s="4" t="inlineStr">
        <is>
          <t>material: ceramica · ancho_cm: 45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55 x 33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837.58</v>
      </c>
      <c r="L330" s="6" t="n">
        <v>811.99</v>
      </c>
      <c r="M330" s="6" t="n">
        <v>863.16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55</v>
      </c>
      <c r="V330" s="7" t="inlineStr">
        <is>
          <t>55 x 33 cm</t>
        </is>
      </c>
      <c r="AE330" s="7" t="inlineStr">
        <is>
          <t>piso y pared</t>
        </is>
      </c>
      <c r="AF330" s="4" t="inlineStr">
        <is>
          <t>material: ceramica · ancho_cm: 33 · piezas_m2: 5.52 · acabado: brillante · espesor_mm: 10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58 x 19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884.59</v>
      </c>
      <c r="L331" s="6" t="n">
        <v>851.73</v>
      </c>
      <c r="M331" s="6" t="n">
        <v>917.45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58</v>
      </c>
      <c r="V331" s="7" t="inlineStr">
        <is>
          <t>58 x 19 cm</t>
        </is>
      </c>
      <c r="AE331" s="7" t="inlineStr">
        <is>
          <t>piso y pared</t>
        </is>
      </c>
      <c r="AF331" s="4" t="inlineStr">
        <is>
          <t>material: ceramica · ancho_cm: 19 · piezas_m2: 9.09 · acabado: mate · espesor_mm: 8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58 x 58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1407.51</v>
      </c>
      <c r="L332" s="6" t="n">
        <v>1267.19</v>
      </c>
      <c r="M332" s="6" t="n">
        <v>1547.83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58</v>
      </c>
      <c r="V332" s="7" t="inlineStr">
        <is>
          <t>58 x 58 cm</t>
        </is>
      </c>
      <c r="AE332" s="7" t="inlineStr">
        <is>
          <t>piso y pared</t>
        </is>
      </c>
      <c r="AF332" s="4" t="inlineStr">
        <is>
          <t>material: ceramica · ancho_cm: 58 · piezas_m2: 2.92 · espesor_mm: 9 · acabado: mate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60 x 20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767.4400000000001</v>
      </c>
      <c r="L333" s="6" t="n">
        <v>482.11</v>
      </c>
      <c r="M333" s="6" t="n">
        <v>995.02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60</v>
      </c>
      <c r="V333" s="7" t="inlineStr">
        <is>
          <t>60 x 20 cm</t>
        </is>
      </c>
      <c r="AE333" s="7" t="inlineStr">
        <is>
          <t>piso y pared</t>
        </is>
      </c>
      <c r="AF333" s="4" t="inlineStr">
        <is>
          <t>material: ceramica · ancho_cm: 20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60 x 30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1474.52</v>
      </c>
      <c r="L334" s="6" t="n">
        <v>1048.67</v>
      </c>
      <c r="M334" s="6" t="n">
        <v>1965.14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60</v>
      </c>
      <c r="V334" s="7" t="inlineStr">
        <is>
          <t>60 x 30 cm</t>
        </is>
      </c>
      <c r="AE334" s="7" t="inlineStr">
        <is>
          <t>piso y pared</t>
        </is>
      </c>
      <c r="AF334" s="4" t="inlineStr">
        <is>
          <t>material: ceramica · ancho_cm: 30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60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1251.4</v>
      </c>
      <c r="L335" s="6" t="n">
        <v>461.4</v>
      </c>
      <c r="M335" s="6" t="n">
        <v>2912.35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60 cm</t>
        </is>
      </c>
      <c r="AE335" s="7" t="inlineStr">
        <is>
          <t>piso y pared</t>
        </is>
      </c>
      <c r="AF335" s="4" t="inlineStr">
        <is>
          <t>material: ceramica · ancho_cm: 60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75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1257.26</v>
      </c>
      <c r="L336" s="6" t="n">
        <v>915.6799999999999</v>
      </c>
      <c r="M336" s="6" t="n">
        <v>1568.95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75</v>
      </c>
      <c r="V336" s="7" t="inlineStr">
        <is>
          <t>75 x 25 cm</t>
        </is>
      </c>
      <c r="AE336" s="7" t="inlineStr">
        <is>
          <t>piso y pared</t>
        </is>
      </c>
      <c r="AF336" s="4" t="inlineStr">
        <is>
          <t>material: ceramica · ancho_cm: 25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80 x 80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929.73</v>
      </c>
      <c r="L337" s="6" t="n">
        <v>908.36</v>
      </c>
      <c r="M337" s="6" t="n">
        <v>951.1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80</v>
      </c>
      <c r="V337" s="7" t="inlineStr">
        <is>
          <t>80 x 80 cm</t>
        </is>
      </c>
      <c r="AE337" s="7" t="inlineStr">
        <is>
          <t>piso y pared</t>
        </is>
      </c>
      <c r="AF337" s="4" t="inlineStr">
        <is>
          <t>material: ceramica · ancho_cm: 80 · acabado: pulido · espesor_mm: 10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90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1496.73</v>
      </c>
      <c r="L338" s="6" t="n">
        <v>1417.32</v>
      </c>
      <c r="M338" s="6" t="n">
        <v>1576.13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90</v>
      </c>
      <c r="V338" s="7" t="inlineStr">
        <is>
          <t>90 x 15 cm</t>
        </is>
      </c>
      <c r="AE338" s="7" t="inlineStr">
        <is>
          <t>piso y pared</t>
        </is>
      </c>
      <c r="AF338" s="4" t="inlineStr">
        <is>
          <t>material: ceramica · ancho_cm: 15 · piezas_m2: 7.4 · acabado: mate · espesor_mm: 9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90 x 30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2227.75</v>
      </c>
      <c r="L339" s="6" t="n">
        <v>1180.22</v>
      </c>
      <c r="M339" s="6" t="n">
        <v>3142.97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90</v>
      </c>
      <c r="V339" s="7" t="inlineStr">
        <is>
          <t>90 x 30 cm</t>
        </is>
      </c>
      <c r="AE339" s="7" t="inlineStr">
        <is>
          <t>piso y pared</t>
        </is>
      </c>
      <c r="AF339" s="4" t="inlineStr">
        <is>
          <t>material: ceramica · ancho_cm: 30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45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1988.37</v>
      </c>
      <c r="L340" s="6" t="n">
        <v>1367.94</v>
      </c>
      <c r="M340" s="6" t="n">
        <v>2067.73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45 cm</t>
        </is>
      </c>
      <c r="AE340" s="7" t="inlineStr">
        <is>
          <t>piso y pared</t>
        </is>
      </c>
      <c r="AF340" s="4" t="inlineStr">
        <is>
          <t>material: ceramica · ancho_cm: 45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100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2062.5</v>
      </c>
      <c r="L341" s="6" t="n">
        <v>1961.18</v>
      </c>
      <c r="M341" s="6" t="n">
        <v>2164.54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100</v>
      </c>
      <c r="V341" s="7" t="inlineStr">
        <is>
          <t>100 x 30 cm</t>
        </is>
      </c>
      <c r="AE341" s="7" t="inlineStr">
        <is>
          <t>pared</t>
        </is>
      </c>
      <c r="AF341" s="4" t="inlineStr">
        <is>
          <t>material: porcelanato · ancho_cm: 30 · piezas_m2: 3.17 · acabado: mate · espesor_mm: 10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120 x 120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3169.66</v>
      </c>
      <c r="L342" s="6" t="n">
        <v>3169.66</v>
      </c>
      <c r="M342" s="6" t="n">
        <v>3169.66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V342" s="7" t="inlineStr">
        <is>
          <t>120 x 120 cm</t>
        </is>
      </c>
      <c r="AE342" s="7" t="inlineStr">
        <is>
          <t>pared</t>
        </is>
      </c>
      <c r="AF342" s="4" t="inlineStr">
        <is>
          <t>material: porcelanato · acabado: pulido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1540.39</v>
      </c>
      <c r="L343" s="6" t="n">
        <v>1241.03</v>
      </c>
      <c r="M343" s="6" t="n">
        <v>1839.74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E343" s="7" t="inlineStr">
        <is>
          <t>pared</t>
        </is>
      </c>
      <c r="AF343" s="4" t="inlineStr">
        <is>
          <t>material: porcelanato · ancho_cm: 40 · piezas_m2: 2.08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2022.32</v>
      </c>
      <c r="L344" s="6" t="n">
        <v>1941.49</v>
      </c>
      <c r="M344" s="6" t="n">
        <v>2022.32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45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60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3</v>
      </c>
      <c r="K345" s="6" t="n">
        <v>1811.22</v>
      </c>
      <c r="L345" s="6" t="n">
        <v>1176.22</v>
      </c>
      <c r="M345" s="6" t="n">
        <v>2700.1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Ferretería Ochoa (8A) · La Ibérica</t>
        </is>
      </c>
      <c r="U345" s="7" t="n">
        <v>120</v>
      </c>
      <c r="V345" s="7" t="inlineStr">
        <is>
          <t>120 x 60 cm</t>
        </is>
      </c>
      <c r="AE345" s="7" t="inlineStr">
        <is>
          <t>pared</t>
        </is>
      </c>
      <c r="AF345" s="4" t="inlineStr">
        <is>
          <t>material: porcelanato · ancho_cm: 60 · piezas_m2: 1.38 · espesor_mm: 9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15 x 15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3</v>
      </c>
      <c r="K346" s="6" t="n">
        <v>2988.15</v>
      </c>
      <c r="L346" s="6" t="n">
        <v>516.5599999999999</v>
      </c>
      <c r="M346" s="6" t="n">
        <v>3759.89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 · Ferretería Ochoa (8A) · La Ibérica</t>
        </is>
      </c>
      <c r="U346" s="7" t="n">
        <v>15</v>
      </c>
      <c r="V346" s="7" t="inlineStr">
        <is>
          <t>15 x 15 cm</t>
        </is>
      </c>
      <c r="AE346" s="7" t="inlineStr">
        <is>
          <t>pared</t>
        </is>
      </c>
      <c r="AF346" s="4" t="inlineStr">
        <is>
          <t>material: porcelanato · ancho_cm: 15 · piezas_m2: 44 · acabado: mate · espesor_mm: 8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20 x 20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2678.99</v>
      </c>
      <c r="L347" s="6" t="n">
        <v>1695.74</v>
      </c>
      <c r="M347" s="6" t="n">
        <v>3255.41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</t>
        </is>
      </c>
      <c r="V347" s="7" t="inlineStr">
        <is>
          <t>20 x 20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25 x 14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3926.57</v>
      </c>
      <c r="L348" s="6" t="n">
        <v>3926.57</v>
      </c>
      <c r="M348" s="6" t="n">
        <v>3926.57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La Ibérica</t>
        </is>
      </c>
      <c r="V348" s="7" t="inlineStr">
        <is>
          <t>25 x 14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25 x 22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2990.03</v>
      </c>
      <c r="L349" s="6" t="n">
        <v>2990.03</v>
      </c>
      <c r="M349" s="6" t="n">
        <v>2990.03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La Ibérica</t>
        </is>
      </c>
      <c r="V349" s="7" t="inlineStr">
        <is>
          <t>25 x 22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23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4291.77</v>
      </c>
      <c r="L350" s="6" t="n">
        <v>4291.77</v>
      </c>
      <c r="M350" s="6" t="n">
        <v>4291.77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V350" s="7" t="inlineStr">
        <is>
          <t>25 x 23 cm</t>
        </is>
      </c>
      <c r="AE350" s="7" t="inlineStr">
        <is>
          <t>pared</t>
        </is>
      </c>
      <c r="AF350" s="4" t="inlineStr">
        <is>
          <t>material: porcelanato · acabado: mate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30 x 30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2169.36</v>
      </c>
      <c r="L351" s="6" t="n">
        <v>2169.36</v>
      </c>
      <c r="M351" s="6" t="n">
        <v>2169.36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</t>
        </is>
      </c>
      <c r="V351" s="7" t="inlineStr">
        <is>
          <t>30 x 30 cm</t>
        </is>
      </c>
      <c r="AE351" s="7" t="inlineStr">
        <is>
          <t>pared</t>
        </is>
      </c>
      <c r="AF351" s="4" t="inlineStr">
        <is>
          <t>material: porcelanato · acabado: mate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300 x 150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8184.41</v>
      </c>
      <c r="L352" s="6" t="n">
        <v>8184.41</v>
      </c>
      <c r="M352" s="6" t="n">
        <v>8184.41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300 x 150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50 x 17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1873.88</v>
      </c>
      <c r="L353" s="6" t="n">
        <v>1550.47</v>
      </c>
      <c r="M353" s="6" t="n">
        <v>2197.29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50</v>
      </c>
      <c r="V353" s="7" t="inlineStr">
        <is>
          <t>50 x 17 cm</t>
        </is>
      </c>
      <c r="AE353" s="7" t="inlineStr">
        <is>
          <t>pared</t>
        </is>
      </c>
      <c r="AF353" s="4" t="inlineStr">
        <is>
          <t>material: porcelanato · ancho_cm: 17 · piezas_m2: 11.3 · acabado: mate · espesor_mm: 12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55 x 33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839.97</v>
      </c>
      <c r="L354" s="6" t="n">
        <v>671.4</v>
      </c>
      <c r="M354" s="6" t="n">
        <v>1073.46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55</v>
      </c>
      <c r="V354" s="7" t="inlineStr">
        <is>
          <t>55 x 33 cm</t>
        </is>
      </c>
      <c r="AE354" s="7" t="inlineStr">
        <is>
          <t>pared</t>
        </is>
      </c>
      <c r="AF354" s="4" t="inlineStr">
        <is>
          <t>material: porcelanato · ancho_cm: 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1576.66</v>
      </c>
      <c r="L355" s="6" t="n">
        <v>1034.85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 · acabado: mate · espesor_mm: 9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796.67</v>
      </c>
      <c r="L357" s="6" t="n">
        <v>796.67</v>
      </c>
      <c r="M357" s="6" t="n">
        <v>1544.37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V357" s="7" t="inlineStr">
        <is>
          <t>75 x 25 cm</t>
        </is>
      </c>
      <c r="AE357" s="7" t="inlineStr">
        <is>
          <t>pared</t>
        </is>
      </c>
      <c r="AF357" s="4" t="inlineStr">
        <is>
          <t>material: porcelanato · ancho_cm: 25 · acabado: mate · espesor_mm: 9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2789.99</v>
      </c>
      <c r="L358" s="6" t="n">
        <v>2789.99</v>
      </c>
      <c r="M358" s="6" t="n">
        <v>2789.99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1531.25</v>
      </c>
      <c r="L359" s="6" t="n">
        <v>1531.25</v>
      </c>
      <c r="M359" s="6" t="n">
        <v>1531.25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acabado: mate · espesor_mm: 9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805</v>
      </c>
      <c r="L360" s="6" t="n">
        <v>805</v>
      </c>
      <c r="M360" s="6" t="n">
        <v>805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 · acabado: mate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2001.81</v>
      </c>
      <c r="L361" s="6" t="n">
        <v>1848.66</v>
      </c>
      <c r="M361" s="6" t="n">
        <v>2001.81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1269.08</v>
      </c>
      <c r="L362" s="6" t="n">
        <v>1243.64</v>
      </c>
      <c r="M362" s="6" t="n">
        <v>1294.52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113 x 55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955.09</v>
      </c>
      <c r="L363" s="6" t="n">
        <v>955.09</v>
      </c>
      <c r="M363" s="6" t="n">
        <v>955.09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2026-09-09</t>
        </is>
      </c>
      <c r="Q363" s="4" t="inlineStr">
        <is>
          <t>Ferretería Ochoa (8A)</t>
        </is>
      </c>
      <c r="U363" s="7" t="n">
        <v>113</v>
      </c>
      <c r="V363" s="7" t="inlineStr">
        <is>
          <t>113 x 55 cm</t>
        </is>
      </c>
      <c r="AE363" s="7" t="inlineStr">
        <is>
          <t>piso</t>
        </is>
      </c>
      <c r="AF363" s="4" t="inlineStr">
        <is>
          <t>material: porcelanato · ancho_cm: 55 · piezas_m2: 1.58 · acabado: pulido · espesor_mm: 10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120 x 120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2956.72</v>
      </c>
      <c r="L364" s="6" t="n">
        <v>2956.67</v>
      </c>
      <c r="M364" s="6" t="n">
        <v>2956.77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120 cm</t>
        </is>
      </c>
      <c r="AE364" s="7" t="inlineStr">
        <is>
          <t>piso</t>
        </is>
      </c>
      <c r="AF364" s="4" t="inlineStr">
        <is>
          <t>material: porcelanato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3297.03</v>
      </c>
      <c r="L365" s="6" t="n">
        <v>2570.59</v>
      </c>
      <c r="M365" s="6" t="n">
        <v>3981.13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120</v>
      </c>
      <c r="V365" s="7" t="inlineStr">
        <is>
          <t>120 x 15 cm</t>
        </is>
      </c>
      <c r="AE365" s="7" t="inlineStr">
        <is>
          <t>piso</t>
        </is>
      </c>
      <c r="AF365" s="4" t="inlineStr">
        <is>
          <t>material: porcelanato · ancho_cm: 15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1510.06</v>
      </c>
      <c r="L366" s="6" t="n">
        <v>939.3099999999999</v>
      </c>
      <c r="M366" s="6" t="n">
        <v>2601.39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1949.98</v>
      </c>
      <c r="L367" s="6" t="n">
        <v>1949.98</v>
      </c>
      <c r="M367" s="6" t="n">
        <v>1949.98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La Ibérica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1798</v>
      </c>
      <c r="L368" s="6" t="n">
        <v>1122.74</v>
      </c>
      <c r="M368" s="6" t="n">
        <v>1949.99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Ferretería Ochoa (8A) · La Ibérica</t>
        </is>
      </c>
      <c r="U368" s="7" t="n">
        <v>120</v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 · ancho_cm: 23 · piezas_m2: 3.62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40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1753.98</v>
      </c>
      <c r="L369" s="6" t="n">
        <v>1516.36</v>
      </c>
      <c r="M369" s="6" t="n">
        <v>1991.6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120</v>
      </c>
      <c r="V369" s="7" t="inlineStr">
        <is>
          <t>120 x 40 cm</t>
        </is>
      </c>
      <c r="AE369" s="7" t="inlineStr">
        <is>
          <t>piso</t>
        </is>
      </c>
      <c r="AF369" s="4" t="inlineStr">
        <is>
          <t>material: porcelanato · ancho_cm: 40 · piezas_m2: 2.08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60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3</v>
      </c>
      <c r="K370" s="6" t="n">
        <v>2249.99</v>
      </c>
      <c r="L370" s="6" t="n">
        <v>819.97</v>
      </c>
      <c r="M370" s="6" t="n">
        <v>3599.99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 · Ferretería Ochoa (8A) · La Ibérica</t>
        </is>
      </c>
      <c r="U370" s="7" t="n">
        <v>120</v>
      </c>
      <c r="V370" s="7" t="inlineStr">
        <is>
          <t>120 x 60 cm</t>
        </is>
      </c>
      <c r="AE370" s="7" t="inlineStr">
        <is>
          <t>piso</t>
        </is>
      </c>
      <c r="AF370" s="4" t="inlineStr">
        <is>
          <t>material: porcelanato · ancho_cm: 60 · piezas_m2: 1.38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160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2394.87</v>
      </c>
      <c r="L371" s="6" t="n">
        <v>2394.87</v>
      </c>
      <c r="M371" s="6" t="n">
        <v>2394.87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160 x 80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20 x 20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3368.11</v>
      </c>
      <c r="L372" s="6" t="n">
        <v>3368.11</v>
      </c>
      <c r="M372" s="6" t="n">
        <v>3368.11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</t>
        </is>
      </c>
      <c r="V372" s="7" t="inlineStr">
        <is>
          <t>20 x 20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33 x 33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3834.91</v>
      </c>
      <c r="L373" s="6" t="n">
        <v>3834.91</v>
      </c>
      <c r="M373" s="6" t="n">
        <v>3834.91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La Ibérica</t>
        </is>
      </c>
      <c r="V373" s="7" t="inlineStr">
        <is>
          <t>33 x 33 cm</t>
        </is>
      </c>
      <c r="AE373" s="7" t="inlineStr">
        <is>
          <t>piso</t>
        </is>
      </c>
      <c r="AF373" s="4" t="inlineStr">
        <is>
          <t>material: porcelanato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45 x 45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760.16</v>
      </c>
      <c r="L374" s="6" t="n">
        <v>581.79</v>
      </c>
      <c r="M374" s="6" t="n">
        <v>1062.22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2026-09-09</t>
        </is>
      </c>
      <c r="Q374" s="4" t="inlineStr">
        <is>
          <t>Ferretería Ochoa (8A)</t>
        </is>
      </c>
      <c r="U374" s="7" t="n">
        <v>45</v>
      </c>
      <c r="V374" s="7" t="inlineStr">
        <is>
          <t>45 x 45 cm</t>
        </is>
      </c>
      <c r="AE374" s="7" t="inlineStr">
        <is>
          <t>piso</t>
        </is>
      </c>
      <c r="AF374" s="4" t="inlineStr">
        <is>
          <t>material: porcelanato · ancho_cm: 45 · piezas_m2: 4.93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50 x 50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1035.48</v>
      </c>
      <c r="L375" s="6" t="n">
        <v>1035.48</v>
      </c>
      <c r="M375" s="6" t="n">
        <v>1035.48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2026-09-09</t>
        </is>
      </c>
      <c r="Q375" s="4" t="inlineStr">
        <is>
          <t>Ferretería Ochoa (8A)</t>
        </is>
      </c>
      <c r="U375" s="7" t="n">
        <v>50</v>
      </c>
      <c r="V375" s="7" t="inlineStr">
        <is>
          <t>50 x 50 cm</t>
        </is>
      </c>
      <c r="AE375" s="7" t="inlineStr">
        <is>
          <t>piso</t>
        </is>
      </c>
      <c r="AF375" s="4" t="inlineStr">
        <is>
          <t>material: porcelanato · ancho_cm: 50 · piezas_m2: 4 · espesor_mm: 10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19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777.65</v>
      </c>
      <c r="L376" s="6" t="n">
        <v>772.01</v>
      </c>
      <c r="M376" s="6" t="n">
        <v>783.29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58</v>
      </c>
      <c r="V376" s="7" t="inlineStr">
        <is>
          <t>58 x 19 cm</t>
        </is>
      </c>
      <c r="AE376" s="7" t="inlineStr">
        <is>
          <t>piso</t>
        </is>
      </c>
      <c r="AF376" s="4" t="inlineStr">
        <is>
          <t>material: porcelanato · ancho_cm: 19 · piezas_m2: 9.25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58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2</v>
      </c>
      <c r="K377" s="6" t="n">
        <v>1344.49</v>
      </c>
      <c r="L377" s="6" t="n">
        <v>998.99</v>
      </c>
      <c r="M377" s="6" t="n">
        <v>1689.98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Ferretería Ochoa (8A) · La Ibérica</t>
        </is>
      </c>
      <c r="U377" s="7" t="n">
        <v>58</v>
      </c>
      <c r="V377" s="7" t="inlineStr">
        <is>
          <t>58 x 58 cm</t>
        </is>
      </c>
      <c r="AE377" s="7" t="inlineStr">
        <is>
          <t>piso</t>
        </is>
      </c>
      <c r="AF377" s="4" t="inlineStr">
        <is>
          <t>material: porcelanato · ancho_cm: 58 · piezas_m2: 2.87 · acabado: brillante · espesor_mm: 10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3</v>
      </c>
      <c r="K378" s="6" t="n">
        <v>1349.62</v>
      </c>
      <c r="L378" s="6" t="n">
        <v>988.04</v>
      </c>
      <c r="M378" s="6" t="n">
        <v>2589.94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 · La Ibérica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1190</v>
      </c>
      <c r="L379" s="6" t="n">
        <v>673.23</v>
      </c>
      <c r="M379" s="6" t="n">
        <v>2989.99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La Ibérica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983.85</v>
      </c>
      <c r="L380" s="6" t="n">
        <v>814.46</v>
      </c>
      <c r="M380" s="6" t="n">
        <v>1311.32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1035.67</v>
      </c>
      <c r="L381" s="6" t="n">
        <v>1035.67</v>
      </c>
      <c r="M381" s="6" t="n">
        <v>1035.67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 · acabado: pulido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2473.17</v>
      </c>
      <c r="L382" s="6" t="n">
        <v>2473.17</v>
      </c>
      <c r="M382" s="6" t="n">
        <v>2473.17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1187.6</v>
      </c>
      <c r="L383" s="6" t="n">
        <v>1156.35</v>
      </c>
      <c r="M383" s="6" t="n">
        <v>1206.84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22.5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1619.97</v>
      </c>
      <c r="L384" s="6" t="n">
        <v>1589.97</v>
      </c>
      <c r="M384" s="6" t="n">
        <v>1649.96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La Ibérica</t>
        </is>
      </c>
      <c r="V384" s="7" t="inlineStr">
        <is>
          <t>90 x 22.5 cm</t>
        </is>
      </c>
      <c r="AE384" s="7" t="inlineStr">
        <is>
          <t>piso</t>
        </is>
      </c>
      <c r="AF384" s="4" t="inlineStr">
        <is>
          <t>material: porcelanato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45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1636.87</v>
      </c>
      <c r="L385" s="6" t="n">
        <v>818.71</v>
      </c>
      <c r="M385" s="6" t="n">
        <v>1987.39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45 cm</t>
        </is>
      </c>
      <c r="AE385" s="7" t="inlineStr">
        <is>
          <t>piso</t>
        </is>
      </c>
      <c r="AF385" s="4" t="inlineStr">
        <is>
          <t>material: porcelanato · ancho_cm: 45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90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1935.46</v>
      </c>
      <c r="L386" s="6" t="n">
        <v>1569.2</v>
      </c>
      <c r="M386" s="6" t="n">
        <v>2950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La Ibérica</t>
        </is>
      </c>
      <c r="V386" s="7" t="inlineStr">
        <is>
          <t>90 x 90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100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2196.18</v>
      </c>
      <c r="L387" s="6" t="n">
        <v>1782.68</v>
      </c>
      <c r="M387" s="6" t="n">
        <v>2601.37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100</v>
      </c>
      <c r="V387" s="7" t="inlineStr">
        <is>
          <t>100 x 30 cm</t>
        </is>
      </c>
      <c r="AE387" s="7" t="inlineStr">
        <is>
          <t>piso y pared</t>
        </is>
      </c>
      <c r="AF387" s="4" t="inlineStr">
        <is>
          <t>material: porcelanato · ancho_cm: 30 · piezas_m2: 3.17 · acabado: mate · espesor_mm: 10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33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1493.28</v>
      </c>
      <c r="L388" s="6" t="n">
        <v>1466.73</v>
      </c>
      <c r="M388" s="6" t="n">
        <v>1604.55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100</v>
      </c>
      <c r="V388" s="7" t="inlineStr">
        <is>
          <t>100 x 33 cm</t>
        </is>
      </c>
      <c r="AE388" s="7" t="inlineStr">
        <is>
          <t>piso y pared</t>
        </is>
      </c>
      <c r="AF388" s="4" t="inlineStr">
        <is>
          <t>material: porcelanato · ancho_cm: 33 · piezas_m2: 3 · acabado: pulido · espesor_mm: 10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50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1801.82</v>
      </c>
      <c r="L389" s="6" t="n">
        <v>1529.79</v>
      </c>
      <c r="M389" s="6" t="n">
        <v>3647.28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</t>
        </is>
      </c>
      <c r="U389" s="7" t="n">
        <v>100</v>
      </c>
      <c r="V389" s="7" t="inlineStr">
        <is>
          <t>100 x 50 cm</t>
        </is>
      </c>
      <c r="AE389" s="7" t="inlineStr">
        <is>
          <t>piso y pared</t>
        </is>
      </c>
      <c r="AF389" s="4" t="inlineStr">
        <is>
          <t>material: porcelanato · ancho_cm: 50 · piezas_m2: 2 · espesor_mm: 9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120 x 11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2242</v>
      </c>
      <c r="L390" s="6" t="n">
        <v>2242</v>
      </c>
      <c r="M390" s="6" t="n">
        <v>2242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120 x 11 cm</t>
        </is>
      </c>
      <c r="AE390" s="7" t="inlineStr">
        <is>
          <t>piso y pared</t>
        </is>
      </c>
      <c r="AF390" s="4" t="inlineStr">
        <is>
          <t>material: porcelanato · acabado: mate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120 x 120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2885.43</v>
      </c>
      <c r="L391" s="6" t="n">
        <v>2538.27</v>
      </c>
      <c r="M391" s="6" t="n">
        <v>3205.38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120</v>
      </c>
      <c r="V391" s="7" t="inlineStr">
        <is>
          <t>120 x 120 cm</t>
        </is>
      </c>
      <c r="AE391" s="7" t="inlineStr">
        <is>
          <t>piso y pared</t>
        </is>
      </c>
      <c r="AF391" s="4" t="inlineStr">
        <is>
          <t>material: porcelanato · ancho_cm: 120 · piezas_m2: 0.69 · acabado: mate · espesor_mm: 9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2095.03</v>
      </c>
      <c r="L392" s="6" t="n">
        <v>1279.34</v>
      </c>
      <c r="M392" s="6" t="n">
        <v>2260.28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 · Ferretería Ochoa (8A)</t>
        </is>
      </c>
      <c r="U392" s="7" t="n">
        <v>120</v>
      </c>
      <c r="V392" s="7" t="inlineStr">
        <is>
          <t>120 x 20 cm</t>
        </is>
      </c>
      <c r="AE392" s="7" t="inlineStr">
        <is>
          <t>piso y pared</t>
        </is>
      </c>
      <c r="AF392" s="4" t="inlineStr">
        <is>
          <t>material: porcelanato · ancho_cm: 20 · piezas_m2: 4 · acabado: mate · espesor_mm: 12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40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3697.64</v>
      </c>
      <c r="L393" s="6" t="n">
        <v>3697.64</v>
      </c>
      <c r="M393" s="6" t="n">
        <v>3697.64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40 cm</t>
        </is>
      </c>
      <c r="AE393" s="7" t="inlineStr">
        <is>
          <t>piso y pared</t>
        </is>
      </c>
      <c r="AF393" s="4" t="inlineStr">
        <is>
          <t>material: porcelanato · ancho_cm: 40 · piezas_m2: 2.1 · acabado: mate · espesor_mm: 10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60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2098.99</v>
      </c>
      <c r="L394" s="6" t="n">
        <v>819.97</v>
      </c>
      <c r="M394" s="6" t="n">
        <v>3478.01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60 cm</t>
        </is>
      </c>
      <c r="AE394" s="7" t="inlineStr">
        <is>
          <t>piso y pared</t>
        </is>
      </c>
      <c r="AF394" s="4" t="inlineStr">
        <is>
          <t>material: porcelanato · ancho_cm: 60 · piezas_m2: 1.38 · espesor_mm: 10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15 x 15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2629.95</v>
      </c>
      <c r="L395" s="6" t="n">
        <v>2629.95</v>
      </c>
      <c r="M395" s="6" t="n">
        <v>2629.95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15 x 15 cm</t>
        </is>
      </c>
      <c r="AE395" s="7" t="inlineStr">
        <is>
          <t>piso y pared</t>
        </is>
      </c>
      <c r="AF395" s="4" t="inlineStr">
        <is>
          <t>material: porcelanato · acabado: mate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160 x 80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2406.36</v>
      </c>
      <c r="L396" s="6" t="n">
        <v>2406.36</v>
      </c>
      <c r="M396" s="6" t="n">
        <v>2406.36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</t>
        </is>
      </c>
      <c r="V396" s="7" t="inlineStr">
        <is>
          <t>160 x 80 cm</t>
        </is>
      </c>
      <c r="AE396" s="7" t="inlineStr">
        <is>
          <t>piso y pared</t>
        </is>
      </c>
      <c r="AF396" s="4" t="inlineStr">
        <is>
          <t>material: porcelanato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180 x 80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5709.64</v>
      </c>
      <c r="L397" s="6" t="n">
        <v>5574.62</v>
      </c>
      <c r="M397" s="6" t="n">
        <v>5844.67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180 x 80 cm</t>
        </is>
      </c>
      <c r="AE397" s="7" t="inlineStr">
        <is>
          <t>piso y pared</t>
        </is>
      </c>
      <c r="AF397" s="4" t="inlineStr">
        <is>
          <t>material: porcelanato · acabado: pulido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180 x 90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3376.66</v>
      </c>
      <c r="L398" s="6" t="n">
        <v>3376.66</v>
      </c>
      <c r="M398" s="6" t="n">
        <v>3376.66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180</v>
      </c>
      <c r="V398" s="7" t="inlineStr">
        <is>
          <t>180 x 90 cm</t>
        </is>
      </c>
      <c r="AE398" s="7" t="inlineStr">
        <is>
          <t>piso y pared</t>
        </is>
      </c>
      <c r="AF398" s="4" t="inlineStr">
        <is>
          <t>material: porcelanato · ancho_cm: 90 · piezas_m2: 0.61 · acabado: pulido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23 x 20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2449.22</v>
      </c>
      <c r="L399" s="6" t="n">
        <v>2449.22</v>
      </c>
      <c r="M399" s="6" t="n">
        <v>2449.22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23 x 20 cm</t>
        </is>
      </c>
      <c r="AE399" s="7" t="inlineStr">
        <is>
          <t>piso y pared</t>
        </is>
      </c>
      <c r="AF399" s="4" t="inlineStr">
        <is>
          <t>material: porcelanato · acabado: pulido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240 x 120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7223.87</v>
      </c>
      <c r="L400" s="6" t="n">
        <v>6824.2</v>
      </c>
      <c r="M400" s="6" t="n">
        <v>9192.92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V400" s="7" t="inlineStr">
        <is>
          <t>240 x 120 cm</t>
        </is>
      </c>
      <c r="AE400" s="7" t="inlineStr">
        <is>
          <t>piso y pared</t>
        </is>
      </c>
      <c r="AF400" s="4" t="inlineStr">
        <is>
          <t>material: porcelanato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270 x 120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5758.12</v>
      </c>
      <c r="L401" s="6" t="n">
        <v>5758.12</v>
      </c>
      <c r="M401" s="6" t="n">
        <v>5758.12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270 x 120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280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7278.68</v>
      </c>
      <c r="L402" s="6" t="n">
        <v>6843.82</v>
      </c>
      <c r="M402" s="6" t="n">
        <v>7777.42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280 x 120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30 x 10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2835.14</v>
      </c>
      <c r="L403" s="6" t="n">
        <v>2835.14</v>
      </c>
      <c r="M403" s="6" t="n">
        <v>3197.35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30 x 10 cm</t>
        </is>
      </c>
      <c r="AE403" s="7" t="inlineStr">
        <is>
          <t>piso y pared</t>
        </is>
      </c>
      <c r="AF403" s="4" t="inlineStr">
        <is>
          <t>material: porcelanato · acabado: pulido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30 x 30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2</v>
      </c>
      <c r="K404" s="6" t="n">
        <v>2649.01</v>
      </c>
      <c r="L404" s="6" t="n">
        <v>812.1</v>
      </c>
      <c r="M404" s="6" t="n">
        <v>3050.17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</t>
        </is>
      </c>
      <c r="U404" s="7" t="n">
        <v>30</v>
      </c>
      <c r="V404" s="7" t="inlineStr">
        <is>
          <t>30 x 30 cm</t>
        </is>
      </c>
      <c r="AE404" s="7" t="inlineStr">
        <is>
          <t>piso y pared</t>
        </is>
      </c>
      <c r="AF404" s="4" t="inlineStr">
        <is>
          <t>material: porcelanato · ancho_cm: 30 · piezas_m2: 10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300 x 100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7262.22</v>
      </c>
      <c r="L405" s="6" t="n">
        <v>7262.22</v>
      </c>
      <c r="M405" s="6" t="n">
        <v>7262.22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300 x 100 cm</t>
        </is>
      </c>
      <c r="AE405" s="7" t="inlineStr">
        <is>
          <t>piso y pared</t>
        </is>
      </c>
      <c r="AF405" s="4" t="inlineStr">
        <is>
          <t>material: porcelanato · acabado: mate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300 x 150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9310.93</v>
      </c>
      <c r="L406" s="6" t="n">
        <v>7176.34</v>
      </c>
      <c r="M406" s="6" t="n">
        <v>9485.42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</t>
        </is>
      </c>
      <c r="V406" s="7" t="inlineStr">
        <is>
          <t>300 x 150 cm</t>
        </is>
      </c>
      <c r="AE406" s="7" t="inlineStr">
        <is>
          <t>piso y pared</t>
        </is>
      </c>
      <c r="AF406" s="4" t="inlineStr">
        <is>
          <t>material: porcelanato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324 x 160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14792.34</v>
      </c>
      <c r="L407" s="6" t="n">
        <v>4125.46</v>
      </c>
      <c r="M407" s="6" t="n">
        <v>19490.82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324 x 160 cm</t>
        </is>
      </c>
      <c r="AE407" s="7" t="inlineStr">
        <is>
          <t>piso y pared</t>
        </is>
      </c>
      <c r="AF407" s="4" t="inlineStr">
        <is>
          <t>material: porcelanato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45 x 45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764.38</v>
      </c>
      <c r="L408" s="6" t="n">
        <v>710.61</v>
      </c>
      <c r="M408" s="6" t="n">
        <v>857.97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45</v>
      </c>
      <c r="V408" s="7" t="inlineStr">
        <is>
          <t>45 x 45 cm</t>
        </is>
      </c>
      <c r="AE408" s="7" t="inlineStr">
        <is>
          <t>piso y pared</t>
        </is>
      </c>
      <c r="AF408" s="4" t="inlineStr">
        <is>
          <t>material: porcelanato · ancho_cm: 45 · piezas_m2: 4.93 · acabado: mate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55 x 33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839.97</v>
      </c>
      <c r="L409" s="6" t="n">
        <v>839.97</v>
      </c>
      <c r="M409" s="6" t="n">
        <v>839.97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U409" s="7" t="n">
        <v>55</v>
      </c>
      <c r="V409" s="7" t="inlineStr">
        <is>
          <t>55 x 33 cm</t>
        </is>
      </c>
      <c r="AE409" s="7" t="inlineStr">
        <is>
          <t>piso y pared</t>
        </is>
      </c>
      <c r="AF409" s="4" t="inlineStr">
        <is>
          <t>material: porcelanato · ancho_cm: 33 · piezas_m2: 5.43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58 x 58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2571.44</v>
      </c>
      <c r="L410" s="6" t="n">
        <v>2571.44</v>
      </c>
      <c r="M410" s="6" t="n">
        <v>2571.44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58</v>
      </c>
      <c r="V410" s="7" t="inlineStr">
        <is>
          <t>58 x 58 cm</t>
        </is>
      </c>
      <c r="AE410" s="7" t="inlineStr">
        <is>
          <t>piso y pared</t>
        </is>
      </c>
      <c r="AF410" s="4" t="inlineStr">
        <is>
          <t>material: porcelanato · ancho_cm: 58 · piezas_m2: 2.92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60 x 20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482.11</v>
      </c>
      <c r="L411" s="6" t="n">
        <v>482.11</v>
      </c>
      <c r="M411" s="6" t="n">
        <v>482.11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60</v>
      </c>
      <c r="V411" s="7" t="inlineStr">
        <is>
          <t>60 x 20 cm</t>
        </is>
      </c>
      <c r="AE411" s="7" t="inlineStr">
        <is>
          <t>piso y pared</t>
        </is>
      </c>
      <c r="AF411" s="4" t="inlineStr">
        <is>
          <t>material: porcelanato · ancho_cm: 20 · piezas_m2: 8.23 · acabado: mate · espesor_mm: 10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60 x 30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1371.18</v>
      </c>
      <c r="L412" s="6" t="n">
        <v>778.8</v>
      </c>
      <c r="M412" s="6" t="n">
        <v>2805.98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CerArte · Ferretería Ochoa (8A)</t>
        </is>
      </c>
      <c r="U412" s="7" t="n">
        <v>60</v>
      </c>
      <c r="V412" s="7" t="inlineStr">
        <is>
          <t>60 x 30 cm</t>
        </is>
      </c>
      <c r="AE412" s="7" t="inlineStr">
        <is>
          <t>piso y pared</t>
        </is>
      </c>
      <c r="AF412" s="4" t="inlineStr">
        <is>
          <t>material: porcelanato · ancho_cm: 30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60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2</v>
      </c>
      <c r="K413" s="6" t="n">
        <v>1318</v>
      </c>
      <c r="L413" s="6" t="n">
        <v>518.13</v>
      </c>
      <c r="M413" s="6" t="n">
        <v>2562.78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CerArte · Ferretería Ochoa (8A)</t>
        </is>
      </c>
      <c r="U413" s="7" t="n">
        <v>60</v>
      </c>
      <c r="V413" s="7" t="inlineStr">
        <is>
          <t>60 x 60 cm</t>
        </is>
      </c>
      <c r="AE413" s="7" t="inlineStr">
        <is>
          <t>piso y pared</t>
        </is>
      </c>
      <c r="AF413" s="4" t="inlineStr">
        <is>
          <t>material: porcelanato · ancho_cm: 60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75 x 25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1403.05</v>
      </c>
      <c r="L414" s="6" t="n">
        <v>1146.06</v>
      </c>
      <c r="M414" s="6" t="n">
        <v>1689.5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U414" s="7" t="n">
        <v>75</v>
      </c>
      <c r="V414" s="7" t="inlineStr">
        <is>
          <t>75 x 25 cm</t>
        </is>
      </c>
      <c r="AE414" s="7" t="inlineStr">
        <is>
          <t>piso y pared</t>
        </is>
      </c>
      <c r="AF414" s="4" t="inlineStr">
        <is>
          <t>material: porcelanato · ancho_cm: 25 · piezas_m2: 5.33 · acabado: mate · espesor_mm: 10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75 x 75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1400.04</v>
      </c>
      <c r="L415" s="6" t="n">
        <v>1400.03</v>
      </c>
      <c r="M415" s="6" t="n">
        <v>1400.05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V415" s="7" t="inlineStr">
        <is>
          <t>75 x 75 cm</t>
        </is>
      </c>
      <c r="AE415" s="7" t="inlineStr">
        <is>
          <t>piso y pared</t>
        </is>
      </c>
      <c r="AF415" s="4" t="inlineStr">
        <is>
          <t>material: porcelanato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80 x 80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1662.02</v>
      </c>
      <c r="L416" s="6" t="n">
        <v>1324.23</v>
      </c>
      <c r="M416" s="6" t="n">
        <v>2414.91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V416" s="7" t="inlineStr">
        <is>
          <t>80 x 80 cm</t>
        </is>
      </c>
      <c r="AE416" s="7" t="inlineStr">
        <is>
          <t>piso y pared</t>
        </is>
      </c>
      <c r="AF416" s="4" t="inlineStr">
        <is>
          <t>material: porcelanato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90 x 15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1835.57</v>
      </c>
      <c r="L417" s="6" t="n">
        <v>1835.57</v>
      </c>
      <c r="M417" s="6" t="n">
        <v>1835.57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U417" s="7" t="n">
        <v>90</v>
      </c>
      <c r="V417" s="7" t="inlineStr">
        <is>
          <t>90 x 15 cm</t>
        </is>
      </c>
      <c r="AE417" s="7" t="inlineStr">
        <is>
          <t>piso y pared</t>
        </is>
      </c>
      <c r="AF417" s="4" t="inlineStr">
        <is>
          <t>material: porcelanato · ancho_cm: 15 · piezas_m2: 7.4 · acabado: mate · espesor_mm: 10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90 x 20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1649.86</v>
      </c>
      <c r="L418" s="6" t="n">
        <v>1649.86</v>
      </c>
      <c r="M418" s="6" t="n">
        <v>1649.86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90 x 20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30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2210.12</v>
      </c>
      <c r="L419" s="6" t="n">
        <v>2210.12</v>
      </c>
      <c r="M419" s="6" t="n">
        <v>2210.12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30 cm</t>
        </is>
      </c>
      <c r="AE419" s="7" t="inlineStr">
        <is>
          <t>piso y pared</t>
        </is>
      </c>
      <c r="AF419" s="4" t="inlineStr">
        <is>
          <t>material: porcelanato · ancho_cm: 30 · piezas_m2: 3.7 · acabado: mate · espesor_mm: 9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45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2022.08</v>
      </c>
      <c r="L420" s="6" t="n">
        <v>1630.87</v>
      </c>
      <c r="M420" s="6" t="n">
        <v>6073.73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 · Ferretería Ochoa (8A)</t>
        </is>
      </c>
      <c r="U420" s="7" t="n">
        <v>90</v>
      </c>
      <c r="V420" s="7" t="inlineStr">
        <is>
          <t>90 x 45 cm</t>
        </is>
      </c>
      <c r="AE420" s="7" t="inlineStr">
        <is>
          <t>piso y pared</t>
        </is>
      </c>
      <c r="AF420" s="4" t="inlineStr">
        <is>
          <t>material: porcelanato · ancho_cm: 45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90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2167.28</v>
      </c>
      <c r="L421" s="6" t="n">
        <v>2167.28</v>
      </c>
      <c r="M421" s="6" t="n">
        <v>2167.28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CerArte</t>
        </is>
      </c>
      <c r="V421" s="7" t="inlineStr">
        <is>
          <t>90 x 90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Mosaico cerámico en malla, 2.5 x 2.5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495</v>
      </c>
      <c r="L422" s="6" t="n">
        <v>495</v>
      </c>
      <c r="M422" s="6" t="n">
        <v>495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V422" s="7" t="inlineStr">
        <is>
          <t>2.5 x 2.5 cm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Mosaico cerámico en malla, 20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1099.76</v>
      </c>
      <c r="L423" s="6" t="n">
        <v>1099.76</v>
      </c>
      <c r="M423" s="6" t="n">
        <v>1099.76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V423" s="7" t="inlineStr">
        <is>
          <t>20 x 20 cm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30 x 25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1818.95</v>
      </c>
      <c r="L424" s="6" t="n">
        <v>1117.88</v>
      </c>
      <c r="M424" s="6" t="n">
        <v>2008.37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CerArte</t>
        </is>
      </c>
      <c r="V424" s="7" t="inlineStr">
        <is>
          <t>30 x 25 cm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30 x 30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3</v>
      </c>
      <c r="K425" s="6" t="n">
        <v>2863.5</v>
      </c>
      <c r="L425" s="6" t="n">
        <v>156.94</v>
      </c>
      <c r="M425" s="6" t="n">
        <v>7157.4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CerArte · Ferretería Ochoa (8A) · La Ibérica</t>
        </is>
      </c>
      <c r="U425" s="7" t="n">
        <v>30</v>
      </c>
      <c r="V425" s="7" t="inlineStr">
        <is>
          <t>30 x 30 cm</t>
        </is>
      </c>
      <c r="AF425" s="4" t="inlineStr">
        <is>
          <t>ancho_cm: 30 · piezas_m2: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33 x 30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4636.17</v>
      </c>
      <c r="L426" s="6" t="n">
        <v>4369.31</v>
      </c>
      <c r="M426" s="6" t="n">
        <v>6188.82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U426" s="7" t="n">
        <v>33</v>
      </c>
      <c r="V426" s="7" t="inlineStr">
        <is>
          <t>33 x 30 cm</t>
        </is>
      </c>
      <c r="AF426" s="4" t="inlineStr">
        <is>
          <t>ancho_cm: 30 · piezas_m2: 11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33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1349.37</v>
      </c>
      <c r="L427" s="6" t="n">
        <v>325</v>
      </c>
      <c r="M427" s="6" t="n">
        <v>4021.38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U427" s="7" t="n">
        <v>33</v>
      </c>
      <c r="V427" s="7" t="inlineStr">
        <is>
          <t>33 x 33 cm</t>
        </is>
      </c>
      <c r="AF427" s="4" t="inlineStr">
        <is>
          <t>ancho_cm: 33 · piezas_m2: 9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40 x 10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2768.79</v>
      </c>
      <c r="L428" s="6" t="n">
        <v>2568.55</v>
      </c>
      <c r="M428" s="6" t="n">
        <v>3442.07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</t>
        </is>
      </c>
      <c r="V428" s="7" t="inlineStr">
        <is>
          <t>40 x 10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45 x 30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650</v>
      </c>
      <c r="L429" s="6" t="n">
        <v>650</v>
      </c>
      <c r="M429" s="6" t="n">
        <v>650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V429" s="7" t="inlineStr">
        <is>
          <t>45 x 30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45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789.64</v>
      </c>
      <c r="L430" s="6" t="n">
        <v>789.64</v>
      </c>
      <c r="M430" s="6" t="n">
        <v>789.64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U430" s="7" t="n">
        <v>45</v>
      </c>
      <c r="V430" s="7" t="inlineStr">
        <is>
          <t>45 x 45 cm</t>
        </is>
      </c>
      <c r="AF430" s="4" t="inlineStr">
        <is>
          <t>ancho_cm: 45 · piezas_m2: 4.93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5 x 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790</v>
      </c>
      <c r="L431" s="6" t="n">
        <v>590</v>
      </c>
      <c r="M431" s="6" t="n">
        <v>790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La Ibérica</t>
        </is>
      </c>
      <c r="V431" s="7" t="inlineStr">
        <is>
          <t>5 x 5 cm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60 x 15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3110.82</v>
      </c>
      <c r="L432" s="6" t="n">
        <v>2290.15</v>
      </c>
      <c r="M432" s="6" t="n">
        <v>3998.02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60 x 15 cm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20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743.62</v>
      </c>
      <c r="L433" s="6" t="n">
        <v>743.62</v>
      </c>
      <c r="M433" s="6" t="n">
        <v>743.62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U433" s="7" t="n">
        <v>60</v>
      </c>
      <c r="V433" s="7" t="inlineStr">
        <is>
          <t>60 x 20 cm</t>
        </is>
      </c>
      <c r="AF433" s="4" t="inlineStr">
        <is>
          <t>ancho_cm: 20 · piezas_m2: 8.33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7.5 x 7.5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1771.16</v>
      </c>
      <c r="L434" s="6" t="n">
        <v>1716.64</v>
      </c>
      <c r="M434" s="6" t="n">
        <v>1784.58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V434" s="7" t="inlineStr">
        <is>
          <t>7.5 x 7.5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Peldaño cerámico recto, 120 x 30 cm</t>
        </is>
      </c>
      <c r="E435" s="4" t="inlineStr"/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2028.35</v>
      </c>
      <c r="L435" s="6" t="n">
        <v>1719.56</v>
      </c>
      <c r="M435" s="6" t="n">
        <v>2179.25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U435" s="7" t="n">
        <v>120</v>
      </c>
      <c r="V435" s="7" t="inlineStr">
        <is>
          <t>120 x 30 cm</t>
        </is>
      </c>
      <c r="AF435" s="4" t="inlineStr">
        <is>
          <t>ancho_cm: 30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33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2</v>
      </c>
      <c r="K436" s="6" t="n">
        <v>5478.1</v>
      </c>
      <c r="L436" s="6" t="n">
        <v>3607.11</v>
      </c>
      <c r="M436" s="6" t="n">
        <v>9990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Ochoa (8A) · La Ibérica</t>
        </is>
      </c>
      <c r="U436" s="7" t="n">
        <v>120</v>
      </c>
      <c r="V436" s="7" t="inlineStr">
        <is>
          <t>120 x 33 cm</t>
        </is>
      </c>
      <c r="AF436" s="4" t="inlineStr">
        <is>
          <t>ancho_cm: 33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Set de huella y contrahuella, 1 cm</t>
        </is>
      </c>
      <c r="E437" s="4" t="inlineStr"/>
      <c r="F437" s="3" t="inlineStr">
        <is>
          <t>juego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1427.79</v>
      </c>
      <c r="L437" s="6" t="n">
        <v>1266.29</v>
      </c>
      <c r="M437" s="6" t="n">
        <v>1547.92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U437" s="7" t="n">
        <v>1</v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120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1218.66</v>
      </c>
      <c r="L438" s="6" t="n">
        <v>1170.21</v>
      </c>
      <c r="M438" s="6" t="n">
        <v>1267.1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120</v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Borde para peldaño, 70 cm</t>
        </is>
      </c>
      <c r="E439" s="4" t="inlineStr"/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443.77</v>
      </c>
      <c r="L439" s="6" t="n">
        <v>425.5</v>
      </c>
      <c r="M439" s="6" t="n">
        <v>453.27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70</v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Rodapié de cerámica</t>
        </is>
      </c>
      <c r="E440" s="4" t="inlineStr"/>
      <c r="F440" s="3" t="inlineStr">
        <is>
          <t>ml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189.99</v>
      </c>
      <c r="L440" s="6" t="n">
        <v>189.99</v>
      </c>
      <c r="M440" s="6" t="n">
        <v>189.99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F440" s="4" t="inlineStr">
        <is>
          <t>material: cerámica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mármol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1395.33</v>
      </c>
      <c r="L441" s="6" t="n">
        <v>1395.33</v>
      </c>
      <c r="M441" s="6" t="n">
        <v>1395.33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F441" s="4" t="inlineStr">
        <is>
          <t>material: mármol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vinil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552.91</v>
      </c>
      <c r="L442" s="6" t="n">
        <v>442.88</v>
      </c>
      <c r="M442" s="6" t="n">
        <v>640.8099999999999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</t>
        </is>
      </c>
      <c r="AF442" s="4" t="inlineStr">
        <is>
          <t>material: vinil</t>
        </is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Perfil de canto de acero inoxidable, 10 mm</t>
        </is>
      </c>
      <c r="E443" s="4" t="inlineStr">
        <is>
          <t>Tramo de 2.5 a 2.6 m</t>
        </is>
      </c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2878.24</v>
      </c>
      <c r="L443" s="6" t="n">
        <v>2492.8</v>
      </c>
      <c r="M443" s="6" t="n">
        <v>3263.69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F443" s="4" t="inlineStr">
        <is>
          <t>tipo: canto · material: acero inoxidable · medida_mm: 10</t>
        </is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12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844.55</v>
      </c>
      <c r="L444" s="6" t="n">
        <v>832.63</v>
      </c>
      <c r="M444" s="6" t="n">
        <v>845.21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  <c r="AF444" s="4" t="inlineStr">
        <is>
          <t>tipo: canto · material: acero inoxidable · medida_mm: 12</t>
        </is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12.5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3418.96</v>
      </c>
      <c r="L445" s="6" t="n">
        <v>3418.96</v>
      </c>
      <c r="M445" s="6" t="n">
        <v>3418.96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</t>
        </is>
      </c>
      <c r="AF445" s="4" t="inlineStr">
        <is>
          <t>tipo: canto · material: acero inoxidable · medida_mm: 12.5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aluminio, 10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3</v>
      </c>
      <c r="K446" s="6" t="n">
        <v>1574.47</v>
      </c>
      <c r="L446" s="6" t="n">
        <v>573.59</v>
      </c>
      <c r="M446" s="6" t="n">
        <v>2100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 · La Ibérica</t>
        </is>
      </c>
      <c r="AF446" s="4" t="inlineStr">
        <is>
          <t>tipo: canto · material: aluminio · medida_mm: 10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12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2100</v>
      </c>
      <c r="L447" s="6" t="n">
        <v>521.95</v>
      </c>
      <c r="M447" s="6" t="n">
        <v>5549.99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F447" s="4" t="inlineStr">
        <is>
          <t>tipo: canto · material: aluminio · medida_mm: 12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12.5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2241.28</v>
      </c>
      <c r="L448" s="6" t="n">
        <v>2100</v>
      </c>
      <c r="M448" s="6" t="n">
        <v>2560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La Ibérica</t>
        </is>
      </c>
      <c r="AF448" s="4" t="inlineStr">
        <is>
          <t>tipo: canto · material: aluminio · medida_mm: 12.5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13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1699.99</v>
      </c>
      <c r="L449" s="6" t="n">
        <v>1699.99</v>
      </c>
      <c r="M449" s="6" t="n">
        <v>1699.99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F449" s="4" t="inlineStr">
        <is>
          <t>tipo: canto · material: aluminio · medida_mm: 13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2.7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2500</v>
      </c>
      <c r="L450" s="6" t="n">
        <v>2500</v>
      </c>
      <c r="M450" s="6" t="n">
        <v>2500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F450" s="4" t="inlineStr">
        <is>
          <t>tipo: canto · material: aluminio · medida_mm: 2.7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1024.48</v>
      </c>
      <c r="L451" s="6" t="n">
        <v>775.1900000000001</v>
      </c>
      <c r="M451" s="6" t="n">
        <v>1273.77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F451" s="4" t="inlineStr">
        <is>
          <t>tipo: canto · material: aluminio · medida_mm: 20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25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2161.21</v>
      </c>
      <c r="L452" s="6" t="n">
        <v>627.91</v>
      </c>
      <c r="M452" s="6" t="n">
        <v>4290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25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70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4875</v>
      </c>
      <c r="L453" s="6" t="n">
        <v>3400</v>
      </c>
      <c r="M453" s="6" t="n">
        <v>6349.99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70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9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1189.99</v>
      </c>
      <c r="L454" s="6" t="n">
        <v>1189.99</v>
      </c>
      <c r="M454" s="6" t="n">
        <v>1189.99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9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fibra vegetal, 10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396.66</v>
      </c>
      <c r="L455" s="6" t="n">
        <v>365.33</v>
      </c>
      <c r="M455" s="6" t="n">
        <v>417.52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F455" s="4" t="inlineStr">
        <is>
          <t>tipo: canto · material: fibra vegetal · medida_mm: 10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latón,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3254.44</v>
      </c>
      <c r="L456" s="6" t="n">
        <v>3254.44</v>
      </c>
      <c r="M456" s="6" t="n">
        <v>3254.44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2026-09-10</t>
        </is>
      </c>
      <c r="Q456" s="4" t="inlineStr">
        <is>
          <t>La Ibérica</t>
        </is>
      </c>
      <c r="AF456" s="4" t="inlineStr">
        <is>
          <t>tipo: canto · material: latón · medida_mm: 10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PVC,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391.85</v>
      </c>
      <c r="L457" s="6" t="n">
        <v>344.42</v>
      </c>
      <c r="M457" s="6" t="n">
        <v>590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La Ibérica</t>
        </is>
      </c>
      <c r="AF457" s="4" t="inlineStr">
        <is>
          <t>tipo: canto · material: PVC · medida_mm: 10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5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67.81999999999999</v>
      </c>
      <c r="L458" s="6" t="n">
        <v>66.68000000000001</v>
      </c>
      <c r="M458" s="6" t="n">
        <v>68.95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  <c r="AF458" s="4" t="inlineStr">
        <is>
          <t>tipo: canto · material: PVC · medida_mm: 5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8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248</v>
      </c>
      <c r="L459" s="6" t="n">
        <v>248</v>
      </c>
      <c r="M459" s="6" t="n">
        <v>248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Cima</t>
        </is>
      </c>
      <c r="AF459" s="4" t="inlineStr">
        <is>
          <t>tipo: canto · material: PVC · medida_mm: 8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8.5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68.95</v>
      </c>
      <c r="L460" s="6" t="n">
        <v>66.61</v>
      </c>
      <c r="M460" s="6" t="n">
        <v>224.99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Ferretería Ochoa (8A) · La Ibérica</t>
        </is>
      </c>
      <c r="AF460" s="4" t="inlineStr">
        <is>
          <t>tipo: canto · material: PVC · medida_mm: 8.5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Junta de dilatación de aluminio, 12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7649.35</v>
      </c>
      <c r="L461" s="6" t="n">
        <v>5822.12</v>
      </c>
      <c r="M461" s="6" t="n">
        <v>9476.58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dilatacion · material: aluminio · medida_mm: 12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14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1589.99</v>
      </c>
      <c r="L462" s="6" t="n">
        <v>1589.99</v>
      </c>
      <c r="M462" s="6" t="n">
        <v>1589.99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F462" s="4" t="inlineStr">
        <is>
          <t>tipo: dilatacion · material: aluminio · medida_mm: 14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26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6400</v>
      </c>
      <c r="L463" s="6" t="n">
        <v>6400</v>
      </c>
      <c r="M463" s="6" t="n">
        <v>6400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F463" s="4" t="inlineStr">
        <is>
          <t>tipo: dilatacion · material: aluminio · medida_mm: 26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PVC, 25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1100</v>
      </c>
      <c r="L464" s="6" t="n">
        <v>1100</v>
      </c>
      <c r="M464" s="6" t="n">
        <v>1100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F464" s="4" t="inlineStr">
        <is>
          <t>tipo: dilatacion · material: PVC · medida_mm: 25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8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720</v>
      </c>
      <c r="L465" s="6" t="n">
        <v>490</v>
      </c>
      <c r="M465" s="6" t="n">
        <v>949.99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F465" s="4" t="inlineStr">
        <is>
          <t>tipo: dilatacion · material: PVC · medida_mm: 8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Perfil de peldaño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3592.5</v>
      </c>
      <c r="L466" s="6" t="n">
        <v>2190</v>
      </c>
      <c r="M466" s="6" t="n">
        <v>4995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peldano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48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6525</v>
      </c>
      <c r="L467" s="6" t="n">
        <v>6525</v>
      </c>
      <c r="M467" s="6" t="n">
        <v>6525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peldano · material: aluminio · medida_mm: 48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65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4893.46</v>
      </c>
      <c r="L468" s="6" t="n">
        <v>4893.46</v>
      </c>
      <c r="M468" s="6" t="n">
        <v>4893.46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peldano · material: aluminio · medida_mm: 65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Cruceta para cerámica 1.5 mm, funda de 100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2</v>
      </c>
      <c r="K469" s="6" t="n">
        <v>73.92</v>
      </c>
      <c r="L469" s="6" t="n">
        <v>47.83</v>
      </c>
      <c r="M469" s="6" t="n">
        <v>100.01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Ferretería Ochoa (8A) · La Ibérica</t>
        </is>
      </c>
      <c r="T469" s="7" t="n">
        <v>100</v>
      </c>
      <c r="AF469" s="4" t="inlineStr">
        <is>
          <t>espesor_mm: 1.5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250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114.99</v>
      </c>
      <c r="L470" s="6" t="n">
        <v>114.99</v>
      </c>
      <c r="M470" s="6" t="n">
        <v>114.99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T470" s="7" t="n">
        <v>250</v>
      </c>
      <c r="AF470" s="4" t="inlineStr">
        <is>
          <t>espesor_mm: 1.5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300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2</v>
      </c>
      <c r="K471" s="6" t="n">
        <v>281.88</v>
      </c>
      <c r="L471" s="6" t="n">
        <v>165</v>
      </c>
      <c r="M471" s="6" t="n">
        <v>330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Cima · Ferretería Ochoa (8A)</t>
        </is>
      </c>
      <c r="T471" s="7" t="n">
        <v>300</v>
      </c>
      <c r="AF471" s="4" t="inlineStr">
        <is>
          <t>espesor_mm: 1.5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 mm, funda de 100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42.56</v>
      </c>
      <c r="L472" s="6" t="n">
        <v>42.56</v>
      </c>
      <c r="M472" s="6" t="n">
        <v>42.56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  <c r="T472" s="7" t="n">
        <v>100</v>
      </c>
      <c r="AF472" s="4" t="inlineStr">
        <is>
          <t>espesor_mm: 1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300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10608.65</v>
      </c>
      <c r="L473" s="6" t="n">
        <v>10608.65</v>
      </c>
      <c r="M473" s="6" t="n">
        <v>10608.65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300</v>
      </c>
      <c r="AF473" s="4" t="inlineStr">
        <is>
          <t>espesor_mm: 1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2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76.16</v>
      </c>
      <c r="L474" s="6" t="n">
        <v>52.3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2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300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12274.78</v>
      </c>
      <c r="L475" s="6" t="n">
        <v>12274.78</v>
      </c>
      <c r="M475" s="6" t="n">
        <v>12274.78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  <c r="T475" s="7" t="n">
        <v>300</v>
      </c>
      <c r="AF475" s="4" t="inlineStr">
        <is>
          <t>espesor_mm: 2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500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374.71</v>
      </c>
      <c r="L476" s="6" t="n">
        <v>372.08</v>
      </c>
      <c r="M476" s="6" t="n">
        <v>377.35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</t>
        </is>
      </c>
      <c r="T476" s="7" t="n">
        <v>500</v>
      </c>
      <c r="AF476" s="4" t="inlineStr">
        <is>
          <t>espesor_mm: 2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3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61.54</v>
      </c>
      <c r="L477" s="6" t="n">
        <v>61.54</v>
      </c>
      <c r="M477" s="6" t="n">
        <v>61.54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3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200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252.59</v>
      </c>
      <c r="L478" s="6" t="n">
        <v>249.99</v>
      </c>
      <c r="M478" s="6" t="n">
        <v>340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Ferretería Cima · Ferretería Ochoa (8A) · La Ibérica</t>
        </is>
      </c>
      <c r="T478" s="7" t="n">
        <v>200</v>
      </c>
      <c r="AF478" s="4" t="inlineStr">
        <is>
          <t>espesor_mm: 3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4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72.83</v>
      </c>
      <c r="L479" s="6" t="n">
        <v>72.83</v>
      </c>
      <c r="M479" s="6" t="n">
        <v>72.83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  <c r="T479" s="7" t="n">
        <v>100</v>
      </c>
      <c r="AF479" s="4" t="inlineStr">
        <is>
          <t>espesor_mm: 4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200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7235.96</v>
      </c>
      <c r="L480" s="6" t="n">
        <v>7235.96</v>
      </c>
      <c r="M480" s="6" t="n">
        <v>7235.96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200</v>
      </c>
      <c r="AF480" s="4" t="inlineStr">
        <is>
          <t>espesor_mm: 4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5 mm, funda de 100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2</v>
      </c>
      <c r="K481" s="6" t="n">
        <v>235.54</v>
      </c>
      <c r="L481" s="6" t="n">
        <v>81.06999999999999</v>
      </c>
      <c r="M481" s="6" t="n">
        <v>390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 · Ferretería Ochoa (8A)</t>
        </is>
      </c>
      <c r="T481" s="7" t="n">
        <v>100</v>
      </c>
      <c r="AF481" s="4" t="inlineStr">
        <is>
          <t>espesor_mm: 5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6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78.89</v>
      </c>
      <c r="L482" s="6" t="n">
        <v>78.89</v>
      </c>
      <c r="M482" s="6" t="n">
        <v>78.89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6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Calzo de nivelación para cerámica 0.5 mm</t>
        </is>
      </c>
      <c r="E483" s="4" t="inlineStr">
        <is>
          <t>La medida es la junta · la cuña va aparte</t>
        </is>
      </c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919.9400000000001</v>
      </c>
      <c r="L483" s="6" t="n">
        <v>919.9400000000001</v>
      </c>
      <c r="M483" s="6" t="n">
        <v>919.9400000000001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AF483" s="4" t="inlineStr">
        <is>
          <t>pieza: calzo · espesor_mm: 0.5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1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3</v>
      </c>
      <c r="K484" s="6" t="n">
        <v>767.39</v>
      </c>
      <c r="L484" s="6" t="n">
        <v>476.91</v>
      </c>
      <c r="M484" s="6" t="n">
        <v>1490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2026-09-10</t>
        </is>
      </c>
      <c r="Q484" s="4" t="inlineStr">
        <is>
          <t>CerArte · Ferretería Ochoa (8A) · La Ibérica</t>
        </is>
      </c>
      <c r="AF484" s="4" t="inlineStr">
        <is>
          <t>pieza: calzo · espesor_mm: 1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1.5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487.49</v>
      </c>
      <c r="L485" s="6" t="n">
        <v>457.8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F485" s="4" t="inlineStr">
        <is>
          <t>pieza: calzo · espesor_mm: 1.5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2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1058.7</v>
      </c>
      <c r="L486" s="6" t="n">
        <v>476.91</v>
      </c>
      <c r="M486" s="6" t="n">
        <v>1789.99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F486" s="4" t="inlineStr">
        <is>
          <t>pieza: calzo · espesor_mm: 2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3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2</v>
      </c>
      <c r="K487" s="6" t="n">
        <v>655.48</v>
      </c>
      <c r="L487" s="6" t="n">
        <v>437.5</v>
      </c>
      <c r="M487" s="6" t="n">
        <v>873.47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</t>
        </is>
      </c>
      <c r="AF487" s="4" t="inlineStr">
        <is>
          <t>pieza: calzo · espesor_mm: 3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Clip de nivelación para cerámica 1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1094.69</v>
      </c>
      <c r="L488" s="6" t="n">
        <v>144.94</v>
      </c>
      <c r="M488" s="6" t="n">
        <v>3405.96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F488" s="4" t="inlineStr">
        <is>
          <t>pieza: clip · espesor_mm: 1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1.5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219.97</v>
      </c>
      <c r="L489" s="6" t="n">
        <v>144.94</v>
      </c>
      <c r="M489" s="6" t="n">
        <v>295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Ferretería Ochoa (8A) · La Ibérica</t>
        </is>
      </c>
      <c r="AF489" s="4" t="inlineStr">
        <is>
          <t>pieza: clip · espesor_mm: 1.5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2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1768.33</v>
      </c>
      <c r="L490" s="6" t="n">
        <v>144.94</v>
      </c>
      <c r="M490" s="6" t="n">
        <v>3405.96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 · La Ibérica</t>
        </is>
      </c>
      <c r="AF490" s="4" t="inlineStr">
        <is>
          <t>pieza: clip · espesor_mm: 2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3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1758.39</v>
      </c>
      <c r="L491" s="6" t="n">
        <v>478.62</v>
      </c>
      <c r="M491" s="6" t="n">
        <v>3038.16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</t>
        </is>
      </c>
      <c r="AF491" s="4" t="inlineStr">
        <is>
          <t>pieza: clip · espesor_mm: 3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Cuña de nivelación para cerámica</t>
        </is>
      </c>
      <c r="E492" s="4" t="inlineStr">
        <is>
          <t>Aprieta calzos y clips de cualquier junta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602.14</v>
      </c>
      <c r="L492" s="6" t="n">
        <v>358.87</v>
      </c>
      <c r="M492" s="6" t="n">
        <v>845.41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  <c r="AF492" s="4" t="inlineStr">
        <is>
          <t>pieza: cuna · espesor_mm: 0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Deck de WPC para exterior, 25 mm</t>
        </is>
      </c>
      <c r="E493" s="4" t="inlineStr">
        <is>
          <t>Tabla de madera plástica, para intemperie</t>
        </is>
      </c>
      <c r="F493" s="3" t="inlineStr">
        <is>
          <t>m²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3201.97</v>
      </c>
      <c r="L493" s="6" t="n">
        <v>3201.97</v>
      </c>
      <c r="M493" s="6" t="n">
        <v>3201.97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Hogardeco</t>
        </is>
      </c>
      <c r="AE493" s="7" t="inlineStr">
        <is>
          <t>exterior</t>
        </is>
      </c>
      <c r="AF493" s="4" t="inlineStr">
        <is>
          <t>espesor_mm: 25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Piso vinílico, 5.2 mm</t>
        </is>
      </c>
      <c r="E494" s="4" t="inlineStr"/>
      <c r="F494" s="3" t="inlineStr">
        <is>
          <t>m²</t>
        </is>
      </c>
      <c r="G494" s="3" t="inlineStr">
        <is>
          <t>Pisos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1411.66</v>
      </c>
      <c r="L494" s="6" t="n">
        <v>1411.66</v>
      </c>
      <c r="M494" s="6" t="n">
        <v>1411.66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2026-09-10</t>
        </is>
      </c>
      <c r="Q494" s="4" t="inlineStr">
        <is>
          <t>Hogardeco</t>
        </is>
      </c>
      <c r="AE494" s="7" t="inlineStr">
        <is>
          <t>interior</t>
        </is>
      </c>
      <c r="AF494" s="4" t="inlineStr">
        <is>
          <t>espesor_mm: 5.2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Piso vinílico, 6 mm</t>
        </is>
      </c>
      <c r="E495" s="4" t="inlineStr"/>
      <c r="F495" s="3" t="inlineStr">
        <is>
          <t>m²</t>
        </is>
      </c>
      <c r="G495" s="3" t="inlineStr">
        <is>
          <t>Pisos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1411.66</v>
      </c>
      <c r="L495" s="6" t="n">
        <v>1411.66</v>
      </c>
      <c r="M495" s="6" t="n">
        <v>1411.66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2026-09-10</t>
        </is>
      </c>
      <c r="Q495" s="4" t="inlineStr">
        <is>
          <t>Hogardeco</t>
        </is>
      </c>
      <c r="AE495" s="7" t="inlineStr">
        <is>
          <t>interior</t>
        </is>
      </c>
      <c r="AF495" s="4" t="inlineStr">
        <is>
          <t>espesor_mm: 6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Panel de vinil para pared, 4.5 mm</t>
        </is>
      </c>
      <c r="E496" s="4" t="inlineStr"/>
      <c r="F496" s="3" t="inlineStr">
        <is>
          <t>m²</t>
        </is>
      </c>
      <c r="G496" s="3" t="inlineStr">
        <is>
          <t>Pisos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1537.07</v>
      </c>
      <c r="L496" s="6" t="n">
        <v>1012.06</v>
      </c>
      <c r="M496" s="6" t="n">
        <v>1537.07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2026-09-10</t>
        </is>
      </c>
      <c r="Q496" s="4" t="inlineStr">
        <is>
          <t>CerArte</t>
        </is>
      </c>
      <c r="AE496" s="7" t="inlineStr">
        <is>
          <t>pared</t>
        </is>
      </c>
      <c r="AF496" s="4" t="inlineStr">
        <is>
          <t>espesor_mm: 4.5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cuadrado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874.38</v>
      </c>
      <c r="L497" s="6" t="n">
        <v>874.38</v>
      </c>
      <c r="M497" s="6" t="n">
        <v>874.38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tipo: cuadrado · piezas_m2: 6.25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Adoquín de hormigón tipo flecha</t>
        </is>
      </c>
      <c r="E498" s="4" t="inlineStr"/>
      <c r="F498" s="3" t="inlineStr">
        <is>
          <t>m²</t>
        </is>
      </c>
      <c r="G498" s="3" t="inlineStr">
        <is>
          <t>Exteriores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812.28</v>
      </c>
      <c r="L498" s="6" t="n">
        <v>812.28</v>
      </c>
      <c r="M498" s="6" t="n">
        <v>812.28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  <c r="AF498" s="4" t="inlineStr">
        <is>
          <t>tipo: flecha · piezas_m2: 42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Adoquín de hormigón tipo ladrillo</t>
        </is>
      </c>
      <c r="E499" s="4" t="inlineStr"/>
      <c r="F499" s="3" t="inlineStr">
        <is>
          <t>m²</t>
        </is>
      </c>
      <c r="G499" s="3" t="inlineStr">
        <is>
          <t>Exteriores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850</v>
      </c>
      <c r="L499" s="6" t="n">
        <v>850</v>
      </c>
      <c r="M499" s="6" t="n">
        <v>850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  <c r="AF499" s="4" t="inlineStr">
        <is>
          <t>tipo: ladrillo · piezas_m2: 50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Adoquín de hormigón tipo raqueta</t>
        </is>
      </c>
      <c r="E500" s="4" t="inlineStr"/>
      <c r="F500" s="3" t="inlineStr">
        <is>
          <t>m²</t>
        </is>
      </c>
      <c r="G500" s="3" t="inlineStr">
        <is>
          <t>Exteriores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872.87</v>
      </c>
      <c r="L500" s="6" t="n">
        <v>872.87</v>
      </c>
      <c r="M500" s="6" t="n">
        <v>872.87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  <c r="AF500" s="4" t="inlineStr">
        <is>
          <t>tipo: raqueta · piezas_m2: 38.25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amarillo comercial,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55.94</v>
      </c>
      <c r="L501" s="6" t="n">
        <v>55.94</v>
      </c>
      <c r="M501" s="6" t="n">
        <v>55.94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amarillo industrial,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premium</t>
        </is>
      </c>
      <c r="I502" s="3" t="inlineStr">
        <is>
          <t>importado</t>
        </is>
      </c>
      <c r="J502" s="5" t="n">
        <v>1</v>
      </c>
      <c r="K502" s="6" t="n">
        <v>153.81</v>
      </c>
      <c r="L502" s="6" t="n">
        <v>153.81</v>
      </c>
      <c r="M502" s="6" t="n">
        <v>153.81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azul comercial,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82.72</v>
      </c>
      <c r="L503" s="6" t="n">
        <v>82.72</v>
      </c>
      <c r="M503" s="6" t="n">
        <v>82.72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azul industrial,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premium</t>
        </is>
      </c>
      <c r="I504" s="3" t="inlineStr">
        <is>
          <t>importado</t>
        </is>
      </c>
      <c r="J504" s="5" t="n">
        <v>1</v>
      </c>
      <c r="K504" s="6" t="n">
        <v>162.49</v>
      </c>
      <c r="L504" s="6" t="n">
        <v>162.49</v>
      </c>
      <c r="M504" s="6" t="n">
        <v>162.49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negro comercial,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90.79000000000001</v>
      </c>
      <c r="L505" s="6" t="n">
        <v>90.79000000000001</v>
      </c>
      <c r="M505" s="6" t="n">
        <v>90.79000000000001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negro industrial,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premium</t>
        </is>
      </c>
      <c r="I506" s="3" t="inlineStr">
        <is>
          <t>importado</t>
        </is>
      </c>
      <c r="J506" s="5" t="n">
        <v>1</v>
      </c>
      <c r="K506" s="6" t="n">
        <v>129.29</v>
      </c>
      <c r="L506" s="6" t="n">
        <v>129.29</v>
      </c>
      <c r="M506" s="6" t="n">
        <v>129.29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rojo comercial,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66.5</v>
      </c>
      <c r="L507" s="6" t="n">
        <v>66.5</v>
      </c>
      <c r="M507" s="6" t="n">
        <v>66.5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rojo industrial, 1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106.37</v>
      </c>
      <c r="L508" s="6" t="n">
        <v>106.37</v>
      </c>
      <c r="M508" s="6" t="n">
        <v>106.37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verde comercial, 1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78.84</v>
      </c>
      <c r="L509" s="6" t="n">
        <v>78.84</v>
      </c>
      <c r="M509" s="6" t="n">
        <v>78.84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verde industrial, 1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premium</t>
        </is>
      </c>
      <c r="I510" s="3" t="inlineStr">
        <is>
          <t>importado</t>
        </is>
      </c>
      <c r="J510" s="5" t="n">
        <v>1</v>
      </c>
      <c r="K510" s="6" t="n">
        <v>180.39</v>
      </c>
      <c r="L510" s="6" t="n">
        <v>180.39</v>
      </c>
      <c r="M510" s="6" t="n">
        <v>180.39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amarillo industrial, 3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460.92</v>
      </c>
      <c r="L511" s="6" t="n">
        <v>460.92</v>
      </c>
      <c r="M511" s="6" t="n">
        <v>460.92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amarillo comercial,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280.64</v>
      </c>
      <c r="L512" s="6" t="n">
        <v>280.64</v>
      </c>
      <c r="M512" s="6" t="n">
        <v>280.64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azul comercial,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367.96</v>
      </c>
      <c r="L513" s="6" t="n">
        <v>367.96</v>
      </c>
      <c r="M513" s="6" t="n">
        <v>367.96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azul industrial,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premium</t>
        </is>
      </c>
      <c r="I514" s="3" t="inlineStr">
        <is>
          <t>importado</t>
        </is>
      </c>
      <c r="J514" s="5" t="n">
        <v>1</v>
      </c>
      <c r="K514" s="6" t="n">
        <v>813.47</v>
      </c>
      <c r="L514" s="6" t="n">
        <v>813.47</v>
      </c>
      <c r="M514" s="6" t="n">
        <v>813.47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negro comercial,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406.73</v>
      </c>
      <c r="L515" s="6" t="n">
        <v>406.73</v>
      </c>
      <c r="M515" s="6" t="n">
        <v>406.73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negro industrial,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premium</t>
        </is>
      </c>
      <c r="I516" s="3" t="inlineStr">
        <is>
          <t>importado</t>
        </is>
      </c>
      <c r="J516" s="5" t="n">
        <v>1</v>
      </c>
      <c r="K516" s="6" t="n">
        <v>647.51</v>
      </c>
      <c r="L516" s="6" t="n">
        <v>647.51</v>
      </c>
      <c r="M516" s="6" t="n">
        <v>647.51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rojo comercial,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333.56</v>
      </c>
      <c r="L517" s="6" t="n">
        <v>333.56</v>
      </c>
      <c r="M517" s="6" t="n">
        <v>333.56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rojo industrial, 5 lb</t>
        </is>
      </c>
      <c r="E518" s="4" t="inlineStr"/>
      <c r="F518" s="3" t="inlineStr">
        <is>
          <t>unidad</t>
        </is>
      </c>
      <c r="G518" s="3" t="inlineStr">
        <is>
          <t>Pisos</t>
        </is>
      </c>
      <c r="H518" s="3" t="inlineStr">
        <is>
          <t>premium</t>
        </is>
      </c>
      <c r="I518" s="3" t="inlineStr">
        <is>
          <t>importado</t>
        </is>
      </c>
      <c r="J518" s="5" t="n">
        <v>1</v>
      </c>
      <c r="K518" s="6" t="n">
        <v>472.9</v>
      </c>
      <c r="L518" s="6" t="n">
        <v>472.9</v>
      </c>
      <c r="M518" s="6" t="n">
        <v>472.9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verde comercial, 5 lb</t>
        </is>
      </c>
      <c r="E519" s="4" t="inlineStr"/>
      <c r="F519" s="3" t="inlineStr">
        <is>
          <t>unidad</t>
        </is>
      </c>
      <c r="G519" s="3" t="inlineStr">
        <is>
          <t>Pisos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350.7</v>
      </c>
      <c r="L519" s="6" t="n">
        <v>350.7</v>
      </c>
      <c r="M519" s="6" t="n">
        <v>350.7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verde industrial, 5 lb</t>
        </is>
      </c>
      <c r="E520" s="4" t="inlineStr"/>
      <c r="F520" s="3" t="inlineStr">
        <is>
          <t>unidad</t>
        </is>
      </c>
      <c r="G520" s="3" t="inlineStr">
        <is>
          <t>Pisos</t>
        </is>
      </c>
      <c r="H520" s="3" t="inlineStr">
        <is>
          <t>premium</t>
        </is>
      </c>
      <c r="I520" s="3" t="inlineStr">
        <is>
          <t>importado</t>
        </is>
      </c>
      <c r="J520" s="5" t="n">
        <v>1</v>
      </c>
      <c r="K520" s="6" t="n">
        <v>902.88</v>
      </c>
      <c r="L520" s="6" t="n">
        <v>902.88</v>
      </c>
      <c r="M520" s="6" t="n">
        <v>902.88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amarillo comercial,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3195.68</v>
      </c>
      <c r="L521" s="6" t="n">
        <v>3195.68</v>
      </c>
      <c r="M521" s="6" t="n">
        <v>3195.68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amarillo industrial,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premium</t>
        </is>
      </c>
      <c r="I522" s="3" t="inlineStr">
        <is>
          <t>importado</t>
        </is>
      </c>
      <c r="J522" s="5" t="n">
        <v>1</v>
      </c>
      <c r="K522" s="6" t="n">
        <v>7742.13</v>
      </c>
      <c r="L522" s="6" t="n">
        <v>7742.13</v>
      </c>
      <c r="M522" s="6" t="n">
        <v>7742.13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azul comercial,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4220.23</v>
      </c>
      <c r="L523" s="6" t="n">
        <v>4220.23</v>
      </c>
      <c r="M523" s="6" t="n">
        <v>4220.23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azul industrial,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premium</t>
        </is>
      </c>
      <c r="I524" s="3" t="inlineStr">
        <is>
          <t>importado</t>
        </is>
      </c>
      <c r="J524" s="5" t="n">
        <v>1</v>
      </c>
      <c r="K524" s="6" t="n">
        <v>8183.45</v>
      </c>
      <c r="L524" s="6" t="n">
        <v>8183.45</v>
      </c>
      <c r="M524" s="6" t="n">
        <v>8183.45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negro comercial,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4640.79</v>
      </c>
      <c r="L525" s="6" t="n">
        <v>4640.79</v>
      </c>
      <c r="M525" s="6" t="n">
        <v>4640.79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negro industrial,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premium</t>
        </is>
      </c>
      <c r="I526" s="3" t="inlineStr">
        <is>
          <t>importado</t>
        </is>
      </c>
      <c r="J526" s="5" t="n">
        <v>1</v>
      </c>
      <c r="K526" s="6" t="n">
        <v>6521.15</v>
      </c>
      <c r="L526" s="6" t="n">
        <v>6521.15</v>
      </c>
      <c r="M526" s="6" t="n">
        <v>6521.15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rojo comercial,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3350.57</v>
      </c>
      <c r="L527" s="6" t="n">
        <v>3350.57</v>
      </c>
      <c r="M527" s="6" t="n">
        <v>3350.57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MAT-08-306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rojo industrial, 55 lb</t>
        </is>
      </c>
      <c r="E528" s="4" t="inlineStr"/>
      <c r="F528" s="3" t="inlineStr">
        <is>
          <t>funda</t>
        </is>
      </c>
      <c r="G528" s="3" t="inlineStr">
        <is>
          <t>Pisos</t>
        </is>
      </c>
      <c r="H528" s="3" t="inlineStr">
        <is>
          <t>premium</t>
        </is>
      </c>
      <c r="I528" s="3" t="inlineStr">
        <is>
          <t>importado</t>
        </is>
      </c>
      <c r="J528" s="5" t="n">
        <v>1</v>
      </c>
      <c r="K528" s="6" t="n">
        <v>5451.6</v>
      </c>
      <c r="L528" s="6" t="n">
        <v>5451.6</v>
      </c>
      <c r="M528" s="6" t="n">
        <v>5451.6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Ochoa (8A)</t>
        </is>
      </c>
    </row>
    <row r="529">
      <c r="A529" s="3" t="inlineStr">
        <is>
          <t>MAT-08-307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verde comercial, 55 lb</t>
        </is>
      </c>
      <c r="E529" s="4" t="inlineStr"/>
      <c r="F529" s="3" t="inlineStr">
        <is>
          <t>funda</t>
        </is>
      </c>
      <c r="G529" s="3" t="inlineStr">
        <is>
          <t>Pisos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4017.75</v>
      </c>
      <c r="L529" s="6" t="n">
        <v>4017.75</v>
      </c>
      <c r="M529" s="6" t="n">
        <v>4017.75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Ochoa (8A)</t>
        </is>
      </c>
    </row>
    <row r="530">
      <c r="A530" s="3" t="inlineStr">
        <is>
          <t>MAT-08-308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verde industrial, 55 lb</t>
        </is>
      </c>
      <c r="E530" s="4" t="inlineStr"/>
      <c r="F530" s="3" t="inlineStr">
        <is>
          <t>funda</t>
        </is>
      </c>
      <c r="G530" s="3" t="inlineStr">
        <is>
          <t>Pisos</t>
        </is>
      </c>
      <c r="H530" s="3" t="inlineStr">
        <is>
          <t>premium</t>
        </is>
      </c>
      <c r="I530" s="3" t="inlineStr">
        <is>
          <t>importado</t>
        </is>
      </c>
      <c r="J530" s="5" t="n">
        <v>1</v>
      </c>
      <c r="K530" s="6" t="n">
        <v>9092.93</v>
      </c>
      <c r="L530" s="6" t="n">
        <v>9092.93</v>
      </c>
      <c r="M530" s="6" t="n">
        <v>9092.93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Ochoa (8A)</t>
        </is>
      </c>
    </row>
    <row r="531">
      <c r="A531" s="3" t="inlineStr">
        <is>
          <t>MAT-09-009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Cabezal de ducha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6</v>
      </c>
      <c r="K531" s="6" t="n">
        <v>1642.45</v>
      </c>
      <c r="L531" s="6" t="n">
        <v>150</v>
      </c>
      <c r="M531" s="6" t="n">
        <v>169410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2026-09-11</t>
        </is>
      </c>
      <c r="Q531" s="4" t="inlineStr">
        <is>
          <t>Carabela · CerArte · Ferremix (Grupo Alterra) · Ferretería Cima · Ferretería Ochoa (8A) · La Ibérica</t>
        </is>
      </c>
    </row>
    <row r="532">
      <c r="A532" s="3" t="inlineStr">
        <is>
          <t>MAT-09-010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Ducha teléfono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685</v>
      </c>
      <c r="L532" s="6" t="n">
        <v>238.61</v>
      </c>
      <c r="M532" s="6" t="n">
        <v>19666.08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Bellón · CerArte · Ferremix (Grupo Alterra) · Ferretería Cima · Ferretería Ochoa (8A)</t>
        </is>
      </c>
    </row>
    <row r="533">
      <c r="A533" s="3" t="inlineStr">
        <is>
          <t>MAT-09-011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Columna de ducha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5</v>
      </c>
      <c r="K533" s="6" t="n">
        <v>20267.28</v>
      </c>
      <c r="L533" s="6" t="n">
        <v>900</v>
      </c>
      <c r="M533" s="6" t="n">
        <v>179163.01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2026-09-11</t>
        </is>
      </c>
      <c r="Q533" s="4" t="inlineStr">
        <is>
          <t>Carabela · CerArte · Ferretería Cima · Ferretería Ochoa (8A) · La Ibérica</t>
        </is>
      </c>
    </row>
    <row r="534">
      <c r="A534" s="3" t="inlineStr">
        <is>
          <t>MAT-09-012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Columna de ducha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2</v>
      </c>
      <c r="K534" s="6" t="n">
        <v>10189.3</v>
      </c>
      <c r="L534" s="6" t="n">
        <v>553.61</v>
      </c>
      <c r="M534" s="6" t="n">
        <v>29022.19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CerArte · Ferretería Ochoa (8A)</t>
        </is>
      </c>
    </row>
    <row r="535">
      <c r="A535" s="3" t="inlineStr">
        <is>
          <t>MAT-09-013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Brazo de ducha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6</v>
      </c>
      <c r="K535" s="6" t="n">
        <v>1557.65</v>
      </c>
      <c r="L535" s="6" t="n">
        <v>108.23</v>
      </c>
      <c r="M535" s="6" t="n">
        <v>10850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2026-09-11</t>
        </is>
      </c>
      <c r="Q535" s="4" t="inlineStr">
        <is>
          <t>Carabela · CerArte · Ferremix (Grupo Alterra) · Ferretería Cima · Ferretería Ochoa (8A) · La Ibérica</t>
        </is>
      </c>
    </row>
    <row r="536">
      <c r="A536" s="3" t="inlineStr">
        <is>
          <t>MAT-09-014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Mezcladora, de baño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6</v>
      </c>
      <c r="K536" s="6" t="n">
        <v>7635.64</v>
      </c>
      <c r="L536" s="6" t="n">
        <v>340</v>
      </c>
      <c r="M536" s="6" t="n">
        <v>83292.84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2026-09-11</t>
        </is>
      </c>
      <c r="Q536" s="4" t="inlineStr">
        <is>
          <t>Bellón · Carabela · CerArte · Ferremix (Grupo Alterra) · Ferretería Cima · La Ibérica</t>
        </is>
      </c>
      <c r="AE536" s="7" t="inlineStr">
        <is>
          <t>bano</t>
        </is>
      </c>
      <c r="AF536" s="4" t="inlineStr">
        <is>
          <t>Activación: manual</t>
        </is>
      </c>
    </row>
    <row r="537">
      <c r="A537" s="3" t="inlineStr">
        <is>
          <t>MAT-09-015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Mezcladora, de baño, con sensor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4</v>
      </c>
      <c r="K537" s="6" t="n">
        <v>6437.22</v>
      </c>
      <c r="L537" s="6" t="n">
        <v>740</v>
      </c>
      <c r="M537" s="6" t="n">
        <v>38069.93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Bellón · CerArte · Ferremix (Grupo Alterra) · La Ibérica</t>
        </is>
      </c>
      <c r="AE537" s="7" t="inlineStr">
        <is>
          <t>bano</t>
        </is>
      </c>
      <c r="AF537" s="4" t="inlineStr">
        <is>
          <t>Activación: sensor</t>
        </is>
      </c>
    </row>
    <row r="538">
      <c r="A538" s="3" t="inlineStr">
        <is>
          <t>MAT-09-016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Mezcladora, de fregadero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6</v>
      </c>
      <c r="K538" s="6" t="n">
        <v>3921.51</v>
      </c>
      <c r="L538" s="6" t="n">
        <v>230</v>
      </c>
      <c r="M538" s="6" t="n">
        <v>86350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2026-09-11</t>
        </is>
      </c>
      <c r="Q538" s="4" t="inlineStr">
        <is>
          <t>Bellón · Carabela · CerArte · Ferremix (Grupo Alterra) · Ferretería Cima · La Ibérica</t>
        </is>
      </c>
      <c r="AE538" s="7" t="inlineStr">
        <is>
          <t>fregadero</t>
        </is>
      </c>
      <c r="AF538" s="4" t="inlineStr">
        <is>
          <t>Activación: manual</t>
        </is>
      </c>
    </row>
    <row r="539">
      <c r="A539" s="3" t="inlineStr">
        <is>
          <t>MAT-09-017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Mezcladora de ducha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7</v>
      </c>
      <c r="K539" s="6" t="n">
        <v>10458.36</v>
      </c>
      <c r="L539" s="6" t="n">
        <v>945</v>
      </c>
      <c r="M539" s="6" t="n">
        <v>92472.53999999999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2026-09-11</t>
        </is>
      </c>
      <c r="Q539" s="4" t="inlineStr">
        <is>
          <t>Bellón · Carabela · CerArte · Ferremix (Grupo Alterra) · Ferretería Cima · Ferretería Ochoa (8A) · La Ibérica</t>
        </is>
      </c>
    </row>
    <row r="540">
      <c r="A540" s="3" t="inlineStr">
        <is>
          <t>MAT-09-018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Manguera para ducha teléfono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3</v>
      </c>
      <c r="K540" s="6" t="n">
        <v>747.45</v>
      </c>
      <c r="L540" s="6" t="n">
        <v>256.18</v>
      </c>
      <c r="M540" s="6" t="n">
        <v>2460.71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2026-09-10</t>
        </is>
      </c>
      <c r="Q540" s="4" t="inlineStr">
        <is>
          <t>CerArte · Ferretería Cima · Ferretería Ochoa (8A)</t>
        </is>
      </c>
    </row>
    <row r="541">
      <c r="A541" s="3" t="inlineStr">
        <is>
          <t>MAT-09-019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Regulador de gas de doble tanque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1139</v>
      </c>
      <c r="L541" s="6" t="n">
        <v>1139</v>
      </c>
      <c r="M541" s="6" t="n">
        <v>1139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  <c r="AF541" s="4" t="inlineStr">
        <is>
          <t>tipo: de doble tanque</t>
        </is>
      </c>
    </row>
    <row r="542">
      <c r="A542" s="3" t="inlineStr">
        <is>
          <t>MAT-09-020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Regulador de gas grande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656</v>
      </c>
      <c r="L542" s="6" t="n">
        <v>326</v>
      </c>
      <c r="M542" s="6" t="n">
        <v>1315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F542" s="4" t="inlineStr">
        <is>
          <t>tipo: grande</t>
        </is>
      </c>
    </row>
    <row r="543">
      <c r="A543" s="3" t="inlineStr">
        <is>
          <t>MAT-09-021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Regulador de gas pequeño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509.5</v>
      </c>
      <c r="L543" s="6" t="n">
        <v>259</v>
      </c>
      <c r="M543" s="6" t="n">
        <v>760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Ferretería Cima</t>
        </is>
      </c>
      <c r="AF543" s="4" t="inlineStr">
        <is>
          <t>tipo: pequeño</t>
        </is>
      </c>
    </row>
    <row r="544">
      <c r="A544" s="3" t="inlineStr">
        <is>
          <t>MAT-09-022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Pig tail para conexión de gas</t>
        </is>
      </c>
      <c r="E544" s="4" t="inlineStr">
        <is>
          <t>Del tanque al regulador</t>
        </is>
      </c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489.5</v>
      </c>
      <c r="L544" s="6" t="n">
        <v>299</v>
      </c>
      <c r="M544" s="6" t="n">
        <v>1095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Ferretería Cima</t>
        </is>
      </c>
    </row>
    <row r="545">
      <c r="A545" s="3" t="inlineStr">
        <is>
          <t>MAT-09-023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Llave para tanque de gas 7/8"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377</v>
      </c>
      <c r="L545" s="6" t="n">
        <v>377</v>
      </c>
      <c r="M545" s="6" t="n">
        <v>377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</t>
        </is>
      </c>
      <c r="AF545" s="4" t="inlineStr">
        <is>
          <t>medida: 7/8"</t>
        </is>
      </c>
    </row>
    <row r="546">
      <c r="A546" s="3" t="inlineStr">
        <is>
          <t>MAT-09-024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1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8923.5</v>
      </c>
      <c r="L546" s="6" t="n">
        <v>6802</v>
      </c>
      <c r="M546" s="6" t="n">
        <v>11045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F546" s="4" t="inlineStr">
        <is>
          <t>tipo: centrífuga · hp: 1</t>
        </is>
      </c>
    </row>
    <row r="547">
      <c r="A547" s="3" t="inlineStr">
        <is>
          <t>MAT-09-025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1 1/3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11205</v>
      </c>
      <c r="L547" s="6" t="n">
        <v>11205</v>
      </c>
      <c r="M547" s="6" t="n">
        <v>11205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F547" s="4" t="inlineStr">
        <is>
          <t>tipo: centrífuga · hp: 1 1/3</t>
        </is>
      </c>
    </row>
    <row r="548">
      <c r="A548" s="3" t="inlineStr">
        <is>
          <t>MAT-09-026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1/2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2</v>
      </c>
      <c r="K548" s="6" t="n">
        <v>7989</v>
      </c>
      <c r="L548" s="6" t="n">
        <v>4732</v>
      </c>
      <c r="M548" s="6" t="n">
        <v>9090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Bellón · Ferremix (Grupo Alterra)</t>
        </is>
      </c>
      <c r="AF548" s="4" t="inlineStr">
        <is>
          <t>tipo: centrífuga · hp: 1/2</t>
        </is>
      </c>
    </row>
    <row r="549">
      <c r="A549" s="3" t="inlineStr">
        <is>
          <t>MAT-09-027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1.5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13164.5</v>
      </c>
      <c r="L549" s="6" t="n">
        <v>8100</v>
      </c>
      <c r="M549" s="6" t="n">
        <v>18229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Bellón</t>
        </is>
      </c>
      <c r="AF549" s="4" t="inlineStr">
        <is>
          <t>tipo: centrífuga · hp: 1.5</t>
        </is>
      </c>
    </row>
    <row r="550">
      <c r="A550" s="3" t="inlineStr">
        <is>
          <t>MAT-09-028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centrífuga de 15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30539</v>
      </c>
      <c r="L550" s="6" t="n">
        <v>30539</v>
      </c>
      <c r="M550" s="6" t="n">
        <v>30539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Ferremix (Grupo Alterra)</t>
        </is>
      </c>
      <c r="AF550" s="4" t="inlineStr">
        <is>
          <t>tipo: centrífuga · hp: 15</t>
        </is>
      </c>
    </row>
    <row r="551">
      <c r="A551" s="3" t="inlineStr">
        <is>
          <t>MAT-09-029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2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23097</v>
      </c>
      <c r="L551" s="6" t="n">
        <v>20409</v>
      </c>
      <c r="M551" s="6" t="n">
        <v>25785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Bellón</t>
        </is>
      </c>
      <c r="AF551" s="4" t="inlineStr">
        <is>
          <t>tipo: centrífuga · hp: 2</t>
        </is>
      </c>
    </row>
    <row r="552">
      <c r="A552" s="3" t="inlineStr">
        <is>
          <t>MAT-09-030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centrífuga de 3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23699</v>
      </c>
      <c r="L552" s="6" t="n">
        <v>23699</v>
      </c>
      <c r="M552" s="6" t="n">
        <v>23699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Bellón</t>
        </is>
      </c>
      <c r="AF552" s="4" t="inlineStr">
        <is>
          <t>tipo: centrífuga · hp: 3</t>
        </is>
      </c>
    </row>
    <row r="553">
      <c r="A553" s="3" t="inlineStr">
        <is>
          <t>MAT-09-031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centrífuga de 3/4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8672</v>
      </c>
      <c r="L553" s="6" t="n">
        <v>7849</v>
      </c>
      <c r="M553" s="6" t="n">
        <v>9495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2026-09-10</t>
        </is>
      </c>
      <c r="Q553" s="4" t="inlineStr">
        <is>
          <t>Ferremix (Grupo Alterra)</t>
        </is>
      </c>
      <c r="AF553" s="4" t="inlineStr">
        <is>
          <t>tipo: centrífuga · hp: 3/4</t>
        </is>
      </c>
    </row>
    <row r="554">
      <c r="A554" s="3" t="inlineStr">
        <is>
          <t>MAT-09-032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centrífuga de 6 1/2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13189</v>
      </c>
      <c r="L554" s="6" t="n">
        <v>13189</v>
      </c>
      <c r="M554" s="6" t="n">
        <v>13189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Ferremix (Grupo Alterra)</t>
        </is>
      </c>
      <c r="AF554" s="4" t="inlineStr">
        <is>
          <t>tipo: centrífuga · hp: 6 1/2</t>
        </is>
      </c>
    </row>
    <row r="555">
      <c r="A555" s="3" t="inlineStr">
        <is>
          <t>MAT-09-033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de cisterna de 1/2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7106</v>
      </c>
      <c r="L555" s="6" t="n">
        <v>7106</v>
      </c>
      <c r="M555" s="6" t="n">
        <v>7106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2026-09-09</t>
        </is>
      </c>
      <c r="Q555" s="4" t="inlineStr">
        <is>
          <t>Ferretería Cima</t>
        </is>
      </c>
      <c r="AF555" s="4" t="inlineStr">
        <is>
          <t>tipo: de cisterna · hp: 1/2</t>
        </is>
      </c>
    </row>
    <row r="556">
      <c r="A556" s="3" t="inlineStr">
        <is>
          <t>MAT-09-034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ladrona de 1/2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3957</v>
      </c>
      <c r="L556" s="6" t="n">
        <v>2670</v>
      </c>
      <c r="M556" s="6" t="n">
        <v>6300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2026-09-09</t>
        </is>
      </c>
      <c r="Q556" s="4" t="inlineStr">
        <is>
          <t>Ferretería Cima</t>
        </is>
      </c>
      <c r="AF556" s="4" t="inlineStr">
        <is>
          <t>tipo: ladrona · hp: 1/2</t>
        </is>
      </c>
    </row>
    <row r="557">
      <c r="A557" s="3" t="inlineStr">
        <is>
          <t>MAT-09-035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periférica de 1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5719</v>
      </c>
      <c r="L557" s="6" t="n">
        <v>5719</v>
      </c>
      <c r="M557" s="6" t="n">
        <v>5719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Ferremix (Grupo Alterra)</t>
        </is>
      </c>
      <c r="AF557" s="4" t="inlineStr">
        <is>
          <t>tipo: periférica · hp: 1</t>
        </is>
      </c>
    </row>
    <row r="558">
      <c r="A558" s="3" t="inlineStr">
        <is>
          <t>MAT-09-036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periférica de 1/2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1995</v>
      </c>
      <c r="L558" s="6" t="n">
        <v>1995</v>
      </c>
      <c r="M558" s="6" t="n">
        <v>1995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2026-09-10</t>
        </is>
      </c>
      <c r="Q558" s="4" t="inlineStr">
        <is>
          <t>Ferremix (Grupo Alterra)</t>
        </is>
      </c>
      <c r="AF558" s="4" t="inlineStr">
        <is>
          <t>tipo: periférica · hp: 1/2</t>
        </is>
      </c>
    </row>
    <row r="559">
      <c r="A559" s="3" t="inlineStr">
        <is>
          <t>MAT-09-037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periférica de 3/4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5079</v>
      </c>
      <c r="L559" s="6" t="n">
        <v>5079</v>
      </c>
      <c r="M559" s="6" t="n">
        <v>5079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Ferremix (Grupo Alterra)</t>
        </is>
      </c>
      <c r="AF559" s="4" t="inlineStr">
        <is>
          <t>tipo: periférica · hp: 3/4</t>
        </is>
      </c>
    </row>
    <row r="560">
      <c r="A560" s="3" t="inlineStr">
        <is>
          <t>MAT-09-038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presurizadora de 1/2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5075</v>
      </c>
      <c r="L560" s="6" t="n">
        <v>5075</v>
      </c>
      <c r="M560" s="6" t="n">
        <v>5075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2026-09-09</t>
        </is>
      </c>
      <c r="Q560" s="4" t="inlineStr">
        <is>
          <t>Ferretería Cima</t>
        </is>
      </c>
      <c r="AF560" s="4" t="inlineStr">
        <is>
          <t>tipo: presurizadora · hp: 1/2</t>
        </is>
      </c>
    </row>
    <row r="561">
      <c r="A561" s="3" t="inlineStr">
        <is>
          <t>MAT-09-039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presurizadora de 1/3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4914</v>
      </c>
      <c r="L561" s="6" t="n">
        <v>4914</v>
      </c>
      <c r="M561" s="6" t="n">
        <v>4914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2026-09-09</t>
        </is>
      </c>
      <c r="Q561" s="4" t="inlineStr">
        <is>
          <t>Ferretería Cima</t>
        </is>
      </c>
      <c r="AF561" s="4" t="inlineStr">
        <is>
          <t>tipo: presurizadora · hp: 1/3</t>
        </is>
      </c>
    </row>
    <row r="562">
      <c r="A562" s="3" t="inlineStr">
        <is>
          <t>MAT-09-040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presurizadora de 1/6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2911</v>
      </c>
      <c r="L562" s="6" t="n">
        <v>2911</v>
      </c>
      <c r="M562" s="6" t="n">
        <v>2911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2026-09-09</t>
        </is>
      </c>
      <c r="Q562" s="4" t="inlineStr">
        <is>
          <t>Ferretería Cima</t>
        </is>
      </c>
      <c r="AF562" s="4" t="inlineStr">
        <is>
          <t>tipo: presurizadora · hp: 1/6</t>
        </is>
      </c>
    </row>
    <row r="563">
      <c r="A563" s="3" t="inlineStr">
        <is>
          <t>MAT-09-041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2</v>
      </c>
      <c r="K563" s="6" t="n">
        <v>7860</v>
      </c>
      <c r="L563" s="6" t="n">
        <v>1920</v>
      </c>
      <c r="M563" s="6" t="n">
        <v>15989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 · Ferremix (Grupo Alterra)</t>
        </is>
      </c>
      <c r="AF563" s="4" t="inlineStr">
        <is>
          <t>tipo: sumergible · hp: 1</t>
        </is>
      </c>
    </row>
    <row r="564">
      <c r="A564" s="3" t="inlineStr">
        <is>
          <t>MAT-09-042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1 1/2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2</v>
      </c>
      <c r="K564" s="6" t="n">
        <v>13484</v>
      </c>
      <c r="L564" s="6" t="n">
        <v>6623</v>
      </c>
      <c r="M564" s="6" t="n">
        <v>18559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 · Ferremix (Grupo Alterra)</t>
        </is>
      </c>
      <c r="AF564" s="4" t="inlineStr">
        <is>
          <t>tipo: sumergible · hp: 1 1/2</t>
        </is>
      </c>
    </row>
    <row r="565">
      <c r="A565" s="3" t="inlineStr">
        <is>
          <t>MAT-09-043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1/2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2</v>
      </c>
      <c r="K565" s="6" t="n">
        <v>8167.5</v>
      </c>
      <c r="L565" s="6" t="n">
        <v>2835</v>
      </c>
      <c r="M565" s="6" t="n">
        <v>41232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 · Ferremix (Grupo Alterra)</t>
        </is>
      </c>
      <c r="AF565" s="4" t="inlineStr">
        <is>
          <t>tipo: sumergible · hp: 1/2</t>
        </is>
      </c>
    </row>
    <row r="566">
      <c r="A566" s="3" t="inlineStr">
        <is>
          <t>MAT-09-044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1.5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77553</v>
      </c>
      <c r="L566" s="6" t="n">
        <v>77553</v>
      </c>
      <c r="M566" s="6" t="n">
        <v>77553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</t>
        </is>
      </c>
      <c r="AF566" s="4" t="inlineStr">
        <is>
          <t>tipo: sumergible · hp: 1.5</t>
        </is>
      </c>
    </row>
    <row r="567">
      <c r="A567" s="3" t="inlineStr">
        <is>
          <t>MAT-09-045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1/6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21812</v>
      </c>
      <c r="L567" s="6" t="n">
        <v>21812</v>
      </c>
      <c r="M567" s="6" t="n">
        <v>21812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Bellón</t>
        </is>
      </c>
      <c r="AF567" s="4" t="inlineStr">
        <is>
          <t>tipo: sumergible · hp: 1/6</t>
        </is>
      </c>
    </row>
    <row r="568">
      <c r="A568" s="3" t="inlineStr">
        <is>
          <t>MAT-09-046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10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56995</v>
      </c>
      <c r="L568" s="6" t="n">
        <v>56995</v>
      </c>
      <c r="M568" s="6" t="n">
        <v>56995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</t>
        </is>
      </c>
      <c r="AF568" s="4" t="inlineStr">
        <is>
          <t>tipo: sumergible · hp: 10</t>
        </is>
      </c>
    </row>
    <row r="569">
      <c r="A569" s="3" t="inlineStr">
        <is>
          <t>MAT-09-047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2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2</v>
      </c>
      <c r="K569" s="6" t="n">
        <v>20127</v>
      </c>
      <c r="L569" s="6" t="n">
        <v>12859</v>
      </c>
      <c r="M569" s="6" t="n">
        <v>61535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 · Ferremix (Grupo Alterra)</t>
        </is>
      </c>
      <c r="AF569" s="4" t="inlineStr">
        <is>
          <t>tipo: sumergible · hp: 2</t>
        </is>
      </c>
    </row>
    <row r="570">
      <c r="A570" s="3" t="inlineStr">
        <is>
          <t>MAT-09-048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sumergible de 3 HP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23492.5</v>
      </c>
      <c r="L570" s="6" t="n">
        <v>17345</v>
      </c>
      <c r="M570" s="6" t="n">
        <v>29640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2026-09-10</t>
        </is>
      </c>
      <c r="Q570" s="4" t="inlineStr">
        <is>
          <t>Bellón</t>
        </is>
      </c>
      <c r="AF570" s="4" t="inlineStr">
        <is>
          <t>tipo: sumergible · hp: 3</t>
        </is>
      </c>
    </row>
    <row r="571">
      <c r="A571" s="3" t="inlineStr">
        <is>
          <t>MAT-09-049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sumergible de 3/4 HP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2</v>
      </c>
      <c r="K571" s="6" t="n">
        <v>8599</v>
      </c>
      <c r="L571" s="6" t="n">
        <v>2999</v>
      </c>
      <c r="M571" s="6" t="n">
        <v>13303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2026-09-10</t>
        </is>
      </c>
      <c r="Q571" s="4" t="inlineStr">
        <is>
          <t>Bellón · Ferremix (Grupo Alterra)</t>
        </is>
      </c>
      <c r="AF571" s="4" t="inlineStr">
        <is>
          <t>tipo: sumergible · hp: 3/4</t>
        </is>
      </c>
    </row>
    <row r="572">
      <c r="A572" s="3" t="inlineStr">
        <is>
          <t>MAT-09-050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sumergible de 5.5 HP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27049</v>
      </c>
      <c r="L572" s="6" t="n">
        <v>27049</v>
      </c>
      <c r="M572" s="6" t="n">
        <v>27049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Bellón</t>
        </is>
      </c>
      <c r="AF572" s="4" t="inlineStr">
        <is>
          <t>tipo: sumergible · hp: 5.5</t>
        </is>
      </c>
    </row>
    <row r="573">
      <c r="A573" s="3" t="inlineStr">
        <is>
          <t>MAT-09-051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Tanque presurizado de 24 litros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1825</v>
      </c>
      <c r="L573" s="6" t="n">
        <v>1825</v>
      </c>
      <c r="M573" s="6" t="n">
        <v>1825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F573" s="4" t="inlineStr">
        <is>
          <t>litros: 24</t>
        </is>
      </c>
    </row>
    <row r="574">
      <c r="A574" s="3" t="inlineStr">
        <is>
          <t>MAT-09-052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Interruptor automático de presión 20–40 PSI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1666</v>
      </c>
      <c r="L574" s="6" t="n">
        <v>1666</v>
      </c>
      <c r="M574" s="6" t="n">
        <v>1666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  <c r="AF574" s="4" t="inlineStr">
        <is>
          <t>rango: 20–40</t>
        </is>
      </c>
    </row>
    <row r="575">
      <c r="A575" s="3" t="inlineStr">
        <is>
          <t>MAT-09-053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Interruptor automático de presión 30–50 PSI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1631</v>
      </c>
      <c r="L575" s="6" t="n">
        <v>1631</v>
      </c>
      <c r="M575" s="6" t="n">
        <v>1631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F575" s="4" t="inlineStr">
        <is>
          <t>rango: 30–50</t>
        </is>
      </c>
    </row>
    <row r="576">
      <c r="A576" s="3" t="inlineStr">
        <is>
          <t>MAT-09-054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Interruptor automático de presión 40–60 PSI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1688</v>
      </c>
      <c r="L576" s="6" t="n">
        <v>1688</v>
      </c>
      <c r="M576" s="6" t="n">
        <v>1688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F576" s="4" t="inlineStr">
        <is>
          <t>rango: 40–60</t>
        </is>
      </c>
    </row>
    <row r="577">
      <c r="A577" s="3" t="inlineStr">
        <is>
          <t>MAT-09-055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Interruptor de flotante eléctrico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1072</v>
      </c>
      <c r="L577" s="6" t="n">
        <v>690</v>
      </c>
      <c r="M577" s="6" t="n">
        <v>1454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</row>
    <row r="578">
      <c r="A578" s="3" t="inlineStr">
        <is>
          <t>MAT-09-056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Control automático de bomba 1"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3178</v>
      </c>
      <c r="L578" s="6" t="n">
        <v>3178</v>
      </c>
      <c r="M578" s="6" t="n">
        <v>3178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medida: 1"</t>
        </is>
      </c>
    </row>
    <row r="579">
      <c r="A579" s="3" t="inlineStr">
        <is>
          <t>MAT-09-057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Manómetro de glicerina de 150 PSI</t>
        </is>
      </c>
      <c r="E579" s="4" t="inlineStr">
        <is>
          <t>El de glicerina aguanta la vibración de la bomba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990</v>
      </c>
      <c r="L579" s="6" t="n">
        <v>990</v>
      </c>
      <c r="M579" s="6" t="n">
        <v>990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psi: 150 · tipo: de glicerina</t>
        </is>
      </c>
    </row>
    <row r="580">
      <c r="A580" s="3" t="inlineStr">
        <is>
          <t>MAT-09-058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Manómetro de glicerina de 90 PSI</t>
        </is>
      </c>
      <c r="E580" s="4" t="inlineStr">
        <is>
          <t>El de glicerina aguanta la vibración de la bomba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905</v>
      </c>
      <c r="L580" s="6" t="n">
        <v>905</v>
      </c>
      <c r="M580" s="6" t="n">
        <v>905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psi: 90 · tipo: de glicerina</t>
        </is>
      </c>
    </row>
    <row r="581">
      <c r="A581" s="3" t="inlineStr">
        <is>
          <t>MAT-09-059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Manómetro seco de 90 PSI</t>
        </is>
      </c>
      <c r="E581" s="4" t="inlineStr">
        <is>
          <t>El de glicerina aguanta la vibración de la bomba</t>
        </is>
      </c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407</v>
      </c>
      <c r="L581" s="6" t="n">
        <v>407</v>
      </c>
      <c r="M581" s="6" t="n">
        <v>407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psi: 90 · tipo: seco</t>
        </is>
      </c>
    </row>
    <row r="582">
      <c r="A582" s="3" t="inlineStr">
        <is>
          <t>MAT-09-060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Calentador de agua a gas de 8 litros por minuto</t>
        </is>
      </c>
      <c r="E582" s="4" t="inlineStr">
        <is>
          <t>De paso</t>
        </is>
      </c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10670</v>
      </c>
      <c r="L582" s="6" t="n">
        <v>5395</v>
      </c>
      <c r="M582" s="6" t="n">
        <v>15945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F582" s="4" t="inlineStr">
        <is>
          <t>energia: a gas · capacidad: 8 litros por minuto</t>
        </is>
      </c>
    </row>
    <row r="583">
      <c r="A583" s="3" t="inlineStr">
        <is>
          <t>MAT-09-061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Calentador de agua eléctrico de 6 galones</t>
        </is>
      </c>
      <c r="E583" s="4" t="inlineStr">
        <is>
          <t>De acumulación</t>
        </is>
      </c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10291</v>
      </c>
      <c r="L583" s="6" t="n">
        <v>10291</v>
      </c>
      <c r="M583" s="6" t="n">
        <v>10291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F583" s="4" t="inlineStr">
        <is>
          <t>energia: eléctrico · capacidad: 6 galones</t>
        </is>
      </c>
    </row>
    <row r="584">
      <c r="A584" s="3" t="inlineStr">
        <is>
          <t>MAT-09-062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Calentador de agua eléctrico de 7 kW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20503</v>
      </c>
      <c r="L584" s="6" t="n">
        <v>20503</v>
      </c>
      <c r="M584" s="6" t="n">
        <v>20503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F584" s="4" t="inlineStr">
        <is>
          <t>energia: eléctrico · capacidad: 7 kW</t>
        </is>
      </c>
    </row>
    <row r="585">
      <c r="A585" s="3" t="inlineStr">
        <is>
          <t>MAT-09-063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Calentador de agua eléctrico de 8 galones</t>
        </is>
      </c>
      <c r="E585" s="4" t="inlineStr">
        <is>
          <t>De acumulación</t>
        </is>
      </c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11717</v>
      </c>
      <c r="L585" s="6" t="n">
        <v>11717</v>
      </c>
      <c r="M585" s="6" t="n">
        <v>11717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F585" s="4" t="inlineStr">
        <is>
          <t>energia: eléctrico · capacidad: 8 galones</t>
        </is>
      </c>
    </row>
    <row r="586">
      <c r="A586" s="3" t="inlineStr">
        <is>
          <t>MAT-09-064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Cisterna de fibra de vidrio de 120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17755</v>
      </c>
      <c r="L586" s="6" t="n">
        <v>17755</v>
      </c>
      <c r="M586" s="6" t="n">
        <v>17755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A586" s="7" t="n">
        <v>120</v>
      </c>
      <c r="AF586" s="4" t="inlineStr">
        <is>
          <t>material: fibra de vidrio</t>
        </is>
      </c>
    </row>
    <row r="587">
      <c r="A587" s="3" t="inlineStr">
        <is>
          <t>MAT-09-065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Cisterna de fibra de vidrio de 30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5101</v>
      </c>
      <c r="L587" s="6" t="n">
        <v>5101</v>
      </c>
      <c r="M587" s="6" t="n">
        <v>5101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A587" s="7" t="n">
        <v>30</v>
      </c>
      <c r="AF587" s="4" t="inlineStr">
        <is>
          <t>material: fibra de vidrio</t>
        </is>
      </c>
    </row>
    <row r="588">
      <c r="A588" s="3" t="inlineStr">
        <is>
          <t>MAT-09-066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Cisterna de fibra de vidrio de 42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10852</v>
      </c>
      <c r="L588" s="6" t="n">
        <v>7487</v>
      </c>
      <c r="M588" s="6" t="n">
        <v>14217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Ferretería Cima</t>
        </is>
      </c>
      <c r="AA588" s="7" t="n">
        <v>42</v>
      </c>
      <c r="AF588" s="4" t="inlineStr">
        <is>
          <t>material: fibra de vidrio</t>
        </is>
      </c>
    </row>
    <row r="589">
      <c r="A589" s="3" t="inlineStr">
        <is>
          <t>MAT-09-067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Cisterna de fibra de vidrio de 60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12989</v>
      </c>
      <c r="L589" s="6" t="n">
        <v>10496</v>
      </c>
      <c r="M589" s="6" t="n">
        <v>15482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Ferretería Cima</t>
        </is>
      </c>
      <c r="AA589" s="7" t="n">
        <v>60</v>
      </c>
      <c r="AF589" s="4" t="inlineStr">
        <is>
          <t>material: fibra de vidrio</t>
        </is>
      </c>
    </row>
    <row r="590">
      <c r="A590" s="3" t="inlineStr">
        <is>
          <t>MAT-09-068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Cisterna de fibra de vidrio de 82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9895</v>
      </c>
      <c r="L590" s="6" t="n">
        <v>9895</v>
      </c>
      <c r="M590" s="6" t="n">
        <v>9895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Ferretería Cima</t>
        </is>
      </c>
      <c r="AA590" s="7" t="n">
        <v>82</v>
      </c>
      <c r="AF590" s="4" t="inlineStr">
        <is>
          <t>material: fibra de vidrio</t>
        </is>
      </c>
    </row>
    <row r="591">
      <c r="A591" s="3" t="inlineStr">
        <is>
          <t>MAT-09-069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1000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35835</v>
      </c>
      <c r="L591" s="6" t="n">
        <v>35835</v>
      </c>
      <c r="M591" s="6" t="n">
        <v>35835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Bellón</t>
        </is>
      </c>
      <c r="AA591" s="7" t="n">
        <v>1000</v>
      </c>
    </row>
    <row r="592">
      <c r="A592" s="3" t="inlineStr">
        <is>
          <t>MAT-09-070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1100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41115</v>
      </c>
      <c r="L592" s="6" t="n">
        <v>41115</v>
      </c>
      <c r="M592" s="6" t="n">
        <v>41115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AA592" s="7" t="n">
        <v>1100</v>
      </c>
    </row>
    <row r="593">
      <c r="A593" s="3" t="inlineStr">
        <is>
          <t>MAT-09-071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145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2</v>
      </c>
      <c r="K593" s="6" t="n">
        <v>5385</v>
      </c>
      <c r="L593" s="6" t="n">
        <v>4990</v>
      </c>
      <c r="M593" s="6" t="n">
        <v>5880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 · Max Ferretería</t>
        </is>
      </c>
      <c r="AA593" s="7" t="n">
        <v>145</v>
      </c>
    </row>
    <row r="594">
      <c r="A594" s="3" t="inlineStr">
        <is>
          <t>MAT-09-072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200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10469.3</v>
      </c>
      <c r="L594" s="6" t="n">
        <v>10469.3</v>
      </c>
      <c r="M594" s="6" t="n">
        <v>10469.3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2026-09-09</t>
        </is>
      </c>
      <c r="Q594" s="4" t="inlineStr">
        <is>
          <t>Max Ferretería</t>
        </is>
      </c>
      <c r="AA594" s="7" t="n">
        <v>200</v>
      </c>
    </row>
    <row r="595">
      <c r="A595" s="3" t="inlineStr">
        <is>
          <t>MAT-09-073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215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6325</v>
      </c>
      <c r="L595" s="6" t="n">
        <v>6325</v>
      </c>
      <c r="M595" s="6" t="n">
        <v>6325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</t>
        </is>
      </c>
      <c r="AA595" s="7" t="n">
        <v>215</v>
      </c>
    </row>
    <row r="596">
      <c r="A596" s="3" t="inlineStr">
        <is>
          <t>MAT-09-074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250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7125</v>
      </c>
      <c r="L596" s="6" t="n">
        <v>7125</v>
      </c>
      <c r="M596" s="6" t="n">
        <v>7125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250</v>
      </c>
    </row>
    <row r="597">
      <c r="A597" s="3" t="inlineStr">
        <is>
          <t>MAT-09-075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255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8019.5</v>
      </c>
      <c r="L597" s="6" t="n">
        <v>7664</v>
      </c>
      <c r="M597" s="6" t="n">
        <v>8375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 · Ferremix (Grupo Alterra)</t>
        </is>
      </c>
      <c r="AA597" s="7" t="n">
        <v>255</v>
      </c>
    </row>
    <row r="598">
      <c r="A598" s="3" t="inlineStr">
        <is>
          <t>MAT-09-076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265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3</v>
      </c>
      <c r="K598" s="6" t="n">
        <v>8585</v>
      </c>
      <c r="L598" s="6" t="n">
        <v>8050</v>
      </c>
      <c r="M598" s="6" t="n">
        <v>9555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 · Ferretería Cima · Max Ferretería</t>
        </is>
      </c>
      <c r="AA598" s="7" t="n">
        <v>265</v>
      </c>
    </row>
    <row r="599">
      <c r="A599" s="3" t="inlineStr">
        <is>
          <t>MAT-09-077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295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8105</v>
      </c>
      <c r="L599" s="6" t="n">
        <v>8105</v>
      </c>
      <c r="M599" s="6" t="n">
        <v>8105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</t>
        </is>
      </c>
      <c r="AA599" s="7" t="n">
        <v>295</v>
      </c>
    </row>
    <row r="600">
      <c r="A600" s="3" t="inlineStr">
        <is>
          <t>MAT-09-078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300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2</v>
      </c>
      <c r="K600" s="6" t="n">
        <v>9660</v>
      </c>
      <c r="L600" s="6" t="n">
        <v>7995</v>
      </c>
      <c r="M600" s="6" t="n">
        <v>10080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 · Max Ferretería</t>
        </is>
      </c>
      <c r="AA600" s="7" t="n">
        <v>300</v>
      </c>
    </row>
    <row r="601">
      <c r="A601" s="3" t="inlineStr">
        <is>
          <t>MAT-09-079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350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9335</v>
      </c>
      <c r="L601" s="6" t="n">
        <v>9335</v>
      </c>
      <c r="M601" s="6" t="n">
        <v>9335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350</v>
      </c>
    </row>
    <row r="602">
      <c r="A602" s="3" t="inlineStr">
        <is>
          <t>MAT-09-080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400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2</v>
      </c>
      <c r="K602" s="6" t="n">
        <v>13140</v>
      </c>
      <c r="L602" s="6" t="n">
        <v>12125</v>
      </c>
      <c r="M602" s="6" t="n">
        <v>13300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Max Ferretería</t>
        </is>
      </c>
      <c r="AA602" s="7" t="n">
        <v>400</v>
      </c>
    </row>
    <row r="603">
      <c r="A603" s="3" t="inlineStr">
        <is>
          <t>MAT-09-081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Tinaco de 500 galones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12940</v>
      </c>
      <c r="L603" s="6" t="n">
        <v>12940</v>
      </c>
      <c r="M603" s="6" t="n">
        <v>12940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2026-09-10</t>
        </is>
      </c>
      <c r="Q603" s="4" t="inlineStr">
        <is>
          <t>Bellón</t>
        </is>
      </c>
      <c r="AA603" s="7" t="n">
        <v>500</v>
      </c>
    </row>
    <row r="604">
      <c r="A604" s="3" t="inlineStr">
        <is>
          <t>MAT-09-082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Tinaco de 5000 galones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1</v>
      </c>
      <c r="K604" s="6" t="n">
        <v>292790</v>
      </c>
      <c r="L604" s="6" t="n">
        <v>292790</v>
      </c>
      <c r="M604" s="6" t="n">
        <v>292790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Bellón</t>
        </is>
      </c>
      <c r="AA604" s="7" t="n">
        <v>5000</v>
      </c>
    </row>
    <row r="605">
      <c r="A605" s="3" t="inlineStr">
        <is>
          <t>MAT-09-083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Tinaco de 530 galones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3</v>
      </c>
      <c r="K605" s="6" t="n">
        <v>15223.23</v>
      </c>
      <c r="L605" s="6" t="n">
        <v>14980</v>
      </c>
      <c r="M605" s="6" t="n">
        <v>18535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Bellón · Ferretería Cima · Max Ferretería</t>
        </is>
      </c>
      <c r="AA605" s="7" t="n">
        <v>530</v>
      </c>
    </row>
    <row r="606">
      <c r="A606" s="3" t="inlineStr">
        <is>
          <t>MAT-09-085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Tapa de cisterna de aluminio 24 x 24 pulgadas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2</v>
      </c>
      <c r="K606" s="6" t="n">
        <v>3554</v>
      </c>
      <c r="L606" s="6" t="n">
        <v>3313</v>
      </c>
      <c r="M606" s="6" t="n">
        <v>3795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Ferretería Cima · Max Ferretería</t>
        </is>
      </c>
      <c r="AF606" s="4" t="inlineStr">
        <is>
          <t>material: aluminio · medida: 24 x 24 pulgadas</t>
        </is>
      </c>
    </row>
    <row r="607">
      <c r="A607" s="3" t="inlineStr">
        <is>
          <t>MAT-09-086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Tapa de cisterna de aluminio 30 x 30 pulgadas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2</v>
      </c>
      <c r="K607" s="6" t="n">
        <v>4624</v>
      </c>
      <c r="L607" s="6" t="n">
        <v>4503</v>
      </c>
      <c r="M607" s="6" t="n">
        <v>4745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 · Max Ferretería</t>
        </is>
      </c>
      <c r="AF607" s="4" t="inlineStr">
        <is>
          <t>material: aluminio · medida: 30 x 30 pulgadas</t>
        </is>
      </c>
    </row>
    <row r="608">
      <c r="A608" s="3" t="inlineStr">
        <is>
          <t>MAT-09-087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Tapa de cisterna de aluminio 33 x 33 pulgadas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3995</v>
      </c>
      <c r="L608" s="6" t="n">
        <v>3995</v>
      </c>
      <c r="M608" s="6" t="n">
        <v>3995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Ferretería Cima</t>
        </is>
      </c>
      <c r="AF608" s="4" t="inlineStr">
        <is>
          <t>material: aluminio · medida: 33 x 33 pulgadas</t>
        </is>
      </c>
    </row>
    <row r="609">
      <c r="A609" s="3" t="inlineStr">
        <is>
          <t>MAT-09-088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Boya para válvula de cisterna, 120 mm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295</v>
      </c>
      <c r="L609" s="6" t="n">
        <v>295</v>
      </c>
      <c r="M609" s="6" t="n">
        <v>295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Ferretería Cima</t>
        </is>
      </c>
      <c r="AF609" s="4" t="inlineStr">
        <is>
          <t>medida_mm: 120</t>
        </is>
      </c>
    </row>
    <row r="610">
      <c r="A610" s="3" t="inlineStr">
        <is>
          <t>MAT-09-089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Boya para válvula de cisterna, 150 mm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375</v>
      </c>
      <c r="L610" s="6" t="n">
        <v>375</v>
      </c>
      <c r="M610" s="6" t="n">
        <v>375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Ferretería Cima</t>
        </is>
      </c>
      <c r="AF610" s="4" t="inlineStr">
        <is>
          <t>medida_mm: 150</t>
        </is>
      </c>
    </row>
    <row r="611">
      <c r="A611" s="3" t="inlineStr">
        <is>
          <t>MAT-09-090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Boya para válvula de cisterna, 90 mm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160</v>
      </c>
      <c r="L611" s="6" t="n">
        <v>160</v>
      </c>
      <c r="M611" s="6" t="n">
        <v>160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2026-09-09</t>
        </is>
      </c>
      <c r="Q611" s="4" t="inlineStr">
        <is>
          <t>Ferretería Cima</t>
        </is>
      </c>
      <c r="AF611" s="4" t="inlineStr">
        <is>
          <t>medida_mm: 90</t>
        </is>
      </c>
    </row>
    <row r="612">
      <c r="A612" s="3" t="inlineStr">
        <is>
          <t>MAT-09-091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10 x 9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4000</v>
      </c>
      <c r="L612" s="6" t="n">
        <v>4000</v>
      </c>
      <c r="M612" s="6" t="n">
        <v>4000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La Ibérica</t>
        </is>
      </c>
      <c r="AF612" s="4" t="inlineStr">
        <is>
          <t>pozos: 1 · medida: 10 x 9 pulgadas</t>
        </is>
      </c>
    </row>
    <row r="613">
      <c r="A613" s="3" t="inlineStr">
        <is>
          <t>MAT-09-092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15 x 15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1425</v>
      </c>
      <c r="L613" s="6" t="n">
        <v>1425</v>
      </c>
      <c r="M613" s="6" t="n">
        <v>1425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Ferretería Cima</t>
        </is>
      </c>
      <c r="AF613" s="4" t="inlineStr">
        <is>
          <t>pozos: 1 · medida: 15 x 15 pulgadas</t>
        </is>
      </c>
    </row>
    <row r="614">
      <c r="A614" s="3" t="inlineStr">
        <is>
          <t>MAT-09-093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16 x 13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3262.23</v>
      </c>
      <c r="L614" s="6" t="n">
        <v>3262.23</v>
      </c>
      <c r="M614" s="6" t="n">
        <v>3262.23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F614" s="4" t="inlineStr">
        <is>
          <t>pozos: 1 · medida: 16 x 13 pulgadas</t>
        </is>
      </c>
    </row>
    <row r="615">
      <c r="A615" s="3" t="inlineStr">
        <is>
          <t>MAT-09-094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19 x 13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3248.99</v>
      </c>
      <c r="L615" s="6" t="n">
        <v>3248.99</v>
      </c>
      <c r="M615" s="6" t="n">
        <v>3248.99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CerArte</t>
        </is>
      </c>
      <c r="AF615" s="4" t="inlineStr">
        <is>
          <t>pozos: 1 · medida: 19 x 13 pulgadas</t>
        </is>
      </c>
    </row>
    <row r="616">
      <c r="A616" s="3" t="inlineStr">
        <is>
          <t>MAT-09-095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20 x 16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19817.88</v>
      </c>
      <c r="L616" s="6" t="n">
        <v>19817.88</v>
      </c>
      <c r="M616" s="6" t="n">
        <v>19817.88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CerArte</t>
        </is>
      </c>
      <c r="AF616" s="4" t="inlineStr">
        <is>
          <t>pozos: 1 · medida: 20 x 16 pulgadas</t>
        </is>
      </c>
    </row>
    <row r="617">
      <c r="A617" s="3" t="inlineStr">
        <is>
          <t>MAT-09-096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22 x 13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5428.74</v>
      </c>
      <c r="L617" s="6" t="n">
        <v>5428.74</v>
      </c>
      <c r="M617" s="6" t="n">
        <v>5428.74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CerArte</t>
        </is>
      </c>
      <c r="AF617" s="4" t="inlineStr">
        <is>
          <t>pozos: 1 · medida: 22 x 13 pulgadas</t>
        </is>
      </c>
    </row>
    <row r="618">
      <c r="A618" s="3" t="inlineStr">
        <is>
          <t>MAT-09-097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24 x 19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18281.61</v>
      </c>
      <c r="L618" s="6" t="n">
        <v>18281.61</v>
      </c>
      <c r="M618" s="6" t="n">
        <v>18281.61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CerArte</t>
        </is>
      </c>
      <c r="AF618" s="4" t="inlineStr">
        <is>
          <t>pozos: 1 · medida: 24 x 19 pulgadas</t>
        </is>
      </c>
    </row>
    <row r="619">
      <c r="A619" s="3" t="inlineStr">
        <is>
          <t>MAT-09-098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28 x 16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21671.14</v>
      </c>
      <c r="L619" s="6" t="n">
        <v>21671.14</v>
      </c>
      <c r="M619" s="6" t="n">
        <v>21671.14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CerArte</t>
        </is>
      </c>
      <c r="AF619" s="4" t="inlineStr">
        <is>
          <t>pozos: 1 · medida: 28 x 16 pulgadas</t>
        </is>
      </c>
    </row>
    <row r="620">
      <c r="A620" s="3" t="inlineStr">
        <is>
          <t>MAT-09-099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29 x 16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28269.25</v>
      </c>
      <c r="L620" s="6" t="n">
        <v>28269.25</v>
      </c>
      <c r="M620" s="6" t="n">
        <v>28269.25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CerArte</t>
        </is>
      </c>
      <c r="AF620" s="4" t="inlineStr">
        <is>
          <t>pozos: 1 · medida: 29 x 16 pulgadas</t>
        </is>
      </c>
    </row>
    <row r="621">
      <c r="A621" s="3" t="inlineStr">
        <is>
          <t>MAT-09-100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31 x 20 pulgadas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1635</v>
      </c>
      <c r="L621" s="6" t="n">
        <v>1635</v>
      </c>
      <c r="M621" s="6" t="n">
        <v>1635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2026-09-10</t>
        </is>
      </c>
      <c r="Q621" s="4" t="inlineStr">
        <is>
          <t>Ferremix (Grupo Alterra)</t>
        </is>
      </c>
      <c r="AF621" s="4" t="inlineStr">
        <is>
          <t>pozos: 1 · medida: 31 x 20 pulgadas</t>
        </is>
      </c>
    </row>
    <row r="622">
      <c r="A622" s="3" t="inlineStr">
        <is>
          <t>MAT-09-101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un pozo, 8 x 8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74.84999999999999</v>
      </c>
      <c r="L622" s="6" t="n">
        <v>74.84999999999999</v>
      </c>
      <c r="M622" s="6" t="n">
        <v>74.84999999999999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La Ibérica</t>
        </is>
      </c>
      <c r="AF622" s="4" t="inlineStr">
        <is>
          <t>pozos: 1 · medida: 8 x 8 pulgadas</t>
        </is>
      </c>
    </row>
    <row r="623">
      <c r="A623" s="3" t="inlineStr">
        <is>
          <t>MAT-09-102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un pozo, 9 x 7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5265.16</v>
      </c>
      <c r="L623" s="6" t="n">
        <v>5265.16</v>
      </c>
      <c r="M623" s="6" t="n">
        <v>5265.16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La Ibérica</t>
        </is>
      </c>
      <c r="AF623" s="4" t="inlineStr">
        <is>
          <t>pozos: 1 · medida: 9 x 7 pulgadas</t>
        </is>
      </c>
    </row>
    <row r="624">
      <c r="A624" s="3" t="inlineStr">
        <is>
          <t>MAT-09-103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un pozo, medida estándar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3040</v>
      </c>
      <c r="L624" s="6" t="n">
        <v>3040</v>
      </c>
      <c r="M624" s="6" t="n">
        <v>3040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2026-09-09</t>
        </is>
      </c>
      <c r="Q624" s="4" t="inlineStr">
        <is>
          <t>Ferretería Cima</t>
        </is>
      </c>
      <c r="AF624" s="4" t="inlineStr">
        <is>
          <t>pozos: 1 · medida: medida estándar</t>
        </is>
      </c>
    </row>
    <row r="625">
      <c r="A625" s="3" t="inlineStr">
        <is>
          <t>MAT-09-104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28 x 16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13423.68</v>
      </c>
      <c r="L625" s="6" t="n">
        <v>13423.68</v>
      </c>
      <c r="M625" s="6" t="n">
        <v>13423.68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CerArte</t>
        </is>
      </c>
      <c r="AF625" s="4" t="inlineStr">
        <is>
          <t>pozos: 2 · medida: 28 x 16 pulgadas</t>
        </is>
      </c>
    </row>
    <row r="626">
      <c r="A626" s="3" t="inlineStr">
        <is>
          <t>MAT-09-105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31 x 18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37416.26</v>
      </c>
      <c r="L626" s="6" t="n">
        <v>21435.03</v>
      </c>
      <c r="M626" s="6" t="n">
        <v>53397.49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CerArte</t>
        </is>
      </c>
      <c r="AF626" s="4" t="inlineStr">
        <is>
          <t>pozos: 2 · medida: 31 x 18 pulgadas</t>
        </is>
      </c>
    </row>
    <row r="627">
      <c r="A627" s="3" t="inlineStr">
        <is>
          <t>MAT-09-106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31 x 19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21066.29</v>
      </c>
      <c r="L627" s="6" t="n">
        <v>21066.29</v>
      </c>
      <c r="M627" s="6" t="n">
        <v>21066.29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CerArte</t>
        </is>
      </c>
      <c r="AF627" s="4" t="inlineStr">
        <is>
          <t>pozos: 2 · medida: 31 x 19 pulgadas</t>
        </is>
      </c>
    </row>
    <row r="628">
      <c r="A628" s="3" t="inlineStr">
        <is>
          <t>MAT-09-107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31 x 20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13464.3</v>
      </c>
      <c r="L628" s="6" t="n">
        <v>6601.13</v>
      </c>
      <c r="M628" s="6" t="n">
        <v>20327.47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2026-09-10</t>
        </is>
      </c>
      <c r="Q628" s="4" t="inlineStr">
        <is>
          <t>CerArte</t>
        </is>
      </c>
      <c r="AF628" s="4" t="inlineStr">
        <is>
          <t>pozos: 2 · medida: 31 x 20 pulgadas</t>
        </is>
      </c>
    </row>
    <row r="629">
      <c r="A629" s="3" t="inlineStr">
        <is>
          <t>MAT-09-108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33 x 14 pulgadas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13176.46</v>
      </c>
      <c r="L629" s="6" t="n">
        <v>13176.46</v>
      </c>
      <c r="M629" s="6" t="n">
        <v>13176.46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CerArte</t>
        </is>
      </c>
      <c r="AF629" s="4" t="inlineStr">
        <is>
          <t>pozos: 2 · medida: 33 x 14 pulgadas</t>
        </is>
      </c>
    </row>
    <row r="630">
      <c r="A630" s="3" t="inlineStr">
        <is>
          <t>MAT-09-109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33 x 19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3285</v>
      </c>
      <c r="L630" s="6" t="n">
        <v>3285</v>
      </c>
      <c r="M630" s="6" t="n">
        <v>3285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Ferretería Cima</t>
        </is>
      </c>
      <c r="AF630" s="4" t="inlineStr">
        <is>
          <t>pozos: 2 · medida: 33 x 19 pulgadas</t>
        </is>
      </c>
    </row>
    <row r="631">
      <c r="A631" s="3" t="inlineStr">
        <is>
          <t>MAT-09-110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33 x 22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6540</v>
      </c>
      <c r="L631" s="6" t="n">
        <v>6540</v>
      </c>
      <c r="M631" s="6" t="n">
        <v>6540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2026-09-09</t>
        </is>
      </c>
      <c r="Q631" s="4" t="inlineStr">
        <is>
          <t>Ferretería Cima</t>
        </is>
      </c>
      <c r="AF631" s="4" t="inlineStr">
        <is>
          <t>pozos: 2 · medida: 33 x 22 pulgadas</t>
        </is>
      </c>
    </row>
    <row r="632">
      <c r="A632" s="3" t="inlineStr">
        <is>
          <t>MAT-09-111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2 pozos, 34 x 17 pulgadas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45860</v>
      </c>
      <c r="L632" s="6" t="n">
        <v>45860</v>
      </c>
      <c r="M632" s="6" t="n">
        <v>45860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2026-09-10</t>
        </is>
      </c>
      <c r="Q632" s="4" t="inlineStr">
        <is>
          <t>La Ibérica</t>
        </is>
      </c>
      <c r="AF632" s="4" t="inlineStr">
        <is>
          <t>pozos: 2 · medida: 34 x 17 pulgadas</t>
        </is>
      </c>
    </row>
    <row r="633">
      <c r="A633" s="3" t="inlineStr">
        <is>
          <t>MAT-09-112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2 pozos, 34 x 18 pulgadas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20289.07</v>
      </c>
      <c r="L633" s="6" t="n">
        <v>20289.07</v>
      </c>
      <c r="M633" s="6" t="n">
        <v>20289.07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CerArte</t>
        </is>
      </c>
      <c r="AF633" s="4" t="inlineStr">
        <is>
          <t>pozos: 2 · medida: 34 x 18 pulgadas</t>
        </is>
      </c>
    </row>
    <row r="634">
      <c r="A634" s="3" t="inlineStr">
        <is>
          <t>MAT-09-113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2 pozos, 35 x 15 pulgadas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18400</v>
      </c>
      <c r="L634" s="6" t="n">
        <v>18400</v>
      </c>
      <c r="M634" s="6" t="n">
        <v>18400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2026-09-11</t>
        </is>
      </c>
      <c r="Q634" s="4" t="inlineStr">
        <is>
          <t>Carabela</t>
        </is>
      </c>
      <c r="AF634" s="4" t="inlineStr">
        <is>
          <t>pozos: 2 · medida: 35 x 15 pulgadas</t>
        </is>
      </c>
    </row>
    <row r="635">
      <c r="A635" s="3" t="inlineStr">
        <is>
          <t>MAT-09-114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2 pozos, 47 x 20 pulgadas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6672.5</v>
      </c>
      <c r="L635" s="6" t="n">
        <v>6665</v>
      </c>
      <c r="M635" s="6" t="n">
        <v>6680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2026-09-10</t>
        </is>
      </c>
      <c r="Q635" s="4" t="inlineStr">
        <is>
          <t>Ferremix (Grupo Alterra)</t>
        </is>
      </c>
      <c r="AF635" s="4" t="inlineStr">
        <is>
          <t>pozos: 2 · medida: 47 x 20 pulgadas</t>
        </is>
      </c>
    </row>
    <row r="636">
      <c r="A636" s="3" t="inlineStr">
        <is>
          <t>MAT-09-115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Llave de bebedero</t>
        </is>
      </c>
      <c r="E636" s="4" t="inlineStr">
        <is>
          <t>Plástico</t>
        </is>
      </c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217.5</v>
      </c>
      <c r="L636" s="6" t="n">
        <v>205</v>
      </c>
      <c r="M636" s="6" t="n">
        <v>256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Ferretería Cima</t>
        </is>
      </c>
    </row>
    <row r="637">
      <c r="A637" s="3" t="inlineStr">
        <is>
          <t>MAT-10-017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105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785</v>
      </c>
      <c r="L637" s="6" t="n">
        <v>785</v>
      </c>
      <c r="M637" s="6" t="n">
        <v>785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V637" s="7" t="inlineStr">
        <is>
          <t>E40</t>
        </is>
      </c>
      <c r="X637" s="7" t="inlineStr">
        <is>
          <t>ahorrador</t>
        </is>
      </c>
      <c r="AF637" s="4" t="inlineStr">
        <is>
          <t>potencia_w: 105 · temp_k: 6400</t>
        </is>
      </c>
    </row>
    <row r="638">
      <c r="A638" s="3" t="inlineStr">
        <is>
          <t>MAT-10-018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11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100</v>
      </c>
      <c r="L638" s="6" t="n">
        <v>100</v>
      </c>
      <c r="M638" s="6" t="n">
        <v>100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X638" s="7" t="inlineStr">
        <is>
          <t>ahorrador</t>
        </is>
      </c>
      <c r="AF638" s="4" t="inlineStr">
        <is>
          <t>potencia_w: 11 · temp_k: 2700</t>
        </is>
      </c>
    </row>
    <row r="639">
      <c r="A639" s="3" t="inlineStr">
        <is>
          <t>MAT-10-019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ahorrador de 15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100</v>
      </c>
      <c r="L639" s="6" t="n">
        <v>100</v>
      </c>
      <c r="M639" s="6" t="n">
        <v>100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X639" s="7" t="inlineStr">
        <is>
          <t>ahorrador</t>
        </is>
      </c>
      <c r="AF639" s="4" t="inlineStr">
        <is>
          <t>potencia_w: 15</t>
        </is>
      </c>
    </row>
    <row r="640">
      <c r="A640" s="3" t="inlineStr">
        <is>
          <t>MAT-10-020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ahorrador de 25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100</v>
      </c>
      <c r="L640" s="6" t="n">
        <v>100</v>
      </c>
      <c r="M640" s="6" t="n">
        <v>127.12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X640" s="7" t="inlineStr">
        <is>
          <t>ahorrador</t>
        </is>
      </c>
      <c r="AF640" s="4" t="inlineStr">
        <is>
          <t>potencia_w: 25</t>
        </is>
      </c>
    </row>
    <row r="641">
      <c r="A641" s="3" t="inlineStr">
        <is>
          <t>MAT-10-021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ahorrador de 45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313.56</v>
      </c>
      <c r="L641" s="6" t="n">
        <v>313.56</v>
      </c>
      <c r="M641" s="6" t="n">
        <v>313.56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2026-09-09</t>
        </is>
      </c>
      <c r="Q641" s="4" t="inlineStr">
        <is>
          <t>Max Ferretería</t>
        </is>
      </c>
      <c r="X641" s="7" t="inlineStr">
        <is>
          <t>ahorrador</t>
        </is>
      </c>
      <c r="AF641" s="4" t="inlineStr">
        <is>
          <t>potencia_w: 45</t>
        </is>
      </c>
    </row>
    <row r="642">
      <c r="A642" s="3" t="inlineStr">
        <is>
          <t>MAT-10-022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ahorrador de 7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100</v>
      </c>
      <c r="L642" s="6" t="n">
        <v>100</v>
      </c>
      <c r="M642" s="6" t="n">
        <v>100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X642" s="7" t="inlineStr">
        <is>
          <t>ahorrador</t>
        </is>
      </c>
      <c r="AF642" s="4" t="inlineStr">
        <is>
          <t>potencia_w: 7 · temp_k: 6500</t>
        </is>
      </c>
    </row>
    <row r="643">
      <c r="A643" s="3" t="inlineStr">
        <is>
          <t>MAT-10-023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ahorrador de 85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795</v>
      </c>
      <c r="L643" s="6" t="n">
        <v>795</v>
      </c>
      <c r="M643" s="6" t="n">
        <v>795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2026-09-09</t>
        </is>
      </c>
      <c r="Q643" s="4" t="inlineStr">
        <is>
          <t>Max Ferretería</t>
        </is>
      </c>
      <c r="X643" s="7" t="inlineStr">
        <is>
          <t>ahorrador</t>
        </is>
      </c>
      <c r="AF643" s="4" t="inlineStr">
        <is>
          <t>potencia_w: 85 · temp_k: 6400</t>
        </is>
      </c>
    </row>
    <row r="644">
      <c r="A644" s="3" t="inlineStr">
        <is>
          <t>MAT-10-024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11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95</v>
      </c>
      <c r="L644" s="6" t="n">
        <v>95</v>
      </c>
      <c r="M644" s="6" t="n">
        <v>95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Bellón</t>
        </is>
      </c>
      <c r="X644" s="7" t="inlineStr">
        <is>
          <t>bajo consumo</t>
        </is>
      </c>
      <c r="AF644" s="4" t="inlineStr">
        <is>
          <t>potencia_w: 11</t>
        </is>
      </c>
    </row>
    <row r="645">
      <c r="A645" s="3" t="inlineStr">
        <is>
          <t>MAT-10-025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bajo consumo de 13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102</v>
      </c>
      <c r="L645" s="6" t="n">
        <v>102</v>
      </c>
      <c r="M645" s="6" t="n">
        <v>102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</t>
        </is>
      </c>
      <c r="X645" s="7" t="inlineStr">
        <is>
          <t>bajo consumo</t>
        </is>
      </c>
      <c r="AF645" s="4" t="inlineStr">
        <is>
          <t>potencia_w: 13</t>
        </is>
      </c>
    </row>
    <row r="646">
      <c r="A646" s="3" t="inlineStr">
        <is>
          <t>MAT-10-026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bajo consumo de 15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115.5</v>
      </c>
      <c r="L646" s="6" t="n">
        <v>85</v>
      </c>
      <c r="M646" s="6" t="n">
        <v>187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Bellón · Ferremix (Grupo Alterra)</t>
        </is>
      </c>
      <c r="X646" s="7" t="inlineStr">
        <is>
          <t>bajo consumo</t>
        </is>
      </c>
      <c r="AF646" s="4" t="inlineStr">
        <is>
          <t>potencia_w: 15</t>
        </is>
      </c>
    </row>
    <row r="647">
      <c r="A647" s="3" t="inlineStr">
        <is>
          <t>MAT-10-027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bajo consumo de 20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2</v>
      </c>
      <c r="K647" s="6" t="n">
        <v>135</v>
      </c>
      <c r="L647" s="6" t="n">
        <v>110</v>
      </c>
      <c r="M647" s="6" t="n">
        <v>187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Bellón · Ferremix (Grupo Alterra)</t>
        </is>
      </c>
      <c r="X647" s="7" t="inlineStr">
        <is>
          <t>bajo consumo</t>
        </is>
      </c>
      <c r="AF647" s="4" t="inlineStr">
        <is>
          <t>potencia_w: 20</t>
        </is>
      </c>
    </row>
    <row r="648">
      <c r="A648" s="3" t="inlineStr">
        <is>
          <t>MAT-10-028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bajo consumo de 24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145</v>
      </c>
      <c r="L648" s="6" t="n">
        <v>145</v>
      </c>
      <c r="M648" s="6" t="n">
        <v>145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Ferremix (Grupo Alterra)</t>
        </is>
      </c>
      <c r="X648" s="7" t="inlineStr">
        <is>
          <t>bajo consumo</t>
        </is>
      </c>
      <c r="AF648" s="4" t="inlineStr">
        <is>
          <t>potencia_w: 24</t>
        </is>
      </c>
    </row>
    <row r="649">
      <c r="A649" s="3" t="inlineStr">
        <is>
          <t>MAT-10-029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bajo consumo de 45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595</v>
      </c>
      <c r="L649" s="6" t="n">
        <v>595</v>
      </c>
      <c r="M649" s="6" t="n">
        <v>595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Bellón</t>
        </is>
      </c>
      <c r="X649" s="7" t="inlineStr">
        <is>
          <t>bajo consumo</t>
        </is>
      </c>
      <c r="AF649" s="4" t="inlineStr">
        <is>
          <t>potencia_w: 45</t>
        </is>
      </c>
    </row>
    <row r="650">
      <c r="A650" s="3" t="inlineStr">
        <is>
          <t>MAT-10-030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halógeno de 50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2</v>
      </c>
      <c r="K650" s="6" t="n">
        <v>70</v>
      </c>
      <c r="L650" s="6" t="n">
        <v>59</v>
      </c>
      <c r="M650" s="6" t="n">
        <v>122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 · Ferremix (Grupo Alterra)</t>
        </is>
      </c>
      <c r="X650" s="7" t="inlineStr">
        <is>
          <t>halógeno</t>
        </is>
      </c>
      <c r="AF650" s="4" t="inlineStr">
        <is>
          <t>potencia_w: 50</t>
        </is>
      </c>
    </row>
    <row r="651">
      <c r="A651" s="3" t="inlineStr">
        <is>
          <t>MAT-10-031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halógeno de 75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234</v>
      </c>
      <c r="L651" s="6" t="n">
        <v>234</v>
      </c>
      <c r="M651" s="6" t="n">
        <v>234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</t>
        </is>
      </c>
      <c r="X651" s="7" t="inlineStr">
        <is>
          <t>halógeno</t>
        </is>
      </c>
      <c r="AF651" s="4" t="inlineStr">
        <is>
          <t>potencia_w: 75</t>
        </is>
      </c>
    </row>
    <row r="652">
      <c r="A652" s="3" t="inlineStr">
        <is>
          <t>MAT-10-032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100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41</v>
      </c>
      <c r="L652" s="6" t="n">
        <v>41</v>
      </c>
      <c r="M652" s="6" t="n">
        <v>41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Bellón</t>
        </is>
      </c>
      <c r="X652" s="7" t="inlineStr">
        <is>
          <t>incandescente</t>
        </is>
      </c>
      <c r="AF652" s="4" t="inlineStr">
        <is>
          <t>potencia_w: 100</t>
        </is>
      </c>
    </row>
    <row r="653">
      <c r="A653" s="3" t="inlineStr">
        <is>
          <t>MAT-10-033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11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50</v>
      </c>
      <c r="L653" s="6" t="n">
        <v>50</v>
      </c>
      <c r="M653" s="6" t="n">
        <v>50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Ferremix (Grupo Alterra)</t>
        </is>
      </c>
      <c r="X653" s="7" t="inlineStr">
        <is>
          <t>incandescente</t>
        </is>
      </c>
      <c r="AF653" s="4" t="inlineStr">
        <is>
          <t>potencia_w: 11</t>
        </is>
      </c>
    </row>
    <row r="654">
      <c r="A654" s="3" t="inlineStr">
        <is>
          <t>MAT-10-034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15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148</v>
      </c>
      <c r="L654" s="6" t="n">
        <v>148</v>
      </c>
      <c r="M654" s="6" t="n">
        <v>148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Bellón</t>
        </is>
      </c>
      <c r="X654" s="7" t="inlineStr">
        <is>
          <t>incandescente</t>
        </is>
      </c>
      <c r="AF654" s="4" t="inlineStr">
        <is>
          <t>potencia_w: 15</t>
        </is>
      </c>
    </row>
    <row r="655">
      <c r="A655" s="3" t="inlineStr">
        <is>
          <t>MAT-10-035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incandescente de 25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2</v>
      </c>
      <c r="K655" s="6" t="n">
        <v>106.5</v>
      </c>
      <c r="L655" s="6" t="n">
        <v>85</v>
      </c>
      <c r="M655" s="6" t="n">
        <v>247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 · Max Ferretería</t>
        </is>
      </c>
      <c r="X655" s="7" t="inlineStr">
        <is>
          <t>incandescente</t>
        </is>
      </c>
      <c r="AF655" s="4" t="inlineStr">
        <is>
          <t>potencia_w: 25</t>
        </is>
      </c>
    </row>
    <row r="656">
      <c r="A656" s="3" t="inlineStr">
        <is>
          <t>MAT-10-036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incandescente de 250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628</v>
      </c>
      <c r="L656" s="6" t="n">
        <v>628</v>
      </c>
      <c r="M656" s="6" t="n">
        <v>628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Bellón</t>
        </is>
      </c>
      <c r="X656" s="7" t="inlineStr">
        <is>
          <t>incandescente</t>
        </is>
      </c>
      <c r="AF656" s="4" t="inlineStr">
        <is>
          <t>potencia_w: 250</t>
        </is>
      </c>
    </row>
    <row r="657">
      <c r="A657" s="3" t="inlineStr">
        <is>
          <t>MAT-10-037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incandescente de 40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3</v>
      </c>
      <c r="K657" s="6" t="n">
        <v>122</v>
      </c>
      <c r="L657" s="6" t="n">
        <v>80</v>
      </c>
      <c r="M657" s="6" t="n">
        <v>475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2026-09-10</t>
        </is>
      </c>
      <c r="Q657" s="4" t="inlineStr">
        <is>
          <t>Bellón · Ferremix (Grupo Alterra) · Max Ferretería</t>
        </is>
      </c>
      <c r="X657" s="7" t="inlineStr">
        <is>
          <t>incandescente</t>
        </is>
      </c>
      <c r="AF657" s="4" t="inlineStr">
        <is>
          <t>potencia_w: 40</t>
        </is>
      </c>
    </row>
    <row r="658">
      <c r="A658" s="3" t="inlineStr">
        <is>
          <t>MAT-10-038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incandescente de 50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235.06</v>
      </c>
      <c r="L658" s="6" t="n">
        <v>235.06</v>
      </c>
      <c r="M658" s="6" t="n">
        <v>235.06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2026-09-09</t>
        </is>
      </c>
      <c r="Q658" s="4" t="inlineStr">
        <is>
          <t>Max Ferretería</t>
        </is>
      </c>
      <c r="V658" s="7" t="inlineStr">
        <is>
          <t>R20</t>
        </is>
      </c>
      <c r="X658" s="7" t="inlineStr">
        <is>
          <t>incandescente</t>
        </is>
      </c>
      <c r="AF658" s="4" t="inlineStr">
        <is>
          <t>potencia_w: 50</t>
        </is>
      </c>
    </row>
    <row r="659">
      <c r="A659" s="3" t="inlineStr">
        <is>
          <t>MAT-10-039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incandescente de 75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42</v>
      </c>
      <c r="L659" s="6" t="n">
        <v>42</v>
      </c>
      <c r="M659" s="6" t="n">
        <v>42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Bellón</t>
        </is>
      </c>
      <c r="X659" s="7" t="inlineStr">
        <is>
          <t>incandescente</t>
        </is>
      </c>
      <c r="AF659" s="4" t="inlineStr">
        <is>
          <t>potencia_w: 75</t>
        </is>
      </c>
    </row>
    <row r="660">
      <c r="A660" s="3" t="inlineStr">
        <is>
          <t>MAT-10-041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1.2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40</v>
      </c>
      <c r="L660" s="6" t="n">
        <v>40</v>
      </c>
      <c r="M660" s="6" t="n">
        <v>40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2026-09-09</t>
        </is>
      </c>
      <c r="Q660" s="4" t="inlineStr">
        <is>
          <t>Max Ferretería</t>
        </is>
      </c>
      <c r="X660" s="7" t="inlineStr">
        <is>
          <t>LED</t>
        </is>
      </c>
      <c r="AF660" s="4" t="inlineStr">
        <is>
          <t>potencia_w: 1.2</t>
        </is>
      </c>
    </row>
    <row r="661">
      <c r="A661" s="3" t="inlineStr">
        <is>
          <t>MAT-10-042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1.6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1</v>
      </c>
      <c r="K661" s="6" t="n">
        <v>648.5</v>
      </c>
      <c r="L661" s="6" t="n">
        <v>530</v>
      </c>
      <c r="M661" s="6" t="n">
        <v>767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</t>
        </is>
      </c>
      <c r="X661" s="7" t="inlineStr">
        <is>
          <t>led</t>
        </is>
      </c>
      <c r="AF661" s="4" t="inlineStr">
        <is>
          <t>potencia_w: 1.6</t>
        </is>
      </c>
    </row>
    <row r="662">
      <c r="A662" s="3" t="inlineStr">
        <is>
          <t>MAT-10-043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10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3</v>
      </c>
      <c r="K662" s="6" t="n">
        <v>215</v>
      </c>
      <c r="L662" s="6" t="n">
        <v>159</v>
      </c>
      <c r="M662" s="6" t="n">
        <v>674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Bellón · Ferremix (Grupo Alterra) · Max Ferretería</t>
        </is>
      </c>
      <c r="V662" s="7" t="inlineStr">
        <is>
          <t>A60</t>
        </is>
      </c>
      <c r="AF662" s="4" t="inlineStr">
        <is>
          <t>potencia_w: 10 · temp_k: 3000</t>
        </is>
      </c>
    </row>
    <row r="663">
      <c r="A663" s="3" t="inlineStr">
        <is>
          <t>MAT-10-044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100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1825</v>
      </c>
      <c r="L663" s="6" t="n">
        <v>1825</v>
      </c>
      <c r="M663" s="6" t="n">
        <v>1825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</t>
        </is>
      </c>
      <c r="X663" s="7" t="inlineStr">
        <is>
          <t>led</t>
        </is>
      </c>
      <c r="AF663" s="4" t="inlineStr">
        <is>
          <t>potencia_w: 100</t>
        </is>
      </c>
    </row>
    <row r="664">
      <c r="A664" s="3" t="inlineStr">
        <is>
          <t>MAT-10-045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11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2</v>
      </c>
      <c r="K664" s="6" t="n">
        <v>515</v>
      </c>
      <c r="L664" s="6" t="n">
        <v>190</v>
      </c>
      <c r="M664" s="6" t="n">
        <v>930.01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Max Ferretería</t>
        </is>
      </c>
      <c r="AF664" s="4" t="inlineStr">
        <is>
          <t>potencia_w: 11</t>
        </is>
      </c>
    </row>
    <row r="665">
      <c r="A665" s="3" t="inlineStr">
        <is>
          <t>MAT-10-046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12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4</v>
      </c>
      <c r="K665" s="6" t="n">
        <v>202</v>
      </c>
      <c r="L665" s="6" t="n">
        <v>60</v>
      </c>
      <c r="M665" s="6" t="n">
        <v>945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Bellón · Ferremix (Grupo Alterra) · Max Ferretería · Mundo LED</t>
        </is>
      </c>
      <c r="V665" s="7" t="inlineStr">
        <is>
          <t>A60</t>
        </is>
      </c>
      <c r="AF665" s="4" t="inlineStr">
        <is>
          <t>potencia_w: 12</t>
        </is>
      </c>
    </row>
    <row r="666">
      <c r="A666" s="3" t="inlineStr">
        <is>
          <t>MAT-10-047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125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295</v>
      </c>
      <c r="L666" s="6" t="n">
        <v>295</v>
      </c>
      <c r="M666" s="6" t="n">
        <v>295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Ferremix (Grupo Alterra)</t>
        </is>
      </c>
      <c r="X666" s="7" t="inlineStr">
        <is>
          <t>led</t>
        </is>
      </c>
      <c r="AF666" s="4" t="inlineStr">
        <is>
          <t>potencia_w: 125</t>
        </is>
      </c>
    </row>
    <row r="667">
      <c r="A667" s="3" t="inlineStr">
        <is>
          <t>MAT-10-048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13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1</v>
      </c>
      <c r="K667" s="6" t="n">
        <v>245</v>
      </c>
      <c r="L667" s="6" t="n">
        <v>245</v>
      </c>
      <c r="M667" s="6" t="n">
        <v>245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</t>
        </is>
      </c>
      <c r="X667" s="7" t="inlineStr">
        <is>
          <t>led</t>
        </is>
      </c>
      <c r="AF667" s="4" t="inlineStr">
        <is>
          <t>potencia_w: 13</t>
        </is>
      </c>
    </row>
    <row r="668">
      <c r="A668" s="3" t="inlineStr">
        <is>
          <t>MAT-10-049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14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3</v>
      </c>
      <c r="K668" s="6" t="n">
        <v>240</v>
      </c>
      <c r="L668" s="6" t="n">
        <v>69</v>
      </c>
      <c r="M668" s="6" t="n">
        <v>1058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 · Ferremix (Grupo Alterra) · Max Ferretería</t>
        </is>
      </c>
      <c r="AF668" s="4" t="inlineStr">
        <is>
          <t>potencia_w: 14 · temp_k: 6500</t>
        </is>
      </c>
    </row>
    <row r="669">
      <c r="A669" s="3" t="inlineStr">
        <is>
          <t>MAT-10-050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15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3</v>
      </c>
      <c r="K669" s="6" t="n">
        <v>140</v>
      </c>
      <c r="L669" s="6" t="n">
        <v>35</v>
      </c>
      <c r="M669" s="6" t="n">
        <v>200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Max Ferretería · Mundo LED</t>
        </is>
      </c>
      <c r="AF669" s="4" t="inlineStr">
        <is>
          <t>potencia_w: 15</t>
        </is>
      </c>
    </row>
    <row r="670">
      <c r="A670" s="3" t="inlineStr">
        <is>
          <t>MAT-10-051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18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3</v>
      </c>
      <c r="K670" s="6" t="n">
        <v>132</v>
      </c>
      <c r="L670" s="6" t="n">
        <v>95</v>
      </c>
      <c r="M670" s="6" t="n">
        <v>260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Bellón · Ferremix (Grupo Alterra) · Max Ferretería</t>
        </is>
      </c>
      <c r="AF670" s="4" t="inlineStr">
        <is>
          <t>potencia_w: 18 · temp_k: 4000</t>
        </is>
      </c>
    </row>
    <row r="671">
      <c r="A671" s="3" t="inlineStr">
        <is>
          <t>MAT-10-052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2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2</v>
      </c>
      <c r="K671" s="6" t="n">
        <v>265</v>
      </c>
      <c r="L671" s="6" t="n">
        <v>250</v>
      </c>
      <c r="M671" s="6" t="n">
        <v>265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 · Ferremix (Grupo Alterra)</t>
        </is>
      </c>
      <c r="X671" s="7" t="inlineStr">
        <is>
          <t>led</t>
        </is>
      </c>
      <c r="AF671" s="4" t="inlineStr">
        <is>
          <t>potencia_w: 2</t>
        </is>
      </c>
    </row>
    <row r="672">
      <c r="A672" s="3" t="inlineStr">
        <is>
          <t>MAT-10-053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2.5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2</v>
      </c>
      <c r="K672" s="6" t="n">
        <v>265</v>
      </c>
      <c r="L672" s="6" t="n">
        <v>265</v>
      </c>
      <c r="M672" s="6" t="n">
        <v>310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 · Max Ferretería</t>
        </is>
      </c>
      <c r="V672" s="7" t="inlineStr">
        <is>
          <t>G9</t>
        </is>
      </c>
      <c r="AF672" s="4" t="inlineStr">
        <is>
          <t>potencia_w: 2.5 · temp_k: 6500</t>
        </is>
      </c>
    </row>
    <row r="673">
      <c r="A673" s="3" t="inlineStr">
        <is>
          <t>MAT-10-054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20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2</v>
      </c>
      <c r="K673" s="6" t="n">
        <v>222.5</v>
      </c>
      <c r="L673" s="6" t="n">
        <v>149</v>
      </c>
      <c r="M673" s="6" t="n">
        <v>280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Bellón · Ferremix (Grupo Alterra)</t>
        </is>
      </c>
      <c r="X673" s="7" t="inlineStr">
        <is>
          <t>led</t>
        </is>
      </c>
      <c r="AF673" s="4" t="inlineStr">
        <is>
          <t>potencia_w: 20</t>
        </is>
      </c>
    </row>
    <row r="674">
      <c r="A674" s="3" t="inlineStr">
        <is>
          <t>MAT-10-055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25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214</v>
      </c>
      <c r="L674" s="6" t="n">
        <v>199</v>
      </c>
      <c r="M674" s="6" t="n">
        <v>229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Ferremix (Grupo Alterra)</t>
        </is>
      </c>
      <c r="X674" s="7" t="inlineStr">
        <is>
          <t>led</t>
        </is>
      </c>
      <c r="AF674" s="4" t="inlineStr">
        <is>
          <t>potencia_w: 25</t>
        </is>
      </c>
    </row>
    <row r="675">
      <c r="A675" s="3" t="inlineStr">
        <is>
          <t>MAT-10-056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28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1</v>
      </c>
      <c r="K675" s="6" t="n">
        <v>455</v>
      </c>
      <c r="L675" s="6" t="n">
        <v>455</v>
      </c>
      <c r="M675" s="6" t="n">
        <v>455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Bellón</t>
        </is>
      </c>
      <c r="X675" s="7" t="inlineStr">
        <is>
          <t>led</t>
        </is>
      </c>
      <c r="AF675" s="4" t="inlineStr">
        <is>
          <t>potencia_w: 28</t>
        </is>
      </c>
    </row>
    <row r="676">
      <c r="A676" s="3" t="inlineStr">
        <is>
          <t>MAT-10-057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3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4</v>
      </c>
      <c r="K676" s="6" t="n">
        <v>150</v>
      </c>
      <c r="L676" s="6" t="n">
        <v>50</v>
      </c>
      <c r="M676" s="6" t="n">
        <v>218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Bellón · Ferremix (Grupo Alterra) · Max Ferretería · Mundo LED</t>
        </is>
      </c>
      <c r="AF676" s="4" t="inlineStr">
        <is>
          <t>potencia_w: 3 · temp_k: 3000</t>
        </is>
      </c>
    </row>
    <row r="677">
      <c r="A677" s="3" t="inlineStr">
        <is>
          <t>MAT-10-058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3.5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474.36</v>
      </c>
      <c r="L677" s="6" t="n">
        <v>474.36</v>
      </c>
      <c r="M677" s="6" t="n">
        <v>474.36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2026-09-10</t>
        </is>
      </c>
      <c r="Q677" s="4" t="inlineStr">
        <is>
          <t>Ferremix (Grupo Alterra)</t>
        </is>
      </c>
      <c r="X677" s="7" t="inlineStr">
        <is>
          <t>led</t>
        </is>
      </c>
      <c r="AF677" s="4" t="inlineStr">
        <is>
          <t>potencia_w: 3.5</t>
        </is>
      </c>
    </row>
    <row r="678">
      <c r="A678" s="3" t="inlineStr">
        <is>
          <t>MAT-10-059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30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2</v>
      </c>
      <c r="K678" s="6" t="n">
        <v>385</v>
      </c>
      <c r="L678" s="6" t="n">
        <v>123</v>
      </c>
      <c r="M678" s="6" t="n">
        <v>596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Bellón · Max Ferretería</t>
        </is>
      </c>
      <c r="AF678" s="4" t="inlineStr">
        <is>
          <t>potencia_w: 30</t>
        </is>
      </c>
    </row>
    <row r="679">
      <c r="A679" s="3" t="inlineStr">
        <is>
          <t>MAT-10-060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35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2</v>
      </c>
      <c r="K679" s="6" t="n">
        <v>767</v>
      </c>
      <c r="L679" s="6" t="n">
        <v>339</v>
      </c>
      <c r="M679" s="6" t="n">
        <v>1195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Ferremix (Grupo Alterra) · Max Ferretería</t>
        </is>
      </c>
      <c r="AF679" s="4" t="inlineStr">
        <is>
          <t>potencia_w: 35</t>
        </is>
      </c>
    </row>
    <row r="680">
      <c r="A680" s="3" t="inlineStr">
        <is>
          <t>MAT-10-061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4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3</v>
      </c>
      <c r="K680" s="6" t="n">
        <v>180</v>
      </c>
      <c r="L680" s="6" t="n">
        <v>64.98999999999999</v>
      </c>
      <c r="M680" s="6" t="n">
        <v>1349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2026-09-10</t>
        </is>
      </c>
      <c r="Q680" s="4" t="inlineStr">
        <is>
          <t>Bellón · Max Ferretería · Mundo LED</t>
        </is>
      </c>
      <c r="AF680" s="4" t="inlineStr">
        <is>
          <t>potencia_w: 4</t>
        </is>
      </c>
    </row>
    <row r="681">
      <c r="A681" s="3" t="inlineStr">
        <is>
          <t>MAT-10-062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4.9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105</v>
      </c>
      <c r="L681" s="6" t="n">
        <v>105</v>
      </c>
      <c r="M681" s="6" t="n">
        <v>105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X681" s="7" t="inlineStr">
        <is>
          <t>LED</t>
        </is>
      </c>
      <c r="AF681" s="4" t="inlineStr">
        <is>
          <t>potencia_w: 4.9 · temp_k: 6500</t>
        </is>
      </c>
    </row>
    <row r="682">
      <c r="A682" s="3" t="inlineStr">
        <is>
          <t>MAT-10-063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40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3</v>
      </c>
      <c r="K682" s="6" t="n">
        <v>500</v>
      </c>
      <c r="L682" s="6" t="n">
        <v>470</v>
      </c>
      <c r="M682" s="6" t="n">
        <v>880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Ferremix (Grupo Alterra) · Max Ferretería</t>
        </is>
      </c>
      <c r="AF682" s="4" t="inlineStr">
        <is>
          <t>potencia_w: 40</t>
        </is>
      </c>
    </row>
    <row r="683">
      <c r="A683" s="3" t="inlineStr">
        <is>
          <t>MAT-10-064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5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4</v>
      </c>
      <c r="K683" s="6" t="n">
        <v>180</v>
      </c>
      <c r="L683" s="6" t="n">
        <v>47.45</v>
      </c>
      <c r="M683" s="6" t="n">
        <v>500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 · Ferremix (Grupo Alterra) · Max Ferretería · Mundo LED</t>
        </is>
      </c>
      <c r="V683" s="7" t="inlineStr">
        <is>
          <t>MR16</t>
        </is>
      </c>
      <c r="AF683" s="4" t="inlineStr">
        <is>
          <t>potencia_w: 5</t>
        </is>
      </c>
    </row>
    <row r="684">
      <c r="A684" s="3" t="inlineStr">
        <is>
          <t>MAT-10-065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50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2</v>
      </c>
      <c r="K684" s="6" t="n">
        <v>492.5</v>
      </c>
      <c r="L684" s="6" t="n">
        <v>166</v>
      </c>
      <c r="M684" s="6" t="n">
        <v>1115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2026-09-10</t>
        </is>
      </c>
      <c r="Q684" s="4" t="inlineStr">
        <is>
          <t>Bellón · Max Ferretería</t>
        </is>
      </c>
      <c r="AF684" s="4" t="inlineStr">
        <is>
          <t>potencia_w: 50</t>
        </is>
      </c>
    </row>
    <row r="685">
      <c r="A685" s="3" t="inlineStr">
        <is>
          <t>MAT-10-066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55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1</v>
      </c>
      <c r="K685" s="6" t="n">
        <v>1724.99</v>
      </c>
      <c r="L685" s="6" t="n">
        <v>1724.99</v>
      </c>
      <c r="M685" s="6" t="n">
        <v>1724.99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2026-09-09</t>
        </is>
      </c>
      <c r="Q685" s="4" t="inlineStr">
        <is>
          <t>Max Ferretería</t>
        </is>
      </c>
      <c r="X685" s="7" t="inlineStr">
        <is>
          <t>LED</t>
        </is>
      </c>
      <c r="AF685" s="4" t="inlineStr">
        <is>
          <t>potencia_w: 55</t>
        </is>
      </c>
    </row>
    <row r="686">
      <c r="A686" s="3" t="inlineStr">
        <is>
          <t>MAT-10-067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6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4</v>
      </c>
      <c r="K686" s="6" t="n">
        <v>185</v>
      </c>
      <c r="L686" s="6" t="n">
        <v>65</v>
      </c>
      <c r="M686" s="6" t="n">
        <v>674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2026-09-10</t>
        </is>
      </c>
      <c r="Q686" s="4" t="inlineStr">
        <is>
          <t>Bellón · Ferremix (Grupo Alterra) · Max Ferretería · Mundo LED</t>
        </is>
      </c>
      <c r="AF686" s="4" t="inlineStr">
        <is>
          <t>potencia_w: 6</t>
        </is>
      </c>
    </row>
    <row r="687">
      <c r="A687" s="3" t="inlineStr">
        <is>
          <t>MAT-10-068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6.5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370</v>
      </c>
      <c r="L687" s="6" t="n">
        <v>370</v>
      </c>
      <c r="M687" s="6" t="n">
        <v>370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</t>
        </is>
      </c>
      <c r="X687" s="7" t="inlineStr">
        <is>
          <t>led</t>
        </is>
      </c>
      <c r="AF687" s="4" t="inlineStr">
        <is>
          <t>potencia_w: 6.5</t>
        </is>
      </c>
    </row>
    <row r="688">
      <c r="A688" s="3" t="inlineStr">
        <is>
          <t>MAT-10-069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65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341</v>
      </c>
      <c r="L688" s="6" t="n">
        <v>341</v>
      </c>
      <c r="M688" s="6" t="n">
        <v>341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</t>
        </is>
      </c>
      <c r="X688" s="7" t="inlineStr">
        <is>
          <t>led</t>
        </is>
      </c>
      <c r="AF688" s="4" t="inlineStr">
        <is>
          <t>potencia_w: 65</t>
        </is>
      </c>
    </row>
    <row r="689">
      <c r="A689" s="3" t="inlineStr">
        <is>
          <t>MAT-10-070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7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3</v>
      </c>
      <c r="K689" s="6" t="n">
        <v>103</v>
      </c>
      <c r="L689" s="6" t="n">
        <v>77</v>
      </c>
      <c r="M689" s="6" t="n">
        <v>360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2026-09-10</t>
        </is>
      </c>
      <c r="Q689" s="4" t="inlineStr">
        <is>
          <t>Bellón · Max Ferretería · Mundo LED</t>
        </is>
      </c>
      <c r="AF689" s="4" t="inlineStr">
        <is>
          <t>potencia_w: 7</t>
        </is>
      </c>
    </row>
    <row r="690">
      <c r="A690" s="3" t="inlineStr">
        <is>
          <t>MAT-10-071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8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3</v>
      </c>
      <c r="K690" s="6" t="n">
        <v>220</v>
      </c>
      <c r="L690" s="6" t="n">
        <v>75</v>
      </c>
      <c r="M690" s="6" t="n">
        <v>553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2026-09-10</t>
        </is>
      </c>
      <c r="Q690" s="4" t="inlineStr">
        <is>
          <t>Bellón · Ferremix (Grupo Alterra) · Mundo LED</t>
        </is>
      </c>
      <c r="X690" s="7" t="inlineStr">
        <is>
          <t>led</t>
        </is>
      </c>
      <c r="AF690" s="4" t="inlineStr">
        <is>
          <t>potencia_w: 8</t>
        </is>
      </c>
    </row>
    <row r="691">
      <c r="A691" s="3" t="inlineStr">
        <is>
          <t>MAT-10-072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9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4</v>
      </c>
      <c r="K691" s="6" t="n">
        <v>105</v>
      </c>
      <c r="L691" s="6" t="n">
        <v>77</v>
      </c>
      <c r="M691" s="6" t="n">
        <v>660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2026-09-10</t>
        </is>
      </c>
      <c r="Q691" s="4" t="inlineStr">
        <is>
          <t>Bellón · Ferremix (Grupo Alterra) · Max Ferretería · Mundo LED</t>
        </is>
      </c>
      <c r="AF691" s="4" t="inlineStr">
        <is>
          <t>potencia_w: 9 · temp_k: 6500</t>
        </is>
      </c>
    </row>
    <row r="692">
      <c r="A692" s="3" t="inlineStr">
        <is>
          <t>MAT-10-073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9.5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182</v>
      </c>
      <c r="L692" s="6" t="n">
        <v>171</v>
      </c>
      <c r="M692" s="6" t="n">
        <v>634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2026-09-10</t>
        </is>
      </c>
      <c r="Q692" s="4" t="inlineStr">
        <is>
          <t>Bellón</t>
        </is>
      </c>
      <c r="X692" s="7" t="inlineStr">
        <is>
          <t>led</t>
        </is>
      </c>
      <c r="AF692" s="4" t="inlineStr">
        <is>
          <t>potencia_w: 9.5</t>
        </is>
      </c>
    </row>
    <row r="693">
      <c r="A693" s="3" t="inlineStr">
        <is>
          <t>MAT-10-074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empotrado cuadrado de 18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340.01</v>
      </c>
      <c r="L693" s="6" t="n">
        <v>340.01</v>
      </c>
      <c r="M693" s="6" t="n">
        <v>340.01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R693" s="7" t="inlineStr">
        <is>
          <t>cuadrado</t>
        </is>
      </c>
      <c r="S693" s="7" t="inlineStr">
        <is>
          <t>empotrado</t>
        </is>
      </c>
      <c r="AF693" s="4" t="inlineStr">
        <is>
          <t>potencia_w: 18 · temp_k: 6500</t>
        </is>
      </c>
    </row>
    <row r="694">
      <c r="A694" s="3" t="inlineStr">
        <is>
          <t>MAT-10-075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empotrado cuadrado de 3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240</v>
      </c>
      <c r="L694" s="6" t="n">
        <v>240</v>
      </c>
      <c r="M694" s="6" t="n">
        <v>240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R694" s="7" t="inlineStr">
        <is>
          <t>cuadrado</t>
        </is>
      </c>
      <c r="S694" s="7" t="inlineStr">
        <is>
          <t>empotrado</t>
        </is>
      </c>
      <c r="AF694" s="4" t="inlineStr">
        <is>
          <t>potencia_w: 3 · temp_k: 3000</t>
        </is>
      </c>
    </row>
    <row r="695">
      <c r="A695" s="3" t="inlineStr">
        <is>
          <t>MAT-10-076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empotrado redondo de 12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304.99</v>
      </c>
      <c r="L695" s="6" t="n">
        <v>304.99</v>
      </c>
      <c r="M695" s="6" t="n">
        <v>304.99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R695" s="7" t="inlineStr">
        <is>
          <t>redondo</t>
        </is>
      </c>
      <c r="S695" s="7" t="inlineStr">
        <is>
          <t>empotrado</t>
        </is>
      </c>
      <c r="AF695" s="4" t="inlineStr">
        <is>
          <t>potencia_w: 12 · temp_k: 6500</t>
        </is>
      </c>
    </row>
    <row r="696">
      <c r="A696" s="3" t="inlineStr">
        <is>
          <t>MAT-10-077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empotrado redondo de 18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290</v>
      </c>
      <c r="L696" s="6" t="n">
        <v>290</v>
      </c>
      <c r="M696" s="6" t="n">
        <v>290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R696" s="7" t="inlineStr">
        <is>
          <t>redondo</t>
        </is>
      </c>
      <c r="S696" s="7" t="inlineStr">
        <is>
          <t>empotrado</t>
        </is>
      </c>
      <c r="AF696" s="4" t="inlineStr">
        <is>
          <t>potencia_w: 18 · temp_k: 6500</t>
        </is>
      </c>
    </row>
    <row r="697">
      <c r="A697" s="3" t="inlineStr">
        <is>
          <t>MAT-10-078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empotrado redondo de 24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650</v>
      </c>
      <c r="L697" s="6" t="n">
        <v>650</v>
      </c>
      <c r="M697" s="6" t="n">
        <v>650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2026-09-09</t>
        </is>
      </c>
      <c r="Q697" s="4" t="inlineStr">
        <is>
          <t>Max Ferretería</t>
        </is>
      </c>
      <c r="R697" s="7" t="inlineStr">
        <is>
          <t>redondo</t>
        </is>
      </c>
      <c r="S697" s="7" t="inlineStr">
        <is>
          <t>empotrado</t>
        </is>
      </c>
      <c r="AF697" s="4" t="inlineStr">
        <is>
          <t>potencia_w: 24 · temp_k: 6500</t>
        </is>
      </c>
    </row>
    <row r="698">
      <c r="A698" s="3" t="inlineStr">
        <is>
          <t>MAT-10-079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10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845</v>
      </c>
      <c r="L698" s="6" t="n">
        <v>845</v>
      </c>
      <c r="M698" s="6" t="n">
        <v>845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10</t>
        </is>
      </c>
    </row>
    <row r="699">
      <c r="A699" s="3" t="inlineStr">
        <is>
          <t>MAT-10-080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11.5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926</v>
      </c>
      <c r="L699" s="6" t="n">
        <v>465</v>
      </c>
      <c r="M699" s="6" t="n">
        <v>1330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11.5</t>
        </is>
      </c>
    </row>
    <row r="700">
      <c r="A700" s="3" t="inlineStr">
        <is>
          <t>MAT-10-081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12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2</v>
      </c>
      <c r="K700" s="6" t="n">
        <v>245</v>
      </c>
      <c r="L700" s="6" t="n">
        <v>170</v>
      </c>
      <c r="M700" s="6" t="n">
        <v>430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 · Ferremix (Grupo Alterra)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12</t>
        </is>
      </c>
    </row>
    <row r="701">
      <c r="A701" s="3" t="inlineStr">
        <is>
          <t>MAT-10-082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15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1764</v>
      </c>
      <c r="L701" s="6" t="n">
        <v>1764</v>
      </c>
      <c r="M701" s="6" t="n">
        <v>1764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15</t>
        </is>
      </c>
    </row>
    <row r="702">
      <c r="A702" s="3" t="inlineStr">
        <is>
          <t>MAT-10-083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18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2</v>
      </c>
      <c r="K702" s="6" t="n">
        <v>439.5</v>
      </c>
      <c r="L702" s="6" t="n">
        <v>349</v>
      </c>
      <c r="M702" s="6" t="n">
        <v>599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 · Ferremix (Grupo Alterra)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18</t>
        </is>
      </c>
    </row>
    <row r="703">
      <c r="A703" s="3" t="inlineStr">
        <is>
          <t>MAT-10-084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22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665</v>
      </c>
      <c r="L703" s="6" t="n">
        <v>665</v>
      </c>
      <c r="M703" s="6" t="n">
        <v>665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22</t>
        </is>
      </c>
    </row>
    <row r="704">
      <c r="A704" s="3" t="inlineStr">
        <is>
          <t>MAT-10-085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24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699</v>
      </c>
      <c r="L704" s="6" t="n">
        <v>699</v>
      </c>
      <c r="M704" s="6" t="n">
        <v>699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Bellón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24</t>
        </is>
      </c>
    </row>
    <row r="705">
      <c r="A705" s="3" t="inlineStr">
        <is>
          <t>MAT-10-086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3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265</v>
      </c>
      <c r="L705" s="6" t="n">
        <v>265</v>
      </c>
      <c r="M705" s="6" t="n">
        <v>265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3</t>
        </is>
      </c>
    </row>
    <row r="706">
      <c r="A706" s="3" t="inlineStr">
        <is>
          <t>MAT-10-087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36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2</v>
      </c>
      <c r="K706" s="6" t="n">
        <v>1077</v>
      </c>
      <c r="L706" s="6" t="n">
        <v>1050</v>
      </c>
      <c r="M706" s="6" t="n">
        <v>1104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 · Mundo LED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36</t>
        </is>
      </c>
    </row>
    <row r="707">
      <c r="A707" s="3" t="inlineStr">
        <is>
          <t>MAT-10-088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4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245</v>
      </c>
      <c r="L707" s="6" t="n">
        <v>245</v>
      </c>
      <c r="M707" s="6" t="n">
        <v>245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Bellón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4</t>
        </is>
      </c>
    </row>
    <row r="708">
      <c r="A708" s="3" t="inlineStr">
        <is>
          <t>MAT-10-089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cuadrado de 40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1475</v>
      </c>
      <c r="L708" s="6" t="n">
        <v>1150</v>
      </c>
      <c r="M708" s="6" t="n">
        <v>2500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Mundo LED</t>
        </is>
      </c>
      <c r="R708" s="7" t="inlineStr">
        <is>
          <t>cuadrado</t>
        </is>
      </c>
      <c r="S708" s="7" t="inlineStr">
        <is>
          <t>empotrar</t>
        </is>
      </c>
      <c r="AF708" s="4" t="inlineStr">
        <is>
          <t>potencia_w: 40</t>
        </is>
      </c>
    </row>
    <row r="709">
      <c r="A709" s="3" t="inlineStr">
        <is>
          <t>MAT-10-090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cuadrado de 6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2</v>
      </c>
      <c r="K709" s="6" t="n">
        <v>241</v>
      </c>
      <c r="L709" s="6" t="n">
        <v>159</v>
      </c>
      <c r="M709" s="6" t="n">
        <v>285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 · Ferremix (Grupo Alterra)</t>
        </is>
      </c>
      <c r="R709" s="7" t="inlineStr">
        <is>
          <t>cuadrado</t>
        </is>
      </c>
      <c r="S709" s="7" t="inlineStr">
        <is>
          <t>empotrar</t>
        </is>
      </c>
      <c r="AF709" s="4" t="inlineStr">
        <is>
          <t>potencia_w: 6</t>
        </is>
      </c>
    </row>
    <row r="710">
      <c r="A710" s="3" t="inlineStr">
        <is>
          <t>MAT-10-091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cuadrado de 7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895.5</v>
      </c>
      <c r="L710" s="6" t="n">
        <v>880</v>
      </c>
      <c r="M710" s="6" t="n">
        <v>911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</t>
        </is>
      </c>
      <c r="R710" s="7" t="inlineStr">
        <is>
          <t>cuadrado</t>
        </is>
      </c>
      <c r="S710" s="7" t="inlineStr">
        <is>
          <t>empotrar</t>
        </is>
      </c>
      <c r="AF710" s="4" t="inlineStr">
        <is>
          <t>potencia_w: 7</t>
        </is>
      </c>
    </row>
    <row r="711">
      <c r="A711" s="3" t="inlineStr">
        <is>
          <t>MAT-10-092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cuadrado de 7.8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530.5</v>
      </c>
      <c r="L711" s="6" t="n">
        <v>405</v>
      </c>
      <c r="M711" s="6" t="n">
        <v>656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</t>
        </is>
      </c>
      <c r="R711" s="7" t="inlineStr">
        <is>
          <t>cuadrado</t>
        </is>
      </c>
      <c r="S711" s="7" t="inlineStr">
        <is>
          <t>empotrar</t>
        </is>
      </c>
      <c r="AF711" s="4" t="inlineStr">
        <is>
          <t>potencia_w: 7.8</t>
        </is>
      </c>
    </row>
    <row r="712">
      <c r="A712" s="3" t="inlineStr">
        <is>
          <t>MAT-10-093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cuadrado de 9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1054</v>
      </c>
      <c r="L712" s="6" t="n">
        <v>1044</v>
      </c>
      <c r="M712" s="6" t="n">
        <v>1064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Bellón</t>
        </is>
      </c>
      <c r="R712" s="7" t="inlineStr">
        <is>
          <t>cuadrado</t>
        </is>
      </c>
      <c r="S712" s="7" t="inlineStr">
        <is>
          <t>empotrar</t>
        </is>
      </c>
      <c r="AF712" s="4" t="inlineStr">
        <is>
          <t>potencia_w: 9</t>
        </is>
      </c>
    </row>
    <row r="713">
      <c r="A713" s="3" t="inlineStr">
        <is>
          <t>MAT-10-094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11.5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516.5</v>
      </c>
      <c r="L713" s="6" t="n">
        <v>465</v>
      </c>
      <c r="M713" s="6" t="n">
        <v>568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11.5</t>
        </is>
      </c>
    </row>
    <row r="714">
      <c r="A714" s="3" t="inlineStr">
        <is>
          <t>MAT-10-095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11.6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1552</v>
      </c>
      <c r="L714" s="6" t="n">
        <v>1552</v>
      </c>
      <c r="M714" s="6" t="n">
        <v>1552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11.6</t>
        </is>
      </c>
    </row>
    <row r="715">
      <c r="A715" s="3" t="inlineStr">
        <is>
          <t>MAT-10-096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12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3</v>
      </c>
      <c r="K715" s="6" t="n">
        <v>350</v>
      </c>
      <c r="L715" s="6" t="n">
        <v>135</v>
      </c>
      <c r="M715" s="6" t="n">
        <v>992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Bellón · Ferremix (Grupo Alterra) · Mundo LED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12</t>
        </is>
      </c>
    </row>
    <row r="716">
      <c r="A716" s="3" t="inlineStr">
        <is>
          <t>MAT-10-097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15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232</v>
      </c>
      <c r="L716" s="6" t="n">
        <v>232</v>
      </c>
      <c r="M716" s="6" t="n">
        <v>232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Mundo LED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15</t>
        </is>
      </c>
    </row>
    <row r="717">
      <c r="A717" s="3" t="inlineStr">
        <is>
          <t>MAT-10-098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18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3</v>
      </c>
      <c r="K717" s="6" t="n">
        <v>381</v>
      </c>
      <c r="L717" s="6" t="n">
        <v>205</v>
      </c>
      <c r="M717" s="6" t="n">
        <v>1313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 · Ferremix (Grupo Alterra) · Mundo LED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18</t>
        </is>
      </c>
    </row>
    <row r="718">
      <c r="A718" s="3" t="inlineStr">
        <is>
          <t>MAT-10-099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22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786</v>
      </c>
      <c r="L718" s="6" t="n">
        <v>660</v>
      </c>
      <c r="M718" s="6" t="n">
        <v>912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Bellón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22</t>
        </is>
      </c>
    </row>
    <row r="719">
      <c r="A719" s="3" t="inlineStr">
        <is>
          <t>MAT-10-100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24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2</v>
      </c>
      <c r="K719" s="6" t="n">
        <v>514</v>
      </c>
      <c r="L719" s="6" t="n">
        <v>295</v>
      </c>
      <c r="M719" s="6" t="n">
        <v>744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 · Mundo LED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24</t>
        </is>
      </c>
    </row>
    <row r="720">
      <c r="A720" s="3" t="inlineStr">
        <is>
          <t>MAT-10-101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25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646.5</v>
      </c>
      <c r="L720" s="6" t="n">
        <v>630</v>
      </c>
      <c r="M720" s="6" t="n">
        <v>663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Bellón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25</t>
        </is>
      </c>
    </row>
    <row r="721">
      <c r="A721" s="3" t="inlineStr">
        <is>
          <t>MAT-10-102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3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2</v>
      </c>
      <c r="K721" s="6" t="n">
        <v>142.5</v>
      </c>
      <c r="L721" s="6" t="n">
        <v>90</v>
      </c>
      <c r="M721" s="6" t="n">
        <v>502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Bellón · Mundo LED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3</t>
        </is>
      </c>
    </row>
    <row r="722">
      <c r="A722" s="3" t="inlineStr">
        <is>
          <t>MAT-10-103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36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808</v>
      </c>
      <c r="L722" s="6" t="n">
        <v>808</v>
      </c>
      <c r="M722" s="6" t="n">
        <v>808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36</t>
        </is>
      </c>
    </row>
    <row r="723">
      <c r="A723" s="3" t="inlineStr">
        <is>
          <t>MAT-10-104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4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280</v>
      </c>
      <c r="L723" s="6" t="n">
        <v>245</v>
      </c>
      <c r="M723" s="6" t="n">
        <v>315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Bellón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4</t>
        </is>
      </c>
    </row>
    <row r="724">
      <c r="A724" s="3" t="inlineStr">
        <is>
          <t>MAT-10-105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40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1600</v>
      </c>
      <c r="L724" s="6" t="n">
        <v>1600</v>
      </c>
      <c r="M724" s="6" t="n">
        <v>1600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Mundo LED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40</t>
        </is>
      </c>
    </row>
    <row r="725">
      <c r="A725" s="3" t="inlineStr">
        <is>
          <t>MAT-10-106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5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159</v>
      </c>
      <c r="L725" s="6" t="n">
        <v>159</v>
      </c>
      <c r="M725" s="6" t="n">
        <v>159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Ferremix (Grupo Alterra)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5</t>
        </is>
      </c>
    </row>
    <row r="726">
      <c r="A726" s="3" t="inlineStr">
        <is>
          <t>MAT-10-107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6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3</v>
      </c>
      <c r="K726" s="6" t="n">
        <v>189</v>
      </c>
      <c r="L726" s="6" t="n">
        <v>95</v>
      </c>
      <c r="M726" s="6" t="n">
        <v>624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Bellón · Ferremix (Grupo Alterra) · Mundo LED</t>
        </is>
      </c>
      <c r="R726" s="7" t="inlineStr">
        <is>
          <t>redondo</t>
        </is>
      </c>
      <c r="S726" s="7" t="inlineStr">
        <is>
          <t>empotrar</t>
        </is>
      </c>
      <c r="AF726" s="4" t="inlineStr">
        <is>
          <t>potencia_w: 6</t>
        </is>
      </c>
    </row>
    <row r="727">
      <c r="A727" s="3" t="inlineStr">
        <is>
          <t>MAT-10-108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redondo de 7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219</v>
      </c>
      <c r="L727" s="6" t="n">
        <v>219</v>
      </c>
      <c r="M727" s="6" t="n">
        <v>219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Ferremix (Grupo Alterra)</t>
        </is>
      </c>
      <c r="R727" s="7" t="inlineStr">
        <is>
          <t>redondo</t>
        </is>
      </c>
      <c r="S727" s="7" t="inlineStr">
        <is>
          <t>empotrar</t>
        </is>
      </c>
      <c r="AF727" s="4" t="inlineStr">
        <is>
          <t>potencia_w: 7</t>
        </is>
      </c>
    </row>
    <row r="728">
      <c r="A728" s="3" t="inlineStr">
        <is>
          <t>MAT-10-109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redondo de 7.8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385</v>
      </c>
      <c r="L728" s="6" t="n">
        <v>335</v>
      </c>
      <c r="M728" s="6" t="n">
        <v>435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redondo</t>
        </is>
      </c>
      <c r="S728" s="7" t="inlineStr">
        <is>
          <t>empotrar</t>
        </is>
      </c>
      <c r="AF728" s="4" t="inlineStr">
        <is>
          <t>potencia_w: 7.8</t>
        </is>
      </c>
    </row>
    <row r="729">
      <c r="A729" s="3" t="inlineStr">
        <is>
          <t>MAT-10-110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redondo de 8.5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1268</v>
      </c>
      <c r="L729" s="6" t="n">
        <v>1268</v>
      </c>
      <c r="M729" s="6" t="n">
        <v>1268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</t>
        </is>
      </c>
      <c r="R729" s="7" t="inlineStr">
        <is>
          <t>redondo</t>
        </is>
      </c>
      <c r="S729" s="7" t="inlineStr">
        <is>
          <t>empotrar</t>
        </is>
      </c>
      <c r="AF729" s="4" t="inlineStr">
        <is>
          <t>potencia_w: 8.5</t>
        </is>
      </c>
    </row>
    <row r="730">
      <c r="A730" s="3" t="inlineStr">
        <is>
          <t>MAT-10-111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redondo de 9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2</v>
      </c>
      <c r="K730" s="6" t="n">
        <v>310</v>
      </c>
      <c r="L730" s="6" t="n">
        <v>120</v>
      </c>
      <c r="M730" s="6" t="n">
        <v>893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 · Mundo LED</t>
        </is>
      </c>
      <c r="R730" s="7" t="inlineStr">
        <is>
          <t>redondo</t>
        </is>
      </c>
      <c r="S730" s="7" t="inlineStr">
        <is>
          <t>empotrar</t>
        </is>
      </c>
      <c r="AF730" s="4" t="inlineStr">
        <is>
          <t>potencia_w: 9</t>
        </is>
      </c>
    </row>
    <row r="731">
      <c r="A731" s="3" t="inlineStr">
        <is>
          <t>MAT-10-112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redondo de 9.8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859</v>
      </c>
      <c r="L731" s="6" t="n">
        <v>859</v>
      </c>
      <c r="M731" s="6" t="n">
        <v>859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redondo</t>
        </is>
      </c>
      <c r="S731" s="7" t="inlineStr">
        <is>
          <t>empotrar</t>
        </is>
      </c>
      <c r="AF731" s="4" t="inlineStr">
        <is>
          <t>potencia_w: 9.8</t>
        </is>
      </c>
    </row>
    <row r="732">
      <c r="A732" s="3" t="inlineStr">
        <is>
          <t>MAT-10-113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10.5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2536</v>
      </c>
      <c r="L732" s="6" t="n">
        <v>2536</v>
      </c>
      <c r="M732" s="6" t="n">
        <v>2536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10.5</t>
        </is>
      </c>
    </row>
    <row r="733">
      <c r="A733" s="3" t="inlineStr">
        <is>
          <t>MAT-10-114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11.5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535</v>
      </c>
      <c r="L733" s="6" t="n">
        <v>535</v>
      </c>
      <c r="M733" s="6" t="n">
        <v>535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cuadrado</t>
        </is>
      </c>
      <c r="S733" s="7" t="inlineStr">
        <is>
          <t>sobreponer</t>
        </is>
      </c>
      <c r="AF733" s="4" t="inlineStr">
        <is>
          <t>potencia_w: 11.5</t>
        </is>
      </c>
    </row>
    <row r="734">
      <c r="A734" s="3" t="inlineStr">
        <is>
          <t>MAT-10-115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cuadrado de 12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390</v>
      </c>
      <c r="L734" s="6" t="n">
        <v>220</v>
      </c>
      <c r="M734" s="6" t="n">
        <v>400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cuadrado</t>
        </is>
      </c>
      <c r="S734" s="7" t="inlineStr">
        <is>
          <t>sobreponer</t>
        </is>
      </c>
      <c r="AF734" s="4" t="inlineStr">
        <is>
          <t>potencia_w: 12</t>
        </is>
      </c>
    </row>
    <row r="735">
      <c r="A735" s="3" t="inlineStr">
        <is>
          <t>MAT-10-116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cuadrado de 18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390</v>
      </c>
      <c r="L735" s="6" t="n">
        <v>305</v>
      </c>
      <c r="M735" s="6" t="n">
        <v>505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</t>
        </is>
      </c>
      <c r="R735" s="7" t="inlineStr">
        <is>
          <t>cuadrado</t>
        </is>
      </c>
      <c r="S735" s="7" t="inlineStr">
        <is>
          <t>sobreponer</t>
        </is>
      </c>
      <c r="AF735" s="4" t="inlineStr">
        <is>
          <t>potencia_w: 18</t>
        </is>
      </c>
    </row>
    <row r="736">
      <c r="A736" s="3" t="inlineStr">
        <is>
          <t>MAT-10-117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cuadrado de 22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760</v>
      </c>
      <c r="L736" s="6" t="n">
        <v>760</v>
      </c>
      <c r="M736" s="6" t="n">
        <v>760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</t>
        </is>
      </c>
      <c r="R736" s="7" t="inlineStr">
        <is>
          <t>cuadrado</t>
        </is>
      </c>
      <c r="S736" s="7" t="inlineStr">
        <is>
          <t>sobreponer</t>
        </is>
      </c>
      <c r="AF736" s="4" t="inlineStr">
        <is>
          <t>potencia_w: 22</t>
        </is>
      </c>
    </row>
    <row r="737">
      <c r="A737" s="3" t="inlineStr">
        <is>
          <t>MAT-10-118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cuadrado de 24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695</v>
      </c>
      <c r="L737" s="6" t="n">
        <v>695</v>
      </c>
      <c r="M737" s="6" t="n">
        <v>695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cuadrado</t>
        </is>
      </c>
      <c r="S737" s="7" t="inlineStr">
        <is>
          <t>sobreponer</t>
        </is>
      </c>
      <c r="AF737" s="4" t="inlineStr">
        <is>
          <t>potencia_w: 24</t>
        </is>
      </c>
    </row>
    <row r="738">
      <c r="A738" s="3" t="inlineStr">
        <is>
          <t>MAT-10-119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cuadrado de 36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1242</v>
      </c>
      <c r="L738" s="6" t="n">
        <v>1242</v>
      </c>
      <c r="M738" s="6" t="n">
        <v>1242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</t>
        </is>
      </c>
      <c r="R738" s="7" t="inlineStr">
        <is>
          <t>cuadrado</t>
        </is>
      </c>
      <c r="S738" s="7" t="inlineStr">
        <is>
          <t>sobreponer</t>
        </is>
      </c>
      <c r="AF738" s="4" t="inlineStr">
        <is>
          <t>potencia_w: 36</t>
        </is>
      </c>
    </row>
    <row r="739">
      <c r="A739" s="3" t="inlineStr">
        <is>
          <t>MAT-10-120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cuadrado de 6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375</v>
      </c>
      <c r="L739" s="6" t="n">
        <v>375</v>
      </c>
      <c r="M739" s="6" t="n">
        <v>375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</t>
        </is>
      </c>
      <c r="R739" s="7" t="inlineStr">
        <is>
          <t>cuadrado</t>
        </is>
      </c>
      <c r="S739" s="7" t="inlineStr">
        <is>
          <t>sobreponer</t>
        </is>
      </c>
      <c r="AF739" s="4" t="inlineStr">
        <is>
          <t>potencia_w: 6</t>
        </is>
      </c>
    </row>
    <row r="740">
      <c r="A740" s="3" t="inlineStr">
        <is>
          <t>MAT-10-121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10.5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2048.5</v>
      </c>
      <c r="L740" s="6" t="n">
        <v>1910</v>
      </c>
      <c r="M740" s="6" t="n">
        <v>2187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10.5</t>
        </is>
      </c>
    </row>
    <row r="741">
      <c r="A741" s="3" t="inlineStr">
        <is>
          <t>MAT-10-122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11.5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525</v>
      </c>
      <c r="L741" s="6" t="n">
        <v>525</v>
      </c>
      <c r="M741" s="6" t="n">
        <v>525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11.5</t>
        </is>
      </c>
    </row>
    <row r="742">
      <c r="A742" s="3" t="inlineStr">
        <is>
          <t>MAT-10-123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12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2</v>
      </c>
      <c r="K742" s="6" t="n">
        <v>343</v>
      </c>
      <c r="L742" s="6" t="n">
        <v>175</v>
      </c>
      <c r="M742" s="6" t="n">
        <v>1086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 · Ferremix (Grupo Alterra)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12</t>
        </is>
      </c>
    </row>
    <row r="743">
      <c r="A743" s="3" t="inlineStr">
        <is>
          <t>MAT-10-124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18 W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2</v>
      </c>
      <c r="K743" s="6" t="n">
        <v>464</v>
      </c>
      <c r="L743" s="6" t="n">
        <v>235</v>
      </c>
      <c r="M743" s="6" t="n">
        <v>1462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Bellón · Ferremix (Grupo Alterra)</t>
        </is>
      </c>
      <c r="R743" s="7" t="inlineStr">
        <is>
          <t>redondo</t>
        </is>
      </c>
      <c r="S743" s="7" t="inlineStr">
        <is>
          <t>sobreponer</t>
        </is>
      </c>
      <c r="AF743" s="4" t="inlineStr">
        <is>
          <t>potencia_w: 18</t>
        </is>
      </c>
    </row>
    <row r="744">
      <c r="A744" s="3" t="inlineStr">
        <is>
          <t>MAT-10-125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redondo de 22 W</t>
        </is>
      </c>
      <c r="E744" s="4" t="inlineStr"/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780</v>
      </c>
      <c r="L744" s="6" t="n">
        <v>735</v>
      </c>
      <c r="M744" s="6" t="n">
        <v>825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Bellón</t>
        </is>
      </c>
      <c r="R744" s="7" t="inlineStr">
        <is>
          <t>redondo</t>
        </is>
      </c>
      <c r="S744" s="7" t="inlineStr">
        <is>
          <t>sobreponer</t>
        </is>
      </c>
      <c r="AF744" s="4" t="inlineStr">
        <is>
          <t>potencia_w: 22</t>
        </is>
      </c>
    </row>
    <row r="745">
      <c r="A745" s="3" t="inlineStr">
        <is>
          <t>MAT-10-126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sobreponer redondo de 24 W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2</v>
      </c>
      <c r="K745" s="6" t="n">
        <v>519</v>
      </c>
      <c r="L745" s="6" t="n">
        <v>390</v>
      </c>
      <c r="M745" s="6" t="n">
        <v>903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2026-09-10</t>
        </is>
      </c>
      <c r="Q745" s="4" t="inlineStr">
        <is>
          <t>Bellón · Ferremix (Grupo Alterra)</t>
        </is>
      </c>
      <c r="R745" s="7" t="inlineStr">
        <is>
          <t>redondo</t>
        </is>
      </c>
      <c r="S745" s="7" t="inlineStr">
        <is>
          <t>sobreponer</t>
        </is>
      </c>
      <c r="AF745" s="4" t="inlineStr">
        <is>
          <t>potencia_w: 24</t>
        </is>
      </c>
    </row>
    <row r="746">
      <c r="A746" s="3" t="inlineStr">
        <is>
          <t>MAT-10-127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sobreponer redondo de 25 W</t>
        </is>
      </c>
      <c r="E746" s="4" t="inlineStr"/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595</v>
      </c>
      <c r="L746" s="6" t="n">
        <v>595</v>
      </c>
      <c r="M746" s="6" t="n">
        <v>595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2026-09-10</t>
        </is>
      </c>
      <c r="Q746" s="4" t="inlineStr">
        <is>
          <t>Bellón</t>
        </is>
      </c>
      <c r="R746" s="7" t="inlineStr">
        <is>
          <t>redondo</t>
        </is>
      </c>
      <c r="S746" s="7" t="inlineStr">
        <is>
          <t>sobreponer</t>
        </is>
      </c>
      <c r="AF746" s="4" t="inlineStr">
        <is>
          <t>potencia_w: 25</t>
        </is>
      </c>
    </row>
    <row r="747">
      <c r="A747" s="3" t="inlineStr">
        <is>
          <t>MAT-10-128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sobreponer redondo de 36 W</t>
        </is>
      </c>
      <c r="E747" s="4" t="inlineStr"/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1290</v>
      </c>
      <c r="L747" s="6" t="n">
        <v>1290</v>
      </c>
      <c r="M747" s="6" t="n">
        <v>1290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Bellón</t>
        </is>
      </c>
      <c r="R747" s="7" t="inlineStr">
        <is>
          <t>redondo</t>
        </is>
      </c>
      <c r="S747" s="7" t="inlineStr">
        <is>
          <t>sobreponer</t>
        </is>
      </c>
      <c r="AF747" s="4" t="inlineStr">
        <is>
          <t>potencia_w: 36</t>
        </is>
      </c>
    </row>
    <row r="748">
      <c r="A748" s="3" t="inlineStr">
        <is>
          <t>MAT-10-129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sobreponer redondo de 6 W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327</v>
      </c>
      <c r="L748" s="6" t="n">
        <v>276</v>
      </c>
      <c r="M748" s="6" t="n">
        <v>732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2026-09-10</t>
        </is>
      </c>
      <c r="Q748" s="4" t="inlineStr">
        <is>
          <t>Bellón</t>
        </is>
      </c>
      <c r="R748" s="7" t="inlineStr">
        <is>
          <t>redondo</t>
        </is>
      </c>
      <c r="S748" s="7" t="inlineStr">
        <is>
          <t>sobreponer</t>
        </is>
      </c>
      <c r="AF748" s="4" t="inlineStr">
        <is>
          <t>potencia_w: 6</t>
        </is>
      </c>
    </row>
    <row r="749">
      <c r="A749" s="3" t="inlineStr">
        <is>
          <t>MAT-10-130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sobreponer redondo de 7.8 W</t>
        </is>
      </c>
      <c r="E749" s="4" t="inlineStr"/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395</v>
      </c>
      <c r="L749" s="6" t="n">
        <v>395</v>
      </c>
      <c r="M749" s="6" t="n">
        <v>395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Bellón</t>
        </is>
      </c>
      <c r="R749" s="7" t="inlineStr">
        <is>
          <t>redondo</t>
        </is>
      </c>
      <c r="S749" s="7" t="inlineStr">
        <is>
          <t>sobreponer</t>
        </is>
      </c>
      <c r="AF749" s="4" t="inlineStr">
        <is>
          <t>potencia_w: 7.8</t>
        </is>
      </c>
    </row>
    <row r="750">
      <c r="A750" s="3" t="inlineStr">
        <is>
          <t>MAT-10-131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Luminaria empotrada dirigible cuadrada</t>
        </is>
      </c>
      <c r="E750" s="4" t="inlineStr">
        <is>
          <t>Sin bombillo · se compra aparte</t>
        </is>
      </c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190</v>
      </c>
      <c r="L750" s="6" t="n">
        <v>190</v>
      </c>
      <c r="M750" s="6" t="n">
        <v>255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2026-09-09</t>
        </is>
      </c>
      <c r="Q750" s="4" t="inlineStr">
        <is>
          <t>Max Ferretería</t>
        </is>
      </c>
      <c r="R750" s="7" t="inlineStr">
        <is>
          <t>cuadrada</t>
        </is>
      </c>
      <c r="AF750" s="4" t="inlineStr">
        <is>
          <t>tipo: dirigible</t>
        </is>
      </c>
    </row>
    <row r="751">
      <c r="A751" s="3" t="inlineStr">
        <is>
          <t>MAT-10-132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Luminaria empotrada dirigible redonda</t>
        </is>
      </c>
      <c r="E751" s="4" t="inlineStr">
        <is>
          <t>Sin bombillo · se compra aparte</t>
        </is>
      </c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252.5</v>
      </c>
      <c r="L751" s="6" t="n">
        <v>190</v>
      </c>
      <c r="M751" s="6" t="n">
        <v>270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Max Ferretería</t>
        </is>
      </c>
      <c r="R751" s="7" t="inlineStr">
        <is>
          <t>redonda</t>
        </is>
      </c>
      <c r="AF751" s="4" t="inlineStr">
        <is>
          <t>tipo: dirigible</t>
        </is>
      </c>
    </row>
    <row r="752">
      <c r="A752" s="3" t="inlineStr">
        <is>
          <t>MAT-10-133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Lámpara de emergencia recargable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1</v>
      </c>
      <c r="K752" s="6" t="n">
        <v>1015</v>
      </c>
      <c r="L752" s="6" t="n">
        <v>1015</v>
      </c>
      <c r="M752" s="6" t="n">
        <v>1015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2026-09-09</t>
        </is>
      </c>
      <c r="Q752" s="4" t="inlineStr">
        <is>
          <t>Max Ferretería</t>
        </is>
      </c>
    </row>
    <row r="753">
      <c r="A753" s="3" t="inlineStr">
        <is>
          <t>MAT-10-134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10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4</v>
      </c>
      <c r="K753" s="6" t="n">
        <v>632</v>
      </c>
      <c r="L753" s="6" t="n">
        <v>397.34</v>
      </c>
      <c r="M753" s="6" t="n">
        <v>2575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 · Ferremix (Grupo Alterra) · Max Ferretería · Mundo LED</t>
        </is>
      </c>
      <c r="AF753" s="4" t="inlineStr">
        <is>
          <t>potencia_w: 10 · temp_k: 6500</t>
        </is>
      </c>
    </row>
    <row r="754">
      <c r="A754" s="3" t="inlineStr">
        <is>
          <t>MAT-10-135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100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3</v>
      </c>
      <c r="K754" s="6" t="n">
        <v>1990</v>
      </c>
      <c r="L754" s="6" t="n">
        <v>1500</v>
      </c>
      <c r="M754" s="6" t="n">
        <v>10518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2026-09-10</t>
        </is>
      </c>
      <c r="Q754" s="4" t="inlineStr">
        <is>
          <t>Bellón · Max Ferretería · Mundo LED</t>
        </is>
      </c>
      <c r="AF754" s="4" t="inlineStr">
        <is>
          <t>potencia_w: 100 · temp_k: 3000</t>
        </is>
      </c>
    </row>
    <row r="755">
      <c r="A755" s="3" t="inlineStr">
        <is>
          <t>MAT-10-136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14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1</v>
      </c>
      <c r="K755" s="6" t="n">
        <v>815</v>
      </c>
      <c r="L755" s="6" t="n">
        <v>815</v>
      </c>
      <c r="M755" s="6" t="n">
        <v>815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Bellón</t>
        </is>
      </c>
      <c r="AF755" s="4" t="inlineStr">
        <is>
          <t>potencia_w: 14</t>
        </is>
      </c>
    </row>
    <row r="756">
      <c r="A756" s="3" t="inlineStr">
        <is>
          <t>MAT-10-137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150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2</v>
      </c>
      <c r="K756" s="6" t="n">
        <v>3990</v>
      </c>
      <c r="L756" s="6" t="n">
        <v>1818</v>
      </c>
      <c r="M756" s="6" t="n">
        <v>9835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 · Mundo LED</t>
        </is>
      </c>
      <c r="AF756" s="4" t="inlineStr">
        <is>
          <t>potencia_w: 150</t>
        </is>
      </c>
    </row>
    <row r="757">
      <c r="A757" s="3" t="inlineStr">
        <is>
          <t>MAT-10-138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16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2207</v>
      </c>
      <c r="L757" s="6" t="n">
        <v>2207</v>
      </c>
      <c r="M757" s="6" t="n">
        <v>2207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2026-09-10</t>
        </is>
      </c>
      <c r="Q757" s="4" t="inlineStr">
        <is>
          <t>Bellón</t>
        </is>
      </c>
      <c r="AF757" s="4" t="inlineStr">
        <is>
          <t>potencia_w: 16</t>
        </is>
      </c>
    </row>
    <row r="758">
      <c r="A758" s="3" t="inlineStr">
        <is>
          <t>MAT-10-139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18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1062</v>
      </c>
      <c r="L758" s="6" t="n">
        <v>1062</v>
      </c>
      <c r="M758" s="6" t="n">
        <v>1062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Bellón</t>
        </is>
      </c>
      <c r="AF758" s="4" t="inlineStr">
        <is>
          <t>potencia_w: 18</t>
        </is>
      </c>
    </row>
    <row r="759">
      <c r="A759" s="3" t="inlineStr">
        <is>
          <t>MAT-10-140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20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2</v>
      </c>
      <c r="K759" s="6" t="n">
        <v>1066.5</v>
      </c>
      <c r="L759" s="6" t="n">
        <v>462.51</v>
      </c>
      <c r="M759" s="6" t="n">
        <v>1260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 · Ferremix (Grupo Alterra)</t>
        </is>
      </c>
      <c r="AF759" s="4" t="inlineStr">
        <is>
          <t>potencia_w: 20</t>
        </is>
      </c>
    </row>
    <row r="760">
      <c r="A760" s="3" t="inlineStr">
        <is>
          <t>MAT-10-141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200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3</v>
      </c>
      <c r="K760" s="6" t="n">
        <v>6750</v>
      </c>
      <c r="L760" s="6" t="n">
        <v>2335</v>
      </c>
      <c r="M760" s="6" t="n">
        <v>10351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2026-09-10</t>
        </is>
      </c>
      <c r="Q760" s="4" t="inlineStr">
        <is>
          <t>Bellón · Max Ferretería · Mundo LED</t>
        </is>
      </c>
      <c r="AF760" s="4" t="inlineStr">
        <is>
          <t>potencia_w: 200 · temp_k: 6500</t>
        </is>
      </c>
    </row>
    <row r="761">
      <c r="A761" s="3" t="inlineStr">
        <is>
          <t>MAT-10-142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23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455</v>
      </c>
      <c r="L761" s="6" t="n">
        <v>455</v>
      </c>
      <c r="M761" s="6" t="n">
        <v>455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Max Ferretería</t>
        </is>
      </c>
      <c r="AF761" s="4" t="inlineStr">
        <is>
          <t>potencia_w: 23 · temp_k: 2700</t>
        </is>
      </c>
    </row>
    <row r="762">
      <c r="A762" s="3" t="inlineStr">
        <is>
          <t>MAT-10-143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250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580</v>
      </c>
      <c r="L762" s="6" t="n">
        <v>280</v>
      </c>
      <c r="M762" s="6" t="n">
        <v>880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2026-09-09</t>
        </is>
      </c>
      <c r="Q762" s="4" t="inlineStr">
        <is>
          <t>Max Ferretería</t>
        </is>
      </c>
      <c r="AF762" s="4" t="inlineStr">
        <is>
          <t>potencia_w: 250</t>
        </is>
      </c>
    </row>
    <row r="763">
      <c r="A763" s="3" t="inlineStr">
        <is>
          <t>MAT-10-144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30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3</v>
      </c>
      <c r="K763" s="6" t="n">
        <v>1145</v>
      </c>
      <c r="L763" s="6" t="n">
        <v>475</v>
      </c>
      <c r="M763" s="6" t="n">
        <v>2191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Bellón · Max Ferretería · Mundo LED</t>
        </is>
      </c>
      <c r="AF763" s="4" t="inlineStr">
        <is>
          <t>potencia_w: 30 · temp_k: 3000</t>
        </is>
      </c>
    </row>
    <row r="764">
      <c r="A764" s="3" t="inlineStr">
        <is>
          <t>MAT-10-145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300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7800</v>
      </c>
      <c r="L764" s="6" t="n">
        <v>5100</v>
      </c>
      <c r="M764" s="6" t="n">
        <v>10500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Mundo LED</t>
        </is>
      </c>
      <c r="AF764" s="4" t="inlineStr">
        <is>
          <t>potencia_w: 300</t>
        </is>
      </c>
    </row>
    <row r="765">
      <c r="A765" s="3" t="inlineStr">
        <is>
          <t>MAT-10-146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4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221.5</v>
      </c>
      <c r="L765" s="6" t="n">
        <v>88</v>
      </c>
      <c r="M765" s="6" t="n">
        <v>1195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Bellón</t>
        </is>
      </c>
      <c r="AF765" s="4" t="inlineStr">
        <is>
          <t>potencia_w: 4</t>
        </is>
      </c>
    </row>
    <row r="766">
      <c r="A766" s="3" t="inlineStr">
        <is>
          <t>MAT-10-147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400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2</v>
      </c>
      <c r="K766" s="6" t="n">
        <v>7058</v>
      </c>
      <c r="L766" s="6" t="n">
        <v>5900</v>
      </c>
      <c r="M766" s="6" t="n">
        <v>14000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2026-09-10</t>
        </is>
      </c>
      <c r="Q766" s="4" t="inlineStr">
        <is>
          <t>Bellón · Mundo LED</t>
        </is>
      </c>
      <c r="AF766" s="4" t="inlineStr">
        <is>
          <t>potencia_w: 400</t>
        </is>
      </c>
    </row>
    <row r="767">
      <c r="A767" s="3" t="inlineStr">
        <is>
          <t>MAT-10-148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5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95</v>
      </c>
      <c r="L767" s="6" t="n">
        <v>93</v>
      </c>
      <c r="M767" s="6" t="n">
        <v>487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Bellón</t>
        </is>
      </c>
      <c r="AF767" s="4" t="inlineStr">
        <is>
          <t>potencia_w: 5</t>
        </is>
      </c>
    </row>
    <row r="768">
      <c r="A768" s="3" t="inlineStr">
        <is>
          <t>MAT-10-149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50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3</v>
      </c>
      <c r="K768" s="6" t="n">
        <v>1136</v>
      </c>
      <c r="L768" s="6" t="n">
        <v>645.63</v>
      </c>
      <c r="M768" s="6" t="n">
        <v>3683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2026-09-10</t>
        </is>
      </c>
      <c r="Q768" s="4" t="inlineStr">
        <is>
          <t>Bellón · Max Ferretería · Mundo LED</t>
        </is>
      </c>
      <c r="AF768" s="4" t="inlineStr">
        <is>
          <t>potencia_w: 50 · temp_k: 3000</t>
        </is>
      </c>
    </row>
    <row r="769">
      <c r="A769" s="3" t="inlineStr">
        <is>
          <t>MAT-10-150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Reflector LED de 500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18000</v>
      </c>
      <c r="L769" s="6" t="n">
        <v>18000</v>
      </c>
      <c r="M769" s="6" t="n">
        <v>18000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Mundo LED</t>
        </is>
      </c>
      <c r="AF769" s="4" t="inlineStr">
        <is>
          <t>potencia_w: 500</t>
        </is>
      </c>
    </row>
    <row r="770">
      <c r="A770" s="3" t="inlineStr">
        <is>
          <t>MAT-10-151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Reflector LED de 55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12101</v>
      </c>
      <c r="L770" s="6" t="n">
        <v>12101</v>
      </c>
      <c r="M770" s="6" t="n">
        <v>12101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Bellón</t>
        </is>
      </c>
      <c r="AF770" s="4" t="inlineStr">
        <is>
          <t>potencia_w: 55</t>
        </is>
      </c>
    </row>
    <row r="771">
      <c r="A771" s="3" t="inlineStr">
        <is>
          <t>MAT-10-152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6.5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472</v>
      </c>
      <c r="L771" s="6" t="n">
        <v>472</v>
      </c>
      <c r="M771" s="6" t="n">
        <v>472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Bellón</t>
        </is>
      </c>
      <c r="AF771" s="4" t="inlineStr">
        <is>
          <t>potencia_w: 6.5</t>
        </is>
      </c>
    </row>
    <row r="772">
      <c r="A772" s="3" t="inlineStr">
        <is>
          <t>MAT-10-153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8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280</v>
      </c>
      <c r="L772" s="6" t="n">
        <v>120</v>
      </c>
      <c r="M772" s="6" t="n">
        <v>877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2026-09-10</t>
        </is>
      </c>
      <c r="Q772" s="4" t="inlineStr">
        <is>
          <t>Bellón</t>
        </is>
      </c>
      <c r="AF772" s="4" t="inlineStr">
        <is>
          <t>potencia_w: 8</t>
        </is>
      </c>
    </row>
    <row r="773">
      <c r="A773" s="3" t="inlineStr">
        <is>
          <t>MAT-10-154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8.5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319</v>
      </c>
      <c r="L773" s="6" t="n">
        <v>319</v>
      </c>
      <c r="M773" s="6" t="n">
        <v>319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2026-09-10</t>
        </is>
      </c>
      <c r="Q773" s="4" t="inlineStr">
        <is>
          <t>Bellón</t>
        </is>
      </c>
      <c r="AF773" s="4" t="inlineStr">
        <is>
          <t>potencia_w: 8.5</t>
        </is>
      </c>
    </row>
    <row r="774">
      <c r="A774" s="3" t="inlineStr">
        <is>
          <t>MAT-10-156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11 W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699</v>
      </c>
      <c r="L774" s="6" t="n">
        <v>699</v>
      </c>
      <c r="M774" s="6" t="n">
        <v>699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2026-09-10</t>
        </is>
      </c>
      <c r="Q774" s="4" t="inlineStr">
        <is>
          <t>Ferremix (Grupo Alterra)</t>
        </is>
      </c>
      <c r="AF774" s="4" t="inlineStr">
        <is>
          <t>potencia_w: 11</t>
        </is>
      </c>
    </row>
    <row r="775">
      <c r="A775" s="3" t="inlineStr">
        <is>
          <t>MAT-10-157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12 W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142</v>
      </c>
      <c r="L775" s="6" t="n">
        <v>142</v>
      </c>
      <c r="M775" s="6" t="n">
        <v>142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2026-09-10</t>
        </is>
      </c>
      <c r="Q775" s="4" t="inlineStr">
        <is>
          <t>Mundo LED</t>
        </is>
      </c>
      <c r="AF775" s="4" t="inlineStr">
        <is>
          <t>potencia_w: 12</t>
        </is>
      </c>
    </row>
    <row r="776">
      <c r="A776" s="3" t="inlineStr">
        <is>
          <t>MAT-10-158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16 W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249.99</v>
      </c>
      <c r="L776" s="6" t="n">
        <v>249.99</v>
      </c>
      <c r="M776" s="6" t="n">
        <v>249.99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2026-09-09</t>
        </is>
      </c>
      <c r="Q776" s="4" t="inlineStr">
        <is>
          <t>Max Ferretería</t>
        </is>
      </c>
      <c r="AF776" s="4" t="inlineStr">
        <is>
          <t>potencia_w: 16</t>
        </is>
      </c>
    </row>
    <row r="777">
      <c r="A777" s="3" t="inlineStr">
        <is>
          <t>MAT-10-159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18 W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177</v>
      </c>
      <c r="L777" s="6" t="n">
        <v>170</v>
      </c>
      <c r="M777" s="6" t="n">
        <v>500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Mundo LED</t>
        </is>
      </c>
      <c r="AF777" s="4" t="inlineStr">
        <is>
          <t>potencia_w: 18</t>
        </is>
      </c>
    </row>
    <row r="778">
      <c r="A778" s="3" t="inlineStr">
        <is>
          <t>MAT-10-160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19 W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785</v>
      </c>
      <c r="L778" s="6" t="n">
        <v>785</v>
      </c>
      <c r="M778" s="6" t="n">
        <v>785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2026-09-10</t>
        </is>
      </c>
      <c r="Q778" s="4" t="inlineStr">
        <is>
          <t>Ferremix (Grupo Alterra)</t>
        </is>
      </c>
      <c r="AF778" s="4" t="inlineStr">
        <is>
          <t>potencia_w: 19</t>
        </is>
      </c>
    </row>
    <row r="779">
      <c r="A779" s="3" t="inlineStr">
        <is>
          <t>MAT-10-161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20.5 W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264.99</v>
      </c>
      <c r="L779" s="6" t="n">
        <v>264.99</v>
      </c>
      <c r="M779" s="6" t="n">
        <v>264.99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2026-09-09</t>
        </is>
      </c>
      <c r="Q779" s="4" t="inlineStr">
        <is>
          <t>Max Ferretería</t>
        </is>
      </c>
      <c r="AF779" s="4" t="inlineStr">
        <is>
          <t>potencia_w: 20.5</t>
        </is>
      </c>
    </row>
    <row r="780">
      <c r="A780" s="3" t="inlineStr">
        <is>
          <t>MAT-10-162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22 W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404</v>
      </c>
      <c r="L780" s="6" t="n">
        <v>404</v>
      </c>
      <c r="M780" s="6" t="n">
        <v>404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2026-09-10</t>
        </is>
      </c>
      <c r="Q780" s="4" t="inlineStr">
        <is>
          <t>Mundo LED</t>
        </is>
      </c>
      <c r="AF780" s="4" t="inlineStr">
        <is>
          <t>potencia_w: 22</t>
        </is>
      </c>
    </row>
    <row r="781">
      <c r="A781" s="3" t="inlineStr">
        <is>
          <t>MAT-10-163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24 W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889</v>
      </c>
      <c r="L781" s="6" t="n">
        <v>889</v>
      </c>
      <c r="M781" s="6" t="n">
        <v>889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2026-09-10</t>
        </is>
      </c>
      <c r="Q781" s="4" t="inlineStr">
        <is>
          <t>Ferremix (Grupo Alterra)</t>
        </is>
      </c>
      <c r="AF781" s="4" t="inlineStr">
        <is>
          <t>potencia_w: 24</t>
        </is>
      </c>
    </row>
    <row r="782">
      <c r="A782" s="3" t="inlineStr">
        <is>
          <t>MAT-10-164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Tubo LED de 30 W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3000</v>
      </c>
      <c r="L782" s="6" t="n">
        <v>3000</v>
      </c>
      <c r="M782" s="6" t="n">
        <v>3000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Mundo LED</t>
        </is>
      </c>
      <c r="AF782" s="4" t="inlineStr">
        <is>
          <t>potencia_w: 30</t>
        </is>
      </c>
    </row>
    <row r="783">
      <c r="A783" s="3" t="inlineStr">
        <is>
          <t>MAT-10-165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Tubo LED de 36 W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2</v>
      </c>
      <c r="K783" s="6" t="n">
        <v>875</v>
      </c>
      <c r="L783" s="6" t="n">
        <v>650</v>
      </c>
      <c r="M783" s="6" t="n">
        <v>1200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Ferremix (Grupo Alterra) · Mundo LED</t>
        </is>
      </c>
      <c r="AF783" s="4" t="inlineStr">
        <is>
          <t>potencia_w: 36</t>
        </is>
      </c>
    </row>
    <row r="784">
      <c r="A784" s="3" t="inlineStr">
        <is>
          <t>MAT-10-166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Tubo LED de 6 W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505</v>
      </c>
      <c r="L784" s="6" t="n">
        <v>505</v>
      </c>
      <c r="M784" s="6" t="n">
        <v>505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Ferremix (Grupo Alterra)</t>
        </is>
      </c>
      <c r="AF784" s="4" t="inlineStr">
        <is>
          <t>potencia_w: 6</t>
        </is>
      </c>
    </row>
    <row r="785">
      <c r="A785" s="3" t="inlineStr">
        <is>
          <t>MAT-10-167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Tubo LED de 9 W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2</v>
      </c>
      <c r="K785" s="6" t="n">
        <v>147.5</v>
      </c>
      <c r="L785" s="6" t="n">
        <v>120</v>
      </c>
      <c r="M785" s="6" t="n">
        <v>150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2026-09-10</t>
        </is>
      </c>
      <c r="Q785" s="4" t="inlineStr">
        <is>
          <t>Ferremix (Grupo Alterra) · Mundo LED</t>
        </is>
      </c>
      <c r="AF785" s="4" t="inlineStr">
        <is>
          <t>potencia_w: 9</t>
        </is>
      </c>
    </row>
    <row r="786">
      <c r="A786" s="3" t="inlineStr">
        <is>
          <t>MAT-10-168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Tubo LED de 9.9 W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210</v>
      </c>
      <c r="L786" s="6" t="n">
        <v>210</v>
      </c>
      <c r="M786" s="6" t="n">
        <v>210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Max Ferretería</t>
        </is>
      </c>
      <c r="AF786" s="4" t="inlineStr">
        <is>
          <t>potencia_w: 9.9</t>
        </is>
      </c>
    </row>
    <row r="787">
      <c r="A787" s="3" t="inlineStr">
        <is>
          <t>MAT-10-169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Fotocelda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235</v>
      </c>
      <c r="L787" s="6" t="n">
        <v>150</v>
      </c>
      <c r="M787" s="6" t="n">
        <v>370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2026-09-09</t>
        </is>
      </c>
      <c r="Q787" s="4" t="inlineStr">
        <is>
          <t>Max Ferretería</t>
        </is>
      </c>
      <c r="AF787" s="4" t="inlineStr">
        <is>
          <t>tipo: fotocelda</t>
        </is>
      </c>
    </row>
    <row r="788">
      <c r="A788" s="3" t="inlineStr">
        <is>
          <t>MAT-10-170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Portalámparas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52</v>
      </c>
      <c r="L788" s="6" t="n">
        <v>35</v>
      </c>
      <c r="M788" s="6" t="n">
        <v>259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Ferremix (Grupo Alterra)</t>
        </is>
      </c>
      <c r="AF788" s="4" t="inlineStr">
        <is>
          <t>tipo: plástico</t>
        </is>
      </c>
    </row>
    <row r="789">
      <c r="A789" s="3" t="inlineStr">
        <is>
          <t>MAT-10-171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Portalámparas</t>
        </is>
      </c>
      <c r="E789" s="4" t="inlineStr"/>
      <c r="F789" s="3" t="inlineStr">
        <is>
          <t>unidad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45</v>
      </c>
      <c r="L789" s="6" t="n">
        <v>29</v>
      </c>
      <c r="M789" s="6" t="n">
        <v>299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2026-09-10</t>
        </is>
      </c>
      <c r="Q789" s="4" t="inlineStr">
        <is>
          <t>Ferremix (Grupo Alterra)</t>
        </is>
      </c>
      <c r="AF789" s="4" t="inlineStr">
        <is>
          <t>tipo: porcelana</t>
        </is>
      </c>
    </row>
    <row r="790">
      <c r="A790" s="3" t="inlineStr">
        <is>
          <t>MAT-10-172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Roseta de techo</t>
        </is>
      </c>
      <c r="E790" s="4" t="inlineStr"/>
      <c r="F790" s="3" t="inlineStr">
        <is>
          <t>unidad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115</v>
      </c>
      <c r="L790" s="6" t="n">
        <v>115</v>
      </c>
      <c r="M790" s="6" t="n">
        <v>125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2026-09-09</t>
        </is>
      </c>
      <c r="Q790" s="4" t="inlineStr">
        <is>
          <t>Max Ferretería</t>
        </is>
      </c>
      <c r="AF790" s="4" t="inlineStr">
        <is>
          <t>tipo: roseta</t>
        </is>
      </c>
    </row>
    <row r="791">
      <c r="A791" s="3" t="inlineStr">
        <is>
          <t>MAT-10-174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Ojo de buey fijo de 10 W</t>
        </is>
      </c>
      <c r="E791" s="4" t="inlineStr"/>
      <c r="F791" s="3" t="inlineStr">
        <is>
          <t>unidad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1000</v>
      </c>
      <c r="L791" s="6" t="n">
        <v>1000</v>
      </c>
      <c r="M791" s="6" t="n">
        <v>1000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2026-09-10</t>
        </is>
      </c>
      <c r="Q791" s="4" t="inlineStr">
        <is>
          <t>Mundo LED</t>
        </is>
      </c>
      <c r="AF791" s="4" t="inlineStr">
        <is>
          <t>tipo: fijo · potencia_w: 10</t>
        </is>
      </c>
    </row>
    <row r="792">
      <c r="A792" s="3" t="inlineStr">
        <is>
          <t>MAT-10-175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Ojo de buey fijo de 20 W</t>
        </is>
      </c>
      <c r="E792" s="4" t="inlineStr"/>
      <c r="F792" s="3" t="inlineStr">
        <is>
          <t>unidad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1800</v>
      </c>
      <c r="L792" s="6" t="n">
        <v>1800</v>
      </c>
      <c r="M792" s="6" t="n">
        <v>1800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2026-09-10</t>
        </is>
      </c>
      <c r="Q792" s="4" t="inlineStr">
        <is>
          <t>Mundo LED</t>
        </is>
      </c>
      <c r="AF792" s="4" t="inlineStr">
        <is>
          <t>tipo: fijo · potencia_w: 20</t>
        </is>
      </c>
    </row>
    <row r="793">
      <c r="A793" s="3" t="inlineStr">
        <is>
          <t>MAT-10-176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Cinta LED blanca, rollo de 100 m</t>
        </is>
      </c>
      <c r="E793" s="4" t="inlineStr"/>
      <c r="F793" s="3" t="inlineStr">
        <is>
          <t>rollo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110</v>
      </c>
      <c r="L793" s="6" t="n">
        <v>110</v>
      </c>
      <c r="M793" s="6" t="n">
        <v>110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2026-09-10</t>
        </is>
      </c>
      <c r="Q793" s="4" t="inlineStr">
        <is>
          <t>Mundo LED</t>
        </is>
      </c>
      <c r="AF793" s="4" t="inlineStr">
        <is>
          <t>tipo: blanca · metros: 100</t>
        </is>
      </c>
    </row>
    <row r="794">
      <c r="A794" s="3" t="inlineStr">
        <is>
          <t>MAT-10-177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Cinta LED blanca, rollo de 5 m</t>
        </is>
      </c>
      <c r="E794" s="4" t="inlineStr"/>
      <c r="F794" s="3" t="inlineStr">
        <is>
          <t>rollo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900</v>
      </c>
      <c r="L794" s="6" t="n">
        <v>900</v>
      </c>
      <c r="M794" s="6" t="n">
        <v>900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Mundo LED</t>
        </is>
      </c>
      <c r="AF794" s="4" t="inlineStr">
        <is>
          <t>tipo: blanca · metros: 5</t>
        </is>
      </c>
    </row>
    <row r="795">
      <c r="A795" s="3" t="inlineStr">
        <is>
          <t>MAT-10-178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Cinta LED neón, rollo de 100 m</t>
        </is>
      </c>
      <c r="E795" s="4" t="inlineStr"/>
      <c r="F795" s="3" t="inlineStr">
        <is>
          <t>rollo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142.5</v>
      </c>
      <c r="L795" s="6" t="n">
        <v>110</v>
      </c>
      <c r="M795" s="6" t="n">
        <v>175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2026-09-10</t>
        </is>
      </c>
      <c r="Q795" s="4" t="inlineStr">
        <is>
          <t>Mundo LED</t>
        </is>
      </c>
      <c r="AF795" s="4" t="inlineStr">
        <is>
          <t>tipo: neón · metros: 100</t>
        </is>
      </c>
    </row>
    <row r="796">
      <c r="A796" s="3" t="inlineStr">
        <is>
          <t>MAT-10-179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Cinta LED neón, rollo de 5 m</t>
        </is>
      </c>
      <c r="E796" s="4" t="inlineStr"/>
      <c r="F796" s="3" t="inlineStr">
        <is>
          <t>rollo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1175.5</v>
      </c>
      <c r="L796" s="6" t="n">
        <v>1151</v>
      </c>
      <c r="M796" s="6" t="n">
        <v>1200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2026-09-10</t>
        </is>
      </c>
      <c r="Q796" s="4" t="inlineStr">
        <is>
          <t>Mundo LED</t>
        </is>
      </c>
      <c r="AF796" s="4" t="inlineStr">
        <is>
          <t>tipo: neón · metros: 5</t>
        </is>
      </c>
    </row>
    <row r="797">
      <c r="A797" s="3" t="inlineStr">
        <is>
          <t>MAT-10-180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Perfil de aluminio para cinta LED, esquinero, 2.5 m</t>
        </is>
      </c>
      <c r="E797" s="4" t="inlineStr"/>
      <c r="F797" s="3" t="inlineStr">
        <is>
          <t>tramo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1500</v>
      </c>
      <c r="L797" s="6" t="n">
        <v>1500</v>
      </c>
      <c r="M797" s="6" t="n">
        <v>1500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Mundo LED</t>
        </is>
      </c>
      <c r="S797" s="7" t="inlineStr">
        <is>
          <t>esquinero</t>
        </is>
      </c>
      <c r="AF797" s="4" t="inlineStr">
        <is>
          <t>Largo (m): 2.5</t>
        </is>
      </c>
    </row>
    <row r="798">
      <c r="A798" s="3" t="inlineStr">
        <is>
          <t>MAT-10-182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100 W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1365</v>
      </c>
      <c r="L798" s="6" t="n">
        <v>1000</v>
      </c>
      <c r="M798" s="6" t="n">
        <v>1730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Mundo LED</t>
        </is>
      </c>
      <c r="AF798" s="4" t="inlineStr">
        <is>
          <t>potencia_w: 100</t>
        </is>
      </c>
    </row>
    <row r="799">
      <c r="A799" s="3" t="inlineStr">
        <is>
          <t>MAT-10-183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Fuente de poder para LED de 150 W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1551.5</v>
      </c>
      <c r="L799" s="6" t="n">
        <v>1263</v>
      </c>
      <c r="M799" s="6" t="n">
        <v>1840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Mundo LED</t>
        </is>
      </c>
      <c r="AF799" s="4" t="inlineStr">
        <is>
          <t>potencia_w: 150</t>
        </is>
      </c>
    </row>
    <row r="800">
      <c r="A800" s="3" t="inlineStr">
        <is>
          <t>MAT-10-184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Fuente de poder para LED de 200 W</t>
        </is>
      </c>
      <c r="E800" s="4" t="inlineStr"/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2006</v>
      </c>
      <c r="L800" s="6" t="n">
        <v>1723</v>
      </c>
      <c r="M800" s="6" t="n">
        <v>2600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Mundo LED</t>
        </is>
      </c>
      <c r="AF800" s="4" t="inlineStr">
        <is>
          <t>potencia_w: 200</t>
        </is>
      </c>
    </row>
    <row r="801">
      <c r="A801" s="3" t="inlineStr">
        <is>
          <t>MAT-10-185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Fuente de poder para LED de 250 W</t>
        </is>
      </c>
      <c r="E801" s="4" t="inlineStr"/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2006</v>
      </c>
      <c r="L801" s="6" t="n">
        <v>2006</v>
      </c>
      <c r="M801" s="6" t="n">
        <v>2006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2026-09-10</t>
        </is>
      </c>
      <c r="Q801" s="4" t="inlineStr">
        <is>
          <t>Mundo LED</t>
        </is>
      </c>
      <c r="AF801" s="4" t="inlineStr">
        <is>
          <t>potencia_w: 250</t>
        </is>
      </c>
    </row>
    <row r="802">
      <c r="A802" s="3" t="inlineStr">
        <is>
          <t>MAT-10-186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Fuente de poder para LED de 300 W</t>
        </is>
      </c>
      <c r="E802" s="4" t="inlineStr"/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2071</v>
      </c>
      <c r="L802" s="6" t="n">
        <v>2071</v>
      </c>
      <c r="M802" s="6" t="n">
        <v>2071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Mundo LED</t>
        </is>
      </c>
      <c r="AF802" s="4" t="inlineStr">
        <is>
          <t>potencia_w: 300</t>
        </is>
      </c>
    </row>
    <row r="803">
      <c r="A803" s="3" t="inlineStr">
        <is>
          <t>MAT-10-187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Fuente de poder para LED de 400 W</t>
        </is>
      </c>
      <c r="E803" s="4" t="inlineStr"/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2431</v>
      </c>
      <c r="L803" s="6" t="n">
        <v>2431</v>
      </c>
      <c r="M803" s="6" t="n">
        <v>2431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2026-09-10</t>
        </is>
      </c>
      <c r="Q803" s="4" t="inlineStr">
        <is>
          <t>Mundo LED</t>
        </is>
      </c>
      <c r="AF803" s="4" t="inlineStr">
        <is>
          <t>potencia_w: 400</t>
        </is>
      </c>
    </row>
    <row r="804">
      <c r="A804" s="3" t="inlineStr">
        <is>
          <t>MAT-10-188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Fuente de poder para LED de 60 W</t>
        </is>
      </c>
      <c r="E804" s="4" t="inlineStr"/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770</v>
      </c>
      <c r="L804" s="6" t="n">
        <v>770</v>
      </c>
      <c r="M804" s="6" t="n">
        <v>770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Mundo LED</t>
        </is>
      </c>
      <c r="AF804" s="4" t="inlineStr">
        <is>
          <t>potencia_w: 60</t>
        </is>
      </c>
    </row>
    <row r="805">
      <c r="A805" s="3" t="inlineStr">
        <is>
          <t>MAT-10-189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Campana LED industrial de 100 W</t>
        </is>
      </c>
      <c r="E805" s="4" t="inlineStr">
        <is>
          <t>Para nave, taller o techo alto</t>
        </is>
      </c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4162.5</v>
      </c>
      <c r="L805" s="6" t="n">
        <v>1500</v>
      </c>
      <c r="M805" s="6" t="n">
        <v>14500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2026-09-10</t>
        </is>
      </c>
      <c r="Q805" s="4" t="inlineStr">
        <is>
          <t>Mundo LED</t>
        </is>
      </c>
      <c r="AF805" s="4" t="inlineStr">
        <is>
          <t>potencia_w: 100</t>
        </is>
      </c>
    </row>
    <row r="806">
      <c r="A806" s="3" t="inlineStr">
        <is>
          <t>MAT-10-190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Campana LED industrial de 150 W</t>
        </is>
      </c>
      <c r="E806" s="4" t="inlineStr">
        <is>
          <t>Para nave, taller o techo alto</t>
        </is>
      </c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6365</v>
      </c>
      <c r="L806" s="6" t="n">
        <v>5830</v>
      </c>
      <c r="M806" s="6" t="n">
        <v>6900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2026-09-10</t>
        </is>
      </c>
      <c r="Q806" s="4" t="inlineStr">
        <is>
          <t>Mundo LED</t>
        </is>
      </c>
      <c r="AF806" s="4" t="inlineStr">
        <is>
          <t>potencia_w: 150</t>
        </is>
      </c>
    </row>
    <row r="807">
      <c r="A807" s="3" t="inlineStr">
        <is>
          <t>MAT-10-191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Campana LED industrial de 200 W</t>
        </is>
      </c>
      <c r="E807" s="4" t="inlineStr">
        <is>
          <t>Para nave, taller o techo alto</t>
        </is>
      </c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2500</v>
      </c>
      <c r="L807" s="6" t="n">
        <v>2500</v>
      </c>
      <c r="M807" s="6" t="n">
        <v>2500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Mundo LED</t>
        </is>
      </c>
      <c r="AF807" s="4" t="inlineStr">
        <is>
          <t>potencia_w: 200</t>
        </is>
      </c>
    </row>
    <row r="808">
      <c r="A808" s="3" t="inlineStr">
        <is>
          <t>MAT-10-192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Campana LED industrial de 50 W</t>
        </is>
      </c>
      <c r="E808" s="4" t="inlineStr">
        <is>
          <t>Para nave, taller o techo alto</t>
        </is>
      </c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4045</v>
      </c>
      <c r="L808" s="6" t="n">
        <v>4000</v>
      </c>
      <c r="M808" s="6" t="n">
        <v>4090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2026-09-10</t>
        </is>
      </c>
      <c r="Q808" s="4" t="inlineStr">
        <is>
          <t>Mundo LED</t>
        </is>
      </c>
      <c r="AF808" s="4" t="inlineStr">
        <is>
          <t>potencia_w: 50</t>
        </is>
      </c>
    </row>
    <row r="809">
      <c r="A809" s="3" t="inlineStr">
        <is>
          <t>MAT-10-193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Campana LED industrial de 60 W</t>
        </is>
      </c>
      <c r="E809" s="4" t="inlineStr">
        <is>
          <t>Para nave, taller o techo alto</t>
        </is>
      </c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4500</v>
      </c>
      <c r="L809" s="6" t="n">
        <v>4500</v>
      </c>
      <c r="M809" s="6" t="n">
        <v>4500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2026-09-10</t>
        </is>
      </c>
      <c r="Q809" s="4" t="inlineStr">
        <is>
          <t>Mundo LED</t>
        </is>
      </c>
      <c r="AF809" s="4" t="inlineStr">
        <is>
          <t>potencia_w: 60</t>
        </is>
      </c>
    </row>
    <row r="810">
      <c r="A810" s="3" t="inlineStr">
        <is>
          <t>MAT-10-194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con tomacorriente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500</v>
      </c>
      <c r="L810" s="6" t="n">
        <v>465</v>
      </c>
      <c r="M810" s="6" t="n">
        <v>535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Max Ferretería</t>
        </is>
      </c>
      <c r="AF810" s="4" t="inlineStr">
        <is>
          <t>tipo: con tomacorriente</t>
        </is>
      </c>
    </row>
    <row r="811">
      <c r="A811" s="3" t="inlineStr">
        <is>
          <t>MAT-10-195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conmutador</t>
        </is>
      </c>
      <c r="E811" s="4" t="inlineStr"/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2</v>
      </c>
      <c r="K811" s="6" t="n">
        <v>191.22</v>
      </c>
      <c r="L811" s="6" t="n">
        <v>14.74</v>
      </c>
      <c r="M811" s="6" t="n">
        <v>555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2026-09-10</t>
        </is>
      </c>
      <c r="Q811" s="4" t="inlineStr">
        <is>
          <t>Bellón · Ferremix (Grupo Alterra)</t>
        </is>
      </c>
      <c r="AF811" s="4" t="inlineStr">
        <is>
          <t>tipo: conmutador</t>
        </is>
      </c>
    </row>
    <row r="812">
      <c r="A812" s="3" t="inlineStr">
        <is>
          <t>MAT-10-196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Interruptor de 3 vías</t>
        </is>
      </c>
      <c r="E812" s="4" t="inlineStr"/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542.5</v>
      </c>
      <c r="L812" s="6" t="n">
        <v>395</v>
      </c>
      <c r="M812" s="6" t="n">
        <v>685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Max Ferretería</t>
        </is>
      </c>
      <c r="AF812" s="4" t="inlineStr">
        <is>
          <t>tipo: de 3 vías</t>
        </is>
      </c>
    </row>
    <row r="813">
      <c r="A813" s="3" t="inlineStr">
        <is>
          <t>MAT-10-197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Interruptor de 4 vías</t>
        </is>
      </c>
      <c r="E813" s="4" t="inlineStr"/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467.5</v>
      </c>
      <c r="L813" s="6" t="n">
        <v>390</v>
      </c>
      <c r="M813" s="6" t="n">
        <v>544.99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Max Ferretería</t>
        </is>
      </c>
      <c r="AF813" s="4" t="inlineStr">
        <is>
          <t>tipo: de 4 vías</t>
        </is>
      </c>
    </row>
    <row r="814">
      <c r="A814" s="3" t="inlineStr">
        <is>
          <t>MAT-10-198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Interruptor dimmer</t>
        </is>
      </c>
      <c r="E814" s="4" t="inlineStr"/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1112.5</v>
      </c>
      <c r="L814" s="6" t="n">
        <v>960</v>
      </c>
      <c r="M814" s="6" t="n">
        <v>1265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2026-09-09</t>
        </is>
      </c>
      <c r="Q814" s="4" t="inlineStr">
        <is>
          <t>Max Ferretería</t>
        </is>
      </c>
      <c r="AF814" s="4" t="inlineStr">
        <is>
          <t>tipo: dimmer</t>
        </is>
      </c>
    </row>
    <row r="815">
      <c r="A815" s="3" t="inlineStr">
        <is>
          <t>MAT-10-199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Interruptor doble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3</v>
      </c>
      <c r="K815" s="6" t="n">
        <v>225</v>
      </c>
      <c r="L815" s="6" t="n">
        <v>45</v>
      </c>
      <c r="M815" s="6" t="n">
        <v>4515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 · Ferremix (Grupo Alterra) · Max Ferretería</t>
        </is>
      </c>
      <c r="AF815" s="4" t="inlineStr">
        <is>
          <t>tipo: doble</t>
        </is>
      </c>
    </row>
    <row r="816">
      <c r="A816" s="3" t="inlineStr">
        <is>
          <t>MAT-10-200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Interruptor sencillo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2</v>
      </c>
      <c r="K816" s="6" t="n">
        <v>99</v>
      </c>
      <c r="L816" s="6" t="n">
        <v>30</v>
      </c>
      <c r="M816" s="6" t="n">
        <v>492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 · Ferremix (Grupo Alterra)</t>
        </is>
      </c>
      <c r="AF816" s="4" t="inlineStr">
        <is>
          <t>tipo: sencillo</t>
        </is>
      </c>
    </row>
    <row r="817">
      <c r="A817" s="3" t="inlineStr">
        <is>
          <t>MAT-10-201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Interruptor triple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3</v>
      </c>
      <c r="K817" s="6" t="n">
        <v>235</v>
      </c>
      <c r="L817" s="6" t="n">
        <v>60</v>
      </c>
      <c r="M817" s="6" t="n">
        <v>4440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Bellón · Ferremix (Grupo Alterra) · Max Ferretería</t>
        </is>
      </c>
      <c r="AF817" s="4" t="inlineStr">
        <is>
          <t>tipo: triple</t>
        </is>
      </c>
    </row>
    <row r="818">
      <c r="A818" s="3" t="inlineStr">
        <is>
          <t>MAT-10-202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Tomacorriente con USB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2</v>
      </c>
      <c r="K818" s="6" t="n">
        <v>550</v>
      </c>
      <c r="L818" s="6" t="n">
        <v>460</v>
      </c>
      <c r="M818" s="6" t="n">
        <v>1795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Ferremix (Grupo Alterra) · Max Ferretería</t>
        </is>
      </c>
      <c r="AF818" s="4" t="inlineStr">
        <is>
          <t>tipo: con USB</t>
        </is>
      </c>
    </row>
    <row r="819">
      <c r="A819" s="3" t="inlineStr">
        <is>
          <t>MAT-10-203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Tomacorriente doble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2</v>
      </c>
      <c r="K819" s="6" t="n">
        <v>197</v>
      </c>
      <c r="L819" s="6" t="n">
        <v>34</v>
      </c>
      <c r="M819" s="6" t="n">
        <v>1516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Bellón · Ferremix (Grupo Alterra)</t>
        </is>
      </c>
      <c r="AF819" s="4" t="inlineStr">
        <is>
          <t>tipo: doble</t>
        </is>
      </c>
    </row>
    <row r="820">
      <c r="A820" s="3" t="inlineStr">
        <is>
          <t>MAT-10-204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Tomacorriente gfci</t>
        </is>
      </c>
      <c r="E820" s="4" t="inlineStr"/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2121.5</v>
      </c>
      <c r="L820" s="6" t="n">
        <v>1467.04</v>
      </c>
      <c r="M820" s="6" t="n">
        <v>3598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2026-09-10</t>
        </is>
      </c>
      <c r="Q820" s="4" t="inlineStr">
        <is>
          <t>Bellón</t>
        </is>
      </c>
      <c r="AF820" s="4" t="inlineStr">
        <is>
          <t>tipo: gfci</t>
        </is>
      </c>
    </row>
    <row r="821">
      <c r="A821" s="3" t="inlineStr">
        <is>
          <t>MAT-10-205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Tomacorriente sencillo</t>
        </is>
      </c>
      <c r="E821" s="4" t="inlineStr"/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2</v>
      </c>
      <c r="K821" s="6" t="n">
        <v>70</v>
      </c>
      <c r="L821" s="6" t="n">
        <v>39</v>
      </c>
      <c r="M821" s="6" t="n">
        <v>921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2026-09-10</t>
        </is>
      </c>
      <c r="Q821" s="4" t="inlineStr">
        <is>
          <t>Bellón · Ferremix (Grupo Alterra)</t>
        </is>
      </c>
      <c r="AF821" s="4" t="inlineStr">
        <is>
          <t>tipo: sencillo</t>
        </is>
      </c>
    </row>
    <row r="822">
      <c r="A822" s="3" t="inlineStr">
        <is>
          <t>MAT-10-206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ciega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49</v>
      </c>
      <c r="L822" s="6" t="n">
        <v>11</v>
      </c>
      <c r="M822" s="6" t="n">
        <v>156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2026-09-10</t>
        </is>
      </c>
      <c r="Q822" s="4" t="inlineStr">
        <is>
          <t>Ferremix (Grupo Alterra)</t>
        </is>
      </c>
      <c r="AF822" s="4" t="inlineStr">
        <is>
          <t>tipo: ciega</t>
        </is>
      </c>
    </row>
    <row r="823">
      <c r="A823" s="3" t="inlineStr">
        <is>
          <t>MAT-10-207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doble</t>
        </is>
      </c>
      <c r="E823" s="4" t="inlineStr"/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132.5</v>
      </c>
      <c r="L823" s="6" t="n">
        <v>15</v>
      </c>
      <c r="M823" s="6" t="n">
        <v>1199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2026-09-10</t>
        </is>
      </c>
      <c r="Q823" s="4" t="inlineStr">
        <is>
          <t>Ferremix (Grupo Alterra)</t>
        </is>
      </c>
      <c r="AF823" s="4" t="inlineStr">
        <is>
          <t>tipo: doble</t>
        </is>
      </c>
    </row>
    <row r="824">
      <c r="A824" s="3" t="inlineStr">
        <is>
          <t>MAT-10-208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Placa de 3 módulos</t>
        </is>
      </c>
      <c r="E824" s="4" t="inlineStr">
        <is>
          <t>Solo la placa · los módulos van aparte</t>
        </is>
      </c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85</v>
      </c>
      <c r="L824" s="6" t="n">
        <v>85</v>
      </c>
      <c r="M824" s="6" t="n">
        <v>85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Max Ferretería</t>
        </is>
      </c>
      <c r="AF824" s="4" t="inlineStr">
        <is>
          <t>tipo: Placa de 3 módulos</t>
        </is>
      </c>
    </row>
    <row r="825">
      <c r="A825" s="3" t="inlineStr">
        <is>
          <t>MAT-10-209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Placa de 7 módulos</t>
        </is>
      </c>
      <c r="E825" s="4" t="inlineStr">
        <is>
          <t>Solo la placa · los módulos van aparte</t>
        </is>
      </c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1620</v>
      </c>
      <c r="L825" s="6" t="n">
        <v>1620</v>
      </c>
      <c r="M825" s="6" t="n">
        <v>1620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Max Ferretería</t>
        </is>
      </c>
      <c r="AF825" s="4" t="inlineStr">
        <is>
          <t>tipo: Placa de 7 módulos</t>
        </is>
      </c>
    </row>
    <row r="826">
      <c r="A826" s="3" t="inlineStr">
        <is>
          <t>MAT-10-210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Placa de pared de 2 huecos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9.99</v>
      </c>
      <c r="L826" s="6" t="n">
        <v>9.99</v>
      </c>
      <c r="M826" s="6" t="n">
        <v>9.99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2026-09-09</t>
        </is>
      </c>
      <c r="Q826" s="4" t="inlineStr">
        <is>
          <t>Max Ferretería</t>
        </is>
      </c>
      <c r="AF826" s="4" t="inlineStr">
        <is>
          <t>tipo: Placa de pared de 2 huecos</t>
        </is>
      </c>
    </row>
    <row r="827">
      <c r="A827" s="3" t="inlineStr">
        <is>
          <t>MAT-10-211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sencilla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49</v>
      </c>
      <c r="L827" s="6" t="n">
        <v>45</v>
      </c>
      <c r="M827" s="6" t="n">
        <v>52.59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2026-09-10</t>
        </is>
      </c>
      <c r="Q827" s="4" t="inlineStr">
        <is>
          <t>Ferremix (Grupo Alterra)</t>
        </is>
      </c>
      <c r="AF827" s="4" t="inlineStr">
        <is>
          <t>tipo: sencilla</t>
        </is>
      </c>
    </row>
    <row r="828">
      <c r="A828" s="3" t="inlineStr">
        <is>
          <t>MAT-10-212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Tapa ciega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200</v>
      </c>
      <c r="L828" s="6" t="n">
        <v>115</v>
      </c>
      <c r="M828" s="6" t="n">
        <v>295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Max Ferretería</t>
        </is>
      </c>
      <c r="AF828" s="4" t="inlineStr">
        <is>
          <t>tipo: Tapa ciega</t>
        </is>
      </c>
    </row>
    <row r="829">
      <c r="A829" s="3" t="inlineStr">
        <is>
          <t>MAT-10-213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Tapa para tomacorriente</t>
        </is>
      </c>
      <c r="E829" s="4" t="inlineStr"/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95</v>
      </c>
      <c r="L829" s="6" t="n">
        <v>25</v>
      </c>
      <c r="M829" s="6" t="n">
        <v>100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2026-09-09</t>
        </is>
      </c>
      <c r="Q829" s="4" t="inlineStr">
        <is>
          <t>Max Ferretería</t>
        </is>
      </c>
      <c r="AF829" s="4" t="inlineStr">
        <is>
          <t>tipo: Tapa para tomacorriente</t>
        </is>
      </c>
    </row>
    <row r="830">
      <c r="A830" s="3" t="inlineStr">
        <is>
          <t>MAT-10-214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triple</t>
        </is>
      </c>
      <c r="E830" s="4" t="inlineStr"/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99</v>
      </c>
      <c r="L830" s="6" t="n">
        <v>40</v>
      </c>
      <c r="M830" s="6" t="n">
        <v>520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2026-09-10</t>
        </is>
      </c>
      <c r="Q830" s="4" t="inlineStr">
        <is>
          <t>Ferremix (Grupo Alterra)</t>
        </is>
      </c>
      <c r="AF830" s="4" t="inlineStr">
        <is>
          <t>tipo: triple</t>
        </is>
      </c>
    </row>
    <row r="831">
      <c r="A831" s="3" t="inlineStr">
        <is>
          <t>MAT-10-215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Adaptador de enchufe</t>
        </is>
      </c>
      <c r="E831" s="4" t="inlineStr"/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112.5</v>
      </c>
      <c r="L831" s="6" t="n">
        <v>45.01</v>
      </c>
      <c r="M831" s="6" t="n">
        <v>1360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Max Ferretería</t>
        </is>
      </c>
      <c r="AF831" s="4" t="inlineStr">
        <is>
          <t>tipo: Adaptador de enchufe</t>
        </is>
      </c>
    </row>
    <row r="832">
      <c r="A832" s="3" t="inlineStr">
        <is>
          <t>MAT-10-216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Enchufe</t>
        </is>
      </c>
      <c r="E832" s="4" t="inlineStr"/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57.5</v>
      </c>
      <c r="L832" s="6" t="n">
        <v>50</v>
      </c>
      <c r="M832" s="6" t="n">
        <v>465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Max Ferretería</t>
        </is>
      </c>
      <c r="AF832" s="4" t="inlineStr">
        <is>
          <t>tipo: Enchufe</t>
        </is>
      </c>
    </row>
    <row r="833">
      <c r="A833" s="3" t="inlineStr">
        <is>
          <t>MAT-10-217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15 A</t>
        </is>
      </c>
      <c r="E833" s="4" t="inlineStr"/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447.27</v>
      </c>
      <c r="L833" s="6" t="n">
        <v>430.24</v>
      </c>
      <c r="M833" s="6" t="n">
        <v>790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2026-09-10</t>
        </is>
      </c>
      <c r="Q833" s="4" t="inlineStr">
        <is>
          <t>Bellón</t>
        </is>
      </c>
      <c r="AF833" s="4" t="inlineStr">
        <is>
          <t>polos: 1 · amperaje: 15</t>
        </is>
      </c>
    </row>
    <row r="834">
      <c r="A834" s="3" t="inlineStr">
        <is>
          <t>MAT-10-218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15 A, formato fino</t>
        </is>
      </c>
      <c r="E834" s="4" t="inlineStr">
        <is>
          <t>Ocupa medio espacio · no es intercambiable con el estándar</t>
        </is>
      </c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485</v>
      </c>
      <c r="L834" s="6" t="n">
        <v>485</v>
      </c>
      <c r="M834" s="6" t="n">
        <v>485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Max Ferretería</t>
        </is>
      </c>
      <c r="V834" s="7" t="inlineStr">
        <is>
          <t>fino</t>
        </is>
      </c>
      <c r="AF834" s="4" t="inlineStr">
        <is>
          <t>polos: 1 · amperaje: 15</t>
        </is>
      </c>
    </row>
    <row r="835">
      <c r="A835" s="3" t="inlineStr">
        <is>
          <t>MAT-10-219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20 A</t>
        </is>
      </c>
      <c r="E835" s="4" t="inlineStr"/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447.27</v>
      </c>
      <c r="L835" s="6" t="n">
        <v>374.13</v>
      </c>
      <c r="M835" s="6" t="n">
        <v>742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2026-09-10</t>
        </is>
      </c>
      <c r="Q835" s="4" t="inlineStr">
        <is>
          <t>Bellón</t>
        </is>
      </c>
      <c r="AF835" s="4" t="inlineStr">
        <is>
          <t>polos: 1 · amperaje: 20</t>
        </is>
      </c>
    </row>
    <row r="836">
      <c r="A836" s="3" t="inlineStr">
        <is>
          <t>MAT-10-220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1P de 20 A, formato fino</t>
        </is>
      </c>
      <c r="E836" s="4" t="inlineStr">
        <is>
          <t>Ocupa medio espacio · no es intercambiable con el estándar</t>
        </is>
      </c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500</v>
      </c>
      <c r="L836" s="6" t="n">
        <v>500</v>
      </c>
      <c r="M836" s="6" t="n">
        <v>500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2026-09-09</t>
        </is>
      </c>
      <c r="Q836" s="4" t="inlineStr">
        <is>
          <t>Max Ferretería</t>
        </is>
      </c>
      <c r="V836" s="7" t="inlineStr">
        <is>
          <t>fino</t>
        </is>
      </c>
      <c r="AF836" s="4" t="inlineStr">
        <is>
          <t>polos: 1 · amperaje: 20</t>
        </is>
      </c>
    </row>
    <row r="837">
      <c r="A837" s="3" t="inlineStr">
        <is>
          <t>MAT-10-221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1P de 30 A</t>
        </is>
      </c>
      <c r="E837" s="4" t="inlineStr"/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2</v>
      </c>
      <c r="K837" s="6" t="n">
        <v>447.28</v>
      </c>
      <c r="L837" s="6" t="n">
        <v>374.1</v>
      </c>
      <c r="M837" s="6" t="n">
        <v>845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2026-09-10</t>
        </is>
      </c>
      <c r="Q837" s="4" t="inlineStr">
        <is>
          <t>Bellón · Max Ferretería</t>
        </is>
      </c>
      <c r="AF837" s="4" t="inlineStr">
        <is>
          <t>polos: 1 · amperaje: 30</t>
        </is>
      </c>
    </row>
    <row r="838">
      <c r="A838" s="3" t="inlineStr">
        <is>
          <t>MAT-10-222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1P de 30 A, formato fino</t>
        </is>
      </c>
      <c r="E838" s="4" t="inlineStr">
        <is>
          <t>Ocupa medio espacio · no es intercambiable con el estándar</t>
        </is>
      </c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505</v>
      </c>
      <c r="L838" s="6" t="n">
        <v>505</v>
      </c>
      <c r="M838" s="6" t="n">
        <v>505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2026-09-09</t>
        </is>
      </c>
      <c r="Q838" s="4" t="inlineStr">
        <is>
          <t>Max Ferretería</t>
        </is>
      </c>
      <c r="V838" s="7" t="inlineStr">
        <is>
          <t>fino</t>
        </is>
      </c>
      <c r="AF838" s="4" t="inlineStr">
        <is>
          <t>polos: 1 · amperaje: 30</t>
        </is>
      </c>
    </row>
    <row r="839">
      <c r="A839" s="3" t="inlineStr">
        <is>
          <t>MAT-10-223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1P de 40 A</t>
        </is>
      </c>
      <c r="E839" s="4" t="inlineStr"/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2</v>
      </c>
      <c r="K839" s="6" t="n">
        <v>488.17</v>
      </c>
      <c r="L839" s="6" t="n">
        <v>170</v>
      </c>
      <c r="M839" s="6" t="n">
        <v>929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 · Ferremix (Grupo Alterra)</t>
        </is>
      </c>
      <c r="AF839" s="4" t="inlineStr">
        <is>
          <t>polos: 1 · amperaje: 40</t>
        </is>
      </c>
    </row>
    <row r="840">
      <c r="A840" s="3" t="inlineStr">
        <is>
          <t>MAT-10-224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1P de 50 A</t>
        </is>
      </c>
      <c r="E840" s="4" t="inlineStr"/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505</v>
      </c>
      <c r="L840" s="6" t="n">
        <v>495</v>
      </c>
      <c r="M840" s="6" t="n">
        <v>515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</t>
        </is>
      </c>
      <c r="AF840" s="4" t="inlineStr">
        <is>
          <t>polos: 1 · amperaje: 50</t>
        </is>
      </c>
    </row>
    <row r="841">
      <c r="A841" s="3" t="inlineStr">
        <is>
          <t>MAT-10-225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1P de 60 A</t>
        </is>
      </c>
      <c r="E841" s="4" t="inlineStr"/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2</v>
      </c>
      <c r="K841" s="6" t="n">
        <v>766.3200000000001</v>
      </c>
      <c r="L841" s="6" t="n">
        <v>717.63</v>
      </c>
      <c r="M841" s="6" t="n">
        <v>815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2026-09-10</t>
        </is>
      </c>
      <c r="Q841" s="4" t="inlineStr">
        <is>
          <t>Bellón · Max Ferretería</t>
        </is>
      </c>
      <c r="AF841" s="4" t="inlineStr">
        <is>
          <t>polos: 1 · amperaje: 60</t>
        </is>
      </c>
    </row>
    <row r="842">
      <c r="A842" s="3" t="inlineStr">
        <is>
          <t>MAT-10-226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100 A</t>
        </is>
      </c>
      <c r="E842" s="4" t="inlineStr"/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3203</v>
      </c>
      <c r="L842" s="6" t="n">
        <v>2820</v>
      </c>
      <c r="M842" s="6" t="n">
        <v>3586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</t>
        </is>
      </c>
      <c r="AF842" s="4" t="inlineStr">
        <is>
          <t>polos: 2 · amperaje: 100</t>
        </is>
      </c>
    </row>
    <row r="843">
      <c r="A843" s="3" t="inlineStr">
        <is>
          <t>MAT-10-227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15 A</t>
        </is>
      </c>
      <c r="E843" s="4" t="inlineStr"/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1061.42</v>
      </c>
      <c r="L843" s="6" t="n">
        <v>969.78</v>
      </c>
      <c r="M843" s="6" t="n">
        <v>1379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2026-09-10</t>
        </is>
      </c>
      <c r="Q843" s="4" t="inlineStr">
        <is>
          <t>Bellón</t>
        </is>
      </c>
      <c r="AF843" s="4" t="inlineStr">
        <is>
          <t>polos: 2 · amperaje: 15</t>
        </is>
      </c>
    </row>
    <row r="844">
      <c r="A844" s="3" t="inlineStr">
        <is>
          <t>MAT-10-228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20 A</t>
        </is>
      </c>
      <c r="E844" s="4" t="inlineStr"/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2</v>
      </c>
      <c r="K844" s="6" t="n">
        <v>1157.5</v>
      </c>
      <c r="L844" s="6" t="n">
        <v>1134.99</v>
      </c>
      <c r="M844" s="6" t="n">
        <v>1425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2026-09-10</t>
        </is>
      </c>
      <c r="Q844" s="4" t="inlineStr">
        <is>
          <t>Bellón · Max Ferretería</t>
        </is>
      </c>
      <c r="AF844" s="4" t="inlineStr">
        <is>
          <t>polos: 2 · amperaje: 20</t>
        </is>
      </c>
    </row>
    <row r="845">
      <c r="A845" s="3" t="inlineStr">
        <is>
          <t>MAT-10-229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20 A, formato fino</t>
        </is>
      </c>
      <c r="E845" s="4" t="inlineStr">
        <is>
          <t>Ocupa medio espacio · no es intercambiable con el estándar</t>
        </is>
      </c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1195</v>
      </c>
      <c r="L845" s="6" t="n">
        <v>1195</v>
      </c>
      <c r="M845" s="6" t="n">
        <v>1195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2026-09-09</t>
        </is>
      </c>
      <c r="Q845" s="4" t="inlineStr">
        <is>
          <t>Max Ferretería</t>
        </is>
      </c>
      <c r="V845" s="7" t="inlineStr">
        <is>
          <t>fino</t>
        </is>
      </c>
      <c r="AF845" s="4" t="inlineStr">
        <is>
          <t>polos: 2 · amperaje: 20</t>
        </is>
      </c>
    </row>
    <row r="846">
      <c r="A846" s="3" t="inlineStr">
        <is>
          <t>MAT-10-230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30 A</t>
        </is>
      </c>
      <c r="E846" s="4" t="inlineStr"/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2</v>
      </c>
      <c r="K846" s="6" t="n">
        <v>1079.99</v>
      </c>
      <c r="L846" s="6" t="n">
        <v>896</v>
      </c>
      <c r="M846" s="6" t="n">
        <v>1180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2026-09-10</t>
        </is>
      </c>
      <c r="Q846" s="4" t="inlineStr">
        <is>
          <t>Bellón · Max Ferretería</t>
        </is>
      </c>
      <c r="AF846" s="4" t="inlineStr">
        <is>
          <t>polos: 2 · amperaje: 30</t>
        </is>
      </c>
    </row>
    <row r="847">
      <c r="A847" s="3" t="inlineStr">
        <is>
          <t>MAT-10-231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30 A, formato fino</t>
        </is>
      </c>
      <c r="E847" s="4" t="inlineStr">
        <is>
          <t>Ocupa medio espacio · no es intercambiable con el estándar</t>
        </is>
      </c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1165</v>
      </c>
      <c r="L847" s="6" t="n">
        <v>1165</v>
      </c>
      <c r="M847" s="6" t="n">
        <v>1165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Max Ferretería</t>
        </is>
      </c>
      <c r="V847" s="7" t="inlineStr">
        <is>
          <t>fino</t>
        </is>
      </c>
      <c r="AF847" s="4" t="inlineStr">
        <is>
          <t>polos: 2 · amperaje: 30</t>
        </is>
      </c>
    </row>
    <row r="848">
      <c r="A848" s="3" t="inlineStr">
        <is>
          <t>MAT-10-232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40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2</v>
      </c>
      <c r="K848" s="6" t="n">
        <v>1034</v>
      </c>
      <c r="L848" s="6" t="n">
        <v>976.05</v>
      </c>
      <c r="M848" s="6" t="n">
        <v>1134.99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2026-09-10</t>
        </is>
      </c>
      <c r="Q848" s="4" t="inlineStr">
        <is>
          <t>Bellón · Max Ferretería</t>
        </is>
      </c>
      <c r="AF848" s="4" t="inlineStr">
        <is>
          <t>polos: 2 · amperaje: 40</t>
        </is>
      </c>
    </row>
    <row r="849">
      <c r="A849" s="3" t="inlineStr">
        <is>
          <t>MAT-10-233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2P de 50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1215</v>
      </c>
      <c r="L849" s="6" t="n">
        <v>999.95</v>
      </c>
      <c r="M849" s="6" t="n">
        <v>1354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2026-09-10</t>
        </is>
      </c>
      <c r="Q849" s="4" t="inlineStr">
        <is>
          <t>Bellón</t>
        </is>
      </c>
      <c r="AF849" s="4" t="inlineStr">
        <is>
          <t>polos: 2 · amperaje: 50</t>
        </is>
      </c>
    </row>
    <row r="850">
      <c r="A850" s="3" t="inlineStr">
        <is>
          <t>MAT-10-234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2P de 60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2</v>
      </c>
      <c r="K850" s="6" t="n">
        <v>1189.99</v>
      </c>
      <c r="L850" s="6" t="n">
        <v>1100</v>
      </c>
      <c r="M850" s="6" t="n">
        <v>1977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2026-09-10</t>
        </is>
      </c>
      <c r="Q850" s="4" t="inlineStr">
        <is>
          <t>Bellón · Max Ferretería</t>
        </is>
      </c>
      <c r="AF850" s="4" t="inlineStr">
        <is>
          <t>polos: 2 · amperaje: 60</t>
        </is>
      </c>
    </row>
    <row r="851">
      <c r="A851" s="3" t="inlineStr">
        <is>
          <t>MAT-10-235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2P de 70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2959.5</v>
      </c>
      <c r="L851" s="6" t="n">
        <v>2720</v>
      </c>
      <c r="M851" s="6" t="n">
        <v>3199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2026-09-10</t>
        </is>
      </c>
      <c r="Q851" s="4" t="inlineStr">
        <is>
          <t>Bellón</t>
        </is>
      </c>
      <c r="AF851" s="4" t="inlineStr">
        <is>
          <t>polos: 2 · amperaje: 70</t>
        </is>
      </c>
    </row>
    <row r="852">
      <c r="A852" s="3" t="inlineStr">
        <is>
          <t>MAT-10-236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2P de 80 A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2810.48</v>
      </c>
      <c r="L852" s="6" t="n">
        <v>2547.97</v>
      </c>
      <c r="M852" s="6" t="n">
        <v>3073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2026-09-10</t>
        </is>
      </c>
      <c r="Q852" s="4" t="inlineStr">
        <is>
          <t>Bellón</t>
        </is>
      </c>
      <c r="AF852" s="4" t="inlineStr">
        <is>
          <t>polos: 2 · amperaje: 80</t>
        </is>
      </c>
    </row>
    <row r="853">
      <c r="A853" s="3" t="inlineStr">
        <is>
          <t>MAT-10-237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2P de 90 A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2968</v>
      </c>
      <c r="L853" s="6" t="n">
        <v>2968</v>
      </c>
      <c r="M853" s="6" t="n">
        <v>2968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2026-09-10</t>
        </is>
      </c>
      <c r="Q853" s="4" t="inlineStr">
        <is>
          <t>Bellón</t>
        </is>
      </c>
      <c r="AF853" s="4" t="inlineStr">
        <is>
          <t>polos: 2 · amperaje: 90</t>
        </is>
      </c>
    </row>
    <row r="854">
      <c r="A854" s="3" t="inlineStr">
        <is>
          <t>MAT-10-238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100 A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6940</v>
      </c>
      <c r="L854" s="6" t="n">
        <v>6940</v>
      </c>
      <c r="M854" s="6" t="n">
        <v>6940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2026-09-10</t>
        </is>
      </c>
      <c r="Q854" s="4" t="inlineStr">
        <is>
          <t>Bellón</t>
        </is>
      </c>
      <c r="AF854" s="4" t="inlineStr">
        <is>
          <t>polos: 3 · amperaje: 100</t>
        </is>
      </c>
    </row>
    <row r="855">
      <c r="A855" s="3" t="inlineStr">
        <is>
          <t>MAT-10-239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15 A</t>
        </is>
      </c>
      <c r="E855" s="4" t="inlineStr"/>
      <c r="F855" s="3" t="inlineStr">
        <is>
          <t>unidad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3062</v>
      </c>
      <c r="L855" s="6" t="n">
        <v>2309</v>
      </c>
      <c r="M855" s="6" t="n">
        <v>3815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2026-09-10</t>
        </is>
      </c>
      <c r="Q855" s="4" t="inlineStr">
        <is>
          <t>Bellón</t>
        </is>
      </c>
      <c r="AF855" s="4" t="inlineStr">
        <is>
          <t>polos: 3 · amperaje: 15</t>
        </is>
      </c>
    </row>
    <row r="856">
      <c r="A856" s="3" t="inlineStr">
        <is>
          <t>MAT-10-240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20 A</t>
        </is>
      </c>
      <c r="E856" s="4" t="inlineStr"/>
      <c r="F856" s="3" t="inlineStr">
        <is>
          <t>unidad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4801</v>
      </c>
      <c r="L856" s="6" t="n">
        <v>3815</v>
      </c>
      <c r="M856" s="6" t="n">
        <v>5787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2026-09-10</t>
        </is>
      </c>
      <c r="Q856" s="4" t="inlineStr">
        <is>
          <t>Bellón</t>
        </is>
      </c>
      <c r="AF856" s="4" t="inlineStr">
        <is>
          <t>polos: 3 · amperaje: 20</t>
        </is>
      </c>
    </row>
    <row r="857">
      <c r="A857" s="3" t="inlineStr">
        <is>
          <t>MAT-10-241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3P de 40 A</t>
        </is>
      </c>
      <c r="E857" s="4" t="inlineStr"/>
      <c r="F857" s="3" t="inlineStr">
        <is>
          <t>unidad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4357.5</v>
      </c>
      <c r="L857" s="6" t="n">
        <v>4310</v>
      </c>
      <c r="M857" s="6" t="n">
        <v>4405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2026-09-10</t>
        </is>
      </c>
      <c r="Q857" s="4" t="inlineStr">
        <is>
          <t>Bellón</t>
        </is>
      </c>
      <c r="AF857" s="4" t="inlineStr">
        <is>
          <t>polos: 3 · amperaje: 40</t>
        </is>
      </c>
    </row>
    <row r="858">
      <c r="A858" s="3" t="inlineStr">
        <is>
          <t>MAT-10-242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3P de 50 A</t>
        </is>
      </c>
      <c r="E858" s="4" t="inlineStr"/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5048.5</v>
      </c>
      <c r="L858" s="6" t="n">
        <v>4310</v>
      </c>
      <c r="M858" s="6" t="n">
        <v>5787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2026-09-10</t>
        </is>
      </c>
      <c r="Q858" s="4" t="inlineStr">
        <is>
          <t>Bellón</t>
        </is>
      </c>
      <c r="AF858" s="4" t="inlineStr">
        <is>
          <t>polos: 3 · amperaje: 50</t>
        </is>
      </c>
    </row>
    <row r="859">
      <c r="A859" s="3" t="inlineStr">
        <is>
          <t>MAT-10-243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3P de 60 A</t>
        </is>
      </c>
      <c r="E859" s="4" t="inlineStr"/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4121.5</v>
      </c>
      <c r="L859" s="6" t="n">
        <v>3933</v>
      </c>
      <c r="M859" s="6" t="n">
        <v>4310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2026-09-10</t>
        </is>
      </c>
      <c r="Q859" s="4" t="inlineStr">
        <is>
          <t>Bellón</t>
        </is>
      </c>
      <c r="AF859" s="4" t="inlineStr">
        <is>
          <t>polos: 3 · amperaje: 60</t>
        </is>
      </c>
    </row>
    <row r="860">
      <c r="A860" s="3" t="inlineStr">
        <is>
          <t>MAT-10-244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3P de 70 A</t>
        </is>
      </c>
      <c r="E860" s="4" t="inlineStr"/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5519</v>
      </c>
      <c r="L860" s="6" t="n">
        <v>5328</v>
      </c>
      <c r="M860" s="6" t="n">
        <v>5710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2026-09-10</t>
        </is>
      </c>
      <c r="Q860" s="4" t="inlineStr">
        <is>
          <t>Bellón</t>
        </is>
      </c>
      <c r="AF860" s="4" t="inlineStr">
        <is>
          <t>polos: 3 · amperaje: 70</t>
        </is>
      </c>
    </row>
    <row r="861">
      <c r="A861" s="3" t="inlineStr">
        <is>
          <t>MAT-10-245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3P de 80 A</t>
        </is>
      </c>
      <c r="E861" s="4" t="inlineStr"/>
      <c r="F861" s="3" t="inlineStr">
        <is>
          <t>unidad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6059.5</v>
      </c>
      <c r="L861" s="6" t="n">
        <v>5739</v>
      </c>
      <c r="M861" s="6" t="n">
        <v>6380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2026-09-10</t>
        </is>
      </c>
      <c r="Q861" s="4" t="inlineStr">
        <is>
          <t>Bellón</t>
        </is>
      </c>
      <c r="AF861" s="4" t="inlineStr">
        <is>
          <t>polos: 3 · amperaje: 80</t>
        </is>
      </c>
    </row>
    <row r="862">
      <c r="A862" s="3" t="inlineStr">
        <is>
          <t>MAT-10-246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3P de 90 A</t>
        </is>
      </c>
      <c r="E862" s="4" t="inlineStr"/>
      <c r="F862" s="3" t="inlineStr">
        <is>
          <t>unidad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4887.62</v>
      </c>
      <c r="L862" s="6" t="n">
        <v>4647</v>
      </c>
      <c r="M862" s="6" t="n">
        <v>5128.24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2026-09-10</t>
        </is>
      </c>
      <c r="Q862" s="4" t="inlineStr">
        <is>
          <t>Bellón</t>
        </is>
      </c>
      <c r="AF862" s="4" t="inlineStr">
        <is>
          <t>polos: 3 · amperaje: 90</t>
        </is>
      </c>
    </row>
    <row r="863">
      <c r="A863" s="3" t="inlineStr">
        <is>
          <t>MAT-10-247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1 espacios</t>
        </is>
      </c>
      <c r="E863" s="4" t="inlineStr">
        <is>
          <t>Solo la caja · los breakers van aparte</t>
        </is>
      </c>
      <c r="F863" s="3" t="inlineStr">
        <is>
          <t>unidad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9622.41</v>
      </c>
      <c r="L863" s="6" t="n">
        <v>9622.41</v>
      </c>
      <c r="M863" s="6" t="n">
        <v>9622.41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2026-09-10</t>
        </is>
      </c>
      <c r="Q863" s="4" t="inlineStr">
        <is>
          <t>Bellón</t>
        </is>
      </c>
      <c r="AF863" s="4" t="inlineStr">
        <is>
          <t>espacios: 1</t>
        </is>
      </c>
    </row>
    <row r="864">
      <c r="A864" s="3" t="inlineStr">
        <is>
          <t>MAT-10-248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12 espacios</t>
        </is>
      </c>
      <c r="E864" s="4" t="inlineStr">
        <is>
          <t>Solo la caja · los breakers van aparte</t>
        </is>
      </c>
      <c r="F864" s="3" t="inlineStr">
        <is>
          <t>unidad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3920</v>
      </c>
      <c r="L864" s="6" t="n">
        <v>3829</v>
      </c>
      <c r="M864" s="6" t="n">
        <v>7731.92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2026-09-10</t>
        </is>
      </c>
      <c r="Q864" s="4" t="inlineStr">
        <is>
          <t>Bellón</t>
        </is>
      </c>
      <c r="AF864" s="4" t="inlineStr">
        <is>
          <t>espacios: 12</t>
        </is>
      </c>
    </row>
    <row r="865">
      <c r="A865" s="3" t="inlineStr">
        <is>
          <t>MAT-10-249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16 espacios</t>
        </is>
      </c>
      <c r="E865" s="4" t="inlineStr">
        <is>
          <t>Solo la caja · los breakers van aparte</t>
        </is>
      </c>
      <c r="F865" s="3" t="inlineStr">
        <is>
          <t>unidad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2</v>
      </c>
      <c r="K865" s="6" t="n">
        <v>4044</v>
      </c>
      <c r="L865" s="6" t="n">
        <v>1522</v>
      </c>
      <c r="M865" s="6" t="n">
        <v>4755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2026-09-10</t>
        </is>
      </c>
      <c r="Q865" s="4" t="inlineStr">
        <is>
          <t>Bellón · Max Ferretería</t>
        </is>
      </c>
      <c r="AF865" s="4" t="inlineStr">
        <is>
          <t>espacios: 16</t>
        </is>
      </c>
    </row>
    <row r="866">
      <c r="A866" s="3" t="inlineStr">
        <is>
          <t>MAT-10-250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18 espacios</t>
        </is>
      </c>
      <c r="E866" s="4" t="inlineStr">
        <is>
          <t>Solo la caja · los breakers van aparte</t>
        </is>
      </c>
      <c r="F866" s="3" t="inlineStr">
        <is>
          <t>unidad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14240</v>
      </c>
      <c r="L866" s="6" t="n">
        <v>14240</v>
      </c>
      <c r="M866" s="6" t="n">
        <v>14240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2026-09-10</t>
        </is>
      </c>
      <c r="Q866" s="4" t="inlineStr">
        <is>
          <t>Bellón</t>
        </is>
      </c>
      <c r="AF866" s="4" t="inlineStr">
        <is>
          <t>espacios: 18</t>
        </is>
      </c>
    </row>
    <row r="867">
      <c r="A867" s="3" t="inlineStr">
        <is>
          <t>MAT-10-251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2 espacios</t>
        </is>
      </c>
      <c r="E867" s="4" t="inlineStr">
        <is>
          <t>Solo la caja · los breakers van aparte</t>
        </is>
      </c>
      <c r="F867" s="3" t="inlineStr">
        <is>
          <t>unidad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180</v>
      </c>
      <c r="L867" s="6" t="n">
        <v>180</v>
      </c>
      <c r="M867" s="6" t="n">
        <v>180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2026-09-10</t>
        </is>
      </c>
      <c r="Q867" s="4" t="inlineStr">
        <is>
          <t>Bellón</t>
        </is>
      </c>
      <c r="AF867" s="4" t="inlineStr">
        <is>
          <t>espacios: 2</t>
        </is>
      </c>
    </row>
    <row r="868">
      <c r="A868" s="3" t="inlineStr">
        <is>
          <t>MAT-10-252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24 espacios</t>
        </is>
      </c>
      <c r="E868" s="4" t="inlineStr">
        <is>
          <t>Solo la caja · los breakers van aparte</t>
        </is>
      </c>
      <c r="F868" s="3" t="inlineStr">
        <is>
          <t>unidad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11419.5</v>
      </c>
      <c r="L868" s="6" t="n">
        <v>4431</v>
      </c>
      <c r="M868" s="6" t="n">
        <v>33115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2026-09-10</t>
        </is>
      </c>
      <c r="Q868" s="4" t="inlineStr">
        <is>
          <t>Bellón</t>
        </is>
      </c>
      <c r="AF868" s="4" t="inlineStr">
        <is>
          <t>espacios: 24</t>
        </is>
      </c>
    </row>
    <row r="869">
      <c r="A869" s="3" t="inlineStr">
        <is>
          <t>MAT-10-253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3 espacios</t>
        </is>
      </c>
      <c r="E869" s="4" t="inlineStr">
        <is>
          <t>Solo la caja · los breakers van aparte</t>
        </is>
      </c>
      <c r="F869" s="3" t="inlineStr">
        <is>
          <t>unidad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5730</v>
      </c>
      <c r="L869" s="6" t="n">
        <v>5730</v>
      </c>
      <c r="M869" s="6" t="n">
        <v>5730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2026-09-10</t>
        </is>
      </c>
      <c r="Q869" s="4" t="inlineStr">
        <is>
          <t>Bellón</t>
        </is>
      </c>
      <c r="AF869" s="4" t="inlineStr">
        <is>
          <t>espacios: 3</t>
        </is>
      </c>
    </row>
    <row r="870">
      <c r="A870" s="3" t="inlineStr">
        <is>
          <t>MAT-10-254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30 espacios</t>
        </is>
      </c>
      <c r="E870" s="4" t="inlineStr">
        <is>
          <t>Solo la caja · los breakers van aparte</t>
        </is>
      </c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14169.46</v>
      </c>
      <c r="L870" s="6" t="n">
        <v>14169.46</v>
      </c>
      <c r="M870" s="6" t="n">
        <v>14169.46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2026-09-10</t>
        </is>
      </c>
      <c r="Q870" s="4" t="inlineStr">
        <is>
          <t>Bellón</t>
        </is>
      </c>
      <c r="AF870" s="4" t="inlineStr">
        <is>
          <t>espacios: 30</t>
        </is>
      </c>
    </row>
    <row r="871">
      <c r="A871" s="3" t="inlineStr">
        <is>
          <t>MAT-10-255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32 espacios</t>
        </is>
      </c>
      <c r="E871" s="4" t="inlineStr">
        <is>
          <t>Solo la caja · los breakers van aparte</t>
        </is>
      </c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8136.48</v>
      </c>
      <c r="L871" s="6" t="n">
        <v>8136.48</v>
      </c>
      <c r="M871" s="6" t="n">
        <v>8136.48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2026-09-10</t>
        </is>
      </c>
      <c r="Q871" s="4" t="inlineStr">
        <is>
          <t>Bellón</t>
        </is>
      </c>
      <c r="AF871" s="4" t="inlineStr">
        <is>
          <t>espacios: 32</t>
        </is>
      </c>
    </row>
    <row r="872">
      <c r="A872" s="3" t="inlineStr">
        <is>
          <t>MAT-10-256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36 espacios</t>
        </is>
      </c>
      <c r="E872" s="4" t="inlineStr">
        <is>
          <t>Solo la caja · los breakers van aparte</t>
        </is>
      </c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16369</v>
      </c>
      <c r="L872" s="6" t="n">
        <v>16369</v>
      </c>
      <c r="M872" s="6" t="n">
        <v>16369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2026-09-10</t>
        </is>
      </c>
      <c r="Q872" s="4" t="inlineStr">
        <is>
          <t>Bellón</t>
        </is>
      </c>
      <c r="AF872" s="4" t="inlineStr">
        <is>
          <t>espacios: 36</t>
        </is>
      </c>
    </row>
    <row r="873">
      <c r="A873" s="3" t="inlineStr">
        <is>
          <t>MAT-10-257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4 espacios</t>
        </is>
      </c>
      <c r="E873" s="4" t="inlineStr">
        <is>
          <t>Solo la caja · los breakers van aparte</t>
        </is>
      </c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1855</v>
      </c>
      <c r="L873" s="6" t="n">
        <v>629</v>
      </c>
      <c r="M873" s="6" t="n">
        <v>2442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2026-09-10</t>
        </is>
      </c>
      <c r="Q873" s="4" t="inlineStr">
        <is>
          <t>Bellón</t>
        </is>
      </c>
      <c r="AF873" s="4" t="inlineStr">
        <is>
          <t>espacios: 4</t>
        </is>
      </c>
    </row>
    <row r="874">
      <c r="A874" s="3" t="inlineStr">
        <is>
          <t>MAT-10-258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Panel de breakers de 40 espacios</t>
        </is>
      </c>
      <c r="E874" s="4" t="inlineStr">
        <is>
          <t>Solo la caja · los breakers van aparte</t>
        </is>
      </c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9743.09</v>
      </c>
      <c r="L874" s="6" t="n">
        <v>9743.09</v>
      </c>
      <c r="M874" s="6" t="n">
        <v>9743.09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2026-09-10</t>
        </is>
      </c>
      <c r="Q874" s="4" t="inlineStr">
        <is>
          <t>Bellón</t>
        </is>
      </c>
      <c r="AF874" s="4" t="inlineStr">
        <is>
          <t>espacios: 40</t>
        </is>
      </c>
    </row>
    <row r="875">
      <c r="A875" s="3" t="inlineStr">
        <is>
          <t>MAT-10-259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Panel de breakers de 42 espacios</t>
        </is>
      </c>
      <c r="E875" s="4" t="inlineStr">
        <is>
          <t>Solo la caja · los breakers van aparte</t>
        </is>
      </c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20121.46</v>
      </c>
      <c r="L875" s="6" t="n">
        <v>11250.61</v>
      </c>
      <c r="M875" s="6" t="n">
        <v>22869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2026-09-10</t>
        </is>
      </c>
      <c r="Q875" s="4" t="inlineStr">
        <is>
          <t>Bellón</t>
        </is>
      </c>
      <c r="AF875" s="4" t="inlineStr">
        <is>
          <t>espacios: 42</t>
        </is>
      </c>
    </row>
    <row r="876">
      <c r="A876" s="3" t="inlineStr">
        <is>
          <t>MAT-10-260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Panel de breakers de 48 espacios</t>
        </is>
      </c>
      <c r="E876" s="4" t="inlineStr">
        <is>
          <t>Solo la caja · los breakers van aparte</t>
        </is>
      </c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11883</v>
      </c>
      <c r="L876" s="6" t="n">
        <v>11883</v>
      </c>
      <c r="M876" s="6" t="n">
        <v>11883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2026-09-10</t>
        </is>
      </c>
      <c r="Q876" s="4" t="inlineStr">
        <is>
          <t>Bellón</t>
        </is>
      </c>
      <c r="AF876" s="4" t="inlineStr">
        <is>
          <t>espacios: 48</t>
        </is>
      </c>
    </row>
    <row r="877">
      <c r="A877" s="3" t="inlineStr">
        <is>
          <t>MAT-10-261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Panel de breakers de 60 espacios</t>
        </is>
      </c>
      <c r="E877" s="4" t="inlineStr">
        <is>
          <t>Solo la caja · los breakers van aparte</t>
        </is>
      </c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10527.54</v>
      </c>
      <c r="L877" s="6" t="n">
        <v>10527.54</v>
      </c>
      <c r="M877" s="6" t="n">
        <v>10527.54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2026-09-10</t>
        </is>
      </c>
      <c r="Q877" s="4" t="inlineStr">
        <is>
          <t>Bellón</t>
        </is>
      </c>
      <c r="AF877" s="4" t="inlineStr">
        <is>
          <t>espacios: 60</t>
        </is>
      </c>
    </row>
    <row r="878">
      <c r="A878" s="3" t="inlineStr">
        <is>
          <t>MAT-10-262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Panel de breakers de 8 espacios</t>
        </is>
      </c>
      <c r="E878" s="4" t="inlineStr">
        <is>
          <t>Solo la caja · los breakers van aparte</t>
        </is>
      </c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2</v>
      </c>
      <c r="K878" s="6" t="n">
        <v>1929.79</v>
      </c>
      <c r="L878" s="6" t="n">
        <v>566</v>
      </c>
      <c r="M878" s="6" t="n">
        <v>6205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2026-09-10</t>
        </is>
      </c>
      <c r="Q878" s="4" t="inlineStr">
        <is>
          <t>Bellón · Max Ferretería</t>
        </is>
      </c>
      <c r="AF878" s="4" t="inlineStr">
        <is>
          <t>espacios: 8</t>
        </is>
      </c>
    </row>
    <row r="879">
      <c r="A879" s="3" t="inlineStr">
        <is>
          <t>MAT-10-263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Caja de breaker principal de 125 A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6160</v>
      </c>
      <c r="L879" s="6" t="n">
        <v>6160</v>
      </c>
      <c r="M879" s="6" t="n">
        <v>6160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Max Ferretería</t>
        </is>
      </c>
      <c r="AF879" s="4" t="inlineStr">
        <is>
          <t>amperaje: 125</t>
        </is>
      </c>
    </row>
    <row r="880">
      <c r="A880" s="3" t="inlineStr">
        <is>
          <t>MAT-10-264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Caja de breaker principal de 25 A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815</v>
      </c>
      <c r="L880" s="6" t="n">
        <v>815</v>
      </c>
      <c r="M880" s="6" t="n">
        <v>815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Max Ferretería</t>
        </is>
      </c>
      <c r="AF880" s="4" t="inlineStr">
        <is>
          <t>amperaje: 25</t>
        </is>
      </c>
    </row>
    <row r="881">
      <c r="A881" s="3" t="inlineStr">
        <is>
          <t>MAT-10-265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Caja de breaker principal de 32 A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700</v>
      </c>
      <c r="L881" s="6" t="n">
        <v>700</v>
      </c>
      <c r="M881" s="6" t="n">
        <v>700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Max Ferretería</t>
        </is>
      </c>
      <c r="AF881" s="4" t="inlineStr">
        <is>
          <t>amperaje: 32</t>
        </is>
      </c>
    </row>
    <row r="882">
      <c r="A882" s="3" t="inlineStr">
        <is>
          <t>MAT-10-266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Switch de doble tiro 2P de 30 A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675</v>
      </c>
      <c r="L882" s="6" t="n">
        <v>675</v>
      </c>
      <c r="M882" s="6" t="n">
        <v>675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Max Ferretería</t>
        </is>
      </c>
      <c r="AF882" s="4" t="inlineStr">
        <is>
          <t>polos: 2 · amperaje: 30</t>
        </is>
      </c>
    </row>
    <row r="883">
      <c r="A883" s="3" t="inlineStr">
        <is>
          <t>MAT-10-267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Switch de doble tiro 2P de 60 A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1805</v>
      </c>
      <c r="L883" s="6" t="n">
        <v>1805</v>
      </c>
      <c r="M883" s="6" t="n">
        <v>1805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Max Ferretería</t>
        </is>
      </c>
      <c r="AF883" s="4" t="inlineStr">
        <is>
          <t>polos: 2 · amperaje: 60</t>
        </is>
      </c>
    </row>
    <row r="884">
      <c r="A884" s="3" t="inlineStr">
        <is>
          <t>MAT-10-268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Fusible de 30 A</t>
        </is>
      </c>
      <c r="E884" s="4" t="inlineStr"/>
      <c r="F884" s="3" t="inlineStr">
        <is>
          <t>unidad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50</v>
      </c>
      <c r="L884" s="6" t="n">
        <v>50</v>
      </c>
      <c r="M884" s="6" t="n">
        <v>50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Max Ferretería</t>
        </is>
      </c>
      <c r="AF884" s="4" t="inlineStr">
        <is>
          <t>amperaje: 30</t>
        </is>
      </c>
    </row>
    <row r="885">
      <c r="A885" s="3" t="inlineStr">
        <is>
          <t>MAT-10-269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Fusible de 60 A</t>
        </is>
      </c>
      <c r="E885" s="4" t="inlineStr"/>
      <c r="F885" s="3" t="inlineStr">
        <is>
          <t>unidad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140</v>
      </c>
      <c r="L885" s="6" t="n">
        <v>140</v>
      </c>
      <c r="M885" s="6" t="n">
        <v>140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Max Ferretería</t>
        </is>
      </c>
      <c r="AF885" s="4" t="inlineStr">
        <is>
          <t>amperaje: 60</t>
        </is>
      </c>
    </row>
    <row r="886">
      <c r="A886" s="3" t="inlineStr">
        <is>
          <t>MAT-10-270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Protector de voltaje</t>
        </is>
      </c>
      <c r="E886" s="4" t="inlineStr"/>
      <c r="F886" s="3" t="inlineStr">
        <is>
          <t>unidad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950.01</v>
      </c>
      <c r="L886" s="6" t="n">
        <v>745</v>
      </c>
      <c r="M886" s="6" t="n">
        <v>1610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AF886" s="4" t="inlineStr">
        <is>
          <t>tipo: Protector de voltaje</t>
        </is>
      </c>
    </row>
    <row r="887">
      <c r="A887" s="3" t="inlineStr">
        <is>
          <t>MAT-10-271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Regulador de voltaje</t>
        </is>
      </c>
      <c r="E887" s="4" t="inlineStr"/>
      <c r="F887" s="3" t="inlineStr">
        <is>
          <t>unidad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1395</v>
      </c>
      <c r="L887" s="6" t="n">
        <v>1395</v>
      </c>
      <c r="M887" s="6" t="n">
        <v>1395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AF887" s="4" t="inlineStr">
        <is>
          <t>tipo: Regulador de voltaje</t>
        </is>
      </c>
    </row>
    <row r="888">
      <c r="A888" s="3" t="inlineStr">
        <is>
          <t>MAT-10-272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Tubo eléctrico EMT 1 1/2" x 10 pies</t>
        </is>
      </c>
      <c r="E888" s="4" t="inlineStr"/>
      <c r="F888" s="3" t="inlineStr">
        <is>
          <t>tubo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725</v>
      </c>
      <c r="L888" s="6" t="n">
        <v>725</v>
      </c>
      <c r="M888" s="6" t="n">
        <v>725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Z888" s="7" t="n">
        <v>10</v>
      </c>
      <c r="AF888" s="4" t="inlineStr">
        <is>
          <t>material: EMT · medida: 1 1/2"</t>
        </is>
      </c>
    </row>
    <row r="889">
      <c r="A889" s="3" t="inlineStr">
        <is>
          <t>MAT-10-273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Tubo eléctrico EMT 1" x 10 pies</t>
        </is>
      </c>
      <c r="E889" s="4" t="inlineStr"/>
      <c r="F889" s="3" t="inlineStr">
        <is>
          <t>tubo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375</v>
      </c>
      <c r="L889" s="6" t="n">
        <v>375</v>
      </c>
      <c r="M889" s="6" t="n">
        <v>375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Z889" s="7" t="n">
        <v>10</v>
      </c>
      <c r="AF889" s="4" t="inlineStr">
        <is>
          <t>material: EMT · medida: 1"</t>
        </is>
      </c>
    </row>
    <row r="890">
      <c r="A890" s="3" t="inlineStr">
        <is>
          <t>MAT-10-274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Tubo eléctrico EMT 3/4" x 10 pies</t>
        </is>
      </c>
      <c r="E890" s="4" t="inlineStr"/>
      <c r="F890" s="3" t="inlineStr">
        <is>
          <t>tubo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310</v>
      </c>
      <c r="L890" s="6" t="n">
        <v>310</v>
      </c>
      <c r="M890" s="6" t="n">
        <v>310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Z890" s="7" t="n">
        <v>10</v>
      </c>
      <c r="AF890" s="4" t="inlineStr">
        <is>
          <t>material: EMT · medida: 3/4"</t>
        </is>
      </c>
    </row>
    <row r="891">
      <c r="A891" s="3" t="inlineStr">
        <is>
          <t>MAT-10-275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Tubería flexible BX 1/2"</t>
        </is>
      </c>
      <c r="E891" s="4" t="inlineStr">
        <is>
          <t>La ficha no declara el largo del rollo</t>
        </is>
      </c>
      <c r="F891" s="3" t="inlineStr">
        <is>
          <t>unidad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25</v>
      </c>
      <c r="L891" s="6" t="n">
        <v>25</v>
      </c>
      <c r="M891" s="6" t="n">
        <v>25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material: BX · medida: 1/2"</t>
        </is>
      </c>
    </row>
    <row r="892">
      <c r="A892" s="3" t="inlineStr">
        <is>
          <t>MAT-10-276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Tubería flexible BX 3/4"</t>
        </is>
      </c>
      <c r="E892" s="4" t="inlineStr">
        <is>
          <t>La ficha no declara el largo del rollo</t>
        </is>
      </c>
      <c r="F892" s="3" t="inlineStr">
        <is>
          <t>unidad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35</v>
      </c>
      <c r="L892" s="6" t="n">
        <v>35</v>
      </c>
      <c r="M892" s="6" t="n">
        <v>35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Max Ferretería</t>
        </is>
      </c>
      <c r="AF892" s="4" t="inlineStr">
        <is>
          <t>material: BX · medida: 3/4"</t>
        </is>
      </c>
    </row>
    <row r="893">
      <c r="A893" s="3" t="inlineStr">
        <is>
          <t>MAT-10-277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Tubería flexible liquid tight 3/4"</t>
        </is>
      </c>
      <c r="E893" s="4" t="inlineStr">
        <is>
          <t>La ficha no declara el largo del rollo</t>
        </is>
      </c>
      <c r="F893" s="3" t="inlineStr">
        <is>
          <t>unidad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77.51000000000001</v>
      </c>
      <c r="L893" s="6" t="n">
        <v>45.01</v>
      </c>
      <c r="M893" s="6" t="n">
        <v>110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Max Ferretería</t>
        </is>
      </c>
      <c r="AF893" s="4" t="inlineStr">
        <is>
          <t>material: liquid tight · medida: 3/4"</t>
        </is>
      </c>
    </row>
    <row r="894">
      <c r="A894" s="3" t="inlineStr">
        <is>
          <t>MAT-10-278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11 x 10 mm</t>
        </is>
      </c>
      <c r="E894" s="4" t="inlineStr"/>
      <c r="F894" s="3" t="inlineStr">
        <is>
          <t>tramo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115</v>
      </c>
      <c r="L894" s="6" t="n">
        <v>115</v>
      </c>
      <c r="M894" s="6" t="n">
        <v>115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Max Ferretería</t>
        </is>
      </c>
      <c r="AF894" s="4" t="inlineStr">
        <is>
          <t>medida: 11 x 10 mm</t>
        </is>
      </c>
    </row>
    <row r="895">
      <c r="A895" s="3" t="inlineStr">
        <is>
          <t>MAT-10-279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15 x 10 mm</t>
        </is>
      </c>
      <c r="E895" s="4" t="inlineStr"/>
      <c r="F895" s="3" t="inlineStr">
        <is>
          <t>tramo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119.99</v>
      </c>
      <c r="L895" s="6" t="n">
        <v>119.99</v>
      </c>
      <c r="M895" s="6" t="n">
        <v>119.99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Max Ferretería</t>
        </is>
      </c>
      <c r="AF895" s="4" t="inlineStr">
        <is>
          <t>medida: 15 x 10 mm</t>
        </is>
      </c>
    </row>
    <row r="896">
      <c r="A896" s="3" t="inlineStr">
        <is>
          <t>MAT-10-280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15 x 12 mm</t>
        </is>
      </c>
      <c r="E896" s="4" t="inlineStr"/>
      <c r="F896" s="3" t="inlineStr">
        <is>
          <t>tramo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135</v>
      </c>
      <c r="L896" s="6" t="n">
        <v>135</v>
      </c>
      <c r="M896" s="6" t="n">
        <v>135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Max Ferretería</t>
        </is>
      </c>
      <c r="AF896" s="4" t="inlineStr">
        <is>
          <t>medida: 15 x 12 mm</t>
        </is>
      </c>
    </row>
    <row r="897">
      <c r="A897" s="3" t="inlineStr">
        <is>
          <t>MAT-10-281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Canaleta plástica 20 x 10 mm</t>
        </is>
      </c>
      <c r="E897" s="4" t="inlineStr"/>
      <c r="F897" s="3" t="inlineStr">
        <is>
          <t>tramo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150</v>
      </c>
      <c r="L897" s="6" t="n">
        <v>150</v>
      </c>
      <c r="M897" s="6" t="n">
        <v>150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Max Ferretería</t>
        </is>
      </c>
      <c r="AF897" s="4" t="inlineStr">
        <is>
          <t>medida: 20 x 10 mm</t>
        </is>
      </c>
    </row>
    <row r="898">
      <c r="A898" s="3" t="inlineStr">
        <is>
          <t>MAT-10-282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Canaleta plástica 25 x 15 mm</t>
        </is>
      </c>
      <c r="E898" s="4" t="inlineStr"/>
      <c r="F898" s="3" t="inlineStr">
        <is>
          <t>tramo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200</v>
      </c>
      <c r="L898" s="6" t="n">
        <v>200</v>
      </c>
      <c r="M898" s="6" t="n">
        <v>200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Max Ferretería</t>
        </is>
      </c>
      <c r="AF898" s="4" t="inlineStr">
        <is>
          <t>medida: 25 x 15 mm</t>
        </is>
      </c>
    </row>
    <row r="899">
      <c r="A899" s="3" t="inlineStr">
        <is>
          <t>MAT-10-283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Canaleta plástica 32 x 15 mm</t>
        </is>
      </c>
      <c r="E899" s="4" t="inlineStr"/>
      <c r="F899" s="3" t="inlineStr">
        <is>
          <t>tramo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215</v>
      </c>
      <c r="L899" s="6" t="n">
        <v>215</v>
      </c>
      <c r="M899" s="6" t="n">
        <v>215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Max Ferretería</t>
        </is>
      </c>
      <c r="AF899" s="4" t="inlineStr">
        <is>
          <t>medida: 32 x 15 mm</t>
        </is>
      </c>
    </row>
    <row r="900">
      <c r="A900" s="3" t="inlineStr">
        <is>
          <t>MAT-10-284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Canaleta plástica 40 x 15 mm</t>
        </is>
      </c>
      <c r="E900" s="4" t="inlineStr"/>
      <c r="F900" s="3" t="inlineStr">
        <is>
          <t>tramo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320</v>
      </c>
      <c r="L900" s="6" t="n">
        <v>320</v>
      </c>
      <c r="M900" s="6" t="n">
        <v>320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Max Ferretería</t>
        </is>
      </c>
      <c r="AF900" s="4" t="inlineStr">
        <is>
          <t>medida: 40 x 15 mm</t>
        </is>
      </c>
    </row>
    <row r="901">
      <c r="A901" s="3" t="inlineStr">
        <is>
          <t>MAT-10-285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Canaleta plástica 60 x 40 mm</t>
        </is>
      </c>
      <c r="E901" s="4" t="inlineStr"/>
      <c r="F901" s="3" t="inlineStr">
        <is>
          <t>tramo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550</v>
      </c>
      <c r="L901" s="6" t="n">
        <v>550</v>
      </c>
      <c r="M901" s="6" t="n">
        <v>550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Max Ferretería</t>
        </is>
      </c>
      <c r="AF901" s="4" t="inlineStr">
        <is>
          <t>medida: 60 x 40 mm</t>
        </is>
      </c>
    </row>
    <row r="902">
      <c r="A902" s="3" t="inlineStr">
        <is>
          <t>MAT-10-286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Canaleta plástica 80 x 40 mm</t>
        </is>
      </c>
      <c r="E902" s="4" t="inlineStr"/>
      <c r="F902" s="3" t="inlineStr">
        <is>
          <t>tramo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745</v>
      </c>
      <c r="L902" s="6" t="n">
        <v>745</v>
      </c>
      <c r="M902" s="6" t="n">
        <v>745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Max Ferretería</t>
        </is>
      </c>
      <c r="AF902" s="4" t="inlineStr">
        <is>
          <t>medida: 80 x 40 mm</t>
        </is>
      </c>
    </row>
    <row r="903">
      <c r="A903" s="3" t="inlineStr">
        <is>
          <t>MAT-10-287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Caja eléctrica octagonal de metal</t>
        </is>
      </c>
      <c r="E903" s="4" t="inlineStr"/>
      <c r="F903" s="3" t="inlineStr">
        <is>
          <t>unidad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115</v>
      </c>
      <c r="L903" s="6" t="n">
        <v>115</v>
      </c>
      <c r="M903" s="6" t="n">
        <v>115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Max Ferretería</t>
        </is>
      </c>
      <c r="R903" s="7" t="inlineStr">
        <is>
          <t>octagonal</t>
        </is>
      </c>
      <c r="AF903" s="4" t="inlineStr">
        <is>
          <t>material: metal</t>
        </is>
      </c>
    </row>
    <row r="904">
      <c r="A904" s="3" t="inlineStr">
        <is>
          <t>MAT-10-288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Caja eléctrica rectangular de metal 2 x 4</t>
        </is>
      </c>
      <c r="E904" s="4" t="inlineStr"/>
      <c r="F904" s="3" t="inlineStr">
        <is>
          <t>unidad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40.5</v>
      </c>
      <c r="L904" s="6" t="n">
        <v>40</v>
      </c>
      <c r="M904" s="6" t="n">
        <v>41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Max Ferretería</t>
        </is>
      </c>
      <c r="R904" s="7" t="inlineStr">
        <is>
          <t>rectangular</t>
        </is>
      </c>
      <c r="AF904" s="4" t="inlineStr">
        <is>
          <t>material: metal · medida: 2 x 4</t>
        </is>
      </c>
    </row>
    <row r="905">
      <c r="A905" s="3" t="inlineStr">
        <is>
          <t>MAT-10-289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Caja eléctrica rectangular de PVC 2 x 4</t>
        </is>
      </c>
      <c r="E905" s="4" t="inlineStr"/>
      <c r="F905" s="3" t="inlineStr">
        <is>
          <t>unidad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45.01</v>
      </c>
      <c r="L905" s="6" t="n">
        <v>45.01</v>
      </c>
      <c r="M905" s="6" t="n">
        <v>45.01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Max Ferretería</t>
        </is>
      </c>
      <c r="R905" s="7" t="inlineStr">
        <is>
          <t>rectangular</t>
        </is>
      </c>
      <c r="AF905" s="4" t="inlineStr">
        <is>
          <t>material: PVC · medida: 2 x 4</t>
        </is>
      </c>
    </row>
    <row r="906">
      <c r="A906" s="3" t="inlineStr">
        <is>
          <t>MAT-10-290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Abrazadera para tubo eléctrico 1/2"</t>
        </is>
      </c>
      <c r="E906" s="4" t="inlineStr"/>
      <c r="F906" s="3" t="inlineStr">
        <is>
          <t>unidad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4</v>
      </c>
      <c r="L906" s="6" t="n">
        <v>4</v>
      </c>
      <c r="M906" s="6" t="n">
        <v>4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Max Ferretería</t>
        </is>
      </c>
      <c r="AF906" s="4" t="inlineStr">
        <is>
          <t>medida: 1/2"</t>
        </is>
      </c>
    </row>
    <row r="907">
      <c r="A907" s="3" t="inlineStr">
        <is>
          <t>MAT-10-291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Abrazadera para tubo eléctrico 1/2", 2 huecos</t>
        </is>
      </c>
      <c r="E907" s="4" t="inlineStr"/>
      <c r="F907" s="3" t="inlineStr">
        <is>
          <t>unidad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5</v>
      </c>
      <c r="L907" s="6" t="n">
        <v>5</v>
      </c>
      <c r="M907" s="6" t="n">
        <v>5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Max Ferretería</t>
        </is>
      </c>
      <c r="AF907" s="4" t="inlineStr">
        <is>
          <t>medida: 1/2" · huecos: 2</t>
        </is>
      </c>
    </row>
    <row r="908">
      <c r="A908" s="3" t="inlineStr">
        <is>
          <t>MAT-10-292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Abrazadera para tubo eléctrico 1"</t>
        </is>
      </c>
      <c r="E908" s="4" t="inlineStr"/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7</v>
      </c>
      <c r="L908" s="6" t="n">
        <v>7</v>
      </c>
      <c r="M908" s="6" t="n">
        <v>7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Max Ferretería</t>
        </is>
      </c>
      <c r="AF908" s="4" t="inlineStr">
        <is>
          <t>medida: 1"</t>
        </is>
      </c>
    </row>
    <row r="909">
      <c r="A909" s="3" t="inlineStr">
        <is>
          <t>MAT-10-293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Abrazadera para tubo eléctrico 2"</t>
        </is>
      </c>
      <c r="E909" s="4" t="inlineStr"/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35</v>
      </c>
      <c r="L909" s="6" t="n">
        <v>35</v>
      </c>
      <c r="M909" s="6" t="n">
        <v>35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Max Ferretería</t>
        </is>
      </c>
      <c r="AF909" s="4" t="inlineStr">
        <is>
          <t>medida: 2"</t>
        </is>
      </c>
    </row>
    <row r="910">
      <c r="A910" s="3" t="inlineStr">
        <is>
          <t>MAT-10-294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Abrazadera para tubo eléctrico 3/4"</t>
        </is>
      </c>
      <c r="E910" s="4" t="inlineStr"/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4</v>
      </c>
      <c r="L910" s="6" t="n">
        <v>4</v>
      </c>
      <c r="M910" s="6" t="n">
        <v>4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Max Ferretería</t>
        </is>
      </c>
      <c r="AF910" s="4" t="inlineStr">
        <is>
          <t>medida: 3/4"</t>
        </is>
      </c>
    </row>
    <row r="911">
      <c r="A911" s="3" t="inlineStr">
        <is>
          <t>MAT-10-295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Abrazadera para tubo eléctrico 3"</t>
        </is>
      </c>
      <c r="E911" s="4" t="inlineStr"/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64.98999999999999</v>
      </c>
      <c r="L911" s="6" t="n">
        <v>64.98999999999999</v>
      </c>
      <c r="M911" s="6" t="n">
        <v>64.98999999999999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Max Ferretería</t>
        </is>
      </c>
      <c r="AF911" s="4" t="inlineStr">
        <is>
          <t>medida: 3"</t>
        </is>
      </c>
    </row>
    <row r="912">
      <c r="A912" s="3" t="inlineStr">
        <is>
          <t>MAT-10-296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1 1/2"</t>
        </is>
      </c>
      <c r="E912" s="4" t="inlineStr"/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45.6</v>
      </c>
      <c r="L912" s="6" t="n">
        <v>45.6</v>
      </c>
      <c r="M912" s="6" t="n">
        <v>45.6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MC</t>
        </is>
      </c>
      <c r="AF912" s="4" t="inlineStr">
        <is>
          <t>tipo: codo · medida: 1 1/2"</t>
        </is>
      </c>
    </row>
    <row r="913">
      <c r="A913" s="3" t="inlineStr">
        <is>
          <t>MAT-10-297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Codo conduit de PVC 1/2"</t>
        </is>
      </c>
      <c r="E913" s="4" t="inlineStr"/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8.99</v>
      </c>
      <c r="L913" s="6" t="n">
        <v>8.99</v>
      </c>
      <c r="M913" s="6" t="n">
        <v>8.99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MC</t>
        </is>
      </c>
      <c r="AF913" s="4" t="inlineStr">
        <is>
          <t>tipo: codo · medida: 1/2"</t>
        </is>
      </c>
    </row>
    <row r="914">
      <c r="A914" s="3" t="inlineStr">
        <is>
          <t>MAT-10-298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Codo conduit de PVC 1"</t>
        </is>
      </c>
      <c r="E914" s="4" t="inlineStr"/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17.89</v>
      </c>
      <c r="L914" s="6" t="n">
        <v>17.89</v>
      </c>
      <c r="M914" s="6" t="n">
        <v>17.89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MC</t>
        </is>
      </c>
      <c r="AF914" s="4" t="inlineStr">
        <is>
          <t>tipo: codo · medida: 1"</t>
        </is>
      </c>
    </row>
    <row r="915">
      <c r="A915" s="3" t="inlineStr">
        <is>
          <t>MAT-10-299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Codo conduit de PVC 2"</t>
        </is>
      </c>
      <c r="E915" s="4" t="inlineStr"/>
      <c r="F915" s="3" t="inlineStr">
        <is>
          <t>unidad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65.88</v>
      </c>
      <c r="L915" s="6" t="n">
        <v>65.88</v>
      </c>
      <c r="M915" s="6" t="n">
        <v>65.88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MC</t>
        </is>
      </c>
      <c r="AF915" s="4" t="inlineStr">
        <is>
          <t>tipo: codo · medida: 2"</t>
        </is>
      </c>
    </row>
    <row r="916">
      <c r="A916" s="3" t="inlineStr">
        <is>
          <t>MAT-10-300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Codo conduit de PVC 3/4"</t>
        </is>
      </c>
      <c r="E916" s="4" t="inlineStr"/>
      <c r="F916" s="3" t="inlineStr">
        <is>
          <t>unidad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10.77</v>
      </c>
      <c r="L916" s="6" t="n">
        <v>10.77</v>
      </c>
      <c r="M916" s="6" t="n">
        <v>10.77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MC</t>
        </is>
      </c>
      <c r="AF916" s="4" t="inlineStr">
        <is>
          <t>tipo: codo · medida: 3/4"</t>
        </is>
      </c>
    </row>
    <row r="917">
      <c r="A917" s="3" t="inlineStr">
        <is>
          <t>MAT-10-301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Codo conduit de PVC 3"</t>
        </is>
      </c>
      <c r="E917" s="4" t="inlineStr"/>
      <c r="F917" s="3" t="inlineStr">
        <is>
          <t>unidad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195.41</v>
      </c>
      <c r="L917" s="6" t="n">
        <v>195.41</v>
      </c>
      <c r="M917" s="6" t="n">
        <v>195.41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MC</t>
        </is>
      </c>
      <c r="AF917" s="4" t="inlineStr">
        <is>
          <t>tipo: codo · medida: 3"</t>
        </is>
      </c>
    </row>
    <row r="918">
      <c r="A918" s="3" t="inlineStr">
        <is>
          <t>MAT-10-302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Codo conduit de PVC 4"</t>
        </is>
      </c>
      <c r="E918" s="4" t="inlineStr"/>
      <c r="F918" s="3" t="inlineStr">
        <is>
          <t>unidad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367.2</v>
      </c>
      <c r="L918" s="6" t="n">
        <v>367.2</v>
      </c>
      <c r="M918" s="6" t="n">
        <v>367.2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Ferretería MC</t>
        </is>
      </c>
      <c r="AF918" s="4" t="inlineStr">
        <is>
          <t>tipo: codo · medida: 4"</t>
        </is>
      </c>
    </row>
    <row r="919">
      <c r="A919" s="3" t="inlineStr">
        <is>
          <t>MAT-10-303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Abrazadera plástica de 10"</t>
        </is>
      </c>
      <c r="E919" s="4" t="inlineStr">
        <is>
          <t>La ficha no declara cuántas trae el paquete</t>
        </is>
      </c>
      <c r="F919" s="3" t="inlineStr">
        <is>
          <t>paquete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150</v>
      </c>
      <c r="L919" s="6" t="n">
        <v>150</v>
      </c>
      <c r="M919" s="6" t="n">
        <v>150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F919" s="4" t="inlineStr">
        <is>
          <t>largo_pulg: 10</t>
        </is>
      </c>
    </row>
    <row r="920">
      <c r="A920" s="3" t="inlineStr">
        <is>
          <t>MAT-10-304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Abrazadera plástica de 12"</t>
        </is>
      </c>
      <c r="E920" s="4" t="inlineStr">
        <is>
          <t>La ficha no declara cuántas trae el paquete</t>
        </is>
      </c>
      <c r="F920" s="3" t="inlineStr">
        <is>
          <t>paquete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2.42</v>
      </c>
      <c r="L920" s="6" t="n">
        <v>1.99</v>
      </c>
      <c r="M920" s="6" t="n">
        <v>2.86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F920" s="4" t="inlineStr">
        <is>
          <t>largo_pulg: 12</t>
        </is>
      </c>
    </row>
    <row r="921">
      <c r="A921" s="3" t="inlineStr">
        <is>
          <t>MAT-10-305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Abrazadera plástica de 8"</t>
        </is>
      </c>
      <c r="E921" s="4" t="inlineStr">
        <is>
          <t>La ficha no declara cuántas trae el paquete</t>
        </is>
      </c>
      <c r="F921" s="3" t="inlineStr">
        <is>
          <t>paquete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95</v>
      </c>
      <c r="L921" s="6" t="n">
        <v>85</v>
      </c>
      <c r="M921" s="6" t="n">
        <v>105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Max Ferretería</t>
        </is>
      </c>
      <c r="AF921" s="4" t="inlineStr">
        <is>
          <t>largo_pulg: 8</t>
        </is>
      </c>
    </row>
    <row r="922">
      <c r="A922" s="3" t="inlineStr">
        <is>
          <t>MAT-10-306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Cinta aislante 15 mts</t>
        </is>
      </c>
      <c r="E922" s="4" t="inlineStr"/>
      <c r="F922" s="3" t="inlineStr">
        <is>
          <t>rollo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1125</v>
      </c>
      <c r="L922" s="6" t="n">
        <v>1125</v>
      </c>
      <c r="M922" s="6" t="n">
        <v>1125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Max Ferretería</t>
        </is>
      </c>
      <c r="AF922" s="4" t="inlineStr">
        <is>
          <t>medida: 15 mts</t>
        </is>
      </c>
    </row>
    <row r="923">
      <c r="A923" s="3" t="inlineStr">
        <is>
          <t>MAT-10-307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Cinta aislante 3 m</t>
        </is>
      </c>
      <c r="E923" s="4" t="inlineStr"/>
      <c r="F923" s="3" t="inlineStr">
        <is>
          <t>rollo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787.5</v>
      </c>
      <c r="L923" s="6" t="n">
        <v>135</v>
      </c>
      <c r="M923" s="6" t="n">
        <v>2115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Max Ferretería</t>
        </is>
      </c>
      <c r="AF923" s="4" t="inlineStr">
        <is>
          <t>medida: 3 m</t>
        </is>
      </c>
    </row>
    <row r="924">
      <c r="A924" s="3" t="inlineStr">
        <is>
          <t>MAT-10-308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Cinta aislante 30 mts</t>
        </is>
      </c>
      <c r="E924" s="4" t="inlineStr"/>
      <c r="F924" s="3" t="inlineStr">
        <is>
          <t>rollo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1730</v>
      </c>
      <c r="L924" s="6" t="n">
        <v>1730</v>
      </c>
      <c r="M924" s="6" t="n">
        <v>1730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Max Ferretería</t>
        </is>
      </c>
      <c r="AF924" s="4" t="inlineStr">
        <is>
          <t>medida: 30 mts</t>
        </is>
      </c>
    </row>
    <row r="925">
      <c r="A925" s="3" t="inlineStr">
        <is>
          <t>MAT-10-309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#14, rollo 100 pies</t>
        </is>
      </c>
      <c r="E925" s="4" t="inlineStr">
        <is>
          <t>Cobre · 600 V</t>
        </is>
      </c>
      <c r="F925" s="3" t="inlineStr">
        <is>
          <t>rollo</t>
        </is>
      </c>
      <c r="G925" s="3" t="inlineStr">
        <is>
          <t>Instalaciones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1139.88</v>
      </c>
      <c r="L925" s="6" t="n">
        <v>1139.88</v>
      </c>
      <c r="M925" s="6" t="n">
        <v>1139.88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MC</t>
        </is>
      </c>
      <c r="AC925" s="7" t="inlineStr">
        <is>
          <t>14</t>
        </is>
      </c>
    </row>
    <row r="926">
      <c r="A926" s="3" t="inlineStr">
        <is>
          <t>MAT-10-310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THHN #2, rollo 100 pies</t>
        </is>
      </c>
      <c r="E926" s="4" t="inlineStr">
        <is>
          <t>Cobre · 600 V</t>
        </is>
      </c>
      <c r="F926" s="3" t="inlineStr">
        <is>
          <t>rollo</t>
        </is>
      </c>
      <c r="G926" s="3" t="inlineStr">
        <is>
          <t>Instalaciones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14868</v>
      </c>
      <c r="L926" s="6" t="n">
        <v>14868</v>
      </c>
      <c r="M926" s="6" t="n">
        <v>14868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MC</t>
        </is>
      </c>
      <c r="AC926" s="7" t="inlineStr">
        <is>
          <t>2</t>
        </is>
      </c>
    </row>
    <row r="927">
      <c r="A927" s="3" t="inlineStr">
        <is>
          <t>MAT-10-311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THHN #2/0, rollo 100 pies</t>
        </is>
      </c>
      <c r="E927" s="4" t="inlineStr">
        <is>
          <t>Cobre · 600 V</t>
        </is>
      </c>
      <c r="F927" s="3" t="inlineStr">
        <is>
          <t>rollo</t>
        </is>
      </c>
      <c r="G927" s="3" t="inlineStr">
        <is>
          <t>Instalaciones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30562</v>
      </c>
      <c r="L927" s="6" t="n">
        <v>30562</v>
      </c>
      <c r="M927" s="6" t="n">
        <v>30562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MC</t>
        </is>
      </c>
      <c r="AC927" s="7" t="inlineStr">
        <is>
          <t>2/0</t>
        </is>
      </c>
    </row>
    <row r="928">
      <c r="A928" s="3" t="inlineStr">
        <is>
          <t>MAT-10-312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THHN #3/0, rollo 100 pies</t>
        </is>
      </c>
      <c r="E928" s="4" t="inlineStr">
        <is>
          <t>Cobre · 600 V</t>
        </is>
      </c>
      <c r="F928" s="3" t="inlineStr">
        <is>
          <t>rollo</t>
        </is>
      </c>
      <c r="G928" s="3" t="inlineStr">
        <is>
          <t>Instalaciones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38704</v>
      </c>
      <c r="L928" s="6" t="n">
        <v>38704</v>
      </c>
      <c r="M928" s="6" t="n">
        <v>38704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MC</t>
        </is>
      </c>
      <c r="AC928" s="7" t="inlineStr">
        <is>
          <t>3/0</t>
        </is>
      </c>
    </row>
    <row r="929">
      <c r="A929" s="3" t="inlineStr">
        <is>
          <t>MAT-10-313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THHN #4, rollo 100 pies</t>
        </is>
      </c>
      <c r="E929" s="4" t="inlineStr">
        <is>
          <t>Cobre · 600 V</t>
        </is>
      </c>
      <c r="F929" s="3" t="inlineStr">
        <is>
          <t>rollo</t>
        </is>
      </c>
      <c r="G929" s="3" t="inlineStr">
        <is>
          <t>Instalaciones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9954.48</v>
      </c>
      <c r="L929" s="6" t="n">
        <v>9954.48</v>
      </c>
      <c r="M929" s="6" t="n">
        <v>9954.48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MC</t>
        </is>
      </c>
      <c r="AC929" s="7" t="inlineStr">
        <is>
          <t>4</t>
        </is>
      </c>
    </row>
    <row r="930">
      <c r="A930" s="3" t="inlineStr">
        <is>
          <t>MAT-10-314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THHN #4/0, rollo 100 pies</t>
        </is>
      </c>
      <c r="E930" s="4" t="inlineStr">
        <is>
          <t>Cobre · 600 V</t>
        </is>
      </c>
      <c r="F930" s="3" t="inlineStr">
        <is>
          <t>rollo</t>
        </is>
      </c>
      <c r="G930" s="3" t="inlineStr">
        <is>
          <t>Instalaciones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46256</v>
      </c>
      <c r="L930" s="6" t="n">
        <v>46256</v>
      </c>
      <c r="M930" s="6" t="n">
        <v>46256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MC</t>
        </is>
      </c>
      <c r="AC930" s="7" t="inlineStr">
        <is>
          <t>4/0</t>
        </is>
      </c>
    </row>
    <row r="931">
      <c r="A931" s="3" t="inlineStr">
        <is>
          <t>MAT-10-315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THHN #6, rollo 100 pies</t>
        </is>
      </c>
      <c r="E931" s="4" t="inlineStr">
        <is>
          <t>Cobre · 600 V</t>
        </is>
      </c>
      <c r="F931" s="3" t="inlineStr">
        <is>
          <t>rollo</t>
        </is>
      </c>
      <c r="G931" s="3" t="inlineStr">
        <is>
          <t>Instalaciones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6216.24</v>
      </c>
      <c r="L931" s="6" t="n">
        <v>6216.24</v>
      </c>
      <c r="M931" s="6" t="n">
        <v>6216.24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MC</t>
        </is>
      </c>
      <c r="AC931" s="7" t="inlineStr">
        <is>
          <t>6</t>
        </is>
      </c>
    </row>
    <row r="932">
      <c r="A932" s="3" t="inlineStr">
        <is>
          <t>MAT-10-316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1.5 mm, 2 conductores, rollo 100 pies</t>
        </is>
      </c>
      <c r="E932" s="4" t="inlineStr"/>
      <c r="F932" s="3" t="inlineStr">
        <is>
          <t>rollo</t>
        </is>
      </c>
      <c r="G932" s="3" t="inlineStr">
        <is>
          <t>Instalaciones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2480.36</v>
      </c>
      <c r="L932" s="6" t="n">
        <v>2480.36</v>
      </c>
      <c r="M932" s="6" t="n">
        <v>2480.36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MC</t>
        </is>
      </c>
      <c r="AC932" s="7" t="inlineStr">
        <is>
          <t>1.5 mm</t>
        </is>
      </c>
      <c r="AF932" s="4" t="inlineStr">
        <is>
          <t>conductores: 2</t>
        </is>
      </c>
    </row>
    <row r="933">
      <c r="A933" s="3" t="inlineStr">
        <is>
          <t>MAT-10-317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1.5 mm, 3 conductores, rollo 100 pies</t>
        </is>
      </c>
      <c r="E933" s="4" t="inlineStr"/>
      <c r="F933" s="3" t="inlineStr">
        <is>
          <t>rollo</t>
        </is>
      </c>
      <c r="G933" s="3" t="inlineStr">
        <is>
          <t>Instalaciones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3453.86</v>
      </c>
      <c r="L933" s="6" t="n">
        <v>3453.86</v>
      </c>
      <c r="M933" s="6" t="n">
        <v>3453.86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MC</t>
        </is>
      </c>
      <c r="AC933" s="7" t="inlineStr">
        <is>
          <t>1.5 mm</t>
        </is>
      </c>
      <c r="AF933" s="4" t="inlineStr">
        <is>
          <t>conductores: 3</t>
        </is>
      </c>
    </row>
    <row r="934">
      <c r="A934" s="3" t="inlineStr">
        <is>
          <t>MAT-10-318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1.5 mm, 4 conductores, rollo 100 pies</t>
        </is>
      </c>
      <c r="E934" s="4" t="inlineStr"/>
      <c r="F934" s="3" t="inlineStr">
        <is>
          <t>rollo</t>
        </is>
      </c>
      <c r="G934" s="3" t="inlineStr">
        <is>
          <t>Instalaciones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4381.34</v>
      </c>
      <c r="L934" s="6" t="n">
        <v>4381.34</v>
      </c>
      <c r="M934" s="6" t="n">
        <v>4381.34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MC</t>
        </is>
      </c>
      <c r="AC934" s="7" t="inlineStr">
        <is>
          <t>1.5 mm</t>
        </is>
      </c>
      <c r="AF934" s="4" t="inlineStr">
        <is>
          <t>conductores: 4</t>
        </is>
      </c>
    </row>
    <row r="935">
      <c r="A935" s="3" t="inlineStr">
        <is>
          <t>MAT-10-319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de goma 12, 2 conductores, rollo 100 pies</t>
        </is>
      </c>
      <c r="E935" s="4" t="inlineStr"/>
      <c r="F935" s="3" t="inlineStr">
        <is>
          <t>rollo</t>
        </is>
      </c>
      <c r="G935" s="3" t="inlineStr">
        <is>
          <t>Instalaciones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4299.92</v>
      </c>
      <c r="L935" s="6" t="n">
        <v>4299.92</v>
      </c>
      <c r="M935" s="6" t="n">
        <v>4299.92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MC</t>
        </is>
      </c>
      <c r="AC935" s="7" t="inlineStr">
        <is>
          <t>12</t>
        </is>
      </c>
      <c r="AF935" s="4" t="inlineStr">
        <is>
          <t>conductores: 2</t>
        </is>
      </c>
    </row>
    <row r="936">
      <c r="A936" s="3" t="inlineStr">
        <is>
          <t>MAT-10-320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Cable de goma 12, 3 conductores, rollo 100 pies</t>
        </is>
      </c>
      <c r="E936" s="4" t="inlineStr"/>
      <c r="F936" s="3" t="inlineStr">
        <is>
          <t>rollo</t>
        </is>
      </c>
      <c r="G936" s="3" t="inlineStr">
        <is>
          <t>Instalaciones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6298.84</v>
      </c>
      <c r="L936" s="6" t="n">
        <v>6298.84</v>
      </c>
      <c r="M936" s="6" t="n">
        <v>6298.84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MC</t>
        </is>
      </c>
      <c r="AC936" s="7" t="inlineStr">
        <is>
          <t>12</t>
        </is>
      </c>
      <c r="AF936" s="4" t="inlineStr">
        <is>
          <t>conductores: 3</t>
        </is>
      </c>
    </row>
    <row r="937">
      <c r="A937" s="3" t="inlineStr">
        <is>
          <t>MAT-10-321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Cable de goma 14, 4 conductores, rollo 100 pies</t>
        </is>
      </c>
      <c r="E937" s="4" t="inlineStr"/>
      <c r="F937" s="3" t="inlineStr">
        <is>
          <t>rollo</t>
        </is>
      </c>
      <c r="G937" s="3" t="inlineStr">
        <is>
          <t>Instalaciones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5508.24</v>
      </c>
      <c r="L937" s="6" t="n">
        <v>5508.24</v>
      </c>
      <c r="M937" s="6" t="n">
        <v>5508.24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MC</t>
        </is>
      </c>
      <c r="AC937" s="7" t="inlineStr">
        <is>
          <t>14</t>
        </is>
      </c>
      <c r="AF937" s="4" t="inlineStr">
        <is>
          <t>conductores: 4</t>
        </is>
      </c>
    </row>
    <row r="938">
      <c r="A938" s="3" t="inlineStr">
        <is>
          <t>MAT-10-322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Cable de goma 2.5 mm, 2 conductores, rollo 100 pies</t>
        </is>
      </c>
      <c r="E938" s="4" t="inlineStr"/>
      <c r="F938" s="3" t="inlineStr">
        <is>
          <t>rollo</t>
        </is>
      </c>
      <c r="G938" s="3" t="inlineStr">
        <is>
          <t>Instalaciones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3431.44</v>
      </c>
      <c r="L938" s="6" t="n">
        <v>3431.44</v>
      </c>
      <c r="M938" s="6" t="n">
        <v>3431.44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MC</t>
        </is>
      </c>
      <c r="AC938" s="7" t="inlineStr">
        <is>
          <t>2.5 mm</t>
        </is>
      </c>
      <c r="AF938" s="4" t="inlineStr">
        <is>
          <t>conductores: 2</t>
        </is>
      </c>
    </row>
    <row r="939">
      <c r="A939" s="3" t="inlineStr">
        <is>
          <t>MAT-10-323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Cable de goma 2.5 mm, 3 conductores, rollo 100 pies</t>
        </is>
      </c>
      <c r="E939" s="4" t="inlineStr"/>
      <c r="F939" s="3" t="inlineStr">
        <is>
          <t>rollo</t>
        </is>
      </c>
      <c r="G939" s="3" t="inlineStr">
        <is>
          <t>Instalaciones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5145.98</v>
      </c>
      <c r="L939" s="6" t="n">
        <v>5145.98</v>
      </c>
      <c r="M939" s="6" t="n">
        <v>5145.98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MC</t>
        </is>
      </c>
      <c r="AC939" s="7" t="inlineStr">
        <is>
          <t>2.5 mm</t>
        </is>
      </c>
      <c r="AF939" s="4" t="inlineStr">
        <is>
          <t>conductores: 3</t>
        </is>
      </c>
    </row>
    <row r="940">
      <c r="A940" s="3" t="inlineStr">
        <is>
          <t>MAT-10-324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Cable de goma 6, 4 conductores, rollo 100 pies</t>
        </is>
      </c>
      <c r="E940" s="4" t="inlineStr"/>
      <c r="F940" s="3" t="inlineStr">
        <is>
          <t>rollo</t>
        </is>
      </c>
      <c r="G940" s="3" t="inlineStr">
        <is>
          <t>Instalaciones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31506</v>
      </c>
      <c r="L940" s="6" t="n">
        <v>31506</v>
      </c>
      <c r="M940" s="6" t="n">
        <v>31506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Ferretería MC</t>
        </is>
      </c>
      <c r="AC940" s="7" t="inlineStr">
        <is>
          <t>6</t>
        </is>
      </c>
      <c r="AF940" s="4" t="inlineStr">
        <is>
          <t>conductores: 4</t>
        </is>
      </c>
    </row>
    <row r="941">
      <c r="A941" s="3" t="inlineStr">
        <is>
          <t>MAT-10-325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10 pies</t>
        </is>
      </c>
      <c r="E941" s="4" t="inlineStr">
        <is>
          <t>Casi ninguna ficha declara el calibre · ahí está la diferencia</t>
        </is>
      </c>
      <c r="F941" s="3" t="inlineStr">
        <is>
          <t>unidad</t>
        </is>
      </c>
      <c r="G941" s="3" t="inlineStr">
        <is>
          <t>Instalaciones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180</v>
      </c>
      <c r="L941" s="6" t="n">
        <v>180</v>
      </c>
      <c r="M941" s="6" t="n">
        <v>180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Max Ferretería</t>
        </is>
      </c>
      <c r="Z941" s="7" t="n">
        <v>10</v>
      </c>
    </row>
    <row r="942">
      <c r="A942" s="3" t="inlineStr">
        <is>
          <t>MAT-10-326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100 pies</t>
        </is>
      </c>
      <c r="E942" s="4" t="inlineStr">
        <is>
          <t>Casi ninguna ficha declara el calibre · ahí está la diferencia</t>
        </is>
      </c>
      <c r="F942" s="3" t="inlineStr">
        <is>
          <t>unidad</t>
        </is>
      </c>
      <c r="G942" s="3" t="inlineStr">
        <is>
          <t>Instalaciones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1940</v>
      </c>
      <c r="L942" s="6" t="n">
        <v>1355.01</v>
      </c>
      <c r="M942" s="6" t="n">
        <v>2335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Max Ferretería</t>
        </is>
      </c>
      <c r="Z942" s="7" t="n">
        <v>100</v>
      </c>
    </row>
    <row r="943">
      <c r="A943" s="3" t="inlineStr">
        <is>
          <t>MAT-10-327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12 pies</t>
        </is>
      </c>
      <c r="E943" s="4" t="inlineStr">
        <is>
          <t>Casi ninguna ficha declara el calibre · ahí está la diferencia</t>
        </is>
      </c>
      <c r="F943" s="3" t="inlineStr">
        <is>
          <t>unidad</t>
        </is>
      </c>
      <c r="G943" s="3" t="inlineStr">
        <is>
          <t>Instalaciones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285</v>
      </c>
      <c r="L943" s="6" t="n">
        <v>210</v>
      </c>
      <c r="M943" s="6" t="n">
        <v>359.99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Max Ferretería</t>
        </is>
      </c>
      <c r="Z943" s="7" t="n">
        <v>12</v>
      </c>
    </row>
    <row r="944">
      <c r="A944" s="3" t="inlineStr">
        <is>
          <t>MAT-10-328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13 pies</t>
        </is>
      </c>
      <c r="E944" s="4" t="inlineStr">
        <is>
          <t>Casi ninguna ficha declara el calibre · ahí está la diferencia</t>
        </is>
      </c>
      <c r="F944" s="3" t="inlineStr">
        <is>
          <t>unidad</t>
        </is>
      </c>
      <c r="G944" s="3" t="inlineStr">
        <is>
          <t>Instalaciones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225</v>
      </c>
      <c r="L944" s="6" t="n">
        <v>225</v>
      </c>
      <c r="M944" s="6" t="n">
        <v>225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Max Ferretería</t>
        </is>
      </c>
      <c r="Z944" s="7" t="n">
        <v>13</v>
      </c>
    </row>
    <row r="945">
      <c r="A945" s="3" t="inlineStr">
        <is>
          <t>MAT-10-329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15 pies</t>
        </is>
      </c>
      <c r="E945" s="4" t="inlineStr">
        <is>
          <t>Casi ninguna ficha declara el calibre · ahí está la diferencia</t>
        </is>
      </c>
      <c r="F945" s="3" t="inlineStr">
        <is>
          <t>unidad</t>
        </is>
      </c>
      <c r="G945" s="3" t="inlineStr">
        <is>
          <t>Instalaciones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505</v>
      </c>
      <c r="L945" s="6" t="n">
        <v>300</v>
      </c>
      <c r="M945" s="6" t="n">
        <v>894.99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Max Ferretería</t>
        </is>
      </c>
      <c r="Z945" s="7" t="n">
        <v>15</v>
      </c>
    </row>
    <row r="946">
      <c r="A946" s="3" t="inlineStr">
        <is>
          <t>MAT-10-330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16 pies</t>
        </is>
      </c>
      <c r="E946" s="4" t="inlineStr">
        <is>
          <t>Casi ninguna ficha declara el calibre · ahí está la diferencia</t>
        </is>
      </c>
      <c r="F946" s="3" t="inlineStr">
        <is>
          <t>unidad</t>
        </is>
      </c>
      <c r="G946" s="3" t="inlineStr">
        <is>
          <t>Instalaciones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270</v>
      </c>
      <c r="L946" s="6" t="n">
        <v>270</v>
      </c>
      <c r="M946" s="6" t="n">
        <v>270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Max Ferretería</t>
        </is>
      </c>
      <c r="Z946" s="7" t="n">
        <v>16</v>
      </c>
    </row>
    <row r="947">
      <c r="A947" s="3" t="inlineStr">
        <is>
          <t>MAT-10-331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Extensión eléctrica de 25 pies</t>
        </is>
      </c>
      <c r="E947" s="4" t="inlineStr">
        <is>
          <t>Casi ninguna ficha declara el calibre · ahí está la diferencia</t>
        </is>
      </c>
      <c r="F947" s="3" t="inlineStr">
        <is>
          <t>unidad</t>
        </is>
      </c>
      <c r="G947" s="3" t="inlineStr">
        <is>
          <t>Instalaciones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1700</v>
      </c>
      <c r="L947" s="6" t="n">
        <v>1700</v>
      </c>
      <c r="M947" s="6" t="n">
        <v>1700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Max Ferretería</t>
        </is>
      </c>
      <c r="Z947" s="7" t="n">
        <v>25</v>
      </c>
    </row>
    <row r="948">
      <c r="A948" s="3" t="inlineStr">
        <is>
          <t>MAT-10-332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Extensión eléctrica de 26 pies</t>
        </is>
      </c>
      <c r="E948" s="4" t="inlineStr">
        <is>
          <t>Casi ninguna ficha declara el calibre · ahí está la diferencia</t>
        </is>
      </c>
      <c r="F948" s="3" t="inlineStr">
        <is>
          <t>unidad</t>
        </is>
      </c>
      <c r="G948" s="3" t="inlineStr">
        <is>
          <t>Instalaciones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520</v>
      </c>
      <c r="L948" s="6" t="n">
        <v>520</v>
      </c>
      <c r="M948" s="6" t="n">
        <v>520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Max Ferretería</t>
        </is>
      </c>
      <c r="Z948" s="7" t="n">
        <v>26</v>
      </c>
    </row>
    <row r="949">
      <c r="A949" s="3" t="inlineStr">
        <is>
          <t>MAT-10-333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Extensión eléctrica de 50 pies</t>
        </is>
      </c>
      <c r="E949" s="4" t="inlineStr">
        <is>
          <t>Casi ninguna ficha declara el calibre · ahí está la diferencia</t>
        </is>
      </c>
      <c r="F949" s="3" t="inlineStr">
        <is>
          <t>unidad</t>
        </is>
      </c>
      <c r="G949" s="3" t="inlineStr">
        <is>
          <t>Instalaciones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1330</v>
      </c>
      <c r="L949" s="6" t="n">
        <v>725</v>
      </c>
      <c r="M949" s="6" t="n">
        <v>2989.99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Max Ferretería</t>
        </is>
      </c>
      <c r="Z949" s="7" t="n">
        <v>50</v>
      </c>
    </row>
    <row r="950">
      <c r="A950" s="3" t="inlineStr">
        <is>
          <t>MAT-10-334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Extensión eléctrica de 6 pies</t>
        </is>
      </c>
      <c r="E950" s="4" t="inlineStr">
        <is>
          <t>Casi ninguna ficha declara el calibre · ahí está la diferencia</t>
        </is>
      </c>
      <c r="F950" s="3" t="inlineStr">
        <is>
          <t>unidad</t>
        </is>
      </c>
      <c r="G950" s="3" t="inlineStr">
        <is>
          <t>Instalaciones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310</v>
      </c>
      <c r="L950" s="6" t="n">
        <v>310</v>
      </c>
      <c r="M950" s="6" t="n">
        <v>310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Max Ferretería</t>
        </is>
      </c>
      <c r="Z950" s="7" t="n">
        <v>6</v>
      </c>
    </row>
    <row r="951">
      <c r="A951" s="3" t="inlineStr">
        <is>
          <t>MAT-10-335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Extensión eléctrica de 7 pies</t>
        </is>
      </c>
      <c r="E951" s="4" t="inlineStr">
        <is>
          <t>Casi ninguna ficha declara el calibre · ahí está la diferencia</t>
        </is>
      </c>
      <c r="F951" s="3" t="inlineStr">
        <is>
          <t>unidad</t>
        </is>
      </c>
      <c r="G951" s="3" t="inlineStr">
        <is>
          <t>Instalaciones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145</v>
      </c>
      <c r="L951" s="6" t="n">
        <v>145</v>
      </c>
      <c r="M951" s="6" t="n">
        <v>145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Max Ferretería</t>
        </is>
      </c>
      <c r="Z951" s="7" t="n">
        <v>7</v>
      </c>
    </row>
    <row r="952">
      <c r="A952" s="3" t="inlineStr">
        <is>
          <t>MAT-10-336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Regleta de 6 salidas</t>
        </is>
      </c>
      <c r="E952" s="4" t="inlineStr">
        <is>
          <t>La ficha no declara si trae supresor de picos</t>
        </is>
      </c>
      <c r="F952" s="3" t="inlineStr">
        <is>
          <t>unidad</t>
        </is>
      </c>
      <c r="G952" s="3" t="inlineStr">
        <is>
          <t>Instalaciones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737.5</v>
      </c>
      <c r="L952" s="6" t="n">
        <v>654.99</v>
      </c>
      <c r="M952" s="6" t="n">
        <v>1330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Max Ferretería</t>
        </is>
      </c>
      <c r="AF952" s="4" t="inlineStr">
        <is>
          <t>salidas: 6</t>
        </is>
      </c>
    </row>
    <row r="953">
      <c r="A953" s="3" t="inlineStr">
        <is>
          <t>MAT-10-337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Regleta de 6 salidas con supresor de picos</t>
        </is>
      </c>
      <c r="E953" s="4" t="inlineStr"/>
      <c r="F953" s="3" t="inlineStr">
        <is>
          <t>unidad</t>
        </is>
      </c>
      <c r="G953" s="3" t="inlineStr">
        <is>
          <t>Instalaciones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725</v>
      </c>
      <c r="L953" s="6" t="n">
        <v>725</v>
      </c>
      <c r="M953" s="6" t="n">
        <v>725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Max Ferretería</t>
        </is>
      </c>
      <c r="AF953" s="4" t="inlineStr">
        <is>
          <t>salidas: 6 · supresor: si</t>
        </is>
      </c>
    </row>
    <row r="954">
      <c r="A954" s="3" t="inlineStr">
        <is>
          <t>MAT-10-338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Regleta de 8 salidas</t>
        </is>
      </c>
      <c r="E954" s="4" t="inlineStr">
        <is>
          <t>La ficha no declara si trae supresor de picos</t>
        </is>
      </c>
      <c r="F954" s="3" t="inlineStr">
        <is>
          <t>unidad</t>
        </is>
      </c>
      <c r="G954" s="3" t="inlineStr">
        <is>
          <t>Instalaciones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1195</v>
      </c>
      <c r="L954" s="6" t="n">
        <v>1195</v>
      </c>
      <c r="M954" s="6" t="n">
        <v>1195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Max Ferretería</t>
        </is>
      </c>
      <c r="AF954" s="4" t="inlineStr">
        <is>
          <t>salidas: 8</t>
        </is>
      </c>
    </row>
    <row r="955">
      <c r="A955" s="3" t="inlineStr">
        <is>
          <t>MAT-10-339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Sensor de movimiento</t>
        </is>
      </c>
      <c r="E955" s="4" t="inlineStr"/>
      <c r="F955" s="3" t="inlineStr">
        <is>
          <t>unidad</t>
        </is>
      </c>
      <c r="G955" s="3" t="inlineStr">
        <is>
          <t>Instalaciones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570</v>
      </c>
      <c r="L955" s="6" t="n">
        <v>500</v>
      </c>
      <c r="M955" s="6" t="n">
        <v>780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Max Ferretería</t>
        </is>
      </c>
      <c r="AF955" s="4" t="inlineStr">
        <is>
          <t>tipo: Sensor de movimiento</t>
        </is>
      </c>
    </row>
    <row r="956">
      <c r="A956" s="3" t="inlineStr">
        <is>
          <t>MAT-10-340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Temporizador</t>
        </is>
      </c>
      <c r="E956" s="4" t="inlineStr"/>
      <c r="F956" s="3" t="inlineStr">
        <is>
          <t>unidad</t>
        </is>
      </c>
      <c r="G956" s="3" t="inlineStr">
        <is>
          <t>Instalaciones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805</v>
      </c>
      <c r="L956" s="6" t="n">
        <v>805</v>
      </c>
      <c r="M956" s="6" t="n">
        <v>805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Max Ferretería</t>
        </is>
      </c>
      <c r="AF956" s="4" t="inlineStr">
        <is>
          <t>tipo: Temporizador</t>
        </is>
      </c>
    </row>
    <row r="957">
      <c r="A957" s="3" t="inlineStr">
        <is>
          <t>MAT-10-341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Timbre eléctrico</t>
        </is>
      </c>
      <c r="E957" s="4" t="inlineStr"/>
      <c r="F957" s="3" t="inlineStr">
        <is>
          <t>unidad</t>
        </is>
      </c>
      <c r="G957" s="3" t="inlineStr">
        <is>
          <t>Instalaciones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414.99</v>
      </c>
      <c r="L957" s="6" t="n">
        <v>100</v>
      </c>
      <c r="M957" s="6" t="n">
        <v>894.99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Max Ferretería</t>
        </is>
      </c>
      <c r="AF957" s="4" t="inlineStr">
        <is>
          <t>tipo: Timbre eléctrico</t>
        </is>
      </c>
    </row>
    <row r="958">
      <c r="A958" s="3" t="inlineStr">
        <is>
          <t>MAT-12-009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acrílica, cubeta de 5 galones</t>
        </is>
      </c>
      <c r="E958" s="4" t="inlineStr"/>
      <c r="F958" s="3" t="inlineStr">
        <is>
          <t>envase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2</v>
      </c>
      <c r="K958" s="6" t="n">
        <v>3750</v>
      </c>
      <c r="L958" s="6" t="n">
        <v>1730.56</v>
      </c>
      <c r="M958" s="6" t="n">
        <v>11526.59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2026-09-10</t>
        </is>
      </c>
      <c r="Q958" s="4" t="inlineStr">
        <is>
          <t>Ferremix (Grupo Alterra) · Tonos y Colores</t>
        </is>
      </c>
      <c r="AF958" s="4" t="inlineStr">
        <is>
          <t>tipo: acrílica · envase: cubeta de 5 galones</t>
        </is>
      </c>
    </row>
    <row r="959">
      <c r="A959" s="3" t="inlineStr">
        <is>
          <t>MAT-12-010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acrílica, galón</t>
        </is>
      </c>
      <c r="E959" s="4" t="inlineStr"/>
      <c r="F959" s="3" t="inlineStr">
        <is>
          <t>envase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2</v>
      </c>
      <c r="K959" s="6" t="n">
        <v>757.13</v>
      </c>
      <c r="L959" s="6" t="n">
        <v>374.4</v>
      </c>
      <c r="M959" s="6" t="n">
        <v>5297.6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2026-09-10</t>
        </is>
      </c>
      <c r="Q959" s="4" t="inlineStr">
        <is>
          <t>Ferremix (Grupo Alterra) · Tonos y Colores</t>
        </is>
      </c>
      <c r="AF959" s="4" t="inlineStr">
        <is>
          <t>tipo: acrílica · envase: galón</t>
        </is>
      </c>
    </row>
    <row r="960">
      <c r="A960" s="3" t="inlineStr">
        <is>
          <t>MAT-12-011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aislante térmica, galón</t>
        </is>
      </c>
      <c r="E960" s="4" t="inlineStr"/>
      <c r="F960" s="3" t="inlineStr">
        <is>
          <t>envase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6835.64</v>
      </c>
      <c r="L960" s="6" t="n">
        <v>6835.64</v>
      </c>
      <c r="M960" s="6" t="n">
        <v>6835.64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Tonos y Colores</t>
        </is>
      </c>
      <c r="AF960" s="4" t="inlineStr">
        <is>
          <t>tipo: aislante térmica · envase: galón · acabado: brillante</t>
        </is>
      </c>
    </row>
    <row r="961">
      <c r="A961" s="3" t="inlineStr">
        <is>
          <t>MAT-12-012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Pintura anticorrosiva, galón</t>
        </is>
      </c>
      <c r="E961" s="4" t="inlineStr"/>
      <c r="F961" s="3" t="inlineStr">
        <is>
          <t>envase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4353.57</v>
      </c>
      <c r="L961" s="6" t="n">
        <v>1345.06</v>
      </c>
      <c r="M961" s="6" t="n">
        <v>4353.57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Tonos y Colores</t>
        </is>
      </c>
      <c r="AF961" s="4" t="inlineStr">
        <is>
          <t>tipo: anticorrosiva · envase: galón · acabado: brillante</t>
        </is>
      </c>
    </row>
    <row r="962">
      <c r="A962" s="3" t="inlineStr">
        <is>
          <t>MAT-12-013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Pintura de tráfico, galón</t>
        </is>
      </c>
      <c r="E962" s="4" t="inlineStr"/>
      <c r="F962" s="3" t="inlineStr">
        <is>
          <t>envase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1780.6</v>
      </c>
      <c r="L962" s="6" t="n">
        <v>1705.6</v>
      </c>
      <c r="M962" s="6" t="n">
        <v>4908.28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Tonos y Colores</t>
        </is>
      </c>
      <c r="AF962" s="4" t="inlineStr">
        <is>
          <t>tipo: de tráfico · envase: galón · acabado: brillante</t>
        </is>
      </c>
    </row>
    <row r="963">
      <c r="A963" s="3" t="inlineStr">
        <is>
          <t>MAT-12-014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Pintura epóxica, cubeta de 5 galones</t>
        </is>
      </c>
      <c r="E963" s="4" t="inlineStr"/>
      <c r="F963" s="3" t="inlineStr">
        <is>
          <t>envase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1675</v>
      </c>
      <c r="L963" s="6" t="n">
        <v>1675</v>
      </c>
      <c r="M963" s="6" t="n">
        <v>1675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2026-09-10</t>
        </is>
      </c>
      <c r="Q963" s="4" t="inlineStr">
        <is>
          <t>Ferremix (Grupo Alterra)</t>
        </is>
      </c>
      <c r="AF963" s="4" t="inlineStr">
        <is>
          <t>tipo: epóxica · envase: cubeta de 5 galones</t>
        </is>
      </c>
    </row>
    <row r="964">
      <c r="A964" s="3" t="inlineStr">
        <is>
          <t>MAT-12-015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Pintura epóxica, galón</t>
        </is>
      </c>
      <c r="E964" s="4" t="inlineStr"/>
      <c r="F964" s="3" t="inlineStr">
        <is>
          <t>envase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2954.01</v>
      </c>
      <c r="L964" s="6" t="n">
        <v>2954.01</v>
      </c>
      <c r="M964" s="6" t="n">
        <v>2954.01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Tonos y Colores</t>
        </is>
      </c>
      <c r="AF964" s="4" t="inlineStr">
        <is>
          <t>tipo: epóxica · envase: galón · acabado: brillante</t>
        </is>
      </c>
    </row>
    <row r="965">
      <c r="A965" s="3" t="inlineStr">
        <is>
          <t>MAT-12-016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Pintura esmalte, envase de 750 ml</t>
        </is>
      </c>
      <c r="E965" s="4" t="inlineStr"/>
      <c r="F965" s="3" t="inlineStr">
        <is>
          <t>envase</t>
        </is>
      </c>
      <c r="G965" s="3" t="inlineStr">
        <is>
          <t>Terminación de superficies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1212.3</v>
      </c>
      <c r="L965" s="6" t="n">
        <v>1212.3</v>
      </c>
      <c r="M965" s="6" t="n">
        <v>1212.3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Tonos y Colores</t>
        </is>
      </c>
      <c r="AF965" s="4" t="inlineStr">
        <is>
          <t>tipo: esmalte · envase: envase de 750 ml</t>
        </is>
      </c>
    </row>
    <row r="966">
      <c r="A966" s="3" t="inlineStr">
        <is>
          <t>MAT-12-017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Pintura esmalte, galón</t>
        </is>
      </c>
      <c r="E966" s="4" t="inlineStr"/>
      <c r="F966" s="3" t="inlineStr">
        <is>
          <t>envase</t>
        </is>
      </c>
      <c r="G966" s="3" t="inlineStr">
        <is>
          <t>Terminación de superficies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3548.15</v>
      </c>
      <c r="L966" s="6" t="n">
        <v>1312.41</v>
      </c>
      <c r="M966" s="6" t="n">
        <v>5401.1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Tonos y Colores</t>
        </is>
      </c>
      <c r="AF966" s="4" t="inlineStr">
        <is>
          <t>tipo: esmalte · envase: galón · acabado: brillante</t>
        </is>
      </c>
    </row>
    <row r="967">
      <c r="A967" s="3" t="inlineStr">
        <is>
          <t>MAT-12-018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Impermeabilizante, cubeta de 5 galones</t>
        </is>
      </c>
      <c r="E967" s="4" t="inlineStr"/>
      <c r="F967" s="3" t="inlineStr">
        <is>
          <t>envase</t>
        </is>
      </c>
      <c r="G967" s="3" t="inlineStr">
        <is>
          <t>Terminación de superficies</t>
        </is>
      </c>
      <c r="H967" s="3" t="inlineStr">
        <is>
          <t>estandar</t>
        </is>
      </c>
      <c r="I967" s="3" t="inlineStr">
        <is>
          <t>importado</t>
        </is>
      </c>
      <c r="J967" s="5" t="n">
        <v>2</v>
      </c>
      <c r="K967" s="6" t="n">
        <v>7752.62</v>
      </c>
      <c r="L967" s="6" t="n">
        <v>2065</v>
      </c>
      <c r="M967" s="6" t="n">
        <v>13902.88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2026-09-10</t>
        </is>
      </c>
      <c r="Q967" s="4" t="inlineStr">
        <is>
          <t>Ferremix (Grupo Alterra) · Tonos y Colores</t>
        </is>
      </c>
      <c r="AF967" s="4" t="inlineStr">
        <is>
          <t>tipo: impermeabilizante · envase: cubeta de 5 galones</t>
        </is>
      </c>
    </row>
    <row r="968">
      <c r="A968" s="3" t="inlineStr">
        <is>
          <t>MAT-12-019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Impermeabilizante, funda de 40 libras</t>
        </is>
      </c>
      <c r="E968" s="4" t="inlineStr"/>
      <c r="F968" s="3" t="inlineStr">
        <is>
          <t>envase</t>
        </is>
      </c>
      <c r="G968" s="3" t="inlineStr">
        <is>
          <t>Terminación de superficies</t>
        </is>
      </c>
      <c r="H968" s="3" t="inlineStr">
        <is>
          <t>estandar</t>
        </is>
      </c>
      <c r="I968" s="3" t="inlineStr">
        <is>
          <t>importado</t>
        </is>
      </c>
      <c r="J968" s="5" t="n">
        <v>2</v>
      </c>
      <c r="K968" s="6" t="n">
        <v>2663</v>
      </c>
      <c r="L968" s="6" t="n">
        <v>2419.2</v>
      </c>
      <c r="M968" s="6" t="n">
        <v>3295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2026-09-10</t>
        </is>
      </c>
      <c r="Q968" s="4" t="inlineStr">
        <is>
          <t>Bellón · Tonos y Colores</t>
        </is>
      </c>
      <c r="AF968" s="4" t="inlineStr">
        <is>
          <t>tipo: impermeabilizante · envase: funda de 40 libras · acabado: mate</t>
        </is>
      </c>
    </row>
    <row r="969">
      <c r="A969" s="3" t="inlineStr">
        <is>
          <t>MAT-12-020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Impermeabilizante, funda de 44 libras</t>
        </is>
      </c>
      <c r="E969" s="4" t="inlineStr"/>
      <c r="F969" s="3" t="inlineStr">
        <is>
          <t>envase</t>
        </is>
      </c>
      <c r="G969" s="3" t="inlineStr">
        <is>
          <t>Terminación de superficies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2838.53</v>
      </c>
      <c r="L969" s="6" t="n">
        <v>2838.53</v>
      </c>
      <c r="M969" s="6" t="n">
        <v>2838.53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Tonos y Colores</t>
        </is>
      </c>
      <c r="AF969" s="4" t="inlineStr">
        <is>
          <t>tipo: impermeabilizante · envase: funda de 44 libras</t>
        </is>
      </c>
    </row>
    <row r="970">
      <c r="A970" s="3" t="inlineStr">
        <is>
          <t>MAT-12-021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Impermeabilizante, galón</t>
        </is>
      </c>
      <c r="E970" s="4" t="inlineStr"/>
      <c r="F970" s="3" t="inlineStr">
        <is>
          <t>envase</t>
        </is>
      </c>
      <c r="G970" s="3" t="inlineStr">
        <is>
          <t>Terminación de superficies</t>
        </is>
      </c>
      <c r="H970" s="3" t="inlineStr">
        <is>
          <t>estandar</t>
        </is>
      </c>
      <c r="I970" s="3" t="inlineStr">
        <is>
          <t>importado</t>
        </is>
      </c>
      <c r="J970" s="5" t="n">
        <v>2</v>
      </c>
      <c r="K970" s="6" t="n">
        <v>2299.98</v>
      </c>
      <c r="L970" s="6" t="n">
        <v>1265</v>
      </c>
      <c r="M970" s="6" t="n">
        <v>4642.17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2026-09-10</t>
        </is>
      </c>
      <c r="Q970" s="4" t="inlineStr">
        <is>
          <t>Ferremix (Grupo Alterra) · Tonos y Colores</t>
        </is>
      </c>
      <c r="AF970" s="4" t="inlineStr">
        <is>
          <t>tipo: impermeabilizante · envase: galón · acabado: mate</t>
        </is>
      </c>
    </row>
    <row r="971">
      <c r="A971" s="3" t="inlineStr">
        <is>
          <t>MAT-12-022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Masilla, cubeta de 5 galones</t>
        </is>
      </c>
      <c r="E971" s="4" t="inlineStr"/>
      <c r="F971" s="3" t="inlineStr">
        <is>
          <t>envase</t>
        </is>
      </c>
      <c r="G971" s="3" t="inlineStr">
        <is>
          <t>Terminación de superficies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1795</v>
      </c>
      <c r="L971" s="6" t="n">
        <v>1395</v>
      </c>
      <c r="M971" s="6" t="n">
        <v>8050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2026-09-10</t>
        </is>
      </c>
      <c r="Q971" s="4" t="inlineStr">
        <is>
          <t>Ferremix (Grupo Alterra)</t>
        </is>
      </c>
      <c r="AF971" s="4" t="inlineStr">
        <is>
          <t>tipo: masilla · envase: cubeta de 5 galones</t>
        </is>
      </c>
    </row>
    <row r="972">
      <c r="A972" s="3" t="inlineStr">
        <is>
          <t>MAT-12-023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Masilla, envase de 2.5 litros</t>
        </is>
      </c>
      <c r="E972" s="4" t="inlineStr"/>
      <c r="F972" s="3" t="inlineStr">
        <is>
          <t>envase</t>
        </is>
      </c>
      <c r="G972" s="3" t="inlineStr">
        <is>
          <t>Terminación de superficies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1429.12</v>
      </c>
      <c r="L972" s="6" t="n">
        <v>1429.12</v>
      </c>
      <c r="M972" s="6" t="n">
        <v>1429.12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Tonos y Colores</t>
        </is>
      </c>
      <c r="AF972" s="4" t="inlineStr">
        <is>
          <t>tipo: masilla · envase: envase de 2.5 litros · acabado: mate</t>
        </is>
      </c>
    </row>
    <row r="973">
      <c r="A973" s="3" t="inlineStr">
        <is>
          <t>MAT-12-024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Masilla, funda de 1 libra</t>
        </is>
      </c>
      <c r="E973" s="4" t="inlineStr"/>
      <c r="F973" s="3" t="inlineStr">
        <is>
          <t>envase</t>
        </is>
      </c>
      <c r="G973" s="3" t="inlineStr">
        <is>
          <t>Terminación de superficies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211.9</v>
      </c>
      <c r="L973" s="6" t="n">
        <v>211.9</v>
      </c>
      <c r="M973" s="6" t="n">
        <v>211.9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Tonos y Colores</t>
        </is>
      </c>
      <c r="AF973" s="4" t="inlineStr">
        <is>
          <t>tipo: masilla · envase: funda de 1 libra · acabado: mate</t>
        </is>
      </c>
    </row>
    <row r="974">
      <c r="A974" s="3" t="inlineStr">
        <is>
          <t>MAT-12-025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Masilla, funda de 11 libras</t>
        </is>
      </c>
      <c r="E974" s="4" t="inlineStr"/>
      <c r="F974" s="3" t="inlineStr">
        <is>
          <t>envase</t>
        </is>
      </c>
      <c r="G974" s="3" t="inlineStr">
        <is>
          <t>Terminación de superficies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1118.66</v>
      </c>
      <c r="L974" s="6" t="n">
        <v>1118.66</v>
      </c>
      <c r="M974" s="6" t="n">
        <v>1118.66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Tonos y Colores</t>
        </is>
      </c>
      <c r="AF974" s="4" t="inlineStr">
        <is>
          <t>tipo: masilla · envase: funda de 11 libras · acabado: mate</t>
        </is>
      </c>
    </row>
    <row r="975">
      <c r="A975" s="3" t="inlineStr">
        <is>
          <t>MAT-12-026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Masilla, funda de 2 libras</t>
        </is>
      </c>
      <c r="E975" s="4" t="inlineStr"/>
      <c r="F975" s="3" t="inlineStr">
        <is>
          <t>envase</t>
        </is>
      </c>
      <c r="G975" s="3" t="inlineStr">
        <is>
          <t>Terminación de superficies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335.1</v>
      </c>
      <c r="L975" s="6" t="n">
        <v>335.1</v>
      </c>
      <c r="M975" s="6" t="n">
        <v>335.1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Tonos y Colores</t>
        </is>
      </c>
      <c r="AF975" s="4" t="inlineStr">
        <is>
          <t>tipo: masilla · envase: funda de 2 libras · acabado: mate</t>
        </is>
      </c>
    </row>
    <row r="976">
      <c r="A976" s="3" t="inlineStr">
        <is>
          <t>MAT-12-027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exterior, cubeta de 5 galones</t>
        </is>
      </c>
      <c r="E976" s="4" t="inlineStr"/>
      <c r="F976" s="3" t="inlineStr">
        <is>
          <t>envase</t>
        </is>
      </c>
      <c r="G976" s="3" t="inlineStr">
        <is>
          <t>Terminación de superficies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4072.16</v>
      </c>
      <c r="L976" s="6" t="n">
        <v>4072.16</v>
      </c>
      <c r="M976" s="6" t="n">
        <v>4072.16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Tonos y Colores</t>
        </is>
      </c>
      <c r="AF976" s="4" t="inlineStr">
        <is>
          <t>tipo: masilla para exterior · envase: cubeta de 5 galones · acabado: satinado</t>
        </is>
      </c>
    </row>
    <row r="977">
      <c r="A977" s="3" t="inlineStr">
        <is>
          <t>MAT-12-028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exterior, funda de 40 libras</t>
        </is>
      </c>
      <c r="E977" s="4" t="inlineStr"/>
      <c r="F977" s="3" t="inlineStr">
        <is>
          <t>envase</t>
        </is>
      </c>
      <c r="G977" s="3" t="inlineStr">
        <is>
          <t>Terminación de superficies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2157.6</v>
      </c>
      <c r="L977" s="6" t="n">
        <v>2157.6</v>
      </c>
      <c r="M977" s="6" t="n">
        <v>2157.6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Tonos y Colores</t>
        </is>
      </c>
      <c r="AF977" s="4" t="inlineStr">
        <is>
          <t>tipo: masilla para exterior · envase: funda de 40 libras · acabado: satinado</t>
        </is>
      </c>
    </row>
    <row r="978">
      <c r="A978" s="3" t="inlineStr">
        <is>
          <t>MAT-12-029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cubeta de 5 galones</t>
        </is>
      </c>
      <c r="E978" s="4" t="inlineStr"/>
      <c r="F978" s="3" t="inlineStr">
        <is>
          <t>envase</t>
        </is>
      </c>
      <c r="G978" s="3" t="inlineStr">
        <is>
          <t>Terminación de superficies</t>
        </is>
      </c>
      <c r="H978" s="3" t="inlineStr">
        <is>
          <t>estandar</t>
        </is>
      </c>
      <c r="I978" s="3" t="inlineStr">
        <is>
          <t>importado</t>
        </is>
      </c>
      <c r="J978" s="5" t="n">
        <v>2</v>
      </c>
      <c r="K978" s="6" t="n">
        <v>1401.92</v>
      </c>
      <c r="L978" s="6" t="n">
        <v>1221.74</v>
      </c>
      <c r="M978" s="6" t="n">
        <v>4316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2026-09-10</t>
        </is>
      </c>
      <c r="Q978" s="4" t="inlineStr">
        <is>
          <t>Bellón · Tonos y Colores</t>
        </is>
      </c>
      <c r="AF978" s="4" t="inlineStr">
        <is>
          <t>tipo: masilla para sheetrock · envase: cubeta de 5 galones · acabado: mate</t>
        </is>
      </c>
    </row>
    <row r="979">
      <c r="A979" s="3" t="inlineStr">
        <is>
          <t>MAT-12-030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 para sheetrock, funda de 14 libras</t>
        </is>
      </c>
      <c r="E979" s="4" t="inlineStr"/>
      <c r="F979" s="3" t="inlineStr">
        <is>
          <t>envase</t>
        </is>
      </c>
      <c r="G979" s="3" t="inlineStr">
        <is>
          <t>Terminación de superficies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1198</v>
      </c>
      <c r="L979" s="6" t="n">
        <v>1198</v>
      </c>
      <c r="M979" s="6" t="n">
        <v>1198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2026-09-10</t>
        </is>
      </c>
      <c r="Q979" s="4" t="inlineStr">
        <is>
          <t>Bellón</t>
        </is>
      </c>
      <c r="AF979" s="4" t="inlineStr">
        <is>
          <t>tipo: masilla para sheetrock · envase: funda de 14 libras</t>
        </is>
      </c>
    </row>
    <row r="980">
      <c r="A980" s="3" t="inlineStr">
        <is>
          <t>MAT-12-031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Masilla para sheetrock, funda de 2 libras</t>
        </is>
      </c>
      <c r="E980" s="4" t="inlineStr"/>
      <c r="F980" s="3" t="inlineStr">
        <is>
          <t>envase</t>
        </is>
      </c>
      <c r="G980" s="3" t="inlineStr">
        <is>
          <t>Terminación de superficies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155</v>
      </c>
      <c r="L980" s="6" t="n">
        <v>155</v>
      </c>
      <c r="M980" s="6" t="n">
        <v>155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2026-09-10</t>
        </is>
      </c>
      <c r="Q980" s="4" t="inlineStr">
        <is>
          <t>Bellón</t>
        </is>
      </c>
      <c r="AF980" s="4" t="inlineStr">
        <is>
          <t>tipo: masilla para sheetrock · envase: funda de 2 libras</t>
        </is>
      </c>
    </row>
    <row r="981">
      <c r="A981" s="3" t="inlineStr">
        <is>
          <t>MAT-12-032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Masilla para sheetrock, funda de 44 libras</t>
        </is>
      </c>
      <c r="E981" s="4" t="inlineStr"/>
      <c r="F981" s="3" t="inlineStr">
        <is>
          <t>envase</t>
        </is>
      </c>
      <c r="G981" s="3" t="inlineStr">
        <is>
          <t>Terminación de superficies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982</v>
      </c>
      <c r="L981" s="6" t="n">
        <v>982</v>
      </c>
      <c r="M981" s="6" t="n">
        <v>982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2026-09-10</t>
        </is>
      </c>
      <c r="Q981" s="4" t="inlineStr">
        <is>
          <t>Bellón</t>
        </is>
      </c>
      <c r="AF981" s="4" t="inlineStr">
        <is>
          <t>tipo: masilla para sheetrock · envase: funda de 44 libras</t>
        </is>
      </c>
    </row>
    <row r="982">
      <c r="A982" s="3" t="inlineStr">
        <is>
          <t>MAT-12-033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Masilla para sheetrock, funda de 55 libras</t>
        </is>
      </c>
      <c r="E982" s="4" t="inlineStr"/>
      <c r="F982" s="3" t="inlineStr">
        <is>
          <t>envase</t>
        </is>
      </c>
      <c r="G982" s="3" t="inlineStr">
        <is>
          <t>Terminación de superficies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2885</v>
      </c>
      <c r="L982" s="6" t="n">
        <v>2885</v>
      </c>
      <c r="M982" s="6" t="n">
        <v>2885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2026-09-10</t>
        </is>
      </c>
      <c r="Q982" s="4" t="inlineStr">
        <is>
          <t>Bellón</t>
        </is>
      </c>
      <c r="AF982" s="4" t="inlineStr">
        <is>
          <t>tipo: masilla para sheetrock · envase: funda de 55 libras</t>
        </is>
      </c>
    </row>
    <row r="983">
      <c r="A983" s="3" t="inlineStr">
        <is>
          <t>MAT-12-034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Masilla para sheetrock, funda de 62 libras</t>
        </is>
      </c>
      <c r="E983" s="4" t="inlineStr"/>
      <c r="F983" s="3" t="inlineStr">
        <is>
          <t>envase</t>
        </is>
      </c>
      <c r="G983" s="3" t="inlineStr">
        <is>
          <t>Terminación de superficies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1670</v>
      </c>
      <c r="L983" s="6" t="n">
        <v>1670</v>
      </c>
      <c r="M983" s="6" t="n">
        <v>1670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2026-09-10</t>
        </is>
      </c>
      <c r="Q983" s="4" t="inlineStr">
        <is>
          <t>Bellón</t>
        </is>
      </c>
      <c r="AF983" s="4" t="inlineStr">
        <is>
          <t>tipo: masilla para sheetrock · envase: funda de 62 libras</t>
        </is>
      </c>
    </row>
    <row r="984">
      <c r="A984" s="3" t="inlineStr">
        <is>
          <t>MAT-12-035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Masilla para sheetrock, funda de 64 libras</t>
        </is>
      </c>
      <c r="E984" s="4" t="inlineStr"/>
      <c r="F984" s="3" t="inlineStr">
        <is>
          <t>envase</t>
        </is>
      </c>
      <c r="G984" s="3" t="inlineStr">
        <is>
          <t>Terminación de superficies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1828</v>
      </c>
      <c r="L984" s="6" t="n">
        <v>1828</v>
      </c>
      <c r="M984" s="6" t="n">
        <v>1828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2026-09-10</t>
        </is>
      </c>
      <c r="Q984" s="4" t="inlineStr">
        <is>
          <t>Bellón</t>
        </is>
      </c>
      <c r="AF984" s="4" t="inlineStr">
        <is>
          <t>tipo: masilla para sheetrock · envase: funda de 64 libras</t>
        </is>
      </c>
    </row>
    <row r="985">
      <c r="A985" s="3" t="inlineStr">
        <is>
          <t>MAT-12-036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Pintura para piscina, galón</t>
        </is>
      </c>
      <c r="E985" s="4" t="inlineStr"/>
      <c r="F985" s="3" t="inlineStr">
        <is>
          <t>envase</t>
        </is>
      </c>
      <c r="G985" s="3" t="inlineStr">
        <is>
          <t>Terminación de superficies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3326.41</v>
      </c>
      <c r="L985" s="6" t="n">
        <v>3326.41</v>
      </c>
      <c r="M985" s="6" t="n">
        <v>3326.41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Tonos y Colores</t>
        </is>
      </c>
      <c r="AF985" s="4" t="inlineStr">
        <is>
          <t>tipo: para piscina · envase: galón · acabado: mate</t>
        </is>
      </c>
    </row>
    <row r="986">
      <c r="A986" s="3" t="inlineStr">
        <is>
          <t>MAT-12-037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Primer sellador, cubeta de 5 galones</t>
        </is>
      </c>
      <c r="E986" s="4" t="inlineStr"/>
      <c r="F986" s="3" t="inlineStr">
        <is>
          <t>envase</t>
        </is>
      </c>
      <c r="G986" s="3" t="inlineStr">
        <is>
          <t>Terminación de superficies</t>
        </is>
      </c>
      <c r="H986" s="3" t="inlineStr">
        <is>
          <t>estandar</t>
        </is>
      </c>
      <c r="I986" s="3" t="inlineStr">
        <is>
          <t>importado</t>
        </is>
      </c>
      <c r="J986" s="5" t="n">
        <v>3</v>
      </c>
      <c r="K986" s="6" t="n">
        <v>5112.5</v>
      </c>
      <c r="L986" s="6" t="n">
        <v>3260</v>
      </c>
      <c r="M986" s="6" t="n">
        <v>8900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2026-09-10</t>
        </is>
      </c>
      <c r="Q986" s="4" t="inlineStr">
        <is>
          <t>Bellón · Ferremix (Grupo Alterra) · Tonos y Colores</t>
        </is>
      </c>
      <c r="AF986" s="4" t="inlineStr">
        <is>
          <t>tipo: primer · envase: cubeta de 5 galones · acabado: mate</t>
        </is>
      </c>
    </row>
    <row r="987">
      <c r="A987" s="3" t="inlineStr">
        <is>
          <t>MAT-12-038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Estuco para interiores, funda de 35 libras</t>
        </is>
      </c>
      <c r="E987" s="4" t="inlineStr"/>
      <c r="F987" s="3" t="inlineStr">
        <is>
          <t>funda</t>
        </is>
      </c>
      <c r="G987" s="3" t="inlineStr">
        <is>
          <t>Terminación de superficies</t>
        </is>
      </c>
      <c r="H987" s="3" t="inlineStr">
        <is>
          <t>estandar</t>
        </is>
      </c>
      <c r="I987" s="3" t="inlineStr">
        <is>
          <t>nacional</t>
        </is>
      </c>
      <c r="J987" s="5" t="n">
        <v>2</v>
      </c>
      <c r="K987" s="6" t="n">
        <v>510.56</v>
      </c>
      <c r="L987" s="6" t="n">
        <v>331.11</v>
      </c>
      <c r="M987" s="6" t="n">
        <v>690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Ochoa (8A) · InnovaCentro (La Innovación)</t>
        </is>
      </c>
    </row>
    <row r="988">
      <c r="A988" s="3" t="inlineStr">
        <is>
          <t>MAT-13-011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Angular para plafón, 10'</t>
        </is>
      </c>
      <c r="E988" s="4" t="inlineStr"/>
      <c r="F988" s="3" t="inlineStr">
        <is>
          <t>unidad</t>
        </is>
      </c>
      <c r="G988" s="3" t="inlineStr">
        <is>
          <t>Terminación de superficies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98</v>
      </c>
      <c r="L988" s="6" t="n">
        <v>98</v>
      </c>
      <c r="M988" s="6" t="n">
        <v>98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InnovaCentro (La Innovación)</t>
        </is>
      </c>
      <c r="AD988" s="7" t="inlineStr">
        <is>
          <t>10'</t>
        </is>
      </c>
    </row>
    <row r="989">
      <c r="A989" s="3" t="inlineStr">
        <is>
          <t>MAT-13-012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Cartón piedra, 4'X8' 3X2Mm 1/8"</t>
        </is>
      </c>
      <c r="E989" s="4" t="inlineStr"/>
      <c r="F989" s="3" t="inlineStr">
        <is>
          <t>unidad</t>
        </is>
      </c>
      <c r="G989" s="3" t="inlineStr">
        <is>
          <t>Terminación de superficies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495</v>
      </c>
      <c r="L989" s="6" t="n">
        <v>495</v>
      </c>
      <c r="M989" s="6" t="n">
        <v>495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InnovaCentro (La Innovación)</t>
        </is>
      </c>
      <c r="AC989" s="7" t="inlineStr">
        <is>
          <t>1/8"</t>
        </is>
      </c>
      <c r="AD989" s="7" t="inlineStr">
        <is>
          <t>4'X8' 3X2Mm 1/8"</t>
        </is>
      </c>
    </row>
    <row r="990">
      <c r="A990" s="3" t="inlineStr">
        <is>
          <t>MAT-13-013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Cross tee para plafón, 2'</t>
        </is>
      </c>
      <c r="E990" s="4" t="inlineStr"/>
      <c r="F990" s="3" t="inlineStr">
        <is>
          <t>unidad</t>
        </is>
      </c>
      <c r="G990" s="3" t="inlineStr">
        <is>
          <t>Terminación de superficies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26</v>
      </c>
      <c r="L990" s="6" t="n">
        <v>26</v>
      </c>
      <c r="M990" s="6" t="n">
        <v>26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InnovaCentro (La Innovación)</t>
        </is>
      </c>
      <c r="AD990" s="7" t="inlineStr">
        <is>
          <t>2'</t>
        </is>
      </c>
    </row>
    <row r="991">
      <c r="A991" s="3" t="inlineStr">
        <is>
          <t>MAT-13-014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Cross tee para plafón, 4'</t>
        </is>
      </c>
      <c r="E991" s="4" t="inlineStr"/>
      <c r="F991" s="3" t="inlineStr">
        <is>
          <t>unidad</t>
        </is>
      </c>
      <c r="G991" s="3" t="inlineStr">
        <is>
          <t>Terminación de superficies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56</v>
      </c>
      <c r="L991" s="6" t="n">
        <v>56</v>
      </c>
      <c r="M991" s="6" t="n">
        <v>56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InnovaCentro (La Innovación)</t>
        </is>
      </c>
      <c r="AD991" s="7" t="inlineStr">
        <is>
          <t>4'</t>
        </is>
      </c>
    </row>
    <row r="992">
      <c r="A992" s="3" t="inlineStr">
        <is>
          <t>MAT-13-015</t>
        </is>
      </c>
      <c r="B992" s="3" t="inlineStr">
        <is>
          <t>Materiales</t>
        </is>
      </c>
      <c r="C992" s="3" t="inlineStr">
        <is>
          <t>Plafones y construcción liviana</t>
        </is>
      </c>
      <c r="D992" s="4" t="inlineStr">
        <is>
          <t>Durmiente para plafón, 2-1/2"X10 calibre 25</t>
        </is>
      </c>
      <c r="E992" s="4" t="inlineStr"/>
      <c r="F992" s="3" t="inlineStr">
        <is>
          <t>unidad</t>
        </is>
      </c>
      <c r="G992" s="3" t="inlineStr">
        <is>
          <t>Terminación de superficies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149</v>
      </c>
      <c r="L992" s="6" t="n">
        <v>149</v>
      </c>
      <c r="M992" s="6" t="n">
        <v>149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InnovaCentro (La Innovación)</t>
        </is>
      </c>
      <c r="AC992" s="7" t="inlineStr">
        <is>
          <t>25</t>
        </is>
      </c>
      <c r="AD992" s="7" t="inlineStr">
        <is>
          <t>2-1/2"X10</t>
        </is>
      </c>
    </row>
    <row r="993">
      <c r="A993" s="3" t="inlineStr">
        <is>
          <t>MAT-13-016</t>
        </is>
      </c>
      <c r="B993" s="3" t="inlineStr">
        <is>
          <t>Materiales</t>
        </is>
      </c>
      <c r="C993" s="3" t="inlineStr">
        <is>
          <t>Plafones y construcción liviana</t>
        </is>
      </c>
      <c r="D993" s="4" t="inlineStr">
        <is>
          <t>Main tee para plafón, 12'</t>
        </is>
      </c>
      <c r="E993" s="4" t="inlineStr"/>
      <c r="F993" s="3" t="inlineStr">
        <is>
          <t>unidad</t>
        </is>
      </c>
      <c r="G993" s="3" t="inlineStr">
        <is>
          <t>Terminación de superficies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186</v>
      </c>
      <c r="L993" s="6" t="n">
        <v>186</v>
      </c>
      <c r="M993" s="6" t="n">
        <v>186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InnovaCentro (La Innovación)</t>
        </is>
      </c>
      <c r="AD993" s="7" t="inlineStr">
        <is>
          <t>12'</t>
        </is>
      </c>
    </row>
    <row r="994">
      <c r="A994" s="3" t="inlineStr">
        <is>
          <t>MAT-13-017</t>
        </is>
      </c>
      <c r="B994" s="3" t="inlineStr">
        <is>
          <t>Materiales</t>
        </is>
      </c>
      <c r="C994" s="3" t="inlineStr">
        <is>
          <t>Plafones y construcción liviana</t>
        </is>
      </c>
      <c r="D994" s="4" t="inlineStr">
        <is>
          <t>Paral para plafón, 2-1/2"X10 calibre 25</t>
        </is>
      </c>
      <c r="E994" s="4" t="inlineStr"/>
      <c r="F994" s="3" t="inlineStr">
        <is>
          <t>unidad</t>
        </is>
      </c>
      <c r="G994" s="3" t="inlineStr">
        <is>
          <t>Terminación de superficies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185</v>
      </c>
      <c r="L994" s="6" t="n">
        <v>185</v>
      </c>
      <c r="M994" s="6" t="n">
        <v>185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InnovaCentro (La Innovación)</t>
        </is>
      </c>
      <c r="AC994" s="7" t="inlineStr">
        <is>
          <t>25</t>
        </is>
      </c>
      <c r="AD994" s="7" t="inlineStr">
        <is>
          <t>2-1/2"X10</t>
        </is>
      </c>
    </row>
    <row r="995">
      <c r="A995" s="3" t="inlineStr">
        <is>
          <t>MAT-13-018</t>
        </is>
      </c>
      <c r="B995" s="3" t="inlineStr">
        <is>
          <t>Materiales</t>
        </is>
      </c>
      <c r="C995" s="3" t="inlineStr">
        <is>
          <t>Plafones y construcción liviana</t>
        </is>
      </c>
      <c r="D995" s="4" t="inlineStr">
        <is>
          <t>Plafón, 2X4'</t>
        </is>
      </c>
      <c r="E995" s="4" t="inlineStr"/>
      <c r="F995" s="3" t="inlineStr">
        <is>
          <t>unidad</t>
        </is>
      </c>
      <c r="G995" s="3" t="inlineStr">
        <is>
          <t>Terminación de superficies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295</v>
      </c>
      <c r="L995" s="6" t="n">
        <v>295</v>
      </c>
      <c r="M995" s="6" t="n">
        <v>295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InnovaCentro (La Innovación)</t>
        </is>
      </c>
      <c r="AD995" s="7" t="inlineStr">
        <is>
          <t>2X4'</t>
        </is>
      </c>
    </row>
    <row r="996">
      <c r="A996" s="3" t="inlineStr">
        <is>
          <t>MAT-13-019</t>
        </is>
      </c>
      <c r="B996" s="3" t="inlineStr">
        <is>
          <t>Materiales</t>
        </is>
      </c>
      <c r="C996" s="3" t="inlineStr">
        <is>
          <t>Plafones y construcción liviana</t>
        </is>
      </c>
      <c r="D996" s="4" t="inlineStr">
        <is>
          <t>Plafón blanco, 250X5800X7MM</t>
        </is>
      </c>
      <c r="E996" s="4" t="inlineStr"/>
      <c r="F996" s="3" t="inlineStr">
        <is>
          <t>unidad</t>
        </is>
      </c>
      <c r="G996" s="3" t="inlineStr">
        <is>
          <t>Terminación de superficies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375</v>
      </c>
      <c r="L996" s="6" t="n">
        <v>375</v>
      </c>
      <c r="M996" s="6" t="n">
        <v>375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InnovaCentro (La Innovación)</t>
        </is>
      </c>
      <c r="AD996" s="7" t="inlineStr">
        <is>
          <t>250X5800X7MM</t>
        </is>
      </c>
      <c r="AE996" s="7" t="inlineStr">
        <is>
          <t>blanco</t>
        </is>
      </c>
    </row>
    <row r="997">
      <c r="A997" s="3" t="inlineStr">
        <is>
          <t>MAT-13-020</t>
        </is>
      </c>
      <c r="B997" s="3" t="inlineStr">
        <is>
          <t>Materiales</t>
        </is>
      </c>
      <c r="C997" s="3" t="inlineStr">
        <is>
          <t>Plafones y construcción liviana</t>
        </is>
      </c>
      <c r="D997" s="4" t="inlineStr">
        <is>
          <t>Plafón blanco, 2X4'</t>
        </is>
      </c>
      <c r="E997" s="4" t="inlineStr"/>
      <c r="F997" s="3" t="inlineStr">
        <is>
          <t>unidad</t>
        </is>
      </c>
      <c r="G997" s="3" t="inlineStr">
        <is>
          <t>Terminación de superficies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202</v>
      </c>
      <c r="L997" s="6" t="n">
        <v>202</v>
      </c>
      <c r="M997" s="6" t="n">
        <v>202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InnovaCentro (La Innovación)</t>
        </is>
      </c>
      <c r="AD997" s="7" t="inlineStr">
        <is>
          <t>2X4'</t>
        </is>
      </c>
      <c r="AE997" s="7" t="inlineStr">
        <is>
          <t>blanco</t>
        </is>
      </c>
    </row>
    <row r="998">
      <c r="A998" s="3" t="inlineStr">
        <is>
          <t>MAT-16-003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Kit de videovigilancia 4 cámaras bullet 2 MP</t>
        </is>
      </c>
      <c r="E998" s="4" t="inlineStr">
        <is>
          <t>Incluye grabador y disco</t>
        </is>
      </c>
      <c r="F998" s="3" t="inlineStr">
        <is>
          <t>juego</t>
        </is>
      </c>
      <c r="G998" s="3" t="inlineStr">
        <is>
          <t>Estructura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18221.03</v>
      </c>
      <c r="L998" s="6" t="n">
        <v>18221.03</v>
      </c>
      <c r="M998" s="6" t="n">
        <v>18221.03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  <c r="V998" s="7" t="inlineStr">
        <is>
          <t>bullet</t>
        </is>
      </c>
      <c r="W998" s="7" t="n">
        <v>2</v>
      </c>
      <c r="AF998" s="4" t="inlineStr">
        <is>
          <t>Cámaras: 4</t>
        </is>
      </c>
    </row>
    <row r="999">
      <c r="A999" s="3" t="inlineStr">
        <is>
          <t>MAT-16-004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Kit de videovigilancia 4 cámaras domo 2 MP</t>
        </is>
      </c>
      <c r="E999" s="4" t="inlineStr">
        <is>
          <t>Incluye grabador y disco</t>
        </is>
      </c>
      <c r="F999" s="3" t="inlineStr">
        <is>
          <t>juego</t>
        </is>
      </c>
      <c r="G999" s="3" t="inlineStr">
        <is>
          <t>Estructura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17133.95</v>
      </c>
      <c r="L999" s="6" t="n">
        <v>17133.95</v>
      </c>
      <c r="M999" s="6" t="n">
        <v>17133.95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  <c r="V999" s="7" t="inlineStr">
        <is>
          <t>domo</t>
        </is>
      </c>
      <c r="W999" s="7" t="n">
        <v>2</v>
      </c>
      <c r="AF999" s="4" t="inlineStr">
        <is>
          <t>Cámaras: 4</t>
        </is>
      </c>
    </row>
    <row r="1000">
      <c r="A1000" s="3" t="inlineStr">
        <is>
          <t>MAT-16-005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</t>
        </is>
      </c>
      <c r="E1000" s="4" t="inlineStr"/>
      <c r="F1000" s="3" t="inlineStr">
        <is>
          <t>unidad</t>
        </is>
      </c>
      <c r="G1000" s="3" t="inlineStr">
        <is>
          <t>Estructura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3342.09</v>
      </c>
      <c r="L1000" s="6" t="n">
        <v>2548.17</v>
      </c>
      <c r="M1000" s="6" t="n">
        <v>4136.01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</row>
    <row r="1001">
      <c r="A1001" s="3" t="inlineStr">
        <is>
          <t>MAT-16-006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bullet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2588.72</v>
      </c>
      <c r="L1001" s="6" t="n">
        <v>2191.4</v>
      </c>
      <c r="M1001" s="6" t="n">
        <v>5547.25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  <c r="V1001" s="7" t="inlineStr">
        <is>
          <t>bullet</t>
        </is>
      </c>
    </row>
    <row r="1002">
      <c r="A1002" s="3" t="inlineStr">
        <is>
          <t>MAT-16-007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bullet 2 MP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4606.9</v>
      </c>
      <c r="L1002" s="6" t="n">
        <v>1784.16</v>
      </c>
      <c r="M1002" s="6" t="n">
        <v>8801.58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  <c r="V1002" s="7" t="inlineStr">
        <is>
          <t>bullet</t>
        </is>
      </c>
      <c r="W1002" s="7" t="n">
        <v>2</v>
      </c>
      <c r="AF1002" s="4" t="inlineStr">
        <is>
          <t>Alcance IR (m): 40</t>
        </is>
      </c>
    </row>
    <row r="1003">
      <c r="A1003" s="3" t="inlineStr">
        <is>
          <t>MAT-16-008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bullet 4 MP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9064.129999999999</v>
      </c>
      <c r="L1003" s="6" t="n">
        <v>3087.35</v>
      </c>
      <c r="M1003" s="6" t="n">
        <v>17705.5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  <c r="V1003" s="7" t="inlineStr">
        <is>
          <t>bullet</t>
        </is>
      </c>
      <c r="W1003" s="7" t="n">
        <v>4</v>
      </c>
      <c r="X1003" s="7" t="inlineStr">
        <is>
          <t>IP</t>
        </is>
      </c>
      <c r="AF1003" s="4" t="inlineStr">
        <is>
          <t>Lente (mm): 2.8</t>
        </is>
      </c>
    </row>
    <row r="1004">
      <c r="A1004" s="3" t="inlineStr">
        <is>
          <t>MAT-16-009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bullet 5 MP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5675.9</v>
      </c>
      <c r="L1004" s="6" t="n">
        <v>1394.08</v>
      </c>
      <c r="M1004" s="6" t="n">
        <v>12499.73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  <c r="V1004" s="7" t="inlineStr">
        <is>
          <t>bullet</t>
        </is>
      </c>
      <c r="W1004" s="7" t="n">
        <v>5</v>
      </c>
    </row>
    <row r="1005">
      <c r="A1005" s="3" t="inlineStr">
        <is>
          <t>MAT-16-010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bullet 8 MP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13465.71</v>
      </c>
      <c r="L1005" s="6" t="n">
        <v>13465.71</v>
      </c>
      <c r="M1005" s="6" t="n">
        <v>13465.71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  <c r="V1005" s="7" t="inlineStr">
        <is>
          <t>bullet</t>
        </is>
      </c>
      <c r="W1005" s="7" t="n">
        <v>8</v>
      </c>
      <c r="X1005" s="7" t="inlineStr">
        <is>
          <t>IP</t>
        </is>
      </c>
    </row>
    <row r="1006">
      <c r="A1006" s="3" t="inlineStr">
        <is>
          <t>MAT-16-011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domo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12992.17</v>
      </c>
      <c r="L1006" s="6" t="n">
        <v>12992.17</v>
      </c>
      <c r="M1006" s="6" t="n">
        <v>12992.17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  <c r="V1006" s="7" t="inlineStr">
        <is>
          <t>domo</t>
        </is>
      </c>
      <c r="X1006" s="7" t="inlineStr">
        <is>
          <t>IP</t>
        </is>
      </c>
    </row>
    <row r="1007">
      <c r="A1007" s="3" t="inlineStr">
        <is>
          <t>MAT-16-012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domo 2 MP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3461.37</v>
      </c>
      <c r="L1007" s="6" t="n">
        <v>740.01</v>
      </c>
      <c r="M1007" s="6" t="n">
        <v>7322.31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  <c r="V1007" s="7" t="inlineStr">
        <is>
          <t>domo</t>
        </is>
      </c>
      <c r="W1007" s="7" t="n">
        <v>2</v>
      </c>
    </row>
    <row r="1008">
      <c r="A1008" s="3" t="inlineStr">
        <is>
          <t>MAT-16-013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domo 4 MP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5025.16</v>
      </c>
      <c r="L1008" s="6" t="n">
        <v>3695.82</v>
      </c>
      <c r="M1008" s="6" t="n">
        <v>8268.27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  <c r="V1008" s="7" t="inlineStr">
        <is>
          <t>domo</t>
        </is>
      </c>
      <c r="W1008" s="7" t="n">
        <v>4</v>
      </c>
    </row>
    <row r="1009">
      <c r="A1009" s="3" t="inlineStr">
        <is>
          <t>MAT-16-014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domo 5 MP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6122.92</v>
      </c>
      <c r="L1009" s="6" t="n">
        <v>1368.3</v>
      </c>
      <c r="M1009" s="6" t="n">
        <v>24325.6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  <c r="V1009" s="7" t="inlineStr">
        <is>
          <t>domo</t>
        </is>
      </c>
      <c r="W1009" s="7" t="n">
        <v>5</v>
      </c>
    </row>
    <row r="1010">
      <c r="A1010" s="3" t="inlineStr">
        <is>
          <t>MAT-16-015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ojo de pez 5 MP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11020.47</v>
      </c>
      <c r="L1010" s="6" t="n">
        <v>11020.47</v>
      </c>
      <c r="M1010" s="6" t="n">
        <v>11020.47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  <c r="V1010" s="7" t="inlineStr">
        <is>
          <t>ojo de pez</t>
        </is>
      </c>
      <c r="W1010" s="7" t="n">
        <v>5</v>
      </c>
      <c r="X1010" s="7" t="inlineStr">
        <is>
          <t>IP</t>
        </is>
      </c>
    </row>
    <row r="1011">
      <c r="A1011" s="3" t="inlineStr">
        <is>
          <t>MAT-16-016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PTZ 2 MP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30360.56</v>
      </c>
      <c r="L1011" s="6" t="n">
        <v>30360.56</v>
      </c>
      <c r="M1011" s="6" t="n">
        <v>30360.56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  <c r="V1011" s="7" t="inlineStr">
        <is>
          <t>PTZ</t>
        </is>
      </c>
      <c r="W1011" s="7" t="n">
        <v>2</v>
      </c>
      <c r="X1011" s="7" t="inlineStr">
        <is>
          <t>IP</t>
        </is>
      </c>
    </row>
    <row r="1012">
      <c r="A1012" s="3" t="inlineStr">
        <is>
          <t>MAT-16-017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PTZ 3 MP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19602.61</v>
      </c>
      <c r="L1012" s="6" t="n">
        <v>19602.61</v>
      </c>
      <c r="M1012" s="6" t="n">
        <v>19602.61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  <c r="V1012" s="7" t="inlineStr">
        <is>
          <t>PTZ</t>
        </is>
      </c>
      <c r="W1012" s="7" t="n">
        <v>3</v>
      </c>
    </row>
    <row r="1013">
      <c r="A1013" s="3" t="inlineStr">
        <is>
          <t>MAT-16-018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Cámara de seguridad turret 2 MP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3614.58</v>
      </c>
      <c r="L1013" s="6" t="n">
        <v>2549.16</v>
      </c>
      <c r="M1013" s="6" t="n">
        <v>4679.99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  <c r="V1013" s="7" t="inlineStr">
        <is>
          <t>turret</t>
        </is>
      </c>
      <c r="W1013" s="7" t="n">
        <v>2</v>
      </c>
      <c r="AF1013" s="4" t="inlineStr">
        <is>
          <t>Lente (mm): 2.8</t>
        </is>
      </c>
    </row>
    <row r="1014">
      <c r="A1014" s="3" t="inlineStr">
        <is>
          <t>MAT-16-019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Cámara de seguridad turret 4 MP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3073.06</v>
      </c>
      <c r="L1014" s="6" t="n">
        <v>3073.06</v>
      </c>
      <c r="M1014" s="6" t="n">
        <v>3073.06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  <c r="V1014" s="7" t="inlineStr">
        <is>
          <t>turret</t>
        </is>
      </c>
      <c r="W1014" s="7" t="n">
        <v>4</v>
      </c>
    </row>
    <row r="1015">
      <c r="A1015" s="3" t="inlineStr">
        <is>
          <t>MAT-16-020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Cámara de seguridad turret 5 MP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4570.82</v>
      </c>
      <c r="L1015" s="6" t="n">
        <v>3714.5</v>
      </c>
      <c r="M1015" s="6" t="n">
        <v>5427.13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  <c r="V1015" s="7" t="inlineStr">
        <is>
          <t>turret</t>
        </is>
      </c>
      <c r="W1015" s="7" t="n">
        <v>5</v>
      </c>
      <c r="AF1015" s="4" t="inlineStr">
        <is>
          <t>Lente (mm): 2.8</t>
        </is>
      </c>
    </row>
    <row r="1016">
      <c r="A1016" s="3" t="inlineStr">
        <is>
          <t>MAT-16-021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Cámara de seguridad 2 MP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5421.17</v>
      </c>
      <c r="L1016" s="6" t="n">
        <v>1576.87</v>
      </c>
      <c r="M1016" s="6" t="n">
        <v>14863.32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  <c r="W1016" s="7" t="n">
        <v>2</v>
      </c>
      <c r="AF1016" s="4" t="inlineStr">
        <is>
          <t>Lente (mm): 12</t>
        </is>
      </c>
    </row>
    <row r="1017">
      <c r="A1017" s="3" t="inlineStr">
        <is>
          <t>MAT-16-022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Cámara de seguridad 5 MP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3414.74</v>
      </c>
      <c r="L1017" s="6" t="n">
        <v>3414.74</v>
      </c>
      <c r="M1017" s="6" t="n">
        <v>3414.74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Ochoa (8A)</t>
        </is>
      </c>
      <c r="W1017" s="7" t="n">
        <v>5</v>
      </c>
      <c r="X1017" s="7" t="inlineStr">
        <is>
          <t>IP</t>
        </is>
      </c>
    </row>
    <row r="1018">
      <c r="A1018" s="3" t="inlineStr">
        <is>
          <t>MAT-16-023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Grabador de video DVR 16 canales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18426.33</v>
      </c>
      <c r="L1018" s="6" t="n">
        <v>18426.33</v>
      </c>
      <c r="M1018" s="6" t="n">
        <v>18426.33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  <c r="X1018" s="7" t="inlineStr">
        <is>
          <t>DVR</t>
        </is>
      </c>
      <c r="Y1018" s="7" t="n">
        <v>16</v>
      </c>
    </row>
    <row r="1019">
      <c r="A1019" s="3" t="inlineStr">
        <is>
          <t>MAT-16-024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Grabador de video DVR 4 canales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7057.8</v>
      </c>
      <c r="L1019" s="6" t="n">
        <v>6677.44</v>
      </c>
      <c r="M1019" s="6" t="n">
        <v>7438.16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  <c r="X1019" s="7" t="inlineStr">
        <is>
          <t>DVR</t>
        </is>
      </c>
      <c r="Y1019" s="7" t="n">
        <v>4</v>
      </c>
    </row>
    <row r="1020">
      <c r="A1020" s="3" t="inlineStr">
        <is>
          <t>MAT-16-025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Grabador de video NVR 16 canales</t>
        </is>
      </c>
      <c r="E1020" s="4" t="inlineStr"/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17077.39</v>
      </c>
      <c r="L1020" s="6" t="n">
        <v>17077.39</v>
      </c>
      <c r="M1020" s="6" t="n">
        <v>17077.39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  <c r="X1020" s="7" t="inlineStr">
        <is>
          <t>NVR</t>
        </is>
      </c>
      <c r="Y1020" s="7" t="n">
        <v>16</v>
      </c>
    </row>
    <row r="1021">
      <c r="A1021" s="3" t="inlineStr">
        <is>
          <t>MAT-16-026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Grabador de video NVR 32 canales</t>
        </is>
      </c>
      <c r="E1021" s="4" t="inlineStr"/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20990.22</v>
      </c>
      <c r="L1021" s="6" t="n">
        <v>20990.22</v>
      </c>
      <c r="M1021" s="6" t="n">
        <v>20990.22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  <c r="X1021" s="7" t="inlineStr">
        <is>
          <t>NVR</t>
        </is>
      </c>
      <c r="Y1021" s="7" t="n">
        <v>32</v>
      </c>
    </row>
    <row r="1022">
      <c r="A1022" s="3" t="inlineStr">
        <is>
          <t>MAT-16-027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Grabador de video NVR 64 canales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126684.93</v>
      </c>
      <c r="L1022" s="6" t="n">
        <v>126684.93</v>
      </c>
      <c r="M1022" s="6" t="n">
        <v>126684.93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  <c r="X1022" s="7" t="inlineStr">
        <is>
          <t>NVR</t>
        </is>
      </c>
      <c r="Y1022" s="7" t="n">
        <v>64</v>
      </c>
    </row>
    <row r="1023">
      <c r="A1023" s="3" t="inlineStr">
        <is>
          <t>MAT-16-028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Grabador de video XVR 16 canales</t>
        </is>
      </c>
      <c r="E1023" s="4" t="inlineStr"/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6079.41</v>
      </c>
      <c r="L1023" s="6" t="n">
        <v>6079.41</v>
      </c>
      <c r="M1023" s="6" t="n">
        <v>6079.41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  <c r="X1023" s="7" t="inlineStr">
        <is>
          <t>XVR</t>
        </is>
      </c>
      <c r="Y1023" s="7" t="n">
        <v>16</v>
      </c>
    </row>
    <row r="1024">
      <c r="A1024" s="3" t="inlineStr">
        <is>
          <t>MAT-16-029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Disco duro para videovigilancia 1 TB</t>
        </is>
      </c>
      <c r="E1024" s="4" t="inlineStr">
        <is>
          <t>Escritura 24/7 · uno de escritorio no aguanta</t>
        </is>
      </c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7633.17</v>
      </c>
      <c r="L1024" s="6" t="n">
        <v>7633.17</v>
      </c>
      <c r="M1024" s="6" t="n">
        <v>7633.17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  <c r="AF1024" s="4" t="inlineStr">
        <is>
          <t>Capacidad (TB): 1</t>
        </is>
      </c>
    </row>
    <row r="1025">
      <c r="A1025" s="3" t="inlineStr">
        <is>
          <t>MAT-16-030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Disco duro para videovigilancia 8 TB</t>
        </is>
      </c>
      <c r="E1025" s="4" t="inlineStr">
        <is>
          <t>Escritura 24/7 · uno de escritorio no aguanta</t>
        </is>
      </c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22243.38</v>
      </c>
      <c r="L1025" s="6" t="n">
        <v>22243.38</v>
      </c>
      <c r="M1025" s="6" t="n">
        <v>22243.38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  <c r="AF1025" s="4" t="inlineStr">
        <is>
          <t>Capacidad (TB): 8</t>
        </is>
      </c>
    </row>
    <row r="1026">
      <c r="A1026" s="3" t="inlineStr">
        <is>
          <t>MAT-16-031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Monitor para CCTV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5019.51</v>
      </c>
      <c r="L1026" s="6" t="n">
        <v>2976.42</v>
      </c>
      <c r="M1026" s="6" t="n">
        <v>7129.26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</row>
    <row r="1027">
      <c r="A1027" s="3" t="inlineStr">
        <is>
          <t>MAT-16-032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Monitor para CCTV 3.5"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4362.91</v>
      </c>
      <c r="L1027" s="6" t="n">
        <v>4362.91</v>
      </c>
      <c r="M1027" s="6" t="n">
        <v>4362.91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  <c r="AF1027" s="4" t="inlineStr">
        <is>
          <t>Pulgadas: 3.5</t>
        </is>
      </c>
    </row>
    <row r="1028">
      <c r="A1028" s="3" t="inlineStr">
        <is>
          <t>MAT-16-033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Monitor para CCTV 32"</t>
        </is>
      </c>
      <c r="E1028" s="4" t="inlineStr"/>
      <c r="F1028" s="3" t="inlineStr">
        <is>
          <t>unidad</t>
        </is>
      </c>
      <c r="G1028" s="3" t="inlineStr">
        <is>
          <t>Estructura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15349.99</v>
      </c>
      <c r="L1028" s="6" t="n">
        <v>15349.99</v>
      </c>
      <c r="M1028" s="6" t="n">
        <v>15349.99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  <c r="AF1028" s="4" t="inlineStr">
        <is>
          <t>Pulgadas: 32</t>
        </is>
      </c>
    </row>
    <row r="1029">
      <c r="A1029" s="3" t="inlineStr">
        <is>
          <t>MAT-16-034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Monitor para CCTV 4"</t>
        </is>
      </c>
      <c r="E1029" s="4" t="inlineStr"/>
      <c r="F1029" s="3" t="inlineStr">
        <is>
          <t>unidad</t>
        </is>
      </c>
      <c r="G1029" s="3" t="inlineStr">
        <is>
          <t>Estructura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2707.65</v>
      </c>
      <c r="L1029" s="6" t="n">
        <v>2707.65</v>
      </c>
      <c r="M1029" s="6" t="n">
        <v>2707.65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  <c r="AF1029" s="4" t="inlineStr">
        <is>
          <t>Pulgadas: 4</t>
        </is>
      </c>
    </row>
    <row r="1030">
      <c r="A1030" s="3" t="inlineStr">
        <is>
          <t>MAT-16-035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Monitor para CCTV 7"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7823.52</v>
      </c>
      <c r="L1030" s="6" t="n">
        <v>5570.12</v>
      </c>
      <c r="M1030" s="6" t="n">
        <v>10076.91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  <c r="AF1030" s="4" t="inlineStr">
        <is>
          <t>Pulgadas: 7</t>
        </is>
      </c>
    </row>
    <row r="1031">
      <c r="A1031" s="3" t="inlineStr">
        <is>
          <t>MAT-16-036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Soporte o caja para cámara</t>
        </is>
      </c>
      <c r="E1031" s="4" t="inlineStr"/>
      <c r="F1031" s="3" t="inlineStr">
        <is>
          <t>unidad</t>
        </is>
      </c>
      <c r="G1031" s="3" t="inlineStr">
        <is>
          <t>Estructura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1012.91</v>
      </c>
      <c r="L1031" s="6" t="n">
        <v>1012.91</v>
      </c>
      <c r="M1031" s="6" t="n">
        <v>1012.91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MAT-16-037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Video balun</t>
        </is>
      </c>
      <c r="E1032" s="4" t="inlineStr"/>
      <c r="F1032" s="3" t="inlineStr">
        <is>
          <t>unidad</t>
        </is>
      </c>
      <c r="G1032" s="3" t="inlineStr">
        <is>
          <t>Instalaciones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1</v>
      </c>
      <c r="K1032" s="6" t="n">
        <v>241.33</v>
      </c>
      <c r="L1032" s="6" t="n">
        <v>231.08</v>
      </c>
      <c r="M1032" s="6" t="n">
        <v>251.58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Ochoa (8A)</t>
        </is>
      </c>
    </row>
    <row r="1033">
      <c r="A1033" s="3" t="inlineStr">
        <is>
          <t>MAT-18-006</t>
        </is>
      </c>
      <c r="B1033" s="3" t="inlineStr">
        <is>
          <t>Materiales</t>
        </is>
      </c>
      <c r="C1033" s="3" t="inlineStr">
        <is>
          <t>Exteriores y paisajismo</t>
        </is>
      </c>
      <c r="D1033" s="4" t="inlineStr">
        <is>
          <t>Asfalto en frío, 25 kg</t>
        </is>
      </c>
      <c r="E1033" s="4" t="inlineStr"/>
      <c r="F1033" s="3" t="inlineStr">
        <is>
          <t>unidad</t>
        </is>
      </c>
      <c r="G1033" s="3" t="inlineStr">
        <is>
          <t>Exteriores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1695</v>
      </c>
      <c r="L1033" s="6" t="n">
        <v>1695</v>
      </c>
      <c r="M1033" s="6" t="n">
        <v>1695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InnovaCentro (La Innovación)</t>
        </is>
      </c>
      <c r="AF1033" s="4" t="inlineStr">
        <is>
          <t>Peso (kg): 25</t>
        </is>
      </c>
    </row>
    <row r="1034">
      <c r="A1034" s="3" t="inlineStr">
        <is>
          <t>MAT-19-001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3/4" x 3/4" x 20 pies, pared 1.2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262.29</v>
      </c>
      <c r="L1034" s="6" t="n">
        <v>262.29</v>
      </c>
      <c r="M1034" s="6" t="n">
        <v>262.29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MAT-19-002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3/4" x 3/4" x 20 pies, pared 1.6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2</v>
      </c>
      <c r="K1035" s="6" t="n">
        <v>347.73</v>
      </c>
      <c r="L1035" s="6" t="n">
        <v>321.76</v>
      </c>
      <c r="M1035" s="6" t="n">
        <v>373.71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MC · Ferretería Ochoa (8A)</t>
        </is>
      </c>
    </row>
    <row r="1036">
      <c r="A1036" s="3" t="inlineStr">
        <is>
          <t>MAT-19-003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1" x 1" x 20 pies, pared 1.2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2</v>
      </c>
      <c r="K1036" s="6" t="n">
        <v>383.29</v>
      </c>
      <c r="L1036" s="6" t="n">
        <v>355.58</v>
      </c>
      <c r="M1036" s="6" t="n">
        <v>410.99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MC · Ferretería Ochoa (8A)</t>
        </is>
      </c>
    </row>
    <row r="1037">
      <c r="A1037" s="3" t="inlineStr">
        <is>
          <t>MAT-19-004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negro 1 1/4" x 1 1/4" x 20 pies, pared 1.2 mm</t>
        </is>
      </c>
      <c r="E1037" s="4" t="inlineStr"/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510.43</v>
      </c>
      <c r="L1037" s="6" t="n">
        <v>510.43</v>
      </c>
      <c r="M1037" s="6" t="n">
        <v>510.43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MAT-19-005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negro 1 1/4" x 1 1/4" x 20 pies, pared 1.6 mm</t>
        </is>
      </c>
      <c r="E1038" s="4" t="inlineStr"/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556.02</v>
      </c>
      <c r="L1038" s="6" t="n">
        <v>556.02</v>
      </c>
      <c r="M1038" s="6" t="n">
        <v>556.02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</row>
    <row r="1039">
      <c r="A1039" s="3" t="inlineStr">
        <is>
          <t>MAT-19-006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negro 1 1/2" x 1 1/2" x 20 pies, pared 1.2 mm</t>
        </is>
      </c>
      <c r="E1039" s="4" t="inlineStr"/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2</v>
      </c>
      <c r="K1039" s="6" t="n">
        <v>584.58</v>
      </c>
      <c r="L1039" s="6" t="n">
        <v>542.15</v>
      </c>
      <c r="M1039" s="6" t="n">
        <v>627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MC · Ferretería Ochoa (8A)</t>
        </is>
      </c>
    </row>
    <row r="1040">
      <c r="A1040" s="3" t="inlineStr">
        <is>
          <t>MAT-19-007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negro 1 1/2" x 1 1/2" x 20 pies, pared 1.6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717.05</v>
      </c>
      <c r="L1040" s="6" t="n">
        <v>647.03</v>
      </c>
      <c r="M1040" s="6" t="n">
        <v>787.0599999999999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MC · Ferretería Ochoa (8A)</t>
        </is>
      </c>
    </row>
    <row r="1041">
      <c r="A1041" s="3" t="inlineStr">
        <is>
          <t>MAT-19-008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negro 2" x 2" x 20 pies, pared 1.6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2</v>
      </c>
      <c r="K1041" s="6" t="n">
        <v>940.63</v>
      </c>
      <c r="L1041" s="6" t="n">
        <v>867.64</v>
      </c>
      <c r="M1041" s="6" t="n">
        <v>1013.62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MC · Ferretería Ochoa (8A)</t>
        </is>
      </c>
    </row>
    <row r="1042">
      <c r="A1042" s="3" t="inlineStr">
        <is>
          <t>MAT-19-009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negro 3" x 3" x 20 pies, pared 1.6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2</v>
      </c>
      <c r="K1042" s="6" t="n">
        <v>1472.93</v>
      </c>
      <c r="L1042" s="6" t="n">
        <v>1319.81</v>
      </c>
      <c r="M1042" s="6" t="n">
        <v>1626.04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MC · Ferretería Ochoa (8A)</t>
        </is>
      </c>
    </row>
    <row r="1043">
      <c r="A1043" s="3" t="inlineStr">
        <is>
          <t>MAT-19-010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3/4" x 3/4" x 20 pies, pared 1.2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316.11</v>
      </c>
      <c r="L1043" s="6" t="n">
        <v>316.11</v>
      </c>
      <c r="M1043" s="6" t="n">
        <v>316.11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MAT-19-011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1" x 1" x 20 pies, pared 1.2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467.93</v>
      </c>
      <c r="L1044" s="6" t="n">
        <v>423.74</v>
      </c>
      <c r="M1044" s="6" t="n">
        <v>512.12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MC · Ferretería Ochoa (8A)</t>
        </is>
      </c>
    </row>
    <row r="1045">
      <c r="A1045" s="3" t="inlineStr">
        <is>
          <t>MAT-19-012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galvanizado 1" x 1" x 20 pies, pared 1.6 mm</t>
        </is>
      </c>
      <c r="E1045" s="4" t="inlineStr"/>
      <c r="F1045" s="3" t="inlineStr">
        <is>
          <t>unidad</t>
        </is>
      </c>
      <c r="G1045" s="3" t="inlineStr">
        <is>
          <t>Estructura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2</v>
      </c>
      <c r="K1045" s="6" t="n">
        <v>600.86</v>
      </c>
      <c r="L1045" s="6" t="n">
        <v>539.74</v>
      </c>
      <c r="M1045" s="6" t="n">
        <v>661.98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MC · Ferretería Ochoa (8A)</t>
        </is>
      </c>
    </row>
    <row r="1046">
      <c r="A1046" s="3" t="inlineStr">
        <is>
          <t>MAT-19-013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cuadrado galvanizado 1 1/4" x 1 1/4" x 20 pies, pared 1.5 mm</t>
        </is>
      </c>
      <c r="E1046" s="4" t="inlineStr"/>
      <c r="F1046" s="3" t="inlineStr">
        <is>
          <t>unidad</t>
        </is>
      </c>
      <c r="G1046" s="3" t="inlineStr">
        <is>
          <t>Estructura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712.04</v>
      </c>
      <c r="L1046" s="6" t="n">
        <v>712.04</v>
      </c>
      <c r="M1046" s="6" t="n">
        <v>712.04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Ochoa (8A)</t>
        </is>
      </c>
    </row>
    <row r="1047">
      <c r="A1047" s="3" t="inlineStr">
        <is>
          <t>MAT-19-014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cuadrado galvanizado 1 1/2" x 1 1/2" x 20 pies, pared 1.2 mm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2</v>
      </c>
      <c r="K1047" s="6" t="n">
        <v>703.59</v>
      </c>
      <c r="L1047" s="6" t="n">
        <v>648.6799999999999</v>
      </c>
      <c r="M1047" s="6" t="n">
        <v>758.5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MC · Ferretería Ochoa (8A)</t>
        </is>
      </c>
    </row>
    <row r="1048">
      <c r="A1048" s="3" t="inlineStr">
        <is>
          <t>MAT-19-015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cuadrado galvanizado 1 1/2" x 1 1/2" x 20 pies, pared 1.6 mm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2</v>
      </c>
      <c r="K1048" s="6" t="n">
        <v>885.17</v>
      </c>
      <c r="L1048" s="6" t="n">
        <v>814.53</v>
      </c>
      <c r="M1048" s="6" t="n">
        <v>955.8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MC · Ferretería Ochoa (8A)</t>
        </is>
      </c>
    </row>
    <row r="1049">
      <c r="A1049" s="3" t="inlineStr">
        <is>
          <t>MAT-19-016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cuadrado galvanizado 2" x 2" x 20 pies, pared 1.6 mm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1</v>
      </c>
      <c r="K1049" s="6" t="n">
        <v>1108.57</v>
      </c>
      <c r="L1049" s="6" t="n">
        <v>1108.57</v>
      </c>
      <c r="M1049" s="6" t="n">
        <v>1108.57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Ochoa (8A)</t>
        </is>
      </c>
    </row>
    <row r="1050">
      <c r="A1050" s="3" t="inlineStr">
        <is>
          <t>MAT-19-017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cuadrado galvanizado 3" x 3" x 20 pies, pared 1.5 mm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2</v>
      </c>
      <c r="K1050" s="6" t="n">
        <v>1872.3</v>
      </c>
      <c r="L1050" s="6" t="n">
        <v>1707.91</v>
      </c>
      <c r="M1050" s="6" t="n">
        <v>2036.68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MC · Ferretería Ochoa (8A)</t>
        </is>
      </c>
    </row>
    <row r="1051">
      <c r="A1051" s="3" t="inlineStr">
        <is>
          <t>MAT-19-018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3/4" x 1 1/2" x 20 pies, pared 1.2 mm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402.51</v>
      </c>
      <c r="L1051" s="6" t="n">
        <v>402.51</v>
      </c>
      <c r="M1051" s="6" t="n">
        <v>402.51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MAT-19-019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negro 3/4" x 1 1/2" x 20 pies, pared 1.6 mm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472.19</v>
      </c>
      <c r="L1052" s="6" t="n">
        <v>472.19</v>
      </c>
      <c r="M1052" s="6" t="n">
        <v>472.19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MAT-19-020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negro 2" x 1" x 20 pies, pared 1.2 mm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542.15</v>
      </c>
      <c r="L1053" s="6" t="n">
        <v>542.15</v>
      </c>
      <c r="M1053" s="6" t="n">
        <v>542.15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MAT-19-021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negro 2" x 1" x 20 pies, pared 1.6 mm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639.71</v>
      </c>
      <c r="L1054" s="6" t="n">
        <v>639.71</v>
      </c>
      <c r="M1054" s="6" t="n">
        <v>639.71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MAT-19-022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negro 2" x 3" x 20 pies, pared 1.6 mm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1082.3</v>
      </c>
      <c r="L1055" s="6" t="n">
        <v>1082.3</v>
      </c>
      <c r="M1055" s="6" t="n">
        <v>1082.3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MAT-19-023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negro 2" x 4" x 20 pies, pared 1.6 mm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1349.04</v>
      </c>
      <c r="L1056" s="6" t="n">
        <v>1349.04</v>
      </c>
      <c r="M1056" s="6" t="n">
        <v>1349.04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MAT-19-024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negro 3" x 1 1/2" x 20 pies, pared 1.6 mm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973.59</v>
      </c>
      <c r="L1057" s="6" t="n">
        <v>973.59</v>
      </c>
      <c r="M1057" s="6" t="n">
        <v>973.59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MAT-19-025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3/4" x 1 1/2" x 20 pies, pared 1.2 mm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492.8</v>
      </c>
      <c r="L1058" s="6" t="n">
        <v>492.8</v>
      </c>
      <c r="M1058" s="6" t="n">
        <v>492.8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MAT-19-026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galvanizado 3/4" x 1 1/2" x 20 pies, pared 1.5 mm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626.88</v>
      </c>
      <c r="L1059" s="6" t="n">
        <v>626.88</v>
      </c>
      <c r="M1059" s="6" t="n">
        <v>626.88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MAT-19-027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rectangular galvanizado 2" x 1" x 20 pies, pared 1.2 mm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646.73</v>
      </c>
      <c r="L1060" s="6" t="n">
        <v>646.73</v>
      </c>
      <c r="M1060" s="6" t="n">
        <v>646.73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MAT-19-028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rectangular galvanizado 2" x 1" x 20 pies, pared 1.6 mm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812.22</v>
      </c>
      <c r="L1061" s="6" t="n">
        <v>812.22</v>
      </c>
      <c r="M1061" s="6" t="n">
        <v>812.22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</row>
    <row r="1062">
      <c r="A1062" s="3" t="inlineStr">
        <is>
          <t>MAT-19-029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rectangular galvanizado 2" x 3" x 20 pies, pared 1.6 mm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1400.9</v>
      </c>
      <c r="L1062" s="6" t="n">
        <v>1400.9</v>
      </c>
      <c r="M1062" s="6" t="n">
        <v>1400.9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MAT-19-030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rectangular galvanizado 2" x 4" x 20 pies, pared 1.6 mm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1695.85</v>
      </c>
      <c r="L1063" s="6" t="n">
        <v>1695.85</v>
      </c>
      <c r="M1063" s="6" t="n">
        <v>1695.85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MAT-19-031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rectangular galvanizado 3" x 1 1/2" x 20 pies, pared 1.6 mm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1275.97</v>
      </c>
      <c r="L1064" s="6" t="n">
        <v>1275.97</v>
      </c>
      <c r="M1064" s="6" t="n">
        <v>1275.97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MAT-19-032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1/2" x 20 pies, pared 2.77 mm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620.21</v>
      </c>
      <c r="L1065" s="6" t="n">
        <v>620.21</v>
      </c>
      <c r="M1065" s="6" t="n">
        <v>620.21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MAT-19-033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3/4" x 20 pies, pared 2.87 mm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826</v>
      </c>
      <c r="L1066" s="6" t="n">
        <v>826</v>
      </c>
      <c r="M1066" s="6" t="n">
        <v>826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MAT-19-034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1" x 20 pies, pared 3.38 mm</t>
        </is>
      </c>
      <c r="E1067" s="4" t="inlineStr"/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1206.29</v>
      </c>
      <c r="L1067" s="6" t="n">
        <v>1206.29</v>
      </c>
      <c r="M1067" s="6" t="n">
        <v>1206.29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</row>
    <row r="1068">
      <c r="A1068" s="3" t="inlineStr">
        <is>
          <t>MAT-19-035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1 1/4" x 20 pies, pared 3.56 mm</t>
        </is>
      </c>
      <c r="E1068" s="4" t="inlineStr"/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1507.57</v>
      </c>
      <c r="L1068" s="6" t="n">
        <v>1507.57</v>
      </c>
      <c r="M1068" s="6" t="n">
        <v>1507.57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</row>
    <row r="1069">
      <c r="A1069" s="3" t="inlineStr">
        <is>
          <t>MAT-19-036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1 1/2" x 20 pies, pared 3.68 mm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1952.51</v>
      </c>
      <c r="L1069" s="6" t="n">
        <v>1952.51</v>
      </c>
      <c r="M1069" s="6" t="n">
        <v>1952.51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MAT-19-037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2" x 20 pies, pared 3.91 mm</t>
        </is>
      </c>
      <c r="E1070" s="4" t="inlineStr"/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2634.08</v>
      </c>
      <c r="L1070" s="6" t="n">
        <v>2634.08</v>
      </c>
      <c r="M1070" s="6" t="n">
        <v>2634.08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MAT-19-038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2 1/2" x 20 pies</t>
        </is>
      </c>
      <c r="E1071" s="4" t="inlineStr">
        <is>
          <t>La ficha no declara la pared</t>
        </is>
      </c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4173.42</v>
      </c>
      <c r="L1071" s="6" t="n">
        <v>4173.42</v>
      </c>
      <c r="M1071" s="6" t="n">
        <v>4173.42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MAT-19-039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3" x 20 pies</t>
        </is>
      </c>
      <c r="E1072" s="4" t="inlineStr">
        <is>
          <t>La ficha no declara la pared</t>
        </is>
      </c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5029.28</v>
      </c>
      <c r="L1072" s="6" t="n">
        <v>5029.28</v>
      </c>
      <c r="M1072" s="6" t="n">
        <v>5029.28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MAT-19-040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Tubo negro redondo 8" x 20 pies, pared 6 mm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15250.64</v>
      </c>
      <c r="L1073" s="6" t="n">
        <v>15250.64</v>
      </c>
      <c r="M1073" s="6" t="n">
        <v>15250.64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MAT-19-041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Tubo negro redondo 8" x 20 pies, pared 6.35 mm</t>
        </is>
      </c>
      <c r="E1074" s="4" t="inlineStr"/>
      <c r="F1074" s="3" t="inlineStr">
        <is>
          <t>unidad</t>
        </is>
      </c>
      <c r="G1074" s="3" t="inlineStr">
        <is>
          <t>Estructura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11671.14</v>
      </c>
      <c r="L1074" s="6" t="n">
        <v>11671.14</v>
      </c>
      <c r="M1074" s="6" t="n">
        <v>11671.14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MAT-19-042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Tubo negro redondo 10" x 20 pies, pared 6.00 mm</t>
        </is>
      </c>
      <c r="E1075" s="4" t="inlineStr"/>
      <c r="F1075" s="3" t="inlineStr">
        <is>
          <t>unidad</t>
        </is>
      </c>
      <c r="G1075" s="3" t="inlineStr">
        <is>
          <t>Estructura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18313.02</v>
      </c>
      <c r="L1075" s="6" t="n">
        <v>18313.02</v>
      </c>
      <c r="M1075" s="6" t="n">
        <v>18313.02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MAT-19-043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Tubo negro redondo 14" x 20 pies, pared 6 mm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27695.11</v>
      </c>
      <c r="L1076" s="6" t="n">
        <v>27695.11</v>
      </c>
      <c r="M1076" s="6" t="n">
        <v>27695.11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MAT-19-044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Tubo negro redondo 16" x 20 pies, pared 12.70 mm</t>
        </is>
      </c>
      <c r="E1077" s="4" t="inlineStr"/>
      <c r="F1077" s="3" t="inlineStr">
        <is>
          <t>unidad</t>
        </is>
      </c>
      <c r="G1077" s="3" t="inlineStr">
        <is>
          <t>Estructura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62026.36</v>
      </c>
      <c r="L1077" s="6" t="n">
        <v>62026.36</v>
      </c>
      <c r="M1077" s="6" t="n">
        <v>62026.36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</row>
    <row r="1078">
      <c r="A1078" s="3" t="inlineStr">
        <is>
          <t>MAT-19-045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Correa galvanizada tipo Z 6" x 1/16" x 20 pies</t>
        </is>
      </c>
      <c r="E1078" s="4" t="inlineStr"/>
      <c r="F1078" s="3" t="inlineStr">
        <is>
          <t>unidad</t>
        </is>
      </c>
      <c r="G1078" s="3" t="inlineStr">
        <is>
          <t>Techos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2658</v>
      </c>
      <c r="L1078" s="6" t="n">
        <v>2658</v>
      </c>
      <c r="M1078" s="6" t="n">
        <v>2658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MAT-19-046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Correa galvanizada tipo Z 8" x 1/16" x 20 pies</t>
        </is>
      </c>
      <c r="E1079" s="4" t="inlineStr"/>
      <c r="F1079" s="3" t="inlineStr">
        <is>
          <t>unidad</t>
        </is>
      </c>
      <c r="G1079" s="3" t="inlineStr">
        <is>
          <t>Techos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3039.2</v>
      </c>
      <c r="L1079" s="6" t="n">
        <v>3039.2</v>
      </c>
      <c r="M1079" s="6" t="n">
        <v>3039.2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MAT-20-001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3/4" x 1/8"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1</v>
      </c>
      <c r="K1080" s="6" t="n">
        <v>449.99</v>
      </c>
      <c r="L1080" s="6" t="n">
        <v>449.99</v>
      </c>
      <c r="M1080" s="6" t="n">
        <v>449.99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Ochoa (8A)</t>
        </is>
      </c>
    </row>
    <row r="1081">
      <c r="A1081" s="3" t="inlineStr">
        <is>
          <t>MAT-20-002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1" x 1/8"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622.2</v>
      </c>
      <c r="L1081" s="6" t="n">
        <v>560</v>
      </c>
      <c r="M1081" s="6" t="n">
        <v>684.4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MC · Ferretería Ochoa (8A)</t>
        </is>
      </c>
    </row>
    <row r="1082">
      <c r="A1082" s="3" t="inlineStr">
        <is>
          <t>MAT-20-003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1" x 3/16"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2</v>
      </c>
      <c r="K1082" s="6" t="n">
        <v>918.71</v>
      </c>
      <c r="L1082" s="6" t="n">
        <v>812.01</v>
      </c>
      <c r="M1082" s="6" t="n">
        <v>1025.42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MC · Ferretería Ochoa (8A)</t>
        </is>
      </c>
    </row>
    <row r="1083">
      <c r="A1083" s="3" t="inlineStr">
        <is>
          <t>MAT-20-004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1" x 1/4"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1163.48</v>
      </c>
      <c r="L1083" s="6" t="n">
        <v>1163.48</v>
      </c>
      <c r="M1083" s="6" t="n">
        <v>1163.48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</t>
        </is>
      </c>
    </row>
    <row r="1084">
      <c r="A1084" s="3" t="inlineStr">
        <is>
          <t>MAT-20-005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1 1/4" x 1/8"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1</v>
      </c>
      <c r="K1084" s="6" t="n">
        <v>781</v>
      </c>
      <c r="L1084" s="6" t="n">
        <v>781</v>
      </c>
      <c r="M1084" s="6" t="n">
        <v>781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Ochoa (8A)</t>
        </is>
      </c>
    </row>
    <row r="1085">
      <c r="A1085" s="3" t="inlineStr">
        <is>
          <t>MAT-20-006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1 1/4" x 3/16"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2</v>
      </c>
      <c r="K1085" s="6" t="n">
        <v>1115</v>
      </c>
      <c r="L1085" s="6" t="n">
        <v>1036</v>
      </c>
      <c r="M1085" s="6" t="n">
        <v>1193.99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MC · Ferretería Ochoa (8A)</t>
        </is>
      </c>
    </row>
    <row r="1086">
      <c r="A1086" s="3" t="inlineStr">
        <is>
          <t>MAT-20-007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1 1/4" x 1/4"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1</v>
      </c>
      <c r="K1086" s="6" t="n">
        <v>1344</v>
      </c>
      <c r="L1086" s="6" t="n">
        <v>1344</v>
      </c>
      <c r="M1086" s="6" t="n">
        <v>1344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Ochoa (8A)</t>
        </is>
      </c>
    </row>
    <row r="1087">
      <c r="A1087" s="3" t="inlineStr">
        <is>
          <t>MAT-20-008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1 1/2" x 3/16"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1477.83</v>
      </c>
      <c r="L1087" s="6" t="n">
        <v>1260</v>
      </c>
      <c r="M1087" s="6" t="n">
        <v>1695.66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MC · Ferretería Ochoa (8A)</t>
        </is>
      </c>
    </row>
    <row r="1088">
      <c r="A1088" s="3" t="inlineStr">
        <is>
          <t>MAT-20-009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1 1/2" x 1/4"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2</v>
      </c>
      <c r="K1088" s="6" t="n">
        <v>1820.82</v>
      </c>
      <c r="L1088" s="6" t="n">
        <v>1638.01</v>
      </c>
      <c r="M1088" s="6" t="n">
        <v>2003.64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MC · Ferretería Ochoa (8A)</t>
        </is>
      </c>
    </row>
    <row r="1089">
      <c r="A1089" s="3" t="inlineStr">
        <is>
          <t>MAT-20-010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2" x 1/8"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2</v>
      </c>
      <c r="K1089" s="6" t="n">
        <v>1195.82</v>
      </c>
      <c r="L1089" s="6" t="n">
        <v>1155</v>
      </c>
      <c r="M1089" s="6" t="n">
        <v>1236.64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MC · Ferretería Ochoa (8A)</t>
        </is>
      </c>
    </row>
    <row r="1090">
      <c r="A1090" s="3" t="inlineStr">
        <is>
          <t>MAT-20-011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2" x 3/16"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2</v>
      </c>
      <c r="K1090" s="6" t="n">
        <v>2016.89</v>
      </c>
      <c r="L1090" s="6" t="n">
        <v>1708</v>
      </c>
      <c r="M1090" s="6" t="n">
        <v>2325.78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MC · Ferretería Ochoa (8A)</t>
        </is>
      </c>
    </row>
    <row r="1091">
      <c r="A1091" s="3" t="inlineStr">
        <is>
          <t>MAT-20-012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2" x 1/4"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2</v>
      </c>
      <c r="K1091" s="6" t="n">
        <v>2660.36</v>
      </c>
      <c r="L1091" s="6" t="n">
        <v>2324.69</v>
      </c>
      <c r="M1091" s="6" t="n">
        <v>2996.02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MC · Ferretería Ochoa (8A)</t>
        </is>
      </c>
    </row>
    <row r="1092">
      <c r="A1092" s="3" t="inlineStr">
        <is>
          <t>MAT-20-013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2" x 3/8"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3290.01</v>
      </c>
      <c r="L1092" s="6" t="n">
        <v>3290.01</v>
      </c>
      <c r="M1092" s="6" t="n">
        <v>3290.01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Ochoa (8A)</t>
        </is>
      </c>
    </row>
    <row r="1093">
      <c r="A1093" s="3" t="inlineStr">
        <is>
          <t>MAT-20-014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2 1/2" x 3/16"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1</v>
      </c>
      <c r="K1093" s="6" t="n">
        <v>2149</v>
      </c>
      <c r="L1093" s="6" t="n">
        <v>2149</v>
      </c>
      <c r="M1093" s="6" t="n">
        <v>2149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</t>
        </is>
      </c>
    </row>
    <row r="1094">
      <c r="A1094" s="3" t="inlineStr">
        <is>
          <t>MAT-20-015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2 1/2" x 1/4"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2</v>
      </c>
      <c r="K1094" s="6" t="n">
        <v>3053.96</v>
      </c>
      <c r="L1094" s="6" t="n">
        <v>2870</v>
      </c>
      <c r="M1094" s="6" t="n">
        <v>3237.92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MC · Ferretería Ochoa (8A)</t>
        </is>
      </c>
    </row>
    <row r="1095">
      <c r="A1095" s="3" t="inlineStr">
        <is>
          <t>MAT-20-016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de hierro negro 2 1/2" x 3/8"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4130</v>
      </c>
      <c r="L1095" s="6" t="n">
        <v>4130</v>
      </c>
      <c r="M1095" s="6" t="n">
        <v>4130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</t>
        </is>
      </c>
    </row>
    <row r="1096">
      <c r="A1096" s="3" t="inlineStr">
        <is>
          <t>MAT-20-017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de hierro negro 3" x 1/4" x 20 pies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2</v>
      </c>
      <c r="K1096" s="6" t="n">
        <v>3559.93</v>
      </c>
      <c r="L1096" s="6" t="n">
        <v>3430</v>
      </c>
      <c r="M1096" s="6" t="n">
        <v>3689.86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MC · Ferretería Ochoa (8A)</t>
        </is>
      </c>
    </row>
    <row r="1097">
      <c r="A1097" s="3" t="inlineStr">
        <is>
          <t>MAT-20-018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Angular de hierro negro 3" x 3/8" x 20 pies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1</v>
      </c>
      <c r="K1097" s="6" t="n">
        <v>5622.2</v>
      </c>
      <c r="L1097" s="6" t="n">
        <v>5622.2</v>
      </c>
      <c r="M1097" s="6" t="n">
        <v>5622.2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Ochoa (8A)</t>
        </is>
      </c>
    </row>
    <row r="1098">
      <c r="A1098" s="3" t="inlineStr">
        <is>
          <t>MAT-20-019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4" x 1/4"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2</v>
      </c>
      <c r="K1098" s="6" t="n">
        <v>5189.41</v>
      </c>
      <c r="L1098" s="6" t="n">
        <v>4117.73</v>
      </c>
      <c r="M1098" s="6" t="n">
        <v>6261.08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MC · Ferretería Ochoa (8A)</t>
        </is>
      </c>
    </row>
    <row r="1099">
      <c r="A1099" s="3" t="inlineStr">
        <is>
          <t>MAT-20-020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4" x 1/2" x 20 pies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9995.309999999999</v>
      </c>
      <c r="L1099" s="6" t="n">
        <v>9995.309999999999</v>
      </c>
      <c r="M1099" s="6" t="n">
        <v>9995.309999999999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</t>
        </is>
      </c>
    </row>
    <row r="1100">
      <c r="A1100" s="3" t="inlineStr">
        <is>
          <t>MAT-20-021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perforado, 1-1/2X1-1/2"X10'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425</v>
      </c>
      <c r="L1100" s="6" t="n">
        <v>425</v>
      </c>
      <c r="M1100" s="6" t="n">
        <v>425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InnovaCentro (La Innovación)</t>
        </is>
      </c>
      <c r="AD1100" s="7" t="inlineStr">
        <is>
          <t>1-1/2X1-1/2"X10'</t>
        </is>
      </c>
    </row>
    <row r="1101">
      <c r="A1101" s="3" t="inlineStr">
        <is>
          <t>MAT-20-022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perforado, 1-1/2X1-1/2"X8'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360</v>
      </c>
      <c r="L1101" s="6" t="n">
        <v>360</v>
      </c>
      <c r="M1101" s="6" t="n">
        <v>360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InnovaCentro (La Innovación)</t>
        </is>
      </c>
      <c r="AD1101" s="7" t="inlineStr">
        <is>
          <t>1-1/2X1-1/2"X8'</t>
        </is>
      </c>
    </row>
    <row r="1102">
      <c r="A1102" s="3" t="inlineStr">
        <is>
          <t>MAT-20-023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1/2" x 1/8"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141.64</v>
      </c>
      <c r="L1102" s="6" t="n">
        <v>141.64</v>
      </c>
      <c r="M1102" s="6" t="n">
        <v>141.64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MAT-20-024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1/2" x 3/16"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249.92</v>
      </c>
      <c r="L1103" s="6" t="n">
        <v>249.92</v>
      </c>
      <c r="M1103" s="6" t="n">
        <v>249.92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MAT-20-025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1/2" x 1/4"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331.8</v>
      </c>
      <c r="L1104" s="6" t="n">
        <v>331.8</v>
      </c>
      <c r="M1104" s="6" t="n">
        <v>331.8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MAT-20-026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3/4" x 1/8"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298.91</v>
      </c>
      <c r="L1105" s="6" t="n">
        <v>298.91</v>
      </c>
      <c r="M1105" s="6" t="n">
        <v>298.91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MAT-20-027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3/4" x 3/16"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373</v>
      </c>
      <c r="L1106" s="6" t="n">
        <v>373</v>
      </c>
      <c r="M1106" s="6" t="n">
        <v>373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MAT-20-028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3/4" x 1/4"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497.72</v>
      </c>
      <c r="L1107" s="6" t="n">
        <v>497.72</v>
      </c>
      <c r="M1107" s="6" t="n">
        <v>497.72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MAT-20-029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1" x 1/8"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297.5</v>
      </c>
      <c r="L1108" s="6" t="n">
        <v>297.5</v>
      </c>
      <c r="M1108" s="6" t="n">
        <v>297.5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MAT-20-030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1" x 3/16"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446.25</v>
      </c>
      <c r="L1109" s="6" t="n">
        <v>446.25</v>
      </c>
      <c r="M1109" s="6" t="n">
        <v>446.25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MAT-20-031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1" x 1/4"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595</v>
      </c>
      <c r="L1110" s="6" t="n">
        <v>595</v>
      </c>
      <c r="M1110" s="6" t="n">
        <v>595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MAT-20-032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1" x 1/2" x 20 pies</t>
        </is>
      </c>
      <c r="E1111" s="4" t="inlineStr"/>
      <c r="F1111" s="3" t="inlineStr">
        <is>
          <t>unidad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1327.5</v>
      </c>
      <c r="L1111" s="6" t="n">
        <v>1327.5</v>
      </c>
      <c r="M1111" s="6" t="n">
        <v>1327.5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MAT-20-033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1/4" x 1/8" x 20 pies</t>
        </is>
      </c>
      <c r="E1112" s="4" t="inlineStr"/>
      <c r="F1112" s="3" t="inlineStr">
        <is>
          <t>unidad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415.35</v>
      </c>
      <c r="L1112" s="6" t="n">
        <v>415.35</v>
      </c>
      <c r="M1112" s="6" t="n">
        <v>415.35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MAT-20-034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1/4" x 3/16" x 20 pies</t>
        </is>
      </c>
      <c r="E1113" s="4" t="inlineStr"/>
      <c r="F1113" s="3" t="inlineStr">
        <is>
          <t>unidad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614.58</v>
      </c>
      <c r="L1113" s="6" t="n">
        <v>614.58</v>
      </c>
      <c r="M1113" s="6" t="n">
        <v>614.58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MAT-20-035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1/4" x 1/4" x 20 pies</t>
        </is>
      </c>
      <c r="E1114" s="4" t="inlineStr"/>
      <c r="F1114" s="3" t="inlineStr">
        <is>
          <t>unidad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745.5</v>
      </c>
      <c r="L1114" s="6" t="n">
        <v>745.5</v>
      </c>
      <c r="M1114" s="6" t="n">
        <v>745.5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MAT-20-036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 1/4" x 3/8" x 20 pies</t>
        </is>
      </c>
      <c r="E1115" s="4" t="inlineStr"/>
      <c r="F1115" s="3" t="inlineStr">
        <is>
          <t>unidad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1115.73</v>
      </c>
      <c r="L1115" s="6" t="n">
        <v>1115.73</v>
      </c>
      <c r="M1115" s="6" t="n">
        <v>1115.73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MAT-20-037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1 1/2" x 1/8" x 20 pies</t>
        </is>
      </c>
      <c r="E1116" s="4" t="inlineStr"/>
      <c r="F1116" s="3" t="inlineStr">
        <is>
          <t>unidad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451.7</v>
      </c>
      <c r="L1116" s="6" t="n">
        <v>451.7</v>
      </c>
      <c r="M1116" s="6" t="n">
        <v>451.7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MAT-20-038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1 1/2" x 3/16" x 20 pies</t>
        </is>
      </c>
      <c r="E1117" s="4" t="inlineStr"/>
      <c r="F1117" s="3" t="inlineStr">
        <is>
          <t>unidad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682.5</v>
      </c>
      <c r="L1117" s="6" t="n">
        <v>682.5</v>
      </c>
      <c r="M1117" s="6" t="n">
        <v>682.5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MAT-20-039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1 1/2" x 1/4" x 20 pies</t>
        </is>
      </c>
      <c r="E1118" s="4" t="inlineStr"/>
      <c r="F1118" s="3" t="inlineStr">
        <is>
          <t>unidad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892.5</v>
      </c>
      <c r="L1118" s="6" t="n">
        <v>892.5</v>
      </c>
      <c r="M1118" s="6" t="n">
        <v>892.5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MAT-20-040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1 1/2" x 3/8" x 20 pies</t>
        </is>
      </c>
      <c r="E1119" s="4" t="inlineStr"/>
      <c r="F1119" s="3" t="inlineStr">
        <is>
          <t>unidad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1338.75</v>
      </c>
      <c r="L1119" s="6" t="n">
        <v>1338.75</v>
      </c>
      <c r="M1119" s="6" t="n">
        <v>1338.75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MAT-20-041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1 1/2" x 1/2" x 20 pies</t>
        </is>
      </c>
      <c r="E1120" s="4" t="inlineStr"/>
      <c r="F1120" s="3" t="inlineStr">
        <is>
          <t>unidad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1991.13</v>
      </c>
      <c r="L1120" s="6" t="n">
        <v>1991.13</v>
      </c>
      <c r="M1120" s="6" t="n">
        <v>1991.13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MAT-20-042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2" x 1/8" x 20 pies</t>
        </is>
      </c>
      <c r="E1121" s="4" t="inlineStr"/>
      <c r="F1121" s="3" t="inlineStr">
        <is>
          <t>unidad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595</v>
      </c>
      <c r="L1121" s="6" t="n">
        <v>595</v>
      </c>
      <c r="M1121" s="6" t="n">
        <v>595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MAT-20-043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2" x 3/16" x 20 pies</t>
        </is>
      </c>
      <c r="E1122" s="4" t="inlineStr"/>
      <c r="F1122" s="3" t="inlineStr">
        <is>
          <t>unidad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892.5</v>
      </c>
      <c r="L1122" s="6" t="n">
        <v>892.5</v>
      </c>
      <c r="M1122" s="6" t="n">
        <v>892.5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MAT-20-044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2" x 1/4" x 20 pies</t>
        </is>
      </c>
      <c r="E1123" s="4" t="inlineStr"/>
      <c r="F1123" s="3" t="inlineStr">
        <is>
          <t>unidad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1189.99</v>
      </c>
      <c r="L1123" s="6" t="n">
        <v>1189.99</v>
      </c>
      <c r="M1123" s="6" t="n">
        <v>1189.99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MAT-20-045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2" x 3/8" x 20 pies</t>
        </is>
      </c>
      <c r="E1124" s="4" t="inlineStr"/>
      <c r="F1124" s="3" t="inlineStr">
        <is>
          <t>unidad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1785</v>
      </c>
      <c r="L1124" s="6" t="n">
        <v>1785</v>
      </c>
      <c r="M1124" s="6" t="n">
        <v>1785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MAT-20-046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2" x 1/2" x 20 pies</t>
        </is>
      </c>
      <c r="E1125" s="4" t="inlineStr"/>
      <c r="F1125" s="3" t="inlineStr">
        <is>
          <t>unidad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2380</v>
      </c>
      <c r="L1125" s="6" t="n">
        <v>2380</v>
      </c>
      <c r="M1125" s="6" t="n">
        <v>2380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MAT-20-047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2 1/2" x 1/4" x 20 pies</t>
        </is>
      </c>
      <c r="E1126" s="4" t="inlineStr"/>
      <c r="F1126" s="3" t="inlineStr">
        <is>
          <t>unidad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1487.5</v>
      </c>
      <c r="L1126" s="6" t="n">
        <v>1487.5</v>
      </c>
      <c r="M1126" s="6" t="n">
        <v>1487.5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MAT-20-048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2 1/2" x 3/8" x 20 pies</t>
        </is>
      </c>
      <c r="E1127" s="4" t="inlineStr"/>
      <c r="F1127" s="3" t="inlineStr">
        <is>
          <t>unidad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2231.6</v>
      </c>
      <c r="L1127" s="6" t="n">
        <v>2231.6</v>
      </c>
      <c r="M1127" s="6" t="n">
        <v>2231.6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MAT-20-049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3" x 1/4" x 20 pies</t>
        </is>
      </c>
      <c r="E1128" s="4" t="inlineStr"/>
      <c r="F1128" s="3" t="inlineStr">
        <is>
          <t>unidad</t>
        </is>
      </c>
      <c r="G1128" s="3" t="inlineStr">
        <is>
          <t>Estructura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1785</v>
      </c>
      <c r="L1128" s="6" t="n">
        <v>1785</v>
      </c>
      <c r="M1128" s="6" t="n">
        <v>1785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MAT-20-050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3" x 3/8" x 20 pies</t>
        </is>
      </c>
      <c r="E1129" s="4" t="inlineStr"/>
      <c r="F1129" s="3" t="inlineStr">
        <is>
          <t>unidad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2677.62</v>
      </c>
      <c r="L1129" s="6" t="n">
        <v>2677.62</v>
      </c>
      <c r="M1129" s="6" t="n">
        <v>2677.62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MAT-20-051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4" x 1/4" x 20 pies</t>
        </is>
      </c>
      <c r="E1130" s="4" t="inlineStr"/>
      <c r="F1130" s="3" t="inlineStr">
        <is>
          <t>unidad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2380</v>
      </c>
      <c r="L1130" s="6" t="n">
        <v>2380</v>
      </c>
      <c r="M1130" s="6" t="n">
        <v>2380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MAT-20-052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4" x 3/8" x 20 pies</t>
        </is>
      </c>
      <c r="E1131" s="4" t="inlineStr"/>
      <c r="F1131" s="3" t="inlineStr">
        <is>
          <t>unidad</t>
        </is>
      </c>
      <c r="G1131" s="3" t="inlineStr">
        <is>
          <t>Estructura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3982.5</v>
      </c>
      <c r="L1131" s="6" t="n">
        <v>3982.5</v>
      </c>
      <c r="M1131" s="6" t="n">
        <v>3982.5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MAT-20-053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acero inoxidable 2" x 1/8" x 20 pies</t>
        </is>
      </c>
      <c r="E1132" s="4" t="inlineStr"/>
      <c r="F1132" s="3" t="inlineStr">
        <is>
          <t>unidad</t>
        </is>
      </c>
      <c r="G1132" s="3" t="inlineStr">
        <is>
          <t>Estructura</t>
        </is>
      </c>
      <c r="H1132" s="3" t="inlineStr">
        <is>
          <t>premium</t>
        </is>
      </c>
      <c r="I1132" s="3" t="inlineStr">
        <is>
          <t>importado</t>
        </is>
      </c>
      <c r="J1132" s="5" t="n">
        <v>1</v>
      </c>
      <c r="K1132" s="6" t="n">
        <v>1397.2</v>
      </c>
      <c r="L1132" s="6" t="n">
        <v>1397.2</v>
      </c>
      <c r="M1132" s="6" t="n">
        <v>1397.2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MAT-20-054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cuadrada de acero 7/16" x 20 pies</t>
        </is>
      </c>
      <c r="E1133" s="4" t="inlineStr"/>
      <c r="F1133" s="3" t="inlineStr">
        <is>
          <t>unidad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411.76</v>
      </c>
      <c r="L1133" s="6" t="n">
        <v>411.76</v>
      </c>
      <c r="M1133" s="6" t="n">
        <v>411.76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MAT-20-055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cuadrada de acero 1/2" x 20 pies</t>
        </is>
      </c>
      <c r="E1134" s="4" t="inlineStr"/>
      <c r="F1134" s="3" t="inlineStr">
        <is>
          <t>unidad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538.46</v>
      </c>
      <c r="L1134" s="6" t="n">
        <v>538.46</v>
      </c>
      <c r="M1134" s="6" t="n">
        <v>538.46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MAT-20-056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cuadrada de acero 5/8" x 20 pies</t>
        </is>
      </c>
      <c r="E1135" s="4" t="inlineStr"/>
      <c r="F1135" s="3" t="inlineStr">
        <is>
          <t>unidad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843.37</v>
      </c>
      <c r="L1135" s="6" t="n">
        <v>843.37</v>
      </c>
      <c r="M1135" s="6" t="n">
        <v>843.37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MAT-20-057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de acero 3/8" x 20 pies</t>
        </is>
      </c>
      <c r="E1136" s="4" t="inlineStr"/>
      <c r="F1136" s="3" t="inlineStr">
        <is>
          <t>unidad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238.1</v>
      </c>
      <c r="L1136" s="6" t="n">
        <v>238.1</v>
      </c>
      <c r="M1136" s="6" t="n">
        <v>238.1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MAT-20-058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de acero 1/2" x 20 pies</t>
        </is>
      </c>
      <c r="E1137" s="4" t="inlineStr"/>
      <c r="F1137" s="3" t="inlineStr">
        <is>
          <t>unidad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421.68</v>
      </c>
      <c r="L1137" s="6" t="n">
        <v>421.68</v>
      </c>
      <c r="M1137" s="6" t="n">
        <v>421.68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MAT-20-059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redonda de acero 5/8" x 20 pies</t>
        </is>
      </c>
      <c r="E1138" s="4" t="inlineStr"/>
      <c r="F1138" s="3" t="inlineStr">
        <is>
          <t>unidad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660.38</v>
      </c>
      <c r="L1138" s="6" t="n">
        <v>660.38</v>
      </c>
      <c r="M1138" s="6" t="n">
        <v>660.38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MAT-20-060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Barra redonda de acero 3/4" x 20 pies</t>
        </is>
      </c>
      <c r="E1139" s="4" t="inlineStr"/>
      <c r="F1139" s="3" t="inlineStr">
        <is>
          <t>unidad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945.95</v>
      </c>
      <c r="L1139" s="6" t="n">
        <v>945.95</v>
      </c>
      <c r="M1139" s="6" t="n">
        <v>945.95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MAT-20-061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Barra redonda de acero 1" x 20 pies</t>
        </is>
      </c>
      <c r="E1140" s="4" t="inlineStr"/>
      <c r="F1140" s="3" t="inlineStr">
        <is>
          <t>unidad</t>
        </is>
      </c>
      <c r="G1140" s="3" t="inlineStr">
        <is>
          <t>Estructura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1666.67</v>
      </c>
      <c r="L1140" s="6" t="n">
        <v>1666.67</v>
      </c>
      <c r="M1140" s="6" t="n">
        <v>1666.67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MAT-20-062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Barra redonda torneada de acero 7/16" x 20 pies</t>
        </is>
      </c>
      <c r="E1141" s="4" t="inlineStr"/>
      <c r="F1141" s="3" t="inlineStr">
        <is>
          <t>unidad</t>
        </is>
      </c>
      <c r="G1141" s="3" t="inlineStr">
        <is>
          <t>Estructura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426.77</v>
      </c>
      <c r="L1141" s="6" t="n">
        <v>426.77</v>
      </c>
      <c r="M1141" s="6" t="n">
        <v>426.77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MAT-20-063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Barra redonda torneada de acero 1/2" x 20 pies</t>
        </is>
      </c>
      <c r="E1142" s="4" t="inlineStr"/>
      <c r="F1142" s="3" t="inlineStr">
        <is>
          <t>unidad</t>
        </is>
      </c>
      <c r="G1142" s="3" t="inlineStr">
        <is>
          <t>Estructura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553.47</v>
      </c>
      <c r="L1142" s="6" t="n">
        <v>553.47</v>
      </c>
      <c r="M1142" s="6" t="n">
        <v>553.47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MAT-20-064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Barra redonda torneada de acero 5/8" x 20 pies</t>
        </is>
      </c>
      <c r="E1143" s="4" t="inlineStr"/>
      <c r="F1143" s="3" t="inlineStr">
        <is>
          <t>unidad</t>
        </is>
      </c>
      <c r="G1143" s="3" t="inlineStr">
        <is>
          <t>Estructura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858.38</v>
      </c>
      <c r="L1143" s="6" t="n">
        <v>858.38</v>
      </c>
      <c r="M1143" s="6" t="n">
        <v>858.38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MAT-21-001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1/32", plancha 4 x 8 pies</t>
        </is>
      </c>
      <c r="E1144" s="4" t="inlineStr">
        <is>
          <t>Peso 40.8 lb</t>
        </is>
      </c>
      <c r="F1144" s="3" t="inlineStr">
        <is>
          <t>plancha</t>
        </is>
      </c>
      <c r="G1144" s="3" t="inlineStr">
        <is>
          <t>Estructura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1113.61</v>
      </c>
      <c r="L1144" s="6" t="n">
        <v>1113.61</v>
      </c>
      <c r="M1144" s="6" t="n">
        <v>1113.61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</row>
    <row r="1145">
      <c r="A1145" s="3" t="inlineStr">
        <is>
          <t>MAT-21-002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1/22", plancha 4 x 8 pies</t>
        </is>
      </c>
      <c r="E1145" s="4" t="inlineStr">
        <is>
          <t>Peso 59.34 lb</t>
        </is>
      </c>
      <c r="F1145" s="3" t="inlineStr">
        <is>
          <t>plancha</t>
        </is>
      </c>
      <c r="G1145" s="3" t="inlineStr">
        <is>
          <t>Estructura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1497.04</v>
      </c>
      <c r="L1145" s="6" t="n">
        <v>1497.04</v>
      </c>
      <c r="M1145" s="6" t="n">
        <v>1497.04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</row>
    <row r="1146">
      <c r="A1146" s="3" t="inlineStr">
        <is>
          <t>MAT-21-003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1/16", plancha 4 x 10 pies</t>
        </is>
      </c>
      <c r="E1146" s="4" t="inlineStr">
        <is>
          <t>Peso 102 lb</t>
        </is>
      </c>
      <c r="F1146" s="3" t="inlineStr">
        <is>
          <t>plancha</t>
        </is>
      </c>
      <c r="G1146" s="3" t="inlineStr">
        <is>
          <t>Estructura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2938.54</v>
      </c>
      <c r="L1146" s="6" t="n">
        <v>2938.54</v>
      </c>
      <c r="M1146" s="6" t="n">
        <v>2938.54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MAT-21-004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1/16", plancha 4 x 8 pies</t>
        </is>
      </c>
      <c r="E1147" s="4" t="inlineStr">
        <is>
          <t>Peso 81.61 lb</t>
        </is>
      </c>
      <c r="F1147" s="3" t="inlineStr">
        <is>
          <t>plancha</t>
        </is>
      </c>
      <c r="G1147" s="3" t="inlineStr">
        <is>
          <t>Estructura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2224.54</v>
      </c>
      <c r="L1147" s="6" t="n">
        <v>2224.54</v>
      </c>
      <c r="M1147" s="6" t="n">
        <v>2224.54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MAT-21-005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3/32", plancha 4 x 8 pies</t>
        </is>
      </c>
      <c r="E1148" s="4" t="inlineStr">
        <is>
          <t>Peso 122.4 lb</t>
        </is>
      </c>
      <c r="F1148" s="3" t="inlineStr">
        <is>
          <t>plancha</t>
        </is>
      </c>
      <c r="G1148" s="3" t="inlineStr">
        <is>
          <t>Estructura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3132.92</v>
      </c>
      <c r="L1148" s="6" t="n">
        <v>3132.92</v>
      </c>
      <c r="M1148" s="6" t="n">
        <v>3132.92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MAT-21-006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1/8", plancha 4 x 10 pies</t>
        </is>
      </c>
      <c r="E1149" s="4" t="inlineStr">
        <is>
          <t>Peso 204 lb</t>
        </is>
      </c>
      <c r="F1149" s="3" t="inlineStr">
        <is>
          <t>plancha</t>
        </is>
      </c>
      <c r="G1149" s="3" t="inlineStr">
        <is>
          <t>Estructura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5622.83</v>
      </c>
      <c r="L1149" s="6" t="n">
        <v>5622.83</v>
      </c>
      <c r="M1149" s="6" t="n">
        <v>5622.83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MAT-21-007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1/8", plancha 4 x 8 pies</t>
        </is>
      </c>
      <c r="E1150" s="4" t="inlineStr">
        <is>
          <t>Peso 163.2 lb</t>
        </is>
      </c>
      <c r="F1150" s="3" t="inlineStr">
        <is>
          <t>plancha</t>
        </is>
      </c>
      <c r="G1150" s="3" t="inlineStr">
        <is>
          <t>Estructura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4104.8</v>
      </c>
      <c r="L1150" s="6" t="n">
        <v>4104.8</v>
      </c>
      <c r="M1150" s="6" t="n">
        <v>4104.8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MAT-21-008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1/8", plancha 5 x 10 pies</t>
        </is>
      </c>
      <c r="E1151" s="4" t="inlineStr">
        <is>
          <t>Peso 255 lb</t>
        </is>
      </c>
      <c r="F1151" s="3" t="inlineStr">
        <is>
          <t>plancha</t>
        </is>
      </c>
      <c r="G1151" s="3" t="inlineStr">
        <is>
          <t>Estructura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6428.83</v>
      </c>
      <c r="L1151" s="6" t="n">
        <v>6428.83</v>
      </c>
      <c r="M1151" s="6" t="n">
        <v>6428.83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MAT-21-009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3/16", plancha 4 x 8 pies</t>
        </is>
      </c>
      <c r="E1152" s="4" t="inlineStr">
        <is>
          <t>Peso 244.8 lb</t>
        </is>
      </c>
      <c r="F1152" s="3" t="inlineStr">
        <is>
          <t>plancha</t>
        </is>
      </c>
      <c r="G1152" s="3" t="inlineStr">
        <is>
          <t>Estructura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6678.8</v>
      </c>
      <c r="L1152" s="6" t="n">
        <v>6678.8</v>
      </c>
      <c r="M1152" s="6" t="n">
        <v>6678.8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MAT-21-010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3/16", plancha 5 x 10 pies</t>
        </is>
      </c>
      <c r="E1153" s="4" t="inlineStr">
        <is>
          <t>Peso 382.5 lb</t>
        </is>
      </c>
      <c r="F1153" s="3" t="inlineStr">
        <is>
          <t>plancha</t>
        </is>
      </c>
      <c r="G1153" s="3" t="inlineStr">
        <is>
          <t>Estructura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10410.48</v>
      </c>
      <c r="L1153" s="6" t="n">
        <v>10410.48</v>
      </c>
      <c r="M1153" s="6" t="n">
        <v>10410.48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MAT-21-011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3/16", plancha 6 x 10 pies</t>
        </is>
      </c>
      <c r="E1154" s="4" t="inlineStr">
        <is>
          <t>Peso 459 lb</t>
        </is>
      </c>
      <c r="F1154" s="3" t="inlineStr">
        <is>
          <t>plancha</t>
        </is>
      </c>
      <c r="G1154" s="3" t="inlineStr">
        <is>
          <t>Estructura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12392.84</v>
      </c>
      <c r="L1154" s="6" t="n">
        <v>12392.84</v>
      </c>
      <c r="M1154" s="6" t="n">
        <v>12392.84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MAT-21-012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1/4", plancha 4 x 8 pies</t>
        </is>
      </c>
      <c r="E1155" s="4" t="inlineStr">
        <is>
          <t>Peso 326.4 lb</t>
        </is>
      </c>
      <c r="F1155" s="3" t="inlineStr">
        <is>
          <t>plancha</t>
        </is>
      </c>
      <c r="G1155" s="3" t="inlineStr">
        <is>
          <t>Estructura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8276.58</v>
      </c>
      <c r="L1155" s="6" t="n">
        <v>8276.58</v>
      </c>
      <c r="M1155" s="6" t="n">
        <v>8276.58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MAT-21-013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negra 1/4", plancha 6 x 10 pies</t>
        </is>
      </c>
      <c r="E1156" s="4" t="inlineStr">
        <is>
          <t>Peso 612 lb</t>
        </is>
      </c>
      <c r="F1156" s="3" t="inlineStr">
        <is>
          <t>plancha</t>
        </is>
      </c>
      <c r="G1156" s="3" t="inlineStr">
        <is>
          <t>Estructura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16280.34</v>
      </c>
      <c r="L1156" s="6" t="n">
        <v>16280.34</v>
      </c>
      <c r="M1156" s="6" t="n">
        <v>16280.34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MAT-21-014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negra 3/8", plancha 4 x 8 pies</t>
        </is>
      </c>
      <c r="E1157" s="4" t="inlineStr">
        <is>
          <t>Peso 489.6 lb</t>
        </is>
      </c>
      <c r="F1157" s="3" t="inlineStr">
        <is>
          <t>plancha</t>
        </is>
      </c>
      <c r="G1157" s="3" t="inlineStr">
        <is>
          <t>Estructura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12665.86</v>
      </c>
      <c r="L1157" s="6" t="n">
        <v>12665.86</v>
      </c>
      <c r="M1157" s="6" t="n">
        <v>12665.86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MAT-21-015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negra 5/8", plancha 4 x 8 pies</t>
        </is>
      </c>
      <c r="E1158" s="4" t="inlineStr">
        <is>
          <t>Peso 819.2 lb</t>
        </is>
      </c>
      <c r="F1158" s="3" t="inlineStr">
        <is>
          <t>plancha</t>
        </is>
      </c>
      <c r="G1158" s="3" t="inlineStr">
        <is>
          <t>Estructura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21001.52</v>
      </c>
      <c r="L1158" s="6" t="n">
        <v>21001.52</v>
      </c>
      <c r="M1158" s="6" t="n">
        <v>21001.52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MAT-21-016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negra 1", plancha 4 x 8 pies</t>
        </is>
      </c>
      <c r="E1159" s="4" t="inlineStr">
        <is>
          <t>Peso 1305.6 lb</t>
        </is>
      </c>
      <c r="F1159" s="3" t="inlineStr">
        <is>
          <t>plancha</t>
        </is>
      </c>
      <c r="G1159" s="3" t="inlineStr">
        <is>
          <t>Estructura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37319.49</v>
      </c>
      <c r="L1159" s="6" t="n">
        <v>37319.49</v>
      </c>
      <c r="M1159" s="6" t="n">
        <v>37319.49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MAT-21-017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corrugada 3/32", plancha 4 x 8 pies</t>
        </is>
      </c>
      <c r="E1160" s="4" t="inlineStr">
        <is>
          <t>Peso 133 lb</t>
        </is>
      </c>
      <c r="F1160" s="3" t="inlineStr">
        <is>
          <t>plancha</t>
        </is>
      </c>
      <c r="G1160" s="3" t="inlineStr">
        <is>
          <t>Estructura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3253.65</v>
      </c>
      <c r="L1160" s="6" t="n">
        <v>3253.65</v>
      </c>
      <c r="M1160" s="6" t="n">
        <v>3253.65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MAT-21-018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corrugada 1/8", plancha 4 x 8 pies</t>
        </is>
      </c>
      <c r="E1161" s="4" t="inlineStr">
        <is>
          <t>Peso 186.5 lb</t>
        </is>
      </c>
      <c r="F1161" s="3" t="inlineStr">
        <is>
          <t>plancha</t>
        </is>
      </c>
      <c r="G1161" s="3" t="inlineStr">
        <is>
          <t>Estructura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4279.86</v>
      </c>
      <c r="L1161" s="6" t="n">
        <v>4279.86</v>
      </c>
      <c r="M1161" s="6" t="n">
        <v>4279.86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MAT-21-019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corrugada 3/16", plancha 4 x 8 pies</t>
        </is>
      </c>
      <c r="E1162" s="4" t="inlineStr">
        <is>
          <t>Peso 244.8 lb</t>
        </is>
      </c>
      <c r="F1162" s="3" t="inlineStr">
        <is>
          <t>plancha</t>
        </is>
      </c>
      <c r="G1162" s="3" t="inlineStr">
        <is>
          <t>Estructura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6433.47</v>
      </c>
      <c r="L1162" s="6" t="n">
        <v>6433.47</v>
      </c>
      <c r="M1162" s="6" t="n">
        <v>6433.47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MAT-21-020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25 lb</t>
        </is>
      </c>
      <c r="E1163" s="4" t="inlineStr">
        <is>
          <t>Calibre 26</t>
        </is>
      </c>
      <c r="F1163" s="3" t="inlineStr">
        <is>
          <t>plancha</t>
        </is>
      </c>
      <c r="G1163" s="3" t="inlineStr">
        <is>
          <t>Estructura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825.17</v>
      </c>
      <c r="L1163" s="6" t="n">
        <v>825.17</v>
      </c>
      <c r="M1163" s="6" t="n">
        <v>825.17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MAT-21-021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galvanizada 4 x 8 pies, 32 lb</t>
        </is>
      </c>
      <c r="E1164" s="4" t="inlineStr">
        <is>
          <t>Calibre 24</t>
        </is>
      </c>
      <c r="F1164" s="3" t="inlineStr">
        <is>
          <t>plancha</t>
        </is>
      </c>
      <c r="G1164" s="3" t="inlineStr">
        <is>
          <t>Estructura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952.1900000000001</v>
      </c>
      <c r="L1164" s="6" t="n">
        <v>952.1900000000001</v>
      </c>
      <c r="M1164" s="6" t="n">
        <v>952.1900000000001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</row>
    <row r="1165">
      <c r="A1165" s="3" t="inlineStr">
        <is>
          <t>MAT-21-022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galvanizada 4 x 8 pies, 44 lb</t>
        </is>
      </c>
      <c r="E1165" s="4" t="inlineStr">
        <is>
          <t>Calibre 22</t>
        </is>
      </c>
      <c r="F1165" s="3" t="inlineStr">
        <is>
          <t>plancha</t>
        </is>
      </c>
      <c r="G1165" s="3" t="inlineStr">
        <is>
          <t>Estructura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1169.6</v>
      </c>
      <c r="L1165" s="6" t="n">
        <v>1169.6</v>
      </c>
      <c r="M1165" s="6" t="n">
        <v>1169.6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MAT-21-023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galvanizada 4 x 8 pies, 52 lb</t>
        </is>
      </c>
      <c r="E1166" s="4" t="inlineStr">
        <is>
          <t>Calibre 20</t>
        </is>
      </c>
      <c r="F1166" s="3" t="inlineStr">
        <is>
          <t>plancha</t>
        </is>
      </c>
      <c r="G1166" s="3" t="inlineStr">
        <is>
          <t>Estructura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1551.37</v>
      </c>
      <c r="L1166" s="6" t="n">
        <v>1551.37</v>
      </c>
      <c r="M1166" s="6" t="n">
        <v>1551.37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MAT-21-024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galvanizada 4 x 8 pies, 83.75 lb</t>
        </is>
      </c>
      <c r="E1167" s="4" t="inlineStr">
        <is>
          <t>Calibre 16</t>
        </is>
      </c>
      <c r="F1167" s="3" t="inlineStr">
        <is>
          <t>plancha</t>
        </is>
      </c>
      <c r="G1167" s="3" t="inlineStr">
        <is>
          <t>Estructura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2364.86</v>
      </c>
      <c r="L1167" s="6" t="n">
        <v>2364.86</v>
      </c>
      <c r="M1167" s="6" t="n">
        <v>2364.86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MAT-21-025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3/8", plancha 4 x 8 pies</t>
        </is>
      </c>
      <c r="E1168" s="4" t="inlineStr">
        <is>
          <t>La ficha no declara el calibre</t>
        </is>
      </c>
      <c r="F1168" s="3" t="inlineStr">
        <is>
          <t>plancha</t>
        </is>
      </c>
      <c r="G1168" s="3" t="inlineStr">
        <is>
          <t>Estructura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2209.05</v>
      </c>
      <c r="L1168" s="6" t="n">
        <v>2209.05</v>
      </c>
      <c r="M1168" s="6" t="n">
        <v>2209.05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MAT-21-026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Metal desplegable plano 1/2", plancha 4 x 8 pies</t>
        </is>
      </c>
      <c r="E1169" s="4" t="inlineStr">
        <is>
          <t>La ficha no declara el calibre</t>
        </is>
      </c>
      <c r="F1169" s="3" t="inlineStr">
        <is>
          <t>plancha</t>
        </is>
      </c>
      <c r="G1169" s="3" t="inlineStr">
        <is>
          <t>Estructura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765.55</v>
      </c>
      <c r="L1169" s="6" t="n">
        <v>765.55</v>
      </c>
      <c r="M1169" s="6" t="n">
        <v>765.55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MAT-21-027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Metal desplegable plano 3/4", plancha 4 x 8 pies</t>
        </is>
      </c>
      <c r="E1170" s="4" t="inlineStr">
        <is>
          <t>La ficha no declara el calibre</t>
        </is>
      </c>
      <c r="F1170" s="3" t="inlineStr">
        <is>
          <t>plancha</t>
        </is>
      </c>
      <c r="G1170" s="3" t="inlineStr">
        <is>
          <t>Estructura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850</v>
      </c>
      <c r="L1170" s="6" t="n">
        <v>850</v>
      </c>
      <c r="M1170" s="6" t="n">
        <v>850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</row>
    <row r="1171">
      <c r="A1171" s="3" t="inlineStr">
        <is>
          <t>MAT-21-028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Metal desplegable plano 1", plancha 4 x 8 pies</t>
        </is>
      </c>
      <c r="E1171" s="4" t="inlineStr">
        <is>
          <t>La ficha no declara el calibre</t>
        </is>
      </c>
      <c r="F1171" s="3" t="inlineStr">
        <is>
          <t>plancha</t>
        </is>
      </c>
      <c r="G1171" s="3" t="inlineStr">
        <is>
          <t>Estructura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1080.47</v>
      </c>
      <c r="L1171" s="6" t="n">
        <v>1080.47</v>
      </c>
      <c r="M1171" s="6" t="n">
        <v>1080.47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</row>
    <row r="1172">
      <c r="A1172" s="3" t="inlineStr">
        <is>
          <t>MAT-21-029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Metal desplegable plano 1 1/2", plancha 4 x 8 pies</t>
        </is>
      </c>
      <c r="E1172" s="4" t="inlineStr">
        <is>
          <t>La ficha no declara el calibre</t>
        </is>
      </c>
      <c r="F1172" s="3" t="inlineStr">
        <is>
          <t>plancha</t>
        </is>
      </c>
      <c r="G1172" s="3" t="inlineStr">
        <is>
          <t>Estructura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939.35</v>
      </c>
      <c r="L1172" s="6" t="n">
        <v>939.35</v>
      </c>
      <c r="M1172" s="6" t="n">
        <v>939.35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</row>
    <row r="1173">
      <c r="A1173" s="3" t="inlineStr">
        <is>
          <t>MAT-22-001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9, 3 pies de alto, rollo de 50 pies</t>
        </is>
      </c>
      <c r="E1173" s="4" t="inlineStr">
        <is>
          <t>Galvanizada</t>
        </is>
      </c>
      <c r="F1173" s="3" t="inlineStr">
        <is>
          <t>rollo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1</v>
      </c>
      <c r="K1173" s="6" t="n">
        <v>5223.1</v>
      </c>
      <c r="L1173" s="6" t="n">
        <v>5223.1</v>
      </c>
      <c r="M1173" s="6" t="n">
        <v>5223.1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Ochoa (8A)</t>
        </is>
      </c>
    </row>
    <row r="1174">
      <c r="A1174" s="3" t="inlineStr">
        <is>
          <t>MAT-22-002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Malla ciclónica calibre 9, 4 pies de alto, rollo de 50 pies</t>
        </is>
      </c>
      <c r="E1174" s="4" t="inlineStr">
        <is>
          <t>Galvanizada</t>
        </is>
      </c>
      <c r="F1174" s="3" t="inlineStr">
        <is>
          <t>rollo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2</v>
      </c>
      <c r="K1174" s="6" t="n">
        <v>6740.23</v>
      </c>
      <c r="L1174" s="6" t="n">
        <v>6121.98</v>
      </c>
      <c r="M1174" s="6" t="n">
        <v>7358.48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MC · Ferretería Ochoa (8A)</t>
        </is>
      </c>
    </row>
    <row r="1175">
      <c r="A1175" s="3" t="inlineStr">
        <is>
          <t>MAT-22-003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Malla ciclónica calibre 9, 6 pies de alto, rollo de 50 pies</t>
        </is>
      </c>
      <c r="E1175" s="4" t="inlineStr">
        <is>
          <t>Galvanizada</t>
        </is>
      </c>
      <c r="F1175" s="3" t="inlineStr">
        <is>
          <t>rollo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2</v>
      </c>
      <c r="K1175" s="6" t="n">
        <v>10808.21</v>
      </c>
      <c r="L1175" s="6" t="n">
        <v>9867.16</v>
      </c>
      <c r="M1175" s="6" t="n">
        <v>11749.26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MC · Ferretería Ochoa (8A)</t>
        </is>
      </c>
    </row>
    <row r="1176">
      <c r="A1176" s="3" t="inlineStr">
        <is>
          <t>MAT-22-004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Malla ciclónica calibre 9 revestida en PVC, 6 pies de alto, rollo de 50 pies</t>
        </is>
      </c>
      <c r="E1176" s="4" t="inlineStr">
        <is>
          <t>Galvanizada</t>
        </is>
      </c>
      <c r="F1176" s="3" t="inlineStr">
        <is>
          <t>rollo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13223.83</v>
      </c>
      <c r="L1176" s="6" t="n">
        <v>11757.65</v>
      </c>
      <c r="M1176" s="6" t="n">
        <v>14690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Ochoa (8A) · InnovaCentro (La Innovación)</t>
        </is>
      </c>
    </row>
    <row r="1177">
      <c r="A1177" s="3" t="inlineStr">
        <is>
          <t>MAT-22-005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Malla ciclónica calibre 9, 8 pies de alto, rollo de 50 pies</t>
        </is>
      </c>
      <c r="E1177" s="4" t="inlineStr">
        <is>
          <t>Galvanizada</t>
        </is>
      </c>
      <c r="F1177" s="3" t="inlineStr">
        <is>
          <t>rollo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2</v>
      </c>
      <c r="K1177" s="6" t="n">
        <v>14467.25</v>
      </c>
      <c r="L1177" s="6" t="n">
        <v>13273.54</v>
      </c>
      <c r="M1177" s="6" t="n">
        <v>15660.96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MC · Ferretería Ochoa (8A)</t>
        </is>
      </c>
    </row>
    <row r="1178">
      <c r="A1178" s="3" t="inlineStr">
        <is>
          <t>MAT-22-006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Tubo galvanizado para malla ciclónica 1 1/4" x 20 pies</t>
        </is>
      </c>
      <c r="E1178" s="4" t="inlineStr"/>
      <c r="F1178" s="3" t="inlineStr">
        <is>
          <t>unidad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3</v>
      </c>
      <c r="K1178" s="6" t="n">
        <v>711.54</v>
      </c>
      <c r="L1178" s="6" t="n">
        <v>527.0599999999999</v>
      </c>
      <c r="M1178" s="6" t="n">
        <v>730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 · InnovaCentro (La Innovación)</t>
        </is>
      </c>
    </row>
    <row r="1179">
      <c r="A1179" s="3" t="inlineStr">
        <is>
          <t>MAT-22-007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Tubo galvanizado para malla ciclónica 1 1/2" x 15 pies</t>
        </is>
      </c>
      <c r="E1179" s="4" t="inlineStr"/>
      <c r="F1179" s="3" t="inlineStr">
        <is>
          <t>unidad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3</v>
      </c>
      <c r="K1179" s="6" t="n">
        <v>542.8</v>
      </c>
      <c r="L1179" s="6" t="n">
        <v>462.61</v>
      </c>
      <c r="M1179" s="6" t="n">
        <v>625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MC · Ferretería Ochoa (8A) · InnovaCentro (La Innovación)</t>
        </is>
      </c>
    </row>
    <row r="1180">
      <c r="A1180" s="3" t="inlineStr">
        <is>
          <t>MAT-22-008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Tubo galvanizado para malla ciclónica 2" x 20 pies</t>
        </is>
      </c>
      <c r="E1180" s="4" t="inlineStr"/>
      <c r="F1180" s="3" t="inlineStr">
        <is>
          <t>unidad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2</v>
      </c>
      <c r="K1180" s="6" t="n">
        <v>762.96</v>
      </c>
      <c r="L1180" s="6" t="n">
        <v>699.92</v>
      </c>
      <c r="M1180" s="6" t="n">
        <v>826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MC · Ferretería Ochoa (8A)</t>
        </is>
      </c>
    </row>
    <row r="1181">
      <c r="A1181" s="3" t="inlineStr">
        <is>
          <t>MAT-22-009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Malla ciclónica calibre 11, 3 pies de alto, rollo de 50 pies</t>
        </is>
      </c>
      <c r="E1181" s="4" t="inlineStr">
        <is>
          <t>Galvanizada</t>
        </is>
      </c>
      <c r="F1181" s="3" t="inlineStr">
        <is>
          <t>rollo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1</v>
      </c>
      <c r="K1181" s="6" t="n">
        <v>4335.91</v>
      </c>
      <c r="L1181" s="6" t="n">
        <v>4335.91</v>
      </c>
      <c r="M1181" s="6" t="n">
        <v>4335.91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</t>
        </is>
      </c>
    </row>
    <row r="1182">
      <c r="A1182" s="3" t="inlineStr">
        <is>
          <t>MAT-22-010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Malla ciclónica calibre 11, 6 pies de alto, rollo de 50 pies</t>
        </is>
      </c>
      <c r="E1182" s="4" t="inlineStr">
        <is>
          <t>Galvanizada</t>
        </is>
      </c>
      <c r="F1182" s="3" t="inlineStr">
        <is>
          <t>rollo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3</v>
      </c>
      <c r="K1182" s="6" t="n">
        <v>10250</v>
      </c>
      <c r="L1182" s="6" t="n">
        <v>8694.459999999999</v>
      </c>
      <c r="M1182" s="6" t="n">
        <v>10360.4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MC · Ferretería Ochoa (8A) · InnovaCentro (La Innovación)</t>
        </is>
      </c>
    </row>
    <row r="1183">
      <c r="A1183" s="3" t="inlineStr">
        <is>
          <t>MAT-22-011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1.50 mm, rollo de 250 metros</t>
        </is>
      </c>
      <c r="E1183" s="4" t="inlineStr">
        <is>
          <t>La ficha lo declara calibre 16</t>
        </is>
      </c>
      <c r="F1183" s="3" t="inlineStr">
        <is>
          <t>rollo</t>
        </is>
      </c>
      <c r="G1183" s="3" t="inlineStr">
        <is>
          <t>Exteriores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2601.2</v>
      </c>
      <c r="L1183" s="6" t="n">
        <v>2601.2</v>
      </c>
      <c r="M1183" s="6" t="n">
        <v>2601.2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MAT-22-012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Alambre de púas calibre 15, rollo de 250 metros</t>
        </is>
      </c>
      <c r="E1184" s="4" t="inlineStr"/>
      <c r="F1184" s="3" t="inlineStr">
        <is>
          <t>rollo</t>
        </is>
      </c>
      <c r="G1184" s="3" t="inlineStr">
        <is>
          <t>Exteriores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2541.47</v>
      </c>
      <c r="L1184" s="6" t="n">
        <v>2541.47</v>
      </c>
      <c r="M1184" s="6" t="n">
        <v>2541.47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</row>
    <row r="1185">
      <c r="A1185" s="3" t="inlineStr">
        <is>
          <t>MAT-22-013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Alambre de púas calibre 16, rollo de 110 metros</t>
        </is>
      </c>
      <c r="E1185" s="4" t="inlineStr"/>
      <c r="F1185" s="3" t="inlineStr">
        <is>
          <t>rollo</t>
        </is>
      </c>
      <c r="G1185" s="3" t="inlineStr">
        <is>
          <t>Exteriores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2</v>
      </c>
      <c r="K1185" s="6" t="n">
        <v>904.5599999999999</v>
      </c>
      <c r="L1185" s="6" t="n">
        <v>845</v>
      </c>
      <c r="M1185" s="6" t="n">
        <v>964.11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 · InnovaCentro (La Innovación)</t>
        </is>
      </c>
    </row>
    <row r="1186">
      <c r="A1186" s="3" t="inlineStr">
        <is>
          <t>MAT-22-014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Alambre de púas calibre 16, rollo de 250 metros</t>
        </is>
      </c>
      <c r="E1186" s="4" t="inlineStr"/>
      <c r="F1186" s="3" t="inlineStr">
        <is>
          <t>rollo</t>
        </is>
      </c>
      <c r="G1186" s="3" t="inlineStr">
        <is>
          <t>Exteriores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4</v>
      </c>
      <c r="K1186" s="6" t="n">
        <v>2696.5</v>
      </c>
      <c r="L1186" s="6" t="n">
        <v>1885</v>
      </c>
      <c r="M1186" s="6" t="n">
        <v>3785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Cima · Ferretería Ochoa (8A) · InnovaCentro (La Innovación) · Max Ferretería</t>
        </is>
      </c>
    </row>
    <row r="1187">
      <c r="A1187" s="3" t="inlineStr">
        <is>
          <t>MAT-22-015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Alambre de púas calibre 17, rollo de 250 metros</t>
        </is>
      </c>
      <c r="E1187" s="4" t="inlineStr"/>
      <c r="F1187" s="3" t="inlineStr">
        <is>
          <t>rollo</t>
        </is>
      </c>
      <c r="G1187" s="3" t="inlineStr">
        <is>
          <t>Exteriores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1933.36</v>
      </c>
      <c r="L1187" s="6" t="n">
        <v>1933.36</v>
      </c>
      <c r="M1187" s="6" t="n">
        <v>1933.36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MAT-22-016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16, retícula 1" x 2", 4 pies de alto</t>
        </is>
      </c>
      <c r="E1188" s="4" t="inlineStr">
        <is>
          <t>Rollo de 100 pies</t>
        </is>
      </c>
      <c r="F1188" s="3" t="inlineStr">
        <is>
          <t>yarda</t>
        </is>
      </c>
      <c r="G1188" s="3" t="inlineStr">
        <is>
          <t>Exteriores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113.78</v>
      </c>
      <c r="L1188" s="6" t="n">
        <v>113.78</v>
      </c>
      <c r="M1188" s="6" t="n">
        <v>113.78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MAT-22-017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18, retícula 1/2" x 1/2", 4 pies de alto</t>
        </is>
      </c>
      <c r="E1189" s="4" t="inlineStr">
        <is>
          <t>Rollo de 100 pies</t>
        </is>
      </c>
      <c r="F1189" s="3" t="inlineStr">
        <is>
          <t>yarda</t>
        </is>
      </c>
      <c r="G1189" s="3" t="inlineStr">
        <is>
          <t>Exteriores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192.26</v>
      </c>
      <c r="L1189" s="6" t="n">
        <v>192.26</v>
      </c>
      <c r="M1189" s="6" t="n">
        <v>192.26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MAT-22-018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metálica calibre 18, retícula 1" x 1/2", 3 pies de alto</t>
        </is>
      </c>
      <c r="E1190" s="4" t="inlineStr">
        <is>
          <t>Rollo de 100 pies</t>
        </is>
      </c>
      <c r="F1190" s="3" t="inlineStr">
        <is>
          <t>yarda</t>
        </is>
      </c>
      <c r="G1190" s="3" t="inlineStr">
        <is>
          <t>Exteriores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106.11</v>
      </c>
      <c r="L1190" s="6" t="n">
        <v>106.11</v>
      </c>
      <c r="M1190" s="6" t="n">
        <v>106.11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MAT-22-019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metálica calibre 18, retícula 1" x 1/2", 4 pies de alto</t>
        </is>
      </c>
      <c r="E1191" s="4" t="inlineStr">
        <is>
          <t>Rollo de 100 pies</t>
        </is>
      </c>
      <c r="F1191" s="3" t="inlineStr">
        <is>
          <t>yarda</t>
        </is>
      </c>
      <c r="G1191" s="3" t="inlineStr">
        <is>
          <t>Exteriores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145.1</v>
      </c>
      <c r="L1191" s="6" t="n">
        <v>145.1</v>
      </c>
      <c r="M1191" s="6" t="n">
        <v>145.1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MAT-22-020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Tela metálica calibre 20, retícula 1" x 2", 3 pies de alto</t>
        </is>
      </c>
      <c r="E1192" s="4" t="inlineStr">
        <is>
          <t>Rollo de 100 pies</t>
        </is>
      </c>
      <c r="F1192" s="3" t="inlineStr">
        <is>
          <t>yarda</t>
        </is>
      </c>
      <c r="G1192" s="3" t="inlineStr">
        <is>
          <t>Exteriores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37.54</v>
      </c>
      <c r="L1192" s="6" t="n">
        <v>37.54</v>
      </c>
      <c r="M1192" s="6" t="n">
        <v>37.54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</t>
        </is>
      </c>
    </row>
    <row r="1193">
      <c r="A1193" s="3" t="inlineStr">
        <is>
          <t>MAT-22-021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Tela metálica calibre 21, retícula 3/8" x 3/8", 3 pies de alto</t>
        </is>
      </c>
      <c r="E1193" s="4" t="inlineStr">
        <is>
          <t>Rollo de 100 pies</t>
        </is>
      </c>
      <c r="F1193" s="3" t="inlineStr">
        <is>
          <t>yarda</t>
        </is>
      </c>
      <c r="G1193" s="3" t="inlineStr">
        <is>
          <t>Exteriores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72.61</v>
      </c>
      <c r="L1193" s="6" t="n">
        <v>72.61</v>
      </c>
      <c r="M1193" s="6" t="n">
        <v>72.61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</t>
        </is>
      </c>
    </row>
    <row r="1194">
      <c r="A1194" s="3" t="inlineStr">
        <is>
          <t>MAT-22-022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Tela para gallinero calibre 19, 3 pies de alto</t>
        </is>
      </c>
      <c r="E1194" s="4" t="inlineStr">
        <is>
          <t>Rollo de 100 pies</t>
        </is>
      </c>
      <c r="F1194" s="3" t="inlineStr">
        <is>
          <t>yarda</t>
        </is>
      </c>
      <c r="G1194" s="3" t="inlineStr">
        <is>
          <t>Exteriores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54.04</v>
      </c>
      <c r="L1194" s="6" t="n">
        <v>54.04</v>
      </c>
      <c r="M1194" s="6" t="n">
        <v>54.04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MAT-22-023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Tela para gallinero calibre 20, 3 pies de alto</t>
        </is>
      </c>
      <c r="E1195" s="4" t="inlineStr">
        <is>
          <t>Rollo de 100 pies</t>
        </is>
      </c>
      <c r="F1195" s="3" t="inlineStr">
        <is>
          <t>yarda</t>
        </is>
      </c>
      <c r="G1195" s="3" t="inlineStr">
        <is>
          <t>Exteriores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46.53</v>
      </c>
      <c r="L1195" s="6" t="n">
        <v>46.53</v>
      </c>
      <c r="M1195" s="6" t="n">
        <v>46.53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Ochoa (8A)</t>
        </is>
      </c>
    </row>
    <row r="1196">
      <c r="A1196" s="3" t="inlineStr">
        <is>
          <t>MAT-22-024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Alambre de trinchera, 45 Mts</t>
        </is>
      </c>
      <c r="E1196" s="4" t="inlineStr"/>
      <c r="F1196" s="3" t="inlineStr">
        <is>
          <t>rollo</t>
        </is>
      </c>
      <c r="G1196" s="3" t="inlineStr">
        <is>
          <t>Exteriores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595</v>
      </c>
      <c r="L1196" s="6" t="n">
        <v>595</v>
      </c>
      <c r="M1196" s="6" t="n">
        <v>595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InnovaCentro (La Innovación)</t>
        </is>
      </c>
      <c r="AD1196" s="7" t="inlineStr">
        <is>
          <t>45 Mts</t>
        </is>
      </c>
    </row>
    <row r="1197">
      <c r="A1197" s="3" t="inlineStr">
        <is>
          <t>MAT-22-025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Protección de verja, 1mt</t>
        </is>
      </c>
      <c r="E1197" s="4" t="inlineStr"/>
      <c r="F1197" s="3" t="inlineStr">
        <is>
          <t>unidad</t>
        </is>
      </c>
      <c r="G1197" s="3" t="inlineStr">
        <is>
          <t>Exteriores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1</v>
      </c>
      <c r="K1197" s="6" t="n">
        <v>990</v>
      </c>
      <c r="L1197" s="6" t="n">
        <v>985</v>
      </c>
      <c r="M1197" s="6" t="n">
        <v>995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InnovaCentro (La Innovación)</t>
        </is>
      </c>
      <c r="AD1197" s="7" t="inlineStr">
        <is>
          <t>1mt</t>
        </is>
      </c>
    </row>
    <row r="1198">
      <c r="A1198" s="3" t="inlineStr">
        <is>
          <t>MAT-22-026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Abrazadera corta para malla ciclónica 1 1/4"</t>
        </is>
      </c>
      <c r="E1198" s="4" t="inlineStr"/>
      <c r="F1198" s="3" t="inlineStr">
        <is>
          <t>unidad</t>
        </is>
      </c>
      <c r="G1198" s="3" t="inlineStr">
        <is>
          <t>Exteriores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2</v>
      </c>
      <c r="K1198" s="6" t="n">
        <v>28.52</v>
      </c>
      <c r="L1198" s="6" t="n">
        <v>16.91</v>
      </c>
      <c r="M1198" s="6" t="n">
        <v>40.12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MC · Ferretería Ochoa (8A)</t>
        </is>
      </c>
    </row>
    <row r="1199">
      <c r="A1199" s="3" t="inlineStr">
        <is>
          <t>MAT-22-027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Copa pasante para malla ciclónica 1 1/4" x 1 1/2"</t>
        </is>
      </c>
      <c r="E1199" s="4" t="inlineStr"/>
      <c r="F1199" s="3" t="inlineStr">
        <is>
          <t>unidad</t>
        </is>
      </c>
      <c r="G1199" s="3" t="inlineStr">
        <is>
          <t>Exteriores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3</v>
      </c>
      <c r="K1199" s="6" t="n">
        <v>98</v>
      </c>
      <c r="L1199" s="6" t="n">
        <v>76.66</v>
      </c>
      <c r="M1199" s="6" t="n">
        <v>136.41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MC · Ferretería Ochoa (8A) · InnovaCentro (La Innovación)</t>
        </is>
      </c>
    </row>
    <row r="1200">
      <c r="A1200" s="3" t="inlineStr">
        <is>
          <t>MAT-22-028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Copa tensora para malla ciclónica 1 1/4"</t>
        </is>
      </c>
      <c r="E1200" s="4" t="inlineStr"/>
      <c r="F1200" s="3" t="inlineStr">
        <is>
          <t>unidad</t>
        </is>
      </c>
      <c r="G1200" s="3" t="inlineStr">
        <is>
          <t>Exteriores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55.61</v>
      </c>
      <c r="L1200" s="6" t="n">
        <v>55.61</v>
      </c>
      <c r="M1200" s="6" t="n">
        <v>55.61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Ochoa (8A)</t>
        </is>
      </c>
    </row>
    <row r="1201">
      <c r="A1201" s="3" t="inlineStr">
        <is>
          <t>MAT-22-029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Copa terminal para malla ciclónica 1 1/4"</t>
        </is>
      </c>
      <c r="E1201" s="4" t="inlineStr"/>
      <c r="F1201" s="3" t="inlineStr">
        <is>
          <t>unidad</t>
        </is>
      </c>
      <c r="G1201" s="3" t="inlineStr">
        <is>
          <t>Exteriores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2</v>
      </c>
      <c r="K1201" s="6" t="n">
        <v>66.62</v>
      </c>
      <c r="L1201" s="6" t="n">
        <v>36.96</v>
      </c>
      <c r="M1201" s="6" t="n">
        <v>96.29000000000001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MC · Ferretería Ochoa (8A)</t>
        </is>
      </c>
    </row>
    <row r="1202">
      <c r="A1202" s="3" t="inlineStr">
        <is>
          <t>MAT-22-030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Unión reforzada para malla ciclónica 1 1/4"</t>
        </is>
      </c>
      <c r="E1202" s="4" t="inlineStr"/>
      <c r="F1202" s="3" t="inlineStr">
        <is>
          <t>unidad</t>
        </is>
      </c>
      <c r="G1202" s="3" t="inlineStr">
        <is>
          <t>Exteriores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1</v>
      </c>
      <c r="K1202" s="6" t="n">
        <v>60.03</v>
      </c>
      <c r="L1202" s="6" t="n">
        <v>60.03</v>
      </c>
      <c r="M1202" s="6" t="n">
        <v>60.03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Ochoa (8A)</t>
        </is>
      </c>
    </row>
    <row r="1203">
      <c r="A1203" s="3" t="inlineStr">
        <is>
          <t>MAT-22-031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Abrazadera corta para malla ciclónica 1 1/2"</t>
        </is>
      </c>
      <c r="E1203" s="4" t="inlineStr"/>
      <c r="F1203" s="3" t="inlineStr">
        <is>
          <t>unidad</t>
        </is>
      </c>
      <c r="G1203" s="3" t="inlineStr">
        <is>
          <t>Exteriores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2</v>
      </c>
      <c r="K1203" s="6" t="n">
        <v>24.66</v>
      </c>
      <c r="L1203" s="6" t="n">
        <v>19.14</v>
      </c>
      <c r="M1203" s="6" t="n">
        <v>30.17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MC · Ferretería Ochoa (8A)</t>
        </is>
      </c>
    </row>
    <row r="1204">
      <c r="A1204" s="3" t="inlineStr">
        <is>
          <t>MAT-22-032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Abrazadera larga para malla ciclónica 1 1/2"</t>
        </is>
      </c>
      <c r="E1204" s="4" t="inlineStr">
        <is>
          <t>Sin tornillo · se compra aparte</t>
        </is>
      </c>
      <c r="F1204" s="3" t="inlineStr">
        <is>
          <t>unidad</t>
        </is>
      </c>
      <c r="G1204" s="3" t="inlineStr">
        <is>
          <t>Exteriores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3</v>
      </c>
      <c r="K1204" s="6" t="n">
        <v>39.91</v>
      </c>
      <c r="L1204" s="6" t="n">
        <v>28.77</v>
      </c>
      <c r="M1204" s="6" t="n">
        <v>46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 · Ferretería Ochoa (8A) · InnovaCentro (La Innovación)</t>
        </is>
      </c>
    </row>
    <row r="1205">
      <c r="A1205" s="3" t="inlineStr">
        <is>
          <t>MAT-22-033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Brazo doble para malla ciclónica 1 1/2" x 1 1/4"</t>
        </is>
      </c>
      <c r="E1205" s="4" t="inlineStr"/>
      <c r="F1205" s="3" t="inlineStr">
        <is>
          <t>unidad</t>
        </is>
      </c>
      <c r="G1205" s="3" t="inlineStr">
        <is>
          <t>Exteriores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3</v>
      </c>
      <c r="K1205" s="6" t="n">
        <v>277</v>
      </c>
      <c r="L1205" s="6" t="n">
        <v>187.9</v>
      </c>
      <c r="M1205" s="6" t="n">
        <v>337.48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 · Ferretería Ochoa (8A) · InnovaCentro (La Innovación)</t>
        </is>
      </c>
    </row>
    <row r="1206">
      <c r="A1206" s="3" t="inlineStr">
        <is>
          <t>MAT-22-034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Brazo sencillo para malla ciclónica 1 1/2" x 1 1/4"</t>
        </is>
      </c>
      <c r="E1206" s="4" t="inlineStr"/>
      <c r="F1206" s="3" t="inlineStr">
        <is>
          <t>unidad</t>
        </is>
      </c>
      <c r="G1206" s="3" t="inlineStr">
        <is>
          <t>Exteriores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3</v>
      </c>
      <c r="K1206" s="6" t="n">
        <v>168</v>
      </c>
      <c r="L1206" s="6" t="n">
        <v>124.76</v>
      </c>
      <c r="M1206" s="6" t="n">
        <v>257.24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MC · Ferretería Ochoa (8A) · InnovaCentro (La Innovación)</t>
        </is>
      </c>
    </row>
    <row r="1207">
      <c r="A1207" s="3" t="inlineStr">
        <is>
          <t>MAT-22-035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Copa pasante para malla ciclónica 1 1/2" x 1 1/2"</t>
        </is>
      </c>
      <c r="E1207" s="4" t="inlineStr"/>
      <c r="F1207" s="3" t="inlineStr">
        <is>
          <t>unidad</t>
        </is>
      </c>
      <c r="G1207" s="3" t="inlineStr">
        <is>
          <t>Exteriores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1</v>
      </c>
      <c r="K1207" s="6" t="n">
        <v>76.66</v>
      </c>
      <c r="L1207" s="6" t="n">
        <v>76.66</v>
      </c>
      <c r="M1207" s="6" t="n">
        <v>76.66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Ochoa (8A)</t>
        </is>
      </c>
    </row>
    <row r="1208">
      <c r="A1208" s="3" t="inlineStr">
        <is>
          <t>MAT-22-036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Copa terminal para malla ciclónica 1 1/2"</t>
        </is>
      </c>
      <c r="E1208" s="4" t="inlineStr"/>
      <c r="F1208" s="3" t="inlineStr">
        <is>
          <t>unidad</t>
        </is>
      </c>
      <c r="G1208" s="3" t="inlineStr">
        <is>
          <t>Exteriores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3</v>
      </c>
      <c r="K1208" s="6" t="n">
        <v>96.29000000000001</v>
      </c>
      <c r="L1208" s="6" t="n">
        <v>61.63</v>
      </c>
      <c r="M1208" s="6" t="n">
        <v>105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 · Ferretería Ochoa (8A) · InnovaCentro (La Innovación)</t>
        </is>
      </c>
    </row>
    <row r="1209">
      <c r="A1209" s="3" t="inlineStr">
        <is>
          <t>MAT-22-037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Abrazadera corta para malla ciclónica 2"</t>
        </is>
      </c>
      <c r="E1209" s="4" t="inlineStr"/>
      <c r="F1209" s="3" t="inlineStr">
        <is>
          <t>unidad</t>
        </is>
      </c>
      <c r="G1209" s="3" t="inlineStr">
        <is>
          <t>Exteriores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2</v>
      </c>
      <c r="K1209" s="6" t="n">
        <v>33.79</v>
      </c>
      <c r="L1209" s="6" t="n">
        <v>21.04</v>
      </c>
      <c r="M1209" s="6" t="n">
        <v>46.54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 · Ferretería Ochoa (8A)</t>
        </is>
      </c>
    </row>
    <row r="1210">
      <c r="A1210" s="3" t="inlineStr">
        <is>
          <t>MAT-22-038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Abrazadera larga para malla ciclónica 2"</t>
        </is>
      </c>
      <c r="E1210" s="4" t="inlineStr">
        <is>
          <t>Sin tornillo · se compra aparte</t>
        </is>
      </c>
      <c r="F1210" s="3" t="inlineStr">
        <is>
          <t>unidad</t>
        </is>
      </c>
      <c r="G1210" s="3" t="inlineStr">
        <is>
          <t>Exteriores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2</v>
      </c>
      <c r="K1210" s="6" t="n">
        <v>34.26</v>
      </c>
      <c r="L1210" s="6" t="n">
        <v>20.38</v>
      </c>
      <c r="M1210" s="6" t="n">
        <v>48.14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MC · Ferretería Ochoa (8A)</t>
        </is>
      </c>
    </row>
    <row r="1211">
      <c r="A1211" s="3" t="inlineStr">
        <is>
          <t>MAT-22-039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Brazo sencillo para malla ciclónica 2" x 1 1/4"</t>
        </is>
      </c>
      <c r="E1211" s="4" t="inlineStr"/>
      <c r="F1211" s="3" t="inlineStr">
        <is>
          <t>unidad</t>
        </is>
      </c>
      <c r="G1211" s="3" t="inlineStr">
        <is>
          <t>Exteriores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2</v>
      </c>
      <c r="K1211" s="6" t="n">
        <v>252.96</v>
      </c>
      <c r="L1211" s="6" t="n">
        <v>187.9</v>
      </c>
      <c r="M1211" s="6" t="n">
        <v>318.01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MC · Ferretería Ochoa (8A)</t>
        </is>
      </c>
    </row>
    <row r="1212">
      <c r="A1212" s="3" t="inlineStr">
        <is>
          <t>MAT-22-040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Brazo doble para malla ciclónica 2" x 1 1/2"</t>
        </is>
      </c>
      <c r="E1212" s="4" t="inlineStr"/>
      <c r="F1212" s="3" t="inlineStr">
        <is>
          <t>unidad</t>
        </is>
      </c>
      <c r="G1212" s="3" t="inlineStr">
        <is>
          <t>Exteriores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2</v>
      </c>
      <c r="K1212" s="6" t="n">
        <v>355.33</v>
      </c>
      <c r="L1212" s="6" t="n">
        <v>337.48</v>
      </c>
      <c r="M1212" s="6" t="n">
        <v>373.18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MC · Ferretería Ochoa (8A)</t>
        </is>
      </c>
    </row>
    <row r="1213">
      <c r="A1213" s="3" t="inlineStr">
        <is>
          <t>MAT-22-041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Copa terminal para malla ciclónica 2"</t>
        </is>
      </c>
      <c r="E1213" s="4" t="inlineStr"/>
      <c r="F1213" s="3" t="inlineStr">
        <is>
          <t>unidad</t>
        </is>
      </c>
      <c r="G1213" s="3" t="inlineStr">
        <is>
          <t>Exteriores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2</v>
      </c>
      <c r="K1213" s="6" t="n">
        <v>77.70999999999999</v>
      </c>
      <c r="L1213" s="6" t="n">
        <v>51.11</v>
      </c>
      <c r="M1213" s="6" t="n">
        <v>104.31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MC · Ferretería Ochoa (8A)</t>
        </is>
      </c>
    </row>
    <row r="1214">
      <c r="A1214" s="3" t="inlineStr">
        <is>
          <t>MAT-22-042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Brazo para malla ciclónica 2 3/8" x 1 1/2"</t>
        </is>
      </c>
      <c r="E1214" s="4" t="inlineStr"/>
      <c r="F1214" s="3" t="inlineStr">
        <is>
          <t>unidad</t>
        </is>
      </c>
      <c r="G1214" s="3" t="inlineStr">
        <is>
          <t>Exteriores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300.64</v>
      </c>
      <c r="L1214" s="6" t="n">
        <v>300.64</v>
      </c>
      <c r="M1214" s="6" t="n">
        <v>300.64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Ochoa (8A)</t>
        </is>
      </c>
    </row>
    <row r="1215">
      <c r="A1215" s="3" t="inlineStr">
        <is>
          <t>MAT-22-043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Copa terminal para malla ciclónica 3"</t>
        </is>
      </c>
      <c r="E1215" s="4" t="inlineStr"/>
      <c r="F1215" s="3" t="inlineStr">
        <is>
          <t>unidad</t>
        </is>
      </c>
      <c r="G1215" s="3" t="inlineStr">
        <is>
          <t>Exteriores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36.5</v>
      </c>
      <c r="L1215" s="6" t="n">
        <v>36.5</v>
      </c>
      <c r="M1215" s="6" t="n">
        <v>36.5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Ochoa (8A)</t>
        </is>
      </c>
    </row>
    <row r="1216">
      <c r="A1216" s="3" t="inlineStr">
        <is>
          <t>MAT-23-001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Tubo redondo de aluminio 3/8" x 19.20 pies</t>
        </is>
      </c>
      <c r="E1216" s="4" t="inlineStr">
        <is>
          <t>La ficha no declara la pared</t>
        </is>
      </c>
      <c r="F1216" s="3" t="inlineStr">
        <is>
          <t>unidad</t>
        </is>
      </c>
      <c r="G1216" s="3" t="inlineStr">
        <is>
          <t>Puertas y ventanas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299.9</v>
      </c>
      <c r="L1216" s="6" t="n">
        <v>299.9</v>
      </c>
      <c r="M1216" s="6" t="n">
        <v>299.9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Ochoa (8A)</t>
        </is>
      </c>
    </row>
    <row r="1217">
      <c r="A1217" s="3" t="inlineStr">
        <is>
          <t>MAT-23-002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Tubo redondo de aluminio 1/2" x 19.20 pies</t>
        </is>
      </c>
      <c r="E1217" s="4" t="inlineStr">
        <is>
          <t>La ficha no declara la pared</t>
        </is>
      </c>
      <c r="F1217" s="3" t="inlineStr">
        <is>
          <t>unidad</t>
        </is>
      </c>
      <c r="G1217" s="3" t="inlineStr">
        <is>
          <t>Puertas y ventanas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373.61</v>
      </c>
      <c r="L1217" s="6" t="n">
        <v>373.61</v>
      </c>
      <c r="M1217" s="6" t="n">
        <v>373.61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Ochoa (8A)</t>
        </is>
      </c>
    </row>
    <row r="1218">
      <c r="A1218" s="3" t="inlineStr">
        <is>
          <t>MAT-23-003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Planchuela de aluminio 1/2" x 1/8" x 19.20 pies</t>
        </is>
      </c>
      <c r="E1218" s="4" t="inlineStr"/>
      <c r="F1218" s="3" t="inlineStr">
        <is>
          <t>unidad</t>
        </is>
      </c>
      <c r="G1218" s="3" t="inlineStr">
        <is>
          <t>Puertas y ventanas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452.36</v>
      </c>
      <c r="L1218" s="6" t="n">
        <v>452.36</v>
      </c>
      <c r="M1218" s="6" t="n">
        <v>452.36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Ochoa (8A)</t>
        </is>
      </c>
    </row>
    <row r="1219">
      <c r="A1219" s="3" t="inlineStr">
        <is>
          <t>MAT-23-004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Angular de aluminio 1/2" x 1/2" x 19.20 pies</t>
        </is>
      </c>
      <c r="E1219" s="4" t="inlineStr">
        <is>
          <t>La ficha no declara el espesor</t>
        </is>
      </c>
      <c r="F1219" s="3" t="inlineStr">
        <is>
          <t>unidad</t>
        </is>
      </c>
      <c r="G1219" s="3" t="inlineStr">
        <is>
          <t>Puertas y ventanas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2</v>
      </c>
      <c r="K1219" s="6" t="n">
        <v>344.86</v>
      </c>
      <c r="L1219" s="6" t="n">
        <v>295</v>
      </c>
      <c r="M1219" s="6" t="n">
        <v>394.72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Ochoa (8A) · InnovaCentro (La Innovación)</t>
        </is>
      </c>
    </row>
    <row r="1220">
      <c r="A1220" s="3" t="inlineStr">
        <is>
          <t>MAT-23-005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Moldura U de aluminio 1/2" x 1/2" x 19.20 pies</t>
        </is>
      </c>
      <c r="E1220" s="4" t="inlineStr">
        <is>
          <t>La ficha no declara el espesor</t>
        </is>
      </c>
      <c r="F1220" s="3" t="inlineStr">
        <is>
          <t>unidad</t>
        </is>
      </c>
      <c r="G1220" s="3" t="inlineStr">
        <is>
          <t>Puertas y ventanas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377.71</v>
      </c>
      <c r="L1220" s="6" t="n">
        <v>377.71</v>
      </c>
      <c r="M1220" s="6" t="n">
        <v>377.71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Ochoa (8A)</t>
        </is>
      </c>
    </row>
    <row r="1221">
      <c r="A1221" s="3" t="inlineStr">
        <is>
          <t>MAT-23-006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Moldura U de aluminio 5/8" x 5/8" x 19.20 pies</t>
        </is>
      </c>
      <c r="E1221" s="4" t="inlineStr">
        <is>
          <t>La ficha no declara el espesor</t>
        </is>
      </c>
      <c r="F1221" s="3" t="inlineStr">
        <is>
          <t>unidad</t>
        </is>
      </c>
      <c r="G1221" s="3" t="inlineStr">
        <is>
          <t>Puertas y ventanas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827.9</v>
      </c>
      <c r="L1221" s="6" t="n">
        <v>827.9</v>
      </c>
      <c r="M1221" s="6" t="n">
        <v>827.9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Ochoa (8A)</t>
        </is>
      </c>
    </row>
    <row r="1222">
      <c r="A1222" s="3" t="inlineStr">
        <is>
          <t>MAT-23-007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Tubo redondo de aluminio 3/4" x 19.20 pies</t>
        </is>
      </c>
      <c r="E1222" s="4" t="inlineStr">
        <is>
          <t>La ficha no declara la pared</t>
        </is>
      </c>
      <c r="F1222" s="3" t="inlineStr">
        <is>
          <t>unidad</t>
        </is>
      </c>
      <c r="G1222" s="3" t="inlineStr">
        <is>
          <t>Puertas y ventanas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1</v>
      </c>
      <c r="K1222" s="6" t="n">
        <v>772.42</v>
      </c>
      <c r="L1222" s="6" t="n">
        <v>772.42</v>
      </c>
      <c r="M1222" s="6" t="n">
        <v>772.42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Ochoa (8A)</t>
        </is>
      </c>
    </row>
    <row r="1223">
      <c r="A1223" s="3" t="inlineStr">
        <is>
          <t>MAT-23-008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Angular de aluminio 3/4" x 3/4" x 19.20 pies</t>
        </is>
      </c>
      <c r="E1223" s="4" t="inlineStr">
        <is>
          <t>La ficha no declara el espesor</t>
        </is>
      </c>
      <c r="F1223" s="3" t="inlineStr">
        <is>
          <t>unidad</t>
        </is>
      </c>
      <c r="G1223" s="3" t="inlineStr">
        <is>
          <t>Puertas y ventanas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2</v>
      </c>
      <c r="K1223" s="6" t="n">
        <v>440.65</v>
      </c>
      <c r="L1223" s="6" t="n">
        <v>436.29</v>
      </c>
      <c r="M1223" s="6" t="n">
        <v>445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Ochoa (8A) · InnovaCentro (La Innovación)</t>
        </is>
      </c>
    </row>
    <row r="1224">
      <c r="A1224" s="3" t="inlineStr">
        <is>
          <t>MAT-23-009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Tubo redondo de aluminio 1" x 19.20 pies</t>
        </is>
      </c>
      <c r="E1224" s="4" t="inlineStr">
        <is>
          <t>La ficha no declara la pared</t>
        </is>
      </c>
      <c r="F1224" s="3" t="inlineStr">
        <is>
          <t>unidad</t>
        </is>
      </c>
      <c r="G1224" s="3" t="inlineStr">
        <is>
          <t>Puertas y ventanas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957.33</v>
      </c>
      <c r="L1224" s="6" t="n">
        <v>957.33</v>
      </c>
      <c r="M1224" s="6" t="n">
        <v>957.33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Ochoa (8A)</t>
        </is>
      </c>
    </row>
    <row r="1225">
      <c r="A1225" s="3" t="inlineStr">
        <is>
          <t>MAT-23-010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Planchuela de aluminio 1" x 1/4" x 19.20 pies</t>
        </is>
      </c>
      <c r="E1225" s="4" t="inlineStr"/>
      <c r="F1225" s="3" t="inlineStr">
        <is>
          <t>unidad</t>
        </is>
      </c>
      <c r="G1225" s="3" t="inlineStr">
        <is>
          <t>Puertas y ventanas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1709.91</v>
      </c>
      <c r="L1225" s="6" t="n">
        <v>1709.91</v>
      </c>
      <c r="M1225" s="6" t="n">
        <v>1709.91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</t>
        </is>
      </c>
    </row>
    <row r="1226">
      <c r="A1226" s="3" t="inlineStr">
        <is>
          <t>MAT-23-011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Angular de aluminio 1" x 3/4" x 19.20 pies</t>
        </is>
      </c>
      <c r="E1226" s="4" t="inlineStr">
        <is>
          <t>La ficha no declara el espesor</t>
        </is>
      </c>
      <c r="F1226" s="3" t="inlineStr">
        <is>
          <t>unidad</t>
        </is>
      </c>
      <c r="G1226" s="3" t="inlineStr">
        <is>
          <t>Puertas y ventanas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2</v>
      </c>
      <c r="K1226" s="6" t="n">
        <v>690.79</v>
      </c>
      <c r="L1226" s="6" t="n">
        <v>626.5700000000001</v>
      </c>
      <c r="M1226" s="6" t="n">
        <v>755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 · InnovaCentro (La Innovación)</t>
        </is>
      </c>
    </row>
    <row r="1227">
      <c r="A1227" s="3" t="inlineStr">
        <is>
          <t>MAT-23-012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Perfil de aluminio 1" x 1" x 19.20 pies</t>
        </is>
      </c>
      <c r="E1227" s="4" t="inlineStr">
        <is>
          <t>La ficha no declara la pared</t>
        </is>
      </c>
      <c r="F1227" s="3" t="inlineStr">
        <is>
          <t>unidad</t>
        </is>
      </c>
      <c r="G1227" s="3" t="inlineStr">
        <is>
          <t>Puertas y ventanas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1336.93</v>
      </c>
      <c r="L1227" s="6" t="n">
        <v>1336.93</v>
      </c>
      <c r="M1227" s="6" t="n">
        <v>1336.93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Ochoa (8A)</t>
        </is>
      </c>
    </row>
    <row r="1228">
      <c r="A1228" s="3" t="inlineStr">
        <is>
          <t>MAT-23-013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Tubo redondo de aluminio 1 1/4" x 19.20 pies</t>
        </is>
      </c>
      <c r="E1228" s="4" t="inlineStr">
        <is>
          <t>La ficha no declara la pared</t>
        </is>
      </c>
      <c r="F1228" s="3" t="inlineStr">
        <is>
          <t>unidad</t>
        </is>
      </c>
      <c r="G1228" s="3" t="inlineStr">
        <is>
          <t>Puertas y ventanas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2185.58</v>
      </c>
      <c r="L1228" s="6" t="n">
        <v>2185.58</v>
      </c>
      <c r="M1228" s="6" t="n">
        <v>2185.58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Ochoa (8A)</t>
        </is>
      </c>
    </row>
    <row r="1229">
      <c r="A1229" s="3" t="inlineStr">
        <is>
          <t>MAT-23-014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Angular de aluminio 1 1/4" x 1 1/4" x 19.20 pies</t>
        </is>
      </c>
      <c r="E1229" s="4" t="inlineStr">
        <is>
          <t>La ficha no declara el espesor</t>
        </is>
      </c>
      <c r="F1229" s="3" t="inlineStr">
        <is>
          <t>unidad</t>
        </is>
      </c>
      <c r="G1229" s="3" t="inlineStr">
        <is>
          <t>Puertas y ventanas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2</v>
      </c>
      <c r="K1229" s="6" t="n">
        <v>1073.61</v>
      </c>
      <c r="L1229" s="6" t="n">
        <v>982.22</v>
      </c>
      <c r="M1229" s="6" t="n">
        <v>1165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Ochoa (8A) · InnovaCentro (La Innovación)</t>
        </is>
      </c>
    </row>
    <row r="1230">
      <c r="A1230" s="3" t="inlineStr">
        <is>
          <t>MAT-23-015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Planchuela de aluminio 1 1/2" x 1/4" x 19.20 pies</t>
        </is>
      </c>
      <c r="E1230" s="4" t="inlineStr"/>
      <c r="F1230" s="3" t="inlineStr">
        <is>
          <t>unidad</t>
        </is>
      </c>
      <c r="G1230" s="3" t="inlineStr">
        <is>
          <t>Puertas y ventanas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2567.7</v>
      </c>
      <c r="L1230" s="6" t="n">
        <v>2567.7</v>
      </c>
      <c r="M1230" s="6" t="n">
        <v>2567.7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</row>
    <row r="1231">
      <c r="A1231" s="3" t="inlineStr">
        <is>
          <t>MAT-23-016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Moldura U de aluminio 1 1/2" x 3/4" x 19.20 pies</t>
        </is>
      </c>
      <c r="E1231" s="4" t="inlineStr">
        <is>
          <t>La ficha no declara el espesor</t>
        </is>
      </c>
      <c r="F1231" s="3" t="inlineStr">
        <is>
          <t>unidad</t>
        </is>
      </c>
      <c r="G1231" s="3" t="inlineStr">
        <is>
          <t>Puertas y ventanas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1117.37</v>
      </c>
      <c r="L1231" s="6" t="n">
        <v>1117.37</v>
      </c>
      <c r="M1231" s="6" t="n">
        <v>1117.37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Ochoa (8A)</t>
        </is>
      </c>
    </row>
    <row r="1232">
      <c r="A1232" s="3" t="inlineStr">
        <is>
          <t>MAT-23-017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Angular de aluminio 1 1/2" x 1 1/2" x 19.20 pies</t>
        </is>
      </c>
      <c r="E1232" s="4" t="inlineStr">
        <is>
          <t>La ficha no declara el espesor</t>
        </is>
      </c>
      <c r="F1232" s="3" t="inlineStr">
        <is>
          <t>unidad</t>
        </is>
      </c>
      <c r="G1232" s="3" t="inlineStr">
        <is>
          <t>Puertas y ventanas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2473.52</v>
      </c>
      <c r="L1232" s="6" t="n">
        <v>2473.52</v>
      </c>
      <c r="M1232" s="6" t="n">
        <v>2473.52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Ochoa (8A)</t>
        </is>
      </c>
    </row>
    <row r="1233">
      <c r="A1233" s="3" t="inlineStr">
        <is>
          <t>MAT-23-018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Perfil cuadrado de aluminio 1 1/2" x 1 1/2" x 19.20 pies</t>
        </is>
      </c>
      <c r="E1233" s="4" t="inlineStr">
        <is>
          <t>La ficha no declara la pared</t>
        </is>
      </c>
      <c r="F1233" s="3" t="inlineStr">
        <is>
          <t>unidad</t>
        </is>
      </c>
      <c r="G1233" s="3" t="inlineStr">
        <is>
          <t>Puertas y ventanas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1701.73</v>
      </c>
      <c r="L1233" s="6" t="n">
        <v>1701.73</v>
      </c>
      <c r="M1233" s="6" t="n">
        <v>1701.73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Ochoa (8A)</t>
        </is>
      </c>
    </row>
    <row r="1234">
      <c r="A1234" s="3" t="inlineStr">
        <is>
          <t>MAT-23-019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Perfil rectangular de aluminio 2" x 1" x 19.20 pies</t>
        </is>
      </c>
      <c r="E1234" s="4" t="inlineStr">
        <is>
          <t>La ficha no declara la pared</t>
        </is>
      </c>
      <c r="F1234" s="3" t="inlineStr">
        <is>
          <t>unidad</t>
        </is>
      </c>
      <c r="G1234" s="3" t="inlineStr">
        <is>
          <t>Puertas y ventanas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1846.63</v>
      </c>
      <c r="L1234" s="6" t="n">
        <v>1846.63</v>
      </c>
      <c r="M1234" s="6" t="n">
        <v>1846.63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Ochoa (8A)</t>
        </is>
      </c>
    </row>
    <row r="1235">
      <c r="A1235" s="3" t="inlineStr">
        <is>
          <t>MAT-23-020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Angular de aluminio 2" x 2" x 19.20 pies</t>
        </is>
      </c>
      <c r="E1235" s="4" t="inlineStr">
        <is>
          <t>La ficha no declara el espesor</t>
        </is>
      </c>
      <c r="F1235" s="3" t="inlineStr">
        <is>
          <t>unidad</t>
        </is>
      </c>
      <c r="G1235" s="3" t="inlineStr">
        <is>
          <t>Puertas y ventanas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3334.76</v>
      </c>
      <c r="L1235" s="6" t="n">
        <v>3334.76</v>
      </c>
      <c r="M1235" s="6" t="n">
        <v>3334.76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Ochoa (8A)</t>
        </is>
      </c>
    </row>
    <row r="1236">
      <c r="A1236" s="3" t="inlineStr">
        <is>
          <t>MAT-23-021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Planchuela de aluminio 3" x 3/16" x 19.20 pies</t>
        </is>
      </c>
      <c r="E1236" s="4" t="inlineStr"/>
      <c r="F1236" s="3" t="inlineStr">
        <is>
          <t>unidad</t>
        </is>
      </c>
      <c r="G1236" s="3" t="inlineStr">
        <is>
          <t>Puertas y ventanas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2695.59</v>
      </c>
      <c r="L1236" s="6" t="n">
        <v>2695.59</v>
      </c>
      <c r="M1236" s="6" t="n">
        <v>2695.59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Ochoa (8A)</t>
        </is>
      </c>
    </row>
    <row r="1237">
      <c r="A1237" s="3" t="inlineStr">
        <is>
          <t>MAT-23-022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Perfil rectangular de aluminio 3" x 1 1/2" x 19.20 pies</t>
        </is>
      </c>
      <c r="E1237" s="4" t="inlineStr">
        <is>
          <t>La ficha no declara la pared</t>
        </is>
      </c>
      <c r="F1237" s="3" t="inlineStr">
        <is>
          <t>unidad</t>
        </is>
      </c>
      <c r="G1237" s="3" t="inlineStr">
        <is>
          <t>Puertas y ventanas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3956.93</v>
      </c>
      <c r="L1237" s="6" t="n">
        <v>3956.93</v>
      </c>
      <c r="M1237" s="6" t="n">
        <v>3956.93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Ochoa (8A)</t>
        </is>
      </c>
    </row>
    <row r="1238">
      <c r="A1238" s="3" t="inlineStr">
        <is>
          <t>MAT-23-023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Planchuela de aluminio 4" x 1/8" x 19.20 pies</t>
        </is>
      </c>
      <c r="E1238" s="4" t="inlineStr"/>
      <c r="F1238" s="3" t="inlineStr">
        <is>
          <t>unidad</t>
        </is>
      </c>
      <c r="G1238" s="3" t="inlineStr">
        <is>
          <t>Puertas y ventanas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3464.55</v>
      </c>
      <c r="L1238" s="6" t="n">
        <v>3464.55</v>
      </c>
      <c r="M1238" s="6" t="n">
        <v>3464.55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Ochoa (8A)</t>
        </is>
      </c>
    </row>
    <row r="1239">
      <c r="A1239" s="3" t="inlineStr">
        <is>
          <t>MAT-23-024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Perfil rectangular de aluminio 4" x 1 3/4" x 19.20 pies</t>
        </is>
      </c>
      <c r="E1239" s="4" t="inlineStr">
        <is>
          <t>La ficha no declara la pared</t>
        </is>
      </c>
      <c r="F1239" s="3" t="inlineStr">
        <is>
          <t>unidad</t>
        </is>
      </c>
      <c r="G1239" s="3" t="inlineStr">
        <is>
          <t>Puertas y ventanas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5142.65</v>
      </c>
      <c r="L1239" s="6" t="n">
        <v>5142.65</v>
      </c>
      <c r="M1239" s="6" t="n">
        <v>5142.65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Ferretería Ochoa (8A)</t>
        </is>
      </c>
    </row>
    <row r="1240">
      <c r="A1240" s="3" t="inlineStr">
        <is>
          <t>MAT-23-025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aluminio, 1X1"X19'</t>
        </is>
      </c>
      <c r="E1240" s="4" t="inlineStr"/>
      <c r="F1240" s="3" t="inlineStr">
        <is>
          <t>unidad</t>
        </is>
      </c>
      <c r="G1240" s="3" t="inlineStr">
        <is>
          <t>Puertas y ventanas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750</v>
      </c>
      <c r="L1240" s="6" t="n">
        <v>750</v>
      </c>
      <c r="M1240" s="6" t="n">
        <v>750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InnovaCentro (La Innovación)</t>
        </is>
      </c>
      <c r="AD1240" s="7" t="inlineStr">
        <is>
          <t>1X1"X19'</t>
        </is>
      </c>
    </row>
    <row r="1241">
      <c r="A1241" s="3" t="inlineStr">
        <is>
          <t>MAT-23-026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Angular de aluminio, 3/4X1/2"X19'</t>
        </is>
      </c>
      <c r="E1241" s="4" t="inlineStr"/>
      <c r="F1241" s="3" t="inlineStr">
        <is>
          <t>unidad</t>
        </is>
      </c>
      <c r="G1241" s="3" t="inlineStr">
        <is>
          <t>Puertas y ventanas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1</v>
      </c>
      <c r="K1241" s="6" t="n">
        <v>398</v>
      </c>
      <c r="L1241" s="6" t="n">
        <v>398</v>
      </c>
      <c r="M1241" s="6" t="n">
        <v>398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InnovaCentro (La Innovación)</t>
        </is>
      </c>
      <c r="AD1241" s="7" t="inlineStr">
        <is>
          <t>3/4X1/2"X19'</t>
        </is>
      </c>
    </row>
    <row r="1242">
      <c r="A1242" s="3" t="inlineStr">
        <is>
          <t>MAT-24-001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Inodoro de una pieza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6</v>
      </c>
      <c r="K1242" s="6" t="n">
        <v>9860</v>
      </c>
      <c r="L1242" s="6" t="n">
        <v>4225</v>
      </c>
      <c r="M1242" s="6" t="n">
        <v>112642.82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Bellón · CerArte · Ferretería Cima · Ferretería Ochoa (8A) · InnovaCentro (La Innovación) · La Ibérica</t>
        </is>
      </c>
      <c r="AF1242" s="4" t="inlineStr">
        <is>
          <t>Largo (mm): 710 · Ancho (mm): 380 · Alto (mm): 750</t>
        </is>
      </c>
    </row>
    <row r="1243">
      <c r="A1243" s="3" t="inlineStr">
        <is>
          <t>MAT-24-002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Inodoro infantil</t>
        </is>
      </c>
      <c r="E1243" s="4" t="inlineStr"/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3</v>
      </c>
      <c r="K1243" s="6" t="n">
        <v>11543.61</v>
      </c>
      <c r="L1243" s="6" t="n">
        <v>7490.66</v>
      </c>
      <c r="M1243" s="6" t="n">
        <v>13750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2026-09-10</t>
        </is>
      </c>
      <c r="Q1243" s="4" t="inlineStr">
        <is>
          <t>Bellón · CerArte · La Ibérica</t>
        </is>
      </c>
    </row>
    <row r="1244">
      <c r="A1244" s="3" t="inlineStr">
        <is>
          <t>MAT-24-004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Inodoro de dos piezas</t>
        </is>
      </c>
      <c r="E1244" s="4" t="inlineStr">
        <is>
          <t>Tanque y basineta incluidos</t>
        </is>
      </c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3</v>
      </c>
      <c r="K1244" s="6" t="n">
        <v>8905.379999999999</v>
      </c>
      <c r="L1244" s="6" t="n">
        <v>5100</v>
      </c>
      <c r="M1244" s="6" t="n">
        <v>25810.28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2026-09-10</t>
        </is>
      </c>
      <c r="Q1244" s="4" t="inlineStr">
        <is>
          <t>Bellón · CerArte · Ferretería Cima</t>
        </is>
      </c>
    </row>
    <row r="1245">
      <c r="A1245" s="3" t="inlineStr">
        <is>
          <t>MAT-24-005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Tanque para inodoro de dos piezas</t>
        </is>
      </c>
      <c r="E1245" s="4" t="inlineStr">
        <is>
          <t>Sin basineta · se compra aparte</t>
        </is>
      </c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2</v>
      </c>
      <c r="K1245" s="6" t="n">
        <v>4198.79</v>
      </c>
      <c r="L1245" s="6" t="n">
        <v>586.47</v>
      </c>
      <c r="M1245" s="6" t="n">
        <v>18906.72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2026-09-09</t>
        </is>
      </c>
      <c r="Q1245" s="4" t="inlineStr">
        <is>
          <t>Ferretería Ochoa (8A) · InnovaCentro (La Innovación)</t>
        </is>
      </c>
      <c r="R1245" s="7" t="inlineStr">
        <is>
          <t>redondo</t>
        </is>
      </c>
      <c r="AF1245" s="4" t="inlineStr">
        <is>
          <t>Largo (mm): 710 · Ancho (mm): 415 · Alto (mm): 800 · Descarga (L): 4.8</t>
        </is>
      </c>
    </row>
    <row r="1246">
      <c r="A1246" s="3" t="inlineStr">
        <is>
          <t>MAT-24-006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Basineta para inodoro de dos piezas</t>
        </is>
      </c>
      <c r="E1246" s="4" t="inlineStr">
        <is>
          <t>Sin tanque · se compra aparte</t>
        </is>
      </c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2</v>
      </c>
      <c r="K1246" s="6" t="n">
        <v>5574.97</v>
      </c>
      <c r="L1246" s="6" t="n">
        <v>2129.12</v>
      </c>
      <c r="M1246" s="6" t="n">
        <v>31632.12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2026-09-10</t>
        </is>
      </c>
      <c r="Q1246" s="4" t="inlineStr">
        <is>
          <t>CerArte · Ferretería Ochoa (8A)</t>
        </is>
      </c>
    </row>
    <row r="1247">
      <c r="A1247" s="3" t="inlineStr">
        <is>
          <t>MAT-24-007</t>
        </is>
      </c>
      <c r="B1247" s="3" t="inlineStr">
        <is>
          <t>Materiales</t>
        </is>
      </c>
      <c r="C1247" s="3" t="inlineStr">
        <is>
          <t>Inodoros y urinarios</t>
        </is>
      </c>
      <c r="D1247" s="4" t="inlineStr">
        <is>
          <t>Taza para fluxómetro</t>
        </is>
      </c>
      <c r="E1247" s="4" t="inlineStr">
        <is>
          <t>Sin tanque · el fluxómetro va aparte</t>
        </is>
      </c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3</v>
      </c>
      <c r="K1247" s="6" t="n">
        <v>9091</v>
      </c>
      <c r="L1247" s="6" t="n">
        <v>3925</v>
      </c>
      <c r="M1247" s="6" t="n">
        <v>16838.01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2026-09-10</t>
        </is>
      </c>
      <c r="Q1247" s="4" t="inlineStr">
        <is>
          <t>CerArte · InnovaCentro (La Innovación) · La Ibérica</t>
        </is>
      </c>
      <c r="R1247" s="7" t="inlineStr">
        <is>
          <t>elongado</t>
        </is>
      </c>
    </row>
    <row r="1248">
      <c r="A1248" s="3" t="inlineStr">
        <is>
          <t>MAT-24-008</t>
        </is>
      </c>
      <c r="B1248" s="3" t="inlineStr">
        <is>
          <t>Materiales</t>
        </is>
      </c>
      <c r="C1248" s="3" t="inlineStr">
        <is>
          <t>Inodoros y urinarios</t>
        </is>
      </c>
      <c r="D1248" s="4" t="inlineStr">
        <is>
          <t>Urinario de porcelana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5</v>
      </c>
      <c r="K1248" s="6" t="n">
        <v>9070.48</v>
      </c>
      <c r="L1248" s="6" t="n">
        <v>3265</v>
      </c>
      <c r="M1248" s="6" t="n">
        <v>30546.11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2026-09-10</t>
        </is>
      </c>
      <c r="Q1248" s="4" t="inlineStr">
        <is>
          <t>Bellón · CerArte · Ferretería Ochoa (8A) · InnovaCentro (La Innovación) · La Ibérica</t>
        </is>
      </c>
    </row>
    <row r="1249">
      <c r="A1249" s="3" t="inlineStr">
        <is>
          <t>MAT-24-009</t>
        </is>
      </c>
      <c r="B1249" s="3" t="inlineStr">
        <is>
          <t>Materiales</t>
        </is>
      </c>
      <c r="C1249" s="3" t="inlineStr">
        <is>
          <t>Inodoros y urinarios</t>
        </is>
      </c>
      <c r="D1249" s="4" t="inlineStr">
        <is>
          <t>Bidé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5</v>
      </c>
      <c r="K1249" s="6" t="n">
        <v>20495</v>
      </c>
      <c r="L1249" s="6" t="n">
        <v>3998</v>
      </c>
      <c r="M1249" s="6" t="n">
        <v>48499.99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2026-09-11</t>
        </is>
      </c>
      <c r="Q1249" s="4" t="inlineStr">
        <is>
          <t>Carabela · CerArte · Ferretería Cima · InnovaCentro (La Innovación) · La Ibérica</t>
        </is>
      </c>
    </row>
    <row r="1250">
      <c r="A1250" s="3" t="inlineStr">
        <is>
          <t>MAT-24-010</t>
        </is>
      </c>
      <c r="B1250" s="3" t="inlineStr">
        <is>
          <t>Materiales</t>
        </is>
      </c>
      <c r="C1250" s="3" t="inlineStr">
        <is>
          <t>Inodoros y urinarios</t>
        </is>
      </c>
      <c r="D1250" s="4" t="inlineStr">
        <is>
          <t>Kit de instalación de inodoro</t>
        </is>
      </c>
      <c r="E1250" s="4" t="inlineStr"/>
      <c r="F1250" s="3" t="inlineStr">
        <is>
          <t>juego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1</v>
      </c>
      <c r="K1250" s="6" t="n">
        <v>1773</v>
      </c>
      <c r="L1250" s="6" t="n">
        <v>1773</v>
      </c>
      <c r="M1250" s="6" t="n">
        <v>1773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Ochoa (8A)</t>
        </is>
      </c>
    </row>
    <row r="1251">
      <c r="A1251" s="3" t="inlineStr">
        <is>
          <t>MAT-25-001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3</v>
      </c>
      <c r="K1251" s="6" t="n">
        <v>8500</v>
      </c>
      <c r="L1251" s="6" t="n">
        <v>910</v>
      </c>
      <c r="M1251" s="6" t="n">
        <v>88600.00999999999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2026-09-10</t>
        </is>
      </c>
      <c r="Q1251" s="4" t="inlineStr">
        <is>
          <t>Ferremix (Grupo Alterra) · Ferretería Ochoa (8A) · La Ibérica</t>
        </is>
      </c>
      <c r="AF1251" s="4" t="inlineStr">
        <is>
          <t>Largo (mm): 810 · Ancho (mm): 460 · Alto (mm): 170</t>
        </is>
      </c>
    </row>
    <row r="1252">
      <c r="A1252" s="3" t="inlineStr">
        <is>
          <t>MAT-25-002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Lavamanos, de empotrar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5</v>
      </c>
      <c r="K1252" s="6" t="n">
        <v>3403.56</v>
      </c>
      <c r="L1252" s="6" t="n">
        <v>684.67</v>
      </c>
      <c r="M1252" s="6" t="n">
        <v>17160.88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2026-09-10</t>
        </is>
      </c>
      <c r="Q1252" s="4" t="inlineStr">
        <is>
          <t>Bellón · CerArte · Ferretería Ochoa (8A) · InnovaCentro (La Innovación) · La Ibérica</t>
        </is>
      </c>
      <c r="S1252" s="7" t="inlineStr">
        <is>
          <t>empotrar</t>
        </is>
      </c>
      <c r="AF1252" s="4" t="inlineStr">
        <is>
          <t>Alto (mm): 175</t>
        </is>
      </c>
    </row>
    <row r="1253">
      <c r="A1253" s="3" t="inlineStr">
        <is>
          <t>MAT-25-003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Lavamanos, de exento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1</v>
      </c>
      <c r="K1253" s="6" t="n">
        <v>244189.99</v>
      </c>
      <c r="L1253" s="6" t="n">
        <v>218499.99</v>
      </c>
      <c r="M1253" s="6" t="n">
        <v>269879.99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2026-09-10</t>
        </is>
      </c>
      <c r="Q1253" s="4" t="inlineStr">
        <is>
          <t>CerArte</t>
        </is>
      </c>
      <c r="S1253" s="7" t="inlineStr">
        <is>
          <t>exento</t>
        </is>
      </c>
    </row>
    <row r="1254">
      <c r="A1254" s="3" t="inlineStr">
        <is>
          <t>MAT-25-005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Lavamanos, de pedestal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6</v>
      </c>
      <c r="K1254" s="6" t="n">
        <v>2676.3</v>
      </c>
      <c r="L1254" s="6" t="n">
        <v>216</v>
      </c>
      <c r="M1254" s="6" t="n">
        <v>79846.39999999999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2026-09-10</t>
        </is>
      </c>
      <c r="Q1254" s="4" t="inlineStr">
        <is>
          <t>Bellón · CerArte · Ferretería Cima · Ferretería Ochoa (8A) · InnovaCentro (La Innovación) · La Ibérica</t>
        </is>
      </c>
      <c r="S1254" s="7" t="inlineStr">
        <is>
          <t>pedestal</t>
        </is>
      </c>
      <c r="AF1254" s="4" t="inlineStr">
        <is>
          <t>Agujeros: 1 · Largo (mm): 310 · Alto (mm): 110</t>
        </is>
      </c>
    </row>
    <row r="1255">
      <c r="A1255" s="3" t="inlineStr">
        <is>
          <t>MAT-25-006</t>
        </is>
      </c>
      <c r="B1255" s="3" t="inlineStr">
        <is>
          <t>Materiales</t>
        </is>
      </c>
      <c r="C1255" s="3" t="inlineStr">
        <is>
          <t>Lavamanos y pedestales</t>
        </is>
      </c>
      <c r="D1255" s="4" t="inlineStr">
        <is>
          <t>Lavamanos, de sobreponer</t>
        </is>
      </c>
      <c r="E1255" s="4" t="inlineStr"/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6</v>
      </c>
      <c r="K1255" s="6" t="n">
        <v>4140.13</v>
      </c>
      <c r="L1255" s="6" t="n">
        <v>1150</v>
      </c>
      <c r="M1255" s="6" t="n">
        <v>127140.01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2026-09-10</t>
        </is>
      </c>
      <c r="Q1255" s="4" t="inlineStr">
        <is>
          <t>Bellón · CerArte · Ferretería Cima · Ferretería Ochoa (8A) · InnovaCentro (La Innovación) · La Ibérica</t>
        </is>
      </c>
      <c r="S1255" s="7" t="inlineStr">
        <is>
          <t>sobreponer</t>
        </is>
      </c>
      <c r="AF1255" s="4" t="inlineStr">
        <is>
          <t>Agujeros: 1</t>
        </is>
      </c>
    </row>
    <row r="1256">
      <c r="A1256" s="3" t="inlineStr">
        <is>
          <t>MAT-25-007</t>
        </is>
      </c>
      <c r="B1256" s="3" t="inlineStr">
        <is>
          <t>Materiales</t>
        </is>
      </c>
      <c r="C1256" s="3" t="inlineStr">
        <is>
          <t>Lavamanos y pedestales</t>
        </is>
      </c>
      <c r="D1256" s="4" t="inlineStr">
        <is>
          <t>Pedestal para lavamanos</t>
        </is>
      </c>
      <c r="E1256" s="4" t="inlineStr">
        <is>
          <t>Sin lavamanos · se compra aparte</t>
        </is>
      </c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2</v>
      </c>
      <c r="K1256" s="6" t="n">
        <v>2014.01</v>
      </c>
      <c r="L1256" s="6" t="n">
        <v>891.27</v>
      </c>
      <c r="M1256" s="6" t="n">
        <v>3334.17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2026-09-10</t>
        </is>
      </c>
      <c r="Q1256" s="4" t="inlineStr">
        <is>
          <t>Ferretería Ochoa (8A) · La Ibérica</t>
        </is>
      </c>
    </row>
    <row r="1257">
      <c r="A1257" s="3" t="inlineStr">
        <is>
          <t>MAT-25-008</t>
        </is>
      </c>
      <c r="B1257" s="3" t="inlineStr">
        <is>
          <t>Materiales</t>
        </is>
      </c>
      <c r="C1257" s="3" t="inlineStr">
        <is>
          <t>Lavamanos y pedestales</t>
        </is>
      </c>
      <c r="D1257" s="4" t="inlineStr">
        <is>
          <t>Palometa para lavamanos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2</v>
      </c>
      <c r="K1257" s="6" t="n">
        <v>80.59</v>
      </c>
      <c r="L1257" s="6" t="n">
        <v>57.88</v>
      </c>
      <c r="M1257" s="6" t="n">
        <v>189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Cima · Ferretería Ochoa (8A)</t>
        </is>
      </c>
    </row>
    <row r="1258">
      <c r="A1258" s="3" t="inlineStr">
        <is>
          <t>MAT-25-009</t>
        </is>
      </c>
      <c r="B1258" s="3" t="inlineStr">
        <is>
          <t>Materiales</t>
        </is>
      </c>
      <c r="C1258" s="3" t="inlineStr">
        <is>
          <t>Lavamanos y pedestales</t>
        </is>
      </c>
      <c r="D1258" s="4" t="inlineStr">
        <is>
          <t>Conector de desagüe para lavamanos</t>
        </is>
      </c>
      <c r="E1258" s="4" t="inlineStr"/>
      <c r="F1258" s="3" t="inlineStr">
        <is>
          <t>unidad</t>
        </is>
      </c>
      <c r="G1258" s="3" t="inlineStr">
        <is>
          <t>Instalaciones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255.94</v>
      </c>
      <c r="L1258" s="6" t="n">
        <v>255.94</v>
      </c>
      <c r="M1258" s="6" t="n">
        <v>255.94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Ochoa (8A)</t>
        </is>
      </c>
    </row>
    <row r="1259">
      <c r="A1259" s="3" t="inlineStr">
        <is>
          <t>MAT-26-001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Mueble de baño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2</v>
      </c>
      <c r="K1259" s="6" t="n">
        <v>14401.48</v>
      </c>
      <c r="L1259" s="6" t="n">
        <v>6495</v>
      </c>
      <c r="M1259" s="6" t="n">
        <v>45479.87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Ochoa (8A) · InnovaCentro (La Innovación)</t>
        </is>
      </c>
    </row>
    <row r="1260">
      <c r="A1260" s="3" t="inlineStr">
        <is>
          <t>MAT-26-002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Mueble de baño, de pared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4</v>
      </c>
      <c r="K1260" s="6" t="n">
        <v>17169.24</v>
      </c>
      <c r="L1260" s="6" t="n">
        <v>5433.44</v>
      </c>
      <c r="M1260" s="6" t="n">
        <v>58000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2026-09-10</t>
        </is>
      </c>
      <c r="Q1260" s="4" t="inlineStr">
        <is>
          <t>Ferremix (Grupo Alterra) · Ferretería Ochoa (8A) · InnovaCentro (La Innovación) · La Ibérica</t>
        </is>
      </c>
      <c r="S1260" s="7" t="inlineStr">
        <is>
          <t>pared</t>
        </is>
      </c>
    </row>
    <row r="1261">
      <c r="A1261" s="3" t="inlineStr">
        <is>
          <t>MAT-26-003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Mueble de baño, de piso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6</v>
      </c>
      <c r="K1261" s="6" t="n">
        <v>24588.58</v>
      </c>
      <c r="L1261" s="6" t="n">
        <v>2725</v>
      </c>
      <c r="M1261" s="6" t="n">
        <v>197500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2026-09-11</t>
        </is>
      </c>
      <c r="Q1261" s="4" t="inlineStr">
        <is>
          <t>Carabela · CerArte · Ferremix (Grupo Alterra) · Ferretería Cima · InnovaCentro (La Innovación) · La Ibérica</t>
        </is>
      </c>
      <c r="S1261" s="7" t="inlineStr">
        <is>
          <t>piso</t>
        </is>
      </c>
    </row>
    <row r="1262">
      <c r="A1262" s="3" t="inlineStr">
        <is>
          <t>MAT-26-004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Botiquín de baño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3</v>
      </c>
      <c r="K1262" s="6" t="n">
        <v>1481</v>
      </c>
      <c r="L1262" s="6" t="n">
        <v>725.87</v>
      </c>
      <c r="M1262" s="6" t="n">
        <v>6543.83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Cima · Ferretería Ochoa (8A) · InnovaCentro (La Innovación)</t>
        </is>
      </c>
      <c r="AF1262" s="4" t="inlineStr">
        <is>
          <t>Largo (mm): 300 · Alto (mm): 120</t>
        </is>
      </c>
    </row>
    <row r="1263">
      <c r="A1263" s="3" t="inlineStr">
        <is>
          <t>MAT-26-005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Botiquín de baño, con luz LED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15456.85</v>
      </c>
      <c r="L1263" s="6" t="n">
        <v>10320.96</v>
      </c>
      <c r="M1263" s="6" t="n">
        <v>24256.84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2026-09-09</t>
        </is>
      </c>
      <c r="Q1263" s="4" t="inlineStr">
        <is>
          <t>Ferretería Ochoa (8A)</t>
        </is>
      </c>
      <c r="AF1263" s="4" t="inlineStr">
        <is>
          <t>Luz: led</t>
        </is>
      </c>
    </row>
    <row r="1264">
      <c r="A1264" s="3" t="inlineStr">
        <is>
          <t>MAT-26-006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Espejo de baño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5</v>
      </c>
      <c r="K1264" s="6" t="n">
        <v>2319.01</v>
      </c>
      <c r="L1264" s="6" t="n">
        <v>665</v>
      </c>
      <c r="M1264" s="6" t="n">
        <v>56400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2026-09-11</t>
        </is>
      </c>
      <c r="Q1264" s="4" t="inlineStr">
        <is>
          <t>Carabela · CerArte · Ferretería Ochoa (8A) · InnovaCentro (La Innovación) · La Ibérica</t>
        </is>
      </c>
    </row>
    <row r="1265">
      <c r="A1265" s="3" t="inlineStr">
        <is>
          <t>MAT-26-007</t>
        </is>
      </c>
      <c r="B1265" s="3" t="inlineStr">
        <is>
          <t>Materiales</t>
        </is>
      </c>
      <c r="C1265" s="3" t="inlineStr">
        <is>
          <t>Muebles y espejos de baño</t>
        </is>
      </c>
      <c r="D1265" s="4" t="inlineStr">
        <is>
          <t>Espejo de baño, con luz LED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6</v>
      </c>
      <c r="K1265" s="6" t="n">
        <v>8043.53</v>
      </c>
      <c r="L1265" s="6" t="n">
        <v>1795</v>
      </c>
      <c r="M1265" s="6" t="n">
        <v>40600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2026-09-11</t>
        </is>
      </c>
      <c r="Q1265" s="4" t="inlineStr">
        <is>
          <t>Carabela · CerArte · Ferremix (Grupo Alterra) · Ferretería Ochoa (8A) · InnovaCentro (La Innovación) · La Ibérica</t>
        </is>
      </c>
      <c r="AF1265" s="4" t="inlineStr">
        <is>
          <t>Luz: led</t>
        </is>
      </c>
    </row>
    <row r="1266">
      <c r="A1266" s="3" t="inlineStr">
        <is>
          <t>MAT-26-008</t>
        </is>
      </c>
      <c r="B1266" s="3" t="inlineStr">
        <is>
          <t>Materiales</t>
        </is>
      </c>
      <c r="C1266" s="3" t="inlineStr">
        <is>
          <t>Muebles y espejos de baño</t>
        </is>
      </c>
      <c r="D1266" s="4" t="inlineStr">
        <is>
          <t>Cabina o panel de ducha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3</v>
      </c>
      <c r="K1266" s="6" t="n">
        <v>6079</v>
      </c>
      <c r="L1266" s="6" t="n">
        <v>3118.5</v>
      </c>
      <c r="M1266" s="6" t="n">
        <v>18914.37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2026-09-10</t>
        </is>
      </c>
      <c r="Q1266" s="4" t="inlineStr">
        <is>
          <t>CerArte · InnovaCentro (La Innovación) · La Ibérica</t>
        </is>
      </c>
    </row>
    <row r="1267">
      <c r="A1267" s="3" t="inlineStr">
        <is>
          <t>MAT-26-009</t>
        </is>
      </c>
      <c r="B1267" s="3" t="inlineStr">
        <is>
          <t>Materiales</t>
        </is>
      </c>
      <c r="C1267" s="3" t="inlineStr">
        <is>
          <t>Muebles y espejos de baño</t>
        </is>
      </c>
      <c r="D1267" s="4" t="inlineStr">
        <is>
          <t>Bañera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4</v>
      </c>
      <c r="K1267" s="6" t="n">
        <v>99104.78999999999</v>
      </c>
      <c r="L1267" s="6" t="n">
        <v>9469</v>
      </c>
      <c r="M1267" s="6" t="n">
        <v>430700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2026-09-11</t>
        </is>
      </c>
      <c r="Q1267" s="4" t="inlineStr">
        <is>
          <t>Bellón · Carabela · CerArte · La Ibérica</t>
        </is>
      </c>
    </row>
    <row r="1268">
      <c r="A1268" s="3" t="inlineStr">
        <is>
          <t>MAT-26-010</t>
        </is>
      </c>
      <c r="B1268" s="3" t="inlineStr">
        <is>
          <t>Materiales</t>
        </is>
      </c>
      <c r="C1268" s="3" t="inlineStr">
        <is>
          <t>Muebles y espejos de baño</t>
        </is>
      </c>
      <c r="D1268" s="4" t="inlineStr">
        <is>
          <t>Plato de ducha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2</v>
      </c>
      <c r="K1268" s="6" t="n">
        <v>19278.36</v>
      </c>
      <c r="L1268" s="6" t="n">
        <v>14999.99</v>
      </c>
      <c r="M1268" s="6" t="n">
        <v>29990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2026-09-10</t>
        </is>
      </c>
      <c r="Q1268" s="4" t="inlineStr">
        <is>
          <t>CerArte · La Ibérica</t>
        </is>
      </c>
    </row>
    <row r="1269">
      <c r="A1269" s="3" t="inlineStr">
        <is>
          <t>MAT-27-001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abatible, 20 cm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2439</v>
      </c>
      <c r="L1269" s="6" t="n">
        <v>2439</v>
      </c>
      <c r="M1269" s="6" t="n">
        <v>2439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InnovaCentro (La Innovación)</t>
        </is>
      </c>
      <c r="R1269" s="7" t="inlineStr">
        <is>
          <t>abatible</t>
        </is>
      </c>
      <c r="U1269" s="7" t="n">
        <v>20</v>
      </c>
    </row>
    <row r="1270">
      <c r="A1270" s="3" t="inlineStr">
        <is>
          <t>MAT-27-002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curva</t>
        </is>
      </c>
      <c r="E1270" s="4" t="inlineStr"/>
      <c r="F1270" s="3" t="inlineStr">
        <is>
          <t>unidad</t>
        </is>
      </c>
      <c r="G1270" s="3" t="inlineStr">
        <is>
          <t>Terminación de superficies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1416.67</v>
      </c>
      <c r="L1270" s="6" t="n">
        <v>1416.67</v>
      </c>
      <c r="M1270" s="6" t="n">
        <v>1416.67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Ferretería Ochoa (8A)</t>
        </is>
      </c>
      <c r="R1270" s="7" t="inlineStr">
        <is>
          <t>curva</t>
        </is>
      </c>
    </row>
    <row r="1271">
      <c r="A1271" s="3" t="inlineStr">
        <is>
          <t>MAT-27-003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en L, 30 cm</t>
        </is>
      </c>
      <c r="E1271" s="4" t="inlineStr"/>
      <c r="F1271" s="3" t="inlineStr">
        <is>
          <t>unidad</t>
        </is>
      </c>
      <c r="G1271" s="3" t="inlineStr">
        <is>
          <t>Terminación de superficies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1200</v>
      </c>
      <c r="L1271" s="6" t="n">
        <v>1200</v>
      </c>
      <c r="M1271" s="6" t="n">
        <v>1200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InnovaCentro (La Innovación)</t>
        </is>
      </c>
      <c r="R1271" s="7" t="inlineStr">
        <is>
          <t>en L</t>
        </is>
      </c>
      <c r="U1271" s="7" t="n">
        <v>30</v>
      </c>
    </row>
    <row r="1272">
      <c r="A1272" s="3" t="inlineStr">
        <is>
          <t>MAT-27-004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en L, 45 cm</t>
        </is>
      </c>
      <c r="E1272" s="4" t="inlineStr"/>
      <c r="F1272" s="3" t="inlineStr">
        <is>
          <t>unidad</t>
        </is>
      </c>
      <c r="G1272" s="3" t="inlineStr">
        <is>
          <t>Terminación de superficies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925</v>
      </c>
      <c r="L1272" s="6" t="n">
        <v>925</v>
      </c>
      <c r="M1272" s="6" t="n">
        <v>925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InnovaCentro (La Innovación)</t>
        </is>
      </c>
      <c r="R1272" s="7" t="inlineStr">
        <is>
          <t>en L</t>
        </is>
      </c>
      <c r="U1272" s="7" t="n">
        <v>45</v>
      </c>
    </row>
    <row r="1273">
      <c r="A1273" s="3" t="inlineStr">
        <is>
          <t>MAT-27-005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en L, 55 cm</t>
        </is>
      </c>
      <c r="E1273" s="4" t="inlineStr"/>
      <c r="F1273" s="3" t="inlineStr">
        <is>
          <t>unidad</t>
        </is>
      </c>
      <c r="G1273" s="3" t="inlineStr">
        <is>
          <t>Terminación de superficies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2619</v>
      </c>
      <c r="L1273" s="6" t="n">
        <v>2619</v>
      </c>
      <c r="M1273" s="6" t="n">
        <v>2619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InnovaCentro (La Innovación)</t>
        </is>
      </c>
      <c r="R1273" s="7" t="inlineStr">
        <is>
          <t>en L</t>
        </is>
      </c>
      <c r="U1273" s="7" t="n">
        <v>55</v>
      </c>
    </row>
    <row r="1274">
      <c r="A1274" s="3" t="inlineStr">
        <is>
          <t>MAT-27-006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en L, 75 cm</t>
        </is>
      </c>
      <c r="E1274" s="4" t="inlineStr"/>
      <c r="F1274" s="3" t="inlineStr">
        <is>
          <t>unidad</t>
        </is>
      </c>
      <c r="G1274" s="3" t="inlineStr">
        <is>
          <t>Terminación de superficies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2</v>
      </c>
      <c r="K1274" s="6" t="n">
        <v>6294</v>
      </c>
      <c r="L1274" s="6" t="n">
        <v>5648.35</v>
      </c>
      <c r="M1274" s="6" t="n">
        <v>6294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2026-09-10</t>
        </is>
      </c>
      <c r="Q1274" s="4" t="inlineStr">
        <is>
          <t>CerArte · InnovaCentro (La Innovación)</t>
        </is>
      </c>
      <c r="R1274" s="7" t="inlineStr">
        <is>
          <t>en L</t>
        </is>
      </c>
      <c r="U1274" s="7" t="n">
        <v>75</v>
      </c>
    </row>
    <row r="1275">
      <c r="A1275" s="3" t="inlineStr">
        <is>
          <t>MAT-27-007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</t>
        </is>
      </c>
      <c r="E1275" s="4" t="inlineStr"/>
      <c r="F1275" s="3" t="inlineStr">
        <is>
          <t>unidad</t>
        </is>
      </c>
      <c r="G1275" s="3" t="inlineStr">
        <is>
          <t>Terminación de superficies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2</v>
      </c>
      <c r="K1275" s="6" t="n">
        <v>1940</v>
      </c>
      <c r="L1275" s="6" t="n">
        <v>1615</v>
      </c>
      <c r="M1275" s="6" t="n">
        <v>7495.91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2026-09-10</t>
        </is>
      </c>
      <c r="Q1275" s="4" t="inlineStr">
        <is>
          <t>Ferremix (Grupo Alterra) · Ferretería Ochoa (8A)</t>
        </is>
      </c>
      <c r="R1275" s="7" t="inlineStr">
        <is>
          <t>recta</t>
        </is>
      </c>
    </row>
    <row r="1276">
      <c r="A1276" s="3" t="inlineStr">
        <is>
          <t>MAT-27-008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105 cm</t>
        </is>
      </c>
      <c r="E1276" s="4" t="inlineStr"/>
      <c r="F1276" s="3" t="inlineStr">
        <is>
          <t>unidad</t>
        </is>
      </c>
      <c r="G1276" s="3" t="inlineStr">
        <is>
          <t>Terminación de superficies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2750</v>
      </c>
      <c r="L1276" s="6" t="n">
        <v>2750</v>
      </c>
      <c r="M1276" s="6" t="n">
        <v>2750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InnovaCentro (La Innovación)</t>
        </is>
      </c>
      <c r="R1276" s="7" t="inlineStr">
        <is>
          <t>recta</t>
        </is>
      </c>
      <c r="U1276" s="7" t="n">
        <v>105</v>
      </c>
    </row>
    <row r="1277">
      <c r="A1277" s="3" t="inlineStr">
        <is>
          <t>MAT-27-009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120 cm</t>
        </is>
      </c>
      <c r="E1277" s="4" t="inlineStr"/>
      <c r="F1277" s="3" t="inlineStr">
        <is>
          <t>unidad</t>
        </is>
      </c>
      <c r="G1277" s="3" t="inlineStr">
        <is>
          <t>Terminación de superficies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3092</v>
      </c>
      <c r="L1277" s="6" t="n">
        <v>3092</v>
      </c>
      <c r="M1277" s="6" t="n">
        <v>3092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InnovaCentro (La Innovación)</t>
        </is>
      </c>
      <c r="R1277" s="7" t="inlineStr">
        <is>
          <t>recta</t>
        </is>
      </c>
      <c r="U1277" s="7" t="n">
        <v>120</v>
      </c>
    </row>
    <row r="1278">
      <c r="A1278" s="3" t="inlineStr">
        <is>
          <t>MAT-27-010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30 cm</t>
        </is>
      </c>
      <c r="E1278" s="4" t="inlineStr"/>
      <c r="F1278" s="3" t="inlineStr">
        <is>
          <t>unidad</t>
        </is>
      </c>
      <c r="G1278" s="3" t="inlineStr">
        <is>
          <t>Terminación de superficies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3</v>
      </c>
      <c r="K1278" s="6" t="n">
        <v>1805.4</v>
      </c>
      <c r="L1278" s="6" t="n">
        <v>1200</v>
      </c>
      <c r="M1278" s="6" t="n">
        <v>3007.09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2026-09-10</t>
        </is>
      </c>
      <c r="Q1278" s="4" t="inlineStr">
        <is>
          <t>CerArte · Ferretería Ochoa (8A) · InnovaCentro (La Innovación)</t>
        </is>
      </c>
      <c r="R1278" s="7" t="inlineStr">
        <is>
          <t>recta</t>
        </is>
      </c>
      <c r="U1278" s="7" t="n">
        <v>30</v>
      </c>
    </row>
    <row r="1279">
      <c r="A1279" s="3" t="inlineStr">
        <is>
          <t>MAT-27-011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40 cm</t>
        </is>
      </c>
      <c r="E1279" s="4" t="inlineStr"/>
      <c r="F1279" s="3" t="inlineStr">
        <is>
          <t>unidad</t>
        </is>
      </c>
      <c r="G1279" s="3" t="inlineStr">
        <is>
          <t>Terminación de superficies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2</v>
      </c>
      <c r="K1279" s="6" t="n">
        <v>925.98</v>
      </c>
      <c r="L1279" s="6" t="n">
        <v>675</v>
      </c>
      <c r="M1279" s="6" t="n">
        <v>1176.96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Ochoa (8A) · InnovaCentro (La Innovación)</t>
        </is>
      </c>
      <c r="R1279" s="7" t="inlineStr">
        <is>
          <t>recta</t>
        </is>
      </c>
      <c r="U1279" s="7" t="n">
        <v>40</v>
      </c>
    </row>
    <row r="1280">
      <c r="A1280" s="3" t="inlineStr">
        <is>
          <t>MAT-27-012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45 cm</t>
        </is>
      </c>
      <c r="E1280" s="4" t="inlineStr"/>
      <c r="F1280" s="3" t="inlineStr">
        <is>
          <t>unidad</t>
        </is>
      </c>
      <c r="G1280" s="3" t="inlineStr">
        <is>
          <t>Terminación de superficies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1665</v>
      </c>
      <c r="L1280" s="6" t="n">
        <v>1595</v>
      </c>
      <c r="M1280" s="6" t="n">
        <v>1735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InnovaCentro (La Innovación)</t>
        </is>
      </c>
      <c r="R1280" s="7" t="inlineStr">
        <is>
          <t>recta</t>
        </is>
      </c>
      <c r="U1280" s="7" t="n">
        <v>45</v>
      </c>
    </row>
    <row r="1281">
      <c r="A1281" s="3" t="inlineStr">
        <is>
          <t>MAT-27-013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50 cm</t>
        </is>
      </c>
      <c r="E1281" s="4" t="inlineStr"/>
      <c r="F1281" s="3" t="inlineStr">
        <is>
          <t>unidad</t>
        </is>
      </c>
      <c r="G1281" s="3" t="inlineStr">
        <is>
          <t>Terminación de superficies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2</v>
      </c>
      <c r="K1281" s="6" t="n">
        <v>1195</v>
      </c>
      <c r="L1281" s="6" t="n">
        <v>745</v>
      </c>
      <c r="M1281" s="6" t="n">
        <v>1522.47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 · InnovaCentro (La Innovación)</t>
        </is>
      </c>
      <c r="R1281" s="7" t="inlineStr">
        <is>
          <t>recta</t>
        </is>
      </c>
      <c r="U1281" s="7" t="n">
        <v>50</v>
      </c>
    </row>
    <row r="1282">
      <c r="A1282" s="3" t="inlineStr">
        <is>
          <t>MAT-27-014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Barra de seguridad, recta, 60 cm</t>
        </is>
      </c>
      <c r="E1282" s="4" t="inlineStr"/>
      <c r="F1282" s="3" t="inlineStr">
        <is>
          <t>unidad</t>
        </is>
      </c>
      <c r="G1282" s="3" t="inlineStr">
        <is>
          <t>Terminación de superficies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2</v>
      </c>
      <c r="K1282" s="6" t="n">
        <v>1995</v>
      </c>
      <c r="L1282" s="6" t="n">
        <v>1869</v>
      </c>
      <c r="M1282" s="6" t="n">
        <v>3297.37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Ochoa (8A) · InnovaCentro (La Innovación)</t>
        </is>
      </c>
      <c r="R1282" s="7" t="inlineStr">
        <is>
          <t>recta</t>
        </is>
      </c>
      <c r="U1282" s="7" t="n">
        <v>60</v>
      </c>
    </row>
    <row r="1283">
      <c r="A1283" s="3" t="inlineStr">
        <is>
          <t>MAT-27-015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Barra de seguridad, recta, 70 cm</t>
        </is>
      </c>
      <c r="E1283" s="4" t="inlineStr"/>
      <c r="F1283" s="3" t="inlineStr">
        <is>
          <t>unidad</t>
        </is>
      </c>
      <c r="G1283" s="3" t="inlineStr">
        <is>
          <t>Terminación de superficies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2</v>
      </c>
      <c r="K1283" s="6" t="n">
        <v>3983.41</v>
      </c>
      <c r="L1283" s="6" t="n">
        <v>3271.81</v>
      </c>
      <c r="M1283" s="6" t="n">
        <v>4695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Ochoa (8A) · InnovaCentro (La Innovación)</t>
        </is>
      </c>
      <c r="R1283" s="7" t="inlineStr">
        <is>
          <t>recta</t>
        </is>
      </c>
      <c r="U1283" s="7" t="n">
        <v>70</v>
      </c>
    </row>
    <row r="1284">
      <c r="A1284" s="3" t="inlineStr">
        <is>
          <t>MAT-27-016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Barra de seguridad, recta, 75 cm</t>
        </is>
      </c>
      <c r="E1284" s="4" t="inlineStr"/>
      <c r="F1284" s="3" t="inlineStr">
        <is>
          <t>unidad</t>
        </is>
      </c>
      <c r="G1284" s="3" t="inlineStr">
        <is>
          <t>Terminación de superficies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2185</v>
      </c>
      <c r="L1284" s="6" t="n">
        <v>2185</v>
      </c>
      <c r="M1284" s="6" t="n">
        <v>2185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InnovaCentro (La Innovación)</t>
        </is>
      </c>
      <c r="R1284" s="7" t="inlineStr">
        <is>
          <t>recta</t>
        </is>
      </c>
      <c r="U1284" s="7" t="n">
        <v>75</v>
      </c>
    </row>
    <row r="1285">
      <c r="A1285" s="3" t="inlineStr">
        <is>
          <t>MAT-27-017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Barra de seguridad, recta, 90 cm</t>
        </is>
      </c>
      <c r="E1285" s="4" t="inlineStr"/>
      <c r="F1285" s="3" t="inlineStr">
        <is>
          <t>unidad</t>
        </is>
      </c>
      <c r="G1285" s="3" t="inlineStr">
        <is>
          <t>Terminación de superficies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2</v>
      </c>
      <c r="K1285" s="6" t="n">
        <v>2439</v>
      </c>
      <c r="L1285" s="6" t="n">
        <v>2395</v>
      </c>
      <c r="M1285" s="6" t="n">
        <v>6226.47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Ochoa (8A) · InnovaCentro (La Innovación)</t>
        </is>
      </c>
      <c r="R1285" s="7" t="inlineStr">
        <is>
          <t>recta</t>
        </is>
      </c>
      <c r="U1285" s="7" t="n">
        <v>90</v>
      </c>
    </row>
    <row r="1286">
      <c r="A1286" s="3" t="inlineStr">
        <is>
          <t>MAT-27-018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</t>
        </is>
      </c>
      <c r="E1286" s="4" t="inlineStr"/>
      <c r="F1286" s="3" t="inlineStr">
        <is>
          <t>juego</t>
        </is>
      </c>
      <c r="G1286" s="3" t="inlineStr">
        <is>
          <t>Terminación de superficies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3</v>
      </c>
      <c r="K1286" s="6" t="n">
        <v>2367.36</v>
      </c>
      <c r="L1286" s="6" t="n">
        <v>345</v>
      </c>
      <c r="M1286" s="6" t="n">
        <v>6782.1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2026-09-10</t>
        </is>
      </c>
      <c r="Q1286" s="4" t="inlineStr">
        <is>
          <t>CerArte · Ferremix (Grupo Alterra) · Ferretería Ochoa (8A)</t>
        </is>
      </c>
      <c r="AF1286" s="4" t="inlineStr">
        <is>
          <t>ambito: domestico</t>
        </is>
      </c>
    </row>
    <row r="1287">
      <c r="A1287" s="3" t="inlineStr">
        <is>
          <t>MAT-27-019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Juego de accesorios de baño, 3 piezas</t>
        </is>
      </c>
      <c r="E1287" s="4" t="inlineStr"/>
      <c r="F1287" s="3" t="inlineStr">
        <is>
          <t>juego</t>
        </is>
      </c>
      <c r="G1287" s="3" t="inlineStr">
        <is>
          <t>Terminación de superficies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1673.59</v>
      </c>
      <c r="L1287" s="6" t="n">
        <v>1081.92</v>
      </c>
      <c r="M1287" s="6" t="n">
        <v>1673.59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Ochoa (8A)</t>
        </is>
      </c>
      <c r="T1287" s="7" t="n">
        <v>3</v>
      </c>
      <c r="AF1287" s="4" t="inlineStr">
        <is>
          <t>ambito: domestico</t>
        </is>
      </c>
    </row>
    <row r="1288">
      <c r="A1288" s="3" t="inlineStr">
        <is>
          <t>MAT-27-020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Juego de accesorios de baño, 4 piezas</t>
        </is>
      </c>
      <c r="E1288" s="4" t="inlineStr"/>
      <c r="F1288" s="3" t="inlineStr">
        <is>
          <t>juego</t>
        </is>
      </c>
      <c r="G1288" s="3" t="inlineStr">
        <is>
          <t>Terminación de superficies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2</v>
      </c>
      <c r="K1288" s="6" t="n">
        <v>2927.39</v>
      </c>
      <c r="L1288" s="6" t="n">
        <v>1605.2</v>
      </c>
      <c r="M1288" s="6" t="n">
        <v>3995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Ochoa (8A) · InnovaCentro (La Innovación)</t>
        </is>
      </c>
      <c r="T1288" s="7" t="n">
        <v>4</v>
      </c>
      <c r="AF1288" s="4" t="inlineStr">
        <is>
          <t>ambito: domestico</t>
        </is>
      </c>
    </row>
    <row r="1289">
      <c r="A1289" s="3" t="inlineStr">
        <is>
          <t>MAT-27-021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Juego de accesorios de baño, 5 piezas</t>
        </is>
      </c>
      <c r="E1289" s="4" t="inlineStr"/>
      <c r="F1289" s="3" t="inlineStr">
        <is>
          <t>juego</t>
        </is>
      </c>
      <c r="G1289" s="3" t="inlineStr">
        <is>
          <t>Terminación de superficies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3</v>
      </c>
      <c r="K1289" s="6" t="n">
        <v>1139</v>
      </c>
      <c r="L1289" s="6" t="n">
        <v>394</v>
      </c>
      <c r="M1289" s="6" t="n">
        <v>1883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 · Ferretería Ochoa (8A) · InnovaCentro (La Innovación)</t>
        </is>
      </c>
      <c r="T1289" s="7" t="n">
        <v>5</v>
      </c>
      <c r="AF1289" s="4" t="inlineStr">
        <is>
          <t>ambito: domestico</t>
        </is>
      </c>
    </row>
    <row r="1290">
      <c r="A1290" s="3" t="inlineStr">
        <is>
          <t>MAT-27-022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Juego de accesorios de baño, 6 piezas</t>
        </is>
      </c>
      <c r="E1290" s="4" t="inlineStr"/>
      <c r="F1290" s="3" t="inlineStr">
        <is>
          <t>juego</t>
        </is>
      </c>
      <c r="G1290" s="3" t="inlineStr">
        <is>
          <t>Terminación de superficies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3</v>
      </c>
      <c r="K1290" s="6" t="n">
        <v>3019.72</v>
      </c>
      <c r="L1290" s="6" t="n">
        <v>1342.61</v>
      </c>
      <c r="M1290" s="6" t="n">
        <v>4372.84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Cima · Ferretería Ochoa (8A) · InnovaCentro (La Innovación)</t>
        </is>
      </c>
      <c r="T1290" s="7" t="n">
        <v>6</v>
      </c>
      <c r="AF1290" s="4" t="inlineStr">
        <is>
          <t>ambito: domestico</t>
        </is>
      </c>
    </row>
    <row r="1291">
      <c r="A1291" s="3" t="inlineStr">
        <is>
          <t>MAT-27-023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</t>
        </is>
      </c>
      <c r="E1291" s="4" t="inlineStr"/>
      <c r="F1291" s="3" t="inlineStr">
        <is>
          <t>unidad</t>
        </is>
      </c>
      <c r="G1291" s="3" t="inlineStr">
        <is>
          <t>Terminación de superficies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3467.5</v>
      </c>
      <c r="L1291" s="6" t="n">
        <v>3335</v>
      </c>
      <c r="M1291" s="6" t="n">
        <v>3600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InnovaCentro (La Innovación)</t>
        </is>
      </c>
      <c r="AF1291" s="4" t="inlineStr">
        <is>
          <t>ambito: domestico</t>
        </is>
      </c>
    </row>
    <row r="1292">
      <c r="A1292" s="3" t="inlineStr">
        <is>
          <t>MAT-27-024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Secador de manos, de botón</t>
        </is>
      </c>
      <c r="E1292" s="4" t="inlineStr"/>
      <c r="F1292" s="3" t="inlineStr">
        <is>
          <t>unidad</t>
        </is>
      </c>
      <c r="G1292" s="3" t="inlineStr">
        <is>
          <t>Terminación de superficies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16368.74</v>
      </c>
      <c r="L1292" s="6" t="n">
        <v>16368.74</v>
      </c>
      <c r="M1292" s="6" t="n">
        <v>16368.74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Ochoa (8A)</t>
        </is>
      </c>
      <c r="AF1292" s="4" t="inlineStr">
        <is>
          <t>ambito: domestico · Activación: boton</t>
        </is>
      </c>
    </row>
    <row r="1293">
      <c r="A1293" s="3" t="inlineStr">
        <is>
          <t>MAT-27-025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Secador de manos, con sensor</t>
        </is>
      </c>
      <c r="E1293" s="4" t="inlineStr"/>
      <c r="F1293" s="3" t="inlineStr">
        <is>
          <t>unidad</t>
        </is>
      </c>
      <c r="G1293" s="3" t="inlineStr">
        <is>
          <t>Terminación de superficies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3</v>
      </c>
      <c r="K1293" s="6" t="n">
        <v>16755</v>
      </c>
      <c r="L1293" s="6" t="n">
        <v>12495</v>
      </c>
      <c r="M1293" s="6" t="n">
        <v>63455.69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2026-09-10</t>
        </is>
      </c>
      <c r="Q1293" s="4" t="inlineStr">
        <is>
          <t>Ferremix (Grupo Alterra) · Ferretería Ochoa (8A) · InnovaCentro (La Innovación)</t>
        </is>
      </c>
      <c r="AF1293" s="4" t="inlineStr">
        <is>
          <t>ambito: domestico · Activación: sensor · Ancho (mm): 270</t>
        </is>
      </c>
    </row>
    <row r="1294">
      <c r="A1294" s="3" t="inlineStr">
        <is>
          <t>MAT-27-026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Secador de manos, institucional</t>
        </is>
      </c>
      <c r="E1294" s="4" t="inlineStr"/>
      <c r="F1294" s="3" t="inlineStr">
        <is>
          <t>unidad</t>
        </is>
      </c>
      <c r="G1294" s="3" t="inlineStr">
        <is>
          <t>Terminación de superficies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2</v>
      </c>
      <c r="K1294" s="6" t="n">
        <v>33477.34</v>
      </c>
      <c r="L1294" s="6" t="n">
        <v>27487.14</v>
      </c>
      <c r="M1294" s="6" t="n">
        <v>39467.53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2026-09-10</t>
        </is>
      </c>
      <c r="Q1294" s="4" t="inlineStr">
        <is>
          <t>CerArte · Ferretería Ochoa (8A)</t>
        </is>
      </c>
      <c r="AF1294" s="4" t="inlineStr">
        <is>
          <t>ambito: institucional</t>
        </is>
      </c>
    </row>
    <row r="1295">
      <c r="A1295" s="3" t="inlineStr">
        <is>
          <t>MAT-27-027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Secador de manos, institucional, con sensor</t>
        </is>
      </c>
      <c r="E1295" s="4" t="inlineStr"/>
      <c r="F1295" s="3" t="inlineStr">
        <is>
          <t>unidad</t>
        </is>
      </c>
      <c r="G1295" s="3" t="inlineStr">
        <is>
          <t>Terminación de superficies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32765.78</v>
      </c>
      <c r="L1295" s="6" t="n">
        <v>32765.78</v>
      </c>
      <c r="M1295" s="6" t="n">
        <v>32765.78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Ochoa (8A)</t>
        </is>
      </c>
      <c r="AF1295" s="4" t="inlineStr">
        <is>
          <t>ambito: institucional · Activación: sensor</t>
        </is>
      </c>
    </row>
    <row r="1296">
      <c r="A1296" s="3" t="inlineStr">
        <is>
          <t>MAT-27-028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jabón</t>
        </is>
      </c>
      <c r="E1296" s="4" t="inlineStr"/>
      <c r="F1296" s="3" t="inlineStr">
        <is>
          <t>unidad</t>
        </is>
      </c>
      <c r="G1296" s="3" t="inlineStr">
        <is>
          <t>Terminación de superficies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2</v>
      </c>
      <c r="K1296" s="6" t="n">
        <v>672</v>
      </c>
      <c r="L1296" s="6" t="n">
        <v>156</v>
      </c>
      <c r="M1296" s="6" t="n">
        <v>2309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2026-09-10</t>
        </is>
      </c>
      <c r="Q1296" s="4" t="inlineStr">
        <is>
          <t>Ferremix (Grupo Alterra) · InnovaCentro (La Innovación)</t>
        </is>
      </c>
      <c r="AF1296" s="4" t="inlineStr">
        <is>
          <t>ambito: domestico</t>
        </is>
      </c>
    </row>
    <row r="1297">
      <c r="A1297" s="3" t="inlineStr">
        <is>
          <t>MAT-27-029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jabón, con sensor</t>
        </is>
      </c>
      <c r="E1297" s="4" t="inlineStr"/>
      <c r="F1297" s="3" t="inlineStr">
        <is>
          <t>unidad</t>
        </is>
      </c>
      <c r="G1297" s="3" t="inlineStr">
        <is>
          <t>Terminación de superficies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33870.73</v>
      </c>
      <c r="L1297" s="6" t="n">
        <v>33870.73</v>
      </c>
      <c r="M1297" s="6" t="n">
        <v>33870.73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2026-09-10</t>
        </is>
      </c>
      <c r="Q1297" s="4" t="inlineStr">
        <is>
          <t>CerArte</t>
        </is>
      </c>
      <c r="AF1297" s="4" t="inlineStr">
        <is>
          <t>ambito: domestico · Activación: sensor</t>
        </is>
      </c>
    </row>
    <row r="1298">
      <c r="A1298" s="3" t="inlineStr">
        <is>
          <t>MAT-27-030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jabón, institucional</t>
        </is>
      </c>
      <c r="E1298" s="4" t="inlineStr"/>
      <c r="F1298" s="3" t="inlineStr">
        <is>
          <t>unidad</t>
        </is>
      </c>
      <c r="G1298" s="3" t="inlineStr">
        <is>
          <t>Terminación de superficies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2</v>
      </c>
      <c r="K1298" s="6" t="n">
        <v>3782.5</v>
      </c>
      <c r="L1298" s="6" t="n">
        <v>1270</v>
      </c>
      <c r="M1298" s="6" t="n">
        <v>15547.21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Ochoa (8A) · InnovaCentro (La Innovación)</t>
        </is>
      </c>
      <c r="AF1298" s="4" t="inlineStr">
        <is>
          <t>ambito: institucional</t>
        </is>
      </c>
    </row>
    <row r="1299">
      <c r="A1299" s="3" t="inlineStr">
        <is>
          <t>MAT-27-031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Dispensador de papel, de papel higiénico</t>
        </is>
      </c>
      <c r="E1299" s="4" t="inlineStr"/>
      <c r="F1299" s="3" t="inlineStr">
        <is>
          <t>unidad</t>
        </is>
      </c>
      <c r="G1299" s="3" t="inlineStr">
        <is>
          <t>Terminación de superficies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587.5</v>
      </c>
      <c r="L1299" s="6" t="n">
        <v>485</v>
      </c>
      <c r="M1299" s="6" t="n">
        <v>690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InnovaCentro (La Innovación)</t>
        </is>
      </c>
      <c r="AF1299" s="4" t="inlineStr">
        <is>
          <t>ambito: domestico · Tipo de papel: papel higiénico · Ancho (mm): 270</t>
        </is>
      </c>
    </row>
    <row r="1300">
      <c r="A1300" s="3" t="inlineStr">
        <is>
          <t>MAT-27-032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Dispensador de papel, de toalla</t>
        </is>
      </c>
      <c r="E1300" s="4" t="inlineStr"/>
      <c r="F1300" s="3" t="inlineStr">
        <is>
          <t>unidad</t>
        </is>
      </c>
      <c r="G1300" s="3" t="inlineStr">
        <is>
          <t>Terminación de superficies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2</v>
      </c>
      <c r="K1300" s="6" t="n">
        <v>2595</v>
      </c>
      <c r="L1300" s="6" t="n">
        <v>274</v>
      </c>
      <c r="M1300" s="6" t="n">
        <v>7965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Ochoa (8A) · InnovaCentro (La Innovación)</t>
        </is>
      </c>
      <c r="AF1300" s="4" t="inlineStr">
        <is>
          <t>ambito: domestico · Tipo de papel: toalla · Ancho (mm): 310</t>
        </is>
      </c>
    </row>
    <row r="1301">
      <c r="A1301" s="3" t="inlineStr">
        <is>
          <t>MAT-27-033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Dispensador de papel, institucional, de papel higiénico</t>
        </is>
      </c>
      <c r="E1301" s="4" t="inlineStr"/>
      <c r="F1301" s="3" t="inlineStr">
        <is>
          <t>unidad</t>
        </is>
      </c>
      <c r="G1301" s="3" t="inlineStr">
        <is>
          <t>Terminación de superficies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2870</v>
      </c>
      <c r="L1301" s="6" t="n">
        <v>1105</v>
      </c>
      <c r="M1301" s="6" t="n">
        <v>8995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InnovaCentro (La Innovación)</t>
        </is>
      </c>
      <c r="AF1301" s="4" t="inlineStr">
        <is>
          <t>ambito: institucional · Tipo de papel: papel higiénico</t>
        </is>
      </c>
    </row>
    <row r="1302">
      <c r="A1302" s="3" t="inlineStr">
        <is>
          <t>MAT-27-034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Dispensador de papel, institucional, de toalla</t>
        </is>
      </c>
      <c r="E1302" s="4" t="inlineStr"/>
      <c r="F1302" s="3" t="inlineStr">
        <is>
          <t>unidad</t>
        </is>
      </c>
      <c r="G1302" s="3" t="inlineStr">
        <is>
          <t>Terminación de superficies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3245</v>
      </c>
      <c r="L1302" s="6" t="n">
        <v>2515</v>
      </c>
      <c r="M1302" s="6" t="n">
        <v>12190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InnovaCentro (La Innovación)</t>
        </is>
      </c>
      <c r="AF1302" s="4" t="inlineStr">
        <is>
          <t>ambito: institucional · Tipo de papel: toalla</t>
        </is>
      </c>
    </row>
    <row r="1303">
      <c r="A1303" s="3" t="inlineStr">
        <is>
          <t>MAT-27-035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Cambiador de bebés de pared</t>
        </is>
      </c>
      <c r="E1303" s="4" t="inlineStr"/>
      <c r="F1303" s="3" t="inlineStr">
        <is>
          <t>unidad</t>
        </is>
      </c>
      <c r="G1303" s="3" t="inlineStr">
        <is>
          <t>Terminación de superficies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8705</v>
      </c>
      <c r="L1303" s="6" t="n">
        <v>8705</v>
      </c>
      <c r="M1303" s="6" t="n">
        <v>8705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InnovaCentro (La Innovación)</t>
        </is>
      </c>
      <c r="AF1303" s="4" t="inlineStr">
        <is>
          <t>Largo (mm): 860 · Ancho (mm): 550 · Alto (mm): 140</t>
        </is>
      </c>
    </row>
    <row r="1304">
      <c r="A1304" s="3" t="inlineStr">
        <is>
          <t>MAT-28-001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Kit de alarma</t>
        </is>
      </c>
      <c r="E1304" s="4" t="inlineStr"/>
      <c r="F1304" s="3" t="inlineStr">
        <is>
          <t>juego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7107.67</v>
      </c>
      <c r="L1304" s="6" t="n">
        <v>7107.67</v>
      </c>
      <c r="M1304" s="6" t="n">
        <v>7107.67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</row>
    <row r="1305">
      <c r="A1305" s="3" t="inlineStr">
        <is>
          <t>MAT-28-002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15771.4</v>
      </c>
      <c r="L1305" s="6" t="n">
        <v>3536.16</v>
      </c>
      <c r="M1305" s="6" t="n">
        <v>40009.07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</row>
    <row r="1306">
      <c r="A1306" s="3" t="inlineStr">
        <is>
          <t>MAT-28-003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28 zonas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7194.58</v>
      </c>
      <c r="L1306" s="6" t="n">
        <v>7194.58</v>
      </c>
      <c r="M1306" s="6" t="n">
        <v>7194.58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F1306" s="4" t="inlineStr">
        <is>
          <t>Zonas: 28</t>
        </is>
      </c>
    </row>
    <row r="1307">
      <c r="A1307" s="3" t="inlineStr">
        <is>
          <t>MAT-28-004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Panel de alarma 320 zonas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16552.7</v>
      </c>
      <c r="L1307" s="6" t="n">
        <v>13889.31</v>
      </c>
      <c r="M1307" s="6" t="n">
        <v>19216.09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  <c r="AF1307" s="4" t="inlineStr">
        <is>
          <t>Zonas: 320</t>
        </is>
      </c>
    </row>
    <row r="1308">
      <c r="A1308" s="3" t="inlineStr">
        <is>
          <t>MAT-28-005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Panel de alarma 4 zonas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18682.71</v>
      </c>
      <c r="L1308" s="6" t="n">
        <v>18682.71</v>
      </c>
      <c r="M1308" s="6" t="n">
        <v>18682.71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  <c r="AF1308" s="4" t="inlineStr">
        <is>
          <t>Zonas: 4</t>
        </is>
      </c>
    </row>
    <row r="1309">
      <c r="A1309" s="3" t="inlineStr">
        <is>
          <t>MAT-28-006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Panel de alarma 48 zonas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8277.66</v>
      </c>
      <c r="L1309" s="6" t="n">
        <v>8277.66</v>
      </c>
      <c r="M1309" s="6" t="n">
        <v>8277.66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F1309" s="4" t="inlineStr">
        <is>
          <t>Zonas: 48</t>
        </is>
      </c>
    </row>
    <row r="1310">
      <c r="A1310" s="3" t="inlineStr">
        <is>
          <t>MAT-28-007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Panel de alarma 8 zonas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11668.57</v>
      </c>
      <c r="L1310" s="6" t="n">
        <v>11668.57</v>
      </c>
      <c r="M1310" s="6" t="n">
        <v>11668.57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  <c r="AF1310" s="4" t="inlineStr">
        <is>
          <t>Zonas: 8</t>
        </is>
      </c>
    </row>
    <row r="1311">
      <c r="A1311" s="3" t="inlineStr">
        <is>
          <t>MAT-28-008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Teclado para alarma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6879.53</v>
      </c>
      <c r="L1311" s="6" t="n">
        <v>3449.44</v>
      </c>
      <c r="M1311" s="6" t="n">
        <v>13205.36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</row>
    <row r="1312">
      <c r="A1312" s="3" t="inlineStr">
        <is>
          <t>MAT-28-009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1486.93</v>
      </c>
      <c r="L1312" s="6" t="n">
        <v>266.05</v>
      </c>
      <c r="M1312" s="6" t="n">
        <v>11447.71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  <c r="AF1312" s="4" t="inlineStr">
        <is>
          <t>Enlace: inalámbrico</t>
        </is>
      </c>
    </row>
    <row r="1313">
      <c r="A1313" s="3" t="inlineStr">
        <is>
          <t>MAT-28-010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10 m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7135.36</v>
      </c>
      <c r="L1313" s="6" t="n">
        <v>7135.36</v>
      </c>
      <c r="M1313" s="6" t="n">
        <v>7135.36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  <c r="AF1313" s="4" t="inlineStr">
        <is>
          <t>Alcance (m): 10 · Enlace: inalámbrico</t>
        </is>
      </c>
    </row>
    <row r="1314">
      <c r="A1314" s="3" t="inlineStr">
        <is>
          <t>MAT-28-011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Detector de movimiento alcance 11 m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5567.22</v>
      </c>
      <c r="L1314" s="6" t="n">
        <v>5567.22</v>
      </c>
      <c r="M1314" s="6" t="n">
        <v>5567.22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  <c r="AF1314" s="4" t="inlineStr">
        <is>
          <t>Alcance (m): 11 · Enlace: inalámbrico</t>
        </is>
      </c>
    </row>
    <row r="1315">
      <c r="A1315" s="3" t="inlineStr">
        <is>
          <t>MAT-28-012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Detector de movimiento alcance 12 m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2831.47</v>
      </c>
      <c r="L1315" s="6" t="n">
        <v>820.3</v>
      </c>
      <c r="M1315" s="6" t="n">
        <v>5338.48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Alcance (m): 12 · Enlace: inalámbrico</t>
        </is>
      </c>
    </row>
    <row r="1316">
      <c r="A1316" s="3" t="inlineStr">
        <is>
          <t>MAT-28-013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Detector de movimiento alcance 15 m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2675.69</v>
      </c>
      <c r="L1316" s="6" t="n">
        <v>2675.69</v>
      </c>
      <c r="M1316" s="6" t="n">
        <v>2675.69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  <c r="AF1316" s="4" t="inlineStr">
        <is>
          <t>Alcance (m): 15 · Enlace: inalámbrico</t>
        </is>
      </c>
    </row>
    <row r="1317">
      <c r="A1317" s="3" t="inlineStr">
        <is>
          <t>MAT-28-014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Detector de movimiento alcance 16 m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2944.96</v>
      </c>
      <c r="L1317" s="6" t="n">
        <v>2944.96</v>
      </c>
      <c r="M1317" s="6" t="n">
        <v>2944.96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  <c r="AF1317" s="4" t="inlineStr">
        <is>
          <t>Alcance (m): 16</t>
        </is>
      </c>
    </row>
    <row r="1318">
      <c r="A1318" s="3" t="inlineStr">
        <is>
          <t>MAT-28-015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Contacto magnético para puerta o ventana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1673.26</v>
      </c>
      <c r="L1318" s="6" t="n">
        <v>506.24</v>
      </c>
      <c r="M1318" s="6" t="n">
        <v>1989.25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</row>
    <row r="1319">
      <c r="A1319" s="3" t="inlineStr">
        <is>
          <t>MAT-28-016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Sirena de alarma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12406.5</v>
      </c>
      <c r="L1319" s="6" t="n">
        <v>713.99</v>
      </c>
      <c r="M1319" s="6" t="n">
        <v>49478.37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AF1319" s="4" t="inlineStr">
        <is>
          <t>Potencia (dB): 102</t>
        </is>
      </c>
    </row>
    <row r="1320">
      <c r="A1320" s="3" t="inlineStr">
        <is>
          <t>MAT-28-017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Sirena de alarma de exterior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5053.69</v>
      </c>
      <c r="L1320" s="6" t="n">
        <v>5053.69</v>
      </c>
      <c r="M1320" s="6" t="n">
        <v>5053.69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AF1320" s="4" t="inlineStr">
        <is>
          <t>Ubicación: exterior · Potencia (dB): 104</t>
        </is>
      </c>
    </row>
    <row r="1321">
      <c r="A1321" s="3" t="inlineStr">
        <is>
          <t>MAT-28-018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Sirena de alarma de interior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3381.4</v>
      </c>
      <c r="L1321" s="6" t="n">
        <v>3381.4</v>
      </c>
      <c r="M1321" s="6" t="n">
        <v>3381.4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  <c r="AF1321" s="4" t="inlineStr">
        <is>
          <t>Ubicación: interior · Potencia (dB): 95</t>
        </is>
      </c>
    </row>
    <row r="1322">
      <c r="A1322" s="3" t="inlineStr">
        <is>
          <t>MAT-28-019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Control de acceso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14529.44</v>
      </c>
      <c r="L1322" s="6" t="n">
        <v>5063.11</v>
      </c>
      <c r="M1322" s="6" t="n">
        <v>51002.38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</row>
    <row r="1323">
      <c r="A1323" s="3" t="inlineStr">
        <is>
          <t>MAT-28-020</t>
        </is>
      </c>
      <c r="B1323" s="3" t="inlineStr">
        <is>
          <t>Materiales</t>
        </is>
      </c>
      <c r="C1323" s="3" t="inlineStr">
        <is>
          <t>Alarmas y control de accesos</t>
        </is>
      </c>
      <c r="D1323" s="4" t="inlineStr">
        <is>
          <t>Control de acceso huella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16289.94</v>
      </c>
      <c r="L1323" s="6" t="n">
        <v>10930.42</v>
      </c>
      <c r="M1323" s="6" t="n">
        <v>48902.72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X1323" s="7" t="inlineStr">
        <is>
          <t>huella</t>
        </is>
      </c>
    </row>
    <row r="1324">
      <c r="A1324" s="3" t="inlineStr">
        <is>
          <t>MAT-28-021</t>
        </is>
      </c>
      <c r="B1324" s="3" t="inlineStr">
        <is>
          <t>Materiales</t>
        </is>
      </c>
      <c r="C1324" s="3" t="inlineStr">
        <is>
          <t>Alarmas y control de accesos</t>
        </is>
      </c>
      <c r="D1324" s="4" t="inlineStr">
        <is>
          <t>Control de acceso proximidad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9465.780000000001</v>
      </c>
      <c r="L1324" s="6" t="n">
        <v>8365.110000000001</v>
      </c>
      <c r="M1324" s="6" t="n">
        <v>10566.44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X1324" s="7" t="inlineStr">
        <is>
          <t>proximidad</t>
        </is>
      </c>
    </row>
    <row r="1325">
      <c r="A1325" s="3" t="inlineStr">
        <is>
          <t>MAT-28-022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Control de acceso teclado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12767.79</v>
      </c>
      <c r="L1325" s="6" t="n">
        <v>12767.79</v>
      </c>
      <c r="M1325" s="6" t="n">
        <v>12767.79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  <c r="X1325" s="7" t="inlineStr">
        <is>
          <t>teclado</t>
        </is>
      </c>
    </row>
    <row r="1326">
      <c r="A1326" s="3" t="inlineStr">
        <is>
          <t>MAT-28-024</t>
        </is>
      </c>
      <c r="B1326" s="3" t="inlineStr">
        <is>
          <t>Materiales</t>
        </is>
      </c>
      <c r="C1326" s="3" t="inlineStr">
        <is>
          <t>Alarmas y control de accesos</t>
        </is>
      </c>
      <c r="D1326" s="4" t="inlineStr">
        <is>
          <t>Accesorio de sistema de alarma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1838.69</v>
      </c>
      <c r="L1326" s="6" t="n">
        <v>146.83</v>
      </c>
      <c r="M1326" s="6" t="n">
        <v>34654.38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</row>
    <row r="1327">
      <c r="A1327" s="3" t="inlineStr">
        <is>
          <t>MAT-29-003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Detector para sistema de incendio de calor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1780.89</v>
      </c>
      <c r="L1327" s="6" t="n">
        <v>1508.54</v>
      </c>
      <c r="M1327" s="6" t="n">
        <v>2053.24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  <c r="AF1327" s="4" t="inlineStr">
        <is>
          <t>Detección: calor</t>
        </is>
      </c>
    </row>
    <row r="1328">
      <c r="A1328" s="3" t="inlineStr">
        <is>
          <t>MAT-29-004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Detector para sistema de incendio de humo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2135.37</v>
      </c>
      <c r="L1328" s="6" t="n">
        <v>1934.03</v>
      </c>
      <c r="M1328" s="6" t="n">
        <v>23981.94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  <c r="AF1328" s="4" t="inlineStr">
        <is>
          <t>Detección: humo</t>
        </is>
      </c>
    </row>
    <row r="1329">
      <c r="A1329" s="3" t="inlineStr">
        <is>
          <t>MAT-29-005</t>
        </is>
      </c>
      <c r="B1329" s="3" t="inlineStr">
        <is>
          <t>Materiales</t>
        </is>
      </c>
      <c r="C1329" s="3" t="inlineStr">
        <is>
          <t>Detección de incendios</t>
        </is>
      </c>
      <c r="D1329" s="4" t="inlineStr">
        <is>
          <t>Detector para sistema de incendio de humo y calor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1657.72</v>
      </c>
      <c r="L1329" s="6" t="n">
        <v>1657.72</v>
      </c>
      <c r="M1329" s="6" t="n">
        <v>1657.72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  <c r="AF1329" s="4" t="inlineStr">
        <is>
          <t>Detección: humo y calor</t>
        </is>
      </c>
    </row>
    <row r="1330">
      <c r="A1330" s="3" t="inlineStr">
        <is>
          <t>MAT-29-006</t>
        </is>
      </c>
      <c r="B1330" s="3" t="inlineStr">
        <is>
          <t>Materiales</t>
        </is>
      </c>
      <c r="C1330" s="3" t="inlineStr">
        <is>
          <t>Detección de incendios</t>
        </is>
      </c>
      <c r="D1330" s="4" t="inlineStr">
        <is>
          <t>Estación manual de incendio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2358.36</v>
      </c>
      <c r="L1330" s="6" t="n">
        <v>870.3</v>
      </c>
      <c r="M1330" s="6" t="n">
        <v>4065.41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</row>
    <row r="1331">
      <c r="A1331" s="3" t="inlineStr">
        <is>
          <t>MAT-29-007</t>
        </is>
      </c>
      <c r="B1331" s="3" t="inlineStr">
        <is>
          <t>Materiales</t>
        </is>
      </c>
      <c r="C1331" s="3" t="inlineStr">
        <is>
          <t>Detección de incendios</t>
        </is>
      </c>
      <c r="D1331" s="4" t="inlineStr">
        <is>
          <t>Sirena o estrobo de incendio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3502.55</v>
      </c>
      <c r="L1331" s="6" t="n">
        <v>3502.55</v>
      </c>
      <c r="M1331" s="6" t="n">
        <v>3502.55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</row>
    <row r="1332">
      <c r="A1332" s="3" t="inlineStr">
        <is>
          <t>MAT-29-008</t>
        </is>
      </c>
      <c r="B1332" s="3" t="inlineStr">
        <is>
          <t>Materiales</t>
        </is>
      </c>
      <c r="C1332" s="3" t="inlineStr">
        <is>
          <t>Detección de incendios</t>
        </is>
      </c>
      <c r="D1332" s="4" t="inlineStr">
        <is>
          <t>Accesorio de sistema de incendio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270.76</v>
      </c>
      <c r="L1332" s="6" t="n">
        <v>232.07</v>
      </c>
      <c r="M1332" s="6" t="n">
        <v>615.97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</row>
    <row r="1333">
      <c r="A1333" s="3" t="inlineStr">
        <is>
          <t>MAT-30-003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Cable de red blindado</t>
        </is>
      </c>
      <c r="E1333" s="4" t="inlineStr"/>
      <c r="F1333" s="3" t="inlineStr">
        <is>
          <t>rollo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1675.6</v>
      </c>
      <c r="L1333" s="6" t="n">
        <v>1675.6</v>
      </c>
      <c r="M1333" s="6" t="n">
        <v>1675.6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  <c r="AF1333" s="4" t="inlineStr">
        <is>
          <t>Blindaje: blindado</t>
        </is>
      </c>
    </row>
    <row r="1334">
      <c r="A1334" s="3" t="inlineStr">
        <is>
          <t>MAT-30-004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Cable de red Cat 5</t>
        </is>
      </c>
      <c r="E1334" s="4" t="inlineStr"/>
      <c r="F1334" s="3" t="inlineStr">
        <is>
          <t>rollo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106.6</v>
      </c>
      <c r="L1334" s="6" t="n">
        <v>72.59999999999999</v>
      </c>
      <c r="M1334" s="6" t="n">
        <v>125.64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F1334" s="4" t="inlineStr">
        <is>
          <t>Categoría de cable: 5 · Largo (m): 305</t>
        </is>
      </c>
    </row>
    <row r="1335">
      <c r="A1335" s="3" t="inlineStr">
        <is>
          <t>MAT-30-005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Cable de red Cat 5 blindado</t>
        </is>
      </c>
      <c r="E1335" s="4" t="inlineStr"/>
      <c r="F1335" s="3" t="inlineStr">
        <is>
          <t>rollo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813.6</v>
      </c>
      <c r="L1335" s="6" t="n">
        <v>813.6</v>
      </c>
      <c r="M1335" s="6" t="n">
        <v>813.6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  <c r="AF1335" s="4" t="inlineStr">
        <is>
          <t>Categoría de cable: 5 · Blindaje: blindado</t>
        </is>
      </c>
    </row>
    <row r="1336">
      <c r="A1336" s="3" t="inlineStr">
        <is>
          <t>MAT-30-007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Cable de red Cat 6A</t>
        </is>
      </c>
      <c r="E1336" s="4" t="inlineStr"/>
      <c r="F1336" s="3" t="inlineStr">
        <is>
          <t>rollo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466.67</v>
      </c>
      <c r="L1336" s="6" t="n">
        <v>215.59</v>
      </c>
      <c r="M1336" s="6" t="n">
        <v>860.04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Ochoa (8A)</t>
        </is>
      </c>
      <c r="AF1336" s="4" t="inlineStr">
        <is>
          <t>Categoría de cable: 6A</t>
        </is>
      </c>
    </row>
    <row r="1337">
      <c r="A1337" s="3" t="inlineStr">
        <is>
          <t>MAT-30-009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Jack RJ45 Cat 5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106.97</v>
      </c>
      <c r="L1337" s="6" t="n">
        <v>106.97</v>
      </c>
      <c r="M1337" s="6" t="n">
        <v>106.97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Ochoa (8A)</t>
        </is>
      </c>
      <c r="AF1337" s="4" t="inlineStr">
        <is>
          <t>Categoría de cable: 5</t>
        </is>
      </c>
    </row>
    <row r="1338">
      <c r="A1338" s="3" t="inlineStr">
        <is>
          <t>MAT-30-010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Jack RJ45 Cat 6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254.97</v>
      </c>
      <c r="L1338" s="6" t="n">
        <v>189.16</v>
      </c>
      <c r="M1338" s="6" t="n">
        <v>1513.22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Ochoa (8A)</t>
        </is>
      </c>
      <c r="AF1338" s="4" t="inlineStr">
        <is>
          <t>Categoría de cable: 6</t>
        </is>
      </c>
    </row>
    <row r="1339">
      <c r="A1339" s="3" t="inlineStr">
        <is>
          <t>MAT-30-011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Jack RJ45 Cat 6A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256.97</v>
      </c>
      <c r="L1339" s="6" t="n">
        <v>256.97</v>
      </c>
      <c r="M1339" s="6" t="n">
        <v>256.97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Ochoa (8A)</t>
        </is>
      </c>
      <c r="AF1339" s="4" t="inlineStr">
        <is>
          <t>Categoría de cable: 6A</t>
        </is>
      </c>
    </row>
    <row r="1340">
      <c r="A1340" s="3" t="inlineStr">
        <is>
          <t>MAT-30-012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Jack RJ45 Cat 6A blindado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334.53</v>
      </c>
      <c r="L1340" s="6" t="n">
        <v>275.76</v>
      </c>
      <c r="M1340" s="6" t="n">
        <v>439.42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Ochoa (8A)</t>
        </is>
      </c>
      <c r="AF1340" s="4" t="inlineStr">
        <is>
          <t>Categoría de cable: 6A · Blindaje: blindado</t>
        </is>
      </c>
    </row>
    <row r="1341">
      <c r="A1341" s="3" t="inlineStr">
        <is>
          <t>MAT-30-013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Patch panel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1305.12</v>
      </c>
      <c r="L1341" s="6" t="n">
        <v>192.87</v>
      </c>
      <c r="M1341" s="6" t="n">
        <v>1396.76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Ochoa (8A)</t>
        </is>
      </c>
    </row>
    <row r="1342">
      <c r="A1342" s="3" t="inlineStr">
        <is>
          <t>MAT-30-014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Patch panel 24 puertos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5568.67</v>
      </c>
      <c r="L1342" s="6" t="n">
        <v>5568.67</v>
      </c>
      <c r="M1342" s="6" t="n">
        <v>5568.67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Ochoa (8A)</t>
        </is>
      </c>
      <c r="AF1342" s="4" t="inlineStr">
        <is>
          <t>Puertos: 24</t>
        </is>
      </c>
    </row>
    <row r="1343">
      <c r="A1343" s="3" t="inlineStr">
        <is>
          <t>MAT-30-015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Patch panel 48 puertos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1782.28</v>
      </c>
      <c r="L1343" s="6" t="n">
        <v>1782.28</v>
      </c>
      <c r="M1343" s="6" t="n">
        <v>1782.28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Ochoa (8A)</t>
        </is>
      </c>
      <c r="AF1343" s="4" t="inlineStr">
        <is>
          <t>Puertos: 48</t>
        </is>
      </c>
    </row>
    <row r="1344">
      <c r="A1344" s="3" t="inlineStr">
        <is>
          <t>MAT-30-016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Placa de pared para datos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102.17</v>
      </c>
      <c r="L1344" s="6" t="n">
        <v>77.06</v>
      </c>
      <c r="M1344" s="6" t="n">
        <v>612.77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Ochoa (8A)</t>
        </is>
      </c>
    </row>
    <row r="1345">
      <c r="A1345" s="3" t="inlineStr">
        <is>
          <t>MAT-30-019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Placa de pared para datos 3 puertos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1196.92</v>
      </c>
      <c r="L1345" s="6" t="n">
        <v>1196.92</v>
      </c>
      <c r="M1345" s="6" t="n">
        <v>1196.92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Ochoa (8A)</t>
        </is>
      </c>
      <c r="AF1345" s="4" t="inlineStr">
        <is>
          <t>Puertos: 3</t>
        </is>
      </c>
    </row>
    <row r="1346">
      <c r="A1346" s="3" t="inlineStr">
        <is>
          <t>MAT-30-021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Equipo de red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4902.12</v>
      </c>
      <c r="L1346" s="6" t="n">
        <v>587.39</v>
      </c>
      <c r="M1346" s="6" t="n">
        <v>18998.93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Ochoa (8A)</t>
        </is>
      </c>
    </row>
    <row r="1347">
      <c r="A1347" s="3" t="inlineStr">
        <is>
          <t>MAT-30-022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Equipo de red 24 puertos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16692.67</v>
      </c>
      <c r="L1347" s="6" t="n">
        <v>16692.67</v>
      </c>
      <c r="M1347" s="6" t="n">
        <v>16692.67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Ochoa (8A)</t>
        </is>
      </c>
      <c r="AF1347" s="4" t="inlineStr">
        <is>
          <t>Puertos: 24</t>
        </is>
      </c>
    </row>
    <row r="1348">
      <c r="A1348" s="3" t="inlineStr">
        <is>
          <t>MAT-30-027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12 V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2813.06</v>
      </c>
      <c r="L1348" s="6" t="n">
        <v>1111.78</v>
      </c>
      <c r="M1348" s="6" t="n">
        <v>4514.34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Ochoa (8A)</t>
        </is>
      </c>
      <c r="AF1348" s="4" t="inlineStr">
        <is>
          <t>Voltaje (V): 12 · Amperaje (A): 4</t>
        </is>
      </c>
    </row>
    <row r="1349">
      <c r="A1349" s="3" t="inlineStr">
        <is>
          <t>MAT-30-028</t>
        </is>
      </c>
      <c r="B1349" s="3" t="inlineStr">
        <is>
          <t>Materiales</t>
        </is>
      </c>
      <c r="C1349" s="3" t="inlineStr">
        <is>
          <t>Cableado estructurado y redes</t>
        </is>
      </c>
      <c r="D1349" s="4" t="inlineStr">
        <is>
          <t>Fuente de alimentación para sistemas 120 V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1031.86</v>
      </c>
      <c r="L1349" s="6" t="n">
        <v>906.34</v>
      </c>
      <c r="M1349" s="6" t="n">
        <v>1157.38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Ochoa (8A)</t>
        </is>
      </c>
      <c r="AF1349" s="4" t="inlineStr">
        <is>
          <t>Voltaje (V): 120</t>
        </is>
      </c>
    </row>
    <row r="1350">
      <c r="A1350" s="3" t="inlineStr">
        <is>
          <t>MAT-30-029</t>
        </is>
      </c>
      <c r="B1350" s="3" t="inlineStr">
        <is>
          <t>Materiales</t>
        </is>
      </c>
      <c r="C1350" s="3" t="inlineStr">
        <is>
          <t>Cableado estructurado y redes</t>
        </is>
      </c>
      <c r="D1350" s="4" t="inlineStr">
        <is>
          <t>Fuente de alimentación para sistemas 24 V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13861.06</v>
      </c>
      <c r="L1350" s="6" t="n">
        <v>11089.49</v>
      </c>
      <c r="M1350" s="6" t="n">
        <v>16632.64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Ochoa (8A)</t>
        </is>
      </c>
      <c r="AF1350" s="4" t="inlineStr">
        <is>
          <t>Voltaje (V): 24 · Amperaje (A): 8</t>
        </is>
      </c>
    </row>
    <row r="1351">
      <c r="A1351" s="3" t="inlineStr">
        <is>
          <t>MAT-30-030</t>
        </is>
      </c>
      <c r="B1351" s="3" t="inlineStr">
        <is>
          <t>Materiales</t>
        </is>
      </c>
      <c r="C1351" s="3" t="inlineStr">
        <is>
          <t>Cableado estructurado y redes</t>
        </is>
      </c>
      <c r="D1351" s="4" t="inlineStr">
        <is>
          <t>Fuente de alimentación para sistemas 275 V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28.95</v>
      </c>
      <c r="L1351" s="6" t="n">
        <v>28.95</v>
      </c>
      <c r="M1351" s="6" t="n">
        <v>28.95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Ochoa (8A)</t>
        </is>
      </c>
      <c r="AF1351" s="4" t="inlineStr">
        <is>
          <t>Voltaje (V): 275</t>
        </is>
      </c>
    </row>
    <row r="1352">
      <c r="A1352" s="3" t="inlineStr">
        <is>
          <t>MAT-30-031</t>
        </is>
      </c>
      <c r="B1352" s="3" t="inlineStr">
        <is>
          <t>Materiales</t>
        </is>
      </c>
      <c r="C1352" s="3" t="inlineStr">
        <is>
          <t>Cableado estructurado y redes</t>
        </is>
      </c>
      <c r="D1352" s="4" t="inlineStr">
        <is>
          <t>Fuente de alimentación para sistemas 277 V</t>
        </is>
      </c>
      <c r="E1352" s="4" t="inlineStr"/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2150.5</v>
      </c>
      <c r="L1352" s="6" t="n">
        <v>2150.5</v>
      </c>
      <c r="M1352" s="6" t="n">
        <v>2150.5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Ochoa (8A)</t>
        </is>
      </c>
      <c r="AF1352" s="4" t="inlineStr">
        <is>
          <t>Voltaje (V): 277</t>
        </is>
      </c>
    </row>
    <row r="1353">
      <c r="A1353" s="3" t="inlineStr">
        <is>
          <t>MAT-31-003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1 canales</t>
        </is>
      </c>
      <c r="E1353" s="4" t="inlineStr">
        <is>
          <t>Necesita neutro en la caja</t>
        </is>
      </c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1549.16</v>
      </c>
      <c r="L1353" s="6" t="n">
        <v>1089.61</v>
      </c>
      <c r="M1353" s="6" t="n">
        <v>2008.71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Ochoa (8A)</t>
        </is>
      </c>
      <c r="Y1353" s="7" t="n">
        <v>1</v>
      </c>
    </row>
    <row r="1354">
      <c r="A1354" s="3" t="inlineStr">
        <is>
          <t>MAT-31-004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1 canales con neutro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2892.27</v>
      </c>
      <c r="L1354" s="6" t="n">
        <v>2892.27</v>
      </c>
      <c r="M1354" s="6" t="n">
        <v>2892.27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Ochoa (8A)</t>
        </is>
      </c>
      <c r="Y1354" s="7" t="n">
        <v>1</v>
      </c>
      <c r="AF1354" s="4" t="inlineStr">
        <is>
          <t>Neutro: con</t>
        </is>
      </c>
    </row>
    <row r="1355">
      <c r="A1355" s="3" t="inlineStr">
        <is>
          <t>MAT-31-005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1 canales sin neutro</t>
        </is>
      </c>
      <c r="E1355" s="4" t="inlineStr"/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2958.46</v>
      </c>
      <c r="L1355" s="6" t="n">
        <v>2958.46</v>
      </c>
      <c r="M1355" s="6" t="n">
        <v>2958.46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Ochoa (8A)</t>
        </is>
      </c>
      <c r="Y1355" s="7" t="n">
        <v>1</v>
      </c>
      <c r="AF1355" s="4" t="inlineStr">
        <is>
          <t>Neutro: sin</t>
        </is>
      </c>
    </row>
    <row r="1356">
      <c r="A1356" s="3" t="inlineStr">
        <is>
          <t>MAT-31-006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Interruptor inteligente 2 canales</t>
        </is>
      </c>
      <c r="E1356" s="4" t="inlineStr">
        <is>
          <t>Necesita neutro en la caja</t>
        </is>
      </c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1632.51</v>
      </c>
      <c r="L1356" s="6" t="n">
        <v>1210.31</v>
      </c>
      <c r="M1356" s="6" t="n">
        <v>2054.7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Ochoa (8A)</t>
        </is>
      </c>
      <c r="Y1356" s="7" t="n">
        <v>2</v>
      </c>
    </row>
    <row r="1357">
      <c r="A1357" s="3" t="inlineStr">
        <is>
          <t>MAT-31-007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Interruptor inteligente 2 canales con neutro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2743.31</v>
      </c>
      <c r="L1357" s="6" t="n">
        <v>2743.31</v>
      </c>
      <c r="M1357" s="6" t="n">
        <v>2743.31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Ochoa (8A)</t>
        </is>
      </c>
      <c r="Y1357" s="7" t="n">
        <v>2</v>
      </c>
      <c r="AF1357" s="4" t="inlineStr">
        <is>
          <t>Neutro: con</t>
        </is>
      </c>
    </row>
    <row r="1358">
      <c r="A1358" s="3" t="inlineStr">
        <is>
          <t>MAT-31-008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Interruptor inteligente 2 canales sin neutro</t>
        </is>
      </c>
      <c r="E1358" s="4" t="inlineStr"/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2743.31</v>
      </c>
      <c r="L1358" s="6" t="n">
        <v>2743.31</v>
      </c>
      <c r="M1358" s="6" t="n">
        <v>2743.31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Ochoa (8A)</t>
        </is>
      </c>
      <c r="Y1358" s="7" t="n">
        <v>2</v>
      </c>
      <c r="AF1358" s="4" t="inlineStr">
        <is>
          <t>Neutro: sin</t>
        </is>
      </c>
    </row>
    <row r="1359">
      <c r="A1359" s="3" t="inlineStr">
        <is>
          <t>MAT-31-009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Interruptor inteligente 3 canales</t>
        </is>
      </c>
      <c r="E1359" s="4" t="inlineStr">
        <is>
          <t>Necesita neutro en la caja</t>
        </is>
      </c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4577.22</v>
      </c>
      <c r="L1359" s="6" t="n">
        <v>1497.83</v>
      </c>
      <c r="M1359" s="6" t="n">
        <v>7656.61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Ochoa (8A)</t>
        </is>
      </c>
      <c r="Y1359" s="7" t="n">
        <v>3</v>
      </c>
    </row>
    <row r="1360">
      <c r="A1360" s="3" t="inlineStr">
        <is>
          <t>MAT-31-011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Central de domótica</t>
        </is>
      </c>
      <c r="E1360" s="4" t="inlineStr"/>
      <c r="F1360" s="3" t="inlineStr">
        <is>
          <t>unidad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5847.29</v>
      </c>
      <c r="L1360" s="6" t="n">
        <v>1143.26</v>
      </c>
      <c r="M1360" s="6" t="n">
        <v>85380.83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Ochoa (8A)</t>
        </is>
      </c>
    </row>
    <row r="1361">
      <c r="A1361" s="3" t="inlineStr">
        <is>
          <t>MAT-31-012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4 apartamentos con video</t>
        </is>
      </c>
      <c r="E1361" s="4" t="inlineStr"/>
      <c r="F1361" s="3" t="inlineStr">
        <is>
          <t>juego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32009.7</v>
      </c>
      <c r="L1361" s="6" t="n">
        <v>32009.7</v>
      </c>
      <c r="M1361" s="6" t="n">
        <v>32009.7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Ochoa (8A)</t>
        </is>
      </c>
      <c r="AF1361" s="4" t="inlineStr">
        <is>
          <t>Apartamentos: 4 · Video: si</t>
        </is>
      </c>
    </row>
    <row r="1362">
      <c r="A1362" s="3" t="inlineStr">
        <is>
          <t>MAT-31-013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Kit de intercomunicador 6 apartamentos con video</t>
        </is>
      </c>
      <c r="E1362" s="4" t="inlineStr"/>
      <c r="F1362" s="3" t="inlineStr">
        <is>
          <t>juego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41504.58</v>
      </c>
      <c r="L1362" s="6" t="n">
        <v>41504.58</v>
      </c>
      <c r="M1362" s="6" t="n">
        <v>41504.58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Ochoa (8A)</t>
        </is>
      </c>
      <c r="AF1362" s="4" t="inlineStr">
        <is>
          <t>Apartamentos: 6 · Video: si</t>
        </is>
      </c>
    </row>
    <row r="1363">
      <c r="A1363" s="3" t="inlineStr">
        <is>
          <t>MAT-31-014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Kit de intercomunicador 8 apartamentos solo audio</t>
        </is>
      </c>
      <c r="E1363" s="4" t="inlineStr"/>
      <c r="F1363" s="3" t="inlineStr">
        <is>
          <t>juego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16951.2</v>
      </c>
      <c r="L1363" s="6" t="n">
        <v>16951.2</v>
      </c>
      <c r="M1363" s="6" t="n">
        <v>16951.2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Ochoa (8A)</t>
        </is>
      </c>
      <c r="AF1363" s="4" t="inlineStr">
        <is>
          <t>Apartamentos: 8 · Video: no</t>
        </is>
      </c>
    </row>
    <row r="1364">
      <c r="A1364" s="3" t="inlineStr">
        <is>
          <t>MAT-31-015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Kit de intercomunicador 8 apartamentos con video</t>
        </is>
      </c>
      <c r="E1364" s="4" t="inlineStr"/>
      <c r="F1364" s="3" t="inlineStr">
        <is>
          <t>juego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50715.2</v>
      </c>
      <c r="L1364" s="6" t="n">
        <v>50715.2</v>
      </c>
      <c r="M1364" s="6" t="n">
        <v>50715.2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Ochoa (8A)</t>
        </is>
      </c>
      <c r="AF1364" s="4" t="inlineStr">
        <is>
          <t>Apartamentos: 8 · Video: si</t>
        </is>
      </c>
    </row>
    <row r="1365">
      <c r="A1365" s="3" t="inlineStr">
        <is>
          <t>MAT-31-016</t>
        </is>
      </c>
      <c r="B1365" s="3" t="inlineStr">
        <is>
          <t>Materiales</t>
        </is>
      </c>
      <c r="C1365" s="3" t="inlineStr">
        <is>
          <t>Domótica e intercomunicadores</t>
        </is>
      </c>
      <c r="D1365" s="4" t="inlineStr">
        <is>
          <t>Kit de intercomunicador con video</t>
        </is>
      </c>
      <c r="E1365" s="4" t="inlineStr"/>
      <c r="F1365" s="3" t="inlineStr">
        <is>
          <t>juego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12858.25</v>
      </c>
      <c r="L1365" s="6" t="n">
        <v>8802.870000000001</v>
      </c>
      <c r="M1365" s="6" t="n">
        <v>22538.2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Ochoa (8A)</t>
        </is>
      </c>
      <c r="AF1365" s="4" t="inlineStr">
        <is>
          <t>Video: si</t>
        </is>
      </c>
    </row>
    <row r="1366">
      <c r="A1366" s="3" t="inlineStr">
        <is>
          <t>MAT-31-017</t>
        </is>
      </c>
      <c r="B1366" s="3" t="inlineStr">
        <is>
          <t>Materiales</t>
        </is>
      </c>
      <c r="C1366" s="3" t="inlineStr">
        <is>
          <t>Domótica e intercomunicadores</t>
        </is>
      </c>
      <c r="D1366" s="4" t="inlineStr">
        <is>
          <t>Estación de intercomunicador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9200.34</v>
      </c>
      <c r="L1366" s="6" t="n">
        <v>9200.34</v>
      </c>
      <c r="M1366" s="6" t="n">
        <v>9200.34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Ochoa (8A)</t>
        </is>
      </c>
    </row>
    <row r="1367">
      <c r="A1367" s="3" t="inlineStr">
        <is>
          <t>MAT-31-018</t>
        </is>
      </c>
      <c r="B1367" s="3" t="inlineStr">
        <is>
          <t>Materiales</t>
        </is>
      </c>
      <c r="C1367" s="3" t="inlineStr">
        <is>
          <t>Domótica e intercomunicadores</t>
        </is>
      </c>
      <c r="D1367" s="4" t="inlineStr">
        <is>
          <t>Estación de intercomunicador 7"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14861.01</v>
      </c>
      <c r="L1367" s="6" t="n">
        <v>14861.01</v>
      </c>
      <c r="M1367" s="6" t="n">
        <v>14861.01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Ochoa (8A)</t>
        </is>
      </c>
      <c r="AF1367" s="4" t="inlineStr">
        <is>
          <t>Pulgadas: 7</t>
        </is>
      </c>
    </row>
    <row r="1368">
      <c r="A1368" s="3" t="inlineStr">
        <is>
          <t>MAT-31-019</t>
        </is>
      </c>
      <c r="B1368" s="3" t="inlineStr">
        <is>
          <t>Materiales</t>
        </is>
      </c>
      <c r="C1368" s="3" t="inlineStr">
        <is>
          <t>Domótica e intercomunicadores</t>
        </is>
      </c>
      <c r="D1368" s="4" t="inlineStr">
        <is>
          <t>Accesorio de intercomunicador</t>
        </is>
      </c>
      <c r="E1368" s="4" t="inlineStr"/>
      <c r="F1368" s="3" t="inlineStr">
        <is>
          <t>unidad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1765.47</v>
      </c>
      <c r="L1368" s="6" t="n">
        <v>305.08</v>
      </c>
      <c r="M1368" s="6" t="n">
        <v>11519.81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2026-09-09</t>
        </is>
      </c>
      <c r="Q1368" s="4" t="inlineStr">
        <is>
          <t>Ferretería Ochoa (8A)</t>
        </is>
      </c>
    </row>
    <row r="1369">
      <c r="A1369" s="3" t="inlineStr">
        <is>
          <t>MAT-32-008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Acero Inoxidable SCH-40 1/2" x 20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3075</v>
      </c>
      <c r="L1369" s="6" t="n">
        <v>3075</v>
      </c>
      <c r="M1369" s="6" t="n">
        <v>3075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</t>
        </is>
      </c>
      <c r="Z1369" s="7" t="n">
        <v>20</v>
      </c>
      <c r="AF1369" s="4" t="inlineStr">
        <is>
          <t>material: Acero Inoxidable · norma: SCH-40 · diametro: 1/2"</t>
        </is>
      </c>
    </row>
    <row r="1370">
      <c r="A1370" s="3" t="inlineStr">
        <is>
          <t>MAT-32-009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CPVC SDR-11 1/2" x 10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231</v>
      </c>
      <c r="L1370" s="6" t="n">
        <v>231</v>
      </c>
      <c r="M1370" s="6" t="n">
        <v>231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</t>
        </is>
      </c>
      <c r="Z1370" s="7" t="n">
        <v>10</v>
      </c>
      <c r="AF1370" s="4" t="inlineStr">
        <is>
          <t>material: CPVC · norma: SDR-11 · diametro: 1/2"</t>
        </is>
      </c>
    </row>
    <row r="1371">
      <c r="A1371" s="3" t="inlineStr">
        <is>
          <t>MAT-32-010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CPVC SDR-11 1" x 10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650</v>
      </c>
      <c r="L1371" s="6" t="n">
        <v>650</v>
      </c>
      <c r="M1371" s="6" t="n">
        <v>650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</t>
        </is>
      </c>
      <c r="Z1371" s="7" t="n">
        <v>10</v>
      </c>
      <c r="AF1371" s="4" t="inlineStr">
        <is>
          <t>material: CPVC · norma: SDR-11 · diametro: 1"</t>
        </is>
      </c>
    </row>
    <row r="1372">
      <c r="A1372" s="3" t="inlineStr">
        <is>
          <t>MAT-32-011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CPVC SDR-11 3/4" x 10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347</v>
      </c>
      <c r="L1372" s="6" t="n">
        <v>347</v>
      </c>
      <c r="M1372" s="6" t="n">
        <v>347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2026-09-10</t>
        </is>
      </c>
      <c r="Q1372" s="4" t="inlineStr">
        <is>
          <t>Bellón</t>
        </is>
      </c>
      <c r="Z1372" s="7" t="n">
        <v>10</v>
      </c>
      <c r="AF1372" s="4" t="inlineStr">
        <is>
          <t>material: CPVC · norma: SDR-11 · diametro: 3/4"</t>
        </is>
      </c>
    </row>
    <row r="1373">
      <c r="A1373" s="3" t="inlineStr">
        <is>
          <t>MAT-32-012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2" x 19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498</v>
      </c>
      <c r="L1373" s="6" t="n">
        <v>267</v>
      </c>
      <c r="M1373" s="6" t="n">
        <v>729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</t>
        </is>
      </c>
      <c r="Z1373" s="7" t="n">
        <v>19</v>
      </c>
      <c r="AF1373" s="4" t="inlineStr">
        <is>
          <t>material: PVC · norma: DRENAJE · diametro: 2"</t>
        </is>
      </c>
    </row>
    <row r="1374">
      <c r="A1374" s="3" t="inlineStr">
        <is>
          <t>MAT-32-013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DRENAJE 3" x 19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2</v>
      </c>
      <c r="K1374" s="6" t="n">
        <v>875.63</v>
      </c>
      <c r="L1374" s="6" t="n">
        <v>784.26</v>
      </c>
      <c r="M1374" s="6" t="n">
        <v>967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2026-09-10</t>
        </is>
      </c>
      <c r="Q1374" s="4" t="inlineStr">
        <is>
          <t>Bellón · Ferretería Cima</t>
        </is>
      </c>
      <c r="Z1374" s="7" t="n">
        <v>19</v>
      </c>
      <c r="AF1374" s="4" t="inlineStr">
        <is>
          <t>material: PVC · norma: DRENAJE · diametro: 3"</t>
        </is>
      </c>
    </row>
    <row r="1375">
      <c r="A1375" s="3" t="inlineStr">
        <is>
          <t>MAT-32-014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DRENAJE 4" x 19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2</v>
      </c>
      <c r="K1375" s="6" t="n">
        <v>1021</v>
      </c>
      <c r="L1375" s="6" t="n">
        <v>1001</v>
      </c>
      <c r="M1375" s="6" t="n">
        <v>1041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 · Ferretería Cima</t>
        </is>
      </c>
      <c r="Z1375" s="7" t="n">
        <v>19</v>
      </c>
      <c r="AF1375" s="4" t="inlineStr">
        <is>
          <t>material: PVC · norma: DRENAJE · diametro: 4"</t>
        </is>
      </c>
    </row>
    <row r="1376">
      <c r="A1376" s="3" t="inlineStr">
        <is>
          <t>MAT-32-015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DRENAJE 6" x 19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3133.17</v>
      </c>
      <c r="L1376" s="6" t="n">
        <v>3133.17</v>
      </c>
      <c r="M1376" s="6" t="n">
        <v>3133.17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</t>
        </is>
      </c>
      <c r="Z1376" s="7" t="n">
        <v>19</v>
      </c>
      <c r="AF1376" s="4" t="inlineStr">
        <is>
          <t>material: PVC · norma: DRENAJE · diametro: 6"</t>
        </is>
      </c>
    </row>
    <row r="1377">
      <c r="A1377" s="3" t="inlineStr">
        <is>
          <t>MAT-32-016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DRENAJE 8"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1</v>
      </c>
      <c r="K1377" s="6" t="n">
        <v>5301.3</v>
      </c>
      <c r="L1377" s="6" t="n">
        <v>5301.3</v>
      </c>
      <c r="M1377" s="6" t="n">
        <v>5301.3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2026-09-10</t>
        </is>
      </c>
      <c r="Q1377" s="4" t="inlineStr">
        <is>
          <t>Bellón</t>
        </is>
      </c>
      <c r="Z1377" s="7" t="n">
        <v>19</v>
      </c>
      <c r="AF1377" s="4" t="inlineStr">
        <is>
          <t>material: PVC · norma: DRENAJE · diametro: 8"</t>
        </is>
      </c>
    </row>
    <row r="1378">
      <c r="A1378" s="3" t="inlineStr">
        <is>
          <t>MAT-32-017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1 1/2" x 19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3</v>
      </c>
      <c r="K1378" s="6" t="n">
        <v>944</v>
      </c>
      <c r="L1378" s="6" t="n">
        <v>535</v>
      </c>
      <c r="M1378" s="6" t="n">
        <v>1059.64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2026-09-09</t>
        </is>
      </c>
      <c r="Q1378" s="4" t="inlineStr">
        <is>
          <t>Ferretería Cima · Ferretería MC · Max Ferretería</t>
        </is>
      </c>
      <c r="Z1378" s="7" t="n">
        <v>19</v>
      </c>
      <c r="AF1378" s="4" t="inlineStr">
        <is>
          <t>material: PVC · norma: SCH-40 · diametro: 1 1/2"</t>
        </is>
      </c>
    </row>
    <row r="1379">
      <c r="A1379" s="3" t="inlineStr">
        <is>
          <t>MAT-32-018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1/2"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2</v>
      </c>
      <c r="K1379" s="6" t="n">
        <v>298.78</v>
      </c>
      <c r="L1379" s="6" t="n">
        <v>275</v>
      </c>
      <c r="M1379" s="6" t="n">
        <v>1025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MC</t>
        </is>
      </c>
      <c r="Z1379" s="7" t="n">
        <v>19</v>
      </c>
      <c r="AF1379" s="4" t="inlineStr">
        <is>
          <t>material: PVC · norma: SCH-40 · diametro: 1/2"</t>
        </is>
      </c>
    </row>
    <row r="1380">
      <c r="A1380" s="3" t="inlineStr">
        <is>
          <t>MAT-32-019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1" x 19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4</v>
      </c>
      <c r="K1380" s="6" t="n">
        <v>596.5</v>
      </c>
      <c r="L1380" s="6" t="n">
        <v>315</v>
      </c>
      <c r="M1380" s="6" t="n">
        <v>627.05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 · Ferretería Cima · Ferretería MC · Max Ferretería</t>
        </is>
      </c>
      <c r="Z1380" s="7" t="n">
        <v>19</v>
      </c>
      <c r="AF1380" s="4" t="inlineStr">
        <is>
          <t>material: PVC · norma: SCH-40 · diametro: 1"</t>
        </is>
      </c>
    </row>
    <row r="1381">
      <c r="A1381" s="3" t="inlineStr">
        <is>
          <t>MAT-32-020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2" x 19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3</v>
      </c>
      <c r="K1381" s="6" t="n">
        <v>1416</v>
      </c>
      <c r="L1381" s="6" t="n">
        <v>745</v>
      </c>
      <c r="M1381" s="6" t="n">
        <v>1424.97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 · Ferretería MC · Max Ferretería</t>
        </is>
      </c>
      <c r="Z1381" s="7" t="n">
        <v>19</v>
      </c>
      <c r="AF1381" s="4" t="inlineStr">
        <is>
          <t>material: PVC · norma: SCH-40 · diametro: 2"</t>
        </is>
      </c>
    </row>
    <row r="1382">
      <c r="A1382" s="3" t="inlineStr">
        <is>
          <t>MAT-32-021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2" x 9.5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698</v>
      </c>
      <c r="L1382" s="6" t="n">
        <v>698</v>
      </c>
      <c r="M1382" s="6" t="n">
        <v>698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</t>
        </is>
      </c>
      <c r="Z1382" s="7" t="n">
        <v>9.5</v>
      </c>
      <c r="AF1382" s="4" t="inlineStr">
        <is>
          <t>material: PVC · norma: SCH-40 · diametro: 2"</t>
        </is>
      </c>
    </row>
    <row r="1383">
      <c r="A1383" s="3" t="inlineStr">
        <is>
          <t>MAT-32-022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3/4" x 19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4</v>
      </c>
      <c r="K1383" s="6" t="n">
        <v>388</v>
      </c>
      <c r="L1383" s="6" t="n">
        <v>217</v>
      </c>
      <c r="M1383" s="6" t="n">
        <v>423.5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 · Ferretería Cima · Ferretería MC · Max Ferretería</t>
        </is>
      </c>
      <c r="Z1383" s="7" t="n">
        <v>19</v>
      </c>
      <c r="AF1383" s="4" t="inlineStr">
        <is>
          <t>material: PVC · norma: SCH-40 · diametro: 3/4"</t>
        </is>
      </c>
    </row>
    <row r="1384">
      <c r="A1384" s="3" t="inlineStr">
        <is>
          <t>MAT-32-023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3/4" x 9.5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1</v>
      </c>
      <c r="K1384" s="6" t="n">
        <v>154</v>
      </c>
      <c r="L1384" s="6" t="n">
        <v>154</v>
      </c>
      <c r="M1384" s="6" t="n">
        <v>154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</t>
        </is>
      </c>
      <c r="Z1384" s="7" t="n">
        <v>9.5</v>
      </c>
      <c r="AF1384" s="4" t="inlineStr">
        <is>
          <t>material: PVC · norma: SCH-40 · diametro: 3/4"</t>
        </is>
      </c>
    </row>
    <row r="1385">
      <c r="A1385" s="3" t="inlineStr">
        <is>
          <t>MAT-32-024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SCH-40 3"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2</v>
      </c>
      <c r="K1385" s="6" t="n">
        <v>2895.19</v>
      </c>
      <c r="L1385" s="6" t="n">
        <v>2832</v>
      </c>
      <c r="M1385" s="6" t="n">
        <v>2958.38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 · Ferretería MC</t>
        </is>
      </c>
      <c r="Z1385" s="7" t="n">
        <v>19</v>
      </c>
      <c r="AF1385" s="4" t="inlineStr">
        <is>
          <t>material: PVC · norma: SCH-40 · diametro: 3"</t>
        </is>
      </c>
    </row>
    <row r="1386">
      <c r="A1386" s="3" t="inlineStr">
        <is>
          <t>MAT-32-025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SCH-40 4"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2</v>
      </c>
      <c r="K1386" s="6" t="n">
        <v>4117.09</v>
      </c>
      <c r="L1386" s="6" t="n">
        <v>4020.28</v>
      </c>
      <c r="M1386" s="6" t="n">
        <v>4213.9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 · Ferretería MC</t>
        </is>
      </c>
      <c r="Z1386" s="7" t="n">
        <v>19</v>
      </c>
      <c r="AF1386" s="4" t="inlineStr">
        <is>
          <t>material: PVC · norma: SCH-40 · diametro: 4"</t>
        </is>
      </c>
    </row>
    <row r="1387">
      <c r="A1387" s="3" t="inlineStr">
        <is>
          <t>MAT-32-026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SCH-40 6" x 19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2</v>
      </c>
      <c r="K1387" s="6" t="n">
        <v>8008.1</v>
      </c>
      <c r="L1387" s="6" t="n">
        <v>7865</v>
      </c>
      <c r="M1387" s="6" t="n">
        <v>8151.2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 · Ferretería MC</t>
        </is>
      </c>
      <c r="Z1387" s="7" t="n">
        <v>19</v>
      </c>
      <c r="AF1387" s="4" t="inlineStr">
        <is>
          <t>material: PVC · norma: SCH-40 · diametro: 6"</t>
        </is>
      </c>
    </row>
    <row r="1388">
      <c r="A1388" s="3" t="inlineStr">
        <is>
          <t>MAT-32-027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SCH-40 8"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2</v>
      </c>
      <c r="K1388" s="6" t="n">
        <v>12041.54</v>
      </c>
      <c r="L1388" s="6" t="n">
        <v>11841.41</v>
      </c>
      <c r="M1388" s="6" t="n">
        <v>12241.67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 · Ferretería MC</t>
        </is>
      </c>
      <c r="Z1388" s="7" t="n">
        <v>19</v>
      </c>
      <c r="AF1388" s="4" t="inlineStr">
        <is>
          <t>material: PVC · norma: SCH-40 · diametro: 8"</t>
        </is>
      </c>
    </row>
    <row r="1389">
      <c r="A1389" s="3" t="inlineStr">
        <is>
          <t>MAT-32-028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1/2"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1098.5</v>
      </c>
      <c r="L1389" s="6" t="n">
        <v>465</v>
      </c>
      <c r="M1389" s="6" t="n">
        <v>1732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19</v>
      </c>
      <c r="AF1389" s="4" t="inlineStr">
        <is>
          <t>material: PVC · norma: SCH-80 · diametro: 1/2"</t>
        </is>
      </c>
    </row>
    <row r="1390">
      <c r="A1390" s="3" t="inlineStr">
        <is>
          <t>MAT-32-029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SCH-80 1"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905</v>
      </c>
      <c r="L1390" s="6" t="n">
        <v>905</v>
      </c>
      <c r="M1390" s="6" t="n">
        <v>905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</t>
        </is>
      </c>
      <c r="Z1390" s="7" t="n">
        <v>19</v>
      </c>
      <c r="AF1390" s="4" t="inlineStr">
        <is>
          <t>material: PVC · norma: SCH-80 · diametro: 1"</t>
        </is>
      </c>
    </row>
    <row r="1391">
      <c r="A1391" s="3" t="inlineStr">
        <is>
          <t>MAT-32-030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SCH-80 2"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2276</v>
      </c>
      <c r="L1391" s="6" t="n">
        <v>2276</v>
      </c>
      <c r="M1391" s="6" t="n">
        <v>2276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</t>
        </is>
      </c>
      <c r="Z1391" s="7" t="n">
        <v>19</v>
      </c>
      <c r="AF1391" s="4" t="inlineStr">
        <is>
          <t>material: PVC · norma: SCH-80 · diametro: 2"</t>
        </is>
      </c>
    </row>
    <row r="1392">
      <c r="A1392" s="3" t="inlineStr">
        <is>
          <t>MAT-32-031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SCH-80 3/4" x 19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621</v>
      </c>
      <c r="L1392" s="6" t="n">
        <v>621</v>
      </c>
      <c r="M1392" s="6" t="n">
        <v>621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</t>
        </is>
      </c>
      <c r="Z1392" s="7" t="n">
        <v>19</v>
      </c>
      <c r="AF1392" s="4" t="inlineStr">
        <is>
          <t>material: PVC · norma: SCH-80 · diametro: 3/4"</t>
        </is>
      </c>
    </row>
    <row r="1393">
      <c r="A1393" s="3" t="inlineStr">
        <is>
          <t>MAT-32-032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SCH-80 3"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4177</v>
      </c>
      <c r="L1393" s="6" t="n">
        <v>4177</v>
      </c>
      <c r="M1393" s="6" t="n">
        <v>4177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</t>
        </is>
      </c>
      <c r="Z1393" s="7" t="n">
        <v>19</v>
      </c>
      <c r="AF1393" s="4" t="inlineStr">
        <is>
          <t>material: PVC · norma: SCH-80 · diametro: 3"</t>
        </is>
      </c>
    </row>
    <row r="1394">
      <c r="A1394" s="3" t="inlineStr">
        <is>
          <t>MAT-32-033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SDR-13.5 1/2" x 19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181</v>
      </c>
      <c r="L1394" s="6" t="n">
        <v>181</v>
      </c>
      <c r="M1394" s="6" t="n">
        <v>181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Z1394" s="7" t="n">
        <v>19</v>
      </c>
      <c r="AF1394" s="4" t="inlineStr">
        <is>
          <t>material: PVC · norma: SDR-13.5 · diametro: 1/2"</t>
        </is>
      </c>
    </row>
    <row r="1395">
      <c r="A1395" s="3" t="inlineStr">
        <is>
          <t>MAT-32-034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SDR-21 1" x 19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320</v>
      </c>
      <c r="L1395" s="6" t="n">
        <v>320</v>
      </c>
      <c r="M1395" s="6" t="n">
        <v>320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2026-09-10</t>
        </is>
      </c>
      <c r="Q1395" s="4" t="inlineStr">
        <is>
          <t>Bellón</t>
        </is>
      </c>
      <c r="Z1395" s="7" t="n">
        <v>19</v>
      </c>
      <c r="AF1395" s="4" t="inlineStr">
        <is>
          <t>material: PVC · norma: SDR-21 · diametro: 1"</t>
        </is>
      </c>
    </row>
    <row r="1396">
      <c r="A1396" s="3" t="inlineStr">
        <is>
          <t>MAT-32-035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SDR-21 1" x 9.5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176</v>
      </c>
      <c r="L1396" s="6" t="n">
        <v>176</v>
      </c>
      <c r="M1396" s="6" t="n">
        <v>176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</t>
        </is>
      </c>
      <c r="Z1396" s="7" t="n">
        <v>9.5</v>
      </c>
      <c r="AF1396" s="4" t="inlineStr">
        <is>
          <t>material: PVC · norma: SDR-21 · diametro: 1"</t>
        </is>
      </c>
    </row>
    <row r="1397">
      <c r="A1397" s="3" t="inlineStr">
        <is>
          <t>MAT-32-036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SDR-21 3/4" x 19 pies</t>
        </is>
      </c>
      <c r="E1397" s="4" t="inlineStr"/>
      <c r="F1397" s="3" t="inlineStr">
        <is>
          <t>tubo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260</v>
      </c>
      <c r="L1397" s="6" t="n">
        <v>260</v>
      </c>
      <c r="M1397" s="6" t="n">
        <v>260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2026-09-10</t>
        </is>
      </c>
      <c r="Q1397" s="4" t="inlineStr">
        <is>
          <t>Bellón</t>
        </is>
      </c>
      <c r="Z1397" s="7" t="n">
        <v>19</v>
      </c>
      <c r="AF1397" s="4" t="inlineStr">
        <is>
          <t>material: PVC · norma: SDR-21 · diametro: 3/4"</t>
        </is>
      </c>
    </row>
    <row r="1398">
      <c r="A1398" s="3" t="inlineStr">
        <is>
          <t>MAT-32-037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SDR-21 3/4" x 9.5 pies</t>
        </is>
      </c>
      <c r="E1398" s="4" t="inlineStr"/>
      <c r="F1398" s="3" t="inlineStr">
        <is>
          <t>tubo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146</v>
      </c>
      <c r="L1398" s="6" t="n">
        <v>146</v>
      </c>
      <c r="M1398" s="6" t="n">
        <v>146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2026-09-10</t>
        </is>
      </c>
      <c r="Q1398" s="4" t="inlineStr">
        <is>
          <t>Bellón</t>
        </is>
      </c>
      <c r="Z1398" s="7" t="n">
        <v>9.5</v>
      </c>
      <c r="AF1398" s="4" t="inlineStr">
        <is>
          <t>material: PVC · norma: SDR-21 · diametro: 3/4"</t>
        </is>
      </c>
    </row>
    <row r="1399">
      <c r="A1399" s="3" t="inlineStr">
        <is>
          <t>MAT-32-038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 1/2" x 19 pies</t>
        </is>
      </c>
      <c r="E1399" s="4" t="inlineStr"/>
      <c r="F1399" s="3" t="inlineStr">
        <is>
          <t>tubo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585.99</v>
      </c>
      <c r="L1399" s="6" t="n">
        <v>585.99</v>
      </c>
      <c r="M1399" s="6" t="n">
        <v>585.99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2026-09-09</t>
        </is>
      </c>
      <c r="Q1399" s="4" t="inlineStr">
        <is>
          <t>Ferretería MC</t>
        </is>
      </c>
      <c r="Z1399" s="7" t="n">
        <v>19</v>
      </c>
      <c r="AF1399" s="4" t="inlineStr">
        <is>
          <t>material: PVC · norma: SDR-26 · diametro: 1 1/2"</t>
        </is>
      </c>
    </row>
    <row r="1400">
      <c r="A1400" s="3" t="inlineStr">
        <is>
          <t>MAT-32-039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1/2" x 19 pies</t>
        </is>
      </c>
      <c r="E1400" s="4" t="inlineStr"/>
      <c r="F1400" s="3" t="inlineStr">
        <is>
          <t>tubo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3</v>
      </c>
      <c r="K1400" s="6" t="n">
        <v>113.88</v>
      </c>
      <c r="L1400" s="6" t="n">
        <v>70.78</v>
      </c>
      <c r="M1400" s="6" t="n">
        <v>565.4400000000001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2026-09-10</t>
        </is>
      </c>
      <c r="Q1400" s="4" t="inlineStr">
        <is>
          <t>Bellón · Ferretería Cima · Ferretería MC</t>
        </is>
      </c>
      <c r="Z1400" s="7" t="n">
        <v>19</v>
      </c>
      <c r="AF1400" s="4" t="inlineStr">
        <is>
          <t>material: PVC · norma: SDR-26 · diametro: 1/2"</t>
        </is>
      </c>
    </row>
    <row r="1401">
      <c r="A1401" s="3" t="inlineStr">
        <is>
          <t>MAT-32-040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1/2" x 9.5 pies</t>
        </is>
      </c>
      <c r="E1401" s="4" t="inlineStr"/>
      <c r="F1401" s="3" t="inlineStr">
        <is>
          <t>tubo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293</v>
      </c>
      <c r="L1401" s="6" t="n">
        <v>293</v>
      </c>
      <c r="M1401" s="6" t="n">
        <v>293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</t>
        </is>
      </c>
      <c r="Z1401" s="7" t="n">
        <v>9.5</v>
      </c>
      <c r="AF1401" s="4" t="inlineStr">
        <is>
          <t>material: PVC · norma: SDR-26 · diametro: 1/2"</t>
        </is>
      </c>
    </row>
    <row r="1402">
      <c r="A1402" s="3" t="inlineStr">
        <is>
          <t>MAT-32-041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1" x 19 pies</t>
        </is>
      </c>
      <c r="E1402" s="4" t="inlineStr"/>
      <c r="F1402" s="3" t="inlineStr">
        <is>
          <t>tubo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3</v>
      </c>
      <c r="K1402" s="6" t="n">
        <v>294.06</v>
      </c>
      <c r="L1402" s="6" t="n">
        <v>269</v>
      </c>
      <c r="M1402" s="6" t="n">
        <v>305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 · Ferretería Cima · Ferretería MC</t>
        </is>
      </c>
      <c r="Z1402" s="7" t="n">
        <v>19</v>
      </c>
      <c r="AF1402" s="4" t="inlineStr">
        <is>
          <t>material: PVC · norma: SDR-26 · diametro: 1"</t>
        </is>
      </c>
    </row>
    <row r="1403">
      <c r="A1403" s="3" t="inlineStr">
        <is>
          <t>MAT-32-042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1" x 9.5 pies</t>
        </is>
      </c>
      <c r="E1403" s="4" t="inlineStr"/>
      <c r="F1403" s="3" t="inlineStr">
        <is>
          <t>tubo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150</v>
      </c>
      <c r="L1403" s="6" t="n">
        <v>150</v>
      </c>
      <c r="M1403" s="6" t="n">
        <v>150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</t>
        </is>
      </c>
      <c r="Z1403" s="7" t="n">
        <v>9.5</v>
      </c>
      <c r="AF1403" s="4" t="inlineStr">
        <is>
          <t>material: PVC · norma: SDR-26 · diametro: 1"</t>
        </is>
      </c>
    </row>
    <row r="1404">
      <c r="A1404" s="3" t="inlineStr">
        <is>
          <t>MAT-32-043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2" x 19 pies</t>
        </is>
      </c>
      <c r="E1404" s="4" t="inlineStr"/>
      <c r="F1404" s="3" t="inlineStr">
        <is>
          <t>tubo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2</v>
      </c>
      <c r="K1404" s="6" t="n">
        <v>897.37</v>
      </c>
      <c r="L1404" s="6" t="n">
        <v>881.41</v>
      </c>
      <c r="M1404" s="6" t="n">
        <v>913.3200000000001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2026-09-10</t>
        </is>
      </c>
      <c r="Q1404" s="4" t="inlineStr">
        <is>
          <t>Bellón · Ferretería MC</t>
        </is>
      </c>
      <c r="Z1404" s="7" t="n">
        <v>19</v>
      </c>
      <c r="AF1404" s="4" t="inlineStr">
        <is>
          <t>material: PVC · norma: SDR-26 · diametro: 2"</t>
        </is>
      </c>
    </row>
    <row r="1405">
      <c r="A1405" s="3" t="inlineStr">
        <is>
          <t>MAT-32-044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2" x 9.5 pies</t>
        </is>
      </c>
      <c r="E1405" s="4" t="inlineStr"/>
      <c r="F1405" s="3" t="inlineStr">
        <is>
          <t>tubo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455</v>
      </c>
      <c r="L1405" s="6" t="n">
        <v>455</v>
      </c>
      <c r="M1405" s="6" t="n">
        <v>455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</t>
        </is>
      </c>
      <c r="Z1405" s="7" t="n">
        <v>9.5</v>
      </c>
      <c r="AF1405" s="4" t="inlineStr">
        <is>
          <t>material: PVC · norma: SDR-26 · diametro: 2"</t>
        </is>
      </c>
    </row>
    <row r="1406">
      <c r="A1406" s="3" t="inlineStr">
        <is>
          <t>MAT-32-045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3/4" x 19 pies</t>
        </is>
      </c>
      <c r="E1406" s="4" t="inlineStr"/>
      <c r="F1406" s="3" t="inlineStr">
        <is>
          <t>tubo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4</v>
      </c>
      <c r="K1406" s="6" t="n">
        <v>175</v>
      </c>
      <c r="L1406" s="6" t="n">
        <v>90</v>
      </c>
      <c r="M1406" s="6" t="n">
        <v>181.13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 · Ferretería Cima · Ferretería MC · Max Ferretería</t>
        </is>
      </c>
      <c r="Z1406" s="7" t="n">
        <v>19</v>
      </c>
      <c r="AF1406" s="4" t="inlineStr">
        <is>
          <t>material: PVC · norma: SDR-26 · diametro: 3/4"</t>
        </is>
      </c>
    </row>
    <row r="1407">
      <c r="A1407" s="3" t="inlineStr">
        <is>
          <t>MAT-32-046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3/4" x 9.5 pies</t>
        </is>
      </c>
      <c r="E1407" s="4" t="inlineStr"/>
      <c r="F1407" s="3" t="inlineStr">
        <is>
          <t>tubo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94</v>
      </c>
      <c r="L1407" s="6" t="n">
        <v>94</v>
      </c>
      <c r="M1407" s="6" t="n">
        <v>94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</t>
        </is>
      </c>
      <c r="Z1407" s="7" t="n">
        <v>9.5</v>
      </c>
      <c r="AF1407" s="4" t="inlineStr">
        <is>
          <t>material: PVC · norma: SDR-26 · diametro: 3/4"</t>
        </is>
      </c>
    </row>
    <row r="1408">
      <c r="A1408" s="3" t="inlineStr">
        <is>
          <t>MAT-32-047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3" x 19 pies</t>
        </is>
      </c>
      <c r="E1408" s="4" t="inlineStr"/>
      <c r="F1408" s="3" t="inlineStr">
        <is>
          <t>tubo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3</v>
      </c>
      <c r="K1408" s="6" t="n">
        <v>1998.09</v>
      </c>
      <c r="L1408" s="6" t="n">
        <v>1928.2</v>
      </c>
      <c r="M1408" s="6" t="n">
        <v>2172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 · Ferretería Cima · Ferretería MC</t>
        </is>
      </c>
      <c r="Z1408" s="7" t="n">
        <v>19</v>
      </c>
      <c r="AF1408" s="4" t="inlineStr">
        <is>
          <t>material: PVC · norma: SDR-26 · diametro: 3"</t>
        </is>
      </c>
    </row>
    <row r="1409">
      <c r="A1409" s="3" t="inlineStr">
        <is>
          <t>MAT-32-048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SDR-26 3" x 9.5 pies</t>
        </is>
      </c>
      <c r="E1409" s="4" t="inlineStr"/>
      <c r="F1409" s="3" t="inlineStr">
        <is>
          <t>tubo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988</v>
      </c>
      <c r="L1409" s="6" t="n">
        <v>988</v>
      </c>
      <c r="M1409" s="6" t="n">
        <v>988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</t>
        </is>
      </c>
      <c r="Z1409" s="7" t="n">
        <v>9.5</v>
      </c>
      <c r="AF1409" s="4" t="inlineStr">
        <is>
          <t>material: PVC · norma: SDR-26 · diametro: 3"</t>
        </is>
      </c>
    </row>
    <row r="1410">
      <c r="A1410" s="3" t="inlineStr">
        <is>
          <t>MAT-32-049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SDR-26 4" x 19 pies</t>
        </is>
      </c>
      <c r="E1410" s="4" t="inlineStr"/>
      <c r="F1410" s="3" t="inlineStr">
        <is>
          <t>tubo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2</v>
      </c>
      <c r="K1410" s="6" t="n">
        <v>3207.29</v>
      </c>
      <c r="L1410" s="6" t="n">
        <v>3133</v>
      </c>
      <c r="M1410" s="6" t="n">
        <v>3281.58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 · Ferretería MC</t>
        </is>
      </c>
      <c r="Z1410" s="7" t="n">
        <v>19</v>
      </c>
      <c r="AF1410" s="4" t="inlineStr">
        <is>
          <t>material: PVC · norma: SDR-26 · diametro: 4"</t>
        </is>
      </c>
    </row>
    <row r="1411">
      <c r="A1411" s="3" t="inlineStr">
        <is>
          <t>MAT-32-050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SDR-26 6" x 19 pies</t>
        </is>
      </c>
      <c r="E1411" s="4" t="inlineStr"/>
      <c r="F1411" s="3" t="inlineStr">
        <is>
          <t>tubo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2</v>
      </c>
      <c r="K1411" s="6" t="n">
        <v>7000.73</v>
      </c>
      <c r="L1411" s="6" t="n">
        <v>6884.88</v>
      </c>
      <c r="M1411" s="6" t="n">
        <v>7116.58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 · Ferretería MC</t>
        </is>
      </c>
      <c r="Z1411" s="7" t="n">
        <v>19</v>
      </c>
      <c r="AF1411" s="4" t="inlineStr">
        <is>
          <t>material: PVC · norma: SDR-26 · diametro: 6"</t>
        </is>
      </c>
    </row>
    <row r="1412">
      <c r="A1412" s="3" t="inlineStr">
        <is>
          <t>MAT-32-051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SDR-26 8" x 19 pies</t>
        </is>
      </c>
      <c r="E1412" s="4" t="inlineStr"/>
      <c r="F1412" s="3" t="inlineStr">
        <is>
          <t>tubo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3</v>
      </c>
      <c r="K1412" s="6" t="n">
        <v>11666.54</v>
      </c>
      <c r="L1412" s="6" t="n">
        <v>10360</v>
      </c>
      <c r="M1412" s="6" t="n">
        <v>11929.92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 · Ferretería MC · Max Ferretería</t>
        </is>
      </c>
      <c r="Z1412" s="7" t="n">
        <v>19</v>
      </c>
      <c r="AF1412" s="4" t="inlineStr">
        <is>
          <t>material: PVC · norma: SDR-26 · diametro: 8"</t>
        </is>
      </c>
    </row>
    <row r="1413">
      <c r="A1413" s="3" t="inlineStr">
        <is>
          <t>MAT-32-052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10" x 19 pies</t>
        </is>
      </c>
      <c r="E1413" s="4" t="inlineStr"/>
      <c r="F1413" s="3" t="inlineStr">
        <is>
          <t>tubo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15540.55</v>
      </c>
      <c r="L1413" s="6" t="n">
        <v>15540.55</v>
      </c>
      <c r="M1413" s="6" t="n">
        <v>15540.55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Z1413" s="7" t="n">
        <v>19</v>
      </c>
      <c r="AF1413" s="4" t="inlineStr">
        <is>
          <t>material: PVC · norma: SDR-32.5 · diametro: 10"</t>
        </is>
      </c>
    </row>
    <row r="1414">
      <c r="A1414" s="3" t="inlineStr">
        <is>
          <t>MAT-32-053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2" x 19 pies</t>
        </is>
      </c>
      <c r="E1414" s="4" t="inlineStr"/>
      <c r="F1414" s="3" t="inlineStr">
        <is>
          <t>tubo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711.42</v>
      </c>
      <c r="L1414" s="6" t="n">
        <v>711.42</v>
      </c>
      <c r="M1414" s="6" t="n">
        <v>711.42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Z1414" s="7" t="n">
        <v>19</v>
      </c>
      <c r="AF1414" s="4" t="inlineStr">
        <is>
          <t>material: PVC · norma: SDR-32.5 · diametro: 2"</t>
        </is>
      </c>
    </row>
    <row r="1415">
      <c r="A1415" s="3" t="inlineStr">
        <is>
          <t>MAT-32-054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SDR-32.5 3" x 19 pies</t>
        </is>
      </c>
      <c r="E1415" s="4" t="inlineStr"/>
      <c r="F1415" s="3" t="inlineStr">
        <is>
          <t>tubo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1549.5</v>
      </c>
      <c r="L1415" s="6" t="n">
        <v>1549.5</v>
      </c>
      <c r="M1415" s="6" t="n">
        <v>1549.5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2026-09-10</t>
        </is>
      </c>
      <c r="Q1415" s="4" t="inlineStr">
        <is>
          <t>Bellón</t>
        </is>
      </c>
      <c r="Z1415" s="7" t="n">
        <v>19</v>
      </c>
      <c r="AF1415" s="4" t="inlineStr">
        <is>
          <t>material: PVC · norma: SDR-32.5 · diametro: 3"</t>
        </is>
      </c>
    </row>
    <row r="1416">
      <c r="A1416" s="3" t="inlineStr">
        <is>
          <t>MAT-32-055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SDR-32.5 4" x 19 pies</t>
        </is>
      </c>
      <c r="E1416" s="4" t="inlineStr"/>
      <c r="F1416" s="3" t="inlineStr">
        <is>
          <t>tubo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2548.33</v>
      </c>
      <c r="L1416" s="6" t="n">
        <v>2548.33</v>
      </c>
      <c r="M1416" s="6" t="n">
        <v>2548.33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Z1416" s="7" t="n">
        <v>19</v>
      </c>
      <c r="AF1416" s="4" t="inlineStr">
        <is>
          <t>material: PVC · norma: SDR-32.5 · diametro: 4"</t>
        </is>
      </c>
    </row>
    <row r="1417">
      <c r="A1417" s="3" t="inlineStr">
        <is>
          <t>MAT-32-056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SDR-32.5 6" x 19 pies</t>
        </is>
      </c>
      <c r="E1417" s="4" t="inlineStr"/>
      <c r="F1417" s="3" t="inlineStr">
        <is>
          <t>tubo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9381.73</v>
      </c>
      <c r="L1417" s="6" t="n">
        <v>9381.73</v>
      </c>
      <c r="M1417" s="6" t="n">
        <v>9381.73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Z1417" s="7" t="n">
        <v>19</v>
      </c>
      <c r="AF1417" s="4" t="inlineStr">
        <is>
          <t>material: PVC · norma: SDR-32.5 · diametro: 6"</t>
        </is>
      </c>
    </row>
    <row r="1418">
      <c r="A1418" s="3" t="inlineStr">
        <is>
          <t>MAT-32-057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SDR-32.5 8" x 19 pies</t>
        </is>
      </c>
      <c r="E1418" s="4" t="inlineStr"/>
      <c r="F1418" s="3" t="inlineStr">
        <is>
          <t>tubo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9381.73</v>
      </c>
      <c r="L1418" s="6" t="n">
        <v>9381.73</v>
      </c>
      <c r="M1418" s="6" t="n">
        <v>9381.73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2026-09-10</t>
        </is>
      </c>
      <c r="Q1418" s="4" t="inlineStr">
        <is>
          <t>Bellón</t>
        </is>
      </c>
      <c r="Z1418" s="7" t="n">
        <v>19</v>
      </c>
      <c r="AF1418" s="4" t="inlineStr">
        <is>
          <t>material: PVC · norma: SDR-32.5 · diametro: 8"</t>
        </is>
      </c>
    </row>
    <row r="1419">
      <c r="A1419" s="3" t="inlineStr">
        <is>
          <t>MAT-32-058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 1/2" x 19 pies</t>
        </is>
      </c>
      <c r="E1419" s="4" t="inlineStr"/>
      <c r="F1419" s="3" t="inlineStr">
        <is>
          <t>tubo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2</v>
      </c>
      <c r="K1419" s="6" t="n">
        <v>425.8</v>
      </c>
      <c r="L1419" s="6" t="n">
        <v>398.6</v>
      </c>
      <c r="M1419" s="6" t="n">
        <v>453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2026-09-09</t>
        </is>
      </c>
      <c r="Q1419" s="4" t="inlineStr">
        <is>
          <t>Ferretería Cima · Ferretería MC</t>
        </is>
      </c>
      <c r="Z1419" s="7" t="n">
        <v>19</v>
      </c>
      <c r="AF1419" s="4" t="inlineStr">
        <is>
          <t>material: PVC · norma: SDR-41 · diametro: 1 1/2"</t>
        </is>
      </c>
    </row>
    <row r="1420">
      <c r="A1420" s="3" t="inlineStr">
        <is>
          <t>MAT-32-059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1/2" x 19 pies</t>
        </is>
      </c>
      <c r="E1420" s="4" t="inlineStr"/>
      <c r="F1420" s="3" t="inlineStr">
        <is>
          <t>tubo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386</v>
      </c>
      <c r="L1420" s="6" t="n">
        <v>386</v>
      </c>
      <c r="M1420" s="6" t="n">
        <v>386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</t>
        </is>
      </c>
      <c r="Z1420" s="7" t="n">
        <v>19</v>
      </c>
      <c r="AF1420" s="4" t="inlineStr">
        <is>
          <t>material: PVC · norma: SDR-41 · diametro: 1/2"</t>
        </is>
      </c>
    </row>
    <row r="1421">
      <c r="A1421" s="3" t="inlineStr">
        <is>
          <t>MAT-32-060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1/2" x 9.5 pies</t>
        </is>
      </c>
      <c r="E1421" s="4" t="inlineStr"/>
      <c r="F1421" s="3" t="inlineStr">
        <is>
          <t>tubo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202</v>
      </c>
      <c r="L1421" s="6" t="n">
        <v>202</v>
      </c>
      <c r="M1421" s="6" t="n">
        <v>202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</t>
        </is>
      </c>
      <c r="Z1421" s="7" t="n">
        <v>9.5</v>
      </c>
      <c r="AF1421" s="4" t="inlineStr">
        <is>
          <t>material: PVC · norma: SDR-41 · diametro: 1/2"</t>
        </is>
      </c>
    </row>
    <row r="1422">
      <c r="A1422" s="3" t="inlineStr">
        <is>
          <t>MAT-32-061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10" x 19 pies</t>
        </is>
      </c>
      <c r="E1422" s="4" t="inlineStr"/>
      <c r="F1422" s="3" t="inlineStr">
        <is>
          <t>tubo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12736.57</v>
      </c>
      <c r="L1422" s="6" t="n">
        <v>12736.57</v>
      </c>
      <c r="M1422" s="6" t="n">
        <v>12736.57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</t>
        </is>
      </c>
      <c r="Z1422" s="7" t="n">
        <v>19</v>
      </c>
      <c r="AF1422" s="4" t="inlineStr">
        <is>
          <t>material: PVC · norma: SDR-41 · diametro: 10"</t>
        </is>
      </c>
    </row>
    <row r="1423">
      <c r="A1423" s="3" t="inlineStr">
        <is>
          <t>MAT-32-062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12" x 19 pies</t>
        </is>
      </c>
      <c r="E1423" s="4" t="inlineStr"/>
      <c r="F1423" s="3" t="inlineStr">
        <is>
          <t>tubo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17906.86</v>
      </c>
      <c r="L1423" s="6" t="n">
        <v>17906.86</v>
      </c>
      <c r="M1423" s="6" t="n">
        <v>17906.86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</t>
        </is>
      </c>
      <c r="Z1423" s="7" t="n">
        <v>19</v>
      </c>
      <c r="AF1423" s="4" t="inlineStr">
        <is>
          <t>material: PVC · norma: SDR-41 · diametro: 12"</t>
        </is>
      </c>
    </row>
    <row r="1424">
      <c r="A1424" s="3" t="inlineStr">
        <is>
          <t>MAT-32-063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2" x 19 pies</t>
        </is>
      </c>
      <c r="E1424" s="4" t="inlineStr"/>
      <c r="F1424" s="3" t="inlineStr">
        <is>
          <t>tubo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2</v>
      </c>
      <c r="K1424" s="6" t="n">
        <v>573.67</v>
      </c>
      <c r="L1424" s="6" t="n">
        <v>561</v>
      </c>
      <c r="M1424" s="6" t="n">
        <v>586.34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 · Ferretería MC</t>
        </is>
      </c>
      <c r="Z1424" s="7" t="n">
        <v>19</v>
      </c>
      <c r="AF1424" s="4" t="inlineStr">
        <is>
          <t>material: PVC · norma: SDR-41 · diametro: 2"</t>
        </is>
      </c>
    </row>
    <row r="1425">
      <c r="A1425" s="3" t="inlineStr">
        <is>
          <t>MAT-32-064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3" x 19 pies</t>
        </is>
      </c>
      <c r="E1425" s="4" t="inlineStr"/>
      <c r="F1425" s="3" t="inlineStr">
        <is>
          <t>tubo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4</v>
      </c>
      <c r="K1425" s="6" t="n">
        <v>1036.92</v>
      </c>
      <c r="L1425" s="6" t="n">
        <v>670</v>
      </c>
      <c r="M1425" s="6" t="n">
        <v>1150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Cima · Ferretería MC · Max Ferretería</t>
        </is>
      </c>
      <c r="Z1425" s="7" t="n">
        <v>19</v>
      </c>
      <c r="AF1425" s="4" t="inlineStr">
        <is>
          <t>material: PVC · norma: SDR-41 · diametro: 3"</t>
        </is>
      </c>
    </row>
    <row r="1426">
      <c r="A1426" s="3" t="inlineStr">
        <is>
          <t>MAT-32-065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SDR-41 4" x 19 pies</t>
        </is>
      </c>
      <c r="E1426" s="4" t="inlineStr"/>
      <c r="F1426" s="3" t="inlineStr">
        <is>
          <t>tubo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2</v>
      </c>
      <c r="K1426" s="6" t="n">
        <v>1770.23</v>
      </c>
      <c r="L1426" s="6" t="n">
        <v>1738.6</v>
      </c>
      <c r="M1426" s="6" t="n">
        <v>1801.86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2026-09-10</t>
        </is>
      </c>
      <c r="Q1426" s="4" t="inlineStr">
        <is>
          <t>Bellón · Ferretería MC</t>
        </is>
      </c>
      <c r="Z1426" s="7" t="n">
        <v>19</v>
      </c>
      <c r="AF1426" s="4" t="inlineStr">
        <is>
          <t>material: PVC · norma: SDR-41 · diametro: 4"</t>
        </is>
      </c>
    </row>
    <row r="1427">
      <c r="A1427" s="3" t="inlineStr">
        <is>
          <t>MAT-32-066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SDR-41 4" x 9.5 pies</t>
        </is>
      </c>
      <c r="E1427" s="4" t="inlineStr"/>
      <c r="F1427" s="3" t="inlineStr">
        <is>
          <t>tubo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868</v>
      </c>
      <c r="L1427" s="6" t="n">
        <v>868</v>
      </c>
      <c r="M1427" s="6" t="n">
        <v>868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2026-09-10</t>
        </is>
      </c>
      <c r="Q1427" s="4" t="inlineStr">
        <is>
          <t>Bellón</t>
        </is>
      </c>
      <c r="Z1427" s="7" t="n">
        <v>9.5</v>
      </c>
      <c r="AF1427" s="4" t="inlineStr">
        <is>
          <t>material: PVC · norma: SDR-41 · diametro: 4"</t>
        </is>
      </c>
    </row>
    <row r="1428">
      <c r="A1428" s="3" t="inlineStr">
        <is>
          <t>MAT-32-067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SDR-41 6" x 19 pies</t>
        </is>
      </c>
      <c r="E1428" s="4" t="inlineStr"/>
      <c r="F1428" s="3" t="inlineStr">
        <is>
          <t>tubo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2</v>
      </c>
      <c r="K1428" s="6" t="n">
        <v>5010.42</v>
      </c>
      <c r="L1428" s="6" t="n">
        <v>4920.87</v>
      </c>
      <c r="M1428" s="6" t="n">
        <v>5099.96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2026-09-10</t>
        </is>
      </c>
      <c r="Q1428" s="4" t="inlineStr">
        <is>
          <t>Bellón · Ferretería MC</t>
        </is>
      </c>
      <c r="Z1428" s="7" t="n">
        <v>19</v>
      </c>
      <c r="AF1428" s="4" t="inlineStr">
        <is>
          <t>material: PVC · norma: SDR-41 · diametro: 6"</t>
        </is>
      </c>
    </row>
    <row r="1429">
      <c r="A1429" s="3" t="inlineStr">
        <is>
          <t>MAT-32-068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SDR-41 8" x 19 pies</t>
        </is>
      </c>
      <c r="E1429" s="4" t="inlineStr"/>
      <c r="F1429" s="3" t="inlineStr">
        <is>
          <t>tubo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3</v>
      </c>
      <c r="K1429" s="6" t="n">
        <v>7570</v>
      </c>
      <c r="L1429" s="6" t="n">
        <v>4819.99</v>
      </c>
      <c r="M1429" s="6" t="n">
        <v>7930.66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2026-09-10</t>
        </is>
      </c>
      <c r="Q1429" s="4" t="inlineStr">
        <is>
          <t>Bellón · Ferretería MC · Max Ferretería</t>
        </is>
      </c>
      <c r="Z1429" s="7" t="n">
        <v>19</v>
      </c>
      <c r="AF1429" s="4" t="inlineStr">
        <is>
          <t>material: PVC · norma: SDR-41 · diametro: 8"</t>
        </is>
      </c>
    </row>
    <row r="1430">
      <c r="A1430" s="3" t="inlineStr">
        <is>
          <t>MAT-32-069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1 1/2"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53</v>
      </c>
      <c r="L1430" s="6" t="n">
        <v>39</v>
      </c>
      <c r="M1430" s="6" t="n">
        <v>67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F1430" s="4" t="inlineStr">
        <is>
          <t>tipo: abrazadera · material: manguera · medida: 1 1/2"</t>
        </is>
      </c>
    </row>
    <row r="1431">
      <c r="A1431" s="3" t="inlineStr">
        <is>
          <t>MAT-32-070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Abrazadera de manguera 1/2"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53</v>
      </c>
      <c r="L1431" s="6" t="n">
        <v>53</v>
      </c>
      <c r="M1431" s="6" t="n">
        <v>53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F1431" s="4" t="inlineStr">
        <is>
          <t>tipo: abrazadera · material: manguera · medida: 1/2"</t>
        </is>
      </c>
    </row>
    <row r="1432">
      <c r="A1432" s="3" t="inlineStr">
        <is>
          <t>MAT-32-071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Abrazadera de manguera 1"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56</v>
      </c>
      <c r="L1432" s="6" t="n">
        <v>56</v>
      </c>
      <c r="M1432" s="6" t="n">
        <v>56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F1432" s="4" t="inlineStr">
        <is>
          <t>tipo: abrazadera · material: manguera · medida: 1"</t>
        </is>
      </c>
    </row>
    <row r="1433">
      <c r="A1433" s="3" t="inlineStr">
        <is>
          <t>MAT-32-072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Abrazadera de manguera 2"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68</v>
      </c>
      <c r="L1433" s="6" t="n">
        <v>68</v>
      </c>
      <c r="M1433" s="6" t="n">
        <v>68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F1433" s="4" t="inlineStr">
        <is>
          <t>tipo: abrazadera · material: manguera · medida: 2"</t>
        </is>
      </c>
    </row>
    <row r="1434">
      <c r="A1434" s="3" t="inlineStr">
        <is>
          <t>MAT-32-073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Abrazadera de manguera 3/4"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65</v>
      </c>
      <c r="L1434" s="6" t="n">
        <v>65</v>
      </c>
      <c r="M1434" s="6" t="n">
        <v>65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2026-09-09</t>
        </is>
      </c>
      <c r="Q1434" s="4" t="inlineStr">
        <is>
          <t>Ferretería Cima</t>
        </is>
      </c>
      <c r="AF1434" s="4" t="inlineStr">
        <is>
          <t>tipo: abrazadera · material: manguera · medida: 3/4"</t>
        </is>
      </c>
    </row>
    <row r="1435">
      <c r="A1435" s="3" t="inlineStr">
        <is>
          <t>MAT-32-074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12" x 1/2"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265</v>
      </c>
      <c r="L1435" s="6" t="n">
        <v>265</v>
      </c>
      <c r="M1435" s="6" t="n">
        <v>265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</t>
        </is>
      </c>
      <c r="AF1435" s="4" t="inlineStr">
        <is>
          <t>tipo: adaptador-hembra · material: bronce · medida: 12" x 1/2"</t>
        </is>
      </c>
    </row>
    <row r="1436">
      <c r="A1436" s="3" t="inlineStr">
        <is>
          <t>MAT-32-075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12" x 3/8"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282</v>
      </c>
      <c r="L1436" s="6" t="n">
        <v>282</v>
      </c>
      <c r="M1436" s="6" t="n">
        <v>282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F1436" s="4" t="inlineStr">
        <is>
          <t>tipo: adaptador-hembra · material: bronce · medida: 12" x 3/8"</t>
        </is>
      </c>
    </row>
    <row r="1437">
      <c r="A1437" s="3" t="inlineStr">
        <is>
          <t>MAT-32-076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15" x 1/2"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204</v>
      </c>
      <c r="L1437" s="6" t="n">
        <v>204</v>
      </c>
      <c r="M1437" s="6" t="n">
        <v>204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F1437" s="4" t="inlineStr">
        <is>
          <t>tipo: adaptador-hembra · material: bronce · medida: 15" x 1/2"</t>
        </is>
      </c>
    </row>
    <row r="1438">
      <c r="A1438" s="3" t="inlineStr">
        <is>
          <t>MAT-32-077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15" x 3/4"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349</v>
      </c>
      <c r="L1438" s="6" t="n">
        <v>349</v>
      </c>
      <c r="M1438" s="6" t="n">
        <v>349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F1438" s="4" t="inlineStr">
        <is>
          <t>tipo: adaptador-hembra · material: bronce · medida: 15" x 3/4"</t>
        </is>
      </c>
    </row>
    <row r="1439">
      <c r="A1439" s="3" t="inlineStr">
        <is>
          <t>MAT-32-078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15" x 3/8"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279</v>
      </c>
      <c r="L1439" s="6" t="n">
        <v>279</v>
      </c>
      <c r="M1439" s="6" t="n">
        <v>279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F1439" s="4" t="inlineStr">
        <is>
          <t>tipo: adaptador-hembra · material: bronce · medida: 15" x 3/8"</t>
        </is>
      </c>
    </row>
    <row r="1440">
      <c r="A1440" s="3" t="inlineStr">
        <is>
          <t>MAT-32-079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18" x 1/2"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253</v>
      </c>
      <c r="L1440" s="6" t="n">
        <v>253</v>
      </c>
      <c r="M1440" s="6" t="n">
        <v>253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adaptador-hembra · material: bronce · medida: 18" x 1/2"</t>
        </is>
      </c>
    </row>
    <row r="1441">
      <c r="A1441" s="3" t="inlineStr">
        <is>
          <t>MAT-32-080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18" x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356</v>
      </c>
      <c r="L1441" s="6" t="n">
        <v>356</v>
      </c>
      <c r="M1441" s="6" t="n">
        <v>356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adaptador-hembra · material: bronce · medida: 18" x 3/4"</t>
        </is>
      </c>
    </row>
    <row r="1442">
      <c r="A1442" s="3" t="inlineStr">
        <is>
          <t>MAT-32-081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25" x 3/4"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423</v>
      </c>
      <c r="L1442" s="6" t="n">
        <v>423</v>
      </c>
      <c r="M1442" s="6" t="n">
        <v>423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adaptador-hembra · material: bronce · medida: 25" x 3/4"</t>
        </is>
      </c>
    </row>
    <row r="1443">
      <c r="A1443" s="3" t="inlineStr">
        <is>
          <t>MAT-32-082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3/8" x 1/2"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144.5</v>
      </c>
      <c r="L1443" s="6" t="n">
        <v>135</v>
      </c>
      <c r="M1443" s="6" t="n">
        <v>154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adaptador-hembra · material: bronce · medida: 3/8" x 1/2"</t>
        </is>
      </c>
    </row>
    <row r="1444">
      <c r="A1444" s="3" t="inlineStr">
        <is>
          <t>MAT-32-083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bronce 3/8" x 1/4"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104</v>
      </c>
      <c r="L1444" s="6" t="n">
        <v>104</v>
      </c>
      <c r="M1444" s="6" t="n">
        <v>104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adaptador-hembra · material: bronce · medida: 3/8" x 1/4"</t>
        </is>
      </c>
    </row>
    <row r="1445">
      <c r="A1445" s="3" t="inlineStr">
        <is>
          <t>MAT-32-084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bronce 3/8" x 3/4"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183</v>
      </c>
      <c r="L1445" s="6" t="n">
        <v>183</v>
      </c>
      <c r="M1445" s="6" t="n">
        <v>183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adaptador-hembra · material: bronce · medida: 3/8" x 3/4"</t>
        </is>
      </c>
    </row>
    <row r="1446">
      <c r="A1446" s="3" t="inlineStr">
        <is>
          <t>MAT-32-085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bronce 3/8" x 3/8"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90</v>
      </c>
      <c r="L1446" s="6" t="n">
        <v>90</v>
      </c>
      <c r="M1446" s="6" t="n">
        <v>90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adaptador-hembra · material: bronce · medida: 3/8" x 3/8"</t>
        </is>
      </c>
    </row>
    <row r="1447">
      <c r="A1447" s="3" t="inlineStr">
        <is>
          <t>MAT-32-086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bronce 32" x 1"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535</v>
      </c>
      <c r="L1447" s="6" t="n">
        <v>535</v>
      </c>
      <c r="M1447" s="6" t="n">
        <v>535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adaptador-hembra · material: bronce · medida: 32" x 1"</t>
        </is>
      </c>
    </row>
    <row r="1448">
      <c r="A1448" s="3" t="inlineStr">
        <is>
          <t>MAT-32-087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CPVC 1/2"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11.01</v>
      </c>
      <c r="L1448" s="6" t="n">
        <v>11.01</v>
      </c>
      <c r="M1448" s="6" t="n">
        <v>11.01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</t>
        </is>
      </c>
      <c r="AF1448" s="4" t="inlineStr">
        <is>
          <t>tipo: adaptador-hembra · material: CPVC · medida: 1/2"</t>
        </is>
      </c>
    </row>
    <row r="1449">
      <c r="A1449" s="3" t="inlineStr">
        <is>
          <t>MAT-32-088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CPVC 1"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26.25</v>
      </c>
      <c r="L1449" s="6" t="n">
        <v>26.25</v>
      </c>
      <c r="M1449" s="6" t="n">
        <v>26.25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adaptador-hembra · material: CPVC · medida: 1"</t>
        </is>
      </c>
    </row>
    <row r="1450">
      <c r="A1450" s="3" t="inlineStr">
        <is>
          <t>MAT-32-089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CPVC 3/4"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27.22</v>
      </c>
      <c r="L1450" s="6" t="n">
        <v>27.22</v>
      </c>
      <c r="M1450" s="6" t="n">
        <v>27.22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adaptador-hembra · material: CPVC · medida: 3/4"</t>
        </is>
      </c>
    </row>
    <row r="1451">
      <c r="A1451" s="3" t="inlineStr">
        <is>
          <t>MAT-32-090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plástico 5/8"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106</v>
      </c>
      <c r="L1451" s="6" t="n">
        <v>106</v>
      </c>
      <c r="M1451" s="6" t="n">
        <v>106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</t>
        </is>
      </c>
      <c r="AF1451" s="4" t="inlineStr">
        <is>
          <t>tipo: adaptador-hembra · material: plástico · medida: 5/8"</t>
        </is>
      </c>
    </row>
    <row r="1452">
      <c r="A1452" s="3" t="inlineStr">
        <is>
          <t>MAT-32-091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PPR 20 mm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2</v>
      </c>
      <c r="K1452" s="6" t="n">
        <v>69</v>
      </c>
      <c r="L1452" s="6" t="n">
        <v>58.58</v>
      </c>
      <c r="M1452" s="6" t="n">
        <v>172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 · Ferretería Cima</t>
        </is>
      </c>
      <c r="AF1452" s="4" t="inlineStr">
        <is>
          <t>tipo: adaptador-hembra · material: PPR · medida: 20 mm</t>
        </is>
      </c>
    </row>
    <row r="1453">
      <c r="A1453" s="3" t="inlineStr">
        <is>
          <t>MAT-32-092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PPR 25 mm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68</v>
      </c>
      <c r="L1453" s="6" t="n">
        <v>60</v>
      </c>
      <c r="M1453" s="6" t="n">
        <v>76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</t>
        </is>
      </c>
      <c r="AF1453" s="4" t="inlineStr">
        <is>
          <t>tipo: adaptador-hembra · material: PPR · medida: 25 mm</t>
        </is>
      </c>
    </row>
    <row r="1454">
      <c r="A1454" s="3" t="inlineStr">
        <is>
          <t>MAT-32-093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PPR 32 mm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80</v>
      </c>
      <c r="L1454" s="6" t="n">
        <v>56.64</v>
      </c>
      <c r="M1454" s="6" t="n">
        <v>140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</t>
        </is>
      </c>
      <c r="AF1454" s="4" t="inlineStr">
        <is>
          <t>tipo: adaptador-hembra · material: PPR · medida: 32 mm</t>
        </is>
      </c>
    </row>
    <row r="1455">
      <c r="A1455" s="3" t="inlineStr">
        <is>
          <t>MAT-32-094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PPR 50 mm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270</v>
      </c>
      <c r="L1455" s="6" t="n">
        <v>270</v>
      </c>
      <c r="M1455" s="6" t="n">
        <v>270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</t>
        </is>
      </c>
      <c r="AF1455" s="4" t="inlineStr">
        <is>
          <t>tipo: adaptador-hembra · material: PPR · medida: 50 mm</t>
        </is>
      </c>
    </row>
    <row r="1456">
      <c r="A1456" s="3" t="inlineStr">
        <is>
          <t>MAT-32-095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1 1/2"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2</v>
      </c>
      <c r="K1456" s="6" t="n">
        <v>47.15</v>
      </c>
      <c r="L1456" s="6" t="n">
        <v>19.21</v>
      </c>
      <c r="M1456" s="6" t="n">
        <v>75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 · Ferretería Cima</t>
        </is>
      </c>
      <c r="AF1456" s="4" t="inlineStr">
        <is>
          <t>tipo: adaptador-hembra · material: PVC · medida: 1 1/2"</t>
        </is>
      </c>
    </row>
    <row r="1457">
      <c r="A1457" s="3" t="inlineStr">
        <is>
          <t>MAT-32-096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1/2"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2</v>
      </c>
      <c r="K1457" s="6" t="n">
        <v>10.51</v>
      </c>
      <c r="L1457" s="6" t="n">
        <v>4.73</v>
      </c>
      <c r="M1457" s="6" t="n">
        <v>20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 · Ferretería Cima</t>
        </is>
      </c>
      <c r="AF1457" s="4" t="inlineStr">
        <is>
          <t>tipo: adaptador-hembra · material: PVC · medida: 1/2"</t>
        </is>
      </c>
    </row>
    <row r="1458">
      <c r="A1458" s="3" t="inlineStr">
        <is>
          <t>MAT-32-097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1"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2</v>
      </c>
      <c r="K1458" s="6" t="n">
        <v>23.63</v>
      </c>
      <c r="L1458" s="6" t="n">
        <v>11.28</v>
      </c>
      <c r="M1458" s="6" t="n">
        <v>45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 · Ferretería Cima</t>
        </is>
      </c>
      <c r="AF1458" s="4" t="inlineStr">
        <is>
          <t>tipo: adaptador-hembra · material: PVC · medida: 1"</t>
        </is>
      </c>
    </row>
    <row r="1459">
      <c r="A1459" s="3" t="inlineStr">
        <is>
          <t>MAT-32-098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2"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2</v>
      </c>
      <c r="K1459" s="6" t="n">
        <v>67.28</v>
      </c>
      <c r="L1459" s="6" t="n">
        <v>27.15</v>
      </c>
      <c r="M1459" s="6" t="n">
        <v>130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 · Ferretería Cima</t>
        </is>
      </c>
      <c r="AF1459" s="4" t="inlineStr">
        <is>
          <t>tipo: adaptador-hembra · material: PVC · medida: 2"</t>
        </is>
      </c>
    </row>
    <row r="1460">
      <c r="A1460" s="3" t="inlineStr">
        <is>
          <t>MAT-32-099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PVC 3/4"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2</v>
      </c>
      <c r="K1460" s="6" t="n">
        <v>25.11</v>
      </c>
      <c r="L1460" s="6" t="n">
        <v>6.78</v>
      </c>
      <c r="M1460" s="6" t="n">
        <v>29.4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 · Ferretería Cima</t>
        </is>
      </c>
      <c r="AF1460" s="4" t="inlineStr">
        <is>
          <t>tipo: adaptador-hembra · material: PVC · medida: 3/4"</t>
        </is>
      </c>
    </row>
    <row r="1461">
      <c r="A1461" s="3" t="inlineStr">
        <is>
          <t>MAT-32-100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PVC 3"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2</v>
      </c>
      <c r="K1461" s="6" t="n">
        <v>81.23</v>
      </c>
      <c r="L1461" s="6" t="n">
        <v>70.8</v>
      </c>
      <c r="M1461" s="6" t="n">
        <v>177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 · Ferretería Cima</t>
        </is>
      </c>
      <c r="AF1461" s="4" t="inlineStr">
        <is>
          <t>tipo: adaptador-hembra · material: PVC · medida: 3"</t>
        </is>
      </c>
    </row>
    <row r="1462">
      <c r="A1462" s="3" t="inlineStr">
        <is>
          <t>MAT-32-101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PVC 4"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2</v>
      </c>
      <c r="K1462" s="6" t="n">
        <v>128.31</v>
      </c>
      <c r="L1462" s="6" t="n">
        <v>94</v>
      </c>
      <c r="M1462" s="6" t="n">
        <v>172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 · Ferretería Cima</t>
        </is>
      </c>
      <c r="AF1462" s="4" t="inlineStr">
        <is>
          <t>tipo: adaptador-hembra · material: PVC · medida: 4"</t>
        </is>
      </c>
    </row>
    <row r="1463">
      <c r="A1463" s="3" t="inlineStr">
        <is>
          <t>MAT-32-102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hembra de PVC 6"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790</v>
      </c>
      <c r="L1463" s="6" t="n">
        <v>790</v>
      </c>
      <c r="M1463" s="6" t="n">
        <v>790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</t>
        </is>
      </c>
      <c r="AF1463" s="4" t="inlineStr">
        <is>
          <t>tipo: adaptador-hembra · material: PVC · medida: 6"</t>
        </is>
      </c>
    </row>
    <row r="1464">
      <c r="A1464" s="3" t="inlineStr">
        <is>
          <t>MAT-32-103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0.31" x 3/8"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88</v>
      </c>
      <c r="L1464" s="6" t="n">
        <v>88</v>
      </c>
      <c r="M1464" s="6" t="n">
        <v>88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</t>
        </is>
      </c>
      <c r="AF1464" s="4" t="inlineStr">
        <is>
          <t>tipo: adaptador-macho · material: bronce · medida: 0.31" x 3/8"</t>
        </is>
      </c>
    </row>
    <row r="1465">
      <c r="A1465" s="3" t="inlineStr">
        <is>
          <t>MAT-32-104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1/2" x 1/2"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154</v>
      </c>
      <c r="L1465" s="6" t="n">
        <v>111</v>
      </c>
      <c r="M1465" s="6" t="n">
        <v>200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</t>
        </is>
      </c>
      <c r="AF1465" s="4" t="inlineStr">
        <is>
          <t>tipo: adaptador-macho · material: bronce · medida: 1/2" x 1/2"</t>
        </is>
      </c>
    </row>
    <row r="1466">
      <c r="A1466" s="3" t="inlineStr">
        <is>
          <t>MAT-32-105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1/2" x 3/4"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196</v>
      </c>
      <c r="L1466" s="6" t="n">
        <v>196</v>
      </c>
      <c r="M1466" s="6" t="n">
        <v>196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</t>
        </is>
      </c>
      <c r="AF1466" s="4" t="inlineStr">
        <is>
          <t>tipo: adaptador-macho · material: bronce · medida: 1/2" x 3/4"</t>
        </is>
      </c>
    </row>
    <row r="1467">
      <c r="A1467" s="3" t="inlineStr">
        <is>
          <t>MAT-32-106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1/2" x 3/8"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115.5</v>
      </c>
      <c r="L1467" s="6" t="n">
        <v>94</v>
      </c>
      <c r="M1467" s="6" t="n">
        <v>137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</t>
        </is>
      </c>
      <c r="AF1467" s="4" t="inlineStr">
        <is>
          <t>tipo: adaptador-macho · material: bronce · medida: 1/2" x 3/8"</t>
        </is>
      </c>
    </row>
    <row r="1468">
      <c r="A1468" s="3" t="inlineStr">
        <is>
          <t>MAT-32-107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1/4" x 1/2"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120</v>
      </c>
      <c r="L1468" s="6" t="n">
        <v>120</v>
      </c>
      <c r="M1468" s="6" t="n">
        <v>120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</t>
        </is>
      </c>
      <c r="AF1468" s="4" t="inlineStr">
        <is>
          <t>tipo: adaptador-macho · material: bronce · medida: 1/4" x 1/2"</t>
        </is>
      </c>
    </row>
    <row r="1469">
      <c r="A1469" s="3" t="inlineStr">
        <is>
          <t>MAT-32-108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1/4" x 1/4"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75.09</v>
      </c>
      <c r="L1469" s="6" t="n">
        <v>62.17</v>
      </c>
      <c r="M1469" s="6" t="n">
        <v>88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</t>
        </is>
      </c>
      <c r="AF1469" s="4" t="inlineStr">
        <is>
          <t>tipo: adaptador-macho · material: bronce · medida: 1/4" x 1/4"</t>
        </is>
      </c>
    </row>
    <row r="1470">
      <c r="A1470" s="3" t="inlineStr">
        <is>
          <t>MAT-32-109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1/4" x 1/8"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51.5</v>
      </c>
      <c r="L1470" s="6" t="n">
        <v>43</v>
      </c>
      <c r="M1470" s="6" t="n">
        <v>60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adaptador-macho · material: bronce · medida: 1/4" x 1/8"</t>
        </is>
      </c>
    </row>
    <row r="1471">
      <c r="A1471" s="3" t="inlineStr">
        <is>
          <t>MAT-32-110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1/4" x 3/8"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81</v>
      </c>
      <c r="L1471" s="6" t="n">
        <v>81</v>
      </c>
      <c r="M1471" s="6" t="n">
        <v>81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</t>
        </is>
      </c>
      <c r="AF1471" s="4" t="inlineStr">
        <is>
          <t>tipo: adaptador-macho · material: bronce · medida: 1/4" x 3/8"</t>
        </is>
      </c>
    </row>
    <row r="1472">
      <c r="A1472" s="3" t="inlineStr">
        <is>
          <t>MAT-32-111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12" x 1/2"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232</v>
      </c>
      <c r="L1472" s="6" t="n">
        <v>232</v>
      </c>
      <c r="M1472" s="6" t="n">
        <v>232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2026-09-10</t>
        </is>
      </c>
      <c r="Q1472" s="4" t="inlineStr">
        <is>
          <t>Bellón</t>
        </is>
      </c>
      <c r="AF1472" s="4" t="inlineStr">
        <is>
          <t>tipo: adaptador-macho · material: bronce · medida: 12" x 1/2"</t>
        </is>
      </c>
    </row>
    <row r="1473">
      <c r="A1473" s="3" t="inlineStr">
        <is>
          <t>MAT-32-112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12" x 3/8"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326</v>
      </c>
      <c r="L1473" s="6" t="n">
        <v>326</v>
      </c>
      <c r="M1473" s="6" t="n">
        <v>326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2026-09-10</t>
        </is>
      </c>
      <c r="Q1473" s="4" t="inlineStr">
        <is>
          <t>Bellón</t>
        </is>
      </c>
      <c r="AF1473" s="4" t="inlineStr">
        <is>
          <t>tipo: adaptador-macho · material: bronce · medida: 12" x 3/8"</t>
        </is>
      </c>
    </row>
    <row r="1474">
      <c r="A1474" s="3" t="inlineStr">
        <is>
          <t>MAT-32-113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15" x 1/2"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205</v>
      </c>
      <c r="L1474" s="6" t="n">
        <v>205</v>
      </c>
      <c r="M1474" s="6" t="n">
        <v>205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2026-09-10</t>
        </is>
      </c>
      <c r="Q1474" s="4" t="inlineStr">
        <is>
          <t>Bellón</t>
        </is>
      </c>
      <c r="AF1474" s="4" t="inlineStr">
        <is>
          <t>tipo: adaptador-macho · material: bronce · medida: 15" x 1/2"</t>
        </is>
      </c>
    </row>
    <row r="1475">
      <c r="A1475" s="3" t="inlineStr">
        <is>
          <t>MAT-32-114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15" x 3/4"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377</v>
      </c>
      <c r="L1475" s="6" t="n">
        <v>377</v>
      </c>
      <c r="M1475" s="6" t="n">
        <v>377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Bellón</t>
        </is>
      </c>
      <c r="AF1475" s="4" t="inlineStr">
        <is>
          <t>tipo: adaptador-macho · material: bronce · medida: 15" x 3/4"</t>
        </is>
      </c>
    </row>
    <row r="1476">
      <c r="A1476" s="3" t="inlineStr">
        <is>
          <t>MAT-32-115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15" x 3/8"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309</v>
      </c>
      <c r="L1476" s="6" t="n">
        <v>309</v>
      </c>
      <c r="M1476" s="6" t="n">
        <v>309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F1476" s="4" t="inlineStr">
        <is>
          <t>tipo: adaptador-macho · material: bronce · medida: 15" x 3/8"</t>
        </is>
      </c>
    </row>
    <row r="1477">
      <c r="A1477" s="3" t="inlineStr">
        <is>
          <t>MAT-32-116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18" x 1/2"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232</v>
      </c>
      <c r="L1477" s="6" t="n">
        <v>232</v>
      </c>
      <c r="M1477" s="6" t="n">
        <v>232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adaptador-macho · material: bronce · medida: 18" x 1/2"</t>
        </is>
      </c>
    </row>
    <row r="1478">
      <c r="A1478" s="3" t="inlineStr">
        <is>
          <t>MAT-32-117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18" x 3/4"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315</v>
      </c>
      <c r="L1478" s="6" t="n">
        <v>315</v>
      </c>
      <c r="M1478" s="6" t="n">
        <v>315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adaptador-macho · material: bronce · medida: 18" x 3/4"</t>
        </is>
      </c>
    </row>
    <row r="1479">
      <c r="A1479" s="3" t="inlineStr">
        <is>
          <t>MAT-32-118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25" x 3/4"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390</v>
      </c>
      <c r="L1479" s="6" t="n">
        <v>390</v>
      </c>
      <c r="M1479" s="6" t="n">
        <v>390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adaptador-macho · material: bronce · medida: 25" x 3/4"</t>
        </is>
      </c>
    </row>
    <row r="1480">
      <c r="A1480" s="3" t="inlineStr">
        <is>
          <t>MAT-32-119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bronce 3/8" x 1/2"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149</v>
      </c>
      <c r="L1480" s="6" t="n">
        <v>149</v>
      </c>
      <c r="M1480" s="6" t="n">
        <v>149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adaptador-macho · material: bronce · medida: 3/8" x 1/2"</t>
        </is>
      </c>
    </row>
    <row r="1481">
      <c r="A1481" s="3" t="inlineStr">
        <is>
          <t>MAT-32-120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bronce 3/8" x 3/8"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78</v>
      </c>
      <c r="L1481" s="6" t="n">
        <v>68</v>
      </c>
      <c r="M1481" s="6" t="n">
        <v>88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adaptador-macho · material: bronce · medida: 3/8" x 3/8"</t>
        </is>
      </c>
    </row>
    <row r="1482">
      <c r="A1482" s="3" t="inlineStr">
        <is>
          <t>MAT-32-121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bronce 32" x 1"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597</v>
      </c>
      <c r="L1482" s="6" t="n">
        <v>597</v>
      </c>
      <c r="M1482" s="6" t="n">
        <v>597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adaptador-macho · material: bronce · medida: 32" x 1"</t>
        </is>
      </c>
    </row>
    <row r="1483">
      <c r="A1483" s="3" t="inlineStr">
        <is>
          <t>MAT-32-122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bronce 5/8" x 1/2"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152</v>
      </c>
      <c r="L1483" s="6" t="n">
        <v>152</v>
      </c>
      <c r="M1483" s="6" t="n">
        <v>152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adaptador-macho · material: bronce · medida: 5/8" x 1/2"</t>
        </is>
      </c>
    </row>
    <row r="1484">
      <c r="A1484" s="3" t="inlineStr">
        <is>
          <t>MAT-32-123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cobre 1" x 1 1/8"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119</v>
      </c>
      <c r="L1484" s="6" t="n">
        <v>119</v>
      </c>
      <c r="M1484" s="6" t="n">
        <v>119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adaptador-macho · material: cobre · medida: 1" x 1 1/8"</t>
        </is>
      </c>
    </row>
    <row r="1485">
      <c r="A1485" s="3" t="inlineStr">
        <is>
          <t>MAT-32-124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CPVC 1/2"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13</v>
      </c>
      <c r="L1485" s="6" t="n">
        <v>13</v>
      </c>
      <c r="M1485" s="6" t="n">
        <v>13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adaptador-macho · material: CPVC · medida: 1/2"</t>
        </is>
      </c>
    </row>
    <row r="1486">
      <c r="A1486" s="3" t="inlineStr">
        <is>
          <t>MAT-32-125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CPVC 1"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32.71</v>
      </c>
      <c r="L1486" s="6" t="n">
        <v>32.71</v>
      </c>
      <c r="M1486" s="6" t="n">
        <v>32.71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F1486" s="4" t="inlineStr">
        <is>
          <t>tipo: adaptador-macho · material: CPVC · medida: 1"</t>
        </is>
      </c>
    </row>
    <row r="1487">
      <c r="A1487" s="3" t="inlineStr">
        <is>
          <t>MAT-32-126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CPVC 3/4"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18.22</v>
      </c>
      <c r="L1487" s="6" t="n">
        <v>18.22</v>
      </c>
      <c r="M1487" s="6" t="n">
        <v>18.22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F1487" s="4" t="inlineStr">
        <is>
          <t>tipo: adaptador-macho · material: CPVC · medida: 3/4"</t>
        </is>
      </c>
    </row>
    <row r="1488">
      <c r="A1488" s="3" t="inlineStr">
        <is>
          <t>MAT-32-127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plástico 1/2"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155</v>
      </c>
      <c r="L1488" s="6" t="n">
        <v>155</v>
      </c>
      <c r="M1488" s="6" t="n">
        <v>155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</t>
        </is>
      </c>
      <c r="AF1488" s="4" t="inlineStr">
        <is>
          <t>tipo: adaptador-macho · material: plástico · medida: 1/2"</t>
        </is>
      </c>
    </row>
    <row r="1489">
      <c r="A1489" s="3" t="inlineStr">
        <is>
          <t>MAT-32-128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plástico 1"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190</v>
      </c>
      <c r="L1489" s="6" t="n">
        <v>190</v>
      </c>
      <c r="M1489" s="6" t="n">
        <v>190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</t>
        </is>
      </c>
      <c r="AF1489" s="4" t="inlineStr">
        <is>
          <t>tipo: adaptador-macho · material: plástico · medida: 1"</t>
        </is>
      </c>
    </row>
    <row r="1490">
      <c r="A1490" s="3" t="inlineStr">
        <is>
          <t>MAT-32-129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plástico 2"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285</v>
      </c>
      <c r="L1490" s="6" t="n">
        <v>285</v>
      </c>
      <c r="M1490" s="6" t="n">
        <v>285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</t>
        </is>
      </c>
      <c r="AF1490" s="4" t="inlineStr">
        <is>
          <t>tipo: adaptador-macho · material: plástico · medida: 2"</t>
        </is>
      </c>
    </row>
    <row r="1491">
      <c r="A1491" s="3" t="inlineStr">
        <is>
          <t>MAT-32-130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plástico 3/4" x 0"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187</v>
      </c>
      <c r="L1491" s="6" t="n">
        <v>187</v>
      </c>
      <c r="M1491" s="6" t="n">
        <v>187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</t>
        </is>
      </c>
      <c r="AF1491" s="4" t="inlineStr">
        <is>
          <t>tipo: adaptador-macho · material: plástico · medida: 3/4" x 0"</t>
        </is>
      </c>
    </row>
    <row r="1492">
      <c r="A1492" s="3" t="inlineStr">
        <is>
          <t>MAT-32-131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PPR 20 mm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136.06</v>
      </c>
      <c r="L1492" s="6" t="n">
        <v>63.5</v>
      </c>
      <c r="M1492" s="6" t="n">
        <v>205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 · Ferretería Cima</t>
        </is>
      </c>
      <c r="AF1492" s="4" t="inlineStr">
        <is>
          <t>tipo: adaptador-macho · material: PPR · medida: 20 mm</t>
        </is>
      </c>
    </row>
    <row r="1493">
      <c r="A1493" s="3" t="inlineStr">
        <is>
          <t>MAT-32-132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PPR 25 mm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2</v>
      </c>
      <c r="K1493" s="6" t="n">
        <v>91</v>
      </c>
      <c r="L1493" s="6" t="n">
        <v>74.16</v>
      </c>
      <c r="M1493" s="6" t="n">
        <v>253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 · Ferretería Cima</t>
        </is>
      </c>
      <c r="AF1493" s="4" t="inlineStr">
        <is>
          <t>tipo: adaptador-macho · material: PPR · medida: 25 mm</t>
        </is>
      </c>
    </row>
    <row r="1494">
      <c r="A1494" s="3" t="inlineStr">
        <is>
          <t>MAT-32-133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PPR 32 mm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83.45</v>
      </c>
      <c r="L1494" s="6" t="n">
        <v>78.15000000000001</v>
      </c>
      <c r="M1494" s="6" t="n">
        <v>175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</t>
        </is>
      </c>
      <c r="AF1494" s="4" t="inlineStr">
        <is>
          <t>tipo: adaptador-macho · material: PPR · medida: 32 mm</t>
        </is>
      </c>
    </row>
    <row r="1495">
      <c r="A1495" s="3" t="inlineStr">
        <is>
          <t>MAT-32-134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PPR 50 mm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1</v>
      </c>
      <c r="K1495" s="6" t="n">
        <v>310</v>
      </c>
      <c r="L1495" s="6" t="n">
        <v>310</v>
      </c>
      <c r="M1495" s="6" t="n">
        <v>310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</t>
        </is>
      </c>
      <c r="AF1495" s="4" t="inlineStr">
        <is>
          <t>tipo: adaptador-macho · material: PPR · medida: 50 mm</t>
        </is>
      </c>
    </row>
    <row r="1496">
      <c r="A1496" s="3" t="inlineStr">
        <is>
          <t>MAT-32-135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1 1/2"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34.5</v>
      </c>
      <c r="L1496" s="6" t="n">
        <v>19.31</v>
      </c>
      <c r="M1496" s="6" t="n">
        <v>95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 · Ferretería Cima</t>
        </is>
      </c>
      <c r="AF1496" s="4" t="inlineStr">
        <is>
          <t>tipo: adaptador-macho · material: PVC · medida: 1 1/2"</t>
        </is>
      </c>
    </row>
    <row r="1497">
      <c r="A1497" s="3" t="inlineStr">
        <is>
          <t>MAT-32-136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1/2"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5.36</v>
      </c>
      <c r="L1497" s="6" t="n">
        <v>4.08</v>
      </c>
      <c r="M1497" s="6" t="n">
        <v>26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 · Ferretería Cima</t>
        </is>
      </c>
      <c r="AF1497" s="4" t="inlineStr">
        <is>
          <t>tipo: adaptador-macho · material: PVC · medida: 1/2"</t>
        </is>
      </c>
    </row>
    <row r="1498">
      <c r="A1498" s="3" t="inlineStr">
        <is>
          <t>MAT-32-137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1"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18.2</v>
      </c>
      <c r="L1498" s="6" t="n">
        <v>8.73</v>
      </c>
      <c r="M1498" s="6" t="n">
        <v>40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 · Ferretería Cima</t>
        </is>
      </c>
      <c r="AF1498" s="4" t="inlineStr">
        <is>
          <t>tipo: adaptador-macho · material: PVC · medida: 1"</t>
        </is>
      </c>
    </row>
    <row r="1499">
      <c r="A1499" s="3" t="inlineStr">
        <is>
          <t>MAT-32-138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2"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2</v>
      </c>
      <c r="K1499" s="6" t="n">
        <v>60.76</v>
      </c>
      <c r="L1499" s="6" t="n">
        <v>28.05</v>
      </c>
      <c r="M1499" s="6" t="n">
        <v>126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 · Ferretería Cima</t>
        </is>
      </c>
      <c r="AF1499" s="4" t="inlineStr">
        <is>
          <t>tipo: adaptador-macho · material: PVC · medida: 2"</t>
        </is>
      </c>
    </row>
    <row r="1500">
      <c r="A1500" s="3" t="inlineStr">
        <is>
          <t>MAT-32-139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PVC 3/4"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2</v>
      </c>
      <c r="K1500" s="6" t="n">
        <v>10.75</v>
      </c>
      <c r="L1500" s="6" t="n">
        <v>5.62</v>
      </c>
      <c r="M1500" s="6" t="n">
        <v>26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 · Ferretería Cima</t>
        </is>
      </c>
      <c r="AF1500" s="4" t="inlineStr">
        <is>
          <t>tipo: adaptador-macho · material: PVC · medida: 3/4"</t>
        </is>
      </c>
    </row>
    <row r="1501">
      <c r="A1501" s="3" t="inlineStr">
        <is>
          <t>MAT-32-140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PVC 3"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2</v>
      </c>
      <c r="K1501" s="6" t="n">
        <v>157</v>
      </c>
      <c r="L1501" s="6" t="n">
        <v>85</v>
      </c>
      <c r="M1501" s="6" t="n">
        <v>271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2026-09-10</t>
        </is>
      </c>
      <c r="Q1501" s="4" t="inlineStr">
        <is>
          <t>Bellón · Ferretería Cima</t>
        </is>
      </c>
      <c r="AF1501" s="4" t="inlineStr">
        <is>
          <t>tipo: adaptador-macho · material: PVC · medida: 3"</t>
        </is>
      </c>
    </row>
    <row r="1502">
      <c r="A1502" s="3" t="inlineStr">
        <is>
          <t>MAT-32-141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PVC 4"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2</v>
      </c>
      <c r="K1502" s="6" t="n">
        <v>234.99</v>
      </c>
      <c r="L1502" s="6" t="n">
        <v>120</v>
      </c>
      <c r="M1502" s="6" t="n">
        <v>341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2026-09-10</t>
        </is>
      </c>
      <c r="Q1502" s="4" t="inlineStr">
        <is>
          <t>Bellón · Ferretería Cima</t>
        </is>
      </c>
      <c r="AF1502" s="4" t="inlineStr">
        <is>
          <t>tipo: adaptador-macho · material: PVC · medida: 4"</t>
        </is>
      </c>
    </row>
    <row r="1503">
      <c r="A1503" s="3" t="inlineStr">
        <is>
          <t>MAT-32-142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PVC 6"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567</v>
      </c>
      <c r="L1503" s="6" t="n">
        <v>567</v>
      </c>
      <c r="M1503" s="6" t="n">
        <v>567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2026-09-10</t>
        </is>
      </c>
      <c r="Q1503" s="4" t="inlineStr">
        <is>
          <t>Bellón</t>
        </is>
      </c>
      <c r="AF1503" s="4" t="inlineStr">
        <is>
          <t>tipo: adaptador-macho · material: PVC · medida: 6"</t>
        </is>
      </c>
    </row>
    <row r="1504">
      <c r="A1504" s="3" t="inlineStr">
        <is>
          <t>MAT-32-143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de bronce 7/8" x 1/2"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176</v>
      </c>
      <c r="L1504" s="6" t="n">
        <v>176</v>
      </c>
      <c r="M1504" s="6" t="n">
        <v>176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2026-09-10</t>
        </is>
      </c>
      <c r="Q1504" s="4" t="inlineStr">
        <is>
          <t>Bellón</t>
        </is>
      </c>
      <c r="AF1504" s="4" t="inlineStr">
        <is>
          <t>tipo: adaptador · material: bronce · medida: 7/8" x 1/2"</t>
        </is>
      </c>
    </row>
    <row r="1505">
      <c r="A1505" s="3" t="inlineStr">
        <is>
          <t>MAT-32-144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0.19"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31</v>
      </c>
      <c r="L1505" s="6" t="n">
        <v>31</v>
      </c>
      <c r="M1505" s="6" t="n">
        <v>31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F1505" s="4" t="inlineStr">
        <is>
          <t>tipo: anilla · material: cobre · medida: 0.19"</t>
        </is>
      </c>
    </row>
    <row r="1506">
      <c r="A1506" s="3" t="inlineStr">
        <is>
          <t>MAT-32-145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Anilla de cobre 0.31"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19</v>
      </c>
      <c r="L1506" s="6" t="n">
        <v>19</v>
      </c>
      <c r="M1506" s="6" t="n">
        <v>19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2026-09-09</t>
        </is>
      </c>
      <c r="Q1506" s="4" t="inlineStr">
        <is>
          <t>Ferretería Cima</t>
        </is>
      </c>
      <c r="AF1506" s="4" t="inlineStr">
        <is>
          <t>tipo: anilla · material: cobre · medida: 0.31"</t>
        </is>
      </c>
    </row>
    <row r="1507">
      <c r="A1507" s="3" t="inlineStr">
        <is>
          <t>MAT-32-146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Anilla de cobre 1/2"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32</v>
      </c>
      <c r="L1507" s="6" t="n">
        <v>32</v>
      </c>
      <c r="M1507" s="6" t="n">
        <v>32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2026-09-09</t>
        </is>
      </c>
      <c r="Q1507" s="4" t="inlineStr">
        <is>
          <t>Ferretería Cima</t>
        </is>
      </c>
      <c r="AF1507" s="4" t="inlineStr">
        <is>
          <t>tipo: anilla · material: cobre · medida: 1/2"</t>
        </is>
      </c>
    </row>
    <row r="1508">
      <c r="A1508" s="3" t="inlineStr">
        <is>
          <t>MAT-32-147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Anilla de cobre 1/4"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31</v>
      </c>
      <c r="L1508" s="6" t="n">
        <v>31</v>
      </c>
      <c r="M1508" s="6" t="n">
        <v>31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2026-09-09</t>
        </is>
      </c>
      <c r="Q1508" s="4" t="inlineStr">
        <is>
          <t>Ferretería Cima</t>
        </is>
      </c>
      <c r="AF1508" s="4" t="inlineStr">
        <is>
          <t>tipo: anilla · material: cobre · medida: 1/4"</t>
        </is>
      </c>
    </row>
    <row r="1509">
      <c r="A1509" s="3" t="inlineStr">
        <is>
          <t>MAT-32-148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Anilla de cobre 3/8"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31</v>
      </c>
      <c r="L1509" s="6" t="n">
        <v>31</v>
      </c>
      <c r="M1509" s="6" t="n">
        <v>31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2026-09-09</t>
        </is>
      </c>
      <c r="Q1509" s="4" t="inlineStr">
        <is>
          <t>Ferretería Cima</t>
        </is>
      </c>
      <c r="AF1509" s="4" t="inlineStr">
        <is>
          <t>tipo: anilla · material: cobre · medida: 3/8"</t>
        </is>
      </c>
    </row>
    <row r="1510">
      <c r="A1510" s="3" t="inlineStr">
        <is>
          <t>MAT-32-149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CPVC 1/2"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10.5</v>
      </c>
      <c r="L1510" s="6" t="n">
        <v>10.5</v>
      </c>
      <c r="M1510" s="6" t="n">
        <v>10.5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</t>
        </is>
      </c>
      <c r="AF1510" s="4" t="inlineStr">
        <is>
          <t>tipo: codo-45 · material: CPVC · medida: 1/2"</t>
        </is>
      </c>
    </row>
    <row r="1511">
      <c r="A1511" s="3" t="inlineStr">
        <is>
          <t>MAT-32-150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CPVC 1"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33.39</v>
      </c>
      <c r="L1511" s="6" t="n">
        <v>33.39</v>
      </c>
      <c r="M1511" s="6" t="n">
        <v>33.39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F1511" s="4" t="inlineStr">
        <is>
          <t>tipo: codo-45 · material: CPVC · medida: 1"</t>
        </is>
      </c>
    </row>
    <row r="1512">
      <c r="A1512" s="3" t="inlineStr">
        <is>
          <t>MAT-32-151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CPVC 3/4"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25.61</v>
      </c>
      <c r="L1512" s="6" t="n">
        <v>25.61</v>
      </c>
      <c r="M1512" s="6" t="n">
        <v>25.61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F1512" s="4" t="inlineStr">
        <is>
          <t>tipo: codo-45 · material: CPVC · medida: 3/4"</t>
        </is>
      </c>
    </row>
    <row r="1513">
      <c r="A1513" s="3" t="inlineStr">
        <is>
          <t>MAT-32-152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1 1/2"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120</v>
      </c>
      <c r="L1513" s="6" t="n">
        <v>120</v>
      </c>
      <c r="M1513" s="6" t="n">
        <v>120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F1513" s="4" t="inlineStr">
        <is>
          <t>tipo: codo-45 · material: HG · medida: 1 1/2"</t>
        </is>
      </c>
    </row>
    <row r="1514">
      <c r="A1514" s="3" t="inlineStr">
        <is>
          <t>MAT-32-153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1/2"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25.82</v>
      </c>
      <c r="L1514" s="6" t="n">
        <v>25.82</v>
      </c>
      <c r="M1514" s="6" t="n">
        <v>25.82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F1514" s="4" t="inlineStr">
        <is>
          <t>tipo: codo-45 · material: HG · medida: 1/2"</t>
        </is>
      </c>
    </row>
    <row r="1515">
      <c r="A1515" s="3" t="inlineStr">
        <is>
          <t>MAT-32-154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HG 1/4"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35.9</v>
      </c>
      <c r="L1515" s="6" t="n">
        <v>35.9</v>
      </c>
      <c r="M1515" s="6" t="n">
        <v>35.9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codo-45 · material: HG · medida: 1/4"</t>
        </is>
      </c>
    </row>
    <row r="1516">
      <c r="A1516" s="3" t="inlineStr">
        <is>
          <t>MAT-32-155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HG 1"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57</v>
      </c>
      <c r="L1516" s="6" t="n">
        <v>57</v>
      </c>
      <c r="M1516" s="6" t="n">
        <v>57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</t>
        </is>
      </c>
      <c r="AF1516" s="4" t="inlineStr">
        <is>
          <t>tipo: codo-45 · material: HG · medida: 1"</t>
        </is>
      </c>
    </row>
    <row r="1517">
      <c r="A1517" s="3" t="inlineStr">
        <is>
          <t>MAT-32-156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HG 2"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181</v>
      </c>
      <c r="L1517" s="6" t="n">
        <v>181</v>
      </c>
      <c r="M1517" s="6" t="n">
        <v>181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codo-45 · material: HG · medida: 2"</t>
        </is>
      </c>
    </row>
    <row r="1518">
      <c r="A1518" s="3" t="inlineStr">
        <is>
          <t>MAT-32-157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HG 3/8"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4.27</v>
      </c>
      <c r="L1518" s="6" t="n">
        <v>4.27</v>
      </c>
      <c r="M1518" s="6" t="n">
        <v>4.27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codo-45 · material: HG · medida: 3/8"</t>
        </is>
      </c>
    </row>
    <row r="1519">
      <c r="A1519" s="3" t="inlineStr">
        <is>
          <t>MAT-32-158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PPR 20 mm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5.85</v>
      </c>
      <c r="L1519" s="6" t="n">
        <v>5.85</v>
      </c>
      <c r="M1519" s="6" t="n">
        <v>5.85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</t>
        </is>
      </c>
      <c r="AF1519" s="4" t="inlineStr">
        <is>
          <t>tipo: codo-45 · material: PPR · medida: 20 mm</t>
        </is>
      </c>
    </row>
    <row r="1520">
      <c r="A1520" s="3" t="inlineStr">
        <is>
          <t>MAT-32-159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PPR 25 mm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2</v>
      </c>
      <c r="K1520" s="6" t="n">
        <v>22.54</v>
      </c>
      <c r="L1520" s="6" t="n">
        <v>8.08</v>
      </c>
      <c r="M1520" s="6" t="n">
        <v>37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 · Ferretería Cima</t>
        </is>
      </c>
      <c r="AF1520" s="4" t="inlineStr">
        <is>
          <t>tipo: codo-45 · material: PPR · medida: 25 mm</t>
        </is>
      </c>
    </row>
    <row r="1521">
      <c r="A1521" s="3" t="inlineStr">
        <is>
          <t>MAT-32-160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PPR 32 mm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14.42</v>
      </c>
      <c r="L1521" s="6" t="n">
        <v>14.42</v>
      </c>
      <c r="M1521" s="6" t="n">
        <v>14.42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</t>
        </is>
      </c>
      <c r="AF1521" s="4" t="inlineStr">
        <is>
          <t>tipo: codo-45 · material: PPR · medida: 32 mm</t>
        </is>
      </c>
    </row>
    <row r="1522">
      <c r="A1522" s="3" t="inlineStr">
        <is>
          <t>MAT-32-161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PPR 50 mm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46.63</v>
      </c>
      <c r="L1522" s="6" t="n">
        <v>46.63</v>
      </c>
      <c r="M1522" s="6" t="n">
        <v>46.63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</t>
        </is>
      </c>
      <c r="AF1522" s="4" t="inlineStr">
        <is>
          <t>tipo: codo-45 · material: PPR · medida: 50 mm</t>
        </is>
      </c>
    </row>
    <row r="1523">
      <c r="A1523" s="3" t="inlineStr">
        <is>
          <t>MAT-32-162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1 1/2"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2</v>
      </c>
      <c r="K1523" s="6" t="n">
        <v>14.84</v>
      </c>
      <c r="L1523" s="6" t="n">
        <v>11</v>
      </c>
      <c r="M1523" s="6" t="n">
        <v>45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 · Ferretería Cima</t>
        </is>
      </c>
      <c r="AF1523" s="4" t="inlineStr">
        <is>
          <t>tipo: codo-45 · material: PVC drenaje · medida: 1 1/2"</t>
        </is>
      </c>
    </row>
    <row r="1524">
      <c r="A1524" s="3" t="inlineStr">
        <is>
          <t>MAT-32-163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drenaje 2"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2</v>
      </c>
      <c r="K1524" s="6" t="n">
        <v>20.33</v>
      </c>
      <c r="L1524" s="6" t="n">
        <v>15.6</v>
      </c>
      <c r="M1524" s="6" t="n">
        <v>55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 · Ferretería Cima</t>
        </is>
      </c>
      <c r="AF1524" s="4" t="inlineStr">
        <is>
          <t>tipo: codo-45 · material: PVC drenaje · medida: 2"</t>
        </is>
      </c>
    </row>
    <row r="1525">
      <c r="A1525" s="3" t="inlineStr">
        <is>
          <t>MAT-32-164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drenaje 3"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2</v>
      </c>
      <c r="K1525" s="6" t="n">
        <v>55.48</v>
      </c>
      <c r="L1525" s="6" t="n">
        <v>41</v>
      </c>
      <c r="M1525" s="6" t="n">
        <v>85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 · Ferretería Cima</t>
        </is>
      </c>
      <c r="AF1525" s="4" t="inlineStr">
        <is>
          <t>tipo: codo-45 · material: PVC drenaje · medida: 3"</t>
        </is>
      </c>
    </row>
    <row r="1526">
      <c r="A1526" s="3" t="inlineStr">
        <is>
          <t>MAT-32-165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drenaje 4"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2</v>
      </c>
      <c r="K1526" s="6" t="n">
        <v>90.86</v>
      </c>
      <c r="L1526" s="6" t="n">
        <v>66</v>
      </c>
      <c r="M1526" s="6" t="n">
        <v>135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 · Ferretería Cima</t>
        </is>
      </c>
      <c r="AF1526" s="4" t="inlineStr">
        <is>
          <t>tipo: codo-45 · material: PVC drenaje · medida: 4"</t>
        </is>
      </c>
    </row>
    <row r="1527">
      <c r="A1527" s="3" t="inlineStr">
        <is>
          <t>MAT-32-166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drenaje 6"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2</v>
      </c>
      <c r="K1527" s="6" t="n">
        <v>528.5</v>
      </c>
      <c r="L1527" s="6" t="n">
        <v>445</v>
      </c>
      <c r="M1527" s="6" t="n">
        <v>612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 · Ferretería Cima</t>
        </is>
      </c>
      <c r="AF1527" s="4" t="inlineStr">
        <is>
          <t>tipo: codo-45 · material: PVC drenaje · medida: 6"</t>
        </is>
      </c>
    </row>
    <row r="1528">
      <c r="A1528" s="3" t="inlineStr">
        <is>
          <t>MAT-32-167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1 1/2"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101</v>
      </c>
      <c r="L1528" s="6" t="n">
        <v>101</v>
      </c>
      <c r="M1528" s="6" t="n">
        <v>101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F1528" s="4" t="inlineStr">
        <is>
          <t>tipo: codo-45 · material: PVC · medida: 1 1/2"</t>
        </is>
      </c>
    </row>
    <row r="1529">
      <c r="A1529" s="3" t="inlineStr">
        <is>
          <t>MAT-32-168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1/2"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12.69</v>
      </c>
      <c r="L1529" s="6" t="n">
        <v>12.69</v>
      </c>
      <c r="M1529" s="6" t="n">
        <v>12.69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</t>
        </is>
      </c>
      <c r="AF1529" s="4" t="inlineStr">
        <is>
          <t>tipo: codo-45 · material: PVC · medida: 1/2"</t>
        </is>
      </c>
    </row>
    <row r="1530">
      <c r="A1530" s="3" t="inlineStr">
        <is>
          <t>MAT-32-169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1"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33.87</v>
      </c>
      <c r="L1530" s="6" t="n">
        <v>33.87</v>
      </c>
      <c r="M1530" s="6" t="n">
        <v>33.87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</t>
        </is>
      </c>
      <c r="AF1530" s="4" t="inlineStr">
        <is>
          <t>tipo: codo-45 · material: PVC · medida: 1"</t>
        </is>
      </c>
    </row>
    <row r="1531">
      <c r="A1531" s="3" t="inlineStr">
        <is>
          <t>MAT-32-170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2"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85.05</v>
      </c>
      <c r="L1531" s="6" t="n">
        <v>85.05</v>
      </c>
      <c r="M1531" s="6" t="n">
        <v>85.05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</t>
        </is>
      </c>
      <c r="AF1531" s="4" t="inlineStr">
        <is>
          <t>tipo: codo-45 · material: PVC · medida: 2"</t>
        </is>
      </c>
    </row>
    <row r="1532">
      <c r="A1532" s="3" t="inlineStr">
        <is>
          <t>MAT-32-171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3/4"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20.29</v>
      </c>
      <c r="L1532" s="6" t="n">
        <v>20.29</v>
      </c>
      <c r="M1532" s="6" t="n">
        <v>20.29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</t>
        </is>
      </c>
      <c r="AF1532" s="4" t="inlineStr">
        <is>
          <t>tipo: codo-45 · material: PVC · medida: 3/4"</t>
        </is>
      </c>
    </row>
    <row r="1533">
      <c r="A1533" s="3" t="inlineStr">
        <is>
          <t>MAT-32-172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1 1/2"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2</v>
      </c>
      <c r="K1533" s="6" t="n">
        <v>47.28</v>
      </c>
      <c r="L1533" s="6" t="n">
        <v>29.55</v>
      </c>
      <c r="M1533" s="6" t="n">
        <v>65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 · Ferretería Cima</t>
        </is>
      </c>
      <c r="AF1533" s="4" t="inlineStr">
        <is>
          <t>tipo: codo-45 · material: PVC presión · medida: 1 1/2"</t>
        </is>
      </c>
    </row>
    <row r="1534">
      <c r="A1534" s="3" t="inlineStr">
        <is>
          <t>MAT-32-173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1/2"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2</v>
      </c>
      <c r="K1534" s="6" t="n">
        <v>7.08</v>
      </c>
      <c r="L1534" s="6" t="n">
        <v>4.75</v>
      </c>
      <c r="M1534" s="6" t="n">
        <v>35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 · Ferretería Cima</t>
        </is>
      </c>
      <c r="AF1534" s="4" t="inlineStr">
        <is>
          <t>tipo: codo-45 · material: PVC presión · medida: 1/2"</t>
        </is>
      </c>
    </row>
    <row r="1535">
      <c r="A1535" s="3" t="inlineStr">
        <is>
          <t>MAT-32-174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1"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2</v>
      </c>
      <c r="K1535" s="6" t="n">
        <v>22.03</v>
      </c>
      <c r="L1535" s="6" t="n">
        <v>14.1</v>
      </c>
      <c r="M1535" s="6" t="n">
        <v>90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 · Ferretería Cima</t>
        </is>
      </c>
      <c r="AF1535" s="4" t="inlineStr">
        <is>
          <t>tipo: codo-45 · material: PVC presión · medida: 1"</t>
        </is>
      </c>
    </row>
    <row r="1536">
      <c r="A1536" s="3" t="inlineStr">
        <is>
          <t>MAT-32-175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2"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40.63</v>
      </c>
      <c r="L1536" s="6" t="n">
        <v>33.12</v>
      </c>
      <c r="M1536" s="6" t="n">
        <v>48.14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</t>
        </is>
      </c>
      <c r="AF1536" s="4" t="inlineStr">
        <is>
          <t>tipo: codo-45 · material: PVC presión · medida: 2"</t>
        </is>
      </c>
    </row>
    <row r="1537">
      <c r="A1537" s="3" t="inlineStr">
        <is>
          <t>MAT-32-176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3/4"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2</v>
      </c>
      <c r="K1537" s="6" t="n">
        <v>12.38</v>
      </c>
      <c r="L1537" s="6" t="n">
        <v>9.050000000000001</v>
      </c>
      <c r="M1537" s="6" t="n">
        <v>25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 · Ferretería Cima</t>
        </is>
      </c>
      <c r="AF1537" s="4" t="inlineStr">
        <is>
          <t>tipo: codo-45 · material: PVC presión · medida: 3/4"</t>
        </is>
      </c>
    </row>
    <row r="1538">
      <c r="A1538" s="3" t="inlineStr">
        <is>
          <t>MAT-32-177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PVC presión 3"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142.32</v>
      </c>
      <c r="L1538" s="6" t="n">
        <v>142.32</v>
      </c>
      <c r="M1538" s="6" t="n">
        <v>142.32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F1538" s="4" t="inlineStr">
        <is>
          <t>tipo: codo-45 · material: PVC presión · medida: 3"</t>
        </is>
      </c>
    </row>
    <row r="1539">
      <c r="A1539" s="3" t="inlineStr">
        <is>
          <t>MAT-32-178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PVC presión 4"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273.86</v>
      </c>
      <c r="L1539" s="6" t="n">
        <v>273.86</v>
      </c>
      <c r="M1539" s="6" t="n">
        <v>273.86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F1539" s="4" t="inlineStr">
        <is>
          <t>tipo: codo-45 · material: PVC presión · medida: 4"</t>
        </is>
      </c>
    </row>
    <row r="1540">
      <c r="A1540" s="3" t="inlineStr">
        <is>
          <t>MAT-32-179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PVC presión 6"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745.5</v>
      </c>
      <c r="L1540" s="6" t="n">
        <v>576</v>
      </c>
      <c r="M1540" s="6" t="n">
        <v>915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</t>
        </is>
      </c>
      <c r="AF1540" s="4" t="inlineStr">
        <is>
          <t>tipo: codo-45 · material: PVC presión · medida: 6"</t>
        </is>
      </c>
    </row>
    <row r="1541">
      <c r="A1541" s="3" t="inlineStr">
        <is>
          <t>MAT-32-180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45° de PVC presión 8"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4409</v>
      </c>
      <c r="L1541" s="6" t="n">
        <v>4409</v>
      </c>
      <c r="M1541" s="6" t="n">
        <v>4409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codo-45 · material: PVC presión · medida: 8"</t>
        </is>
      </c>
    </row>
    <row r="1542">
      <c r="A1542" s="3" t="inlineStr">
        <is>
          <t>MAT-32-181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1 1/8"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380</v>
      </c>
      <c r="L1542" s="6" t="n">
        <v>380</v>
      </c>
      <c r="M1542" s="6" t="n">
        <v>380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</t>
        </is>
      </c>
      <c r="AF1542" s="4" t="inlineStr">
        <is>
          <t>tipo: codo-90 · material: cobre · medida: 1 1/8"</t>
        </is>
      </c>
    </row>
    <row r="1543">
      <c r="A1543" s="3" t="inlineStr">
        <is>
          <t>MAT-32-182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1/2"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49.82</v>
      </c>
      <c r="L1543" s="6" t="n">
        <v>49.82</v>
      </c>
      <c r="M1543" s="6" t="n">
        <v>49.82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</t>
        </is>
      </c>
      <c r="AF1543" s="4" t="inlineStr">
        <is>
          <t>tipo: codo-90 · material: cobre · medida: 1/2"</t>
        </is>
      </c>
    </row>
    <row r="1544">
      <c r="A1544" s="3" t="inlineStr">
        <is>
          <t>MAT-32-183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cobre 3/4"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107</v>
      </c>
      <c r="L1544" s="6" t="n">
        <v>107</v>
      </c>
      <c r="M1544" s="6" t="n">
        <v>107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</t>
        </is>
      </c>
      <c r="AF1544" s="4" t="inlineStr">
        <is>
          <t>tipo: codo-90 · material: cobre · medida: 3/4"</t>
        </is>
      </c>
    </row>
    <row r="1545">
      <c r="A1545" s="3" t="inlineStr">
        <is>
          <t>MAT-32-184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cobre 3/8"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46.98</v>
      </c>
      <c r="L1545" s="6" t="n">
        <v>46.98</v>
      </c>
      <c r="M1545" s="6" t="n">
        <v>46.98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</t>
        </is>
      </c>
      <c r="AF1545" s="4" t="inlineStr">
        <is>
          <t>tipo: codo-90 · material: cobre · medida: 3/8"</t>
        </is>
      </c>
    </row>
    <row r="1546">
      <c r="A1546" s="3" t="inlineStr">
        <is>
          <t>MAT-32-185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cobre 5/8"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80</v>
      </c>
      <c r="L1546" s="6" t="n">
        <v>80</v>
      </c>
      <c r="M1546" s="6" t="n">
        <v>80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</t>
        </is>
      </c>
      <c r="AF1546" s="4" t="inlineStr">
        <is>
          <t>tipo: codo-90 · material: cobre · medida: 5/8"</t>
        </is>
      </c>
    </row>
    <row r="1547">
      <c r="A1547" s="3" t="inlineStr">
        <is>
          <t>MAT-32-186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cobre 7/8"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159</v>
      </c>
      <c r="L1547" s="6" t="n">
        <v>159</v>
      </c>
      <c r="M1547" s="6" t="n">
        <v>159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</t>
        </is>
      </c>
      <c r="AF1547" s="4" t="inlineStr">
        <is>
          <t>tipo: codo-90 · material: cobre · medida: 7/8"</t>
        </is>
      </c>
    </row>
    <row r="1548">
      <c r="A1548" s="3" t="inlineStr">
        <is>
          <t>MAT-32-187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CPVC 1/2"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10.61</v>
      </c>
      <c r="L1548" s="6" t="n">
        <v>10.61</v>
      </c>
      <c r="M1548" s="6" t="n">
        <v>10.61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</t>
        </is>
      </c>
      <c r="AF1548" s="4" t="inlineStr">
        <is>
          <t>tipo: codo-90 · material: CPVC · medida: 1/2"</t>
        </is>
      </c>
    </row>
    <row r="1549">
      <c r="A1549" s="3" t="inlineStr">
        <is>
          <t>MAT-32-188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CPVC 1"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45.15</v>
      </c>
      <c r="L1549" s="6" t="n">
        <v>45.15</v>
      </c>
      <c r="M1549" s="6" t="n">
        <v>45.15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</t>
        </is>
      </c>
      <c r="AF1549" s="4" t="inlineStr">
        <is>
          <t>tipo: codo-90 · material: CPVC · medida: 1"</t>
        </is>
      </c>
    </row>
    <row r="1550">
      <c r="A1550" s="3" t="inlineStr">
        <is>
          <t>MAT-32-189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CPVC 3/4"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15.75</v>
      </c>
      <c r="L1550" s="6" t="n">
        <v>15.75</v>
      </c>
      <c r="M1550" s="6" t="n">
        <v>15.75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CPVC · medida: 3/4"</t>
        </is>
      </c>
    </row>
    <row r="1551">
      <c r="A1551" s="3" t="inlineStr">
        <is>
          <t>MAT-32-190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 1/2"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106</v>
      </c>
      <c r="L1551" s="6" t="n">
        <v>106</v>
      </c>
      <c r="M1551" s="6" t="n">
        <v>106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codo-90 · material: HG · medida: 1 1/2"</t>
        </is>
      </c>
    </row>
    <row r="1552">
      <c r="A1552" s="3" t="inlineStr">
        <is>
          <t>MAT-32-191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1 1/4"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87</v>
      </c>
      <c r="L1552" s="6" t="n">
        <v>87</v>
      </c>
      <c r="M1552" s="6" t="n">
        <v>87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codo-90 · material: HG · medida: 1 1/4"</t>
        </is>
      </c>
    </row>
    <row r="1553">
      <c r="A1553" s="3" t="inlineStr">
        <is>
          <t>MAT-32-192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1/2"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24</v>
      </c>
      <c r="L1553" s="6" t="n">
        <v>24</v>
      </c>
      <c r="M1553" s="6" t="n">
        <v>24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codo-90 · material: HG · medida: 1/2"</t>
        </is>
      </c>
    </row>
    <row r="1554">
      <c r="A1554" s="3" t="inlineStr">
        <is>
          <t>MAT-32-193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1/4"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38.35</v>
      </c>
      <c r="L1554" s="6" t="n">
        <v>38.35</v>
      </c>
      <c r="M1554" s="6" t="n">
        <v>38.35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codo-90 · material: HG · medida: 1/4"</t>
        </is>
      </c>
    </row>
    <row r="1555">
      <c r="A1555" s="3" t="inlineStr">
        <is>
          <t>MAT-32-194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1"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51</v>
      </c>
      <c r="L1555" s="6" t="n">
        <v>51</v>
      </c>
      <c r="M1555" s="6" t="n">
        <v>51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codo-90 · material: HG · medida: 1"</t>
        </is>
      </c>
    </row>
    <row r="1556">
      <c r="A1556" s="3" t="inlineStr">
        <is>
          <t>MAT-32-195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2"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170</v>
      </c>
      <c r="L1556" s="6" t="n">
        <v>170</v>
      </c>
      <c r="M1556" s="6" t="n">
        <v>170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codo-90 · material: HG · medida: 2"</t>
        </is>
      </c>
    </row>
    <row r="1557">
      <c r="A1557" s="3" t="inlineStr">
        <is>
          <t>MAT-32-196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HG 3/4"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34</v>
      </c>
      <c r="L1557" s="6" t="n">
        <v>34</v>
      </c>
      <c r="M1557" s="6" t="n">
        <v>34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codo-90 · material: HG · medida: 3/4"</t>
        </is>
      </c>
    </row>
    <row r="1558">
      <c r="A1558" s="3" t="inlineStr">
        <is>
          <t>MAT-32-197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HG 3/8"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51.55</v>
      </c>
      <c r="L1558" s="6" t="n">
        <v>51.55</v>
      </c>
      <c r="M1558" s="6" t="n">
        <v>51.55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codo-90 · material: HG · medida: 3/8"</t>
        </is>
      </c>
    </row>
    <row r="1559">
      <c r="A1559" s="3" t="inlineStr">
        <is>
          <t>MAT-32-198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HG 3"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464</v>
      </c>
      <c r="L1559" s="6" t="n">
        <v>464</v>
      </c>
      <c r="M1559" s="6" t="n">
        <v>464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</t>
        </is>
      </c>
      <c r="AF1559" s="4" t="inlineStr">
        <is>
          <t>tipo: codo-90 · material: HG · medida: 3"</t>
        </is>
      </c>
    </row>
    <row r="1560">
      <c r="A1560" s="3" t="inlineStr">
        <is>
          <t>MAT-32-199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HG 4"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840</v>
      </c>
      <c r="L1560" s="6" t="n">
        <v>840</v>
      </c>
      <c r="M1560" s="6" t="n">
        <v>840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</t>
        </is>
      </c>
      <c r="AF1560" s="4" t="inlineStr">
        <is>
          <t>tipo: codo-90 · material: HG · medida: 4"</t>
        </is>
      </c>
    </row>
    <row r="1561">
      <c r="A1561" s="3" t="inlineStr">
        <is>
          <t>MAT-32-200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plástico 50"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315</v>
      </c>
      <c r="L1561" s="6" t="n">
        <v>315</v>
      </c>
      <c r="M1561" s="6" t="n">
        <v>315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codo-90 · material: plástico · medida: 50"</t>
        </is>
      </c>
    </row>
    <row r="1562">
      <c r="A1562" s="3" t="inlineStr">
        <is>
          <t>MAT-32-201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plástico 63"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415</v>
      </c>
      <c r="L1562" s="6" t="n">
        <v>370</v>
      </c>
      <c r="M1562" s="6" t="n">
        <v>460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</t>
        </is>
      </c>
      <c r="AF1562" s="4" t="inlineStr">
        <is>
          <t>tipo: codo-90 · material: plástico · medida: 63"</t>
        </is>
      </c>
    </row>
    <row r="1563">
      <c r="A1563" s="3" t="inlineStr">
        <is>
          <t>MAT-32-202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PPR 20 mm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2</v>
      </c>
      <c r="K1563" s="6" t="n">
        <v>19.63</v>
      </c>
      <c r="L1563" s="6" t="n">
        <v>6.25</v>
      </c>
      <c r="M1563" s="6" t="n">
        <v>33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 · Ferretería Cima</t>
        </is>
      </c>
      <c r="AF1563" s="4" t="inlineStr">
        <is>
          <t>tipo: codo-90 · material: PPR · medida: 20 mm</t>
        </is>
      </c>
    </row>
    <row r="1564">
      <c r="A1564" s="3" t="inlineStr">
        <is>
          <t>MAT-32-203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PPR 25 mm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2</v>
      </c>
      <c r="K1564" s="6" t="n">
        <v>24.96</v>
      </c>
      <c r="L1564" s="6" t="n">
        <v>9.92</v>
      </c>
      <c r="M1564" s="6" t="n">
        <v>40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 · Ferretería Cima</t>
        </is>
      </c>
      <c r="AF1564" s="4" t="inlineStr">
        <is>
          <t>tipo: codo-90 · material: PPR · medida: 25 mm</t>
        </is>
      </c>
    </row>
    <row r="1565">
      <c r="A1565" s="3" t="inlineStr">
        <is>
          <t>MAT-32-204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PPR 32 mm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17.67</v>
      </c>
      <c r="L1565" s="6" t="n">
        <v>17.67</v>
      </c>
      <c r="M1565" s="6" t="n">
        <v>17.67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</t>
        </is>
      </c>
      <c r="AF1565" s="4" t="inlineStr">
        <is>
          <t>tipo: codo-90 · material: PPR · medida: 32 mm</t>
        </is>
      </c>
    </row>
    <row r="1566">
      <c r="A1566" s="3" t="inlineStr">
        <is>
          <t>MAT-32-205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PPR 50 mm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60</v>
      </c>
      <c r="L1566" s="6" t="n">
        <v>60</v>
      </c>
      <c r="M1566" s="6" t="n">
        <v>60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</t>
        </is>
      </c>
      <c r="AF1566" s="4" t="inlineStr">
        <is>
          <t>tipo: codo-90 · material: PPR · medida: 50 mm</t>
        </is>
      </c>
    </row>
    <row r="1567">
      <c r="A1567" s="3" t="inlineStr">
        <is>
          <t>MAT-32-206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1 1/2"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2</v>
      </c>
      <c r="K1567" s="6" t="n">
        <v>23.66</v>
      </c>
      <c r="L1567" s="6" t="n">
        <v>17.32</v>
      </c>
      <c r="M1567" s="6" t="n">
        <v>30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 · Ferretería Cima</t>
        </is>
      </c>
      <c r="AF1567" s="4" t="inlineStr">
        <is>
          <t>tipo: codo-90 · material: PVC drenaje · medida: 1 1/2"</t>
        </is>
      </c>
    </row>
    <row r="1568">
      <c r="A1568" s="3" t="inlineStr">
        <is>
          <t>MAT-32-207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drenaje 2"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2</v>
      </c>
      <c r="K1568" s="6" t="n">
        <v>26.8</v>
      </c>
      <c r="L1568" s="6" t="n">
        <v>16.01</v>
      </c>
      <c r="M1568" s="6" t="n">
        <v>35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 · Ferretería Cima</t>
        </is>
      </c>
      <c r="AF1568" s="4" t="inlineStr">
        <is>
          <t>tipo: codo-90 · material: PVC drenaje · medida: 2"</t>
        </is>
      </c>
    </row>
    <row r="1569">
      <c r="A1569" s="3" t="inlineStr">
        <is>
          <t>MAT-32-208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drenaje 3"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2</v>
      </c>
      <c r="K1569" s="6" t="n">
        <v>75.16</v>
      </c>
      <c r="L1569" s="6" t="n">
        <v>54.53</v>
      </c>
      <c r="M1569" s="6" t="n">
        <v>95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 · Ferretería Cima</t>
        </is>
      </c>
      <c r="AF1569" s="4" t="inlineStr">
        <is>
          <t>tipo: codo-90 · material: PVC drenaje · medida: 3"</t>
        </is>
      </c>
    </row>
    <row r="1570">
      <c r="A1570" s="3" t="inlineStr">
        <is>
          <t>MAT-32-209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drenaje 4"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113.88</v>
      </c>
      <c r="L1570" s="6" t="n">
        <v>89.5</v>
      </c>
      <c r="M1570" s="6" t="n">
        <v>138.26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Bellón</t>
        </is>
      </c>
      <c r="AF1570" s="4" t="inlineStr">
        <is>
          <t>tipo: codo-90 · material: PVC drenaje · medida: 4"</t>
        </is>
      </c>
    </row>
    <row r="1571">
      <c r="A1571" s="3" t="inlineStr">
        <is>
          <t>MAT-32-210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drenaje 6"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360.5</v>
      </c>
      <c r="L1571" s="6" t="n">
        <v>256</v>
      </c>
      <c r="M1571" s="6" t="n">
        <v>465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</t>
        </is>
      </c>
      <c r="AF1571" s="4" t="inlineStr">
        <is>
          <t>tipo: codo-90 · material: PVC drenaje · medida: 6"</t>
        </is>
      </c>
    </row>
    <row r="1572">
      <c r="A1572" s="3" t="inlineStr">
        <is>
          <t>MAT-32-211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1 1/2"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70.2</v>
      </c>
      <c r="L1572" s="6" t="n">
        <v>70.2</v>
      </c>
      <c r="M1572" s="6" t="n">
        <v>70.2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</t>
        </is>
      </c>
      <c r="AF1572" s="4" t="inlineStr">
        <is>
          <t>tipo: codo-90 · material: PVC · medida: 1 1/2"</t>
        </is>
      </c>
    </row>
    <row r="1573">
      <c r="A1573" s="3" t="inlineStr">
        <is>
          <t>MAT-32-212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1"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40.38</v>
      </c>
      <c r="L1573" s="6" t="n">
        <v>40.38</v>
      </c>
      <c r="M1573" s="6" t="n">
        <v>40.38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2026-09-10</t>
        </is>
      </c>
      <c r="Q1573" s="4" t="inlineStr">
        <is>
          <t>Bellón</t>
        </is>
      </c>
      <c r="AF1573" s="4" t="inlineStr">
        <is>
          <t>tipo: codo-90 · material: PVC · medida: 1"</t>
        </is>
      </c>
    </row>
    <row r="1574">
      <c r="A1574" s="3" t="inlineStr">
        <is>
          <t>MAT-32-213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2"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120</v>
      </c>
      <c r="L1574" s="6" t="n">
        <v>120</v>
      </c>
      <c r="M1574" s="6" t="n">
        <v>120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2026-09-10</t>
        </is>
      </c>
      <c r="Q1574" s="4" t="inlineStr">
        <is>
          <t>Bellón</t>
        </is>
      </c>
      <c r="AF1574" s="4" t="inlineStr">
        <is>
          <t>tipo: codo-90 · material: PVC · medida: 2"</t>
        </is>
      </c>
    </row>
    <row r="1575">
      <c r="A1575" s="3" t="inlineStr">
        <is>
          <t>MAT-32-214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3/4"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1</v>
      </c>
      <c r="K1575" s="6" t="n">
        <v>22.22</v>
      </c>
      <c r="L1575" s="6" t="n">
        <v>22.22</v>
      </c>
      <c r="M1575" s="6" t="n">
        <v>22.22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</t>
        </is>
      </c>
      <c r="AF1575" s="4" t="inlineStr">
        <is>
          <t>tipo: codo-90 · material: PVC · medida: 3/4"</t>
        </is>
      </c>
    </row>
    <row r="1576">
      <c r="A1576" s="3" t="inlineStr">
        <is>
          <t>MAT-32-215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1 1/2"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2</v>
      </c>
      <c r="K1576" s="6" t="n">
        <v>44.53</v>
      </c>
      <c r="L1576" s="6" t="n">
        <v>28.52</v>
      </c>
      <c r="M1576" s="6" t="n">
        <v>55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 · Ferretería Cima</t>
        </is>
      </c>
      <c r="AF1576" s="4" t="inlineStr">
        <is>
          <t>tipo: codo-90 · material: PVC presión · medida: 1 1/2"</t>
        </is>
      </c>
    </row>
    <row r="1577">
      <c r="A1577" s="3" t="inlineStr">
        <is>
          <t>MAT-32-216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1/2"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2</v>
      </c>
      <c r="K1577" s="6" t="n">
        <v>10</v>
      </c>
      <c r="L1577" s="6" t="n">
        <v>5.75</v>
      </c>
      <c r="M1577" s="6" t="n">
        <v>15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 · Ferretería Cima</t>
        </is>
      </c>
      <c r="AF1577" s="4" t="inlineStr">
        <is>
          <t>tipo: codo-90 · material: PVC presión · medida: 1/2"</t>
        </is>
      </c>
    </row>
    <row r="1578">
      <c r="A1578" s="3" t="inlineStr">
        <is>
          <t>MAT-32-217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1"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2</v>
      </c>
      <c r="K1578" s="6" t="n">
        <v>20.05</v>
      </c>
      <c r="L1578" s="6" t="n">
        <v>11.38</v>
      </c>
      <c r="M1578" s="6" t="n">
        <v>27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 · Ferretería Cima</t>
        </is>
      </c>
      <c r="AF1578" s="4" t="inlineStr">
        <is>
          <t>tipo: codo-90 · material: PVC presión · medida: 1"</t>
        </is>
      </c>
    </row>
    <row r="1579">
      <c r="A1579" s="3" t="inlineStr">
        <is>
          <t>MAT-32-218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2"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2</v>
      </c>
      <c r="K1579" s="6" t="n">
        <v>67.15000000000001</v>
      </c>
      <c r="L1579" s="6" t="n">
        <v>46.28</v>
      </c>
      <c r="M1579" s="6" t="n">
        <v>145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 · Ferretería Cima</t>
        </is>
      </c>
      <c r="AF1579" s="4" t="inlineStr">
        <is>
          <t>tipo: codo-90 · material: PVC presión · medida: 2"</t>
        </is>
      </c>
    </row>
    <row r="1580">
      <c r="A1580" s="3" t="inlineStr">
        <is>
          <t>MAT-32-219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3/4"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2</v>
      </c>
      <c r="K1580" s="6" t="n">
        <v>12.15</v>
      </c>
      <c r="L1580" s="6" t="n">
        <v>8.42</v>
      </c>
      <c r="M1580" s="6" t="n">
        <v>15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 · Ferretería Cima</t>
        </is>
      </c>
      <c r="AF1580" s="4" t="inlineStr">
        <is>
          <t>tipo: codo-90 · material: PVC presión · medida: 3/4"</t>
        </is>
      </c>
    </row>
    <row r="1581">
      <c r="A1581" s="3" t="inlineStr">
        <is>
          <t>MAT-32-220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PVC presión 3"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2</v>
      </c>
      <c r="K1581" s="6" t="n">
        <v>187.35</v>
      </c>
      <c r="L1581" s="6" t="n">
        <v>126</v>
      </c>
      <c r="M1581" s="6" t="n">
        <v>233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2026-09-10</t>
        </is>
      </c>
      <c r="Q1581" s="4" t="inlineStr">
        <is>
          <t>Bellón · Ferretería Cima</t>
        </is>
      </c>
      <c r="AF1581" s="4" t="inlineStr">
        <is>
          <t>tipo: codo-90 · material: PVC presión · medida: 3"</t>
        </is>
      </c>
    </row>
    <row r="1582">
      <c r="A1582" s="3" t="inlineStr">
        <is>
          <t>MAT-32-221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PVC presión 4"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2</v>
      </c>
      <c r="K1582" s="6" t="n">
        <v>309.43</v>
      </c>
      <c r="L1582" s="6" t="n">
        <v>206</v>
      </c>
      <c r="M1582" s="6" t="n">
        <v>370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2026-09-10</t>
        </is>
      </c>
      <c r="Q1582" s="4" t="inlineStr">
        <is>
          <t>Bellón · Ferretería Cima</t>
        </is>
      </c>
      <c r="AF1582" s="4" t="inlineStr">
        <is>
          <t>tipo: codo-90 · material: PVC presión · medida: 4"</t>
        </is>
      </c>
    </row>
    <row r="1583">
      <c r="A1583" s="3" t="inlineStr">
        <is>
          <t>MAT-32-222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PVC presión 6"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787.5</v>
      </c>
      <c r="L1583" s="6" t="n">
        <v>710</v>
      </c>
      <c r="M1583" s="6" t="n">
        <v>865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2026-09-10</t>
        </is>
      </c>
      <c r="Q1583" s="4" t="inlineStr">
        <is>
          <t>Bellón</t>
        </is>
      </c>
      <c r="AF1583" s="4" t="inlineStr">
        <is>
          <t>tipo: codo-90 · material: PVC presión · medida: 6"</t>
        </is>
      </c>
    </row>
    <row r="1584">
      <c r="A1584" s="3" t="inlineStr">
        <is>
          <t>MAT-32-223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PVC presión 8"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4205</v>
      </c>
      <c r="L1584" s="6" t="n">
        <v>4205</v>
      </c>
      <c r="M1584" s="6" t="n">
        <v>4205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2026-09-10</t>
        </is>
      </c>
      <c r="Q1584" s="4" t="inlineStr">
        <is>
          <t>Bellón</t>
        </is>
      </c>
      <c r="AF1584" s="4" t="inlineStr">
        <is>
          <t>tipo: codo-90 · material: PVC presión · medida: 8"</t>
        </is>
      </c>
    </row>
    <row r="1585">
      <c r="A1585" s="3" t="inlineStr">
        <is>
          <t>MAT-32-224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1/2"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195</v>
      </c>
      <c r="L1585" s="6" t="n">
        <v>195</v>
      </c>
      <c r="M1585" s="6" t="n">
        <v>195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2026-09-10</t>
        </is>
      </c>
      <c r="Q1585" s="4" t="inlineStr">
        <is>
          <t>Bellón</t>
        </is>
      </c>
      <c r="AF1585" s="4" t="inlineStr">
        <is>
          <t>tipo: codo · material: bronce · medida: 1/2"</t>
        </is>
      </c>
    </row>
    <row r="1586">
      <c r="A1586" s="3" t="inlineStr">
        <is>
          <t>MAT-32-225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1/4"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65</v>
      </c>
      <c r="L1586" s="6" t="n">
        <v>60</v>
      </c>
      <c r="M1586" s="6" t="n">
        <v>70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2026-09-10</t>
        </is>
      </c>
      <c r="Q1586" s="4" t="inlineStr">
        <is>
          <t>Bellón</t>
        </is>
      </c>
      <c r="AF1586" s="4" t="inlineStr">
        <is>
          <t>tipo: codo · material: bronce · medida: 1/4"</t>
        </is>
      </c>
    </row>
    <row r="1587">
      <c r="A1587" s="3" t="inlineStr">
        <is>
          <t>MAT-32-226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12"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407</v>
      </c>
      <c r="L1587" s="6" t="n">
        <v>407</v>
      </c>
      <c r="M1587" s="6" t="n">
        <v>407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2026-09-10</t>
        </is>
      </c>
      <c r="Q1587" s="4" t="inlineStr">
        <is>
          <t>Bellón</t>
        </is>
      </c>
      <c r="AF1587" s="4" t="inlineStr">
        <is>
          <t>tipo: codo · material: bronce · medida: 12"</t>
        </is>
      </c>
    </row>
    <row r="1588">
      <c r="A1588" s="3" t="inlineStr">
        <is>
          <t>MAT-32-227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12" x 1/2"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287</v>
      </c>
      <c r="L1588" s="6" t="n">
        <v>279</v>
      </c>
      <c r="M1588" s="6" t="n">
        <v>295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2026-09-10</t>
        </is>
      </c>
      <c r="Q1588" s="4" t="inlineStr">
        <is>
          <t>Bellón</t>
        </is>
      </c>
      <c r="AF1588" s="4" t="inlineStr">
        <is>
          <t>tipo: codo · material: bronce · medida: 12" x 1/2"</t>
        </is>
      </c>
    </row>
    <row r="1589">
      <c r="A1589" s="3" t="inlineStr">
        <is>
          <t>MAT-32-228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15"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432</v>
      </c>
      <c r="L1589" s="6" t="n">
        <v>422</v>
      </c>
      <c r="M1589" s="6" t="n">
        <v>442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2026-09-10</t>
        </is>
      </c>
      <c r="Q1589" s="4" t="inlineStr">
        <is>
          <t>Bellón</t>
        </is>
      </c>
      <c r="AF1589" s="4" t="inlineStr">
        <is>
          <t>tipo: codo · material: bronce · medida: 15"</t>
        </is>
      </c>
    </row>
    <row r="1590">
      <c r="A1590" s="3" t="inlineStr">
        <is>
          <t>MAT-32-229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15" x 1/2"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294.5</v>
      </c>
      <c r="L1590" s="6" t="n">
        <v>269</v>
      </c>
      <c r="M1590" s="6" t="n">
        <v>320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2026-09-10</t>
        </is>
      </c>
      <c r="Q1590" s="4" t="inlineStr">
        <is>
          <t>Bellón</t>
        </is>
      </c>
      <c r="AF1590" s="4" t="inlineStr">
        <is>
          <t>tipo: codo · material: bronce · medida: 15" x 1/2"</t>
        </is>
      </c>
    </row>
    <row r="1591">
      <c r="A1591" s="3" t="inlineStr">
        <is>
          <t>MAT-32-230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15" x 3/4"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430</v>
      </c>
      <c r="L1591" s="6" t="n">
        <v>430</v>
      </c>
      <c r="M1591" s="6" t="n">
        <v>430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2026-09-10</t>
        </is>
      </c>
      <c r="Q1591" s="4" t="inlineStr">
        <is>
          <t>Bellón</t>
        </is>
      </c>
      <c r="AF1591" s="4" t="inlineStr">
        <is>
          <t>tipo: codo · material: bronce · medida: 15" x 3/4"</t>
        </is>
      </c>
    </row>
    <row r="1592">
      <c r="A1592" s="3" t="inlineStr">
        <is>
          <t>MAT-32-231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18"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592</v>
      </c>
      <c r="L1592" s="6" t="n">
        <v>592</v>
      </c>
      <c r="M1592" s="6" t="n">
        <v>592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2026-09-10</t>
        </is>
      </c>
      <c r="Q1592" s="4" t="inlineStr">
        <is>
          <t>Bellón</t>
        </is>
      </c>
      <c r="AF1592" s="4" t="inlineStr">
        <is>
          <t>tipo: codo · material: bronce · medida: 18"</t>
        </is>
      </c>
    </row>
    <row r="1593">
      <c r="A1593" s="3" t="inlineStr">
        <is>
          <t>MAT-32-232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18" x 1/2"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421</v>
      </c>
      <c r="L1593" s="6" t="n">
        <v>370</v>
      </c>
      <c r="M1593" s="6" t="n">
        <v>472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2026-09-10</t>
        </is>
      </c>
      <c r="Q1593" s="4" t="inlineStr">
        <is>
          <t>Bellón</t>
        </is>
      </c>
      <c r="AF1593" s="4" t="inlineStr">
        <is>
          <t>tipo: codo · material: bronce · medida: 18" x 1/2"</t>
        </is>
      </c>
    </row>
    <row r="1594">
      <c r="A1594" s="3" t="inlineStr">
        <is>
          <t>MAT-32-233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18" x 3/4"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499</v>
      </c>
      <c r="L1594" s="6" t="n">
        <v>415</v>
      </c>
      <c r="M1594" s="6" t="n">
        <v>583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2026-09-10</t>
        </is>
      </c>
      <c r="Q1594" s="4" t="inlineStr">
        <is>
          <t>Bellón</t>
        </is>
      </c>
      <c r="AF1594" s="4" t="inlineStr">
        <is>
          <t>tipo: codo · material: bronce · medida: 18" x 3/4"</t>
        </is>
      </c>
    </row>
    <row r="1595">
      <c r="A1595" s="3" t="inlineStr">
        <is>
          <t>MAT-32-234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25 mm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724</v>
      </c>
      <c r="L1595" s="6" t="n">
        <v>724</v>
      </c>
      <c r="M1595" s="6" t="n">
        <v>724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2026-09-10</t>
        </is>
      </c>
      <c r="Q1595" s="4" t="inlineStr">
        <is>
          <t>Bellón</t>
        </is>
      </c>
      <c r="AF1595" s="4" t="inlineStr">
        <is>
          <t>tipo: codo · material: bronce · medida: 25 mm</t>
        </is>
      </c>
    </row>
    <row r="1596">
      <c r="A1596" s="3" t="inlineStr">
        <is>
          <t>MAT-32-235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bronce 25"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500</v>
      </c>
      <c r="L1596" s="6" t="n">
        <v>500</v>
      </c>
      <c r="M1596" s="6" t="n">
        <v>500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2026-09-10</t>
        </is>
      </c>
      <c r="Q1596" s="4" t="inlineStr">
        <is>
          <t>Bellón</t>
        </is>
      </c>
      <c r="AF1596" s="4" t="inlineStr">
        <is>
          <t>tipo: codo · material: bronce · medida: 25"</t>
        </is>
      </c>
    </row>
    <row r="1597">
      <c r="A1597" s="3" t="inlineStr">
        <is>
          <t>MAT-32-236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bronce 3/8"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147</v>
      </c>
      <c r="L1597" s="6" t="n">
        <v>99</v>
      </c>
      <c r="M1597" s="6" t="n">
        <v>195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2026-09-10</t>
        </is>
      </c>
      <c r="Q1597" s="4" t="inlineStr">
        <is>
          <t>Bellón</t>
        </is>
      </c>
      <c r="AF1597" s="4" t="inlineStr">
        <is>
          <t>tipo: codo · material: bronce · medida: 3/8"</t>
        </is>
      </c>
    </row>
    <row r="1598">
      <c r="A1598" s="3" t="inlineStr">
        <is>
          <t>MAT-32-237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bronce 32 mm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1429</v>
      </c>
      <c r="L1598" s="6" t="n">
        <v>1429</v>
      </c>
      <c r="M1598" s="6" t="n">
        <v>1429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2026-09-10</t>
        </is>
      </c>
      <c r="Q1598" s="4" t="inlineStr">
        <is>
          <t>Bellón</t>
        </is>
      </c>
      <c r="AF1598" s="4" t="inlineStr">
        <is>
          <t>tipo: codo · material: bronce · medida: 32 mm</t>
        </is>
      </c>
    </row>
    <row r="1599">
      <c r="A1599" s="3" t="inlineStr">
        <is>
          <t>MAT-32-238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bronce 32"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882</v>
      </c>
      <c r="L1599" s="6" t="n">
        <v>882</v>
      </c>
      <c r="M1599" s="6" t="n">
        <v>882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2026-09-10</t>
        </is>
      </c>
      <c r="Q1599" s="4" t="inlineStr">
        <is>
          <t>Bellón</t>
        </is>
      </c>
      <c r="AF1599" s="4" t="inlineStr">
        <is>
          <t>tipo: codo · material: bronce · medida: 32"</t>
        </is>
      </c>
    </row>
    <row r="1600">
      <c r="A1600" s="3" t="inlineStr">
        <is>
          <t>MAT-32-239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 1/2"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2</v>
      </c>
      <c r="K1600" s="6" t="n">
        <v>184</v>
      </c>
      <c r="L1600" s="6" t="n">
        <v>134</v>
      </c>
      <c r="M1600" s="6" t="n">
        <v>234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2026-09-10</t>
        </is>
      </c>
      <c r="Q1600" s="4" t="inlineStr">
        <is>
          <t>Bellón · Ferretería Cima</t>
        </is>
      </c>
      <c r="AF1600" s="4" t="inlineStr">
        <is>
          <t>tipo: codo · material: HG · medida: 1 1/2"</t>
        </is>
      </c>
    </row>
    <row r="1601">
      <c r="A1601" s="3" t="inlineStr">
        <is>
          <t>MAT-32-240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1 1/4"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1</v>
      </c>
      <c r="K1601" s="6" t="n">
        <v>130</v>
      </c>
      <c r="L1601" s="6" t="n">
        <v>130</v>
      </c>
      <c r="M1601" s="6" t="n">
        <v>130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2026-09-09</t>
        </is>
      </c>
      <c r="Q1601" s="4" t="inlineStr">
        <is>
          <t>Ferretería Cima</t>
        </is>
      </c>
      <c r="AF1601" s="4" t="inlineStr">
        <is>
          <t>tipo: codo · material: HG · medida: 1 1/4"</t>
        </is>
      </c>
    </row>
    <row r="1602">
      <c r="A1602" s="3" t="inlineStr">
        <is>
          <t>MAT-32-241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1/2"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2</v>
      </c>
      <c r="K1602" s="6" t="n">
        <v>28</v>
      </c>
      <c r="L1602" s="6" t="n">
        <v>26</v>
      </c>
      <c r="M1602" s="6" t="n">
        <v>30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2026-09-10</t>
        </is>
      </c>
      <c r="Q1602" s="4" t="inlineStr">
        <is>
          <t>Bellón · Ferretería Cima</t>
        </is>
      </c>
      <c r="AF1602" s="4" t="inlineStr">
        <is>
          <t>tipo: codo · material: HG · medida: 1/2"</t>
        </is>
      </c>
    </row>
    <row r="1603">
      <c r="A1603" s="3" t="inlineStr">
        <is>
          <t>MAT-32-242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1/4"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75</v>
      </c>
      <c r="L1603" s="6" t="n">
        <v>75</v>
      </c>
      <c r="M1603" s="6" t="n">
        <v>75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4" t="inlineStr">
        <is>
          <t>tipo: codo · material: HG · medida: 1/4"</t>
        </is>
      </c>
    </row>
    <row r="1604">
      <c r="A1604" s="3" t="inlineStr">
        <is>
          <t>MAT-32-243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HG 1"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65</v>
      </c>
      <c r="L1604" s="6" t="n">
        <v>65</v>
      </c>
      <c r="M1604" s="6" t="n">
        <v>65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F1604" s="4" t="inlineStr">
        <is>
          <t>tipo: codo · material: HG · medida: 1"</t>
        </is>
      </c>
    </row>
    <row r="1605">
      <c r="A1605" s="3" t="inlineStr">
        <is>
          <t>MAT-32-244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HG 2"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2</v>
      </c>
      <c r="K1605" s="6" t="n">
        <v>241</v>
      </c>
      <c r="L1605" s="6" t="n">
        <v>191</v>
      </c>
      <c r="M1605" s="6" t="n">
        <v>291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2026-09-10</t>
        </is>
      </c>
      <c r="Q1605" s="4" t="inlineStr">
        <is>
          <t>Bellón · Ferretería Cima</t>
        </is>
      </c>
      <c r="AF1605" s="4" t="inlineStr">
        <is>
          <t>tipo: codo · material: HG · medida: 2"</t>
        </is>
      </c>
    </row>
    <row r="1606">
      <c r="A1606" s="3" t="inlineStr">
        <is>
          <t>MAT-32-245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HG 3/4"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51</v>
      </c>
      <c r="L1606" s="6" t="n">
        <v>51</v>
      </c>
      <c r="M1606" s="6" t="n">
        <v>51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F1606" s="4" t="inlineStr">
        <is>
          <t>tipo: codo · material: HG · medida: 3/4"</t>
        </is>
      </c>
    </row>
    <row r="1607">
      <c r="A1607" s="3" t="inlineStr">
        <is>
          <t>MAT-32-246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HG 3/8"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50</v>
      </c>
      <c r="L1607" s="6" t="n">
        <v>50</v>
      </c>
      <c r="M1607" s="6" t="n">
        <v>50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F1607" s="4" t="inlineStr">
        <is>
          <t>tipo: codo · material: HG · medida: 3/8"</t>
        </is>
      </c>
    </row>
    <row r="1608">
      <c r="A1608" s="3" t="inlineStr">
        <is>
          <t>MAT-32-247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niquelado 1/2"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363</v>
      </c>
      <c r="L1608" s="6" t="n">
        <v>363</v>
      </c>
      <c r="M1608" s="6" t="n">
        <v>363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2026-09-09</t>
        </is>
      </c>
      <c r="Q1608" s="4" t="inlineStr">
        <is>
          <t>Ferretería Cima</t>
        </is>
      </c>
      <c r="AF1608" s="4" t="inlineStr">
        <is>
          <t>tipo: codo · material: niquelado · medida: 1/2"</t>
        </is>
      </c>
    </row>
    <row r="1609">
      <c r="A1609" s="3" t="inlineStr">
        <is>
          <t>MAT-32-248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plástico 16 mm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28.58</v>
      </c>
      <c r="L1609" s="6" t="n">
        <v>28.58</v>
      </c>
      <c r="M1609" s="6" t="n">
        <v>28.58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2026-09-10</t>
        </is>
      </c>
      <c r="Q1609" s="4" t="inlineStr">
        <is>
          <t>Bellón</t>
        </is>
      </c>
      <c r="AF1609" s="4" t="inlineStr">
        <is>
          <t>tipo: codo · material: plástico · medida: 16 mm</t>
        </is>
      </c>
    </row>
    <row r="1610">
      <c r="A1610" s="3" t="inlineStr">
        <is>
          <t>MAT-32-249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PPR 20 mm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65.56999999999999</v>
      </c>
      <c r="L1610" s="6" t="n">
        <v>8.59</v>
      </c>
      <c r="M1610" s="6" t="n">
        <v>78.45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2026-09-10</t>
        </is>
      </c>
      <c r="Q1610" s="4" t="inlineStr">
        <is>
          <t>Bellón</t>
        </is>
      </c>
      <c r="AF1610" s="4" t="inlineStr">
        <is>
          <t>tipo: codo · material: PPR · medida: 20 mm</t>
        </is>
      </c>
    </row>
    <row r="1611">
      <c r="A1611" s="3" t="inlineStr">
        <is>
          <t>MAT-32-250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PPR 25 mm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80</v>
      </c>
      <c r="L1611" s="6" t="n">
        <v>15.37</v>
      </c>
      <c r="M1611" s="6" t="n">
        <v>128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2026-09-10</t>
        </is>
      </c>
      <c r="Q1611" s="4" t="inlineStr">
        <is>
          <t>Bellón</t>
        </is>
      </c>
      <c r="AF1611" s="4" t="inlineStr">
        <is>
          <t>tipo: codo · material: PPR · medida: 25 mm</t>
        </is>
      </c>
    </row>
    <row r="1612">
      <c r="A1612" s="3" t="inlineStr">
        <is>
          <t>MAT-32-251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PPR 32 mm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92.89</v>
      </c>
      <c r="L1612" s="6" t="n">
        <v>87.15000000000001</v>
      </c>
      <c r="M1612" s="6" t="n">
        <v>228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2026-09-10</t>
        </is>
      </c>
      <c r="Q1612" s="4" t="inlineStr">
        <is>
          <t>Bellón</t>
        </is>
      </c>
      <c r="AF1612" s="4" t="inlineStr">
        <is>
          <t>tipo: codo · material: PPR · medida: 32 mm</t>
        </is>
      </c>
    </row>
    <row r="1613">
      <c r="A1613" s="3" t="inlineStr">
        <is>
          <t>MAT-32-252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PVC 1" x 1"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47.12</v>
      </c>
      <c r="L1613" s="6" t="n">
        <v>47.12</v>
      </c>
      <c r="M1613" s="6" t="n">
        <v>47.12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2026-09-10</t>
        </is>
      </c>
      <c r="Q1613" s="4" t="inlineStr">
        <is>
          <t>Bellón</t>
        </is>
      </c>
      <c r="AF1613" s="4" t="inlineStr">
        <is>
          <t>tipo: codo · material: PVC · medida: 1" x 1"</t>
        </is>
      </c>
    </row>
    <row r="1614">
      <c r="A1614" s="3" t="inlineStr">
        <is>
          <t>MAT-32-253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PVC 3/4"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40</v>
      </c>
      <c r="L1614" s="6" t="n">
        <v>40</v>
      </c>
      <c r="M1614" s="6" t="n">
        <v>40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2026-09-10</t>
        </is>
      </c>
      <c r="Q1614" s="4" t="inlineStr">
        <is>
          <t>Bellón</t>
        </is>
      </c>
      <c r="AF1614" s="4" t="inlineStr">
        <is>
          <t>tipo: codo · material: PVC · medida: 3/4"</t>
        </is>
      </c>
    </row>
    <row r="1615">
      <c r="A1615" s="3" t="inlineStr">
        <is>
          <t>MAT-32-254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bronce 3/8"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179</v>
      </c>
      <c r="L1615" s="6" t="n">
        <v>179</v>
      </c>
      <c r="M1615" s="6" t="n">
        <v>179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F1615" s="4" t="inlineStr">
        <is>
          <t>tipo: codoniple · material: bronce · medida: 3/8"</t>
        </is>
      </c>
    </row>
    <row r="1616">
      <c r="A1616" s="3" t="inlineStr">
        <is>
          <t>MAT-32-255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 1/2"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215</v>
      </c>
      <c r="L1616" s="6" t="n">
        <v>215</v>
      </c>
      <c r="M1616" s="6" t="n">
        <v>215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2026-09-09</t>
        </is>
      </c>
      <c r="Q1616" s="4" t="inlineStr">
        <is>
          <t>Ferretería Cima</t>
        </is>
      </c>
      <c r="AF1616" s="4" t="inlineStr">
        <is>
          <t>tipo: codoniple · material: HG · medida: 1 1/2"</t>
        </is>
      </c>
    </row>
    <row r="1617">
      <c r="A1617" s="3" t="inlineStr">
        <is>
          <t>MAT-32-256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1 1/4"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160</v>
      </c>
      <c r="L1617" s="6" t="n">
        <v>160</v>
      </c>
      <c r="M1617" s="6" t="n">
        <v>160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2026-09-09</t>
        </is>
      </c>
      <c r="Q1617" s="4" t="inlineStr">
        <is>
          <t>Ferretería Cima</t>
        </is>
      </c>
      <c r="AF1617" s="4" t="inlineStr">
        <is>
          <t>tipo: codoniple · material: HG · medida: 1 1/4"</t>
        </is>
      </c>
    </row>
    <row r="1618">
      <c r="A1618" s="3" t="inlineStr">
        <is>
          <t>MAT-32-257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1/2"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45</v>
      </c>
      <c r="L1618" s="6" t="n">
        <v>45</v>
      </c>
      <c r="M1618" s="6" t="n">
        <v>45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2026-09-09</t>
        </is>
      </c>
      <c r="Q1618" s="4" t="inlineStr">
        <is>
          <t>Ferretería Cima</t>
        </is>
      </c>
      <c r="AF1618" s="4" t="inlineStr">
        <is>
          <t>tipo: codoniple · material: HG · medida: 1/2"</t>
        </is>
      </c>
    </row>
    <row r="1619">
      <c r="A1619" s="3" t="inlineStr">
        <is>
          <t>MAT-32-258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HG 1/4"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39</v>
      </c>
      <c r="L1619" s="6" t="n">
        <v>39</v>
      </c>
      <c r="M1619" s="6" t="n">
        <v>39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2026-09-09</t>
        </is>
      </c>
      <c r="Q1619" s="4" t="inlineStr">
        <is>
          <t>Ferretería Cima</t>
        </is>
      </c>
      <c r="AF1619" s="4" t="inlineStr">
        <is>
          <t>tipo: codoniple · material: HG · medida: 1/4"</t>
        </is>
      </c>
    </row>
    <row r="1620">
      <c r="A1620" s="3" t="inlineStr">
        <is>
          <t>MAT-32-259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niple de HG 1"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149</v>
      </c>
      <c r="L1620" s="6" t="n">
        <v>149</v>
      </c>
      <c r="M1620" s="6" t="n">
        <v>149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2026-09-09</t>
        </is>
      </c>
      <c r="Q1620" s="4" t="inlineStr">
        <is>
          <t>Ferretería Cima</t>
        </is>
      </c>
      <c r="AF1620" s="4" t="inlineStr">
        <is>
          <t>tipo: codoniple · material: HG · medida: 1"</t>
        </is>
      </c>
    </row>
    <row r="1621">
      <c r="A1621" s="3" t="inlineStr">
        <is>
          <t>MAT-32-260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niple de HG 2"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266</v>
      </c>
      <c r="L1621" s="6" t="n">
        <v>266</v>
      </c>
      <c r="M1621" s="6" t="n">
        <v>266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2026-09-09</t>
        </is>
      </c>
      <c r="Q1621" s="4" t="inlineStr">
        <is>
          <t>Ferretería Cima</t>
        </is>
      </c>
      <c r="AF1621" s="4" t="inlineStr">
        <is>
          <t>tipo: codoniple · material: HG · medida: 2"</t>
        </is>
      </c>
    </row>
    <row r="1622">
      <c r="A1622" s="3" t="inlineStr">
        <is>
          <t>MAT-32-261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niple de HG 3/4"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92</v>
      </c>
      <c r="L1622" s="6" t="n">
        <v>92</v>
      </c>
      <c r="M1622" s="6" t="n">
        <v>92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2026-09-09</t>
        </is>
      </c>
      <c r="Q1622" s="4" t="inlineStr">
        <is>
          <t>Ferretería Cima</t>
        </is>
      </c>
      <c r="AF1622" s="4" t="inlineStr">
        <is>
          <t>tipo: codoniple · material: HG · medida: 3/4"</t>
        </is>
      </c>
    </row>
    <row r="1623">
      <c r="A1623" s="3" t="inlineStr">
        <is>
          <t>MAT-32-262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niple de niquelado 1/2"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333</v>
      </c>
      <c r="L1623" s="6" t="n">
        <v>333</v>
      </c>
      <c r="M1623" s="6" t="n">
        <v>333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2026-09-09</t>
        </is>
      </c>
      <c r="Q1623" s="4" t="inlineStr">
        <is>
          <t>Ferretería Cima</t>
        </is>
      </c>
      <c r="AF1623" s="4" t="inlineStr">
        <is>
          <t>tipo: codoniple · material: niquelado · medida: 1/2"</t>
        </is>
      </c>
    </row>
    <row r="1624">
      <c r="A1624" s="3" t="inlineStr">
        <is>
          <t>MAT-32-263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1 1/2"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199</v>
      </c>
      <c r="L1624" s="6" t="n">
        <v>199</v>
      </c>
      <c r="M1624" s="6" t="n">
        <v>199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coupling · material: HG · medida: 1 1/2"</t>
        </is>
      </c>
    </row>
    <row r="1625">
      <c r="A1625" s="3" t="inlineStr">
        <is>
          <t>MAT-32-264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1 1/4"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141</v>
      </c>
      <c r="L1625" s="6" t="n">
        <v>141</v>
      </c>
      <c r="M1625" s="6" t="n">
        <v>141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coupling · material: HG · medida: 1 1/4"</t>
        </is>
      </c>
    </row>
    <row r="1626">
      <c r="A1626" s="3" t="inlineStr">
        <is>
          <t>MAT-32-265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1/2"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25</v>
      </c>
      <c r="L1626" s="6" t="n">
        <v>25</v>
      </c>
      <c r="M1626" s="6" t="n">
        <v>25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coupling · material: HG · medida: 1/2"</t>
        </is>
      </c>
    </row>
    <row r="1627">
      <c r="A1627" s="3" t="inlineStr">
        <is>
          <t>MAT-32-266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HG 1"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65</v>
      </c>
      <c r="L1627" s="6" t="n">
        <v>65</v>
      </c>
      <c r="M1627" s="6" t="n">
        <v>65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coupling · material: HG · medida: 1"</t>
        </is>
      </c>
    </row>
    <row r="1628">
      <c r="A1628" s="3" t="inlineStr">
        <is>
          <t>MAT-32-267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HG 2"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237</v>
      </c>
      <c r="L1628" s="6" t="n">
        <v>237</v>
      </c>
      <c r="M1628" s="6" t="n">
        <v>237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coupling · material: HG · medida: 2"</t>
        </is>
      </c>
    </row>
    <row r="1629">
      <c r="A1629" s="3" t="inlineStr">
        <is>
          <t>MAT-32-268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HG 3/4"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35</v>
      </c>
      <c r="L1629" s="6" t="n">
        <v>35</v>
      </c>
      <c r="M1629" s="6" t="n">
        <v>35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2026-09-09</t>
        </is>
      </c>
      <c r="Q1629" s="4" t="inlineStr">
        <is>
          <t>Ferretería Cima</t>
        </is>
      </c>
      <c r="AF1629" s="4" t="inlineStr">
        <is>
          <t>tipo: coupling · material: HG · medida: 3/4"</t>
        </is>
      </c>
    </row>
    <row r="1630">
      <c r="A1630" s="3" t="inlineStr">
        <is>
          <t>MAT-32-269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HG 3/8"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42</v>
      </c>
      <c r="L1630" s="6" t="n">
        <v>42</v>
      </c>
      <c r="M1630" s="6" t="n">
        <v>42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2026-09-09</t>
        </is>
      </c>
      <c r="Q1630" s="4" t="inlineStr">
        <is>
          <t>Ferretería Cima</t>
        </is>
      </c>
      <c r="AF1630" s="4" t="inlineStr">
        <is>
          <t>tipo: coupling · material: HG · medida: 3/8"</t>
        </is>
      </c>
    </row>
    <row r="1631">
      <c r="A1631" s="3" t="inlineStr">
        <is>
          <t>MAT-32-270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niquelado 1/2"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247</v>
      </c>
      <c r="L1631" s="6" t="n">
        <v>247</v>
      </c>
      <c r="M1631" s="6" t="n">
        <v>247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2026-09-09</t>
        </is>
      </c>
      <c r="Q1631" s="4" t="inlineStr">
        <is>
          <t>Ferretería Cima</t>
        </is>
      </c>
      <c r="AF1631" s="4" t="inlineStr">
        <is>
          <t>tipo: coupling · material: niquelado · medida: 1/2"</t>
        </is>
      </c>
    </row>
    <row r="1632">
      <c r="A1632" s="3" t="inlineStr">
        <is>
          <t>MAT-32-271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PPR 25 mm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1</v>
      </c>
      <c r="K1632" s="6" t="n">
        <v>40</v>
      </c>
      <c r="L1632" s="6" t="n">
        <v>40</v>
      </c>
      <c r="M1632" s="6" t="n">
        <v>40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2026-09-09</t>
        </is>
      </c>
      <c r="Q1632" s="4" t="inlineStr">
        <is>
          <t>Ferretería Cima</t>
        </is>
      </c>
      <c r="AF1632" s="4" t="inlineStr">
        <is>
          <t>tipo: coupling · material: PPR · medida: 25 mm</t>
        </is>
      </c>
    </row>
    <row r="1633">
      <c r="A1633" s="3" t="inlineStr">
        <is>
          <t>MAT-32-272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PPR 32 mm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35</v>
      </c>
      <c r="L1633" s="6" t="n">
        <v>35</v>
      </c>
      <c r="M1633" s="6" t="n">
        <v>35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2026-09-09</t>
        </is>
      </c>
      <c r="Q1633" s="4" t="inlineStr">
        <is>
          <t>Ferretería Cima</t>
        </is>
      </c>
      <c r="AF1633" s="4" t="inlineStr">
        <is>
          <t>tipo: coupling · material: PPR · medida: 32 mm</t>
        </is>
      </c>
    </row>
    <row r="1634">
      <c r="A1634" s="3" t="inlineStr">
        <is>
          <t>MAT-32-273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1 1/2"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65</v>
      </c>
      <c r="L1634" s="6" t="n">
        <v>65</v>
      </c>
      <c r="M1634" s="6" t="n">
        <v>65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2026-09-09</t>
        </is>
      </c>
      <c r="Q1634" s="4" t="inlineStr">
        <is>
          <t>Ferretería Cima</t>
        </is>
      </c>
      <c r="AF1634" s="4" t="inlineStr">
        <is>
          <t>tipo: coupling · material: PVC presión · medida: 1 1/2"</t>
        </is>
      </c>
    </row>
    <row r="1635">
      <c r="A1635" s="3" t="inlineStr">
        <is>
          <t>MAT-32-274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1/2"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27</v>
      </c>
      <c r="L1635" s="6" t="n">
        <v>27</v>
      </c>
      <c r="M1635" s="6" t="n">
        <v>27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F1635" s="4" t="inlineStr">
        <is>
          <t>tipo: coupling · material: PVC presión · medida: 1/2"</t>
        </is>
      </c>
    </row>
    <row r="1636">
      <c r="A1636" s="3" t="inlineStr">
        <is>
          <t>MAT-32-275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1"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41</v>
      </c>
      <c r="L1636" s="6" t="n">
        <v>41</v>
      </c>
      <c r="M1636" s="6" t="n">
        <v>41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2026-09-09</t>
        </is>
      </c>
      <c r="Q1636" s="4" t="inlineStr">
        <is>
          <t>Ferretería Cima</t>
        </is>
      </c>
      <c r="AF1636" s="4" t="inlineStr">
        <is>
          <t>tipo: coupling · material: PVC presión · medida: 1"</t>
        </is>
      </c>
    </row>
    <row r="1637">
      <c r="A1637" s="3" t="inlineStr">
        <is>
          <t>MAT-32-276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Coupling de PVC presión 2"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1</v>
      </c>
      <c r="K1637" s="6" t="n">
        <v>95</v>
      </c>
      <c r="L1637" s="6" t="n">
        <v>95</v>
      </c>
      <c r="M1637" s="6" t="n">
        <v>95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2026-09-09</t>
        </is>
      </c>
      <c r="Q1637" s="4" t="inlineStr">
        <is>
          <t>Ferretería Cima</t>
        </is>
      </c>
      <c r="AF1637" s="4" t="inlineStr">
        <is>
          <t>tipo: coupling · material: PVC presión · medida: 2"</t>
        </is>
      </c>
    </row>
    <row r="1638">
      <c r="A1638" s="3" t="inlineStr">
        <is>
          <t>MAT-32-277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Coupling de PVC presión 3/4"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1</v>
      </c>
      <c r="K1638" s="6" t="n">
        <v>26</v>
      </c>
      <c r="L1638" s="6" t="n">
        <v>26</v>
      </c>
      <c r="M1638" s="6" t="n">
        <v>26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2026-09-09</t>
        </is>
      </c>
      <c r="Q1638" s="4" t="inlineStr">
        <is>
          <t>Ferretería Cima</t>
        </is>
      </c>
      <c r="AF1638" s="4" t="inlineStr">
        <is>
          <t>tipo: coupling · material: PVC presión · medida: 3/4"</t>
        </is>
      </c>
    </row>
    <row r="1639">
      <c r="A1639" s="3" t="inlineStr">
        <is>
          <t>MAT-32-278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Coupling de PVC presión 3"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1</v>
      </c>
      <c r="K1639" s="6" t="n">
        <v>215</v>
      </c>
      <c r="L1639" s="6" t="n">
        <v>215</v>
      </c>
      <c r="M1639" s="6" t="n">
        <v>215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2026-09-09</t>
        </is>
      </c>
      <c r="Q1639" s="4" t="inlineStr">
        <is>
          <t>Ferretería Cima</t>
        </is>
      </c>
      <c r="AF1639" s="4" t="inlineStr">
        <is>
          <t>tipo: coupling · material: PVC presión · medida: 3"</t>
        </is>
      </c>
    </row>
    <row r="1640">
      <c r="A1640" s="3" t="inlineStr">
        <is>
          <t>MAT-32-279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Coupling de PVC presión 4"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1</v>
      </c>
      <c r="K1640" s="6" t="n">
        <v>335</v>
      </c>
      <c r="L1640" s="6" t="n">
        <v>335</v>
      </c>
      <c r="M1640" s="6" t="n">
        <v>335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2026-09-09</t>
        </is>
      </c>
      <c r="Q1640" s="4" t="inlineStr">
        <is>
          <t>Ferretería Cima</t>
        </is>
      </c>
      <c r="AF1640" s="4" t="inlineStr">
        <is>
          <t>tipo: coupling · material: PVC presión · medida: 4"</t>
        </is>
      </c>
    </row>
    <row r="1641">
      <c r="A1641" s="3" t="inlineStr">
        <is>
          <t>MAT-32-280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Cruz de PVC presión 1"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1</v>
      </c>
      <c r="K1641" s="6" t="n">
        <v>136</v>
      </c>
      <c r="L1641" s="6" t="n">
        <v>136</v>
      </c>
      <c r="M1641" s="6" t="n">
        <v>136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2026-09-09</t>
        </is>
      </c>
      <c r="Q1641" s="4" t="inlineStr">
        <is>
          <t>Ferretería Cima</t>
        </is>
      </c>
      <c r="AF1641" s="4" t="inlineStr">
        <is>
          <t>tipo: cruz · material: PVC presión · medida: 1"</t>
        </is>
      </c>
    </row>
    <row r="1642">
      <c r="A1642" s="3" t="inlineStr">
        <is>
          <t>MAT-32-281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Fitting de manguera 1/2" x 1/4"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1</v>
      </c>
      <c r="K1642" s="6" t="n">
        <v>165</v>
      </c>
      <c r="L1642" s="6" t="n">
        <v>165</v>
      </c>
      <c r="M1642" s="6" t="n">
        <v>165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2026-09-09</t>
        </is>
      </c>
      <c r="Q1642" s="4" t="inlineStr">
        <is>
          <t>Ferretería Cima</t>
        </is>
      </c>
      <c r="AF1642" s="4" t="inlineStr">
        <is>
          <t>tipo: fitting · material: manguera · medida: 1/2" x 1/4"</t>
        </is>
      </c>
    </row>
    <row r="1643">
      <c r="A1643" s="3" t="inlineStr">
        <is>
          <t>MAT-32-282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Fitting de manguera 1/2" x 3/8"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1</v>
      </c>
      <c r="K1643" s="6" t="n">
        <v>205</v>
      </c>
      <c r="L1643" s="6" t="n">
        <v>205</v>
      </c>
      <c r="M1643" s="6" t="n">
        <v>205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2026-09-09</t>
        </is>
      </c>
      <c r="Q1643" s="4" t="inlineStr">
        <is>
          <t>Ferretería Cima</t>
        </is>
      </c>
      <c r="AF1643" s="4" t="inlineStr">
        <is>
          <t>tipo: fitting · material: manguera · medida: 1/2" x 3/8"</t>
        </is>
      </c>
    </row>
    <row r="1644">
      <c r="A1644" s="3" t="inlineStr">
        <is>
          <t>MAT-32-283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Fitting de manguera 1/4" x 3/8"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1</v>
      </c>
      <c r="K1644" s="6" t="n">
        <v>122</v>
      </c>
      <c r="L1644" s="6" t="n">
        <v>122</v>
      </c>
      <c r="M1644" s="6" t="n">
        <v>122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2026-09-09</t>
        </is>
      </c>
      <c r="Q1644" s="4" t="inlineStr">
        <is>
          <t>Ferretería Cima</t>
        </is>
      </c>
      <c r="AF1644" s="4" t="inlineStr">
        <is>
          <t>tipo: fitting · material: manguera · medida: 1/4" x 3/8"</t>
        </is>
      </c>
    </row>
    <row r="1645">
      <c r="A1645" s="3" t="inlineStr">
        <is>
          <t>MAT-32-284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Fitting de manguera 3/8" x 1/4"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1</v>
      </c>
      <c r="K1645" s="6" t="n">
        <v>102</v>
      </c>
      <c r="L1645" s="6" t="n">
        <v>102</v>
      </c>
      <c r="M1645" s="6" t="n">
        <v>102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2026-09-09</t>
        </is>
      </c>
      <c r="Q1645" s="4" t="inlineStr">
        <is>
          <t>Ferretería Cima</t>
        </is>
      </c>
      <c r="AF1645" s="4" t="inlineStr">
        <is>
          <t>tipo: fitting · material: manguera · medida: 3/8" x 1/4"</t>
        </is>
      </c>
    </row>
    <row r="1646">
      <c r="A1646" s="3" t="inlineStr">
        <is>
          <t>MAT-32-285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Junta de PVC 1 1/2"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1</v>
      </c>
      <c r="K1646" s="6" t="n">
        <v>308</v>
      </c>
      <c r="L1646" s="6" t="n">
        <v>308</v>
      </c>
      <c r="M1646" s="6" t="n">
        <v>308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2026-09-09</t>
        </is>
      </c>
      <c r="Q1646" s="4" t="inlineStr">
        <is>
          <t>Ferretería Cima</t>
        </is>
      </c>
      <c r="AF1646" s="4" t="inlineStr">
        <is>
          <t>tipo: junta · material: PVC · medida: 1 1/2"</t>
        </is>
      </c>
    </row>
    <row r="1647">
      <c r="A1647" s="3" t="inlineStr">
        <is>
          <t>MAT-32-286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Junta de PVC 1/2"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1</v>
      </c>
      <c r="K1647" s="6" t="n">
        <v>86</v>
      </c>
      <c r="L1647" s="6" t="n">
        <v>86</v>
      </c>
      <c r="M1647" s="6" t="n">
        <v>86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2026-09-09</t>
        </is>
      </c>
      <c r="Q1647" s="4" t="inlineStr">
        <is>
          <t>Ferretería Cima</t>
        </is>
      </c>
      <c r="AF1647" s="4" t="inlineStr">
        <is>
          <t>tipo: junta · material: PVC · medida: 1/2"</t>
        </is>
      </c>
    </row>
    <row r="1648">
      <c r="A1648" s="3" t="inlineStr">
        <is>
          <t>MAT-32-287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Junta de PVC 1"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1</v>
      </c>
      <c r="K1648" s="6" t="n">
        <v>160</v>
      </c>
      <c r="L1648" s="6" t="n">
        <v>160</v>
      </c>
      <c r="M1648" s="6" t="n">
        <v>160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2026-09-09</t>
        </is>
      </c>
      <c r="Q1648" s="4" t="inlineStr">
        <is>
          <t>Ferretería Cima</t>
        </is>
      </c>
      <c r="AF1648" s="4" t="inlineStr">
        <is>
          <t>tipo: junta · material: PVC · medida: 1"</t>
        </is>
      </c>
    </row>
    <row r="1649">
      <c r="A1649" s="3" t="inlineStr">
        <is>
          <t>MAT-32-288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Junta de PVC 3/4"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1</v>
      </c>
      <c r="K1649" s="6" t="n">
        <v>135</v>
      </c>
      <c r="L1649" s="6" t="n">
        <v>135</v>
      </c>
      <c r="M1649" s="6" t="n">
        <v>135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2026-09-09</t>
        </is>
      </c>
      <c r="Q1649" s="4" t="inlineStr">
        <is>
          <t>Ferretería Cima</t>
        </is>
      </c>
      <c r="AF1649" s="4" t="inlineStr">
        <is>
          <t>tipo: junta · material: PVC · medida: 3/4"</t>
        </is>
      </c>
    </row>
    <row r="1650">
      <c r="A1650" s="3" t="inlineStr">
        <is>
          <t>MAT-32-289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1/2" x 2"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1</v>
      </c>
      <c r="K1650" s="6" t="n">
        <v>133</v>
      </c>
      <c r="L1650" s="6" t="n">
        <v>133</v>
      </c>
      <c r="M1650" s="6" t="n">
        <v>133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</t>
        </is>
      </c>
      <c r="AF1650" s="4" t="inlineStr">
        <is>
          <t>tipo: niple · material: bronce · medida: 1/2" x 2"</t>
        </is>
      </c>
    </row>
    <row r="1651">
      <c r="A1651" s="3" t="inlineStr">
        <is>
          <t>MAT-32-290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1/2" x 3"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1</v>
      </c>
      <c r="K1651" s="6" t="n">
        <v>192</v>
      </c>
      <c r="L1651" s="6" t="n">
        <v>192</v>
      </c>
      <c r="M1651" s="6" t="n">
        <v>192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</t>
        </is>
      </c>
      <c r="AF1651" s="4" t="inlineStr">
        <is>
          <t>tipo: niple · material: bronce · medida: 1/2" x 3"</t>
        </is>
      </c>
    </row>
    <row r="1652">
      <c r="A1652" s="3" t="inlineStr">
        <is>
          <t>MAT-32-291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1/4" x 1 1/2"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1</v>
      </c>
      <c r="K1652" s="6" t="n">
        <v>66</v>
      </c>
      <c r="L1652" s="6" t="n">
        <v>66</v>
      </c>
      <c r="M1652" s="6" t="n">
        <v>66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</t>
        </is>
      </c>
      <c r="AF1652" s="4" t="inlineStr">
        <is>
          <t>tipo: niple · material: bronce · medida: 1/4" x 1 1/2"</t>
        </is>
      </c>
    </row>
    <row r="1653">
      <c r="A1653" s="3" t="inlineStr">
        <is>
          <t>MAT-32-292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bronce 1/4" x 3"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1</v>
      </c>
      <c r="K1653" s="6" t="n">
        <v>165</v>
      </c>
      <c r="L1653" s="6" t="n">
        <v>165</v>
      </c>
      <c r="M1653" s="6" t="n">
        <v>165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2026-09-10</t>
        </is>
      </c>
      <c r="Q1653" s="4" t="inlineStr">
        <is>
          <t>Bellón</t>
        </is>
      </c>
      <c r="AF1653" s="4" t="inlineStr">
        <is>
          <t>tipo: niple · material: bronce · medida: 1/4" x 3"</t>
        </is>
      </c>
    </row>
    <row r="1654">
      <c r="A1654" s="3" t="inlineStr">
        <is>
          <t>MAT-32-293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bronce 1/8" x 1 1/2"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1</v>
      </c>
      <c r="K1654" s="6" t="n">
        <v>51</v>
      </c>
      <c r="L1654" s="6" t="n">
        <v>51</v>
      </c>
      <c r="M1654" s="6" t="n">
        <v>51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2026-09-10</t>
        </is>
      </c>
      <c r="Q1654" s="4" t="inlineStr">
        <is>
          <t>Bellón</t>
        </is>
      </c>
      <c r="AF1654" s="4" t="inlineStr">
        <is>
          <t>tipo: niple · material: bronce · medida: 1/8" x 1 1/2"</t>
        </is>
      </c>
    </row>
    <row r="1655">
      <c r="A1655" s="3" t="inlineStr">
        <is>
          <t>MAT-32-294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bronce 3/8" x 1 1/2"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1</v>
      </c>
      <c r="K1655" s="6" t="n">
        <v>87</v>
      </c>
      <c r="L1655" s="6" t="n">
        <v>87</v>
      </c>
      <c r="M1655" s="6" t="n">
        <v>87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2026-09-10</t>
        </is>
      </c>
      <c r="Q1655" s="4" t="inlineStr">
        <is>
          <t>Bellón</t>
        </is>
      </c>
      <c r="AF1655" s="4" t="inlineStr">
        <is>
          <t>tipo: niple · material: bronce · medida: 3/8" x 1 1/2"</t>
        </is>
      </c>
    </row>
    <row r="1656">
      <c r="A1656" s="3" t="inlineStr">
        <is>
          <t>MAT-32-295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bronce 3/8" x 2"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90</v>
      </c>
      <c r="L1656" s="6" t="n">
        <v>90</v>
      </c>
      <c r="M1656" s="6" t="n">
        <v>90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2026-09-10</t>
        </is>
      </c>
      <c r="Q1656" s="4" t="inlineStr">
        <is>
          <t>Bellón</t>
        </is>
      </c>
      <c r="AF1656" s="4" t="inlineStr">
        <is>
          <t>tipo: niple · material: bronce · medida: 3/8" x 2"</t>
        </is>
      </c>
    </row>
    <row r="1657">
      <c r="A1657" s="3" t="inlineStr">
        <is>
          <t>MAT-32-296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1/4" x 1 1/2"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1</v>
      </c>
      <c r="K1657" s="6" t="n">
        <v>121</v>
      </c>
      <c r="L1657" s="6" t="n">
        <v>121</v>
      </c>
      <c r="M1657" s="6" t="n">
        <v>121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2026-09-09</t>
        </is>
      </c>
      <c r="Q1657" s="4" t="inlineStr">
        <is>
          <t>Ferretería Cima</t>
        </is>
      </c>
      <c r="AF1657" s="4" t="inlineStr">
        <is>
          <t>tipo: niple · material: cobre · medida: 1/4" x 1 1/2"</t>
        </is>
      </c>
    </row>
    <row r="1658">
      <c r="A1658" s="3" t="inlineStr">
        <is>
          <t>MAT-32-297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cobre 3/4" x 3"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1</v>
      </c>
      <c r="K1658" s="6" t="n">
        <v>230</v>
      </c>
      <c r="L1658" s="6" t="n">
        <v>230</v>
      </c>
      <c r="M1658" s="6" t="n">
        <v>230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2026-09-09</t>
        </is>
      </c>
      <c r="Q1658" s="4" t="inlineStr">
        <is>
          <t>Ferretería Cima</t>
        </is>
      </c>
      <c r="AF1658" s="4" t="inlineStr">
        <is>
          <t>tipo: niple · material: cobre · medida: 3/4" x 3"</t>
        </is>
      </c>
    </row>
    <row r="1659">
      <c r="A1659" s="3" t="inlineStr">
        <is>
          <t>MAT-32-298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cobre 3/8" x 1 1/2"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1</v>
      </c>
      <c r="K1659" s="6" t="n">
        <v>193</v>
      </c>
      <c r="L1659" s="6" t="n">
        <v>193</v>
      </c>
      <c r="M1659" s="6" t="n">
        <v>193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2026-09-09</t>
        </is>
      </c>
      <c r="Q1659" s="4" t="inlineStr">
        <is>
          <t>Ferretería Cima</t>
        </is>
      </c>
      <c r="AF1659" s="4" t="inlineStr">
        <is>
          <t>tipo: niple · material: cobre · medida: 3/8" x 1 1/2"</t>
        </is>
      </c>
    </row>
    <row r="1660">
      <c r="A1660" s="3" t="inlineStr">
        <is>
          <t>MAT-32-299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cobre 3/8" x 1"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177</v>
      </c>
      <c r="L1660" s="6" t="n">
        <v>177</v>
      </c>
      <c r="M1660" s="6" t="n">
        <v>177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2026-09-09</t>
        </is>
      </c>
      <c r="Q1660" s="4" t="inlineStr">
        <is>
          <t>Ferretería Cima</t>
        </is>
      </c>
      <c r="AF1660" s="4" t="inlineStr">
        <is>
          <t>tipo: niple · material: cobre · medida: 3/8" x 1"</t>
        </is>
      </c>
    </row>
    <row r="1661">
      <c r="A1661" s="3" t="inlineStr">
        <is>
          <t>MAT-32-300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cobre 3/8" x 2"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1</v>
      </c>
      <c r="K1661" s="6" t="n">
        <v>189</v>
      </c>
      <c r="L1661" s="6" t="n">
        <v>189</v>
      </c>
      <c r="M1661" s="6" t="n">
        <v>189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2026-09-09</t>
        </is>
      </c>
      <c r="Q1661" s="4" t="inlineStr">
        <is>
          <t>Ferretería Cima</t>
        </is>
      </c>
      <c r="AF1661" s="4" t="inlineStr">
        <is>
          <t>tipo: niple · material: cobre · medida: 3/8" x 2"</t>
        </is>
      </c>
    </row>
    <row r="1662">
      <c r="A1662" s="3" t="inlineStr">
        <is>
          <t>MAT-32-301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10"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1</v>
      </c>
      <c r="K1662" s="6" t="n">
        <v>372</v>
      </c>
      <c r="L1662" s="6" t="n">
        <v>372</v>
      </c>
      <c r="M1662" s="6" t="n">
        <v>372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2026-09-09</t>
        </is>
      </c>
      <c r="Q1662" s="4" t="inlineStr">
        <is>
          <t>Ferretería Cima</t>
        </is>
      </c>
      <c r="AF1662" s="4" t="inlineStr">
        <is>
          <t>tipo: niple · material: HG · medida: 1 1/2" x 10"</t>
        </is>
      </c>
    </row>
    <row r="1663">
      <c r="A1663" s="3" t="inlineStr">
        <is>
          <t>MAT-32-302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2 1/2"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82</v>
      </c>
      <c r="L1663" s="6" t="n">
        <v>82</v>
      </c>
      <c r="M1663" s="6" t="n">
        <v>82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2026-09-10</t>
        </is>
      </c>
      <c r="Q1663" s="4" t="inlineStr">
        <is>
          <t>Bellón</t>
        </is>
      </c>
      <c r="AF1663" s="4" t="inlineStr">
        <is>
          <t>tipo: niple · material: HG · medida: 1 1/2" x 2 1/2"</t>
        </is>
      </c>
    </row>
    <row r="1664">
      <c r="A1664" s="3" t="inlineStr">
        <is>
          <t>MAT-32-303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2"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1</v>
      </c>
      <c r="K1664" s="6" t="n">
        <v>85</v>
      </c>
      <c r="L1664" s="6" t="n">
        <v>85</v>
      </c>
      <c r="M1664" s="6" t="n">
        <v>85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</t>
        </is>
      </c>
      <c r="AF1664" s="4" t="inlineStr">
        <is>
          <t>tipo: niple · material: HG · medida: 1 1/2" x 2"</t>
        </is>
      </c>
    </row>
    <row r="1665">
      <c r="A1665" s="3" t="inlineStr">
        <is>
          <t>MAT-32-304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1/2" x 3"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2</v>
      </c>
      <c r="K1665" s="6" t="n">
        <v>144.5</v>
      </c>
      <c r="L1665" s="6" t="n">
        <v>102</v>
      </c>
      <c r="M1665" s="6" t="n">
        <v>187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2026-09-10</t>
        </is>
      </c>
      <c r="Q1665" s="4" t="inlineStr">
        <is>
          <t>Bellón · Ferretería Cima</t>
        </is>
      </c>
      <c r="AF1665" s="4" t="inlineStr">
        <is>
          <t>tipo: niple · material: HG · medida: 1 1/2" x 3"</t>
        </is>
      </c>
    </row>
    <row r="1666">
      <c r="A1666" s="3" t="inlineStr">
        <is>
          <t>MAT-32-305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1/2" x 4"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2</v>
      </c>
      <c r="K1666" s="6" t="n">
        <v>180.5</v>
      </c>
      <c r="L1666" s="6" t="n">
        <v>104</v>
      </c>
      <c r="M1666" s="6" t="n">
        <v>257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2026-09-10</t>
        </is>
      </c>
      <c r="Q1666" s="4" t="inlineStr">
        <is>
          <t>Bellón · Ferretería Cima</t>
        </is>
      </c>
      <c r="AF1666" s="4" t="inlineStr">
        <is>
          <t>tipo: niple · material: HG · medida: 1 1/2" x 4"</t>
        </is>
      </c>
    </row>
    <row r="1667">
      <c r="A1667" s="3" t="inlineStr">
        <is>
          <t>MAT-32-306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1/2" x 5"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1</v>
      </c>
      <c r="K1667" s="6" t="n">
        <v>150</v>
      </c>
      <c r="L1667" s="6" t="n">
        <v>150</v>
      </c>
      <c r="M1667" s="6" t="n">
        <v>150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</t>
        </is>
      </c>
      <c r="AF1667" s="4" t="inlineStr">
        <is>
          <t>tipo: niple · material: HG · medida: 1 1/2" x 5"</t>
        </is>
      </c>
    </row>
    <row r="1668">
      <c r="A1668" s="3" t="inlineStr">
        <is>
          <t>MAT-32-307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1/2" x 6"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2</v>
      </c>
      <c r="K1668" s="6" t="n">
        <v>260</v>
      </c>
      <c r="L1668" s="6" t="n">
        <v>141</v>
      </c>
      <c r="M1668" s="6" t="n">
        <v>379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2026-09-10</t>
        </is>
      </c>
      <c r="Q1668" s="4" t="inlineStr">
        <is>
          <t>Bellón · Ferretería Cima</t>
        </is>
      </c>
      <c r="AF1668" s="4" t="inlineStr">
        <is>
          <t>tipo: niple · material: HG · medida: 1 1/2" x 6"</t>
        </is>
      </c>
    </row>
    <row r="1669">
      <c r="A1669" s="3" t="inlineStr">
        <is>
          <t>MAT-32-308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2"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1</v>
      </c>
      <c r="K1669" s="6" t="n">
        <v>170</v>
      </c>
      <c r="L1669" s="6" t="n">
        <v>170</v>
      </c>
      <c r="M1669" s="6" t="n">
        <v>170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2026-09-09</t>
        </is>
      </c>
      <c r="Q1669" s="4" t="inlineStr">
        <is>
          <t>Ferretería Cima</t>
        </is>
      </c>
      <c r="AF1669" s="4" t="inlineStr">
        <is>
          <t>tipo: niple · material: HG · medida: 1 1/4" x 2"</t>
        </is>
      </c>
    </row>
    <row r="1670">
      <c r="A1670" s="3" t="inlineStr">
        <is>
          <t>MAT-32-309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 1/4" x 3"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2</v>
      </c>
      <c r="K1670" s="6" t="n">
        <v>126</v>
      </c>
      <c r="L1670" s="6" t="n">
        <v>78</v>
      </c>
      <c r="M1670" s="6" t="n">
        <v>174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 · Ferretería Cima</t>
        </is>
      </c>
      <c r="AF1670" s="4" t="inlineStr">
        <is>
          <t>tipo: niple · material: HG · medida: 1 1/4" x 3"</t>
        </is>
      </c>
    </row>
    <row r="1671">
      <c r="A1671" s="3" t="inlineStr">
        <is>
          <t>MAT-32-310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 1/4" x 4"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2</v>
      </c>
      <c r="K1671" s="6" t="n">
        <v>146</v>
      </c>
      <c r="L1671" s="6" t="n">
        <v>101</v>
      </c>
      <c r="M1671" s="6" t="n">
        <v>191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 · Ferretería Cima</t>
        </is>
      </c>
      <c r="AF1671" s="4" t="inlineStr">
        <is>
          <t>tipo: niple · material: HG · medida: 1 1/4" x 4"</t>
        </is>
      </c>
    </row>
    <row r="1672">
      <c r="A1672" s="3" t="inlineStr">
        <is>
          <t>MAT-32-311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 1/4" x 5"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1</v>
      </c>
      <c r="K1672" s="6" t="n">
        <v>98</v>
      </c>
      <c r="L1672" s="6" t="n">
        <v>98</v>
      </c>
      <c r="M1672" s="6" t="n">
        <v>98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</t>
        </is>
      </c>
      <c r="AF1672" s="4" t="inlineStr">
        <is>
          <t>tipo: niple · material: HG · medida: 1 1/4" x 5"</t>
        </is>
      </c>
    </row>
    <row r="1673">
      <c r="A1673" s="3" t="inlineStr">
        <is>
          <t>MAT-32-312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 1/4" x 6"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177</v>
      </c>
      <c r="L1673" s="6" t="n">
        <v>118</v>
      </c>
      <c r="M1673" s="6" t="n">
        <v>236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1 1/4" x 6"</t>
        </is>
      </c>
    </row>
    <row r="1674">
      <c r="A1674" s="3" t="inlineStr">
        <is>
          <t>MAT-32-313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1 1/2"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2</v>
      </c>
      <c r="K1674" s="6" t="n">
        <v>46.24</v>
      </c>
      <c r="L1674" s="6" t="n">
        <v>17.47</v>
      </c>
      <c r="M1674" s="6" t="n">
        <v>75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 · Ferretería Cima</t>
        </is>
      </c>
      <c r="AF1674" s="4" t="inlineStr">
        <is>
          <t>tipo: niple · material: HG · medida: 1/2" x 1 1/2"</t>
        </is>
      </c>
    </row>
    <row r="1675">
      <c r="A1675" s="3" t="inlineStr">
        <is>
          <t>MAT-32-314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10"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157</v>
      </c>
      <c r="L1675" s="6" t="n">
        <v>115</v>
      </c>
      <c r="M1675" s="6" t="n">
        <v>199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F1675" s="4" t="inlineStr">
        <is>
          <t>tipo: niple · material: HG · medida: 1/2" x 10"</t>
        </is>
      </c>
    </row>
    <row r="1676">
      <c r="A1676" s="3" t="inlineStr">
        <is>
          <t>MAT-32-315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12"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189</v>
      </c>
      <c r="L1676" s="6" t="n">
        <v>119</v>
      </c>
      <c r="M1676" s="6" t="n">
        <v>259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1/2" x 12"</t>
        </is>
      </c>
    </row>
    <row r="1677">
      <c r="A1677" s="3" t="inlineStr">
        <is>
          <t>MAT-32-316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1"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2</v>
      </c>
      <c r="K1677" s="6" t="n">
        <v>41.69</v>
      </c>
      <c r="L1677" s="6" t="n">
        <v>16.38</v>
      </c>
      <c r="M1677" s="6" t="n">
        <v>67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 · Ferretería Cima</t>
        </is>
      </c>
      <c r="AF1677" s="4" t="inlineStr">
        <is>
          <t>tipo: niple · material: HG · medida: 1/2" x 1"</t>
        </is>
      </c>
    </row>
    <row r="1678">
      <c r="A1678" s="3" t="inlineStr">
        <is>
          <t>MAT-32-317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2 1/2"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44.51</v>
      </c>
      <c r="L1678" s="6" t="n">
        <v>24.02</v>
      </c>
      <c r="M1678" s="6" t="n">
        <v>65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1/2" x 2 1/2"</t>
        </is>
      </c>
    </row>
    <row r="1679">
      <c r="A1679" s="3" t="inlineStr">
        <is>
          <t>MAT-32-318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2"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42.33</v>
      </c>
      <c r="L1679" s="6" t="n">
        <v>19.66</v>
      </c>
      <c r="M1679" s="6" t="n">
        <v>65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F1679" s="4" t="inlineStr">
        <is>
          <t>tipo: niple · material: HG · medida: 1/2" x 2"</t>
        </is>
      </c>
    </row>
    <row r="1680">
      <c r="A1680" s="3" t="inlineStr">
        <is>
          <t>MAT-32-319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3"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46.15</v>
      </c>
      <c r="L1680" s="6" t="n">
        <v>27.3</v>
      </c>
      <c r="M1680" s="6" t="n">
        <v>65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F1680" s="4" t="inlineStr">
        <is>
          <t>tipo: niple · material: HG · medida: 1/2" x 3"</t>
        </is>
      </c>
    </row>
    <row r="1681">
      <c r="A1681" s="3" t="inlineStr">
        <is>
          <t>MAT-32-320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1/2" x 4"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2</v>
      </c>
      <c r="K1681" s="6" t="n">
        <v>94.75</v>
      </c>
      <c r="L1681" s="6" t="n">
        <v>34.5</v>
      </c>
      <c r="M1681" s="6" t="n">
        <v>155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 · Ferretería Cima</t>
        </is>
      </c>
      <c r="AF1681" s="4" t="inlineStr">
        <is>
          <t>tipo: niple · material: HG · medida: 1/2" x 4"</t>
        </is>
      </c>
    </row>
    <row r="1682">
      <c r="A1682" s="3" t="inlineStr">
        <is>
          <t>MAT-32-321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1/2" x 5"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111.75</v>
      </c>
      <c r="L1682" s="6" t="n">
        <v>41.5</v>
      </c>
      <c r="M1682" s="6" t="n">
        <v>182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F1682" s="4" t="inlineStr">
        <is>
          <t>tipo: niple · material: HG · medida: 1/2" x 5"</t>
        </is>
      </c>
    </row>
    <row r="1683">
      <c r="A1683" s="3" t="inlineStr">
        <is>
          <t>MAT-32-322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1/2" x 6"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2</v>
      </c>
      <c r="K1683" s="6" t="n">
        <v>59.5</v>
      </c>
      <c r="L1683" s="6" t="n">
        <v>49</v>
      </c>
      <c r="M1683" s="6" t="n">
        <v>70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 · Ferretería Cima</t>
        </is>
      </c>
      <c r="AF1683" s="4" t="inlineStr">
        <is>
          <t>tipo: niple · material: HG · medida: 1/2" x 6"</t>
        </is>
      </c>
    </row>
    <row r="1684">
      <c r="A1684" s="3" t="inlineStr">
        <is>
          <t>MAT-32-323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1/2" x 8"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2</v>
      </c>
      <c r="K1684" s="6" t="n">
        <v>132</v>
      </c>
      <c r="L1684" s="6" t="n">
        <v>77</v>
      </c>
      <c r="M1684" s="6" t="n">
        <v>187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 · Ferretería Cima</t>
        </is>
      </c>
      <c r="AF1684" s="4" t="inlineStr">
        <is>
          <t>tipo: niple · material: HG · medida: 1/2" x 8"</t>
        </is>
      </c>
    </row>
    <row r="1685">
      <c r="A1685" s="3" t="inlineStr">
        <is>
          <t>MAT-32-324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1/4" x 1 1/2"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1</v>
      </c>
      <c r="K1685" s="6" t="n">
        <v>27.3</v>
      </c>
      <c r="L1685" s="6" t="n">
        <v>27.3</v>
      </c>
      <c r="M1685" s="6" t="n">
        <v>27.3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2026-09-10</t>
        </is>
      </c>
      <c r="Q1685" s="4" t="inlineStr">
        <is>
          <t>Bellón</t>
        </is>
      </c>
      <c r="AF1685" s="4" t="inlineStr">
        <is>
          <t>tipo: niple · material: HG · medida: 1/4" x 1 1/2"</t>
        </is>
      </c>
    </row>
    <row r="1686">
      <c r="A1686" s="3" t="inlineStr">
        <is>
          <t>MAT-32-325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1/4" x 2"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2</v>
      </c>
      <c r="K1686" s="6" t="n">
        <v>99.73</v>
      </c>
      <c r="L1686" s="6" t="n">
        <v>29.45</v>
      </c>
      <c r="M1686" s="6" t="n">
        <v>170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2026-09-10</t>
        </is>
      </c>
      <c r="Q1686" s="4" t="inlineStr">
        <is>
          <t>Bellón · Ferretería Cima</t>
        </is>
      </c>
      <c r="AF1686" s="4" t="inlineStr">
        <is>
          <t>tipo: niple · material: HG · medida: 1/4" x 2"</t>
        </is>
      </c>
    </row>
    <row r="1687">
      <c r="A1687" s="3" t="inlineStr">
        <is>
          <t>MAT-32-326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1/4" x 3"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1</v>
      </c>
      <c r="K1687" s="6" t="n">
        <v>26.76</v>
      </c>
      <c r="L1687" s="6" t="n">
        <v>26.76</v>
      </c>
      <c r="M1687" s="6" t="n">
        <v>26.76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2026-09-10</t>
        </is>
      </c>
      <c r="Q1687" s="4" t="inlineStr">
        <is>
          <t>Bellón</t>
        </is>
      </c>
      <c r="AF1687" s="4" t="inlineStr">
        <is>
          <t>tipo: niple · material: HG · medida: 1/4" x 3"</t>
        </is>
      </c>
    </row>
    <row r="1688">
      <c r="A1688" s="3" t="inlineStr">
        <is>
          <t>MAT-32-327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1/4" x 4"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2</v>
      </c>
      <c r="K1688" s="6" t="n">
        <v>119.94</v>
      </c>
      <c r="L1688" s="6" t="n">
        <v>35.88</v>
      </c>
      <c r="M1688" s="6" t="n">
        <v>204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 · Ferretería Cima</t>
        </is>
      </c>
      <c r="AF1688" s="4" t="inlineStr">
        <is>
          <t>tipo: niple · material: HG · medida: 1/4" x 4"</t>
        </is>
      </c>
    </row>
    <row r="1689">
      <c r="A1689" s="3" t="inlineStr">
        <is>
          <t>MAT-32-328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1 1/2"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38.22</v>
      </c>
      <c r="L1689" s="6" t="n">
        <v>38.22</v>
      </c>
      <c r="M1689" s="6" t="n">
        <v>38.22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2026-09-10</t>
        </is>
      </c>
      <c r="Q1689" s="4" t="inlineStr">
        <is>
          <t>Bellón</t>
        </is>
      </c>
      <c r="AF1689" s="4" t="inlineStr">
        <is>
          <t>tipo: niple · material: HG · medida: 1" x 1 1/2"</t>
        </is>
      </c>
    </row>
    <row r="1690">
      <c r="A1690" s="3" t="inlineStr">
        <is>
          <t>MAT-32-329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10"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1</v>
      </c>
      <c r="K1690" s="6" t="n">
        <v>344</v>
      </c>
      <c r="L1690" s="6" t="n">
        <v>344</v>
      </c>
      <c r="M1690" s="6" t="n">
        <v>344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2026-09-09</t>
        </is>
      </c>
      <c r="Q1690" s="4" t="inlineStr">
        <is>
          <t>Ferretería Cima</t>
        </is>
      </c>
      <c r="AF1690" s="4" t="inlineStr">
        <is>
          <t>tipo: niple · material: HG · medida: 1" x 10"</t>
        </is>
      </c>
    </row>
    <row r="1691">
      <c r="A1691" s="3" t="inlineStr">
        <is>
          <t>MAT-32-330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2 1/2"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87.93000000000001</v>
      </c>
      <c r="L1691" s="6" t="n">
        <v>45.86</v>
      </c>
      <c r="M1691" s="6" t="n">
        <v>130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HG · medida: 1" x 2 1/2"</t>
        </is>
      </c>
    </row>
    <row r="1692">
      <c r="A1692" s="3" t="inlineStr">
        <is>
          <t>MAT-32-331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2"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2</v>
      </c>
      <c r="K1692" s="6" t="n">
        <v>50.81</v>
      </c>
      <c r="L1692" s="6" t="n">
        <v>48.61</v>
      </c>
      <c r="M1692" s="6" t="n">
        <v>53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2026-09-10</t>
        </is>
      </c>
      <c r="Q1692" s="4" t="inlineStr">
        <is>
          <t>Bellón · Ferretería Cima</t>
        </is>
      </c>
      <c r="AF1692" s="4" t="inlineStr">
        <is>
          <t>tipo: niple · material: HG · medida: 1" x 2"</t>
        </is>
      </c>
    </row>
    <row r="1693">
      <c r="A1693" s="3" t="inlineStr">
        <is>
          <t>MAT-32-332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1" x 3"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1</v>
      </c>
      <c r="K1693" s="6" t="n">
        <v>63</v>
      </c>
      <c r="L1693" s="6" t="n">
        <v>63</v>
      </c>
      <c r="M1693" s="6" t="n">
        <v>63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2026-09-09</t>
        </is>
      </c>
      <c r="Q1693" s="4" t="inlineStr">
        <is>
          <t>Ferretería Cima</t>
        </is>
      </c>
      <c r="AF1693" s="4" t="inlineStr">
        <is>
          <t>tipo: niple · material: HG · medida: 1" x 3"</t>
        </is>
      </c>
    </row>
    <row r="1694">
      <c r="A1694" s="3" t="inlineStr">
        <is>
          <t>MAT-32-333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1" x 4"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2</v>
      </c>
      <c r="K1694" s="6" t="n">
        <v>76.5</v>
      </c>
      <c r="L1694" s="6" t="n">
        <v>65</v>
      </c>
      <c r="M1694" s="6" t="n">
        <v>88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2026-09-10</t>
        </is>
      </c>
      <c r="Q1694" s="4" t="inlineStr">
        <is>
          <t>Bellón · Ferretería Cima</t>
        </is>
      </c>
      <c r="AF1694" s="4" t="inlineStr">
        <is>
          <t>tipo: niple · material: HG · medida: 1" x 4"</t>
        </is>
      </c>
    </row>
    <row r="1695">
      <c r="A1695" s="3" t="inlineStr">
        <is>
          <t>MAT-32-334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1" x 5"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2</v>
      </c>
      <c r="K1695" s="6" t="n">
        <v>69.5</v>
      </c>
      <c r="L1695" s="6" t="n">
        <v>31</v>
      </c>
      <c r="M1695" s="6" t="n">
        <v>108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2026-09-10</t>
        </is>
      </c>
      <c r="Q1695" s="4" t="inlineStr">
        <is>
          <t>Bellón · Ferretería Cima</t>
        </is>
      </c>
      <c r="AF1695" s="4" t="inlineStr">
        <is>
          <t>tipo: niple · material: HG · medida: 1" x 5"</t>
        </is>
      </c>
    </row>
    <row r="1696">
      <c r="A1696" s="3" t="inlineStr">
        <is>
          <t>MAT-32-335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1" x 6"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2</v>
      </c>
      <c r="K1696" s="6" t="n">
        <v>88.5</v>
      </c>
      <c r="L1696" s="6" t="n">
        <v>86</v>
      </c>
      <c r="M1696" s="6" t="n">
        <v>91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 · Ferretería Cima</t>
        </is>
      </c>
      <c r="AF1696" s="4" t="inlineStr">
        <is>
          <t>tipo: niple · material: HG · medida: 1" x 6"</t>
        </is>
      </c>
    </row>
    <row r="1697">
      <c r="A1697" s="3" t="inlineStr">
        <is>
          <t>MAT-32-336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2"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1</v>
      </c>
      <c r="K1697" s="6" t="n">
        <v>78</v>
      </c>
      <c r="L1697" s="6" t="n">
        <v>78</v>
      </c>
      <c r="M1697" s="6" t="n">
        <v>78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</t>
        </is>
      </c>
      <c r="AF1697" s="4" t="inlineStr">
        <is>
          <t>tipo: niple · material: HG · medida: 2" x 2"</t>
        </is>
      </c>
    </row>
    <row r="1698">
      <c r="A1698" s="3" t="inlineStr">
        <is>
          <t>MAT-32-337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2" x 3"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2</v>
      </c>
      <c r="K1698" s="6" t="n">
        <v>218.5</v>
      </c>
      <c r="L1698" s="6" t="n">
        <v>99</v>
      </c>
      <c r="M1698" s="6" t="n">
        <v>338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 · Ferretería Cima</t>
        </is>
      </c>
      <c r="AF1698" s="4" t="inlineStr">
        <is>
          <t>tipo: niple · material: HG · medida: 2" x 3"</t>
        </is>
      </c>
    </row>
    <row r="1699">
      <c r="A1699" s="3" t="inlineStr">
        <is>
          <t>MAT-32-338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2" x 4"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2</v>
      </c>
      <c r="K1699" s="6" t="n">
        <v>245.5</v>
      </c>
      <c r="L1699" s="6" t="n">
        <v>123</v>
      </c>
      <c r="M1699" s="6" t="n">
        <v>368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 · Ferretería Cima</t>
        </is>
      </c>
      <c r="AF1699" s="4" t="inlineStr">
        <is>
          <t>tipo: niple · material: HG · medida: 2" x 4"</t>
        </is>
      </c>
    </row>
    <row r="1700">
      <c r="A1700" s="3" t="inlineStr">
        <is>
          <t>MAT-32-339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2" x 5"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2</v>
      </c>
      <c r="K1700" s="6" t="n">
        <v>222.5</v>
      </c>
      <c r="L1700" s="6" t="n">
        <v>188</v>
      </c>
      <c r="M1700" s="6" t="n">
        <v>257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2026-09-10</t>
        </is>
      </c>
      <c r="Q1700" s="4" t="inlineStr">
        <is>
          <t>Bellón · Ferretería Cima</t>
        </is>
      </c>
      <c r="AF1700" s="4" t="inlineStr">
        <is>
          <t>tipo: niple · material: HG · medida: 2" x 5"</t>
        </is>
      </c>
    </row>
    <row r="1701">
      <c r="A1701" s="3" t="inlineStr">
        <is>
          <t>MAT-32-340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2" x 6"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1</v>
      </c>
      <c r="K1701" s="6" t="n">
        <v>234</v>
      </c>
      <c r="L1701" s="6" t="n">
        <v>234</v>
      </c>
      <c r="M1701" s="6" t="n">
        <v>234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2026-09-10</t>
        </is>
      </c>
      <c r="Q1701" s="4" t="inlineStr">
        <is>
          <t>Bellón</t>
        </is>
      </c>
      <c r="AF1701" s="4" t="inlineStr">
        <is>
          <t>tipo: niple · material: HG · medida: 2" x 6"</t>
        </is>
      </c>
    </row>
    <row r="1702">
      <c r="A1702" s="3" t="inlineStr">
        <is>
          <t>MAT-32-341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1 1/2"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2</v>
      </c>
      <c r="K1702" s="6" t="n">
        <v>51.06</v>
      </c>
      <c r="L1702" s="6" t="n">
        <v>25.12</v>
      </c>
      <c r="M1702" s="6" t="n">
        <v>77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2026-09-10</t>
        </is>
      </c>
      <c r="Q1702" s="4" t="inlineStr">
        <is>
          <t>Bellón · Ferretería Cima</t>
        </is>
      </c>
      <c r="AF1702" s="4" t="inlineStr">
        <is>
          <t>tipo: niple · material: HG · medida: 3/4" x 1 1/2"</t>
        </is>
      </c>
    </row>
    <row r="1703">
      <c r="A1703" s="3" t="inlineStr">
        <is>
          <t>MAT-32-342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10"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1</v>
      </c>
      <c r="K1703" s="6" t="n">
        <v>88</v>
      </c>
      <c r="L1703" s="6" t="n">
        <v>88</v>
      </c>
      <c r="M1703" s="6" t="n">
        <v>88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</t>
        </is>
      </c>
      <c r="AF1703" s="4" t="inlineStr">
        <is>
          <t>tipo: niple · material: HG · medida: 3/4" x 10"</t>
        </is>
      </c>
    </row>
    <row r="1704">
      <c r="A1704" s="3" t="inlineStr">
        <is>
          <t>MAT-32-343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12"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1</v>
      </c>
      <c r="K1704" s="6" t="n">
        <v>109</v>
      </c>
      <c r="L1704" s="6" t="n">
        <v>109</v>
      </c>
      <c r="M1704" s="6" t="n">
        <v>109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</t>
        </is>
      </c>
      <c r="AF1704" s="4" t="inlineStr">
        <is>
          <t>tipo: niple · material: HG · medida: 3/4" x 12"</t>
        </is>
      </c>
    </row>
    <row r="1705">
      <c r="A1705" s="3" t="inlineStr">
        <is>
          <t>MAT-32-344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1"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2</v>
      </c>
      <c r="K1705" s="6" t="n">
        <v>41.77</v>
      </c>
      <c r="L1705" s="6" t="n">
        <v>21.54</v>
      </c>
      <c r="M1705" s="6" t="n">
        <v>62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 · Ferretería Cima</t>
        </is>
      </c>
      <c r="AF1705" s="4" t="inlineStr">
        <is>
          <t>tipo: niple · material: HG · medida: 3/4" x 1"</t>
        </is>
      </c>
    </row>
    <row r="1706">
      <c r="A1706" s="3" t="inlineStr">
        <is>
          <t>MAT-32-345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2 1/2"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2</v>
      </c>
      <c r="K1706" s="6" t="n">
        <v>79.15000000000001</v>
      </c>
      <c r="L1706" s="6" t="n">
        <v>27.3</v>
      </c>
      <c r="M1706" s="6" t="n">
        <v>131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 · Ferretería Cima</t>
        </is>
      </c>
      <c r="AF1706" s="4" t="inlineStr">
        <is>
          <t>tipo: niple · material: HG · medida: 3/4" x 2 1/2"</t>
        </is>
      </c>
    </row>
    <row r="1707">
      <c r="A1707" s="3" t="inlineStr">
        <is>
          <t>MAT-32-346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2"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2</v>
      </c>
      <c r="K1707" s="6" t="n">
        <v>70.92</v>
      </c>
      <c r="L1707" s="6" t="n">
        <v>21.84</v>
      </c>
      <c r="M1707" s="6" t="n">
        <v>120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 · Ferretería Cima</t>
        </is>
      </c>
      <c r="AF1707" s="4" t="inlineStr">
        <is>
          <t>tipo: niple · material: HG · medida: 3/4" x 2"</t>
        </is>
      </c>
    </row>
    <row r="1708">
      <c r="A1708" s="3" t="inlineStr">
        <is>
          <t>MAT-32-347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3 1/2"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1</v>
      </c>
      <c r="K1708" s="6" t="n">
        <v>35.35</v>
      </c>
      <c r="L1708" s="6" t="n">
        <v>35.35</v>
      </c>
      <c r="M1708" s="6" t="n">
        <v>35.35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</t>
        </is>
      </c>
      <c r="AF1708" s="4" t="inlineStr">
        <is>
          <t>tipo: niple · material: HG · medida: 3/4" x 3 1/2"</t>
        </is>
      </c>
    </row>
    <row r="1709">
      <c r="A1709" s="3" t="inlineStr">
        <is>
          <t>MAT-32-348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3"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2</v>
      </c>
      <c r="K1709" s="6" t="n">
        <v>91.39</v>
      </c>
      <c r="L1709" s="6" t="n">
        <v>33.77</v>
      </c>
      <c r="M1709" s="6" t="n">
        <v>149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 · Ferretería Cima</t>
        </is>
      </c>
      <c r="AF1709" s="4" t="inlineStr">
        <is>
          <t>tipo: niple · material: HG · medida: 3/4" x 3"</t>
        </is>
      </c>
    </row>
    <row r="1710">
      <c r="A1710" s="3" t="inlineStr">
        <is>
          <t>MAT-32-349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3/4" x 4"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2</v>
      </c>
      <c r="K1710" s="6" t="n">
        <v>105.5</v>
      </c>
      <c r="L1710" s="6" t="n">
        <v>51</v>
      </c>
      <c r="M1710" s="6" t="n">
        <v>160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 · Ferretería Cima</t>
        </is>
      </c>
      <c r="AF1710" s="4" t="inlineStr">
        <is>
          <t>tipo: niple · material: HG · medida: 3/4" x 4"</t>
        </is>
      </c>
    </row>
    <row r="1711">
      <c r="A1711" s="3" t="inlineStr">
        <is>
          <t>MAT-32-350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3/4" x 5"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2</v>
      </c>
      <c r="K1711" s="6" t="n">
        <v>124</v>
      </c>
      <c r="L1711" s="6" t="n">
        <v>54</v>
      </c>
      <c r="M1711" s="6" t="n">
        <v>194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 · Ferretería Cima</t>
        </is>
      </c>
      <c r="AF1711" s="4" t="inlineStr">
        <is>
          <t>tipo: niple · material: HG · medida: 3/4" x 5"</t>
        </is>
      </c>
    </row>
    <row r="1712">
      <c r="A1712" s="3" t="inlineStr">
        <is>
          <t>MAT-32-351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3/4" x 6"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2</v>
      </c>
      <c r="K1712" s="6" t="n">
        <v>167.5</v>
      </c>
      <c r="L1712" s="6" t="n">
        <v>87</v>
      </c>
      <c r="M1712" s="6" t="n">
        <v>248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2026-09-10</t>
        </is>
      </c>
      <c r="Q1712" s="4" t="inlineStr">
        <is>
          <t>Bellón · Ferretería Cima</t>
        </is>
      </c>
      <c r="AF1712" s="4" t="inlineStr">
        <is>
          <t>tipo: niple · material: HG · medida: 3/4" x 6"</t>
        </is>
      </c>
    </row>
    <row r="1713">
      <c r="A1713" s="3" t="inlineStr">
        <is>
          <t>MAT-32-352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3/4" x 8"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1</v>
      </c>
      <c r="K1713" s="6" t="n">
        <v>81</v>
      </c>
      <c r="L1713" s="6" t="n">
        <v>81</v>
      </c>
      <c r="M1713" s="6" t="n">
        <v>81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</t>
        </is>
      </c>
      <c r="AF1713" s="4" t="inlineStr">
        <is>
          <t>tipo: niple · material: HG · medida: 3/4" x 8"</t>
        </is>
      </c>
    </row>
    <row r="1714">
      <c r="A1714" s="3" t="inlineStr">
        <is>
          <t>MAT-32-353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2 1/2"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2</v>
      </c>
      <c r="K1714" s="6" t="n">
        <v>89.87</v>
      </c>
      <c r="L1714" s="6" t="n">
        <v>24.74</v>
      </c>
      <c r="M1714" s="6" t="n">
        <v>155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2026-09-10</t>
        </is>
      </c>
      <c r="Q1714" s="4" t="inlineStr">
        <is>
          <t>Bellón · Ferretería Cima</t>
        </is>
      </c>
      <c r="AF1714" s="4" t="inlineStr">
        <is>
          <t>tipo: niple · material: HG · medida: 3/8" x 2 1/2"</t>
        </is>
      </c>
    </row>
    <row r="1715">
      <c r="A1715" s="3" t="inlineStr">
        <is>
          <t>MAT-32-354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2"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2</v>
      </c>
      <c r="K1715" s="6" t="n">
        <v>110.8</v>
      </c>
      <c r="L1715" s="6" t="n">
        <v>61.6</v>
      </c>
      <c r="M1715" s="6" t="n">
        <v>160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2026-09-10</t>
        </is>
      </c>
      <c r="Q1715" s="4" t="inlineStr">
        <is>
          <t>Bellón · Ferretería Cima</t>
        </is>
      </c>
      <c r="AF1715" s="4" t="inlineStr">
        <is>
          <t>tipo: niple · material: HG · medida: 3/8" x 2"</t>
        </is>
      </c>
    </row>
    <row r="1716">
      <c r="A1716" s="3" t="inlineStr">
        <is>
          <t>MAT-32-355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3 1/2"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1</v>
      </c>
      <c r="K1716" s="6" t="n">
        <v>194</v>
      </c>
      <c r="L1716" s="6" t="n">
        <v>194</v>
      </c>
      <c r="M1716" s="6" t="n">
        <v>194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2026-09-09</t>
        </is>
      </c>
      <c r="Q1716" s="4" t="inlineStr">
        <is>
          <t>Ferretería Cima</t>
        </is>
      </c>
      <c r="AF1716" s="4" t="inlineStr">
        <is>
          <t>tipo: niple · material: HG · medida: 3/8" x 3 1/2"</t>
        </is>
      </c>
    </row>
    <row r="1717">
      <c r="A1717" s="3" t="inlineStr">
        <is>
          <t>MAT-32-356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3"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2</v>
      </c>
      <c r="K1717" s="6" t="n">
        <v>106.15</v>
      </c>
      <c r="L1717" s="6" t="n">
        <v>27.3</v>
      </c>
      <c r="M1717" s="6" t="n">
        <v>185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2026-09-10</t>
        </is>
      </c>
      <c r="Q1717" s="4" t="inlineStr">
        <is>
          <t>Bellón · Ferretería Cima</t>
        </is>
      </c>
      <c r="AF1717" s="4" t="inlineStr">
        <is>
          <t>tipo: niple · material: HG · medida: 3/8" x 3"</t>
        </is>
      </c>
    </row>
    <row r="1718">
      <c r="A1718" s="3" t="inlineStr">
        <is>
          <t>MAT-32-357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3/8" x 4 1/2"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194</v>
      </c>
      <c r="L1718" s="6" t="n">
        <v>194</v>
      </c>
      <c r="M1718" s="6" t="n">
        <v>194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2026-09-09</t>
        </is>
      </c>
      <c r="Q1718" s="4" t="inlineStr">
        <is>
          <t>Ferretería Cima</t>
        </is>
      </c>
      <c r="AF1718" s="4" t="inlineStr">
        <is>
          <t>tipo: niple · material: HG · medida: 3/8" x 4 1/2"</t>
        </is>
      </c>
    </row>
    <row r="1719">
      <c r="A1719" s="3" t="inlineStr">
        <is>
          <t>MAT-32-359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3/8" x 5 1/2"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1</v>
      </c>
      <c r="K1719" s="6" t="n">
        <v>229</v>
      </c>
      <c r="L1719" s="6" t="n">
        <v>229</v>
      </c>
      <c r="M1719" s="6" t="n">
        <v>229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2026-09-09</t>
        </is>
      </c>
      <c r="Q1719" s="4" t="inlineStr">
        <is>
          <t>Ferretería Cima</t>
        </is>
      </c>
      <c r="AF1719" s="4" t="inlineStr">
        <is>
          <t>tipo: niple · material: HG · medida: 3/8" x 5 1/2"</t>
        </is>
      </c>
    </row>
    <row r="1720">
      <c r="A1720" s="3" t="inlineStr">
        <is>
          <t>MAT-32-360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3/8" x 5"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1</v>
      </c>
      <c r="K1720" s="6" t="n">
        <v>255</v>
      </c>
      <c r="L1720" s="6" t="n">
        <v>255</v>
      </c>
      <c r="M1720" s="6" t="n">
        <v>255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2026-09-09</t>
        </is>
      </c>
      <c r="Q1720" s="4" t="inlineStr">
        <is>
          <t>Ferretería Cima</t>
        </is>
      </c>
      <c r="AF1720" s="4" t="inlineStr">
        <is>
          <t>tipo: niple · material: HG · medida: 3/8" x 5"</t>
        </is>
      </c>
    </row>
    <row r="1721">
      <c r="A1721" s="3" t="inlineStr">
        <is>
          <t>MAT-32-361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3/8" x 6"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1</v>
      </c>
      <c r="K1721" s="6" t="n">
        <v>327</v>
      </c>
      <c r="L1721" s="6" t="n">
        <v>327</v>
      </c>
      <c r="M1721" s="6" t="n">
        <v>327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2026-09-09</t>
        </is>
      </c>
      <c r="Q1721" s="4" t="inlineStr">
        <is>
          <t>Ferretería Cima</t>
        </is>
      </c>
      <c r="AF1721" s="4" t="inlineStr">
        <is>
          <t>tipo: niple · material: HG · medida: 3/8" x 6"</t>
        </is>
      </c>
    </row>
    <row r="1722">
      <c r="A1722" s="3" t="inlineStr">
        <is>
          <t>MAT-32-362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3" x 4"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1</v>
      </c>
      <c r="K1722" s="6" t="n">
        <v>277</v>
      </c>
      <c r="L1722" s="6" t="n">
        <v>277</v>
      </c>
      <c r="M1722" s="6" t="n">
        <v>277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</t>
        </is>
      </c>
      <c r="AF1722" s="4" t="inlineStr">
        <is>
          <t>tipo: niple · material: HG · medida: 3" x 4"</t>
        </is>
      </c>
    </row>
    <row r="1723">
      <c r="A1723" s="3" t="inlineStr">
        <is>
          <t>MAT-32-363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1/2" x 1 1/2"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1</v>
      </c>
      <c r="K1723" s="6" t="n">
        <v>17</v>
      </c>
      <c r="L1723" s="6" t="n">
        <v>17</v>
      </c>
      <c r="M1723" s="6" t="n">
        <v>17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2026-09-10</t>
        </is>
      </c>
      <c r="Q1723" s="4" t="inlineStr">
        <is>
          <t>Bellón</t>
        </is>
      </c>
      <c r="AF1723" s="4" t="inlineStr">
        <is>
          <t>tipo: niple · material: niquelado · medida: 1/2" x 1 1/2"</t>
        </is>
      </c>
    </row>
    <row r="1724">
      <c r="A1724" s="3" t="inlineStr">
        <is>
          <t>MAT-32-364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1/2" x 2 1/2"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2</v>
      </c>
      <c r="K1724" s="6" t="n">
        <v>144.5</v>
      </c>
      <c r="L1724" s="6" t="n">
        <v>24</v>
      </c>
      <c r="M1724" s="6" t="n">
        <v>326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 · Ferretería Cima</t>
        </is>
      </c>
      <c r="AF1724" s="4" t="inlineStr">
        <is>
          <t>tipo: niple · material: niquelado · medida: 1/2" x 2 1/2"</t>
        </is>
      </c>
    </row>
    <row r="1725">
      <c r="A1725" s="3" t="inlineStr">
        <is>
          <t>MAT-32-365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niquelado 1/2" x 2"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2</v>
      </c>
      <c r="K1725" s="6" t="n">
        <v>101</v>
      </c>
      <c r="L1725" s="6" t="n">
        <v>15.75</v>
      </c>
      <c r="M1725" s="6" t="n">
        <v>224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 · Ferretería Cima</t>
        </is>
      </c>
      <c r="AF1725" s="4" t="inlineStr">
        <is>
          <t>tipo: niple · material: niquelado · medida: 1/2" x 2"</t>
        </is>
      </c>
    </row>
    <row r="1726">
      <c r="A1726" s="3" t="inlineStr">
        <is>
          <t>MAT-32-368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niquelado 3/8" x 2 1/2"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24.04</v>
      </c>
      <c r="L1726" s="6" t="n">
        <v>24.04</v>
      </c>
      <c r="M1726" s="6" t="n">
        <v>24.04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2026-09-10</t>
        </is>
      </c>
      <c r="Q1726" s="4" t="inlineStr">
        <is>
          <t>Bellón</t>
        </is>
      </c>
      <c r="AF1726" s="4" t="inlineStr">
        <is>
          <t>tipo: niple · material: niquelado · medida: 3/8" x 2 1/2"</t>
        </is>
      </c>
    </row>
    <row r="1727">
      <c r="A1727" s="3" t="inlineStr">
        <is>
          <t>MAT-32-369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niquelado 3/8" x 2"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1</v>
      </c>
      <c r="K1727" s="6" t="n">
        <v>47</v>
      </c>
      <c r="L1727" s="6" t="n">
        <v>47</v>
      </c>
      <c r="M1727" s="6" t="n">
        <v>47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2026-09-09</t>
        </is>
      </c>
      <c r="Q1727" s="4" t="inlineStr">
        <is>
          <t>Ferretería Cima</t>
        </is>
      </c>
      <c r="AF1727" s="4" t="inlineStr">
        <is>
          <t>tipo: niple · material: niquelado · medida: 3/8" x 2"</t>
        </is>
      </c>
    </row>
    <row r="1728">
      <c r="A1728" s="3" t="inlineStr">
        <is>
          <t>MAT-32-370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niquelado 3/8" x 3"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2</v>
      </c>
      <c r="K1728" s="6" t="n">
        <v>42.63</v>
      </c>
      <c r="L1728" s="6" t="n">
        <v>26.25</v>
      </c>
      <c r="M1728" s="6" t="n">
        <v>59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 · Ferretería Cima</t>
        </is>
      </c>
      <c r="AF1728" s="4" t="inlineStr">
        <is>
          <t>tipo: niple · material: niquelado · medida: 3/8" x 3"</t>
        </is>
      </c>
    </row>
    <row r="1729">
      <c r="A1729" s="3" t="inlineStr">
        <is>
          <t>MAT-32-371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1/2" x 1/4"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1</v>
      </c>
      <c r="K1729" s="6" t="n">
        <v>90</v>
      </c>
      <c r="L1729" s="6" t="n">
        <v>90</v>
      </c>
      <c r="M1729" s="6" t="n">
        <v>90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2026-09-10</t>
        </is>
      </c>
      <c r="Q1729" s="4" t="inlineStr">
        <is>
          <t>Bellón</t>
        </is>
      </c>
      <c r="AF1729" s="4" t="inlineStr">
        <is>
          <t>tipo: reduccion-bushing · material: bronce · medida: 1/2" x 1/4"</t>
        </is>
      </c>
    </row>
    <row r="1730">
      <c r="A1730" s="3" t="inlineStr">
        <is>
          <t>MAT-32-372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1/2" x 1/8"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102</v>
      </c>
      <c r="L1730" s="6" t="n">
        <v>102</v>
      </c>
      <c r="M1730" s="6" t="n">
        <v>102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2026-09-10</t>
        </is>
      </c>
      <c r="Q1730" s="4" t="inlineStr">
        <is>
          <t>Bellón</t>
        </is>
      </c>
      <c r="AF1730" s="4" t="inlineStr">
        <is>
          <t>tipo: reduccion-bushing · material: bronce · medida: 1/2" x 1/8"</t>
        </is>
      </c>
    </row>
    <row r="1731">
      <c r="A1731" s="3" t="inlineStr">
        <is>
          <t>MAT-32-373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1/2" x 3/8"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81</v>
      </c>
      <c r="L1731" s="6" t="n">
        <v>81</v>
      </c>
      <c r="M1731" s="6" t="n">
        <v>81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2026-09-10</t>
        </is>
      </c>
      <c r="Q1731" s="4" t="inlineStr">
        <is>
          <t>Bellón</t>
        </is>
      </c>
      <c r="AF1731" s="4" t="inlineStr">
        <is>
          <t>tipo: reduccion-bushing · material: bronce · medida: 1/2" x 3/8"</t>
        </is>
      </c>
    </row>
    <row r="1732">
      <c r="A1732" s="3" t="inlineStr">
        <is>
          <t>MAT-32-374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1/4" x 1/8"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27.47</v>
      </c>
      <c r="L1732" s="6" t="n">
        <v>27.47</v>
      </c>
      <c r="M1732" s="6" t="n">
        <v>27.47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2026-09-10</t>
        </is>
      </c>
      <c r="Q1732" s="4" t="inlineStr">
        <is>
          <t>Bellón</t>
        </is>
      </c>
      <c r="AF1732" s="4" t="inlineStr">
        <is>
          <t>tipo: reduccion-bushing · material: bronce · medida: 1/4" x 1/8"</t>
        </is>
      </c>
    </row>
    <row r="1733">
      <c r="A1733" s="3" t="inlineStr">
        <is>
          <t>MAT-32-375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1/4" x 3/8"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1</v>
      </c>
      <c r="K1733" s="6" t="n">
        <v>132</v>
      </c>
      <c r="L1733" s="6" t="n">
        <v>132</v>
      </c>
      <c r="M1733" s="6" t="n">
        <v>132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2026-09-09</t>
        </is>
      </c>
      <c r="Q1733" s="4" t="inlineStr">
        <is>
          <t>Ferretería Cima</t>
        </is>
      </c>
      <c r="AF1733" s="4" t="inlineStr">
        <is>
          <t>tipo: reduccion-bushing · material: bronce · medida: 1/4" x 3/8"</t>
        </is>
      </c>
    </row>
    <row r="1734">
      <c r="A1734" s="3" t="inlineStr">
        <is>
          <t>MAT-32-376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1/8" x 1/4"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101</v>
      </c>
      <c r="L1734" s="6" t="n">
        <v>101</v>
      </c>
      <c r="M1734" s="6" t="n">
        <v>101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2026-09-09</t>
        </is>
      </c>
      <c r="Q1734" s="4" t="inlineStr">
        <is>
          <t>Ferretería Cima</t>
        </is>
      </c>
      <c r="AF1734" s="4" t="inlineStr">
        <is>
          <t>tipo: reduccion-bushing · material: bronce · medida: 1/8" x 1/4"</t>
        </is>
      </c>
    </row>
    <row r="1735">
      <c r="A1735" s="3" t="inlineStr">
        <is>
          <t>MAT-32-377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1/8" x 3/8"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77</v>
      </c>
      <c r="L1735" s="6" t="n">
        <v>77</v>
      </c>
      <c r="M1735" s="6" t="n">
        <v>77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2026-09-09</t>
        </is>
      </c>
      <c r="Q1735" s="4" t="inlineStr">
        <is>
          <t>Ferretería Cima</t>
        </is>
      </c>
      <c r="AF1735" s="4" t="inlineStr">
        <is>
          <t>tipo: reduccion-bushing · material: bronce · medida: 1/8" x 3/8"</t>
        </is>
      </c>
    </row>
    <row r="1736">
      <c r="A1736" s="3" t="inlineStr">
        <is>
          <t>MAT-32-378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1" x 3/4"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202</v>
      </c>
      <c r="L1736" s="6" t="n">
        <v>202</v>
      </c>
      <c r="M1736" s="6" t="n">
        <v>202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2026-09-10</t>
        </is>
      </c>
      <c r="Q1736" s="4" t="inlineStr">
        <is>
          <t>Bellón</t>
        </is>
      </c>
      <c r="AF1736" s="4" t="inlineStr">
        <is>
          <t>tipo: reduccion-bushing · material: bronce · medida: 1" x 3/4"</t>
        </is>
      </c>
    </row>
    <row r="1737">
      <c r="A1737" s="3" t="inlineStr">
        <is>
          <t>MAT-32-379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bronce 3/4" x 1/2"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97.88</v>
      </c>
      <c r="L1737" s="6" t="n">
        <v>97.88</v>
      </c>
      <c r="M1737" s="6" t="n">
        <v>97.88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2026-09-10</t>
        </is>
      </c>
      <c r="Q1737" s="4" t="inlineStr">
        <is>
          <t>Bellón</t>
        </is>
      </c>
      <c r="AF1737" s="4" t="inlineStr">
        <is>
          <t>tipo: reduccion-bushing · material: bronce · medida: 3/4" x 1/2"</t>
        </is>
      </c>
    </row>
    <row r="1738">
      <c r="A1738" s="3" t="inlineStr">
        <is>
          <t>MAT-32-380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bronce 3/4" x 3/8"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137</v>
      </c>
      <c r="L1738" s="6" t="n">
        <v>137</v>
      </c>
      <c r="M1738" s="6" t="n">
        <v>137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2026-09-10</t>
        </is>
      </c>
      <c r="Q1738" s="4" t="inlineStr">
        <is>
          <t>Bellón</t>
        </is>
      </c>
      <c r="AF1738" s="4" t="inlineStr">
        <is>
          <t>tipo: reduccion-bushing · material: bronce · medida: 3/4" x 3/8"</t>
        </is>
      </c>
    </row>
    <row r="1739">
      <c r="A1739" s="3" t="inlineStr">
        <is>
          <t>MAT-32-381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bronce 3/8"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78.73999999999999</v>
      </c>
      <c r="L1739" s="6" t="n">
        <v>78.73999999999999</v>
      </c>
      <c r="M1739" s="6" t="n">
        <v>78.73999999999999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2026-09-10</t>
        </is>
      </c>
      <c r="Q1739" s="4" t="inlineStr">
        <is>
          <t>Bellón</t>
        </is>
      </c>
      <c r="AF1739" s="4" t="inlineStr">
        <is>
          <t>tipo: reduccion-bushing · material: bronce · medida: 3/8"</t>
        </is>
      </c>
    </row>
    <row r="1740">
      <c r="A1740" s="3" t="inlineStr">
        <is>
          <t>MAT-32-382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bronce 3/8" x 1/8"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57</v>
      </c>
      <c r="L1740" s="6" t="n">
        <v>57</v>
      </c>
      <c r="M1740" s="6" t="n">
        <v>57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2026-09-10</t>
        </is>
      </c>
      <c r="Q1740" s="4" t="inlineStr">
        <is>
          <t>Bellón</t>
        </is>
      </c>
      <c r="AF1740" s="4" t="inlineStr">
        <is>
          <t>tipo: reduccion-bushing · material: bronce · medida: 3/8" x 1/8"</t>
        </is>
      </c>
    </row>
    <row r="1741">
      <c r="A1741" s="3" t="inlineStr">
        <is>
          <t>MAT-32-383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CPVC 1" x 1/2"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1</v>
      </c>
      <c r="K1741" s="6" t="n">
        <v>45.68</v>
      </c>
      <c r="L1741" s="6" t="n">
        <v>45.68</v>
      </c>
      <c r="M1741" s="6" t="n">
        <v>45.68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</t>
        </is>
      </c>
      <c r="AF1741" s="4" t="inlineStr">
        <is>
          <t>tipo: reduccion-bushing · material: CPVC · medida: 1" x 1/2"</t>
        </is>
      </c>
    </row>
    <row r="1742">
      <c r="A1742" s="3" t="inlineStr">
        <is>
          <t>MAT-32-384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CPVC 1" x 3/4"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1</v>
      </c>
      <c r="K1742" s="6" t="n">
        <v>13.97</v>
      </c>
      <c r="L1742" s="6" t="n">
        <v>13.97</v>
      </c>
      <c r="M1742" s="6" t="n">
        <v>13.97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2026-09-10</t>
        </is>
      </c>
      <c r="Q1742" s="4" t="inlineStr">
        <is>
          <t>Bellón</t>
        </is>
      </c>
      <c r="AF1742" s="4" t="inlineStr">
        <is>
          <t>tipo: reduccion-bushing · material: CPVC · medida: 1" x 3/4"</t>
        </is>
      </c>
    </row>
    <row r="1743">
      <c r="A1743" s="3" t="inlineStr">
        <is>
          <t>MAT-32-385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CPVC 2" x 1"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1</v>
      </c>
      <c r="K1743" s="6" t="n">
        <v>322</v>
      </c>
      <c r="L1743" s="6" t="n">
        <v>322</v>
      </c>
      <c r="M1743" s="6" t="n">
        <v>322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2026-09-10</t>
        </is>
      </c>
      <c r="Q1743" s="4" t="inlineStr">
        <is>
          <t>Bellón</t>
        </is>
      </c>
      <c r="AF1743" s="4" t="inlineStr">
        <is>
          <t>tipo: reduccion-bushing · material: CPVC · medida: 2" x 1"</t>
        </is>
      </c>
    </row>
    <row r="1744">
      <c r="A1744" s="3" t="inlineStr">
        <is>
          <t>MAT-32-386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CPVC 3/4" x 1/2"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1</v>
      </c>
      <c r="K1744" s="6" t="n">
        <v>10.62</v>
      </c>
      <c r="L1744" s="6" t="n">
        <v>10.62</v>
      </c>
      <c r="M1744" s="6" t="n">
        <v>10.62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2026-09-10</t>
        </is>
      </c>
      <c r="Q1744" s="4" t="inlineStr">
        <is>
          <t>Bellón</t>
        </is>
      </c>
      <c r="AF1744" s="4" t="inlineStr">
        <is>
          <t>tipo: reduccion-bushing · material: CPVC · medida: 3/4" x 1/2"</t>
        </is>
      </c>
    </row>
    <row r="1745">
      <c r="A1745" s="3" t="inlineStr">
        <is>
          <t>MAT-32-387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1/2" x 1 1/4"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2</v>
      </c>
      <c r="K1745" s="6" t="n">
        <v>186</v>
      </c>
      <c r="L1745" s="6" t="n">
        <v>125</v>
      </c>
      <c r="M1745" s="6" t="n">
        <v>247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2026-09-10</t>
        </is>
      </c>
      <c r="Q1745" s="4" t="inlineStr">
        <is>
          <t>Bellón · Ferretería Cima</t>
        </is>
      </c>
      <c r="AF1745" s="4" t="inlineStr">
        <is>
          <t>tipo: reduccion-bushing · material: HG · medida: 1 1/2" x 1 1/4"</t>
        </is>
      </c>
    </row>
    <row r="1746">
      <c r="A1746" s="3" t="inlineStr">
        <is>
          <t>MAT-32-388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1/2" x 1/2"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2</v>
      </c>
      <c r="K1746" s="6" t="n">
        <v>89.5</v>
      </c>
      <c r="L1746" s="6" t="n">
        <v>76</v>
      </c>
      <c r="M1746" s="6" t="n">
        <v>103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2026-09-10</t>
        </is>
      </c>
      <c r="Q1746" s="4" t="inlineStr">
        <is>
          <t>Bellón · Ferretería Cima</t>
        </is>
      </c>
      <c r="AF1746" s="4" t="inlineStr">
        <is>
          <t>tipo: reduccion-bushing · material: HG · medida: 1 1/2" x 1/2"</t>
        </is>
      </c>
    </row>
    <row r="1747">
      <c r="A1747" s="3" t="inlineStr">
        <is>
          <t>MAT-32-389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1/2" x 1"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2</v>
      </c>
      <c r="K1747" s="6" t="n">
        <v>140.5</v>
      </c>
      <c r="L1747" s="6" t="n">
        <v>67</v>
      </c>
      <c r="M1747" s="6" t="n">
        <v>214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 · Ferretería Cima</t>
        </is>
      </c>
      <c r="AF1747" s="4" t="inlineStr">
        <is>
          <t>tipo: reduccion-bushing · material: HG · medida: 1 1/2" x 1"</t>
        </is>
      </c>
    </row>
    <row r="1748">
      <c r="A1748" s="3" t="inlineStr">
        <is>
          <t>MAT-32-390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 1/2" x 3/4"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2</v>
      </c>
      <c r="K1748" s="6" t="n">
        <v>98.5</v>
      </c>
      <c r="L1748" s="6" t="n">
        <v>87</v>
      </c>
      <c r="M1748" s="6" t="n">
        <v>110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2026-09-10</t>
        </is>
      </c>
      <c r="Q1748" s="4" t="inlineStr">
        <is>
          <t>Bellón · Ferretería Cima</t>
        </is>
      </c>
      <c r="AF1748" s="4" t="inlineStr">
        <is>
          <t>tipo: reduccion-bushing · material: HG · medida: 1 1/2" x 3/4"</t>
        </is>
      </c>
    </row>
    <row r="1749">
      <c r="A1749" s="3" t="inlineStr">
        <is>
          <t>MAT-32-391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 1/4" x 1/2"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2</v>
      </c>
      <c r="K1749" s="6" t="n">
        <v>74</v>
      </c>
      <c r="L1749" s="6" t="n">
        <v>61</v>
      </c>
      <c r="M1749" s="6" t="n">
        <v>87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2026-09-10</t>
        </is>
      </c>
      <c r="Q1749" s="4" t="inlineStr">
        <is>
          <t>Bellón · Ferretería Cima</t>
        </is>
      </c>
      <c r="AF1749" s="4" t="inlineStr">
        <is>
          <t>tipo: reduccion-bushing · material: HG · medida: 1 1/4" x 1/2"</t>
        </is>
      </c>
    </row>
    <row r="1750">
      <c r="A1750" s="3" t="inlineStr">
        <is>
          <t>MAT-32-392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 1/4" x 1"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2</v>
      </c>
      <c r="K1750" s="6" t="n">
        <v>124.5</v>
      </c>
      <c r="L1750" s="6" t="n">
        <v>51</v>
      </c>
      <c r="M1750" s="6" t="n">
        <v>198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2026-09-10</t>
        </is>
      </c>
      <c r="Q1750" s="4" t="inlineStr">
        <is>
          <t>Bellón · Ferretería Cima</t>
        </is>
      </c>
      <c r="AF1750" s="4" t="inlineStr">
        <is>
          <t>tipo: reduccion-bushing · material: HG · medida: 1 1/4" x 1"</t>
        </is>
      </c>
    </row>
    <row r="1751">
      <c r="A1751" s="3" t="inlineStr">
        <is>
          <t>MAT-32-393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 1/4" x 3/4"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50</v>
      </c>
      <c r="L1751" s="6" t="n">
        <v>50</v>
      </c>
      <c r="M1751" s="6" t="n">
        <v>50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2026-09-10</t>
        </is>
      </c>
      <c r="Q1751" s="4" t="inlineStr">
        <is>
          <t>Bellón</t>
        </is>
      </c>
      <c r="AF1751" s="4" t="inlineStr">
        <is>
          <t>tipo: reduccion-bushing · material: HG · medida: 1 1/4" x 3/4"</t>
        </is>
      </c>
    </row>
    <row r="1752">
      <c r="A1752" s="3" t="inlineStr">
        <is>
          <t>MAT-32-394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1/2" x 1/4"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1</v>
      </c>
      <c r="K1752" s="6" t="n">
        <v>80</v>
      </c>
      <c r="L1752" s="6" t="n">
        <v>80</v>
      </c>
      <c r="M1752" s="6" t="n">
        <v>80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2026-09-09</t>
        </is>
      </c>
      <c r="Q1752" s="4" t="inlineStr">
        <is>
          <t>Ferretería Cima</t>
        </is>
      </c>
      <c r="AF1752" s="4" t="inlineStr">
        <is>
          <t>tipo: reduccion-bushing · material: HG · medida: 1/2" x 1/4"</t>
        </is>
      </c>
    </row>
    <row r="1753">
      <c r="A1753" s="3" t="inlineStr">
        <is>
          <t>MAT-32-395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1/2" x 3/8"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2</v>
      </c>
      <c r="K1753" s="6" t="n">
        <v>45</v>
      </c>
      <c r="L1753" s="6" t="n">
        <v>25</v>
      </c>
      <c r="M1753" s="6" t="n">
        <v>65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2026-09-10</t>
        </is>
      </c>
      <c r="Q1753" s="4" t="inlineStr">
        <is>
          <t>Bellón · Ferretería Cima</t>
        </is>
      </c>
      <c r="AF1753" s="4" t="inlineStr">
        <is>
          <t>tipo: reduccion-bushing · material: HG · medida: 1/2" x 3/8"</t>
        </is>
      </c>
    </row>
    <row r="1754">
      <c r="A1754" s="3" t="inlineStr">
        <is>
          <t>MAT-32-396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1" x 1/2"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2</v>
      </c>
      <c r="K1754" s="6" t="n">
        <v>66</v>
      </c>
      <c r="L1754" s="6" t="n">
        <v>40</v>
      </c>
      <c r="M1754" s="6" t="n">
        <v>92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2026-09-10</t>
        </is>
      </c>
      <c r="Q1754" s="4" t="inlineStr">
        <is>
          <t>Bellón · Ferretería Cima</t>
        </is>
      </c>
      <c r="AF1754" s="4" t="inlineStr">
        <is>
          <t>tipo: reduccion-bushing · material: HG · medida: 1" x 1/2"</t>
        </is>
      </c>
    </row>
    <row r="1755">
      <c r="A1755" s="3" t="inlineStr">
        <is>
          <t>MAT-32-397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1" x 1/4"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1</v>
      </c>
      <c r="K1755" s="6" t="n">
        <v>58.94</v>
      </c>
      <c r="L1755" s="6" t="n">
        <v>58.94</v>
      </c>
      <c r="M1755" s="6" t="n">
        <v>58.94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</t>
        </is>
      </c>
      <c r="AF1755" s="4" t="inlineStr">
        <is>
          <t>tipo: reduccion-bushing · material: HG · medida: 1" x 1/4"</t>
        </is>
      </c>
    </row>
    <row r="1756">
      <c r="A1756" s="3" t="inlineStr">
        <is>
          <t>MAT-32-398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1" x 3/4"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2</v>
      </c>
      <c r="K1756" s="6" t="n">
        <v>64</v>
      </c>
      <c r="L1756" s="6" t="n">
        <v>31</v>
      </c>
      <c r="M1756" s="6" t="n">
        <v>97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2026-09-10</t>
        </is>
      </c>
      <c r="Q1756" s="4" t="inlineStr">
        <is>
          <t>Bellón · Ferretería Cima</t>
        </is>
      </c>
      <c r="AF1756" s="4" t="inlineStr">
        <is>
          <t>tipo: reduccion-bushing · material: HG · medida: 1" x 3/4"</t>
        </is>
      </c>
    </row>
    <row r="1757">
      <c r="A1757" s="3" t="inlineStr">
        <is>
          <t>MAT-32-399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 1/2" x 2"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1</v>
      </c>
      <c r="K1757" s="6" t="n">
        <v>52.64</v>
      </c>
      <c r="L1757" s="6" t="n">
        <v>52.64</v>
      </c>
      <c r="M1757" s="6" t="n">
        <v>52.64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2026-09-10</t>
        </is>
      </c>
      <c r="Q1757" s="4" t="inlineStr">
        <is>
          <t>Bellón</t>
        </is>
      </c>
      <c r="AF1757" s="4" t="inlineStr">
        <is>
          <t>tipo: reduccion-bushing · material: HG · medida: 2 1/2" x 2"</t>
        </is>
      </c>
    </row>
    <row r="1758">
      <c r="A1758" s="3" t="inlineStr">
        <is>
          <t>MAT-32-400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2" x 1 1/2"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2</v>
      </c>
      <c r="K1758" s="6" t="n">
        <v>141.5</v>
      </c>
      <c r="L1758" s="6" t="n">
        <v>94</v>
      </c>
      <c r="M1758" s="6" t="n">
        <v>189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2026-09-10</t>
        </is>
      </c>
      <c r="Q1758" s="4" t="inlineStr">
        <is>
          <t>Bellón · Ferretería Cima</t>
        </is>
      </c>
      <c r="AF1758" s="4" t="inlineStr">
        <is>
          <t>tipo: reduccion-bushing · material: HG · medida: 2" x 1 1/2"</t>
        </is>
      </c>
    </row>
    <row r="1759">
      <c r="A1759" s="3" t="inlineStr">
        <is>
          <t>MAT-32-401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2" x 1 1/4"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1</v>
      </c>
      <c r="K1759" s="6" t="n">
        <v>95</v>
      </c>
      <c r="L1759" s="6" t="n">
        <v>95</v>
      </c>
      <c r="M1759" s="6" t="n">
        <v>95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</t>
        </is>
      </c>
      <c r="AF1759" s="4" t="inlineStr">
        <is>
          <t>tipo: reduccion-bushing · material: HG · medida: 2" x 1 1/4"</t>
        </is>
      </c>
    </row>
    <row r="1760">
      <c r="A1760" s="3" t="inlineStr">
        <is>
          <t>MAT-32-402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2" x 1/2"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140</v>
      </c>
      <c r="L1760" s="6" t="n">
        <v>140</v>
      </c>
      <c r="M1760" s="6" t="n">
        <v>140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2026-09-10</t>
        </is>
      </c>
      <c r="Q1760" s="4" t="inlineStr">
        <is>
          <t>Bellón</t>
        </is>
      </c>
      <c r="AF1760" s="4" t="inlineStr">
        <is>
          <t>tipo: reduccion-bushing · material: HG · medida: 2" x 1/2"</t>
        </is>
      </c>
    </row>
    <row r="1761">
      <c r="A1761" s="3" t="inlineStr">
        <is>
          <t>MAT-32-403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2" x 1"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1</v>
      </c>
      <c r="K1761" s="6" t="n">
        <v>95</v>
      </c>
      <c r="L1761" s="6" t="n">
        <v>95</v>
      </c>
      <c r="M1761" s="6" t="n">
        <v>95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2026-09-10</t>
        </is>
      </c>
      <c r="Q1761" s="4" t="inlineStr">
        <is>
          <t>Bellón</t>
        </is>
      </c>
      <c r="AF1761" s="4" t="inlineStr">
        <is>
          <t>tipo: reduccion-bushing · material: HG · medida: 2" x 1"</t>
        </is>
      </c>
    </row>
    <row r="1762">
      <c r="A1762" s="3" t="inlineStr">
        <is>
          <t>MAT-32-404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3/4" x 1/2"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2</v>
      </c>
      <c r="K1762" s="6" t="n">
        <v>50</v>
      </c>
      <c r="L1762" s="6" t="n">
        <v>25</v>
      </c>
      <c r="M1762" s="6" t="n">
        <v>75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2026-09-10</t>
        </is>
      </c>
      <c r="Q1762" s="4" t="inlineStr">
        <is>
          <t>Bellón · Ferretería Cima</t>
        </is>
      </c>
      <c r="AF1762" s="4" t="inlineStr">
        <is>
          <t>tipo: reduccion-bushing · material: HG · medida: 3/4" x 1/2"</t>
        </is>
      </c>
    </row>
    <row r="1763">
      <c r="A1763" s="3" t="inlineStr">
        <is>
          <t>MAT-32-405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3/4" x 1/4"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25</v>
      </c>
      <c r="L1763" s="6" t="n">
        <v>25</v>
      </c>
      <c r="M1763" s="6" t="n">
        <v>25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2026-09-10</t>
        </is>
      </c>
      <c r="Q1763" s="4" t="inlineStr">
        <is>
          <t>Bellón</t>
        </is>
      </c>
      <c r="AF1763" s="4" t="inlineStr">
        <is>
          <t>tipo: reduccion-bushing · material: HG · medida: 3/4" x 1/4"</t>
        </is>
      </c>
    </row>
    <row r="1764">
      <c r="A1764" s="3" t="inlineStr">
        <is>
          <t>MAT-32-406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HG 3/4" x 3/8"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1</v>
      </c>
      <c r="K1764" s="6" t="n">
        <v>67</v>
      </c>
      <c r="L1764" s="6" t="n">
        <v>67</v>
      </c>
      <c r="M1764" s="6" t="n">
        <v>67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2026-09-10</t>
        </is>
      </c>
      <c r="Q1764" s="4" t="inlineStr">
        <is>
          <t>Bellón</t>
        </is>
      </c>
      <c r="AF1764" s="4" t="inlineStr">
        <is>
          <t>tipo: reduccion-bushing · material: HG · medida: 3/4" x 3/8"</t>
        </is>
      </c>
    </row>
    <row r="1765">
      <c r="A1765" s="3" t="inlineStr">
        <is>
          <t>MAT-32-407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HG 3/8" x 1/4"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34</v>
      </c>
      <c r="L1765" s="6" t="n">
        <v>34</v>
      </c>
      <c r="M1765" s="6" t="n">
        <v>34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2026-09-10</t>
        </is>
      </c>
      <c r="Q1765" s="4" t="inlineStr">
        <is>
          <t>Bellón</t>
        </is>
      </c>
      <c r="AF1765" s="4" t="inlineStr">
        <is>
          <t>tipo: reduccion-bushing · material: HG · medida: 3/8" x 1/4"</t>
        </is>
      </c>
    </row>
    <row r="1766">
      <c r="A1766" s="3" t="inlineStr">
        <is>
          <t>MAT-32-408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HG 3" x 2"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261</v>
      </c>
      <c r="L1766" s="6" t="n">
        <v>261</v>
      </c>
      <c r="M1766" s="6" t="n">
        <v>261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2026-09-10</t>
        </is>
      </c>
      <c r="Q1766" s="4" t="inlineStr">
        <is>
          <t>Bellón</t>
        </is>
      </c>
      <c r="AF1766" s="4" t="inlineStr">
        <is>
          <t>tipo: reduccion-bushing · material: HG · medida: 3" x 2"</t>
        </is>
      </c>
    </row>
    <row r="1767">
      <c r="A1767" s="3" t="inlineStr">
        <is>
          <t>MAT-32-409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HG 4" x 3"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1</v>
      </c>
      <c r="K1767" s="6" t="n">
        <v>454</v>
      </c>
      <c r="L1767" s="6" t="n">
        <v>454</v>
      </c>
      <c r="M1767" s="6" t="n">
        <v>454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2026-09-10</t>
        </is>
      </c>
      <c r="Q1767" s="4" t="inlineStr">
        <is>
          <t>Bellón</t>
        </is>
      </c>
      <c r="AF1767" s="4" t="inlineStr">
        <is>
          <t>tipo: reduccion-bushing · material: HG · medida: 4" x 3"</t>
        </is>
      </c>
    </row>
    <row r="1768">
      <c r="A1768" s="3" t="inlineStr">
        <is>
          <t>MAT-32-410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2" x 1/2"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2</v>
      </c>
      <c r="K1768" s="6" t="n">
        <v>39.23</v>
      </c>
      <c r="L1768" s="6" t="n">
        <v>14.47</v>
      </c>
      <c r="M1768" s="6" t="n">
        <v>64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2026-09-09</t>
        </is>
      </c>
      <c r="Q1768" s="4" t="inlineStr">
        <is>
          <t>Ferretería Cima · Ferretería MC</t>
        </is>
      </c>
      <c r="AF1768" s="4" t="inlineStr">
        <is>
          <t>tipo: reduccion-bushing · material: PVC drenaje · medida: 2" x 1/2"</t>
        </is>
      </c>
    </row>
    <row r="1769">
      <c r="A1769" s="3" t="inlineStr">
        <is>
          <t>MAT-32-411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2" x 1"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16.8</v>
      </c>
      <c r="L1769" s="6" t="n">
        <v>16.8</v>
      </c>
      <c r="M1769" s="6" t="n">
        <v>16.8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2026-09-09</t>
        </is>
      </c>
      <c r="Q1769" s="4" t="inlineStr">
        <is>
          <t>Ferretería MC</t>
        </is>
      </c>
      <c r="AF1769" s="4" t="inlineStr">
        <is>
          <t>tipo: reduccion-bushing · material: PVC drenaje · medida: 2" x 1"</t>
        </is>
      </c>
    </row>
    <row r="1770">
      <c r="A1770" s="3" t="inlineStr">
        <is>
          <t>MAT-32-412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2" x 3/4"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1</v>
      </c>
      <c r="K1770" s="6" t="n">
        <v>16.32</v>
      </c>
      <c r="L1770" s="6" t="n">
        <v>16.32</v>
      </c>
      <c r="M1770" s="6" t="n">
        <v>16.32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2026-09-09</t>
        </is>
      </c>
      <c r="Q1770" s="4" t="inlineStr">
        <is>
          <t>Ferretería MC</t>
        </is>
      </c>
      <c r="AF1770" s="4" t="inlineStr">
        <is>
          <t>tipo: reduccion-bushing · material: PVC drenaje · medida: 2" x 3/4"</t>
        </is>
      </c>
    </row>
    <row r="1771">
      <c r="A1771" s="3" t="inlineStr">
        <is>
          <t>MAT-32-413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3" x 2"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39.19</v>
      </c>
      <c r="L1771" s="6" t="n">
        <v>39.19</v>
      </c>
      <c r="M1771" s="6" t="n">
        <v>39.19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2026-09-09</t>
        </is>
      </c>
      <c r="Q1771" s="4" t="inlineStr">
        <is>
          <t>Ferretería MC</t>
        </is>
      </c>
      <c r="AF1771" s="4" t="inlineStr">
        <is>
          <t>tipo: reduccion-bushing · material: PVC drenaje · medida: 3" x 2"</t>
        </is>
      </c>
    </row>
    <row r="1772">
      <c r="A1772" s="3" t="inlineStr">
        <is>
          <t>MAT-32-414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4" x 2"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75.87</v>
      </c>
      <c r="L1772" s="6" t="n">
        <v>75.87</v>
      </c>
      <c r="M1772" s="6" t="n">
        <v>75.87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2026-09-09</t>
        </is>
      </c>
      <c r="Q1772" s="4" t="inlineStr">
        <is>
          <t>Ferretería MC</t>
        </is>
      </c>
      <c r="AF1772" s="4" t="inlineStr">
        <is>
          <t>tipo: reduccion-bushing · material: PVC drenaje · medida: 4" x 2"</t>
        </is>
      </c>
    </row>
    <row r="1773">
      <c r="A1773" s="3" t="inlineStr">
        <is>
          <t>MAT-32-415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drenaje 4" x 3"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1</v>
      </c>
      <c r="K1773" s="6" t="n">
        <v>75.40000000000001</v>
      </c>
      <c r="L1773" s="6" t="n">
        <v>75.40000000000001</v>
      </c>
      <c r="M1773" s="6" t="n">
        <v>75.40000000000001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2026-09-09</t>
        </is>
      </c>
      <c r="Q1773" s="4" t="inlineStr">
        <is>
          <t>Ferretería MC</t>
        </is>
      </c>
      <c r="AF1773" s="4" t="inlineStr">
        <is>
          <t>tipo: reduccion-bushing · material: PVC drenaje · medida: 4" x 3"</t>
        </is>
      </c>
    </row>
    <row r="1774">
      <c r="A1774" s="3" t="inlineStr">
        <is>
          <t>MAT-32-416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drenaje 6" x 4"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2</v>
      </c>
      <c r="K1774" s="6" t="n">
        <v>280.01</v>
      </c>
      <c r="L1774" s="6" t="n">
        <v>132</v>
      </c>
      <c r="M1774" s="6" t="n">
        <v>370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2026-09-10</t>
        </is>
      </c>
      <c r="Q1774" s="4" t="inlineStr">
        <is>
          <t>Bellón · Ferretería MC</t>
        </is>
      </c>
      <c r="AF1774" s="4" t="inlineStr">
        <is>
          <t>tipo: reduccion-bushing · material: PVC drenaje · medida: 6" x 4"</t>
        </is>
      </c>
    </row>
    <row r="1775">
      <c r="A1775" s="3" t="inlineStr">
        <is>
          <t>MAT-32-417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drenaje 8" x 4"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2509.51</v>
      </c>
      <c r="L1775" s="6" t="n">
        <v>2509.51</v>
      </c>
      <c r="M1775" s="6" t="n">
        <v>2509.51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2026-09-09</t>
        </is>
      </c>
      <c r="Q1775" s="4" t="inlineStr">
        <is>
          <t>Ferretería MC</t>
        </is>
      </c>
      <c r="AF1775" s="4" t="inlineStr">
        <is>
          <t>tipo: reduccion-bushing · material: PVC drenaje · medida: 8" x 4"</t>
        </is>
      </c>
    </row>
    <row r="1776">
      <c r="A1776" s="3" t="inlineStr">
        <is>
          <t>MAT-32-418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drenaje 8" x 6"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1</v>
      </c>
      <c r="K1776" s="6" t="n">
        <v>1918.68</v>
      </c>
      <c r="L1776" s="6" t="n">
        <v>1918.68</v>
      </c>
      <c r="M1776" s="6" t="n">
        <v>1918.68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2026-09-09</t>
        </is>
      </c>
      <c r="Q1776" s="4" t="inlineStr">
        <is>
          <t>Ferretería MC</t>
        </is>
      </c>
      <c r="AF1776" s="4" t="inlineStr">
        <is>
          <t>tipo: reduccion-bushing · material: PVC drenaje · medida: 8" x 6"</t>
        </is>
      </c>
    </row>
    <row r="1777">
      <c r="A1777" s="3" t="inlineStr">
        <is>
          <t>MAT-32-419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1 1/2" x 1"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1</v>
      </c>
      <c r="K1777" s="6" t="n">
        <v>87</v>
      </c>
      <c r="L1777" s="6" t="n">
        <v>87</v>
      </c>
      <c r="M1777" s="6" t="n">
        <v>87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2026-09-09</t>
        </is>
      </c>
      <c r="Q1777" s="4" t="inlineStr">
        <is>
          <t>Ferretería Cima</t>
        </is>
      </c>
      <c r="AF1777" s="4" t="inlineStr">
        <is>
          <t>tipo: reduccion-bushing · material: PVC · medida: 1 1/2" x 1"</t>
        </is>
      </c>
    </row>
    <row r="1778">
      <c r="A1778" s="3" t="inlineStr">
        <is>
          <t>MAT-32-420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1 1/2" x 3/4"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2</v>
      </c>
      <c r="K1778" s="6" t="n">
        <v>57.5</v>
      </c>
      <c r="L1778" s="6" t="n">
        <v>30</v>
      </c>
      <c r="M1778" s="6" t="n">
        <v>85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2026-09-10</t>
        </is>
      </c>
      <c r="Q1778" s="4" t="inlineStr">
        <is>
          <t>Bellón · Ferretería Cima</t>
        </is>
      </c>
      <c r="AF1778" s="4" t="inlineStr">
        <is>
          <t>tipo: reduccion-bushing · material: PVC · medida: 1 1/2" x 3/4"</t>
        </is>
      </c>
    </row>
    <row r="1779">
      <c r="A1779" s="3" t="inlineStr">
        <is>
          <t>MAT-32-421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1" x 1/2"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1</v>
      </c>
      <c r="K1779" s="6" t="n">
        <v>35</v>
      </c>
      <c r="L1779" s="6" t="n">
        <v>35</v>
      </c>
      <c r="M1779" s="6" t="n">
        <v>35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2026-09-09</t>
        </is>
      </c>
      <c r="Q1779" s="4" t="inlineStr">
        <is>
          <t>Ferretería Cima</t>
        </is>
      </c>
      <c r="AF1779" s="4" t="inlineStr">
        <is>
          <t>tipo: reduccion-bushing · material: PVC · medida: 1" x 1/2"</t>
        </is>
      </c>
    </row>
    <row r="1780">
      <c r="A1780" s="3" t="inlineStr">
        <is>
          <t>MAT-32-422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1" x 3/4"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2</v>
      </c>
      <c r="K1780" s="6" t="n">
        <v>19.44</v>
      </c>
      <c r="L1780" s="6" t="n">
        <v>12.88</v>
      </c>
      <c r="M1780" s="6" t="n">
        <v>26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2026-09-10</t>
        </is>
      </c>
      <c r="Q1780" s="4" t="inlineStr">
        <is>
          <t>Bellón · Ferretería Cima</t>
        </is>
      </c>
      <c r="AF1780" s="4" t="inlineStr">
        <is>
          <t>tipo: reduccion-bushing · material: PVC · medida: 1" x 3/4"</t>
        </is>
      </c>
    </row>
    <row r="1781">
      <c r="A1781" s="3" t="inlineStr">
        <is>
          <t>MAT-32-423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2" x 1 1/2"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2</v>
      </c>
      <c r="K1781" s="6" t="n">
        <v>59</v>
      </c>
      <c r="L1781" s="6" t="n">
        <v>53</v>
      </c>
      <c r="M1781" s="6" t="n">
        <v>65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2026-09-10</t>
        </is>
      </c>
      <c r="Q1781" s="4" t="inlineStr">
        <is>
          <t>Bellón · Ferretería Cima</t>
        </is>
      </c>
      <c r="AF1781" s="4" t="inlineStr">
        <is>
          <t>tipo: reduccion-bushing · material: PVC · medida: 2" x 1 1/2"</t>
        </is>
      </c>
    </row>
    <row r="1782">
      <c r="A1782" s="3" t="inlineStr">
        <is>
          <t>MAT-32-424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2" x 1"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1</v>
      </c>
      <c r="K1782" s="6" t="n">
        <v>64</v>
      </c>
      <c r="L1782" s="6" t="n">
        <v>64</v>
      </c>
      <c r="M1782" s="6" t="n">
        <v>64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2026-09-09</t>
        </is>
      </c>
      <c r="Q1782" s="4" t="inlineStr">
        <is>
          <t>Ferretería Cima</t>
        </is>
      </c>
      <c r="AF1782" s="4" t="inlineStr">
        <is>
          <t>tipo: reduccion-bushing · material: PVC · medida: 2" x 1"</t>
        </is>
      </c>
    </row>
    <row r="1783">
      <c r="A1783" s="3" t="inlineStr">
        <is>
          <t>MAT-32-425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2" x 3/4"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1</v>
      </c>
      <c r="K1783" s="6" t="n">
        <v>41</v>
      </c>
      <c r="L1783" s="6" t="n">
        <v>41</v>
      </c>
      <c r="M1783" s="6" t="n">
        <v>41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2026-09-09</t>
        </is>
      </c>
      <c r="Q1783" s="4" t="inlineStr">
        <is>
          <t>Ferretería Cima</t>
        </is>
      </c>
      <c r="AF1783" s="4" t="inlineStr">
        <is>
          <t>tipo: reduccion-bushing · material: PVC · medida: 2" x 3/4"</t>
        </is>
      </c>
    </row>
    <row r="1784">
      <c r="A1784" s="3" t="inlineStr">
        <is>
          <t>MAT-32-426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3/4" x 1/2"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20</v>
      </c>
      <c r="L1784" s="6" t="n">
        <v>20</v>
      </c>
      <c r="M1784" s="6" t="n">
        <v>20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2026-09-09</t>
        </is>
      </c>
      <c r="Q1784" s="4" t="inlineStr">
        <is>
          <t>Ferretería Cima</t>
        </is>
      </c>
      <c r="AF1784" s="4" t="inlineStr">
        <is>
          <t>tipo: reduccion-bushing · material: PVC · medida: 3/4" x 1/2"</t>
        </is>
      </c>
    </row>
    <row r="1785">
      <c r="A1785" s="3" t="inlineStr">
        <is>
          <t>MAT-32-427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3" x 2"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210</v>
      </c>
      <c r="L1785" s="6" t="n">
        <v>210</v>
      </c>
      <c r="M1785" s="6" t="n">
        <v>210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2026-09-09</t>
        </is>
      </c>
      <c r="Q1785" s="4" t="inlineStr">
        <is>
          <t>Ferretería Cima</t>
        </is>
      </c>
      <c r="AF1785" s="4" t="inlineStr">
        <is>
          <t>tipo: reduccion-bushing · material: PVC · medida: 3" x 2"</t>
        </is>
      </c>
    </row>
    <row r="1786">
      <c r="A1786" s="3" t="inlineStr">
        <is>
          <t>MAT-32-428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4" x 2"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1</v>
      </c>
      <c r="K1786" s="6" t="n">
        <v>175</v>
      </c>
      <c r="L1786" s="6" t="n">
        <v>175</v>
      </c>
      <c r="M1786" s="6" t="n">
        <v>175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2026-09-09</t>
        </is>
      </c>
      <c r="Q1786" s="4" t="inlineStr">
        <is>
          <t>Ferretería Cima</t>
        </is>
      </c>
      <c r="AF1786" s="4" t="inlineStr">
        <is>
          <t>tipo: reduccion-bushing · material: PVC · medida: 4" x 2"</t>
        </is>
      </c>
    </row>
    <row r="1787">
      <c r="A1787" s="3" t="inlineStr">
        <is>
          <t>MAT-32-429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4" x 3"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195</v>
      </c>
      <c r="L1787" s="6" t="n">
        <v>195</v>
      </c>
      <c r="M1787" s="6" t="n">
        <v>195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2026-09-09</t>
        </is>
      </c>
      <c r="Q1787" s="4" t="inlineStr">
        <is>
          <t>Ferretería Cima</t>
        </is>
      </c>
      <c r="AF1787" s="4" t="inlineStr">
        <is>
          <t>tipo: reduccion-bushing · material: PVC · medida: 4" x 3"</t>
        </is>
      </c>
    </row>
    <row r="1788">
      <c r="A1788" s="3" t="inlineStr">
        <is>
          <t>MAT-32-430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6" x 3"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1</v>
      </c>
      <c r="K1788" s="6" t="n">
        <v>1430</v>
      </c>
      <c r="L1788" s="6" t="n">
        <v>1430</v>
      </c>
      <c r="M1788" s="6" t="n">
        <v>1430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2026-09-10</t>
        </is>
      </c>
      <c r="Q1788" s="4" t="inlineStr">
        <is>
          <t>Bellón</t>
        </is>
      </c>
      <c r="AF1788" s="4" t="inlineStr">
        <is>
          <t>tipo: reduccion-bushing · material: PVC · medida: 6" x 3"</t>
        </is>
      </c>
    </row>
    <row r="1789">
      <c r="A1789" s="3" t="inlineStr">
        <is>
          <t>MAT-32-431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6" x 4"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702</v>
      </c>
      <c r="L1789" s="6" t="n">
        <v>702</v>
      </c>
      <c r="M1789" s="6" t="n">
        <v>702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2026-09-09</t>
        </is>
      </c>
      <c r="Q1789" s="4" t="inlineStr">
        <is>
          <t>Ferretería Cima</t>
        </is>
      </c>
      <c r="AF1789" s="4" t="inlineStr">
        <is>
          <t>tipo: reduccion-bushing · material: PVC · medida: 6" x 4"</t>
        </is>
      </c>
    </row>
    <row r="1790">
      <c r="A1790" s="3" t="inlineStr">
        <is>
          <t>MAT-32-432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 1/2" x 1/2"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26.85</v>
      </c>
      <c r="L1790" s="6" t="n">
        <v>26.85</v>
      </c>
      <c r="M1790" s="6" t="n">
        <v>26.85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2026-09-09</t>
        </is>
      </c>
      <c r="Q1790" s="4" t="inlineStr">
        <is>
          <t>Ferretería MC</t>
        </is>
      </c>
      <c r="AF1790" s="4" t="inlineStr">
        <is>
          <t>tipo: reduccion-bushing · material: PVC presión · medida: 1 1/2" x 1/2"</t>
        </is>
      </c>
    </row>
    <row r="1791">
      <c r="A1791" s="3" t="inlineStr">
        <is>
          <t>MAT-32-433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 1/2" x 1"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1</v>
      </c>
      <c r="K1791" s="6" t="n">
        <v>26.41</v>
      </c>
      <c r="L1791" s="6" t="n">
        <v>26.41</v>
      </c>
      <c r="M1791" s="6" t="n">
        <v>26.41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2026-09-09</t>
        </is>
      </c>
      <c r="Q1791" s="4" t="inlineStr">
        <is>
          <t>Ferretería MC</t>
        </is>
      </c>
      <c r="AF1791" s="4" t="inlineStr">
        <is>
          <t>tipo: reduccion-bushing · material: PVC presión · medida: 1 1/2" x 1"</t>
        </is>
      </c>
    </row>
    <row r="1792">
      <c r="A1792" s="3" t="inlineStr">
        <is>
          <t>MAT-32-434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1 1/2" x 3/4"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2</v>
      </c>
      <c r="K1792" s="6" t="n">
        <v>21.36</v>
      </c>
      <c r="L1792" s="6" t="n">
        <v>10.48</v>
      </c>
      <c r="M1792" s="6" t="n">
        <v>35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2026-09-10</t>
        </is>
      </c>
      <c r="Q1792" s="4" t="inlineStr">
        <is>
          <t>Bellón · Ferretería MC</t>
        </is>
      </c>
      <c r="AF1792" s="4" t="inlineStr">
        <is>
          <t>tipo: reduccion-bushing · material: PVC presión · medida: 1 1/2" x 3/4"</t>
        </is>
      </c>
    </row>
    <row r="1793">
      <c r="A1793" s="3" t="inlineStr">
        <is>
          <t>MAT-32-435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12" x 8"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15891.21</v>
      </c>
      <c r="L1793" s="6" t="n">
        <v>15891.21</v>
      </c>
      <c r="M1793" s="6" t="n">
        <v>15891.21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2026-09-10</t>
        </is>
      </c>
      <c r="Q1793" s="4" t="inlineStr">
        <is>
          <t>Bellón</t>
        </is>
      </c>
      <c r="AF1793" s="4" t="inlineStr">
        <is>
          <t>tipo: reduccion-bushing · material: PVC presión · medida: 12" x 8"</t>
        </is>
      </c>
    </row>
    <row r="1794">
      <c r="A1794" s="3" t="inlineStr">
        <is>
          <t>MAT-32-436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1" x 1/2"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10.56</v>
      </c>
      <c r="L1794" s="6" t="n">
        <v>10.56</v>
      </c>
      <c r="M1794" s="6" t="n">
        <v>10.56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2026-09-09</t>
        </is>
      </c>
      <c r="Q1794" s="4" t="inlineStr">
        <is>
          <t>Ferretería MC</t>
        </is>
      </c>
      <c r="AF1794" s="4" t="inlineStr">
        <is>
          <t>tipo: reduccion-bushing · material: PVC presión · medida: 1" x 1/2"</t>
        </is>
      </c>
    </row>
    <row r="1795">
      <c r="A1795" s="3" t="inlineStr">
        <is>
          <t>MAT-32-437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1" x 3/4"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8.300000000000001</v>
      </c>
      <c r="L1795" s="6" t="n">
        <v>8.300000000000001</v>
      </c>
      <c r="M1795" s="6" t="n">
        <v>8.300000000000001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2026-09-09</t>
        </is>
      </c>
      <c r="Q1795" s="4" t="inlineStr">
        <is>
          <t>Ferretería MC</t>
        </is>
      </c>
      <c r="AF1795" s="4" t="inlineStr">
        <is>
          <t>tipo: reduccion-bushing · material: PVC presión · medida: 1" x 3/4"</t>
        </is>
      </c>
    </row>
    <row r="1796">
      <c r="A1796" s="3" t="inlineStr">
        <is>
          <t>MAT-32-438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2" x 1 1/2"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22.93</v>
      </c>
      <c r="L1796" s="6" t="n">
        <v>22.93</v>
      </c>
      <c r="M1796" s="6" t="n">
        <v>22.93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2026-09-09</t>
        </is>
      </c>
      <c r="Q1796" s="4" t="inlineStr">
        <is>
          <t>Ferretería MC</t>
        </is>
      </c>
      <c r="AF1796" s="4" t="inlineStr">
        <is>
          <t>tipo: reduccion-bushing · material: PVC presión · medida: 2" x 1 1/2"</t>
        </is>
      </c>
    </row>
    <row r="1797">
      <c r="A1797" s="3" t="inlineStr">
        <is>
          <t>MAT-32-439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2" x 1/2"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30.85</v>
      </c>
      <c r="L1797" s="6" t="n">
        <v>30.85</v>
      </c>
      <c r="M1797" s="6" t="n">
        <v>30.85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2026-09-09</t>
        </is>
      </c>
      <c r="Q1797" s="4" t="inlineStr">
        <is>
          <t>Ferretería MC</t>
        </is>
      </c>
      <c r="AF1797" s="4" t="inlineStr">
        <is>
          <t>tipo: reduccion-bushing · material: PVC presión · medida: 2" x 1/2"</t>
        </is>
      </c>
    </row>
    <row r="1798">
      <c r="A1798" s="3" t="inlineStr">
        <is>
          <t>MAT-32-440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2" x 1"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33.22</v>
      </c>
      <c r="L1798" s="6" t="n">
        <v>33.22</v>
      </c>
      <c r="M1798" s="6" t="n">
        <v>33.22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2026-09-09</t>
        </is>
      </c>
      <c r="Q1798" s="4" t="inlineStr">
        <is>
          <t>Ferretería MC</t>
        </is>
      </c>
      <c r="AF1798" s="4" t="inlineStr">
        <is>
          <t>tipo: reduccion-bushing · material: PVC presión · medida: 2" x 1"</t>
        </is>
      </c>
    </row>
    <row r="1799">
      <c r="A1799" s="3" t="inlineStr">
        <is>
          <t>MAT-32-441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2" x 3/4"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40.34</v>
      </c>
      <c r="L1799" s="6" t="n">
        <v>40.34</v>
      </c>
      <c r="M1799" s="6" t="n">
        <v>40.34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2026-09-09</t>
        </is>
      </c>
      <c r="Q1799" s="4" t="inlineStr">
        <is>
          <t>Ferretería MC</t>
        </is>
      </c>
      <c r="AF1799" s="4" t="inlineStr">
        <is>
          <t>tipo: reduccion-bushing · material: PVC presión · medida: 2" x 3/4"</t>
        </is>
      </c>
    </row>
    <row r="1800">
      <c r="A1800" s="3" t="inlineStr">
        <is>
          <t>MAT-32-442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3/4" x 1/2"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4.96</v>
      </c>
      <c r="L1800" s="6" t="n">
        <v>4.96</v>
      </c>
      <c r="M1800" s="6" t="n">
        <v>4.96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2026-09-09</t>
        </is>
      </c>
      <c r="Q1800" s="4" t="inlineStr">
        <is>
          <t>Ferretería MC</t>
        </is>
      </c>
      <c r="AF1800" s="4" t="inlineStr">
        <is>
          <t>tipo: reduccion-bushing · material: PVC presión · medida: 3/4" x 1/2"</t>
        </is>
      </c>
    </row>
    <row r="1801">
      <c r="A1801" s="3" t="inlineStr">
        <is>
          <t>MAT-32-443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3" x 1 1/2"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205.82</v>
      </c>
      <c r="L1801" s="6" t="n">
        <v>61.64</v>
      </c>
      <c r="M1801" s="6" t="n">
        <v>350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F1801" s="4" t="inlineStr">
        <is>
          <t>tipo: reduccion-bushing · material: PVC presión · medida: 3" x 1 1/2"</t>
        </is>
      </c>
    </row>
    <row r="1802">
      <c r="A1802" s="3" t="inlineStr">
        <is>
          <t>MAT-32-444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presión 3" x 1"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350</v>
      </c>
      <c r="L1802" s="6" t="n">
        <v>350</v>
      </c>
      <c r="M1802" s="6" t="n">
        <v>350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F1802" s="4" t="inlineStr">
        <is>
          <t>tipo: reduccion-bushing · material: PVC presión · medida: 3" x 1"</t>
        </is>
      </c>
    </row>
    <row r="1803">
      <c r="A1803" s="3" t="inlineStr">
        <is>
          <t>MAT-32-445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presión 4" x 2"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195</v>
      </c>
      <c r="L1803" s="6" t="n">
        <v>195</v>
      </c>
      <c r="M1803" s="6" t="n">
        <v>195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F1803" s="4" t="inlineStr">
        <is>
          <t>tipo: reduccion-bushing · material: PVC presión · medida: 4" x 2"</t>
        </is>
      </c>
    </row>
    <row r="1804">
      <c r="A1804" s="3" t="inlineStr">
        <is>
          <t>MAT-32-446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presión 6" x 4"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435.5</v>
      </c>
      <c r="L1804" s="6" t="n">
        <v>136</v>
      </c>
      <c r="M1804" s="6" t="n">
        <v>735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F1804" s="4" t="inlineStr">
        <is>
          <t>tipo: reduccion-bushing · material: PVC presión · medida: 6" x 4"</t>
        </is>
      </c>
    </row>
    <row r="1805">
      <c r="A1805" s="3" t="inlineStr">
        <is>
          <t>MAT-32-447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presión 8" x 6"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3880</v>
      </c>
      <c r="L1805" s="6" t="n">
        <v>3880</v>
      </c>
      <c r="M1805" s="6" t="n">
        <v>3880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2026-09-10</t>
        </is>
      </c>
      <c r="Q1805" s="4" t="inlineStr">
        <is>
          <t>Bellón</t>
        </is>
      </c>
      <c r="AF1805" s="4" t="inlineStr">
        <is>
          <t>tipo: reduccion-bushing · material: PVC presión · medida: 8" x 6"</t>
        </is>
      </c>
    </row>
    <row r="1806">
      <c r="A1806" s="3" t="inlineStr">
        <is>
          <t>MAT-32-448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cobre 1 3/8" x 5/8"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121</v>
      </c>
      <c r="L1806" s="6" t="n">
        <v>121</v>
      </c>
      <c r="M1806" s="6" t="n">
        <v>121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2026-09-10</t>
        </is>
      </c>
      <c r="Q1806" s="4" t="inlineStr">
        <is>
          <t>Bellón</t>
        </is>
      </c>
      <c r="AF1806" s="4" t="inlineStr">
        <is>
          <t>tipo: reduccion · material: cobre · medida: 1 3/8" x 5/8"</t>
        </is>
      </c>
    </row>
    <row r="1807">
      <c r="A1807" s="3" t="inlineStr">
        <is>
          <t>MAT-32-449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cobre 1 5/8" x 1 1/8"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1</v>
      </c>
      <c r="K1807" s="6" t="n">
        <v>159</v>
      </c>
      <c r="L1807" s="6" t="n">
        <v>159</v>
      </c>
      <c r="M1807" s="6" t="n">
        <v>159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2026-09-10</t>
        </is>
      </c>
      <c r="Q1807" s="4" t="inlineStr">
        <is>
          <t>Bellón</t>
        </is>
      </c>
      <c r="AF1807" s="4" t="inlineStr">
        <is>
          <t>tipo: reduccion · material: cobre · medida: 1 5/8" x 1 1/8"</t>
        </is>
      </c>
    </row>
    <row r="1808">
      <c r="A1808" s="3" t="inlineStr">
        <is>
          <t>MAT-32-450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cobre 7/8" x 5/8"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48.07</v>
      </c>
      <c r="L1808" s="6" t="n">
        <v>48.07</v>
      </c>
      <c r="M1808" s="6" t="n">
        <v>48.07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F1808" s="4" t="inlineStr">
        <is>
          <t>tipo: reduccion · material: cobre · medida: 7/8" x 5/8"</t>
        </is>
      </c>
    </row>
    <row r="1809">
      <c r="A1809" s="3" t="inlineStr">
        <is>
          <t>MAT-32-451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 1/2" x 1 1/4"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120</v>
      </c>
      <c r="L1809" s="6" t="n">
        <v>120</v>
      </c>
      <c r="M1809" s="6" t="n">
        <v>120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 · material: HG · medida: 1 1/2" x 1 1/4"</t>
        </is>
      </c>
    </row>
    <row r="1810">
      <c r="A1810" s="3" t="inlineStr">
        <is>
          <t>MAT-32-452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 1/2" x 1/2"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1</v>
      </c>
      <c r="K1810" s="6" t="n">
        <v>83</v>
      </c>
      <c r="L1810" s="6" t="n">
        <v>83</v>
      </c>
      <c r="M1810" s="6" t="n">
        <v>83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</t>
        </is>
      </c>
      <c r="AF1810" s="4" t="inlineStr">
        <is>
          <t>tipo: reduccion · material: HG · medida: 1 1/2" x 1/2"</t>
        </is>
      </c>
    </row>
    <row r="1811">
      <c r="A1811" s="3" t="inlineStr">
        <is>
          <t>MAT-32-453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 1/2" x 1"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2</v>
      </c>
      <c r="K1811" s="6" t="n">
        <v>175</v>
      </c>
      <c r="L1811" s="6" t="n">
        <v>113</v>
      </c>
      <c r="M1811" s="6" t="n">
        <v>237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 · Ferretería Cima</t>
        </is>
      </c>
      <c r="AF1811" s="4" t="inlineStr">
        <is>
          <t>tipo: reduccion · material: HG · medida: 1 1/2" x 1"</t>
        </is>
      </c>
    </row>
    <row r="1812">
      <c r="A1812" s="3" t="inlineStr">
        <is>
          <t>MAT-32-454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 1/4" x 1"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1</v>
      </c>
      <c r="K1812" s="6" t="n">
        <v>62</v>
      </c>
      <c r="L1812" s="6" t="n">
        <v>62</v>
      </c>
      <c r="M1812" s="6" t="n">
        <v>62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</t>
        </is>
      </c>
      <c r="AF1812" s="4" t="inlineStr">
        <is>
          <t>tipo: reduccion · material: HG · medida: 1 1/4" x 1"</t>
        </is>
      </c>
    </row>
    <row r="1813">
      <c r="A1813" s="3" t="inlineStr">
        <is>
          <t>MAT-32-455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1/2" x 1/4"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1</v>
      </c>
      <c r="K1813" s="6" t="n">
        <v>36.34</v>
      </c>
      <c r="L1813" s="6" t="n">
        <v>36.34</v>
      </c>
      <c r="M1813" s="6" t="n">
        <v>36.34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</t>
        </is>
      </c>
      <c r="AF1813" s="4" t="inlineStr">
        <is>
          <t>tipo: reduccion · material: HG · medida: 1/2" x 1/4"</t>
        </is>
      </c>
    </row>
    <row r="1814">
      <c r="A1814" s="3" t="inlineStr">
        <is>
          <t>MAT-32-456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1/2" x 3/8"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2</v>
      </c>
      <c r="K1814" s="6" t="n">
        <v>53.13</v>
      </c>
      <c r="L1814" s="6" t="n">
        <v>36.25</v>
      </c>
      <c r="M1814" s="6" t="n">
        <v>70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 · Ferretería Cima</t>
        </is>
      </c>
      <c r="AF1814" s="4" t="inlineStr">
        <is>
          <t>tipo: reduccion · material: HG · medida: 1/2" x 3/8"</t>
        </is>
      </c>
    </row>
    <row r="1815">
      <c r="A1815" s="3" t="inlineStr">
        <is>
          <t>MAT-32-457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1" x 1/2"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2</v>
      </c>
      <c r="K1815" s="6" t="n">
        <v>71</v>
      </c>
      <c r="L1815" s="6" t="n">
        <v>47</v>
      </c>
      <c r="M1815" s="6" t="n">
        <v>95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 · Ferretería Cima</t>
        </is>
      </c>
      <c r="AF1815" s="4" t="inlineStr">
        <is>
          <t>tipo: reduccion · material: HG · medida: 1" x 1/2"</t>
        </is>
      </c>
    </row>
    <row r="1816">
      <c r="A1816" s="3" t="inlineStr">
        <is>
          <t>MAT-32-458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1" x 3/4"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2</v>
      </c>
      <c r="K1816" s="6" t="n">
        <v>74.48</v>
      </c>
      <c r="L1816" s="6" t="n">
        <v>47.96</v>
      </c>
      <c r="M1816" s="6" t="n">
        <v>101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 · Ferretería Cima</t>
        </is>
      </c>
      <c r="AF1816" s="4" t="inlineStr">
        <is>
          <t>tipo: reduccion · material: HG · medida: 1" x 3/4"</t>
        </is>
      </c>
    </row>
    <row r="1817">
      <c r="A1817" s="3" t="inlineStr">
        <is>
          <t>MAT-32-459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2" x 1 1/2"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135</v>
      </c>
      <c r="L1817" s="6" t="n">
        <v>135</v>
      </c>
      <c r="M1817" s="6" t="n">
        <v>135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HG · medida: 2" x 1 1/2"</t>
        </is>
      </c>
    </row>
    <row r="1818">
      <c r="A1818" s="3" t="inlineStr">
        <is>
          <t>MAT-32-460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HG 2" x 1"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117</v>
      </c>
      <c r="L1818" s="6" t="n">
        <v>117</v>
      </c>
      <c r="M1818" s="6" t="n">
        <v>117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HG · medida: 2" x 1"</t>
        </is>
      </c>
    </row>
    <row r="1819">
      <c r="A1819" s="3" t="inlineStr">
        <is>
          <t>MAT-32-461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HG 3/4" x 1/2"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34</v>
      </c>
      <c r="L1819" s="6" t="n">
        <v>34</v>
      </c>
      <c r="M1819" s="6" t="n">
        <v>34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</t>
        </is>
      </c>
      <c r="AF1819" s="4" t="inlineStr">
        <is>
          <t>tipo: reduccion · material: HG · medida: 3/4" x 1/2"</t>
        </is>
      </c>
    </row>
    <row r="1820">
      <c r="A1820" s="3" t="inlineStr">
        <is>
          <t>MAT-32-462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HG 3/4" x 3/8"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1</v>
      </c>
      <c r="K1820" s="6" t="n">
        <v>26.32</v>
      </c>
      <c r="L1820" s="6" t="n">
        <v>26.32</v>
      </c>
      <c r="M1820" s="6" t="n">
        <v>26.32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</t>
        </is>
      </c>
      <c r="AF1820" s="4" t="inlineStr">
        <is>
          <t>tipo: reduccion · material: HG · medida: 3/4" x 3/8"</t>
        </is>
      </c>
    </row>
    <row r="1821">
      <c r="A1821" s="3" t="inlineStr">
        <is>
          <t>MAT-32-463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HG 3" x 2"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440</v>
      </c>
      <c r="L1821" s="6" t="n">
        <v>440</v>
      </c>
      <c r="M1821" s="6" t="n">
        <v>440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F1821" s="4" t="inlineStr">
        <is>
          <t>tipo: reduccion · material: HG · medida: 3" x 2"</t>
        </is>
      </c>
    </row>
    <row r="1822">
      <c r="A1822" s="3" t="inlineStr">
        <is>
          <t>MAT-32-464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1/2" x 1"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7.36</v>
      </c>
      <c r="L1822" s="6" t="n">
        <v>7.36</v>
      </c>
      <c r="M1822" s="6" t="n">
        <v>7.36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plástico · medida: 1 1/2" x 1"</t>
        </is>
      </c>
    </row>
    <row r="1823">
      <c r="A1823" s="3" t="inlineStr">
        <is>
          <t>MAT-32-465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1/2" x 7/8"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3.5</v>
      </c>
      <c r="L1823" s="6" t="n">
        <v>3.5</v>
      </c>
      <c r="M1823" s="6" t="n">
        <v>3.5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plástico · medida: 1 1/2" x 7/8"</t>
        </is>
      </c>
    </row>
    <row r="1824">
      <c r="A1824" s="3" t="inlineStr">
        <is>
          <t>MAT-32-466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plástico 1 1/4" x 1/2"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10.35</v>
      </c>
      <c r="L1824" s="6" t="n">
        <v>10.35</v>
      </c>
      <c r="M1824" s="6" t="n">
        <v>10.35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plástico · medida: 1 1/4" x 1/2"</t>
        </is>
      </c>
    </row>
    <row r="1825">
      <c r="A1825" s="3" t="inlineStr">
        <is>
          <t>MAT-32-467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plástico 1 1/4" x 3/4"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2.33</v>
      </c>
      <c r="L1825" s="6" t="n">
        <v>2.33</v>
      </c>
      <c r="M1825" s="6" t="n">
        <v>2.33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F1825" s="4" t="inlineStr">
        <is>
          <t>tipo: reduccion · material: plástico · medida: 1 1/4" x 3/4"</t>
        </is>
      </c>
    </row>
    <row r="1826">
      <c r="A1826" s="3" t="inlineStr">
        <is>
          <t>MAT-32-468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plástico 1 1/4" x 5/8"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2.44</v>
      </c>
      <c r="L1826" s="6" t="n">
        <v>2.44</v>
      </c>
      <c r="M1826" s="6" t="n">
        <v>2.44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2026-09-10</t>
        </is>
      </c>
      <c r="Q1826" s="4" t="inlineStr">
        <is>
          <t>Bellón</t>
        </is>
      </c>
      <c r="AF1826" s="4" t="inlineStr">
        <is>
          <t>tipo: reduccion · material: plástico · medida: 1 1/4" x 5/8"</t>
        </is>
      </c>
    </row>
    <row r="1827">
      <c r="A1827" s="3" t="inlineStr">
        <is>
          <t>MAT-32-469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plástico 1 1/4" x 7/8"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8.800000000000001</v>
      </c>
      <c r="L1827" s="6" t="n">
        <v>8.800000000000001</v>
      </c>
      <c r="M1827" s="6" t="n">
        <v>8.800000000000001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F1827" s="4" t="inlineStr">
        <is>
          <t>tipo: reduccion · material: plástico · medida: 1 1/4" x 7/8"</t>
        </is>
      </c>
    </row>
    <row r="1828">
      <c r="A1828" s="3" t="inlineStr">
        <is>
          <t>MAT-32-470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PPR 20 mm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6.84</v>
      </c>
      <c r="L1828" s="6" t="n">
        <v>5.59</v>
      </c>
      <c r="M1828" s="6" t="n">
        <v>8.08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F1828" s="4" t="inlineStr">
        <is>
          <t>tipo: reduccion · material: PPR · medida: 20 mm</t>
        </is>
      </c>
    </row>
    <row r="1829">
      <c r="A1829" s="3" t="inlineStr">
        <is>
          <t>MAT-32-471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PPR 25 mm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13.91</v>
      </c>
      <c r="L1829" s="6" t="n">
        <v>7.98</v>
      </c>
      <c r="M1829" s="6" t="n">
        <v>19.84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2026-09-10</t>
        </is>
      </c>
      <c r="Q1829" s="4" t="inlineStr">
        <is>
          <t>Bellón</t>
        </is>
      </c>
      <c r="AF1829" s="4" t="inlineStr">
        <is>
          <t>tipo: reduccion · material: PPR · medida: 25 mm</t>
        </is>
      </c>
    </row>
    <row r="1830">
      <c r="A1830" s="3" t="inlineStr">
        <is>
          <t>MAT-32-472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PPR 25 mm x 20 mm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53</v>
      </c>
      <c r="L1830" s="6" t="n">
        <v>53</v>
      </c>
      <c r="M1830" s="6" t="n">
        <v>53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2026-09-09</t>
        </is>
      </c>
      <c r="Q1830" s="4" t="inlineStr">
        <is>
          <t>Ferretería Cima</t>
        </is>
      </c>
      <c r="AF1830" s="4" t="inlineStr">
        <is>
          <t>tipo: reduccion · material: PPR · medida: 25 mm x 20 mm</t>
        </is>
      </c>
    </row>
    <row r="1831">
      <c r="A1831" s="3" t="inlineStr">
        <is>
          <t>MAT-32-473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PPR 32 mm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22.53</v>
      </c>
      <c r="L1831" s="6" t="n">
        <v>22.53</v>
      </c>
      <c r="M1831" s="6" t="n">
        <v>22.53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F1831" s="4" t="inlineStr">
        <is>
          <t>tipo: reduccion · material: PPR · medida: 32 mm</t>
        </is>
      </c>
    </row>
    <row r="1832">
      <c r="A1832" s="3" t="inlineStr">
        <is>
          <t>MAT-32-474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1 1/2" x 1"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15</v>
      </c>
      <c r="L1832" s="6" t="n">
        <v>15</v>
      </c>
      <c r="M1832" s="6" t="n">
        <v>15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2026-09-10</t>
        </is>
      </c>
      <c r="Q1832" s="4" t="inlineStr">
        <is>
          <t>Bellón</t>
        </is>
      </c>
      <c r="AF1832" s="4" t="inlineStr">
        <is>
          <t>tipo: reduccion · material: PVC drenaje · medida: 1 1/2" x 1"</t>
        </is>
      </c>
    </row>
    <row r="1833">
      <c r="A1833" s="3" t="inlineStr">
        <is>
          <t>MAT-32-475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2" x 1/2"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14.69</v>
      </c>
      <c r="L1833" s="6" t="n">
        <v>14.69</v>
      </c>
      <c r="M1833" s="6" t="n">
        <v>14.69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2026-09-10</t>
        </is>
      </c>
      <c r="Q1833" s="4" t="inlineStr">
        <is>
          <t>Bellón</t>
        </is>
      </c>
      <c r="AF1833" s="4" t="inlineStr">
        <is>
          <t>tipo: reduccion · material: PVC drenaje · medida: 2" x 1/2"</t>
        </is>
      </c>
    </row>
    <row r="1834">
      <c r="A1834" s="3" t="inlineStr">
        <is>
          <t>MAT-32-476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2" x 1"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14.96</v>
      </c>
      <c r="L1834" s="6" t="n">
        <v>14.96</v>
      </c>
      <c r="M1834" s="6" t="n">
        <v>14.96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2026-09-10</t>
        </is>
      </c>
      <c r="Q1834" s="4" t="inlineStr">
        <is>
          <t>Bellón</t>
        </is>
      </c>
      <c r="AF1834" s="4" t="inlineStr">
        <is>
          <t>tipo: reduccion · material: PVC drenaje · medida: 2" x 1"</t>
        </is>
      </c>
    </row>
    <row r="1835">
      <c r="A1835" s="3" t="inlineStr">
        <is>
          <t>MAT-32-477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drenaje 2" x 3/4"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14.52</v>
      </c>
      <c r="L1835" s="6" t="n">
        <v>14.52</v>
      </c>
      <c r="M1835" s="6" t="n">
        <v>14.52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2026-09-10</t>
        </is>
      </c>
      <c r="Q1835" s="4" t="inlineStr">
        <is>
          <t>Bellón</t>
        </is>
      </c>
      <c r="AF1835" s="4" t="inlineStr">
        <is>
          <t>tipo: reduccion · material: PVC drenaje · medida: 2" x 3/4"</t>
        </is>
      </c>
    </row>
    <row r="1836">
      <c r="A1836" s="3" t="inlineStr">
        <is>
          <t>MAT-32-478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drenaje 3" x 2"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31.93</v>
      </c>
      <c r="L1836" s="6" t="n">
        <v>28.6</v>
      </c>
      <c r="M1836" s="6" t="n">
        <v>35.26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2026-09-10</t>
        </is>
      </c>
      <c r="Q1836" s="4" t="inlineStr">
        <is>
          <t>Bellón</t>
        </is>
      </c>
      <c r="AF1836" s="4" t="inlineStr">
        <is>
          <t>tipo: reduccion · material: PVC drenaje · medida: 3" x 2"</t>
        </is>
      </c>
    </row>
    <row r="1837">
      <c r="A1837" s="3" t="inlineStr">
        <is>
          <t>MAT-32-479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drenaje 4" x 2"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66.90000000000001</v>
      </c>
      <c r="L1837" s="6" t="n">
        <v>57.06</v>
      </c>
      <c r="M1837" s="6" t="n">
        <v>76.73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2026-09-10</t>
        </is>
      </c>
      <c r="Q1837" s="4" t="inlineStr">
        <is>
          <t>Bellón</t>
        </is>
      </c>
      <c r="AF1837" s="4" t="inlineStr">
        <is>
          <t>tipo: reduccion · material: PVC drenaje · medida: 4" x 2"</t>
        </is>
      </c>
    </row>
    <row r="1838">
      <c r="A1838" s="3" t="inlineStr">
        <is>
          <t>MAT-32-480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drenaje 4" x 3"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59.26</v>
      </c>
      <c r="L1838" s="6" t="n">
        <v>52</v>
      </c>
      <c r="M1838" s="6" t="n">
        <v>66.51000000000001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2026-09-10</t>
        </is>
      </c>
      <c r="Q1838" s="4" t="inlineStr">
        <is>
          <t>Bellón</t>
        </is>
      </c>
      <c r="AF1838" s="4" t="inlineStr">
        <is>
          <t>tipo: reduccion · material: PVC drenaje · medida: 4" x 3"</t>
        </is>
      </c>
    </row>
    <row r="1839">
      <c r="A1839" s="3" t="inlineStr">
        <is>
          <t>MAT-32-481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 1/2" x 1/2"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63</v>
      </c>
      <c r="L1839" s="6" t="n">
        <v>63</v>
      </c>
      <c r="M1839" s="6" t="n">
        <v>63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2026-09-09</t>
        </is>
      </c>
      <c r="Q1839" s="4" t="inlineStr">
        <is>
          <t>Ferretería Cima</t>
        </is>
      </c>
      <c r="AF1839" s="4" t="inlineStr">
        <is>
          <t>tipo: reduccion · material: PVC · medida: 1 1/2" x 1/2"</t>
        </is>
      </c>
    </row>
    <row r="1840">
      <c r="A1840" s="3" t="inlineStr">
        <is>
          <t>MAT-32-482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1 1/2" x 1"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111</v>
      </c>
      <c r="L1840" s="6" t="n">
        <v>111</v>
      </c>
      <c r="M1840" s="6" t="n">
        <v>111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2026-09-09</t>
        </is>
      </c>
      <c r="Q1840" s="4" t="inlineStr">
        <is>
          <t>Ferretería Cima</t>
        </is>
      </c>
      <c r="AF1840" s="4" t="inlineStr">
        <is>
          <t>tipo: reduccion · material: PVC · medida: 1 1/2" x 1"</t>
        </is>
      </c>
    </row>
    <row r="1841">
      <c r="A1841" s="3" t="inlineStr">
        <is>
          <t>MAT-32-483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1 1/2" x 3/4"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1</v>
      </c>
      <c r="K1841" s="6" t="n">
        <v>85</v>
      </c>
      <c r="L1841" s="6" t="n">
        <v>85</v>
      </c>
      <c r="M1841" s="6" t="n">
        <v>85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2026-09-09</t>
        </is>
      </c>
      <c r="Q1841" s="4" t="inlineStr">
        <is>
          <t>Ferretería Cima</t>
        </is>
      </c>
      <c r="AF1841" s="4" t="inlineStr">
        <is>
          <t>tipo: reduccion · material: PVC · medida: 1 1/2" x 3/4"</t>
        </is>
      </c>
    </row>
    <row r="1842">
      <c r="A1842" s="3" t="inlineStr">
        <is>
          <t>MAT-32-484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12" x 8"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13614</v>
      </c>
      <c r="L1842" s="6" t="n">
        <v>13614</v>
      </c>
      <c r="M1842" s="6" t="n">
        <v>13614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reduccion · material: PVC · medida: 12" x 8"</t>
        </is>
      </c>
    </row>
    <row r="1843">
      <c r="A1843" s="3" t="inlineStr">
        <is>
          <t>MAT-32-485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16" x 12"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9256.889999999999</v>
      </c>
      <c r="L1843" s="6" t="n">
        <v>9256.889999999999</v>
      </c>
      <c r="M1843" s="6" t="n">
        <v>9256.889999999999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2026-09-10</t>
        </is>
      </c>
      <c r="Q1843" s="4" t="inlineStr">
        <is>
          <t>Bellón</t>
        </is>
      </c>
      <c r="AF1843" s="4" t="inlineStr">
        <is>
          <t>tipo: reduccion · material: PVC · medida: 16" x 12"</t>
        </is>
      </c>
    </row>
    <row r="1844">
      <c r="A1844" s="3" t="inlineStr">
        <is>
          <t>MAT-32-486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2" x 1 1/2"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1</v>
      </c>
      <c r="K1844" s="6" t="n">
        <v>234</v>
      </c>
      <c r="L1844" s="6" t="n">
        <v>234</v>
      </c>
      <c r="M1844" s="6" t="n">
        <v>234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2026-09-09</t>
        </is>
      </c>
      <c r="Q1844" s="4" t="inlineStr">
        <is>
          <t>Ferretería Cima</t>
        </is>
      </c>
      <c r="AF1844" s="4" t="inlineStr">
        <is>
          <t>tipo: reduccion · material: PVC · medida: 2" x 1 1/2"</t>
        </is>
      </c>
    </row>
    <row r="1845">
      <c r="A1845" s="3" t="inlineStr">
        <is>
          <t>MAT-32-487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3/4" x 1/2"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2</v>
      </c>
      <c r="K1845" s="6" t="n">
        <v>21.47</v>
      </c>
      <c r="L1845" s="6" t="n">
        <v>5.77</v>
      </c>
      <c r="M1845" s="6" t="n">
        <v>46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 · Ferretería Cima</t>
        </is>
      </c>
      <c r="AF1845" s="4" t="inlineStr">
        <is>
          <t>tipo: reduccion · material: PVC · medida: 3/4" x 1/2"</t>
        </is>
      </c>
    </row>
    <row r="1846">
      <c r="A1846" s="3" t="inlineStr">
        <is>
          <t>MAT-32-488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4" x 2"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1</v>
      </c>
      <c r="K1846" s="6" t="n">
        <v>348</v>
      </c>
      <c r="L1846" s="6" t="n">
        <v>348</v>
      </c>
      <c r="M1846" s="6" t="n">
        <v>348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</t>
        </is>
      </c>
      <c r="AF1846" s="4" t="inlineStr">
        <is>
          <t>tipo: reduccion · material: PVC · medida: 4" x 2"</t>
        </is>
      </c>
    </row>
    <row r="1847">
      <c r="A1847" s="3" t="inlineStr">
        <is>
          <t>MAT-32-489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4" x 3"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376</v>
      </c>
      <c r="L1847" s="6" t="n">
        <v>122</v>
      </c>
      <c r="M1847" s="6" t="n">
        <v>630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F1847" s="4" t="inlineStr">
        <is>
          <t>tipo: reduccion · material: PVC · medida: 4" x 3"</t>
        </is>
      </c>
    </row>
    <row r="1848">
      <c r="A1848" s="3" t="inlineStr">
        <is>
          <t>MAT-32-490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1 1/2"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25.53</v>
      </c>
      <c r="L1848" s="6" t="n">
        <v>25.53</v>
      </c>
      <c r="M1848" s="6" t="n">
        <v>25.53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F1848" s="4" t="inlineStr">
        <is>
          <t>tipo: reduccion · material: PVC presión · medida: 1 1/2"</t>
        </is>
      </c>
    </row>
    <row r="1849">
      <c r="A1849" s="3" t="inlineStr">
        <is>
          <t>MAT-32-491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1 1/2" x 1/2"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1</v>
      </c>
      <c r="K1849" s="6" t="n">
        <v>26.39</v>
      </c>
      <c r="L1849" s="6" t="n">
        <v>26.39</v>
      </c>
      <c r="M1849" s="6" t="n">
        <v>26.39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</t>
        </is>
      </c>
      <c r="AF1849" s="4" t="inlineStr">
        <is>
          <t>tipo: reduccion · material: PVC presión · medida: 1 1/2" x 1/2"</t>
        </is>
      </c>
    </row>
    <row r="1850">
      <c r="A1850" s="3" t="inlineStr">
        <is>
          <t>MAT-32-492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1" x 1/2"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1</v>
      </c>
      <c r="K1850" s="6" t="n">
        <v>9.130000000000001</v>
      </c>
      <c r="L1850" s="6" t="n">
        <v>7.7</v>
      </c>
      <c r="M1850" s="6" t="n">
        <v>10.56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</t>
        </is>
      </c>
      <c r="AF1850" s="4" t="inlineStr">
        <is>
          <t>tipo: reduccion · material: PVC presión · medida: 1" x 1/2"</t>
        </is>
      </c>
    </row>
    <row r="1851">
      <c r="A1851" s="3" t="inlineStr">
        <is>
          <t>MAT-32-493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1" x 3/4"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7.19</v>
      </c>
      <c r="L1851" s="6" t="n">
        <v>6.11</v>
      </c>
      <c r="M1851" s="6" t="n">
        <v>8.27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reduccion · material: PVC presión · medida: 1" x 3/4"</t>
        </is>
      </c>
    </row>
    <row r="1852">
      <c r="A1852" s="3" t="inlineStr">
        <is>
          <t>MAT-32-494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2" x 1 1/2"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22.64</v>
      </c>
      <c r="L1852" s="6" t="n">
        <v>22.64</v>
      </c>
      <c r="M1852" s="6" t="n">
        <v>22.64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reduccion · material: PVC presión · medida: 2" x 1 1/2"</t>
        </is>
      </c>
    </row>
    <row r="1853">
      <c r="A1853" s="3" t="inlineStr">
        <is>
          <t>MAT-32-495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2" x 1/2"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36.92</v>
      </c>
      <c r="L1853" s="6" t="n">
        <v>20</v>
      </c>
      <c r="M1853" s="6" t="n">
        <v>53.85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reduccion · material: PVC presión · medida: 2" x 1/2"</t>
        </is>
      </c>
    </row>
    <row r="1854">
      <c r="A1854" s="3" t="inlineStr">
        <is>
          <t>MAT-32-496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2" x 1"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53.85</v>
      </c>
      <c r="L1854" s="6" t="n">
        <v>53.85</v>
      </c>
      <c r="M1854" s="6" t="n">
        <v>53.85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reduccion · material: PVC presión · medida: 2" x 1"</t>
        </is>
      </c>
    </row>
    <row r="1855">
      <c r="A1855" s="3" t="inlineStr">
        <is>
          <t>MAT-32-497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presión 2" x 3/4"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53.61</v>
      </c>
      <c r="L1855" s="6" t="n">
        <v>53.61</v>
      </c>
      <c r="M1855" s="6" t="n">
        <v>53.61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2026-09-10</t>
        </is>
      </c>
      <c r="Q1855" s="4" t="inlineStr">
        <is>
          <t>Bellón</t>
        </is>
      </c>
      <c r="AF1855" s="4" t="inlineStr">
        <is>
          <t>tipo: reduccion · material: PVC presión · medida: 2" x 3/4"</t>
        </is>
      </c>
    </row>
    <row r="1856">
      <c r="A1856" s="3" t="inlineStr">
        <is>
          <t>MAT-32-498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presión 3/4" x 1/2"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1</v>
      </c>
      <c r="K1856" s="6" t="n">
        <v>3.09</v>
      </c>
      <c r="L1856" s="6" t="n">
        <v>2.28</v>
      </c>
      <c r="M1856" s="6" t="n">
        <v>3.9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</t>
        </is>
      </c>
      <c r="AF1856" s="4" t="inlineStr">
        <is>
          <t>tipo: reduccion · material: PVC presión · medida: 3/4" x 1/2"</t>
        </is>
      </c>
    </row>
    <row r="1857">
      <c r="A1857" s="3" t="inlineStr">
        <is>
          <t>MAT-32-499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presión 3" x 2"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1</v>
      </c>
      <c r="K1857" s="6" t="n">
        <v>104.52</v>
      </c>
      <c r="L1857" s="6" t="n">
        <v>104.52</v>
      </c>
      <c r="M1857" s="6" t="n">
        <v>104.52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2026-09-10</t>
        </is>
      </c>
      <c r="Q1857" s="4" t="inlineStr">
        <is>
          <t>Bellón</t>
        </is>
      </c>
      <c r="AF1857" s="4" t="inlineStr">
        <is>
          <t>tipo: reduccion · material: PVC presión · medida: 3" x 2"</t>
        </is>
      </c>
    </row>
    <row r="1858">
      <c r="A1858" s="3" t="inlineStr">
        <is>
          <t>MAT-32-500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PVC presión 4" x 3"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1</v>
      </c>
      <c r="K1858" s="6" t="n">
        <v>158.69</v>
      </c>
      <c r="L1858" s="6" t="n">
        <v>72.37</v>
      </c>
      <c r="M1858" s="6" t="n">
        <v>245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2026-09-10</t>
        </is>
      </c>
      <c r="Q1858" s="4" t="inlineStr">
        <is>
          <t>Bellón</t>
        </is>
      </c>
      <c r="AF1858" s="4" t="inlineStr">
        <is>
          <t>tipo: reduccion · material: PVC presión · medida: 4" x 3"</t>
        </is>
      </c>
    </row>
    <row r="1859">
      <c r="A1859" s="3" t="inlineStr">
        <is>
          <t>MAT-32-501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bronce 1/4"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1</v>
      </c>
      <c r="K1859" s="6" t="n">
        <v>101</v>
      </c>
      <c r="L1859" s="6" t="n">
        <v>101</v>
      </c>
      <c r="M1859" s="6" t="n">
        <v>101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2026-09-09</t>
        </is>
      </c>
      <c r="Q1859" s="4" t="inlineStr">
        <is>
          <t>Ferretería Cima</t>
        </is>
      </c>
      <c r="AF1859" s="4" t="inlineStr">
        <is>
          <t>tipo: tapon-hembra · material: bronce · medida: 1/4"</t>
        </is>
      </c>
    </row>
    <row r="1860">
      <c r="A1860" s="3" t="inlineStr">
        <is>
          <t>MAT-32-502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bronce 3/4"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1</v>
      </c>
      <c r="K1860" s="6" t="n">
        <v>100</v>
      </c>
      <c r="L1860" s="6" t="n">
        <v>100</v>
      </c>
      <c r="M1860" s="6" t="n">
        <v>100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2026-09-10</t>
        </is>
      </c>
      <c r="Q1860" s="4" t="inlineStr">
        <is>
          <t>Bellón</t>
        </is>
      </c>
      <c r="AF1860" s="4" t="inlineStr">
        <is>
          <t>tipo: tapon-hembra · material: bronce · medida: 3/4"</t>
        </is>
      </c>
    </row>
    <row r="1861">
      <c r="A1861" s="3" t="inlineStr">
        <is>
          <t>MAT-32-503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bronce 3/8"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170</v>
      </c>
      <c r="L1861" s="6" t="n">
        <v>170</v>
      </c>
      <c r="M1861" s="6" t="n">
        <v>170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2026-09-09</t>
        </is>
      </c>
      <c r="Q1861" s="4" t="inlineStr">
        <is>
          <t>Ferretería Cima</t>
        </is>
      </c>
      <c r="AF1861" s="4" t="inlineStr">
        <is>
          <t>tipo: tapon-hembra · material: bronce · medida: 3/8"</t>
        </is>
      </c>
    </row>
    <row r="1862">
      <c r="A1862" s="3" t="inlineStr">
        <is>
          <t>MAT-32-504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CPVC 1/2"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5.78</v>
      </c>
      <c r="L1862" s="6" t="n">
        <v>5.78</v>
      </c>
      <c r="M1862" s="6" t="n">
        <v>5.78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2026-09-10</t>
        </is>
      </c>
      <c r="Q1862" s="4" t="inlineStr">
        <is>
          <t>Bellón</t>
        </is>
      </c>
      <c r="AF1862" s="4" t="inlineStr">
        <is>
          <t>tipo: tapon-hembra · material: CPVC · medida: 1/2"</t>
        </is>
      </c>
    </row>
    <row r="1863">
      <c r="A1863" s="3" t="inlineStr">
        <is>
          <t>MAT-32-505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CPVC 1"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1</v>
      </c>
      <c r="K1863" s="6" t="n">
        <v>21</v>
      </c>
      <c r="L1863" s="6" t="n">
        <v>21</v>
      </c>
      <c r="M1863" s="6" t="n">
        <v>21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2026-09-10</t>
        </is>
      </c>
      <c r="Q1863" s="4" t="inlineStr">
        <is>
          <t>Bellón</t>
        </is>
      </c>
      <c r="AF1863" s="4" t="inlineStr">
        <is>
          <t>tipo: tapon-hembra · material: CPVC · medida: 1"</t>
        </is>
      </c>
    </row>
    <row r="1864">
      <c r="A1864" s="3" t="inlineStr">
        <is>
          <t>MAT-32-506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CPVC 3/4"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1</v>
      </c>
      <c r="K1864" s="6" t="n">
        <v>8.720000000000001</v>
      </c>
      <c r="L1864" s="6" t="n">
        <v>8.720000000000001</v>
      </c>
      <c r="M1864" s="6" t="n">
        <v>8.720000000000001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2026-09-10</t>
        </is>
      </c>
      <c r="Q1864" s="4" t="inlineStr">
        <is>
          <t>Bellón</t>
        </is>
      </c>
      <c r="AF1864" s="4" t="inlineStr">
        <is>
          <t>tipo: tapon-hembra · material: CPVC · medida: 3/4"</t>
        </is>
      </c>
    </row>
    <row r="1865">
      <c r="A1865" s="3" t="inlineStr">
        <is>
          <t>MAT-32-507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1 1/2"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1</v>
      </c>
      <c r="K1865" s="6" t="n">
        <v>270</v>
      </c>
      <c r="L1865" s="6" t="n">
        <v>270</v>
      </c>
      <c r="M1865" s="6" t="n">
        <v>270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2026-09-09</t>
        </is>
      </c>
      <c r="Q1865" s="4" t="inlineStr">
        <is>
          <t>Ferretería Cima</t>
        </is>
      </c>
      <c r="AF1865" s="4" t="inlineStr">
        <is>
          <t>tipo: tapon-hembra · material: HG · medida: 1 1/2"</t>
        </is>
      </c>
    </row>
    <row r="1866">
      <c r="A1866" s="3" t="inlineStr">
        <is>
          <t>MAT-32-508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HG 1/2"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20</v>
      </c>
      <c r="L1866" s="6" t="n">
        <v>20</v>
      </c>
      <c r="M1866" s="6" t="n">
        <v>20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2026-09-09</t>
        </is>
      </c>
      <c r="Q1866" s="4" t="inlineStr">
        <is>
          <t>Ferretería Cima</t>
        </is>
      </c>
      <c r="AF1866" s="4" t="inlineStr">
        <is>
          <t>tipo: tapon-hembra · material: HG · medida: 1/2"</t>
        </is>
      </c>
    </row>
    <row r="1867">
      <c r="A1867" s="3" t="inlineStr">
        <is>
          <t>MAT-32-509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HG 1/4"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35</v>
      </c>
      <c r="L1867" s="6" t="n">
        <v>35</v>
      </c>
      <c r="M1867" s="6" t="n">
        <v>35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2026-09-09</t>
        </is>
      </c>
      <c r="Q1867" s="4" t="inlineStr">
        <is>
          <t>Ferretería Cima</t>
        </is>
      </c>
      <c r="AF1867" s="4" t="inlineStr">
        <is>
          <t>tipo: tapon-hembra · material: HG · medida: 1/4"</t>
        </is>
      </c>
    </row>
    <row r="1868">
      <c r="A1868" s="3" t="inlineStr">
        <is>
          <t>MAT-32-510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HG 1"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44</v>
      </c>
      <c r="L1868" s="6" t="n">
        <v>44</v>
      </c>
      <c r="M1868" s="6" t="n">
        <v>44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2026-09-09</t>
        </is>
      </c>
      <c r="Q1868" s="4" t="inlineStr">
        <is>
          <t>Ferretería Cima</t>
        </is>
      </c>
      <c r="AF1868" s="4" t="inlineStr">
        <is>
          <t>tipo: tapon-hembra · material: HG · medida: 1"</t>
        </is>
      </c>
    </row>
    <row r="1869">
      <c r="A1869" s="3" t="inlineStr">
        <is>
          <t>MAT-32-511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HG 2"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189</v>
      </c>
      <c r="L1869" s="6" t="n">
        <v>189</v>
      </c>
      <c r="M1869" s="6" t="n">
        <v>189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2026-09-09</t>
        </is>
      </c>
      <c r="Q1869" s="4" t="inlineStr">
        <is>
          <t>Ferretería Cima</t>
        </is>
      </c>
      <c r="AF1869" s="4" t="inlineStr">
        <is>
          <t>tipo: tapon-hembra · material: HG · medida: 2"</t>
        </is>
      </c>
    </row>
    <row r="1870">
      <c r="A1870" s="3" t="inlineStr">
        <is>
          <t>MAT-32-513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PPR 25 mm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1</v>
      </c>
      <c r="K1870" s="6" t="n">
        <v>4.16</v>
      </c>
      <c r="L1870" s="6" t="n">
        <v>4.16</v>
      </c>
      <c r="M1870" s="6" t="n">
        <v>4.16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</t>
        </is>
      </c>
      <c r="AF1870" s="4" t="inlineStr">
        <is>
          <t>tipo: tapon-hembra · material: PPR · medida: 25 mm</t>
        </is>
      </c>
    </row>
    <row r="1871">
      <c r="A1871" s="3" t="inlineStr">
        <is>
          <t>MAT-32-514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PPR 32 mm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7.47</v>
      </c>
      <c r="L1871" s="6" t="n">
        <v>7.47</v>
      </c>
      <c r="M1871" s="6" t="n">
        <v>7.47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</t>
        </is>
      </c>
      <c r="AF1871" s="4" t="inlineStr">
        <is>
          <t>tipo: tapon-hembra · material: PPR · medida: 32 mm</t>
        </is>
      </c>
    </row>
    <row r="1872">
      <c r="A1872" s="3" t="inlineStr">
        <is>
          <t>MAT-32-515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drenaje 2"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45.68</v>
      </c>
      <c r="L1872" s="6" t="n">
        <v>45.68</v>
      </c>
      <c r="M1872" s="6" t="n">
        <v>45.68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</t>
        </is>
      </c>
      <c r="AF1872" s="4" t="inlineStr">
        <is>
          <t>tipo: tapon-hembra · material: PVC drenaje · medida: 2"</t>
        </is>
      </c>
    </row>
    <row r="1873">
      <c r="A1873" s="3" t="inlineStr">
        <is>
          <t>MAT-32-516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drenaje 3"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71</v>
      </c>
      <c r="L1873" s="6" t="n">
        <v>71</v>
      </c>
      <c r="M1873" s="6" t="n">
        <v>71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F1873" s="4" t="inlineStr">
        <is>
          <t>tipo: tapon-hembra · material: PVC drenaje · medida: 3"</t>
        </is>
      </c>
    </row>
    <row r="1874">
      <c r="A1874" s="3" t="inlineStr">
        <is>
          <t>MAT-32-517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drenaje 4"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1</v>
      </c>
      <c r="K1874" s="6" t="n">
        <v>112</v>
      </c>
      <c r="L1874" s="6" t="n">
        <v>112</v>
      </c>
      <c r="M1874" s="6" t="n">
        <v>112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</t>
        </is>
      </c>
      <c r="AF1874" s="4" t="inlineStr">
        <is>
          <t>tipo: tapon-hembra · material: PVC drenaje · medida: 4"</t>
        </is>
      </c>
    </row>
    <row r="1875">
      <c r="A1875" s="3" t="inlineStr">
        <is>
          <t>MAT-32-518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1/2"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1</v>
      </c>
      <c r="K1875" s="6" t="n">
        <v>4.22</v>
      </c>
      <c r="L1875" s="6" t="n">
        <v>4.22</v>
      </c>
      <c r="M1875" s="6" t="n">
        <v>4.22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</t>
        </is>
      </c>
      <c r="AF1875" s="4" t="inlineStr">
        <is>
          <t>tipo: tapon-hembra · material: PVC · medida: 1/2"</t>
        </is>
      </c>
    </row>
    <row r="1876">
      <c r="A1876" s="3" t="inlineStr">
        <is>
          <t>MAT-32-519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12"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1</v>
      </c>
      <c r="K1876" s="6" t="n">
        <v>8495</v>
      </c>
      <c r="L1876" s="6" t="n">
        <v>8495</v>
      </c>
      <c r="M1876" s="6" t="n">
        <v>8495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</t>
        </is>
      </c>
      <c r="AF1876" s="4" t="inlineStr">
        <is>
          <t>tipo: tapon-hembra · material: PVC · medida: 12"</t>
        </is>
      </c>
    </row>
    <row r="1877">
      <c r="A1877" s="3" t="inlineStr">
        <is>
          <t>MAT-32-520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8"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1</v>
      </c>
      <c r="K1877" s="6" t="n">
        <v>840</v>
      </c>
      <c r="L1877" s="6" t="n">
        <v>840</v>
      </c>
      <c r="M1877" s="6" t="n">
        <v>840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</t>
        </is>
      </c>
      <c r="AF1877" s="4" t="inlineStr">
        <is>
          <t>tipo: tapon-hembra · material: PVC · medida: 8"</t>
        </is>
      </c>
    </row>
    <row r="1878">
      <c r="A1878" s="3" t="inlineStr">
        <is>
          <t>MAT-32-521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1 1/2"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2</v>
      </c>
      <c r="K1878" s="6" t="n">
        <v>16.56</v>
      </c>
      <c r="L1878" s="6" t="n">
        <v>11.93</v>
      </c>
      <c r="M1878" s="6" t="n">
        <v>50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 · Ferretería Cima</t>
        </is>
      </c>
      <c r="AF1878" s="4" t="inlineStr">
        <is>
          <t>tipo: tapon-hembra · material: PVC presión · medida: 1 1/2"</t>
        </is>
      </c>
    </row>
    <row r="1879">
      <c r="A1879" s="3" t="inlineStr">
        <is>
          <t>MAT-32-522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1/2"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2</v>
      </c>
      <c r="K1879" s="6" t="n">
        <v>10.85</v>
      </c>
      <c r="L1879" s="6" t="n">
        <v>2.21</v>
      </c>
      <c r="M1879" s="6" t="n">
        <v>31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 · Ferretería Cima</t>
        </is>
      </c>
      <c r="AF1879" s="4" t="inlineStr">
        <is>
          <t>tipo: tapon-hembra · material: PVC presión · medida: 1/2"</t>
        </is>
      </c>
    </row>
    <row r="1880">
      <c r="A1880" s="3" t="inlineStr">
        <is>
          <t>MAT-32-523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1"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2</v>
      </c>
      <c r="K1880" s="6" t="n">
        <v>21.98</v>
      </c>
      <c r="L1880" s="6" t="n">
        <v>5.41</v>
      </c>
      <c r="M1880" s="6" t="n">
        <v>48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 · Ferretería Cima</t>
        </is>
      </c>
      <c r="AF1880" s="4" t="inlineStr">
        <is>
          <t>tipo: tapon-hembra · material: PVC presión · medida: 1"</t>
        </is>
      </c>
    </row>
    <row r="1881">
      <c r="A1881" s="3" t="inlineStr">
        <is>
          <t>MAT-32-524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2"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1</v>
      </c>
      <c r="K1881" s="6" t="n">
        <v>22.44</v>
      </c>
      <c r="L1881" s="6" t="n">
        <v>17.57</v>
      </c>
      <c r="M1881" s="6" t="n">
        <v>27.3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</t>
        </is>
      </c>
      <c r="AF1881" s="4" t="inlineStr">
        <is>
          <t>tipo: tapon-hembra · material: PVC presión · medida: 2"</t>
        </is>
      </c>
    </row>
    <row r="1882">
      <c r="A1882" s="3" t="inlineStr">
        <is>
          <t>MAT-32-525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PVC presión 3/4"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2</v>
      </c>
      <c r="K1882" s="6" t="n">
        <v>5.17</v>
      </c>
      <c r="L1882" s="6" t="n">
        <v>3.6</v>
      </c>
      <c r="M1882" s="6" t="n">
        <v>20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 · Ferretería Cima</t>
        </is>
      </c>
      <c r="AF1882" s="4" t="inlineStr">
        <is>
          <t>tipo: tapon-hembra · material: PVC presión · medida: 3/4"</t>
        </is>
      </c>
    </row>
    <row r="1883">
      <c r="A1883" s="3" t="inlineStr">
        <is>
          <t>MAT-32-526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PVC presión 3"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2</v>
      </c>
      <c r="K1883" s="6" t="n">
        <v>74.88</v>
      </c>
      <c r="L1883" s="6" t="n">
        <v>50</v>
      </c>
      <c r="M1883" s="6" t="n">
        <v>205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 · Ferretería Cima</t>
        </is>
      </c>
      <c r="AF1883" s="4" t="inlineStr">
        <is>
          <t>tipo: tapon-hembra · material: PVC presión · medida: 3"</t>
        </is>
      </c>
    </row>
    <row r="1884">
      <c r="A1884" s="3" t="inlineStr">
        <is>
          <t>MAT-32-527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PVC presión 4"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102.64</v>
      </c>
      <c r="L1884" s="6" t="n">
        <v>81.05</v>
      </c>
      <c r="M1884" s="6" t="n">
        <v>124.23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F1884" s="4" t="inlineStr">
        <is>
          <t>tipo: tapon-hembra · material: PVC presión · medida: 4"</t>
        </is>
      </c>
    </row>
    <row r="1885">
      <c r="A1885" s="3" t="inlineStr">
        <is>
          <t>MAT-32-528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hembra de PVC presión 6"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379.5</v>
      </c>
      <c r="L1885" s="6" t="n">
        <v>309</v>
      </c>
      <c r="M1885" s="6" t="n">
        <v>450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</t>
        </is>
      </c>
      <c r="AF1885" s="4" t="inlineStr">
        <is>
          <t>tipo: tapon-hembra · material: PVC presión · medida: 6"</t>
        </is>
      </c>
    </row>
    <row r="1886">
      <c r="A1886" s="3" t="inlineStr">
        <is>
          <t>MAT-32-529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bronce 1/2"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1</v>
      </c>
      <c r="K1886" s="6" t="n">
        <v>80</v>
      </c>
      <c r="L1886" s="6" t="n">
        <v>80</v>
      </c>
      <c r="M1886" s="6" t="n">
        <v>80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2026-09-10</t>
        </is>
      </c>
      <c r="Q1886" s="4" t="inlineStr">
        <is>
          <t>Bellón</t>
        </is>
      </c>
      <c r="AF1886" s="4" t="inlineStr">
        <is>
          <t>tipo: tapon-macho · material: bronce · medida: 1/2"</t>
        </is>
      </c>
    </row>
    <row r="1887">
      <c r="A1887" s="3" t="inlineStr">
        <is>
          <t>MAT-32-530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bronce 1/4"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1</v>
      </c>
      <c r="K1887" s="6" t="n">
        <v>29.29</v>
      </c>
      <c r="L1887" s="6" t="n">
        <v>21.58</v>
      </c>
      <c r="M1887" s="6" t="n">
        <v>37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2026-09-10</t>
        </is>
      </c>
      <c r="Q1887" s="4" t="inlineStr">
        <is>
          <t>Bellón</t>
        </is>
      </c>
      <c r="AF1887" s="4" t="inlineStr">
        <is>
          <t>tipo: tapon-macho · material: bronce · medida: 1/4"</t>
        </is>
      </c>
    </row>
    <row r="1888">
      <c r="A1888" s="3" t="inlineStr">
        <is>
          <t>MAT-32-531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bronce 1/8"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1</v>
      </c>
      <c r="K1888" s="6" t="n">
        <v>40.2</v>
      </c>
      <c r="L1888" s="6" t="n">
        <v>40.2</v>
      </c>
      <c r="M1888" s="6" t="n">
        <v>40.2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2026-09-10</t>
        </is>
      </c>
      <c r="Q1888" s="4" t="inlineStr">
        <is>
          <t>Bellón</t>
        </is>
      </c>
      <c r="AF1888" s="4" t="inlineStr">
        <is>
          <t>tipo: tapon-macho · material: bronce · medida: 1/8"</t>
        </is>
      </c>
    </row>
    <row r="1889">
      <c r="A1889" s="3" t="inlineStr">
        <is>
          <t>MAT-32-532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bronce 3/4"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1</v>
      </c>
      <c r="K1889" s="6" t="n">
        <v>140</v>
      </c>
      <c r="L1889" s="6" t="n">
        <v>140</v>
      </c>
      <c r="M1889" s="6" t="n">
        <v>140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</t>
        </is>
      </c>
      <c r="AF1889" s="4" t="inlineStr">
        <is>
          <t>tipo: tapon-macho · material: bronce · medida: 3/4"</t>
        </is>
      </c>
    </row>
    <row r="1890">
      <c r="A1890" s="3" t="inlineStr">
        <is>
          <t>MAT-32-533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 1/2"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2</v>
      </c>
      <c r="K1890" s="6" t="n">
        <v>79</v>
      </c>
      <c r="L1890" s="6" t="n">
        <v>58</v>
      </c>
      <c r="M1890" s="6" t="n">
        <v>100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 · Ferretería Cima</t>
        </is>
      </c>
      <c r="AF1890" s="4" t="inlineStr">
        <is>
          <t>tipo: tapon-macho · material: HG · medida: 1 1/2"</t>
        </is>
      </c>
    </row>
    <row r="1891">
      <c r="A1891" s="3" t="inlineStr">
        <is>
          <t>MAT-32-534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1 1/4"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2</v>
      </c>
      <c r="K1891" s="6" t="n">
        <v>91.27</v>
      </c>
      <c r="L1891" s="6" t="n">
        <v>41.54</v>
      </c>
      <c r="M1891" s="6" t="n">
        <v>141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 · Ferretería Cima</t>
        </is>
      </c>
      <c r="AF1891" s="4" t="inlineStr">
        <is>
          <t>tipo: tapon-macho · material: HG · medida: 1 1/4"</t>
        </is>
      </c>
    </row>
    <row r="1892">
      <c r="A1892" s="3" t="inlineStr">
        <is>
          <t>MAT-32-535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1/2"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2</v>
      </c>
      <c r="K1892" s="6" t="n">
        <v>18.5</v>
      </c>
      <c r="L1892" s="6" t="n">
        <v>15</v>
      </c>
      <c r="M1892" s="6" t="n">
        <v>22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 · Ferretería Cima</t>
        </is>
      </c>
      <c r="AF1892" s="4" t="inlineStr">
        <is>
          <t>tipo: tapon-macho · material: HG · medida: 1/2"</t>
        </is>
      </c>
    </row>
    <row r="1893">
      <c r="A1893" s="3" t="inlineStr">
        <is>
          <t>MAT-32-536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1/4"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2</v>
      </c>
      <c r="K1893" s="6" t="n">
        <v>21.09</v>
      </c>
      <c r="L1893" s="6" t="n">
        <v>19.18</v>
      </c>
      <c r="M1893" s="6" t="n">
        <v>23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 · Ferretería Cima</t>
        </is>
      </c>
      <c r="AF1893" s="4" t="inlineStr">
        <is>
          <t>tipo: tapon-macho · material: HG · medida: 1/4"</t>
        </is>
      </c>
    </row>
    <row r="1894">
      <c r="A1894" s="3" t="inlineStr">
        <is>
          <t>MAT-32-537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1"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2</v>
      </c>
      <c r="K1894" s="6" t="n">
        <v>68.06</v>
      </c>
      <c r="L1894" s="6" t="n">
        <v>35.11</v>
      </c>
      <c r="M1894" s="6" t="n">
        <v>101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 · Ferretería Cima</t>
        </is>
      </c>
      <c r="AF1894" s="4" t="inlineStr">
        <is>
          <t>tipo: tapon-macho · material: HG · medida: 1"</t>
        </is>
      </c>
    </row>
    <row r="1895">
      <c r="A1895" s="3" t="inlineStr">
        <is>
          <t>MAT-32-538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HG 2"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1</v>
      </c>
      <c r="K1895" s="6" t="n">
        <v>105</v>
      </c>
      <c r="L1895" s="6" t="n">
        <v>105</v>
      </c>
      <c r="M1895" s="6" t="n">
        <v>105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</t>
        </is>
      </c>
      <c r="AF1895" s="4" t="inlineStr">
        <is>
          <t>tipo: tapon-macho · material: HG · medida: 2"</t>
        </is>
      </c>
    </row>
    <row r="1896">
      <c r="A1896" s="3" t="inlineStr">
        <is>
          <t>MAT-32-539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HG 3/4"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2</v>
      </c>
      <c r="K1896" s="6" t="n">
        <v>29.44</v>
      </c>
      <c r="L1896" s="6" t="n">
        <v>25.87</v>
      </c>
      <c r="M1896" s="6" t="n">
        <v>33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 · Ferretería Cima</t>
        </is>
      </c>
      <c r="AF1896" s="4" t="inlineStr">
        <is>
          <t>tipo: tapon-macho · material: HG · medida: 3/4"</t>
        </is>
      </c>
    </row>
    <row r="1897">
      <c r="A1897" s="3" t="inlineStr">
        <is>
          <t>MAT-32-540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HG 3/8"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2</v>
      </c>
      <c r="K1897" s="6" t="n">
        <v>21.55</v>
      </c>
      <c r="L1897" s="6" t="n">
        <v>21.1</v>
      </c>
      <c r="M1897" s="6" t="n">
        <v>22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 · Ferretería Cima</t>
        </is>
      </c>
      <c r="AF1897" s="4" t="inlineStr">
        <is>
          <t>tipo: tapon-macho · material: HG · medida: 3/8"</t>
        </is>
      </c>
    </row>
    <row r="1898">
      <c r="A1898" s="3" t="inlineStr">
        <is>
          <t>MAT-32-541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HG 3"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2</v>
      </c>
      <c r="K1898" s="6" t="n">
        <v>213</v>
      </c>
      <c r="L1898" s="6" t="n">
        <v>206</v>
      </c>
      <c r="M1898" s="6" t="n">
        <v>220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 · Ferretería Cima</t>
        </is>
      </c>
      <c r="AF1898" s="4" t="inlineStr">
        <is>
          <t>tipo: tapon-macho · material: HG · medida: 3"</t>
        </is>
      </c>
    </row>
    <row r="1899">
      <c r="A1899" s="3" t="inlineStr">
        <is>
          <t>MAT-32-542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PPR 20 mm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1</v>
      </c>
      <c r="K1899" s="6" t="n">
        <v>4.66</v>
      </c>
      <c r="L1899" s="6" t="n">
        <v>4.66</v>
      </c>
      <c r="M1899" s="6" t="n">
        <v>4.66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</t>
        </is>
      </c>
      <c r="AF1899" s="4" t="inlineStr">
        <is>
          <t>tipo: tapon-macho · material: PPR · medida: 20 mm</t>
        </is>
      </c>
    </row>
    <row r="1900">
      <c r="A1900" s="3" t="inlineStr">
        <is>
          <t>MAT-32-543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PPR 25 mm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8.23</v>
      </c>
      <c r="L1900" s="6" t="n">
        <v>8.23</v>
      </c>
      <c r="M1900" s="6" t="n">
        <v>8.23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F1900" s="4" t="inlineStr">
        <is>
          <t>tipo: tapon-macho · material: PPR · medida: 25 mm</t>
        </is>
      </c>
    </row>
    <row r="1901">
      <c r="A1901" s="3" t="inlineStr">
        <is>
          <t>MAT-32-544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PPR 32 mm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1</v>
      </c>
      <c r="K1901" s="6" t="n">
        <v>10.98</v>
      </c>
      <c r="L1901" s="6" t="n">
        <v>10.98</v>
      </c>
      <c r="M1901" s="6" t="n">
        <v>10.98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</t>
        </is>
      </c>
      <c r="AF1901" s="4" t="inlineStr">
        <is>
          <t>tipo: tapon-macho · material: PPR · medida: 32 mm</t>
        </is>
      </c>
    </row>
    <row r="1902">
      <c r="A1902" s="3" t="inlineStr">
        <is>
          <t>MAT-32-545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macho de PVC 1 1/2"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1</v>
      </c>
      <c r="K1902" s="6" t="n">
        <v>30.65</v>
      </c>
      <c r="L1902" s="6" t="n">
        <v>30.65</v>
      </c>
      <c r="M1902" s="6" t="n">
        <v>30.65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</t>
        </is>
      </c>
      <c r="AF1902" s="4" t="inlineStr">
        <is>
          <t>tipo: tapon-macho · material: PVC · medida: 1 1/2"</t>
        </is>
      </c>
    </row>
    <row r="1903">
      <c r="A1903" s="3" t="inlineStr">
        <is>
          <t>MAT-32-546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macho de PVC 1"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2</v>
      </c>
      <c r="K1903" s="6" t="n">
        <v>35.11</v>
      </c>
      <c r="L1903" s="6" t="n">
        <v>5.61</v>
      </c>
      <c r="M1903" s="6" t="n">
        <v>62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 · Ferretería Cima</t>
        </is>
      </c>
      <c r="AF1903" s="4" t="inlineStr">
        <is>
          <t>tipo: tapon-macho · material: PVC · medida: 1"</t>
        </is>
      </c>
    </row>
    <row r="1904">
      <c r="A1904" s="3" t="inlineStr">
        <is>
          <t>MAT-32-547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macho de PVC 2"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31</v>
      </c>
      <c r="L1904" s="6" t="n">
        <v>31</v>
      </c>
      <c r="M1904" s="6" t="n">
        <v>31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tapon-macho · material: PVC · medida: 2"</t>
        </is>
      </c>
    </row>
    <row r="1905">
      <c r="A1905" s="3" t="inlineStr">
        <is>
          <t>MAT-32-548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macho de PVC 3/4"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7.04</v>
      </c>
      <c r="L1905" s="6" t="n">
        <v>3.57</v>
      </c>
      <c r="M1905" s="6" t="n">
        <v>10.5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tapon-macho · material: PVC · medida: 3/4"</t>
        </is>
      </c>
    </row>
    <row r="1906">
      <c r="A1906" s="3" t="inlineStr">
        <is>
          <t>MAT-32-549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1 1/2"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71</v>
      </c>
      <c r="L1906" s="6" t="n">
        <v>71</v>
      </c>
      <c r="M1906" s="6" t="n">
        <v>71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F1906" s="4" t="inlineStr">
        <is>
          <t>tipo: tapon · material: HG · medida: 1 1/2"</t>
        </is>
      </c>
    </row>
    <row r="1907">
      <c r="A1907" s="3" t="inlineStr">
        <is>
          <t>MAT-32-550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1/2"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47.69</v>
      </c>
      <c r="L1907" s="6" t="n">
        <v>47.69</v>
      </c>
      <c r="M1907" s="6" t="n">
        <v>47.69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</t>
        </is>
      </c>
      <c r="AF1907" s="4" t="inlineStr">
        <is>
          <t>tipo: tapon · material: HG · medida: 1/2"</t>
        </is>
      </c>
    </row>
    <row r="1908">
      <c r="A1908" s="3" t="inlineStr">
        <is>
          <t>MAT-32-551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1"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35.13</v>
      </c>
      <c r="L1908" s="6" t="n">
        <v>35.13</v>
      </c>
      <c r="M1908" s="6" t="n">
        <v>35.13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F1908" s="4" t="inlineStr">
        <is>
          <t>tipo: tapon · material: HG · medida: 1"</t>
        </is>
      </c>
    </row>
    <row r="1909">
      <c r="A1909" s="3" t="inlineStr">
        <is>
          <t>MAT-32-552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2"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88</v>
      </c>
      <c r="L1909" s="6" t="n">
        <v>88</v>
      </c>
      <c r="M1909" s="6" t="n">
        <v>88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tapon · material: HG · medida: 2"</t>
        </is>
      </c>
    </row>
    <row r="1910">
      <c r="A1910" s="3" t="inlineStr">
        <is>
          <t>MAT-32-553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HG 3/4"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25.2</v>
      </c>
      <c r="L1910" s="6" t="n">
        <v>25.2</v>
      </c>
      <c r="M1910" s="6" t="n">
        <v>25.2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tapon · material: HG · medida: 3/4"</t>
        </is>
      </c>
    </row>
    <row r="1911">
      <c r="A1911" s="3" t="inlineStr">
        <is>
          <t>MAT-32-554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HG 3/8"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28.78</v>
      </c>
      <c r="L1911" s="6" t="n">
        <v>28.78</v>
      </c>
      <c r="M1911" s="6" t="n">
        <v>28.78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F1911" s="4" t="inlineStr">
        <is>
          <t>tipo: tapon · material: HG · medida: 3/8"</t>
        </is>
      </c>
    </row>
    <row r="1912">
      <c r="A1912" s="3" t="inlineStr">
        <is>
          <t>MAT-32-555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HG 3"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281</v>
      </c>
      <c r="L1912" s="6" t="n">
        <v>281</v>
      </c>
      <c r="M1912" s="6" t="n">
        <v>281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F1912" s="4" t="inlineStr">
        <is>
          <t>tipo: tapon · material: HG · medida: 3"</t>
        </is>
      </c>
    </row>
    <row r="1913">
      <c r="A1913" s="3" t="inlineStr">
        <is>
          <t>MAT-32-556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HG 4"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454</v>
      </c>
      <c r="L1913" s="6" t="n">
        <v>454</v>
      </c>
      <c r="M1913" s="6" t="n">
        <v>454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</t>
        </is>
      </c>
      <c r="AF1913" s="4" t="inlineStr">
        <is>
          <t>tipo: tapon · material: HG · medida: 4"</t>
        </is>
      </c>
    </row>
    <row r="1914">
      <c r="A1914" s="3" t="inlineStr">
        <is>
          <t>MAT-32-557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1 1/2"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1</v>
      </c>
      <c r="K1914" s="6" t="n">
        <v>9.25</v>
      </c>
      <c r="L1914" s="6" t="n">
        <v>8.5</v>
      </c>
      <c r="M1914" s="6" t="n">
        <v>10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</t>
        </is>
      </c>
      <c r="AF1914" s="4" t="inlineStr">
        <is>
          <t>tipo: tapon · material: plástico · medida: 1 1/2"</t>
        </is>
      </c>
    </row>
    <row r="1915">
      <c r="A1915" s="3" t="inlineStr">
        <is>
          <t>MAT-32-558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plástico 16"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1</v>
      </c>
      <c r="K1915" s="6" t="n">
        <v>211</v>
      </c>
      <c r="L1915" s="6" t="n">
        <v>211</v>
      </c>
      <c r="M1915" s="6" t="n">
        <v>211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2026-09-10</t>
        </is>
      </c>
      <c r="Q1915" s="4" t="inlineStr">
        <is>
          <t>Bellón</t>
        </is>
      </c>
      <c r="AF1915" s="4" t="inlineStr">
        <is>
          <t>tipo: tapon · material: plástico · medida: 16"</t>
        </is>
      </c>
    </row>
    <row r="1916">
      <c r="A1916" s="3" t="inlineStr">
        <is>
          <t>MAT-32-559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plástico 1"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5.27</v>
      </c>
      <c r="L1916" s="6" t="n">
        <v>3.9</v>
      </c>
      <c r="M1916" s="6" t="n">
        <v>6.63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2026-09-10</t>
        </is>
      </c>
      <c r="Q1916" s="4" t="inlineStr">
        <is>
          <t>Bellón</t>
        </is>
      </c>
      <c r="AF1916" s="4" t="inlineStr">
        <is>
          <t>tipo: tapon · material: plástico · medida: 1"</t>
        </is>
      </c>
    </row>
    <row r="1917">
      <c r="A1917" s="3" t="inlineStr">
        <is>
          <t>MAT-32-560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plástico 2"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5.25</v>
      </c>
      <c r="L1917" s="6" t="n">
        <v>5.25</v>
      </c>
      <c r="M1917" s="6" t="n">
        <v>5.25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2026-09-10</t>
        </is>
      </c>
      <c r="Q1917" s="4" t="inlineStr">
        <is>
          <t>Bellón</t>
        </is>
      </c>
      <c r="AF1917" s="4" t="inlineStr">
        <is>
          <t>tipo: tapon · material: plástico · medida: 2"</t>
        </is>
      </c>
    </row>
    <row r="1918">
      <c r="A1918" s="3" t="inlineStr">
        <is>
          <t>MAT-32-561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plástico 3/4"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1</v>
      </c>
      <c r="K1918" s="6" t="n">
        <v>4.48</v>
      </c>
      <c r="L1918" s="6" t="n">
        <v>4.48</v>
      </c>
      <c r="M1918" s="6" t="n">
        <v>4.48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2026-09-10</t>
        </is>
      </c>
      <c r="Q1918" s="4" t="inlineStr">
        <is>
          <t>Bellón</t>
        </is>
      </c>
      <c r="AF1918" s="4" t="inlineStr">
        <is>
          <t>tipo: tapon · material: plástico · medida: 3/4"</t>
        </is>
      </c>
    </row>
    <row r="1919">
      <c r="A1919" s="3" t="inlineStr">
        <is>
          <t>MAT-32-562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1 1/2"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1</v>
      </c>
      <c r="K1919" s="6" t="n">
        <v>101</v>
      </c>
      <c r="L1919" s="6" t="n">
        <v>101</v>
      </c>
      <c r="M1919" s="6" t="n">
        <v>101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2026-09-09</t>
        </is>
      </c>
      <c r="Q1919" s="4" t="inlineStr">
        <is>
          <t>Ferretería Cima</t>
        </is>
      </c>
      <c r="AF1919" s="4" t="inlineStr">
        <is>
          <t>tipo: tapon · material: PVC · medida: 1 1/2"</t>
        </is>
      </c>
    </row>
    <row r="1920">
      <c r="A1920" s="3" t="inlineStr">
        <is>
          <t>MAT-32-563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2"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1</v>
      </c>
      <c r="K1920" s="6" t="n">
        <v>135</v>
      </c>
      <c r="L1920" s="6" t="n">
        <v>135</v>
      </c>
      <c r="M1920" s="6" t="n">
        <v>135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2026-09-09</t>
        </is>
      </c>
      <c r="Q1920" s="4" t="inlineStr">
        <is>
          <t>Ferretería Cima</t>
        </is>
      </c>
      <c r="AF1920" s="4" t="inlineStr">
        <is>
          <t>tipo: tapon · material: PVC · medida: 2"</t>
        </is>
      </c>
    </row>
    <row r="1921">
      <c r="A1921" s="3" t="inlineStr">
        <is>
          <t>MAT-32-564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3"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263</v>
      </c>
      <c r="L1921" s="6" t="n">
        <v>263</v>
      </c>
      <c r="M1921" s="6" t="n">
        <v>263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2026-09-09</t>
        </is>
      </c>
      <c r="Q1921" s="4" t="inlineStr">
        <is>
          <t>Ferretería Cima</t>
        </is>
      </c>
      <c r="AF1921" s="4" t="inlineStr">
        <is>
          <t>tipo: tapon · material: PVC · medida: 3"</t>
        </is>
      </c>
    </row>
    <row r="1922">
      <c r="A1922" s="3" t="inlineStr">
        <is>
          <t>MAT-32-565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4"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372</v>
      </c>
      <c r="L1922" s="6" t="n">
        <v>372</v>
      </c>
      <c r="M1922" s="6" t="n">
        <v>372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2026-09-09</t>
        </is>
      </c>
      <c r="Q1922" s="4" t="inlineStr">
        <is>
          <t>Ferretería Cima</t>
        </is>
      </c>
      <c r="AF1922" s="4" t="inlineStr">
        <is>
          <t>tipo: tapon · material: PVC · medida: 4"</t>
        </is>
      </c>
    </row>
    <row r="1923">
      <c r="A1923" s="3" t="inlineStr">
        <is>
          <t>MAT-32-566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6"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374.5</v>
      </c>
      <c r="L1923" s="6" t="n">
        <v>279</v>
      </c>
      <c r="M1923" s="6" t="n">
        <v>470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F1923" s="4" t="inlineStr">
        <is>
          <t>tipo: tapon · material: PVC · medida: 6"</t>
        </is>
      </c>
    </row>
    <row r="1924">
      <c r="A1924" s="3" t="inlineStr">
        <is>
          <t>MAT-32-567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de PVC presión 1 1/2"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1</v>
      </c>
      <c r="K1924" s="6" t="n">
        <v>24.74</v>
      </c>
      <c r="L1924" s="6" t="n">
        <v>24.74</v>
      </c>
      <c r="M1924" s="6" t="n">
        <v>24.74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</t>
        </is>
      </c>
      <c r="AF1924" s="4" t="inlineStr">
        <is>
          <t>tipo: tapon · material: PVC presión · medida: 1 1/2"</t>
        </is>
      </c>
    </row>
    <row r="1925">
      <c r="A1925" s="3" t="inlineStr">
        <is>
          <t>MAT-32-568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de PVC presión 2"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1</v>
      </c>
      <c r="K1925" s="6" t="n">
        <v>34.88</v>
      </c>
      <c r="L1925" s="6" t="n">
        <v>28.27</v>
      </c>
      <c r="M1925" s="6" t="n">
        <v>41.49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</t>
        </is>
      </c>
      <c r="AF1925" s="4" t="inlineStr">
        <is>
          <t>tipo: tapon · material: PVC presión · medida: 2"</t>
        </is>
      </c>
    </row>
    <row r="1926">
      <c r="A1926" s="3" t="inlineStr">
        <is>
          <t>MAT-32-569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de PVC presión 3"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1</v>
      </c>
      <c r="K1926" s="6" t="n">
        <v>100.24</v>
      </c>
      <c r="L1926" s="6" t="n">
        <v>100.24</v>
      </c>
      <c r="M1926" s="6" t="n">
        <v>100.24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</t>
        </is>
      </c>
      <c r="AF1926" s="4" t="inlineStr">
        <is>
          <t>tipo: tapon · material: PVC presión · medida: 3"</t>
        </is>
      </c>
    </row>
    <row r="1927">
      <c r="A1927" s="3" t="inlineStr">
        <is>
          <t>MAT-32-570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de PVC presión 4"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159</v>
      </c>
      <c r="L1927" s="6" t="n">
        <v>159</v>
      </c>
      <c r="M1927" s="6" t="n">
        <v>159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</t>
        </is>
      </c>
      <c r="AF1927" s="4" t="inlineStr">
        <is>
          <t>tipo: tapon · material: PVC presión · medida: 4"</t>
        </is>
      </c>
    </row>
    <row r="1928">
      <c r="A1928" s="3" t="inlineStr">
        <is>
          <t>MAT-32-571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1/2"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150</v>
      </c>
      <c r="L1928" s="6" t="n">
        <v>150</v>
      </c>
      <c r="M1928" s="6" t="n">
        <v>150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F1928" s="4" t="inlineStr">
        <is>
          <t>tipo: tee · material: bronce · medida: 1/2"</t>
        </is>
      </c>
    </row>
    <row r="1929">
      <c r="A1929" s="3" t="inlineStr">
        <is>
          <t>MAT-32-572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1/4"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1</v>
      </c>
      <c r="K1929" s="6" t="n">
        <v>85.5</v>
      </c>
      <c r="L1929" s="6" t="n">
        <v>52</v>
      </c>
      <c r="M1929" s="6" t="n">
        <v>119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</t>
        </is>
      </c>
      <c r="AF1929" s="4" t="inlineStr">
        <is>
          <t>tipo: tee · material: bronce · medida: 1/4"</t>
        </is>
      </c>
    </row>
    <row r="1930">
      <c r="A1930" s="3" t="inlineStr">
        <is>
          <t>MAT-32-573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12"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1</v>
      </c>
      <c r="K1930" s="6" t="n">
        <v>686</v>
      </c>
      <c r="L1930" s="6" t="n">
        <v>686</v>
      </c>
      <c r="M1930" s="6" t="n">
        <v>686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</t>
        </is>
      </c>
      <c r="AF1930" s="4" t="inlineStr">
        <is>
          <t>tipo: tee · material: bronce · medida: 12"</t>
        </is>
      </c>
    </row>
    <row r="1931">
      <c r="A1931" s="3" t="inlineStr">
        <is>
          <t>MAT-32-574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15"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1</v>
      </c>
      <c r="K1931" s="6" t="n">
        <v>605</v>
      </c>
      <c r="L1931" s="6" t="n">
        <v>473</v>
      </c>
      <c r="M1931" s="6" t="n">
        <v>628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</t>
        </is>
      </c>
      <c r="AF1931" s="4" t="inlineStr">
        <is>
          <t>tipo: tee · material: bronce · medida: 15"</t>
        </is>
      </c>
    </row>
    <row r="1932">
      <c r="A1932" s="3" t="inlineStr">
        <is>
          <t>MAT-32-575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bronce 18"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1</v>
      </c>
      <c r="K1932" s="6" t="n">
        <v>702</v>
      </c>
      <c r="L1932" s="6" t="n">
        <v>207</v>
      </c>
      <c r="M1932" s="6" t="n">
        <v>770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</t>
        </is>
      </c>
      <c r="AF1932" s="4" t="inlineStr">
        <is>
          <t>tipo: tee · material: bronce · medida: 18"</t>
        </is>
      </c>
    </row>
    <row r="1933">
      <c r="A1933" s="3" t="inlineStr">
        <is>
          <t>MAT-32-576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bronce 25"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1</v>
      </c>
      <c r="K1933" s="6" t="n">
        <v>1255</v>
      </c>
      <c r="L1933" s="6" t="n">
        <v>1255</v>
      </c>
      <c r="M1933" s="6" t="n">
        <v>1255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</t>
        </is>
      </c>
      <c r="AF1933" s="4" t="inlineStr">
        <is>
          <t>tipo: tee · material: bronce · medida: 25"</t>
        </is>
      </c>
    </row>
    <row r="1934">
      <c r="A1934" s="3" t="inlineStr">
        <is>
          <t>MAT-32-577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bronce 3/8"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2</v>
      </c>
      <c r="K1934" s="6" t="n">
        <v>179</v>
      </c>
      <c r="L1934" s="6" t="n">
        <v>78</v>
      </c>
      <c r="M1934" s="6" t="n">
        <v>186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 · Ferretería Cima</t>
        </is>
      </c>
      <c r="AF1934" s="4" t="inlineStr">
        <is>
          <t>tipo: tee · material: bronce · medida: 3/8"</t>
        </is>
      </c>
    </row>
    <row r="1935">
      <c r="A1935" s="3" t="inlineStr">
        <is>
          <t>MAT-32-578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bronce 32"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2108</v>
      </c>
      <c r="L1935" s="6" t="n">
        <v>2108</v>
      </c>
      <c r="M1935" s="6" t="n">
        <v>2108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bronce · medida: 32"</t>
        </is>
      </c>
    </row>
    <row r="1936">
      <c r="A1936" s="3" t="inlineStr">
        <is>
          <t>MAT-32-579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1 1/8"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143</v>
      </c>
      <c r="L1936" s="6" t="n">
        <v>143</v>
      </c>
      <c r="M1936" s="6" t="n">
        <v>143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2026-09-10</t>
        </is>
      </c>
      <c r="Q1936" s="4" t="inlineStr">
        <is>
          <t>Bellón</t>
        </is>
      </c>
      <c r="AF1936" s="4" t="inlineStr">
        <is>
          <t>tipo: tee · material: cobre · medida: 1 1/8"</t>
        </is>
      </c>
    </row>
    <row r="1937">
      <c r="A1937" s="3" t="inlineStr">
        <is>
          <t>MAT-32-580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1/2"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66</v>
      </c>
      <c r="L1937" s="6" t="n">
        <v>66</v>
      </c>
      <c r="M1937" s="6" t="n">
        <v>66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cobre · medida: 1/2"</t>
        </is>
      </c>
    </row>
    <row r="1938">
      <c r="A1938" s="3" t="inlineStr">
        <is>
          <t>MAT-32-581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cobre 1 3/8"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293</v>
      </c>
      <c r="L1938" s="6" t="n">
        <v>293</v>
      </c>
      <c r="M1938" s="6" t="n">
        <v>293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cobre · medida: 1 3/8"</t>
        </is>
      </c>
    </row>
    <row r="1939">
      <c r="A1939" s="3" t="inlineStr">
        <is>
          <t>MAT-32-582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cobre 3/4"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1</v>
      </c>
      <c r="K1939" s="6" t="n">
        <v>237</v>
      </c>
      <c r="L1939" s="6" t="n">
        <v>237</v>
      </c>
      <c r="M1939" s="6" t="n">
        <v>237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2026-09-10</t>
        </is>
      </c>
      <c r="Q1939" s="4" t="inlineStr">
        <is>
          <t>Bellón</t>
        </is>
      </c>
      <c r="AF1939" s="4" t="inlineStr">
        <is>
          <t>tipo: tee · material: cobre · medida: 3/4"</t>
        </is>
      </c>
    </row>
    <row r="1940">
      <c r="A1940" s="3" t="inlineStr">
        <is>
          <t>MAT-32-583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cobre 3/8"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256</v>
      </c>
      <c r="L1940" s="6" t="n">
        <v>256</v>
      </c>
      <c r="M1940" s="6" t="n">
        <v>256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2026-09-09</t>
        </is>
      </c>
      <c r="Q1940" s="4" t="inlineStr">
        <is>
          <t>Ferretería Cima</t>
        </is>
      </c>
      <c r="AF1940" s="4" t="inlineStr">
        <is>
          <t>tipo: tee · material: cobre · medida: 3/8"</t>
        </is>
      </c>
    </row>
    <row r="1941">
      <c r="A1941" s="3" t="inlineStr">
        <is>
          <t>MAT-32-584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cobre 7/8"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1</v>
      </c>
      <c r="K1941" s="6" t="n">
        <v>257</v>
      </c>
      <c r="L1941" s="6" t="n">
        <v>257</v>
      </c>
      <c r="M1941" s="6" t="n">
        <v>257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</t>
        </is>
      </c>
      <c r="AF1941" s="4" t="inlineStr">
        <is>
          <t>tipo: tee · material: cobre · medida: 7/8"</t>
        </is>
      </c>
    </row>
    <row r="1942">
      <c r="A1942" s="3" t="inlineStr">
        <is>
          <t>MAT-32-585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CPVC 1/2"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10.34</v>
      </c>
      <c r="L1942" s="6" t="n">
        <v>10.34</v>
      </c>
      <c r="M1942" s="6" t="n">
        <v>10.34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F1942" s="4" t="inlineStr">
        <is>
          <t>tipo: tee · material: CPVC · medida: 1/2"</t>
        </is>
      </c>
    </row>
    <row r="1943">
      <c r="A1943" s="3" t="inlineStr">
        <is>
          <t>MAT-32-586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CPVC 1"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1</v>
      </c>
      <c r="K1943" s="6" t="n">
        <v>40.95</v>
      </c>
      <c r="L1943" s="6" t="n">
        <v>40.95</v>
      </c>
      <c r="M1943" s="6" t="n">
        <v>40.95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</t>
        </is>
      </c>
      <c r="AF1943" s="4" t="inlineStr">
        <is>
          <t>tipo: tee · material: CPVC · medida: 1"</t>
        </is>
      </c>
    </row>
    <row r="1944">
      <c r="A1944" s="3" t="inlineStr">
        <is>
          <t>MAT-32-587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CPVC 3/4"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1</v>
      </c>
      <c r="K1944" s="6" t="n">
        <v>27.04</v>
      </c>
      <c r="L1944" s="6" t="n">
        <v>27.04</v>
      </c>
      <c r="M1944" s="6" t="n">
        <v>27.04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</t>
        </is>
      </c>
      <c r="AF1944" s="4" t="inlineStr">
        <is>
          <t>tipo: tee · material: CPVC · medida: 3/4"</t>
        </is>
      </c>
    </row>
    <row r="1945">
      <c r="A1945" s="3" t="inlineStr">
        <is>
          <t>MAT-32-588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 1/2"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2</v>
      </c>
      <c r="K1945" s="6" t="n">
        <v>210</v>
      </c>
      <c r="L1945" s="6" t="n">
        <v>143</v>
      </c>
      <c r="M1945" s="6" t="n">
        <v>277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 · Ferretería Cima</t>
        </is>
      </c>
      <c r="AF1945" s="4" t="inlineStr">
        <is>
          <t>tipo: tee · material: HG · medida: 1 1/2"</t>
        </is>
      </c>
    </row>
    <row r="1946">
      <c r="A1946" s="3" t="inlineStr">
        <is>
          <t>MAT-32-589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1 1/4"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1</v>
      </c>
      <c r="K1946" s="6" t="n">
        <v>119</v>
      </c>
      <c r="L1946" s="6" t="n">
        <v>119</v>
      </c>
      <c r="M1946" s="6" t="n">
        <v>119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</t>
        </is>
      </c>
      <c r="AF1946" s="4" t="inlineStr">
        <is>
          <t>tipo: tee · material: HG · medida: 1 1/4"</t>
        </is>
      </c>
    </row>
    <row r="1947">
      <c r="A1947" s="3" t="inlineStr">
        <is>
          <t>MAT-32-590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1/2"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2</v>
      </c>
      <c r="K1947" s="6" t="n">
        <v>37</v>
      </c>
      <c r="L1947" s="6" t="n">
        <v>34</v>
      </c>
      <c r="M1947" s="6" t="n">
        <v>40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 · Ferretería Cima</t>
        </is>
      </c>
      <c r="AF1947" s="4" t="inlineStr">
        <is>
          <t>tipo: tee · material: HG · medida: 1/2"</t>
        </is>
      </c>
    </row>
    <row r="1948">
      <c r="A1948" s="3" t="inlineStr">
        <is>
          <t>MAT-32-591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1/4"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2</v>
      </c>
      <c r="K1948" s="6" t="n">
        <v>83.5</v>
      </c>
      <c r="L1948" s="6" t="n">
        <v>37</v>
      </c>
      <c r="M1948" s="6" t="n">
        <v>130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 · Ferretería Cima</t>
        </is>
      </c>
      <c r="AF1948" s="4" t="inlineStr">
        <is>
          <t>tipo: tee · material: HG · medida: 1/4"</t>
        </is>
      </c>
    </row>
    <row r="1949">
      <c r="A1949" s="3" t="inlineStr">
        <is>
          <t>MAT-32-592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1"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2</v>
      </c>
      <c r="K1949" s="6" t="n">
        <v>118.5</v>
      </c>
      <c r="L1949" s="6" t="n">
        <v>77</v>
      </c>
      <c r="M1949" s="6" t="n">
        <v>160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 · Ferretería Cima</t>
        </is>
      </c>
      <c r="AF1949" s="4" t="inlineStr">
        <is>
          <t>tipo: tee · material: HG · medida: 1"</t>
        </is>
      </c>
    </row>
    <row r="1950">
      <c r="A1950" s="3" t="inlineStr">
        <is>
          <t>MAT-32-593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2 1/2"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1</v>
      </c>
      <c r="K1950" s="6" t="n">
        <v>526</v>
      </c>
      <c r="L1950" s="6" t="n">
        <v>526</v>
      </c>
      <c r="M1950" s="6" t="n">
        <v>526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</t>
        </is>
      </c>
      <c r="AF1950" s="4" t="inlineStr">
        <is>
          <t>tipo: tee · material: HG · medida: 2 1/2"</t>
        </is>
      </c>
    </row>
    <row r="1951">
      <c r="A1951" s="3" t="inlineStr">
        <is>
          <t>MAT-32-594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2"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2</v>
      </c>
      <c r="K1951" s="6" t="n">
        <v>297.5</v>
      </c>
      <c r="L1951" s="6" t="n">
        <v>212</v>
      </c>
      <c r="M1951" s="6" t="n">
        <v>383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 · Ferretería Cima</t>
        </is>
      </c>
      <c r="AF1951" s="4" t="inlineStr">
        <is>
          <t>tipo: tee · material: HG · medida: 2"</t>
        </is>
      </c>
    </row>
    <row r="1952">
      <c r="A1952" s="3" t="inlineStr">
        <is>
          <t>MAT-32-595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HG 3/4"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2</v>
      </c>
      <c r="K1952" s="6" t="n">
        <v>72</v>
      </c>
      <c r="L1952" s="6" t="n">
        <v>49</v>
      </c>
      <c r="M1952" s="6" t="n">
        <v>95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2026-09-10</t>
        </is>
      </c>
      <c r="Q1952" s="4" t="inlineStr">
        <is>
          <t>Bellón · Ferretería Cima</t>
        </is>
      </c>
      <c r="AF1952" s="4" t="inlineStr">
        <is>
          <t>tipo: tee · material: HG · medida: 3/4"</t>
        </is>
      </c>
    </row>
    <row r="1953">
      <c r="A1953" s="3" t="inlineStr">
        <is>
          <t>MAT-32-596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HG 3/8"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2</v>
      </c>
      <c r="K1953" s="6" t="n">
        <v>50.11</v>
      </c>
      <c r="L1953" s="6" t="n">
        <v>42.23</v>
      </c>
      <c r="M1953" s="6" t="n">
        <v>58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2026-09-10</t>
        </is>
      </c>
      <c r="Q1953" s="4" t="inlineStr">
        <is>
          <t>Bellón · Ferretería Cima</t>
        </is>
      </c>
      <c r="AF1953" s="4" t="inlineStr">
        <is>
          <t>tipo: tee · material: HG · medida: 3/8"</t>
        </is>
      </c>
    </row>
    <row r="1954">
      <c r="A1954" s="3" t="inlineStr">
        <is>
          <t>MAT-32-597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HG 3"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1</v>
      </c>
      <c r="K1954" s="6" t="n">
        <v>603</v>
      </c>
      <c r="L1954" s="6" t="n">
        <v>603</v>
      </c>
      <c r="M1954" s="6" t="n">
        <v>603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2026-09-10</t>
        </is>
      </c>
      <c r="Q1954" s="4" t="inlineStr">
        <is>
          <t>Bellón</t>
        </is>
      </c>
      <c r="AF1954" s="4" t="inlineStr">
        <is>
          <t>tipo: tee · material: HG · medida: 3"</t>
        </is>
      </c>
    </row>
    <row r="1955">
      <c r="A1955" s="3" t="inlineStr">
        <is>
          <t>MAT-32-598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HG 4"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1</v>
      </c>
      <c r="K1955" s="6" t="n">
        <v>1187</v>
      </c>
      <c r="L1955" s="6" t="n">
        <v>1187</v>
      </c>
      <c r="M1955" s="6" t="n">
        <v>1187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2026-09-10</t>
        </is>
      </c>
      <c r="Q1955" s="4" t="inlineStr">
        <is>
          <t>Bellón</t>
        </is>
      </c>
      <c r="AF1955" s="4" t="inlineStr">
        <is>
          <t>tipo: tee · material: HG · medida: 4"</t>
        </is>
      </c>
    </row>
    <row r="1956">
      <c r="A1956" s="3" t="inlineStr">
        <is>
          <t>MAT-32-599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niquelado 1/2"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1</v>
      </c>
      <c r="K1956" s="6" t="n">
        <v>444</v>
      </c>
      <c r="L1956" s="6" t="n">
        <v>444</v>
      </c>
      <c r="M1956" s="6" t="n">
        <v>444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2026-09-09</t>
        </is>
      </c>
      <c r="Q1956" s="4" t="inlineStr">
        <is>
          <t>Ferretería Cima</t>
        </is>
      </c>
      <c r="AF1956" s="4" t="inlineStr">
        <is>
          <t>tipo: tee · material: niquelado · medida: 1/2"</t>
        </is>
      </c>
    </row>
    <row r="1957">
      <c r="A1957" s="3" t="inlineStr">
        <is>
          <t>MAT-32-600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plástico 63"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1</v>
      </c>
      <c r="K1957" s="6" t="n">
        <v>1020</v>
      </c>
      <c r="L1957" s="6" t="n">
        <v>1020</v>
      </c>
      <c r="M1957" s="6" t="n">
        <v>1020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2026-09-10</t>
        </is>
      </c>
      <c r="Q1957" s="4" t="inlineStr">
        <is>
          <t>Bellón</t>
        </is>
      </c>
      <c r="AF1957" s="4" t="inlineStr">
        <is>
          <t>tipo: tee · material: plástico · medida: 63"</t>
        </is>
      </c>
    </row>
    <row r="1958">
      <c r="A1958" s="3" t="inlineStr">
        <is>
          <t>MAT-32-601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PPR 20 mm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2</v>
      </c>
      <c r="K1958" s="6" t="n">
        <v>28.95</v>
      </c>
      <c r="L1958" s="6" t="n">
        <v>7.98</v>
      </c>
      <c r="M1958" s="6" t="n">
        <v>293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2026-09-10</t>
        </is>
      </c>
      <c r="Q1958" s="4" t="inlineStr">
        <is>
          <t>Bellón · Ferretería Cima</t>
        </is>
      </c>
      <c r="AF1958" s="4" t="inlineStr">
        <is>
          <t>tipo: tee · material: PPR · medida: 20 mm</t>
        </is>
      </c>
    </row>
    <row r="1959">
      <c r="A1959" s="3" t="inlineStr">
        <is>
          <t>MAT-32-602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PPR 25 mm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2</v>
      </c>
      <c r="K1959" s="6" t="n">
        <v>29.36</v>
      </c>
      <c r="L1959" s="6" t="n">
        <v>12.12</v>
      </c>
      <c r="M1959" s="6" t="n">
        <v>50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2026-09-10</t>
        </is>
      </c>
      <c r="Q1959" s="4" t="inlineStr">
        <is>
          <t>Bellón · Ferretería Cima</t>
        </is>
      </c>
      <c r="AF1959" s="4" t="inlineStr">
        <is>
          <t>tipo: tee · material: PPR · medida: 25 mm</t>
        </is>
      </c>
    </row>
    <row r="1960">
      <c r="A1960" s="3" t="inlineStr">
        <is>
          <t>MAT-32-603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PPR 32 mm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2</v>
      </c>
      <c r="K1960" s="6" t="n">
        <v>51.19</v>
      </c>
      <c r="L1960" s="6" t="n">
        <v>19.4</v>
      </c>
      <c r="M1960" s="6" t="n">
        <v>75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2026-09-10</t>
        </is>
      </c>
      <c r="Q1960" s="4" t="inlineStr">
        <is>
          <t>Bellón · Ferretería Cima</t>
        </is>
      </c>
      <c r="AF1960" s="4" t="inlineStr">
        <is>
          <t>tipo: tee · material: PPR · medida: 32 mm</t>
        </is>
      </c>
    </row>
    <row r="1961">
      <c r="A1961" s="3" t="inlineStr">
        <is>
          <t>MAT-32-604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PPR 50 mm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1</v>
      </c>
      <c r="K1961" s="6" t="n">
        <v>63.12</v>
      </c>
      <c r="L1961" s="6" t="n">
        <v>63.12</v>
      </c>
      <c r="M1961" s="6" t="n">
        <v>63.12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2026-09-10</t>
        </is>
      </c>
      <c r="Q1961" s="4" t="inlineStr">
        <is>
          <t>Bellón</t>
        </is>
      </c>
      <c r="AF1961" s="4" t="inlineStr">
        <is>
          <t>tipo: tee · material: PPR · medida: 50 mm</t>
        </is>
      </c>
    </row>
    <row r="1962">
      <c r="A1962" s="3" t="inlineStr">
        <is>
          <t>MAT-32-605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1 1/2"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2</v>
      </c>
      <c r="K1962" s="6" t="n">
        <v>31.55</v>
      </c>
      <c r="L1962" s="6" t="n">
        <v>22.5</v>
      </c>
      <c r="M1962" s="6" t="n">
        <v>86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2026-09-10</t>
        </is>
      </c>
      <c r="Q1962" s="4" t="inlineStr">
        <is>
          <t>Bellón · Ferretería Cima</t>
        </is>
      </c>
      <c r="AF1962" s="4" t="inlineStr">
        <is>
          <t>tipo: tee · material: PVC drenaje · medida: 1 1/2"</t>
        </is>
      </c>
    </row>
    <row r="1963">
      <c r="A1963" s="3" t="inlineStr">
        <is>
          <t>MAT-32-606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2"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2</v>
      </c>
      <c r="K1963" s="6" t="n">
        <v>47.64</v>
      </c>
      <c r="L1963" s="6" t="n">
        <v>33.78</v>
      </c>
      <c r="M1963" s="6" t="n">
        <v>135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 · Ferretería Cima</t>
        </is>
      </c>
      <c r="AF1963" s="4" t="inlineStr">
        <is>
          <t>tipo: tee · material: PVC drenaje · medida: 2"</t>
        </is>
      </c>
    </row>
    <row r="1964">
      <c r="A1964" s="3" t="inlineStr">
        <is>
          <t>MAT-32-607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3"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2</v>
      </c>
      <c r="K1964" s="6" t="n">
        <v>153.5</v>
      </c>
      <c r="L1964" s="6" t="n">
        <v>108</v>
      </c>
      <c r="M1964" s="6" t="n">
        <v>257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 · Ferretería Cima</t>
        </is>
      </c>
      <c r="AF1964" s="4" t="inlineStr">
        <is>
          <t>tipo: tee · material: PVC drenaje · medida: 3"</t>
        </is>
      </c>
    </row>
    <row r="1965">
      <c r="A1965" s="3" t="inlineStr">
        <is>
          <t>MAT-32-608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3" x 2"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1</v>
      </c>
      <c r="K1965" s="6" t="n">
        <v>84.17</v>
      </c>
      <c r="L1965" s="6" t="n">
        <v>84.17</v>
      </c>
      <c r="M1965" s="6" t="n">
        <v>84.17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</t>
        </is>
      </c>
      <c r="AF1965" s="4" t="inlineStr">
        <is>
          <t>tipo: tee · material: PVC drenaje · medida: 3" x 2"</t>
        </is>
      </c>
    </row>
    <row r="1966">
      <c r="A1966" s="3" t="inlineStr">
        <is>
          <t>MAT-32-609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drenaje 4"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2</v>
      </c>
      <c r="K1966" s="6" t="n">
        <v>227.32</v>
      </c>
      <c r="L1966" s="6" t="n">
        <v>139</v>
      </c>
      <c r="M1966" s="6" t="n">
        <v>429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 · Ferretería Cima</t>
        </is>
      </c>
      <c r="AF1966" s="4" t="inlineStr">
        <is>
          <t>tipo: tee · material: PVC drenaje · medida: 4"</t>
        </is>
      </c>
    </row>
    <row r="1967">
      <c r="A1967" s="3" t="inlineStr">
        <is>
          <t>MAT-32-610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drenaje 4" x 2"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100.25</v>
      </c>
      <c r="L1967" s="6" t="n">
        <v>88.56</v>
      </c>
      <c r="M1967" s="6" t="n">
        <v>111.93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</t>
        </is>
      </c>
      <c r="AF1967" s="4" t="inlineStr">
        <is>
          <t>tipo: tee · material: PVC drenaje · medida: 4" x 2"</t>
        </is>
      </c>
    </row>
    <row r="1968">
      <c r="A1968" s="3" t="inlineStr">
        <is>
          <t>MAT-32-611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drenaje 4" x 3"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153.77</v>
      </c>
      <c r="L1968" s="6" t="n">
        <v>153.77</v>
      </c>
      <c r="M1968" s="6" t="n">
        <v>153.77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</t>
        </is>
      </c>
      <c r="AF1968" s="4" t="inlineStr">
        <is>
          <t>tipo: tee · material: PVC drenaje · medida: 4" x 3"</t>
        </is>
      </c>
    </row>
    <row r="1969">
      <c r="A1969" s="3" t="inlineStr">
        <is>
          <t>MAT-32-612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drenaje 6"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458</v>
      </c>
      <c r="L1969" s="6" t="n">
        <v>291</v>
      </c>
      <c r="M1969" s="6" t="n">
        <v>625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F1969" s="4" t="inlineStr">
        <is>
          <t>tipo: tee · material: PVC drenaje · medida: 6"</t>
        </is>
      </c>
    </row>
    <row r="1970">
      <c r="A1970" s="3" t="inlineStr">
        <is>
          <t>MAT-32-613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1 1/2"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1</v>
      </c>
      <c r="K1970" s="6" t="n">
        <v>100</v>
      </c>
      <c r="L1970" s="6" t="n">
        <v>92</v>
      </c>
      <c r="M1970" s="6" t="n">
        <v>108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</t>
        </is>
      </c>
      <c r="AF1970" s="4" t="inlineStr">
        <is>
          <t>tipo: tee · material: PVC · medida: 1 1/2"</t>
        </is>
      </c>
    </row>
    <row r="1971">
      <c r="A1971" s="3" t="inlineStr">
        <is>
          <t>MAT-32-614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1"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1</v>
      </c>
      <c r="K1971" s="6" t="n">
        <v>48</v>
      </c>
      <c r="L1971" s="6" t="n">
        <v>48</v>
      </c>
      <c r="M1971" s="6" t="n">
        <v>48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</t>
        </is>
      </c>
      <c r="AF1971" s="4" t="inlineStr">
        <is>
          <t>tipo: tee · material: PVC · medida: 1"</t>
        </is>
      </c>
    </row>
    <row r="1972">
      <c r="A1972" s="3" t="inlineStr">
        <is>
          <t>MAT-32-615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1" x 3/4"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1</v>
      </c>
      <c r="K1972" s="6" t="n">
        <v>37.36</v>
      </c>
      <c r="L1972" s="6" t="n">
        <v>37.36</v>
      </c>
      <c r="M1972" s="6" t="n">
        <v>37.36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</t>
        </is>
      </c>
      <c r="AF1972" s="4" t="inlineStr">
        <is>
          <t>tipo: tee · material: PVC · medida: 1" x 3/4"</t>
        </is>
      </c>
    </row>
    <row r="1973">
      <c r="A1973" s="3" t="inlineStr">
        <is>
          <t>MAT-32-616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2"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1</v>
      </c>
      <c r="K1973" s="6" t="n">
        <v>165</v>
      </c>
      <c r="L1973" s="6" t="n">
        <v>165</v>
      </c>
      <c r="M1973" s="6" t="n">
        <v>165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</t>
        </is>
      </c>
      <c r="AF1973" s="4" t="inlineStr">
        <is>
          <t>tipo: tee · material: PVC · medida: 2"</t>
        </is>
      </c>
    </row>
    <row r="1974">
      <c r="A1974" s="3" t="inlineStr">
        <is>
          <t>MAT-32-617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3/4"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1</v>
      </c>
      <c r="K1974" s="6" t="n">
        <v>46.68</v>
      </c>
      <c r="L1974" s="6" t="n">
        <v>33.35</v>
      </c>
      <c r="M1974" s="6" t="n">
        <v>60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</t>
        </is>
      </c>
      <c r="AF1974" s="4" t="inlineStr">
        <is>
          <t>tipo: tee · material: PVC · medida: 3/4"</t>
        </is>
      </c>
    </row>
    <row r="1975">
      <c r="A1975" s="3" t="inlineStr">
        <is>
          <t>MAT-32-618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3"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1</v>
      </c>
      <c r="K1975" s="6" t="n">
        <v>502</v>
      </c>
      <c r="L1975" s="6" t="n">
        <v>502</v>
      </c>
      <c r="M1975" s="6" t="n">
        <v>502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</t>
        </is>
      </c>
      <c r="AF1975" s="4" t="inlineStr">
        <is>
          <t>tipo: tee · material: PVC · medida: 3"</t>
        </is>
      </c>
    </row>
    <row r="1976">
      <c r="A1976" s="3" t="inlineStr">
        <is>
          <t>MAT-32-619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1 1/2"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2</v>
      </c>
      <c r="K1976" s="6" t="n">
        <v>54.48</v>
      </c>
      <c r="L1976" s="6" t="n">
        <v>45.97</v>
      </c>
      <c r="M1976" s="6" t="n">
        <v>135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 · Ferretería Cima</t>
        </is>
      </c>
      <c r="AF1976" s="4" t="inlineStr">
        <is>
          <t>tipo: tee · material: PVC presión · medida: 1 1/2"</t>
        </is>
      </c>
    </row>
    <row r="1977">
      <c r="A1977" s="3" t="inlineStr">
        <is>
          <t>MAT-32-620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1/2"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2</v>
      </c>
      <c r="K1977" s="6" t="n">
        <v>13.68</v>
      </c>
      <c r="L1977" s="6" t="n">
        <v>8.140000000000001</v>
      </c>
      <c r="M1977" s="6" t="n">
        <v>28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 · Ferretería Cima</t>
        </is>
      </c>
      <c r="AF1977" s="4" t="inlineStr">
        <is>
          <t>tipo: tee · material: PVC presión · medida: 1/2"</t>
        </is>
      </c>
    </row>
    <row r="1978">
      <c r="A1978" s="3" t="inlineStr">
        <is>
          <t>MAT-32-621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1"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2</v>
      </c>
      <c r="K1978" s="6" t="n">
        <v>27.06</v>
      </c>
      <c r="L1978" s="6" t="n">
        <v>16</v>
      </c>
      <c r="M1978" s="6" t="n">
        <v>56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 · Ferretería Cima</t>
        </is>
      </c>
      <c r="AF1978" s="4" t="inlineStr">
        <is>
          <t>tipo: tee · material: PVC presión · medida: 1"</t>
        </is>
      </c>
    </row>
    <row r="1979">
      <c r="A1979" s="3" t="inlineStr">
        <is>
          <t>MAT-32-622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2"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2</v>
      </c>
      <c r="K1979" s="6" t="n">
        <v>82.48999999999999</v>
      </c>
      <c r="L1979" s="6" t="n">
        <v>45.98</v>
      </c>
      <c r="M1979" s="6" t="n">
        <v>195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 · Ferretería Cima</t>
        </is>
      </c>
      <c r="AF1979" s="4" t="inlineStr">
        <is>
          <t>tipo: tee · material: PVC presión · medida: 2"</t>
        </is>
      </c>
    </row>
    <row r="1980">
      <c r="A1980" s="3" t="inlineStr">
        <is>
          <t>MAT-32-623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3/4"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2</v>
      </c>
      <c r="K1980" s="6" t="n">
        <v>17.7</v>
      </c>
      <c r="L1980" s="6" t="n">
        <v>8.83</v>
      </c>
      <c r="M1980" s="6" t="n">
        <v>35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 · Ferretería Cima</t>
        </is>
      </c>
      <c r="AF1980" s="4" t="inlineStr">
        <is>
          <t>tipo: tee · material: PVC presión · medida: 3/4"</t>
        </is>
      </c>
    </row>
    <row r="1981">
      <c r="A1981" s="3" t="inlineStr">
        <is>
          <t>MAT-32-624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3"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2</v>
      </c>
      <c r="K1981" s="6" t="n">
        <v>235.03</v>
      </c>
      <c r="L1981" s="6" t="n">
        <v>169</v>
      </c>
      <c r="M1981" s="6" t="n">
        <v>453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 · Ferretería Cima</t>
        </is>
      </c>
      <c r="AF1981" s="4" t="inlineStr">
        <is>
          <t>tipo: tee · material: PVC presión · medida: 3"</t>
        </is>
      </c>
    </row>
    <row r="1982">
      <c r="A1982" s="3" t="inlineStr">
        <is>
          <t>MAT-32-625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PVC presión 4"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1</v>
      </c>
      <c r="K1982" s="6" t="n">
        <v>336.44</v>
      </c>
      <c r="L1982" s="6" t="n">
        <v>278</v>
      </c>
      <c r="M1982" s="6" t="n">
        <v>394.88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2026-09-10</t>
        </is>
      </c>
      <c r="Q1982" s="4" t="inlineStr">
        <is>
          <t>Bellón</t>
        </is>
      </c>
      <c r="AF1982" s="4" t="inlineStr">
        <is>
          <t>tipo: tee · material: PVC presión · medida: 4"</t>
        </is>
      </c>
    </row>
    <row r="1983">
      <c r="A1983" s="3" t="inlineStr">
        <is>
          <t>MAT-32-626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presión 4" x 3"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1</v>
      </c>
      <c r="K1983" s="6" t="n">
        <v>687.34</v>
      </c>
      <c r="L1983" s="6" t="n">
        <v>687.34</v>
      </c>
      <c r="M1983" s="6" t="n">
        <v>687.34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2026-09-10</t>
        </is>
      </c>
      <c r="Q1983" s="4" t="inlineStr">
        <is>
          <t>Bellón</t>
        </is>
      </c>
      <c r="AF1983" s="4" t="inlineStr">
        <is>
          <t>tipo: tee · material: PVC presión · medida: 4" x 3"</t>
        </is>
      </c>
    </row>
    <row r="1984">
      <c r="A1984" s="3" t="inlineStr">
        <is>
          <t>MAT-32-627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presión 6"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1</v>
      </c>
      <c r="K1984" s="6" t="n">
        <v>1002.5</v>
      </c>
      <c r="L1984" s="6" t="n">
        <v>915</v>
      </c>
      <c r="M1984" s="6" t="n">
        <v>1090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2026-09-10</t>
        </is>
      </c>
      <c r="Q1984" s="4" t="inlineStr">
        <is>
          <t>Bellón</t>
        </is>
      </c>
      <c r="AF1984" s="4" t="inlineStr">
        <is>
          <t>tipo: tee · material: PVC presión · medida: 6"</t>
        </is>
      </c>
    </row>
    <row r="1985">
      <c r="A1985" s="3" t="inlineStr">
        <is>
          <t>MAT-32-628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PVC presión 8"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1</v>
      </c>
      <c r="K1985" s="6" t="n">
        <v>8379</v>
      </c>
      <c r="L1985" s="6" t="n">
        <v>8379</v>
      </c>
      <c r="M1985" s="6" t="n">
        <v>8379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2026-09-10</t>
        </is>
      </c>
      <c r="Q1985" s="4" t="inlineStr">
        <is>
          <t>Bellón</t>
        </is>
      </c>
      <c r="AF1985" s="4" t="inlineStr">
        <is>
          <t>tipo: tee · material: PVC presión · medida: 8"</t>
        </is>
      </c>
    </row>
    <row r="1986">
      <c r="A1986" s="3" t="inlineStr">
        <is>
          <t>MAT-32-629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reducida de PPR 25 mm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1</v>
      </c>
      <c r="K1986" s="6" t="n">
        <v>45</v>
      </c>
      <c r="L1986" s="6" t="n">
        <v>45</v>
      </c>
      <c r="M1986" s="6" t="n">
        <v>45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2026-09-09</t>
        </is>
      </c>
      <c r="Q1986" s="4" t="inlineStr">
        <is>
          <t>Ferretería Cima</t>
        </is>
      </c>
      <c r="AF1986" s="4" t="inlineStr">
        <is>
          <t>tipo: tee-reducida · material: PPR · medida: 25 mm</t>
        </is>
      </c>
    </row>
    <row r="1987">
      <c r="A1987" s="3" t="inlineStr">
        <is>
          <t>MAT-32-630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reducida de PVC 1" x 3/4"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144</v>
      </c>
      <c r="L1987" s="6" t="n">
        <v>144</v>
      </c>
      <c r="M1987" s="6" t="n">
        <v>144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2026-09-09</t>
        </is>
      </c>
      <c r="Q1987" s="4" t="inlineStr">
        <is>
          <t>Ferretería Cima</t>
        </is>
      </c>
      <c r="AF1987" s="4" t="inlineStr">
        <is>
          <t>tipo: tee-reducida · material: PVC · medida: 1" x 3/4"</t>
        </is>
      </c>
    </row>
    <row r="1988">
      <c r="A1988" s="3" t="inlineStr">
        <is>
          <t>MAT-32-631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bronce 1/2"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235</v>
      </c>
      <c r="L1988" s="6" t="n">
        <v>235</v>
      </c>
      <c r="M1988" s="6" t="n">
        <v>235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2026-09-09</t>
        </is>
      </c>
      <c r="Q1988" s="4" t="inlineStr">
        <is>
          <t>Ferretería Cima</t>
        </is>
      </c>
      <c r="AF1988" s="4" t="inlineStr">
        <is>
          <t>tipo: terminal · material: bronce · medida: 1/2"</t>
        </is>
      </c>
    </row>
    <row r="1989">
      <c r="A1989" s="3" t="inlineStr">
        <is>
          <t>MAT-32-632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bronce 3/4"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1</v>
      </c>
      <c r="K1989" s="6" t="n">
        <v>275</v>
      </c>
      <c r="L1989" s="6" t="n">
        <v>275</v>
      </c>
      <c r="M1989" s="6" t="n">
        <v>275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2026-09-09</t>
        </is>
      </c>
      <c r="Q1989" s="4" t="inlineStr">
        <is>
          <t>Ferretería Cima</t>
        </is>
      </c>
      <c r="AF1989" s="4" t="inlineStr">
        <is>
          <t>tipo: terminal · material: bronce · medida: 3/4"</t>
        </is>
      </c>
    </row>
    <row r="1990">
      <c r="A1990" s="3" t="inlineStr">
        <is>
          <t>MAT-32-633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bronce 5/8"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335</v>
      </c>
      <c r="L1990" s="6" t="n">
        <v>335</v>
      </c>
      <c r="M1990" s="6" t="n">
        <v>335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2026-09-09</t>
        </is>
      </c>
      <c r="Q1990" s="4" t="inlineStr">
        <is>
          <t>Ferretería Cima</t>
        </is>
      </c>
      <c r="AF1990" s="4" t="inlineStr">
        <is>
          <t>tipo: terminal · material: bronce · medida: 5/8"</t>
        </is>
      </c>
    </row>
    <row r="1991">
      <c r="A1991" s="3" t="inlineStr">
        <is>
          <t>MAT-32-634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cobre 1"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319</v>
      </c>
      <c r="L1991" s="6" t="n">
        <v>319</v>
      </c>
      <c r="M1991" s="6" t="n">
        <v>319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2026-09-09</t>
        </is>
      </c>
      <c r="Q1991" s="4" t="inlineStr">
        <is>
          <t>Ferretería Cima</t>
        </is>
      </c>
      <c r="AF1991" s="4" t="inlineStr">
        <is>
          <t>tipo: terminal · material: cobre · medida: 1"</t>
        </is>
      </c>
    </row>
    <row r="1992">
      <c r="A1992" s="3" t="inlineStr">
        <is>
          <t>MAT-32-635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Terminal de manguera 1/2"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1</v>
      </c>
      <c r="K1992" s="6" t="n">
        <v>165.5</v>
      </c>
      <c r="L1992" s="6" t="n">
        <v>131</v>
      </c>
      <c r="M1992" s="6" t="n">
        <v>210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2026-09-09</t>
        </is>
      </c>
      <c r="Q1992" s="4" t="inlineStr">
        <is>
          <t>Ferretería Cima</t>
        </is>
      </c>
      <c r="AF1992" s="4" t="inlineStr">
        <is>
          <t>tipo: terminal · material: manguera · medida: 1/2"</t>
        </is>
      </c>
    </row>
    <row r="1993">
      <c r="A1993" s="3" t="inlineStr">
        <is>
          <t>MAT-32-636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Terminal de manguera 3/4"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1</v>
      </c>
      <c r="K1993" s="6" t="n">
        <v>247</v>
      </c>
      <c r="L1993" s="6" t="n">
        <v>247</v>
      </c>
      <c r="M1993" s="6" t="n">
        <v>247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2026-09-09</t>
        </is>
      </c>
      <c r="Q1993" s="4" t="inlineStr">
        <is>
          <t>Ferretería Cima</t>
        </is>
      </c>
      <c r="AF1993" s="4" t="inlineStr">
        <is>
          <t>tipo: terminal · material: manguera · medida: 3/4"</t>
        </is>
      </c>
    </row>
    <row r="1994">
      <c r="A1994" s="3" t="inlineStr">
        <is>
          <t>MAT-32-637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Terminal de manguera 5/8"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1</v>
      </c>
      <c r="K1994" s="6" t="n">
        <v>233</v>
      </c>
      <c r="L1994" s="6" t="n">
        <v>233</v>
      </c>
      <c r="M1994" s="6" t="n">
        <v>233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2026-09-09</t>
        </is>
      </c>
      <c r="Q1994" s="4" t="inlineStr">
        <is>
          <t>Ferretería Cima</t>
        </is>
      </c>
      <c r="AF1994" s="4" t="inlineStr">
        <is>
          <t>tipo: terminal · material: manguera · medida: 5/8"</t>
        </is>
      </c>
    </row>
    <row r="1995">
      <c r="A1995" s="3" t="inlineStr">
        <is>
          <t>MAT-32-638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Terminal de manguera 5"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1</v>
      </c>
      <c r="K1995" s="6" t="n">
        <v>295</v>
      </c>
      <c r="L1995" s="6" t="n">
        <v>295</v>
      </c>
      <c r="M1995" s="6" t="n">
        <v>295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2026-09-09</t>
        </is>
      </c>
      <c r="Q1995" s="4" t="inlineStr">
        <is>
          <t>Ferretería Cima</t>
        </is>
      </c>
      <c r="AF1995" s="4" t="inlineStr">
        <is>
          <t>tipo: terminal · material: manguera · medida: 5"</t>
        </is>
      </c>
    </row>
    <row r="1996">
      <c r="A1996" s="3" t="inlineStr">
        <is>
          <t>MAT-32-639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0.19"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1</v>
      </c>
      <c r="K1996" s="6" t="n">
        <v>35.78</v>
      </c>
      <c r="L1996" s="6" t="n">
        <v>35.78</v>
      </c>
      <c r="M1996" s="6" t="n">
        <v>35.78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</t>
        </is>
      </c>
      <c r="AF1996" s="4" t="inlineStr">
        <is>
          <t>tipo: union · material: bronce · medida: 0.19"</t>
        </is>
      </c>
    </row>
    <row r="1997">
      <c r="A1997" s="3" t="inlineStr">
        <is>
          <t>MAT-32-640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1/2"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2</v>
      </c>
      <c r="K1997" s="6" t="n">
        <v>115.6</v>
      </c>
      <c r="L1997" s="6" t="n">
        <v>66.19</v>
      </c>
      <c r="M1997" s="6" t="n">
        <v>165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 · Ferretería Cima</t>
        </is>
      </c>
      <c r="AF1997" s="4" t="inlineStr">
        <is>
          <t>tipo: union · material: bronce · medida: 1/2"</t>
        </is>
      </c>
    </row>
    <row r="1998">
      <c r="A1998" s="3" t="inlineStr">
        <is>
          <t>MAT-32-641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1/4"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69</v>
      </c>
      <c r="L1998" s="6" t="n">
        <v>28</v>
      </c>
      <c r="M1998" s="6" t="n">
        <v>110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2026-09-10</t>
        </is>
      </c>
      <c r="Q1998" s="4" t="inlineStr">
        <is>
          <t>Bellón</t>
        </is>
      </c>
      <c r="AF1998" s="4" t="inlineStr">
        <is>
          <t>tipo: union · material: bronce · medida: 1/4"</t>
        </is>
      </c>
    </row>
    <row r="1999">
      <c r="A1999" s="3" t="inlineStr">
        <is>
          <t>MAT-32-642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1/8"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1</v>
      </c>
      <c r="K1999" s="6" t="n">
        <v>16</v>
      </c>
      <c r="L1999" s="6" t="n">
        <v>16</v>
      </c>
      <c r="M1999" s="6" t="n">
        <v>16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2026-09-10</t>
        </is>
      </c>
      <c r="Q1999" s="4" t="inlineStr">
        <is>
          <t>Bellón</t>
        </is>
      </c>
      <c r="AF1999" s="4" t="inlineStr">
        <is>
          <t>tipo: union · material: bronce · medida: 1/8"</t>
        </is>
      </c>
    </row>
    <row r="2000">
      <c r="A2000" s="3" t="inlineStr">
        <is>
          <t>MAT-32-643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12"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1</v>
      </c>
      <c r="K2000" s="6" t="n">
        <v>346</v>
      </c>
      <c r="L2000" s="6" t="n">
        <v>346</v>
      </c>
      <c r="M2000" s="6" t="n">
        <v>346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</t>
        </is>
      </c>
      <c r="AF2000" s="4" t="inlineStr">
        <is>
          <t>tipo: union · material: bronce · medida: 12"</t>
        </is>
      </c>
    </row>
    <row r="2001">
      <c r="A2001" s="3" t="inlineStr">
        <is>
          <t>MAT-32-644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15"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1</v>
      </c>
      <c r="K2001" s="6" t="n">
        <v>375</v>
      </c>
      <c r="L2001" s="6" t="n">
        <v>375</v>
      </c>
      <c r="M2001" s="6" t="n">
        <v>375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</t>
        </is>
      </c>
      <c r="AF2001" s="4" t="inlineStr">
        <is>
          <t>tipo: union · material: bronce · medida: 15"</t>
        </is>
      </c>
    </row>
    <row r="2002">
      <c r="A2002" s="3" t="inlineStr">
        <is>
          <t>MAT-32-645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bronce 18"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1</v>
      </c>
      <c r="K2002" s="6" t="n">
        <v>413</v>
      </c>
      <c r="L2002" s="6" t="n">
        <v>413</v>
      </c>
      <c r="M2002" s="6" t="n">
        <v>413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</t>
        </is>
      </c>
      <c r="AF2002" s="4" t="inlineStr">
        <is>
          <t>tipo: union · material: bronce · medida: 18"</t>
        </is>
      </c>
    </row>
    <row r="2003">
      <c r="A2003" s="3" t="inlineStr">
        <is>
          <t>MAT-32-646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bronce 25"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1</v>
      </c>
      <c r="K2003" s="6" t="n">
        <v>796</v>
      </c>
      <c r="L2003" s="6" t="n">
        <v>796</v>
      </c>
      <c r="M2003" s="6" t="n">
        <v>796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</t>
        </is>
      </c>
      <c r="AF2003" s="4" t="inlineStr">
        <is>
          <t>tipo: union · material: bronce · medida: 25"</t>
        </is>
      </c>
    </row>
    <row r="2004">
      <c r="A2004" s="3" t="inlineStr">
        <is>
          <t>MAT-32-647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de bronce 3/8"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2</v>
      </c>
      <c r="K2004" s="6" t="n">
        <v>118</v>
      </c>
      <c r="L2004" s="6" t="n">
        <v>44</v>
      </c>
      <c r="M2004" s="6" t="n">
        <v>147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 · Ferretería Cima</t>
        </is>
      </c>
      <c r="AF2004" s="4" t="inlineStr">
        <is>
          <t>tipo: union · material: bronce · medida: 3/8"</t>
        </is>
      </c>
    </row>
    <row r="2005">
      <c r="A2005" s="3" t="inlineStr">
        <is>
          <t>MAT-32-648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de bronce 32 mm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1</v>
      </c>
      <c r="K2005" s="6" t="n">
        <v>906</v>
      </c>
      <c r="L2005" s="6" t="n">
        <v>906</v>
      </c>
      <c r="M2005" s="6" t="n">
        <v>906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</t>
        </is>
      </c>
      <c r="AF2005" s="4" t="inlineStr">
        <is>
          <t>tipo: union · material: bronce · medida: 32 mm</t>
        </is>
      </c>
    </row>
    <row r="2006">
      <c r="A2006" s="3" t="inlineStr">
        <is>
          <t>MAT-32-649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de plástico 1/2"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2</v>
      </c>
      <c r="K2006" s="6" t="n">
        <v>145.5</v>
      </c>
      <c r="L2006" s="6" t="n">
        <v>111</v>
      </c>
      <c r="M2006" s="6" t="n">
        <v>180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 · Ferretería Cima</t>
        </is>
      </c>
      <c r="AF2006" s="4" t="inlineStr">
        <is>
          <t>tipo: union · material: plástico · medida: 1/2"</t>
        </is>
      </c>
    </row>
    <row r="2007">
      <c r="A2007" s="3" t="inlineStr">
        <is>
          <t>MAT-32-650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de plástico 5/8"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1</v>
      </c>
      <c r="K2007" s="6" t="n">
        <v>131</v>
      </c>
      <c r="L2007" s="6" t="n">
        <v>131</v>
      </c>
      <c r="M2007" s="6" t="n">
        <v>131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</t>
        </is>
      </c>
      <c r="AF2007" s="4" t="inlineStr">
        <is>
          <t>tipo: union · material: plástico · medida: 5/8"</t>
        </is>
      </c>
    </row>
    <row r="2008">
      <c r="A2008" s="3" t="inlineStr">
        <is>
          <t>MAT-32-651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CPVC 1/2"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1</v>
      </c>
      <c r="K2008" s="6" t="n">
        <v>31.5</v>
      </c>
      <c r="L2008" s="6" t="n">
        <v>31.5</v>
      </c>
      <c r="M2008" s="6" t="n">
        <v>31.5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</t>
        </is>
      </c>
      <c r="AF2008" s="4" t="inlineStr">
        <is>
          <t>tipo: union-universal · material: CPVC · medida: 1/2"</t>
        </is>
      </c>
    </row>
    <row r="2009">
      <c r="A2009" s="3" t="inlineStr">
        <is>
          <t>MAT-32-652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CPVC 1"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1</v>
      </c>
      <c r="K2009" s="6" t="n">
        <v>150</v>
      </c>
      <c r="L2009" s="6" t="n">
        <v>150</v>
      </c>
      <c r="M2009" s="6" t="n">
        <v>150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</t>
        </is>
      </c>
      <c r="AF2009" s="4" t="inlineStr">
        <is>
          <t>tipo: union-universal · material: CPVC · medida: 1"</t>
        </is>
      </c>
    </row>
    <row r="2010">
      <c r="A2010" s="3" t="inlineStr">
        <is>
          <t>MAT-32-653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CPVC 3/4"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1</v>
      </c>
      <c r="K2010" s="6" t="n">
        <v>100</v>
      </c>
      <c r="L2010" s="6" t="n">
        <v>100</v>
      </c>
      <c r="M2010" s="6" t="n">
        <v>100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2026-09-10</t>
        </is>
      </c>
      <c r="Q2010" s="4" t="inlineStr">
        <is>
          <t>Bellón</t>
        </is>
      </c>
      <c r="AF2010" s="4" t="inlineStr">
        <is>
          <t>tipo: union-universal · material: CPVC · medida: 3/4"</t>
        </is>
      </c>
    </row>
    <row r="2011">
      <c r="A2011" s="3" t="inlineStr">
        <is>
          <t>MAT-32-654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 1/2"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2</v>
      </c>
      <c r="K2011" s="6" t="n">
        <v>437.5</v>
      </c>
      <c r="L2011" s="6" t="n">
        <v>350</v>
      </c>
      <c r="M2011" s="6" t="n">
        <v>525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 · Ferretería Cima</t>
        </is>
      </c>
      <c r="AF2011" s="4" t="inlineStr">
        <is>
          <t>tipo: union-universal · material: HG · medida: 1 1/2"</t>
        </is>
      </c>
    </row>
    <row r="2012">
      <c r="A2012" s="3" t="inlineStr">
        <is>
          <t>MAT-32-655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1 1/4"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2</v>
      </c>
      <c r="K2012" s="6" t="n">
        <v>335.5</v>
      </c>
      <c r="L2012" s="6" t="n">
        <v>249</v>
      </c>
      <c r="M2012" s="6" t="n">
        <v>422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Bellón · Ferretería Cima</t>
        </is>
      </c>
      <c r="AF2012" s="4" t="inlineStr">
        <is>
          <t>tipo: union-universal · material: HG · medida: 1 1/4"</t>
        </is>
      </c>
    </row>
    <row r="2013">
      <c r="A2013" s="3" t="inlineStr">
        <is>
          <t>MAT-32-656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1/2"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2</v>
      </c>
      <c r="K2013" s="6" t="n">
        <v>142.5</v>
      </c>
      <c r="L2013" s="6" t="n">
        <v>115</v>
      </c>
      <c r="M2013" s="6" t="n">
        <v>170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2026-09-10</t>
        </is>
      </c>
      <c r="Q2013" s="4" t="inlineStr">
        <is>
          <t>Bellón · Ferretería Cima</t>
        </is>
      </c>
      <c r="AF2013" s="4" t="inlineStr">
        <is>
          <t>tipo: union-universal · material: HG · medida: 1/2"</t>
        </is>
      </c>
    </row>
    <row r="2014">
      <c r="A2014" s="3" t="inlineStr">
        <is>
          <t>MAT-32-657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1/4"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44</v>
      </c>
      <c r="L2014" s="6" t="n">
        <v>44</v>
      </c>
      <c r="M2014" s="6" t="n">
        <v>44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2026-09-09</t>
        </is>
      </c>
      <c r="Q2014" s="4" t="inlineStr">
        <is>
          <t>Ferretería Cima</t>
        </is>
      </c>
      <c r="AF2014" s="4" t="inlineStr">
        <is>
          <t>tipo: union-universal · material: HG · medida: 1/4"</t>
        </is>
      </c>
    </row>
    <row r="2015">
      <c r="A2015" s="3" t="inlineStr">
        <is>
          <t>MAT-32-658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1"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1</v>
      </c>
      <c r="K2015" s="6" t="n">
        <v>174</v>
      </c>
      <c r="L2015" s="6" t="n">
        <v>174</v>
      </c>
      <c r="M2015" s="6" t="n">
        <v>174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</t>
        </is>
      </c>
      <c r="AF2015" s="4" t="inlineStr">
        <is>
          <t>tipo: union-universal · material: HG · medida: 1"</t>
        </is>
      </c>
    </row>
    <row r="2016">
      <c r="A2016" s="3" t="inlineStr">
        <is>
          <t>MAT-32-659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2"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2</v>
      </c>
      <c r="K2016" s="6" t="n">
        <v>638.5</v>
      </c>
      <c r="L2016" s="6" t="n">
        <v>450</v>
      </c>
      <c r="M2016" s="6" t="n">
        <v>827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 · Ferretería Cima</t>
        </is>
      </c>
      <c r="AF2016" s="4" t="inlineStr">
        <is>
          <t>tipo: union-universal · material: HG · medida: 2"</t>
        </is>
      </c>
    </row>
    <row r="2017">
      <c r="A2017" s="3" t="inlineStr">
        <is>
          <t>MAT-32-660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HG 3/4"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2</v>
      </c>
      <c r="K2017" s="6" t="n">
        <v>171</v>
      </c>
      <c r="L2017" s="6" t="n">
        <v>162</v>
      </c>
      <c r="M2017" s="6" t="n">
        <v>180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2026-09-10</t>
        </is>
      </c>
      <c r="Q2017" s="4" t="inlineStr">
        <is>
          <t>Bellón · Ferretería Cima</t>
        </is>
      </c>
      <c r="AF2017" s="4" t="inlineStr">
        <is>
          <t>tipo: union-universal · material: HG · medida: 3/4"</t>
        </is>
      </c>
    </row>
    <row r="2018">
      <c r="A2018" s="3" t="inlineStr">
        <is>
          <t>MAT-32-661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HG 3/8"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1</v>
      </c>
      <c r="K2018" s="6" t="n">
        <v>12</v>
      </c>
      <c r="L2018" s="6" t="n">
        <v>12</v>
      </c>
      <c r="M2018" s="6" t="n">
        <v>12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2026-09-09</t>
        </is>
      </c>
      <c r="Q2018" s="4" t="inlineStr">
        <is>
          <t>Ferretería Cima</t>
        </is>
      </c>
      <c r="AF2018" s="4" t="inlineStr">
        <is>
          <t>tipo: union-universal · material: HG · medida: 3/8"</t>
        </is>
      </c>
    </row>
    <row r="2019">
      <c r="A2019" s="3" t="inlineStr">
        <is>
          <t>MAT-32-662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HG 3"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1376</v>
      </c>
      <c r="L2019" s="6" t="n">
        <v>1376</v>
      </c>
      <c r="M2019" s="6" t="n">
        <v>1376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Bellón</t>
        </is>
      </c>
      <c r="AF2019" s="4" t="inlineStr">
        <is>
          <t>tipo: union-universal · material: HG · medida: 3"</t>
        </is>
      </c>
    </row>
    <row r="2020">
      <c r="A2020" s="3" t="inlineStr">
        <is>
          <t>MAT-32-663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HG 4"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1835</v>
      </c>
      <c r="L2020" s="6" t="n">
        <v>1835</v>
      </c>
      <c r="M2020" s="6" t="n">
        <v>1835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Bellón</t>
        </is>
      </c>
      <c r="AF2020" s="4" t="inlineStr">
        <is>
          <t>tipo: union-universal · material: HG · medida: 4"</t>
        </is>
      </c>
    </row>
    <row r="2021">
      <c r="A2021" s="3" t="inlineStr">
        <is>
          <t>MAT-32-664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PPR 20 mm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1</v>
      </c>
      <c r="K2021" s="6" t="n">
        <v>25.14</v>
      </c>
      <c r="L2021" s="6" t="n">
        <v>25.14</v>
      </c>
      <c r="M2021" s="6" t="n">
        <v>25.14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Bellón</t>
        </is>
      </c>
      <c r="AF2021" s="4" t="inlineStr">
        <is>
          <t>tipo: union-universal · material: PPR · medida: 20 mm</t>
        </is>
      </c>
    </row>
    <row r="2022">
      <c r="A2022" s="3" t="inlineStr">
        <is>
          <t>MAT-32-665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PPR 25 mm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2</v>
      </c>
      <c r="K2022" s="6" t="n">
        <v>99.56999999999999</v>
      </c>
      <c r="L2022" s="6" t="n">
        <v>33.14</v>
      </c>
      <c r="M2022" s="6" t="n">
        <v>166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Bellón · Ferretería Cima</t>
        </is>
      </c>
      <c r="AF2022" s="4" t="inlineStr">
        <is>
          <t>tipo: union-universal · material: PPR · medida: 25 mm</t>
        </is>
      </c>
    </row>
    <row r="2023">
      <c r="A2023" s="3" t="inlineStr">
        <is>
          <t>MAT-32-666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PPR 32 mm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1</v>
      </c>
      <c r="K2023" s="6" t="n">
        <v>50.46</v>
      </c>
      <c r="L2023" s="6" t="n">
        <v>50.46</v>
      </c>
      <c r="M2023" s="6" t="n">
        <v>50.46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Bellón</t>
        </is>
      </c>
      <c r="AF2023" s="4" t="inlineStr">
        <is>
          <t>tipo: union-universal · material: PPR · medida: 32 mm</t>
        </is>
      </c>
    </row>
    <row r="2024">
      <c r="A2024" s="3" t="inlineStr">
        <is>
          <t>MAT-32-667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PPR 50 mm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1</v>
      </c>
      <c r="K2024" s="6" t="n">
        <v>120</v>
      </c>
      <c r="L2024" s="6" t="n">
        <v>120</v>
      </c>
      <c r="M2024" s="6" t="n">
        <v>120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Bellón</t>
        </is>
      </c>
      <c r="AF2024" s="4" t="inlineStr">
        <is>
          <t>tipo: union-universal · material: PPR · medida: 50 mm</t>
        </is>
      </c>
    </row>
    <row r="2025">
      <c r="A2025" s="3" t="inlineStr">
        <is>
          <t>MAT-32-668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1 1/2"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2</v>
      </c>
      <c r="K2025" s="6" t="n">
        <v>104.52</v>
      </c>
      <c r="L2025" s="6" t="n">
        <v>74.06</v>
      </c>
      <c r="M2025" s="6" t="n">
        <v>217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Bellón · Ferretería MC</t>
        </is>
      </c>
      <c r="AF2025" s="4" t="inlineStr">
        <is>
          <t>tipo: union-universal · material: PVC · medida: 1 1/2"</t>
        </is>
      </c>
    </row>
    <row r="2026">
      <c r="A2026" s="3" t="inlineStr">
        <is>
          <t>MAT-32-669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1/2"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3</v>
      </c>
      <c r="K2026" s="6" t="n">
        <v>30.27</v>
      </c>
      <c r="L2026" s="6" t="n">
        <v>17.7</v>
      </c>
      <c r="M2026" s="6" t="n">
        <v>75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2026-09-10</t>
        </is>
      </c>
      <c r="Q2026" s="4" t="inlineStr">
        <is>
          <t>Bellón · Ferretería Cima · Ferretería MC</t>
        </is>
      </c>
      <c r="AF2026" s="4" t="inlineStr">
        <is>
          <t>tipo: union-universal · material: PVC · medida: 1/2"</t>
        </is>
      </c>
    </row>
    <row r="2027">
      <c r="A2027" s="3" t="inlineStr">
        <is>
          <t>MAT-32-670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1"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3</v>
      </c>
      <c r="K2027" s="6" t="n">
        <v>49.47</v>
      </c>
      <c r="L2027" s="6" t="n">
        <v>37</v>
      </c>
      <c r="M2027" s="6" t="n">
        <v>147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2026-09-10</t>
        </is>
      </c>
      <c r="Q2027" s="4" t="inlineStr">
        <is>
          <t>Bellón · Ferretería Cima · Ferretería MC</t>
        </is>
      </c>
      <c r="AF2027" s="4" t="inlineStr">
        <is>
          <t>tipo: union-universal · material: PVC · medida: 1"</t>
        </is>
      </c>
    </row>
    <row r="2028">
      <c r="A2028" s="3" t="inlineStr">
        <is>
          <t>MAT-32-671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2"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3</v>
      </c>
      <c r="K2028" s="6" t="n">
        <v>161.66</v>
      </c>
      <c r="L2028" s="6" t="n">
        <v>125.07</v>
      </c>
      <c r="M2028" s="6" t="n">
        <v>401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2026-09-10</t>
        </is>
      </c>
      <c r="Q2028" s="4" t="inlineStr">
        <is>
          <t>Bellón · Ferretería Cima · Ferretería MC</t>
        </is>
      </c>
      <c r="AF2028" s="4" t="inlineStr">
        <is>
          <t>tipo: union-universal · material: PVC · medida: 2"</t>
        </is>
      </c>
    </row>
    <row r="2029">
      <c r="A2029" s="3" t="inlineStr">
        <is>
          <t>MAT-32-672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PVC 3/4"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3</v>
      </c>
      <c r="K2029" s="6" t="n">
        <v>33.24</v>
      </c>
      <c r="L2029" s="6" t="n">
        <v>23.2</v>
      </c>
      <c r="M2029" s="6" t="n">
        <v>105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2026-09-10</t>
        </is>
      </c>
      <c r="Q2029" s="4" t="inlineStr">
        <is>
          <t>Bellón · Ferretería Cima · Ferretería MC</t>
        </is>
      </c>
      <c r="AF2029" s="4" t="inlineStr">
        <is>
          <t>tipo: union-universal · material: PVC · medida: 3/4"</t>
        </is>
      </c>
    </row>
    <row r="2030">
      <c r="A2030" s="3" t="inlineStr">
        <is>
          <t>MAT-32-673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PVC 3"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2</v>
      </c>
      <c r="K2030" s="6" t="n">
        <v>588</v>
      </c>
      <c r="L2030" s="6" t="n">
        <v>531</v>
      </c>
      <c r="M2030" s="6" t="n">
        <v>645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2026-09-10</t>
        </is>
      </c>
      <c r="Q2030" s="4" t="inlineStr">
        <is>
          <t>Bellón · Ferretería MC</t>
        </is>
      </c>
      <c r="AF2030" s="4" t="inlineStr">
        <is>
          <t>tipo: union-universal · material: PVC · medida: 3"</t>
        </is>
      </c>
    </row>
    <row r="2031">
      <c r="A2031" s="3" t="inlineStr">
        <is>
          <t>MAT-32-674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PVC 4"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1256</v>
      </c>
      <c r="L2031" s="6" t="n">
        <v>895</v>
      </c>
      <c r="M2031" s="6" t="n">
        <v>1617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2026-09-10</t>
        </is>
      </c>
      <c r="Q2031" s="4" t="inlineStr">
        <is>
          <t>Bellón</t>
        </is>
      </c>
      <c r="AF2031" s="4" t="inlineStr">
        <is>
          <t>tipo: union-universal · material: PVC · medida: 4"</t>
        </is>
      </c>
    </row>
    <row r="2032">
      <c r="A2032" s="3" t="inlineStr">
        <is>
          <t>MAT-32-675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universal de PVC SCH-80 1"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1</v>
      </c>
      <c r="K2032" s="6" t="n">
        <v>98.28</v>
      </c>
      <c r="L2032" s="6" t="n">
        <v>98.28</v>
      </c>
      <c r="M2032" s="6" t="n">
        <v>98.28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2026-09-09</t>
        </is>
      </c>
      <c r="Q2032" s="4" t="inlineStr">
        <is>
          <t>Ferretería MC</t>
        </is>
      </c>
      <c r="AF2032" s="4" t="inlineStr">
        <is>
          <t>tipo: union-universal · material: PVC SCH-80 · medida: 1"</t>
        </is>
      </c>
    </row>
    <row r="2033">
      <c r="A2033" s="3" t="inlineStr">
        <is>
          <t>MAT-32-676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1 1/2"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2</v>
      </c>
      <c r="K2033" s="6" t="n">
        <v>43.45</v>
      </c>
      <c r="L2033" s="6" t="n">
        <v>39.9</v>
      </c>
      <c r="M2033" s="6" t="n">
        <v>47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2026-09-10</t>
        </is>
      </c>
      <c r="Q2033" s="4" t="inlineStr">
        <is>
          <t>Bellón · Ferretería Cima</t>
        </is>
      </c>
      <c r="AF2033" s="4" t="inlineStr">
        <is>
          <t>tipo: yee · material: PVC drenaje · medida: 1 1/2"</t>
        </is>
      </c>
    </row>
    <row r="2034">
      <c r="A2034" s="3" t="inlineStr">
        <is>
          <t>MAT-32-677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2"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2</v>
      </c>
      <c r="K2034" s="6" t="n">
        <v>46.1</v>
      </c>
      <c r="L2034" s="6" t="n">
        <v>39.22</v>
      </c>
      <c r="M2034" s="6" t="n">
        <v>145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2026-09-10</t>
        </is>
      </c>
      <c r="Q2034" s="4" t="inlineStr">
        <is>
          <t>Bellón · Ferretería Cima</t>
        </is>
      </c>
      <c r="AF2034" s="4" t="inlineStr">
        <is>
          <t>tipo: yee · material: PVC drenaje · medida: 2"</t>
        </is>
      </c>
    </row>
    <row r="2035">
      <c r="A2035" s="3" t="inlineStr">
        <is>
          <t>MAT-32-678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3"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1</v>
      </c>
      <c r="K2035" s="6" t="n">
        <v>113.54</v>
      </c>
      <c r="L2035" s="6" t="n">
        <v>76.79000000000001</v>
      </c>
      <c r="M2035" s="6" t="n">
        <v>150.29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2026-09-10</t>
        </is>
      </c>
      <c r="Q2035" s="4" t="inlineStr">
        <is>
          <t>Bellón</t>
        </is>
      </c>
      <c r="AF2035" s="4" t="inlineStr">
        <is>
          <t>tipo: yee · material: PVC drenaje · medida: 3"</t>
        </is>
      </c>
    </row>
    <row r="2036">
      <c r="A2036" s="3" t="inlineStr">
        <is>
          <t>MAT-32-679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3" x 2"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2</v>
      </c>
      <c r="K2036" s="6" t="n">
        <v>147.29</v>
      </c>
      <c r="L2036" s="6" t="n">
        <v>89.56999999999999</v>
      </c>
      <c r="M2036" s="6" t="n">
        <v>205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2026-09-10</t>
        </is>
      </c>
      <c r="Q2036" s="4" t="inlineStr">
        <is>
          <t>Bellón · Ferretería Cima</t>
        </is>
      </c>
      <c r="AF2036" s="4" t="inlineStr">
        <is>
          <t>tipo: yee · material: PVC drenaje · medida: 3" x 2"</t>
        </is>
      </c>
    </row>
    <row r="2037">
      <c r="A2037" s="3" t="inlineStr">
        <is>
          <t>MAT-32-680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4"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2</v>
      </c>
      <c r="K2037" s="6" t="n">
        <v>224.26</v>
      </c>
      <c r="L2037" s="6" t="n">
        <v>160</v>
      </c>
      <c r="M2037" s="6" t="n">
        <v>425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2026-09-10</t>
        </is>
      </c>
      <c r="Q2037" s="4" t="inlineStr">
        <is>
          <t>Bellón · Ferretería Cima</t>
        </is>
      </c>
      <c r="AF2037" s="4" t="inlineStr">
        <is>
          <t>tipo: yee · material: PVC drenaje · medida: 4"</t>
        </is>
      </c>
    </row>
    <row r="2038">
      <c r="A2038" s="3" t="inlineStr">
        <is>
          <t>MAT-32-681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4" x 2"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2</v>
      </c>
      <c r="K2038" s="6" t="n">
        <v>120.22</v>
      </c>
      <c r="L2038" s="6" t="n">
        <v>97</v>
      </c>
      <c r="M2038" s="6" t="n">
        <v>265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2026-09-10</t>
        </is>
      </c>
      <c r="Q2038" s="4" t="inlineStr">
        <is>
          <t>Bellón · Ferretería Cima</t>
        </is>
      </c>
      <c r="AF2038" s="4" t="inlineStr">
        <is>
          <t>tipo: yee · material: PVC drenaje · medida: 4" x 2"</t>
        </is>
      </c>
    </row>
    <row r="2039">
      <c r="A2039" s="3" t="inlineStr">
        <is>
          <t>MAT-32-682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drenaje 4" x 3"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191.92</v>
      </c>
      <c r="L2039" s="6" t="n">
        <v>191.92</v>
      </c>
      <c r="M2039" s="6" t="n">
        <v>191.92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2026-09-10</t>
        </is>
      </c>
      <c r="Q2039" s="4" t="inlineStr">
        <is>
          <t>Bellón</t>
        </is>
      </c>
      <c r="AF2039" s="4" t="inlineStr">
        <is>
          <t>tipo: yee · material: PVC drenaje · medida: 4" x 3"</t>
        </is>
      </c>
    </row>
    <row r="2040">
      <c r="A2040" s="3" t="inlineStr">
        <is>
          <t>MAT-32-683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drenaje 6"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923.5</v>
      </c>
      <c r="L2040" s="6" t="n">
        <v>875</v>
      </c>
      <c r="M2040" s="6" t="n">
        <v>972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2026-09-10</t>
        </is>
      </c>
      <c r="Q2040" s="4" t="inlineStr">
        <is>
          <t>Bellón</t>
        </is>
      </c>
      <c r="AF2040" s="4" t="inlineStr">
        <is>
          <t>tipo: yee · material: PVC drenaje · medida: 6"</t>
        </is>
      </c>
    </row>
    <row r="2041">
      <c r="A2041" s="3" t="inlineStr">
        <is>
          <t>MAT-32-684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Yee de PVC drenaje 6" x 4"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855</v>
      </c>
      <c r="L2041" s="6" t="n">
        <v>855</v>
      </c>
      <c r="M2041" s="6" t="n">
        <v>855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2026-09-10</t>
        </is>
      </c>
      <c r="Q2041" s="4" t="inlineStr">
        <is>
          <t>Bellón</t>
        </is>
      </c>
      <c r="AF2041" s="4" t="inlineStr">
        <is>
          <t>tipo: yee · material: PVC drenaje · medida: 6" x 4"</t>
        </is>
      </c>
    </row>
    <row r="2042">
      <c r="A2042" s="3" t="inlineStr">
        <is>
          <t>MAT-32-685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Yee de PVC drenaje 8" x 4"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1</v>
      </c>
      <c r="K2042" s="6" t="n">
        <v>5151</v>
      </c>
      <c r="L2042" s="6" t="n">
        <v>5151</v>
      </c>
      <c r="M2042" s="6" t="n">
        <v>5151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2026-09-10</t>
        </is>
      </c>
      <c r="Q2042" s="4" t="inlineStr">
        <is>
          <t>Bellón</t>
        </is>
      </c>
      <c r="AF2042" s="4" t="inlineStr">
        <is>
          <t>tipo: yee · material: PVC drenaje · medida: 8" x 4"</t>
        </is>
      </c>
    </row>
    <row r="2043">
      <c r="A2043" s="3" t="inlineStr">
        <is>
          <t>MAT-32-686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Yee de PVC presión 3" x 2"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1</v>
      </c>
      <c r="K2043" s="6" t="n">
        <v>546</v>
      </c>
      <c r="L2043" s="6" t="n">
        <v>546</v>
      </c>
      <c r="M2043" s="6" t="n">
        <v>546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2026-09-10</t>
        </is>
      </c>
      <c r="Q2043" s="4" t="inlineStr">
        <is>
          <t>Bellón</t>
        </is>
      </c>
      <c r="AF2043" s="4" t="inlineStr">
        <is>
          <t>tipo: yee · material: PVC presión · medida: 3" x 2"</t>
        </is>
      </c>
    </row>
    <row r="2044">
      <c r="A2044" s="3" t="inlineStr">
        <is>
          <t>MAT-32-687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Yee de PVC presión 4" x 2"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429</v>
      </c>
      <c r="L2044" s="6" t="n">
        <v>429</v>
      </c>
      <c r="M2044" s="6" t="n">
        <v>429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2026-09-10</t>
        </is>
      </c>
      <c r="Q2044" s="4" t="inlineStr">
        <is>
          <t>Bellón</t>
        </is>
      </c>
      <c r="AF2044" s="4" t="inlineStr">
        <is>
          <t>tipo: yee · material: PVC presión · medida: 4" x 2"</t>
        </is>
      </c>
    </row>
    <row r="2045">
      <c r="A2045" s="3" t="inlineStr">
        <is>
          <t>MAT-32-688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angular de latón 1/2"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1</v>
      </c>
      <c r="K2045" s="6" t="n">
        <v>375</v>
      </c>
      <c r="L2045" s="6" t="n">
        <v>355</v>
      </c>
      <c r="M2045" s="6" t="n">
        <v>395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Ferremix (Grupo Alterra)</t>
        </is>
      </c>
      <c r="AF2045" s="4" t="inlineStr">
        <is>
          <t>tipo: angular · material: latón · medida: 1/2"</t>
        </is>
      </c>
    </row>
    <row r="2046">
      <c r="A2046" s="3" t="inlineStr">
        <is>
          <t>MAT-32-689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angular de metal 1/2"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2</v>
      </c>
      <c r="K2046" s="6" t="n">
        <v>271</v>
      </c>
      <c r="L2046" s="6" t="n">
        <v>140</v>
      </c>
      <c r="M2046" s="6" t="n">
        <v>565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Ferremix (Grupo Alterra) · Ferretería Cima</t>
        </is>
      </c>
      <c r="AF2046" s="4" t="inlineStr">
        <is>
          <t>tipo: angular · material: metal · medida: 1/2"</t>
        </is>
      </c>
    </row>
    <row r="2047">
      <c r="A2047" s="3" t="inlineStr">
        <is>
          <t>MAT-32-690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angular de metal 3/8"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2</v>
      </c>
      <c r="K2047" s="6" t="n">
        <v>285</v>
      </c>
      <c r="L2047" s="6" t="n">
        <v>257</v>
      </c>
      <c r="M2047" s="6" t="n">
        <v>453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Ferremix (Grupo Alterra) · Ferretería Cima</t>
        </is>
      </c>
      <c r="AF2047" s="4" t="inlineStr">
        <is>
          <t>tipo: angular · material: metal · medida: 3/8"</t>
        </is>
      </c>
    </row>
    <row r="2048">
      <c r="A2048" s="3" t="inlineStr">
        <is>
          <t>MAT-32-691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PPR 1/2"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1</v>
      </c>
      <c r="K2048" s="6" t="n">
        <v>205</v>
      </c>
      <c r="L2048" s="6" t="n">
        <v>205</v>
      </c>
      <c r="M2048" s="6" t="n">
        <v>205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</t>
        </is>
      </c>
      <c r="AF2048" s="4" t="inlineStr">
        <is>
          <t>tipo: bola · material: PPR · medida: 1/2"</t>
        </is>
      </c>
    </row>
    <row r="2049">
      <c r="A2049" s="3" t="inlineStr">
        <is>
          <t>MAT-32-692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bola de PPR 1"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1</v>
      </c>
      <c r="K2049" s="6" t="n">
        <v>270</v>
      </c>
      <c r="L2049" s="6" t="n">
        <v>270</v>
      </c>
      <c r="M2049" s="6" t="n">
        <v>270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Bellón</t>
        </is>
      </c>
      <c r="AF2049" s="4" t="inlineStr">
        <is>
          <t>tipo: bola · material: PPR · medida: 1"</t>
        </is>
      </c>
    </row>
    <row r="2050">
      <c r="A2050" s="3" t="inlineStr">
        <is>
          <t>MAT-32-693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bola de PPR 3/4"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255</v>
      </c>
      <c r="L2050" s="6" t="n">
        <v>255</v>
      </c>
      <c r="M2050" s="6" t="n">
        <v>255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Bellón</t>
        </is>
      </c>
      <c r="AF2050" s="4" t="inlineStr">
        <is>
          <t>tipo: bola · material: PPR · medida: 3/4"</t>
        </is>
      </c>
    </row>
    <row r="2051">
      <c r="A2051" s="3" t="inlineStr">
        <is>
          <t>MAT-32-694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bola de PVC 1"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1</v>
      </c>
      <c r="K2051" s="6" t="n">
        <v>388</v>
      </c>
      <c r="L2051" s="6" t="n">
        <v>388</v>
      </c>
      <c r="M2051" s="6" t="n">
        <v>388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Bellón</t>
        </is>
      </c>
      <c r="AF2051" s="4" t="inlineStr">
        <is>
          <t>tipo: bola · material: PVC · medida: 1"</t>
        </is>
      </c>
    </row>
    <row r="2052">
      <c r="A2052" s="3" t="inlineStr">
        <is>
          <t>MAT-32-695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bola de PVC 3/4"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311</v>
      </c>
      <c r="L2052" s="6" t="n">
        <v>311</v>
      </c>
      <c r="M2052" s="6" t="n">
        <v>311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Bellón</t>
        </is>
      </c>
      <c r="AF2052" s="4" t="inlineStr">
        <is>
          <t>tipo: bola · material: PVC · medida: 3/4"</t>
        </is>
      </c>
    </row>
    <row r="2053">
      <c r="A2053" s="3" t="inlineStr">
        <is>
          <t>MAT-32-696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1 1/2"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1299</v>
      </c>
      <c r="L2053" s="6" t="n">
        <v>1299</v>
      </c>
      <c r="M2053" s="6" t="n">
        <v>1299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2026-09-10</t>
        </is>
      </c>
      <c r="Q2053" s="4" t="inlineStr">
        <is>
          <t>Ferremix (Grupo Alterra)</t>
        </is>
      </c>
      <c r="AF2053" s="4" t="inlineStr">
        <is>
          <t>tipo: compuerta · material: latón · medida: 1 1/2"</t>
        </is>
      </c>
    </row>
    <row r="2054">
      <c r="A2054" s="3" t="inlineStr">
        <is>
          <t>MAT-32-697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1 1/4"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1075</v>
      </c>
      <c r="L2054" s="6" t="n">
        <v>1075</v>
      </c>
      <c r="M2054" s="6" t="n">
        <v>1075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2026-09-10</t>
        </is>
      </c>
      <c r="Q2054" s="4" t="inlineStr">
        <is>
          <t>Ferremix (Grupo Alterra)</t>
        </is>
      </c>
      <c r="AF2054" s="4" t="inlineStr">
        <is>
          <t>tipo: compuerta · material: latón · medida: 1 1/4"</t>
        </is>
      </c>
    </row>
    <row r="2055">
      <c r="A2055" s="3" t="inlineStr">
        <is>
          <t>MAT-32-698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compuerta de latón 1/2"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355</v>
      </c>
      <c r="L2055" s="6" t="n">
        <v>355</v>
      </c>
      <c r="M2055" s="6" t="n">
        <v>355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2026-09-10</t>
        </is>
      </c>
      <c r="Q2055" s="4" t="inlineStr">
        <is>
          <t>Ferremix (Grupo Alterra)</t>
        </is>
      </c>
      <c r="AF2055" s="4" t="inlineStr">
        <is>
          <t>tipo: compuerta · material: latón · medida: 1/2"</t>
        </is>
      </c>
    </row>
    <row r="2056">
      <c r="A2056" s="3" t="inlineStr">
        <is>
          <t>MAT-32-699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compuerta de latón 1"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655</v>
      </c>
      <c r="L2056" s="6" t="n">
        <v>655</v>
      </c>
      <c r="M2056" s="6" t="n">
        <v>655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2026-09-10</t>
        </is>
      </c>
      <c r="Q2056" s="4" t="inlineStr">
        <is>
          <t>Ferremix (Grupo Alterra)</t>
        </is>
      </c>
      <c r="AF2056" s="4" t="inlineStr">
        <is>
          <t>tipo: compuerta · material: latón · medida: 1"</t>
        </is>
      </c>
    </row>
    <row r="2057">
      <c r="A2057" s="3" t="inlineStr">
        <is>
          <t>MAT-32-700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compuerta de latón 2"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1855</v>
      </c>
      <c r="L2057" s="6" t="n">
        <v>1855</v>
      </c>
      <c r="M2057" s="6" t="n">
        <v>1855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2026-09-10</t>
        </is>
      </c>
      <c r="Q2057" s="4" t="inlineStr">
        <is>
          <t>Ferremix (Grupo Alterra)</t>
        </is>
      </c>
      <c r="AF2057" s="4" t="inlineStr">
        <is>
          <t>tipo: compuerta · material: latón · medida: 2"</t>
        </is>
      </c>
    </row>
    <row r="2058">
      <c r="A2058" s="3" t="inlineStr">
        <is>
          <t>MAT-32-701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compuerta de latón 3/4"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449</v>
      </c>
      <c r="L2058" s="6" t="n">
        <v>449</v>
      </c>
      <c r="M2058" s="6" t="n">
        <v>449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2026-09-10</t>
        </is>
      </c>
      <c r="Q2058" s="4" t="inlineStr">
        <is>
          <t>Ferremix (Grupo Alterra)</t>
        </is>
      </c>
      <c r="AF2058" s="4" t="inlineStr">
        <is>
          <t>tipo: compuerta · material: latón · medida: 3/4"</t>
        </is>
      </c>
    </row>
    <row r="2059">
      <c r="A2059" s="3" t="inlineStr">
        <is>
          <t>MAT-32-702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CPVC 1/2"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435</v>
      </c>
      <c r="L2059" s="6" t="n">
        <v>435</v>
      </c>
      <c r="M2059" s="6" t="n">
        <v>435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F2059" s="4" t="inlineStr">
        <is>
          <t>tipo: de bola · material: CPVC · medida: 1/2"</t>
        </is>
      </c>
    </row>
    <row r="2060">
      <c r="A2060" s="3" t="inlineStr">
        <is>
          <t>MAT-32-703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1 1/2"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1961</v>
      </c>
      <c r="L2060" s="6" t="n">
        <v>1961</v>
      </c>
      <c r="M2060" s="6" t="n">
        <v>1961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F2060" s="4" t="inlineStr">
        <is>
          <t>tipo: de bola · material: metal · medida: 1 1/2"</t>
        </is>
      </c>
    </row>
    <row r="2061">
      <c r="A2061" s="3" t="inlineStr">
        <is>
          <t>MAT-32-704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1/2"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545</v>
      </c>
      <c r="L2061" s="6" t="n">
        <v>259</v>
      </c>
      <c r="M2061" s="6" t="n">
        <v>635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F2061" s="4" t="inlineStr">
        <is>
          <t>tipo: de bola · material: metal · medida: 1/2"</t>
        </is>
      </c>
    </row>
    <row r="2062">
      <c r="A2062" s="3" t="inlineStr">
        <is>
          <t>MAT-32-705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1/4"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343</v>
      </c>
      <c r="L2062" s="6" t="n">
        <v>343</v>
      </c>
      <c r="M2062" s="6" t="n">
        <v>343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F2062" s="4" t="inlineStr">
        <is>
          <t>tipo: de bola · material: metal · medida: 1/4"</t>
        </is>
      </c>
    </row>
    <row r="2063">
      <c r="A2063" s="3" t="inlineStr">
        <is>
          <t>MAT-32-706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metal 1"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831</v>
      </c>
      <c r="L2063" s="6" t="n">
        <v>831</v>
      </c>
      <c r="M2063" s="6" t="n">
        <v>831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2026-09-09</t>
        </is>
      </c>
      <c r="Q2063" s="4" t="inlineStr">
        <is>
          <t>Ferretería Cima</t>
        </is>
      </c>
      <c r="AF2063" s="4" t="inlineStr">
        <is>
          <t>tipo: de bola · material: metal · medida: 1"</t>
        </is>
      </c>
    </row>
    <row r="2064">
      <c r="A2064" s="3" t="inlineStr">
        <is>
          <t>MAT-32-707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metal 2"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3227</v>
      </c>
      <c r="L2064" s="6" t="n">
        <v>3227</v>
      </c>
      <c r="M2064" s="6" t="n">
        <v>3227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F2064" s="4" t="inlineStr">
        <is>
          <t>tipo: de bola · material: metal · medida: 2"</t>
        </is>
      </c>
    </row>
    <row r="2065">
      <c r="A2065" s="3" t="inlineStr">
        <is>
          <t>MAT-32-708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metal 3/4"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592.5</v>
      </c>
      <c r="L2065" s="6" t="n">
        <v>555</v>
      </c>
      <c r="M2065" s="6" t="n">
        <v>630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tipo: de bola · material: metal · medida: 3/4"</t>
        </is>
      </c>
    </row>
    <row r="2066">
      <c r="A2066" s="3" t="inlineStr">
        <is>
          <t>MAT-32-709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metal 3/8"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336</v>
      </c>
      <c r="L2066" s="6" t="n">
        <v>327</v>
      </c>
      <c r="M2066" s="6" t="n">
        <v>455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F2066" s="4" t="inlineStr">
        <is>
          <t>tipo: de bola · material: metal · medida: 3/8"</t>
        </is>
      </c>
    </row>
    <row r="2067">
      <c r="A2067" s="3" t="inlineStr">
        <is>
          <t>MAT-32-710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1 1/2"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465</v>
      </c>
      <c r="L2067" s="6" t="n">
        <v>465</v>
      </c>
      <c r="M2067" s="6" t="n">
        <v>465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F2067" s="4" t="inlineStr">
        <is>
          <t>tipo: de bola · material: PVC · medida: 1 1/2"</t>
        </is>
      </c>
    </row>
    <row r="2068">
      <c r="A2068" s="3" t="inlineStr">
        <is>
          <t>MAT-32-711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bola de PVC 1/2"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83</v>
      </c>
      <c r="L2068" s="6" t="n">
        <v>41</v>
      </c>
      <c r="M2068" s="6" t="n">
        <v>125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F2068" s="4" t="inlineStr">
        <is>
          <t>tipo: de bola · material: PVC · medida: 1/2"</t>
        </is>
      </c>
    </row>
    <row r="2069">
      <c r="A2069" s="3" t="inlineStr">
        <is>
          <t>MAT-32-712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bola de PVC 1"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170</v>
      </c>
      <c r="L2069" s="6" t="n">
        <v>170</v>
      </c>
      <c r="M2069" s="6" t="n">
        <v>170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F2069" s="4" t="inlineStr">
        <is>
          <t>tipo: de bola · material: PVC · medida: 1"</t>
        </is>
      </c>
    </row>
    <row r="2070">
      <c r="A2070" s="3" t="inlineStr">
        <is>
          <t>MAT-32-713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bola de PVC 2"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616</v>
      </c>
      <c r="L2070" s="6" t="n">
        <v>616</v>
      </c>
      <c r="M2070" s="6" t="n">
        <v>616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F2070" s="4" t="inlineStr">
        <is>
          <t>tipo: de bola · material: PVC · medida: 2"</t>
        </is>
      </c>
    </row>
    <row r="2071">
      <c r="A2071" s="3" t="inlineStr">
        <is>
          <t>MAT-32-714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bola de PVC 3/4"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116</v>
      </c>
      <c r="L2071" s="6" t="n">
        <v>107</v>
      </c>
      <c r="M2071" s="6" t="n">
        <v>125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F2071" s="4" t="inlineStr">
        <is>
          <t>tipo: de bola · material: PVC · medida: 3/4"</t>
        </is>
      </c>
    </row>
    <row r="2072">
      <c r="A2072" s="3" t="inlineStr">
        <is>
          <t>MAT-32-715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compuerta de metal 1 1/2"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2262</v>
      </c>
      <c r="L2072" s="6" t="n">
        <v>2262</v>
      </c>
      <c r="M2072" s="6" t="n">
        <v>2262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2026-09-09</t>
        </is>
      </c>
      <c r="Q2072" s="4" t="inlineStr">
        <is>
          <t>Ferretería Cima</t>
        </is>
      </c>
      <c r="AF2072" s="4" t="inlineStr">
        <is>
          <t>tipo: de compuerta · material: metal · medida: 1 1/2"</t>
        </is>
      </c>
    </row>
    <row r="2073">
      <c r="A2073" s="3" t="inlineStr">
        <is>
          <t>MAT-32-716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compuerta de metal 1/2"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858</v>
      </c>
      <c r="L2073" s="6" t="n">
        <v>858</v>
      </c>
      <c r="M2073" s="6" t="n">
        <v>858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2026-09-09</t>
        </is>
      </c>
      <c r="Q2073" s="4" t="inlineStr">
        <is>
          <t>Ferretería Cima</t>
        </is>
      </c>
      <c r="AF2073" s="4" t="inlineStr">
        <is>
          <t>tipo: de compuerta · material: metal · medida: 1/2"</t>
        </is>
      </c>
    </row>
    <row r="2074">
      <c r="A2074" s="3" t="inlineStr">
        <is>
          <t>MAT-32-717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de compuerta de metal 1"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1</v>
      </c>
      <c r="K2074" s="6" t="n">
        <v>1595</v>
      </c>
      <c r="L2074" s="6" t="n">
        <v>1595</v>
      </c>
      <c r="M2074" s="6" t="n">
        <v>1595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2026-09-09</t>
        </is>
      </c>
      <c r="Q2074" s="4" t="inlineStr">
        <is>
          <t>Ferretería Cima</t>
        </is>
      </c>
      <c r="AF2074" s="4" t="inlineStr">
        <is>
          <t>tipo: de compuerta · material: metal · medida: 1"</t>
        </is>
      </c>
    </row>
    <row r="2075">
      <c r="A2075" s="3" t="inlineStr">
        <is>
          <t>MAT-32-718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de compuerta de metal 3/4"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1248</v>
      </c>
      <c r="L2075" s="6" t="n">
        <v>1248</v>
      </c>
      <c r="M2075" s="6" t="n">
        <v>1248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2026-09-09</t>
        </is>
      </c>
      <c r="Q2075" s="4" t="inlineStr">
        <is>
          <t>Ferretería Cima</t>
        </is>
      </c>
      <c r="AF2075" s="4" t="inlineStr">
        <is>
          <t>tipo: de compuerta · material: metal · medida: 3/4"</t>
        </is>
      </c>
    </row>
    <row r="2076">
      <c r="A2076" s="3" t="inlineStr">
        <is>
          <t>MAT-32-719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de rosca macho de metal 1/2"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1</v>
      </c>
      <c r="K2076" s="6" t="n">
        <v>875</v>
      </c>
      <c r="L2076" s="6" t="n">
        <v>338</v>
      </c>
      <c r="M2076" s="6" t="n">
        <v>1071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2026-09-09</t>
        </is>
      </c>
      <c r="Q2076" s="4" t="inlineStr">
        <is>
          <t>Ferretería Cima</t>
        </is>
      </c>
      <c r="AF2076" s="4" t="inlineStr">
        <is>
          <t>tipo: de rosca macho · material: metal · medida: 1/2"</t>
        </is>
      </c>
    </row>
    <row r="2077">
      <c r="A2077" s="3" t="inlineStr">
        <is>
          <t>MAT-32-720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Llave de paso de rosca macho de metal 3/4"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1</v>
      </c>
      <c r="K2077" s="6" t="n">
        <v>816</v>
      </c>
      <c r="L2077" s="6" t="n">
        <v>487</v>
      </c>
      <c r="M2077" s="6" t="n">
        <v>1145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2026-09-09</t>
        </is>
      </c>
      <c r="Q2077" s="4" t="inlineStr">
        <is>
          <t>Ferretería Cima</t>
        </is>
      </c>
      <c r="AF2077" s="4" t="inlineStr">
        <is>
          <t>tipo: de rosca macho · material: metal · medida: 3/4"</t>
        </is>
      </c>
    </row>
    <row r="2078">
      <c r="A2078" s="3" t="inlineStr">
        <is>
          <t>MAT-32-721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1 1/2"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2</v>
      </c>
      <c r="K2078" s="6" t="n">
        <v>1858</v>
      </c>
      <c r="L2078" s="6" t="n">
        <v>995</v>
      </c>
      <c r="M2078" s="6" t="n">
        <v>2465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2026-09-10</t>
        </is>
      </c>
      <c r="Q2078" s="4" t="inlineStr">
        <is>
          <t>Bellón · Ferretería Cima</t>
        </is>
      </c>
      <c r="AF2078" s="4" t="inlineStr">
        <is>
          <t>medida: 1 1/2"</t>
        </is>
      </c>
    </row>
    <row r="2079">
      <c r="A2079" s="3" t="inlineStr">
        <is>
          <t>MAT-32-722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1 1/4"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1</v>
      </c>
      <c r="K2079" s="6" t="n">
        <v>1444.5</v>
      </c>
      <c r="L2079" s="6" t="n">
        <v>1394</v>
      </c>
      <c r="M2079" s="6" t="n">
        <v>1495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2026-09-10</t>
        </is>
      </c>
      <c r="Q2079" s="4" t="inlineStr">
        <is>
          <t>Bellón</t>
        </is>
      </c>
      <c r="AF2079" s="4" t="inlineStr">
        <is>
          <t>medida: 1 1/4"</t>
        </is>
      </c>
    </row>
    <row r="2080">
      <c r="A2080" s="3" t="inlineStr">
        <is>
          <t>MAT-32-723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1/2"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2</v>
      </c>
      <c r="K2080" s="6" t="n">
        <v>535</v>
      </c>
      <c r="L2080" s="6" t="n">
        <v>502</v>
      </c>
      <c r="M2080" s="6" t="n">
        <v>629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2026-09-10</t>
        </is>
      </c>
      <c r="Q2080" s="4" t="inlineStr">
        <is>
          <t>Bellón · Ferretería Cima</t>
        </is>
      </c>
      <c r="AF2080" s="4" t="inlineStr">
        <is>
          <t>medida: 1/2"</t>
        </is>
      </c>
    </row>
    <row r="2081">
      <c r="A2081" s="3" t="inlineStr">
        <is>
          <t>MAT-32-724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1"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2</v>
      </c>
      <c r="K2081" s="6" t="n">
        <v>955</v>
      </c>
      <c r="L2081" s="6" t="n">
        <v>399</v>
      </c>
      <c r="M2081" s="6" t="n">
        <v>1073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Bellón · Ferretería Cima</t>
        </is>
      </c>
      <c r="AF2081" s="4" t="inlineStr">
        <is>
          <t>medida: 1"</t>
        </is>
      </c>
    </row>
    <row r="2082">
      <c r="A2082" s="3" t="inlineStr">
        <is>
          <t>MAT-32-725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retención (cheque) 2"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2</v>
      </c>
      <c r="K2082" s="6" t="n">
        <v>2864</v>
      </c>
      <c r="L2082" s="6" t="n">
        <v>435</v>
      </c>
      <c r="M2082" s="6" t="n">
        <v>3499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2026-09-10</t>
        </is>
      </c>
      <c r="Q2082" s="4" t="inlineStr">
        <is>
          <t>Bellón · Ferretería Cima</t>
        </is>
      </c>
      <c r="AF2082" s="4" t="inlineStr">
        <is>
          <t>medida: 2"</t>
        </is>
      </c>
    </row>
    <row r="2083">
      <c r="A2083" s="3" t="inlineStr">
        <is>
          <t>MAT-32-726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retención (cheque) 3/4"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2</v>
      </c>
      <c r="K2083" s="6" t="n">
        <v>695</v>
      </c>
      <c r="L2083" s="6" t="n">
        <v>586</v>
      </c>
      <c r="M2083" s="6" t="n">
        <v>975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2026-09-10</t>
        </is>
      </c>
      <c r="Q2083" s="4" t="inlineStr">
        <is>
          <t>Bellón · Ferretería Cima</t>
        </is>
      </c>
      <c r="AF2083" s="4" t="inlineStr">
        <is>
          <t>medida: 3/4"</t>
        </is>
      </c>
    </row>
    <row r="2084">
      <c r="A2084" s="3" t="inlineStr">
        <is>
          <t>MAT-32-727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Válvula de retención (cheque) 3"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7885</v>
      </c>
      <c r="L2084" s="6" t="n">
        <v>6059</v>
      </c>
      <c r="M2084" s="6" t="n">
        <v>11058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2026-09-10</t>
        </is>
      </c>
      <c r="Q2084" s="4" t="inlineStr">
        <is>
          <t>Bellón</t>
        </is>
      </c>
      <c r="AF2084" s="4" t="inlineStr">
        <is>
          <t>medida: 3"</t>
        </is>
      </c>
    </row>
    <row r="2085">
      <c r="A2085" s="3" t="inlineStr">
        <is>
          <t>MAT-32-728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Válvula de retención (cheque) 4"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1</v>
      </c>
      <c r="K2085" s="6" t="n">
        <v>14372</v>
      </c>
      <c r="L2085" s="6" t="n">
        <v>12582</v>
      </c>
      <c r="M2085" s="6" t="n">
        <v>18722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2026-09-10</t>
        </is>
      </c>
      <c r="Q2085" s="4" t="inlineStr">
        <is>
          <t>Bellón</t>
        </is>
      </c>
      <c r="AF2085" s="4" t="inlineStr">
        <is>
          <t>medida: 4"</t>
        </is>
      </c>
    </row>
    <row r="2086">
      <c r="A2086" s="3" t="inlineStr">
        <is>
          <t>MAT-32-729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Válvula de cisterna con flotante 1/2"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734.5</v>
      </c>
      <c r="L2086" s="6" t="n">
        <v>616</v>
      </c>
      <c r="M2086" s="6" t="n">
        <v>853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F2086" s="4" t="inlineStr">
        <is>
          <t>medida: 1/2"</t>
        </is>
      </c>
    </row>
    <row r="2087">
      <c r="A2087" s="3" t="inlineStr">
        <is>
          <t>MAT-32-730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Válvula de cisterna con flotante 3/4"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1</v>
      </c>
      <c r="K2087" s="6" t="n">
        <v>943</v>
      </c>
      <c r="L2087" s="6" t="n">
        <v>615</v>
      </c>
      <c r="M2087" s="6" t="n">
        <v>1271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2026-09-09</t>
        </is>
      </c>
      <c r="Q2087" s="4" t="inlineStr">
        <is>
          <t>Ferretería Cima</t>
        </is>
      </c>
      <c r="AF2087" s="4" t="inlineStr">
        <is>
          <t>medida: 3/4"</t>
        </is>
      </c>
    </row>
    <row r="2088">
      <c r="A2088" s="3" t="inlineStr">
        <is>
          <t>MAT-32-731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10 x 10 cm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1</v>
      </c>
      <c r="K2088" s="6" t="n">
        <v>310</v>
      </c>
      <c r="L2088" s="6" t="n">
        <v>306</v>
      </c>
      <c r="M2088" s="6" t="n">
        <v>685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2026-09-09</t>
        </is>
      </c>
      <c r="Q2088" s="4" t="inlineStr">
        <is>
          <t>Ferretería Cima</t>
        </is>
      </c>
      <c r="AF2088" s="4" t="inlineStr">
        <is>
          <t>medida: 10 x 10 cm</t>
        </is>
      </c>
    </row>
    <row r="2089">
      <c r="A2089" s="3" t="inlineStr">
        <is>
          <t>MAT-32-732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100 x 100 cm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1173</v>
      </c>
      <c r="L2089" s="6" t="n">
        <v>1173</v>
      </c>
      <c r="M2089" s="6" t="n">
        <v>1173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F2089" s="4" t="inlineStr">
        <is>
          <t>medida: 100 x 100 cm</t>
        </is>
      </c>
    </row>
    <row r="2090">
      <c r="A2090" s="3" t="inlineStr">
        <is>
          <t>MAT-32-733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10"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1196</v>
      </c>
      <c r="L2090" s="6" t="n">
        <v>968</v>
      </c>
      <c r="M2090" s="6" t="n">
        <v>1510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F2090" s="4" t="inlineStr">
        <is>
          <t>medida: 10" · material: acero inoxidable</t>
        </is>
      </c>
    </row>
    <row r="2091">
      <c r="A2091" s="3" t="inlineStr">
        <is>
          <t>MAT-32-734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15 x 15 cm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1233.5</v>
      </c>
      <c r="L2091" s="6" t="n">
        <v>413</v>
      </c>
      <c r="M2091" s="6" t="n">
        <v>2054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F2091" s="4" t="inlineStr">
        <is>
          <t>medida: 15 x 15 cm · material: acero inoxidable</t>
        </is>
      </c>
    </row>
    <row r="2092">
      <c r="A2092" s="3" t="inlineStr">
        <is>
          <t>MAT-32-735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20 x 20 cm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572</v>
      </c>
      <c r="L2092" s="6" t="n">
        <v>572</v>
      </c>
      <c r="M2092" s="6" t="n">
        <v>572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F2092" s="4" t="inlineStr">
        <is>
          <t>medida: 20 x 20 cm</t>
        </is>
      </c>
    </row>
    <row r="2093">
      <c r="A2093" s="3" t="inlineStr">
        <is>
          <t>MAT-32-736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2"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648</v>
      </c>
      <c r="L2093" s="6" t="n">
        <v>199</v>
      </c>
      <c r="M2093" s="6" t="n">
        <v>858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2026-09-09</t>
        </is>
      </c>
      <c r="Q2093" s="4" t="inlineStr">
        <is>
          <t>Ferretería Cima</t>
        </is>
      </c>
      <c r="AF2093" s="4" t="inlineStr">
        <is>
          <t>medida: 2" · material: aluminio</t>
        </is>
      </c>
    </row>
    <row r="2094">
      <c r="A2094" s="3" t="inlineStr">
        <is>
          <t>MAT-32-737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3 1/2"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384.5</v>
      </c>
      <c r="L2094" s="6" t="n">
        <v>368</v>
      </c>
      <c r="M2094" s="6" t="n">
        <v>401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F2094" s="4" t="inlineStr">
        <is>
          <t>medida: 3 1/2"</t>
        </is>
      </c>
    </row>
    <row r="2095">
      <c r="A2095" s="3" t="inlineStr">
        <is>
          <t>MAT-32-738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3"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460.5</v>
      </c>
      <c r="L2095" s="6" t="n">
        <v>356</v>
      </c>
      <c r="M2095" s="6" t="n">
        <v>565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F2095" s="4" t="inlineStr">
        <is>
          <t>medida: 3" · material: aluminio</t>
        </is>
      </c>
    </row>
    <row r="2096">
      <c r="A2096" s="3" t="inlineStr">
        <is>
          <t>MAT-32-739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Rejilla de piso 4"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481.5</v>
      </c>
      <c r="L2096" s="6" t="n">
        <v>453</v>
      </c>
      <c r="M2096" s="6" t="n">
        <v>510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2026-09-09</t>
        </is>
      </c>
      <c r="Q2096" s="4" t="inlineStr">
        <is>
          <t>Ferretería Cima</t>
        </is>
      </c>
      <c r="AF2096" s="4" t="inlineStr">
        <is>
          <t>medida: 4" · material: aluminio</t>
        </is>
      </c>
    </row>
    <row r="2097">
      <c r="A2097" s="3" t="inlineStr">
        <is>
          <t>MAT-32-740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Rejilla de piso 6 x 6"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3129</v>
      </c>
      <c r="L2097" s="6" t="n">
        <v>3129</v>
      </c>
      <c r="M2097" s="6" t="n">
        <v>3129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2026-09-10</t>
        </is>
      </c>
      <c r="Q2097" s="4" t="inlineStr">
        <is>
          <t>Ferremix (Grupo Alterra)</t>
        </is>
      </c>
      <c r="AF2097" s="4" t="inlineStr">
        <is>
          <t>medida: 6 x 6"</t>
        </is>
      </c>
    </row>
    <row r="2098">
      <c r="A2098" s="3" t="inlineStr">
        <is>
          <t>MAT-32-741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Rejilla de piso 6"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2403</v>
      </c>
      <c r="L2098" s="6" t="n">
        <v>2403</v>
      </c>
      <c r="M2098" s="6" t="n">
        <v>2403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F2098" s="4" t="inlineStr">
        <is>
          <t>medida: 6" · material: aluminio</t>
        </is>
      </c>
    </row>
    <row r="2099">
      <c r="A2099" s="3" t="inlineStr">
        <is>
          <t>MAT-32-742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Rejilla de piso 80 x 80 cm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865</v>
      </c>
      <c r="L2099" s="6" t="n">
        <v>865</v>
      </c>
      <c r="M2099" s="6" t="n">
        <v>865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F2099" s="4" t="inlineStr">
        <is>
          <t>medida: 80 x 80 cm</t>
        </is>
      </c>
    </row>
    <row r="2100">
      <c r="A2100" s="3" t="inlineStr">
        <is>
          <t>MAT-32-743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metal cromado para desagüe 1 1/4"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1425</v>
      </c>
      <c r="L2100" s="6" t="n">
        <v>1425</v>
      </c>
      <c r="M2100" s="6" t="n">
        <v>1425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E2100" s="7" t="inlineStr">
        <is>
          <t>desagüe</t>
        </is>
      </c>
      <c r="AF2100" s="4" t="inlineStr">
        <is>
          <t>material: metal cromado · medida: 1 1/4"</t>
        </is>
      </c>
    </row>
    <row r="2101">
      <c r="A2101" s="3" t="inlineStr">
        <is>
          <t>MAT-32-744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PVC para desagüe 1 1/2"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501.5</v>
      </c>
      <c r="L2101" s="6" t="n">
        <v>356</v>
      </c>
      <c r="M2101" s="6" t="n">
        <v>647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2026-09-09</t>
        </is>
      </c>
      <c r="Q2101" s="4" t="inlineStr">
        <is>
          <t>Ferretería Cima</t>
        </is>
      </c>
      <c r="AE2101" s="7" t="inlineStr">
        <is>
          <t>desagüe</t>
        </is>
      </c>
      <c r="AF2101" s="4" t="inlineStr">
        <is>
          <t>material: PVC · medida: 1 1/2"</t>
        </is>
      </c>
    </row>
    <row r="2102">
      <c r="A2102" s="3" t="inlineStr">
        <is>
          <t>MAT-32-745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PVC para desagüe 2"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225</v>
      </c>
      <c r="L2102" s="6" t="n">
        <v>225</v>
      </c>
      <c r="M2102" s="6" t="n">
        <v>225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2026-09-09</t>
        </is>
      </c>
      <c r="Q2102" s="4" t="inlineStr">
        <is>
          <t>Ferretería Cima</t>
        </is>
      </c>
      <c r="AE2102" s="7" t="inlineStr">
        <is>
          <t>desagüe</t>
        </is>
      </c>
      <c r="AF2102" s="4" t="inlineStr">
        <is>
          <t>material: PVC · medida: 2"</t>
        </is>
      </c>
    </row>
    <row r="2103">
      <c r="A2103" s="3" t="inlineStr">
        <is>
          <t>MAT-32-746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PVC para fregadero 1 1/2"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475</v>
      </c>
      <c r="L2103" s="6" t="n">
        <v>475</v>
      </c>
      <c r="M2103" s="6" t="n">
        <v>475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2026-09-09</t>
        </is>
      </c>
      <c r="Q2103" s="4" t="inlineStr">
        <is>
          <t>Ferretería Cima</t>
        </is>
      </c>
      <c r="AE2103" s="7" t="inlineStr">
        <is>
          <t>fregadero</t>
        </is>
      </c>
      <c r="AF2103" s="4" t="inlineStr">
        <is>
          <t>material: PVC · medida: 1 1/2"</t>
        </is>
      </c>
    </row>
    <row r="2104">
      <c r="A2104" s="3" t="inlineStr">
        <is>
          <t>MAT-32-747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PVC para fregadero 1 1/4"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585</v>
      </c>
      <c r="L2104" s="6" t="n">
        <v>585</v>
      </c>
      <c r="M2104" s="6" t="n">
        <v>585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2026-09-09</t>
        </is>
      </c>
      <c r="Q2104" s="4" t="inlineStr">
        <is>
          <t>Ferretería Cima</t>
        </is>
      </c>
      <c r="AE2104" s="7" t="inlineStr">
        <is>
          <t>fregadero</t>
        </is>
      </c>
      <c r="AF2104" s="4" t="inlineStr">
        <is>
          <t>material: PVC · medida: 1 1/4"</t>
        </is>
      </c>
    </row>
    <row r="2105">
      <c r="A2105" s="3" t="inlineStr">
        <is>
          <t>MAT-32-748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metal para lavamanos 1 1/2"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1</v>
      </c>
      <c r="K2105" s="6" t="n">
        <v>1252</v>
      </c>
      <c r="L2105" s="6" t="n">
        <v>1252</v>
      </c>
      <c r="M2105" s="6" t="n">
        <v>1252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2026-09-10</t>
        </is>
      </c>
      <c r="Q2105" s="4" t="inlineStr">
        <is>
          <t>Bellón</t>
        </is>
      </c>
      <c r="AE2105" s="7" t="inlineStr">
        <is>
          <t>lavamanos</t>
        </is>
      </c>
      <c r="AF2105" s="4" t="inlineStr">
        <is>
          <t>material: metal · medida: 1 1/2"</t>
        </is>
      </c>
    </row>
    <row r="2106">
      <c r="A2106" s="3" t="inlineStr">
        <is>
          <t>MAT-32-749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metal para lavamanos 1 1/4"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1274</v>
      </c>
      <c r="L2106" s="6" t="n">
        <v>1274</v>
      </c>
      <c r="M2106" s="6" t="n">
        <v>1274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2026-09-10</t>
        </is>
      </c>
      <c r="Q2106" s="4" t="inlineStr">
        <is>
          <t>Bellón</t>
        </is>
      </c>
      <c r="AE2106" s="7" t="inlineStr">
        <is>
          <t>lavamanos</t>
        </is>
      </c>
      <c r="AF2106" s="4" t="inlineStr">
        <is>
          <t>material: metal · medida: 1 1/4"</t>
        </is>
      </c>
    </row>
    <row r="2107">
      <c r="A2107" s="3" t="inlineStr">
        <is>
          <t>MAT-32-750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Sifón de metal para lavamanos 1/4"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925</v>
      </c>
      <c r="L2107" s="6" t="n">
        <v>925</v>
      </c>
      <c r="M2107" s="6" t="n">
        <v>925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2026-09-10</t>
        </is>
      </c>
      <c r="Q2107" s="4" t="inlineStr">
        <is>
          <t>Ferremix (Grupo Alterra)</t>
        </is>
      </c>
      <c r="AE2107" s="7" t="inlineStr">
        <is>
          <t>lavamanos</t>
        </is>
      </c>
      <c r="AF2107" s="4" t="inlineStr">
        <is>
          <t>material: metal · medida: 1/4"</t>
        </is>
      </c>
    </row>
    <row r="2108">
      <c r="A2108" s="3" t="inlineStr">
        <is>
          <t>MAT-32-751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Sifón de PVC para lavamanos 1 1/2"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1</v>
      </c>
      <c r="K2108" s="6" t="n">
        <v>150</v>
      </c>
      <c r="L2108" s="6" t="n">
        <v>70.38</v>
      </c>
      <c r="M2108" s="6" t="n">
        <v>912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2026-09-10</t>
        </is>
      </c>
      <c r="Q2108" s="4" t="inlineStr">
        <is>
          <t>Bellón</t>
        </is>
      </c>
      <c r="AE2108" s="7" t="inlineStr">
        <is>
          <t>lavamanos</t>
        </is>
      </c>
      <c r="AF2108" s="4" t="inlineStr">
        <is>
          <t>material: PVC · medida: 1 1/2"</t>
        </is>
      </c>
    </row>
    <row r="2109">
      <c r="A2109" s="3" t="inlineStr">
        <is>
          <t>MAT-32-752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Sifón de PVC para lavamanos 1 1/4"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2</v>
      </c>
      <c r="K2109" s="6" t="n">
        <v>312.5</v>
      </c>
      <c r="L2109" s="6" t="n">
        <v>93.86</v>
      </c>
      <c r="M2109" s="6" t="n">
        <v>345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2026-09-10</t>
        </is>
      </c>
      <c r="Q2109" s="4" t="inlineStr">
        <is>
          <t>Bellón · Ferremix (Grupo Alterra)</t>
        </is>
      </c>
      <c r="AE2109" s="7" t="inlineStr">
        <is>
          <t>lavamanos</t>
        </is>
      </c>
      <c r="AF2109" s="4" t="inlineStr">
        <is>
          <t>material: PVC · medida: 1 1/4"</t>
        </is>
      </c>
    </row>
    <row r="2110">
      <c r="A2110" s="3" t="inlineStr">
        <is>
          <t>MAT-32-753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Sifón de PVC para lavamanos 2"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1</v>
      </c>
      <c r="K2110" s="6" t="n">
        <v>96.84999999999999</v>
      </c>
      <c r="L2110" s="6" t="n">
        <v>81.5</v>
      </c>
      <c r="M2110" s="6" t="n">
        <v>112.21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2026-09-10</t>
        </is>
      </c>
      <c r="Q2110" s="4" t="inlineStr">
        <is>
          <t>Bellón</t>
        </is>
      </c>
      <c r="AE2110" s="7" t="inlineStr">
        <is>
          <t>lavamanos</t>
        </is>
      </c>
      <c r="AF2110" s="4" t="inlineStr">
        <is>
          <t>material: PVC · medida: 2"</t>
        </is>
      </c>
    </row>
    <row r="2111">
      <c r="A2111" s="3" t="inlineStr">
        <is>
          <t>MAT-32-754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metal para fregadero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1</v>
      </c>
      <c r="K2111" s="6" t="n">
        <v>470</v>
      </c>
      <c r="L2111" s="6" t="n">
        <v>470</v>
      </c>
      <c r="M2111" s="6" t="n">
        <v>470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2026-09-09</t>
        </is>
      </c>
      <c r="Q2111" s="4" t="inlineStr">
        <is>
          <t>Ferretería Cima</t>
        </is>
      </c>
      <c r="AE2111" s="7" t="inlineStr">
        <is>
          <t>fregadero</t>
        </is>
      </c>
      <c r="AF2111" s="4" t="inlineStr">
        <is>
          <t>material: metal</t>
        </is>
      </c>
    </row>
    <row r="2112">
      <c r="A2112" s="3" t="inlineStr">
        <is>
          <t>MAT-32-755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Boquilla de desagüe de plástico para fregadero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2</v>
      </c>
      <c r="K2112" s="6" t="n">
        <v>563.55</v>
      </c>
      <c r="L2112" s="6" t="n">
        <v>285</v>
      </c>
      <c r="M2112" s="6" t="n">
        <v>842.11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2026-09-10</t>
        </is>
      </c>
      <c r="Q2112" s="4" t="inlineStr">
        <is>
          <t>CerArte · Ferretería Cima</t>
        </is>
      </c>
      <c r="AE2112" s="7" t="inlineStr">
        <is>
          <t>fregadero</t>
        </is>
      </c>
      <c r="AF2112" s="4" t="inlineStr">
        <is>
          <t>material: plástico</t>
        </is>
      </c>
    </row>
    <row r="2113">
      <c r="A2113" s="3" t="inlineStr">
        <is>
          <t>MAT-32-756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Boquilla de desagüe de metal para lavadero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1</v>
      </c>
      <c r="K2113" s="6" t="n">
        <v>429</v>
      </c>
      <c r="L2113" s="6" t="n">
        <v>429</v>
      </c>
      <c r="M2113" s="6" t="n">
        <v>429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2026-09-09</t>
        </is>
      </c>
      <c r="Q2113" s="4" t="inlineStr">
        <is>
          <t>Ferretería Cima</t>
        </is>
      </c>
      <c r="AE2113" s="7" t="inlineStr">
        <is>
          <t>lavadero</t>
        </is>
      </c>
      <c r="AF2113" s="4" t="inlineStr">
        <is>
          <t>material: metal</t>
        </is>
      </c>
    </row>
    <row r="2114">
      <c r="A2114" s="3" t="inlineStr">
        <is>
          <t>MAT-32-757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Boquilla de desagüe de metal para lavamanos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2</v>
      </c>
      <c r="K2114" s="6" t="n">
        <v>1145</v>
      </c>
      <c r="L2114" s="6" t="n">
        <v>255</v>
      </c>
      <c r="M2114" s="6" t="n">
        <v>5990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2026-09-10</t>
        </is>
      </c>
      <c r="Q2114" s="4" t="inlineStr">
        <is>
          <t>Ferretería Cima · La Ibérica</t>
        </is>
      </c>
      <c r="AE2114" s="7" t="inlineStr">
        <is>
          <t>lavamanos</t>
        </is>
      </c>
      <c r="AF2114" s="4" t="inlineStr">
        <is>
          <t>material: metal</t>
        </is>
      </c>
    </row>
    <row r="2115">
      <c r="A2115" s="3" t="inlineStr">
        <is>
          <t>MAT-32-758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Boquilla de desagüe de plástico para lavamanos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2</v>
      </c>
      <c r="K2115" s="6" t="n">
        <v>955.51</v>
      </c>
      <c r="L2115" s="6" t="n">
        <v>265.5</v>
      </c>
      <c r="M2115" s="6" t="n">
        <v>5590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2026-09-10</t>
        </is>
      </c>
      <c r="Q2115" s="4" t="inlineStr">
        <is>
          <t>CerArte · La Ibérica</t>
        </is>
      </c>
      <c r="AE2115" s="7" t="inlineStr">
        <is>
          <t>lavamanos</t>
        </is>
      </c>
      <c r="AF2115" s="4" t="inlineStr">
        <is>
          <t>material: plástico</t>
        </is>
      </c>
    </row>
    <row r="2116">
      <c r="A2116" s="3" t="inlineStr">
        <is>
          <t>MAT-32-759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bomba 24"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970</v>
      </c>
      <c r="L2116" s="6" t="n">
        <v>970</v>
      </c>
      <c r="M2116" s="6" t="n">
        <v>970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bomba</t>
        </is>
      </c>
      <c r="AF2116" s="4" t="inlineStr">
        <is>
          <t>medida: 24"</t>
        </is>
      </c>
    </row>
    <row r="2117">
      <c r="A2117" s="3" t="inlineStr">
        <is>
          <t>MAT-32-760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bomba 36"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475</v>
      </c>
      <c r="L2117" s="6" t="n">
        <v>475</v>
      </c>
      <c r="M2117" s="6" t="n">
        <v>475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E2117" s="7" t="inlineStr">
        <is>
          <t>bomba</t>
        </is>
      </c>
      <c r="AF2117" s="4" t="inlineStr">
        <is>
          <t>medida: 36"</t>
        </is>
      </c>
    </row>
    <row r="2118">
      <c r="A2118" s="3" t="inlineStr">
        <is>
          <t>MAT-32-761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calentador 24"</t>
        </is>
      </c>
      <c r="E2118" s="4" t="inlineStr"/>
      <c r="F2118" s="3" t="inlineStr">
        <is>
          <t>unidad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895</v>
      </c>
      <c r="L2118" s="6" t="n">
        <v>895</v>
      </c>
      <c r="M2118" s="6" t="n">
        <v>895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E2118" s="7" t="inlineStr">
        <is>
          <t>calentador</t>
        </is>
      </c>
      <c r="AF2118" s="4" t="inlineStr">
        <is>
          <t>medida: 24"</t>
        </is>
      </c>
    </row>
    <row r="2119">
      <c r="A2119" s="3" t="inlineStr">
        <is>
          <t>MAT-32-762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calentador 3/4" x 1 pulgadas</t>
        </is>
      </c>
      <c r="E2119" s="4" t="inlineStr"/>
      <c r="F2119" s="3" t="inlineStr">
        <is>
          <t>unidad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620</v>
      </c>
      <c r="L2119" s="6" t="n">
        <v>620</v>
      </c>
      <c r="M2119" s="6" t="n">
        <v>620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E2119" s="7" t="inlineStr">
        <is>
          <t>calentador</t>
        </is>
      </c>
      <c r="AF2119" s="4" t="inlineStr">
        <is>
          <t>medida: 3/4" x 1 pulgadas</t>
        </is>
      </c>
    </row>
    <row r="2120">
      <c r="A2120" s="3" t="inlineStr">
        <is>
          <t>MAT-32-763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calentador 3/4" x 2 pulgadas</t>
        </is>
      </c>
      <c r="E2120" s="4" t="inlineStr"/>
      <c r="F2120" s="3" t="inlineStr">
        <is>
          <t>unidad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878</v>
      </c>
      <c r="L2120" s="6" t="n">
        <v>685</v>
      </c>
      <c r="M2120" s="6" t="n">
        <v>1071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E2120" s="7" t="inlineStr">
        <is>
          <t>calentador</t>
        </is>
      </c>
      <c r="AF2120" s="4" t="inlineStr">
        <is>
          <t>medida: 3/4" x 2 pulgadas</t>
        </is>
      </c>
    </row>
    <row r="2121">
      <c r="A2121" s="3" t="inlineStr">
        <is>
          <t>MAT-32-764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calentador 60"</t>
        </is>
      </c>
      <c r="E2121" s="4" t="inlineStr"/>
      <c r="F2121" s="3" t="inlineStr">
        <is>
          <t>unidad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1094</v>
      </c>
      <c r="L2121" s="6" t="n">
        <v>1094</v>
      </c>
      <c r="M2121" s="6" t="n">
        <v>1094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E2121" s="7" t="inlineStr">
        <is>
          <t>calentador</t>
        </is>
      </c>
      <c r="AF2121" s="4" t="inlineStr">
        <is>
          <t>medida: 60"</t>
        </is>
      </c>
    </row>
    <row r="2122">
      <c r="A2122" s="3" t="inlineStr">
        <is>
          <t>MAT-32-765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gas 12"</t>
        </is>
      </c>
      <c r="E2122" s="4" t="inlineStr"/>
      <c r="F2122" s="3" t="inlineStr">
        <is>
          <t>unidad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50</v>
      </c>
      <c r="L2122" s="6" t="n">
        <v>50</v>
      </c>
      <c r="M2122" s="6" t="n">
        <v>50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E2122" s="7" t="inlineStr">
        <is>
          <t>gas</t>
        </is>
      </c>
      <c r="AF2122" s="4" t="inlineStr">
        <is>
          <t>medida: 12"</t>
        </is>
      </c>
    </row>
    <row r="2123">
      <c r="A2123" s="3" t="inlineStr">
        <is>
          <t>MAT-32-766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gas 18"</t>
        </is>
      </c>
      <c r="E2123" s="4" t="inlineStr"/>
      <c r="F2123" s="3" t="inlineStr">
        <is>
          <t>unidad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65</v>
      </c>
      <c r="L2123" s="6" t="n">
        <v>65</v>
      </c>
      <c r="M2123" s="6" t="n">
        <v>65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E2123" s="7" t="inlineStr">
        <is>
          <t>gas</t>
        </is>
      </c>
      <c r="AF2123" s="4" t="inlineStr">
        <is>
          <t>medida: 18"</t>
        </is>
      </c>
    </row>
    <row r="2124">
      <c r="A2124" s="3" t="inlineStr">
        <is>
          <t>MAT-32-767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inodoro 16"</t>
        </is>
      </c>
      <c r="E2124" s="4" t="inlineStr"/>
      <c r="F2124" s="3" t="inlineStr">
        <is>
          <t>unidad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250</v>
      </c>
      <c r="L2124" s="6" t="n">
        <v>250</v>
      </c>
      <c r="M2124" s="6" t="n">
        <v>250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E2124" s="7" t="inlineStr">
        <is>
          <t>inodoro</t>
        </is>
      </c>
      <c r="AF2124" s="4" t="inlineStr">
        <is>
          <t>medida: 16"</t>
        </is>
      </c>
    </row>
    <row r="2125">
      <c r="A2125" s="3" t="inlineStr">
        <is>
          <t>MAT-32-768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1/2"</t>
        </is>
      </c>
      <c r="E2125" s="4" t="inlineStr"/>
      <c r="F2125" s="3" t="inlineStr">
        <is>
          <t>unidad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1288</v>
      </c>
      <c r="L2125" s="6" t="n">
        <v>535</v>
      </c>
      <c r="M2125" s="6" t="n">
        <v>1940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E2125" s="7" t="inlineStr">
        <is>
          <t>jardín</t>
        </is>
      </c>
      <c r="AF2125" s="4" t="inlineStr">
        <is>
          <t>medida: 1/2"</t>
        </is>
      </c>
    </row>
    <row r="2126">
      <c r="A2126" s="3" t="inlineStr">
        <is>
          <t>MAT-32-769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1/2" x 100 pies</t>
        </is>
      </c>
      <c r="E2126" s="4" t="inlineStr"/>
      <c r="F2126" s="3" t="inlineStr">
        <is>
          <t>unidad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1475</v>
      </c>
      <c r="L2126" s="6" t="n">
        <v>1475</v>
      </c>
      <c r="M2126" s="6" t="n">
        <v>1475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E2126" s="7" t="inlineStr">
        <is>
          <t>jardín</t>
        </is>
      </c>
      <c r="AF2126" s="4" t="inlineStr">
        <is>
          <t>medida: 1/2" x 100 pies</t>
        </is>
      </c>
    </row>
    <row r="2127">
      <c r="A2127" s="3" t="inlineStr">
        <is>
          <t>MAT-32-770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jardín 1/2" x 25 pies</t>
        </is>
      </c>
      <c r="E2127" s="4" t="inlineStr"/>
      <c r="F2127" s="3" t="inlineStr">
        <is>
          <t>unidad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544</v>
      </c>
      <c r="L2127" s="6" t="n">
        <v>544</v>
      </c>
      <c r="M2127" s="6" t="n">
        <v>544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E2127" s="7" t="inlineStr">
        <is>
          <t>jardín</t>
        </is>
      </c>
      <c r="AF2127" s="4" t="inlineStr">
        <is>
          <t>medida: 1/2" x 25 pies</t>
        </is>
      </c>
    </row>
    <row r="2128">
      <c r="A2128" s="3" t="inlineStr">
        <is>
          <t>MAT-32-771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jardín 1/2" x 50 pies</t>
        </is>
      </c>
      <c r="E2128" s="4" t="inlineStr"/>
      <c r="F2128" s="3" t="inlineStr">
        <is>
          <t>unidad</t>
        </is>
      </c>
      <c r="G2128" s="3" t="inlineStr">
        <is>
          <t>Instalaciones</t>
        </is>
      </c>
      <c r="H2128" s="3" t="inlineStr">
        <is>
          <t>estandar</t>
        </is>
      </c>
      <c r="I2128" s="3" t="inlineStr">
        <is>
          <t>importado</t>
        </is>
      </c>
      <c r="J2128" s="5" t="n">
        <v>1</v>
      </c>
      <c r="K2128" s="6" t="n">
        <v>1042</v>
      </c>
      <c r="L2128" s="6" t="n">
        <v>1042</v>
      </c>
      <c r="M2128" s="6" t="n">
        <v>1042</v>
      </c>
      <c r="N2128" s="3" t="inlineStr">
        <is>
          <t>Sí</t>
        </is>
      </c>
      <c r="O2128" s="6">
        <f>IF(K2128="","",IF(N2128="Sí",ROUND(K2128/1.18,2),K2128))</f>
        <v/>
      </c>
      <c r="P2128" s="3" t="inlineStr">
        <is>
          <t>2026-09-09</t>
        </is>
      </c>
      <c r="Q2128" s="4" t="inlineStr">
        <is>
          <t>Ferretería Cima</t>
        </is>
      </c>
      <c r="AE2128" s="7" t="inlineStr">
        <is>
          <t>jardín</t>
        </is>
      </c>
      <c r="AF2128" s="4" t="inlineStr">
        <is>
          <t>medida: 1/2" x 50 pies</t>
        </is>
      </c>
    </row>
    <row r="2129">
      <c r="A2129" s="3" t="inlineStr">
        <is>
          <t>MAT-32-772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jardín 5/8"</t>
        </is>
      </c>
      <c r="E2129" s="4" t="inlineStr"/>
      <c r="F2129" s="3" t="inlineStr">
        <is>
          <t>unidad</t>
        </is>
      </c>
      <c r="G2129" s="3" t="inlineStr">
        <is>
          <t>Instalaciones</t>
        </is>
      </c>
      <c r="H2129" s="3" t="inlineStr">
        <is>
          <t>estandar</t>
        </is>
      </c>
      <c r="I2129" s="3" t="inlineStr">
        <is>
          <t>importado</t>
        </is>
      </c>
      <c r="J2129" s="5" t="n">
        <v>1</v>
      </c>
      <c r="K2129" s="6" t="n">
        <v>2397</v>
      </c>
      <c r="L2129" s="6" t="n">
        <v>2054</v>
      </c>
      <c r="M2129" s="6" t="n">
        <v>2741</v>
      </c>
      <c r="N2129" s="3" t="inlineStr">
        <is>
          <t>Sí</t>
        </is>
      </c>
      <c r="O2129" s="6">
        <f>IF(K2129="","",IF(N2129="Sí",ROUND(K2129/1.18,2),K2129))</f>
        <v/>
      </c>
      <c r="P2129" s="3" t="inlineStr">
        <is>
          <t>2026-09-09</t>
        </is>
      </c>
      <c r="Q2129" s="4" t="inlineStr">
        <is>
          <t>Ferretería Cima</t>
        </is>
      </c>
      <c r="AE2129" s="7" t="inlineStr">
        <is>
          <t>jardín</t>
        </is>
      </c>
      <c r="AF2129" s="4" t="inlineStr">
        <is>
          <t>medida: 5/8"</t>
        </is>
      </c>
    </row>
    <row r="2130">
      <c r="A2130" s="3" t="inlineStr">
        <is>
          <t>MAT-32-773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jardín 5/8" x 75 pies</t>
        </is>
      </c>
      <c r="E2130" s="4" t="inlineStr"/>
      <c r="F2130" s="3" t="inlineStr">
        <is>
          <t>unidad</t>
        </is>
      </c>
      <c r="G2130" s="3" t="inlineStr">
        <is>
          <t>Instalaciones</t>
        </is>
      </c>
      <c r="H2130" s="3" t="inlineStr">
        <is>
          <t>estandar</t>
        </is>
      </c>
      <c r="I2130" s="3" t="inlineStr">
        <is>
          <t>importado</t>
        </is>
      </c>
      <c r="J2130" s="5" t="n">
        <v>1</v>
      </c>
      <c r="K2130" s="6" t="n">
        <v>1365</v>
      </c>
      <c r="L2130" s="6" t="n">
        <v>1365</v>
      </c>
      <c r="M2130" s="6" t="n">
        <v>1365</v>
      </c>
      <c r="N2130" s="3" t="inlineStr">
        <is>
          <t>Sí</t>
        </is>
      </c>
      <c r="O2130" s="6">
        <f>IF(K2130="","",IF(N2130="Sí",ROUND(K2130/1.18,2),K2130))</f>
        <v/>
      </c>
      <c r="P2130" s="3" t="inlineStr">
        <is>
          <t>2026-09-09</t>
        </is>
      </c>
      <c r="Q2130" s="4" t="inlineStr">
        <is>
          <t>Ferretería Cima</t>
        </is>
      </c>
      <c r="AE2130" s="7" t="inlineStr">
        <is>
          <t>jardín</t>
        </is>
      </c>
      <c r="AF2130" s="4" t="inlineStr">
        <is>
          <t>medida: 5/8" x 75 pies</t>
        </is>
      </c>
    </row>
    <row r="2131">
      <c r="A2131" s="3" t="inlineStr">
        <is>
          <t>MAT-32-774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lavadora 48"</t>
        </is>
      </c>
      <c r="E2131" s="4" t="inlineStr"/>
      <c r="F2131" s="3" t="inlineStr">
        <is>
          <t>unidad</t>
        </is>
      </c>
      <c r="G2131" s="3" t="inlineStr">
        <is>
          <t>Instalaciones</t>
        </is>
      </c>
      <c r="H2131" s="3" t="inlineStr">
        <is>
          <t>estandar</t>
        </is>
      </c>
      <c r="I2131" s="3" t="inlineStr">
        <is>
          <t>importado</t>
        </is>
      </c>
      <c r="J2131" s="5" t="n">
        <v>1</v>
      </c>
      <c r="K2131" s="6" t="n">
        <v>556</v>
      </c>
      <c r="L2131" s="6" t="n">
        <v>556</v>
      </c>
      <c r="M2131" s="6" t="n">
        <v>556</v>
      </c>
      <c r="N2131" s="3" t="inlineStr">
        <is>
          <t>Sí</t>
        </is>
      </c>
      <c r="O2131" s="6">
        <f>IF(K2131="","",IF(N2131="Sí",ROUND(K2131/1.18,2),K2131))</f>
        <v/>
      </c>
      <c r="P2131" s="3" t="inlineStr">
        <is>
          <t>2026-09-09</t>
        </is>
      </c>
      <c r="Q2131" s="4" t="inlineStr">
        <is>
          <t>Ferretería Cima</t>
        </is>
      </c>
      <c r="AE2131" s="7" t="inlineStr">
        <is>
          <t>lavadora</t>
        </is>
      </c>
      <c r="AF2131" s="4" t="inlineStr">
        <is>
          <t>medida: 48"</t>
        </is>
      </c>
    </row>
    <row r="2132">
      <c r="A2132" s="3" t="inlineStr">
        <is>
          <t>MAT-32-775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lavadora 60"</t>
        </is>
      </c>
      <c r="E2132" s="4" t="inlineStr"/>
      <c r="F2132" s="3" t="inlineStr">
        <is>
          <t>unidad</t>
        </is>
      </c>
      <c r="G2132" s="3" t="inlineStr">
        <is>
          <t>Instalaciones</t>
        </is>
      </c>
      <c r="H2132" s="3" t="inlineStr">
        <is>
          <t>estandar</t>
        </is>
      </c>
      <c r="I2132" s="3" t="inlineStr">
        <is>
          <t>importado</t>
        </is>
      </c>
      <c r="J2132" s="5" t="n">
        <v>1</v>
      </c>
      <c r="K2132" s="6" t="n">
        <v>410</v>
      </c>
      <c r="L2132" s="6" t="n">
        <v>410</v>
      </c>
      <c r="M2132" s="6" t="n">
        <v>410</v>
      </c>
      <c r="N2132" s="3" t="inlineStr">
        <is>
          <t>Sí</t>
        </is>
      </c>
      <c r="O2132" s="6">
        <f>IF(K2132="","",IF(N2132="Sí",ROUND(K2132/1.18,2),K2132))</f>
        <v/>
      </c>
      <c r="P2132" s="3" t="inlineStr">
        <is>
          <t>2026-09-09</t>
        </is>
      </c>
      <c r="Q2132" s="4" t="inlineStr">
        <is>
          <t>Ferretería Cima</t>
        </is>
      </c>
      <c r="AE2132" s="7" t="inlineStr">
        <is>
          <t>lavadora</t>
        </is>
      </c>
      <c r="AF2132" s="4" t="inlineStr">
        <is>
          <t>medida: 60"</t>
        </is>
      </c>
    </row>
    <row r="2133">
      <c r="A2133" s="3" t="inlineStr">
        <is>
          <t>MAT-32-776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lavadora 72"</t>
        </is>
      </c>
      <c r="E2133" s="4" t="inlineStr"/>
      <c r="F2133" s="3" t="inlineStr">
        <is>
          <t>unidad</t>
        </is>
      </c>
      <c r="G2133" s="3" t="inlineStr">
        <is>
          <t>Instalaciones</t>
        </is>
      </c>
      <c r="H2133" s="3" t="inlineStr">
        <is>
          <t>estandar</t>
        </is>
      </c>
      <c r="I2133" s="3" t="inlineStr">
        <is>
          <t>importado</t>
        </is>
      </c>
      <c r="J2133" s="5" t="n">
        <v>1</v>
      </c>
      <c r="K2133" s="6" t="n">
        <v>375</v>
      </c>
      <c r="L2133" s="6" t="n">
        <v>375</v>
      </c>
      <c r="M2133" s="6" t="n">
        <v>375</v>
      </c>
      <c r="N2133" s="3" t="inlineStr">
        <is>
          <t>Sí</t>
        </is>
      </c>
      <c r="O2133" s="6">
        <f>IF(K2133="","",IF(N2133="Sí",ROUND(K2133/1.18,2),K2133))</f>
        <v/>
      </c>
      <c r="P2133" s="3" t="inlineStr">
        <is>
          <t>2026-09-09</t>
        </is>
      </c>
      <c r="Q2133" s="4" t="inlineStr">
        <is>
          <t>Ferretería Cima</t>
        </is>
      </c>
      <c r="AE2133" s="7" t="inlineStr">
        <is>
          <t>lavadora</t>
        </is>
      </c>
      <c r="AF2133" s="4" t="inlineStr">
        <is>
          <t>medida: 72"</t>
        </is>
      </c>
    </row>
    <row r="2134">
      <c r="A2134" s="3" t="inlineStr">
        <is>
          <t>MAT-32-777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1/2"</t>
        </is>
      </c>
      <c r="E2134" s="4" t="inlineStr"/>
      <c r="F2134" s="3" t="inlineStr">
        <is>
          <t>unidad</t>
        </is>
      </c>
      <c r="G2134" s="3" t="inlineStr">
        <is>
          <t>Instalaciones</t>
        </is>
      </c>
      <c r="H2134" s="3" t="inlineStr">
        <is>
          <t>estandar</t>
        </is>
      </c>
      <c r="I2134" s="3" t="inlineStr">
        <is>
          <t>importado</t>
        </is>
      </c>
      <c r="J2134" s="5" t="n">
        <v>1</v>
      </c>
      <c r="K2134" s="6" t="n">
        <v>384</v>
      </c>
      <c r="L2134" s="6" t="n">
        <v>295</v>
      </c>
      <c r="M2134" s="6" t="n">
        <v>451</v>
      </c>
      <c r="N2134" s="3" t="inlineStr">
        <is>
          <t>Sí</t>
        </is>
      </c>
      <c r="O2134" s="6">
        <f>IF(K2134="","",IF(N2134="Sí",ROUND(K2134/1.18,2),K2134))</f>
        <v/>
      </c>
      <c r="P2134" s="3" t="inlineStr">
        <is>
          <t>2026-09-09</t>
        </is>
      </c>
      <c r="Q2134" s="4" t="inlineStr">
        <is>
          <t>Ferretería Cima</t>
        </is>
      </c>
      <c r="AE2134" s="7" t="inlineStr">
        <is>
          <t>lavamanos</t>
        </is>
      </c>
      <c r="AF2134" s="4" t="inlineStr">
        <is>
          <t>medida: 1/2"</t>
        </is>
      </c>
    </row>
    <row r="2135">
      <c r="A2135" s="3" t="inlineStr">
        <is>
          <t>MAT-32-778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16"</t>
        </is>
      </c>
      <c r="E2135" s="4" t="inlineStr"/>
      <c r="F2135" s="3" t="inlineStr">
        <is>
          <t>unidad</t>
        </is>
      </c>
      <c r="G2135" s="3" t="inlineStr">
        <is>
          <t>Instalaciones</t>
        </is>
      </c>
      <c r="H2135" s="3" t="inlineStr">
        <is>
          <t>estandar</t>
        </is>
      </c>
      <c r="I2135" s="3" t="inlineStr">
        <is>
          <t>importado</t>
        </is>
      </c>
      <c r="J2135" s="5" t="n">
        <v>1</v>
      </c>
      <c r="K2135" s="6" t="n">
        <v>265</v>
      </c>
      <c r="L2135" s="6" t="n">
        <v>265</v>
      </c>
      <c r="M2135" s="6" t="n">
        <v>265</v>
      </c>
      <c r="N2135" s="3" t="inlineStr">
        <is>
          <t>Sí</t>
        </is>
      </c>
      <c r="O2135" s="6">
        <f>IF(K2135="","",IF(N2135="Sí",ROUND(K2135/1.18,2),K2135))</f>
        <v/>
      </c>
      <c r="P2135" s="3" t="inlineStr">
        <is>
          <t>2026-09-09</t>
        </is>
      </c>
      <c r="Q2135" s="4" t="inlineStr">
        <is>
          <t>Ferretería Cima</t>
        </is>
      </c>
      <c r="AE2135" s="7" t="inlineStr">
        <is>
          <t>lavamanos</t>
        </is>
      </c>
      <c r="AF2135" s="4" t="inlineStr">
        <is>
          <t>medida: 16"</t>
        </is>
      </c>
    </row>
    <row r="2136">
      <c r="A2136" s="3" t="inlineStr">
        <is>
          <t>MAT-32-779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20"</t>
        </is>
      </c>
      <c r="E2136" s="4" t="inlineStr"/>
      <c r="F2136" s="3" t="inlineStr">
        <is>
          <t>unidad</t>
        </is>
      </c>
      <c r="G2136" s="3" t="inlineStr">
        <is>
          <t>Instalaciones</t>
        </is>
      </c>
      <c r="H2136" s="3" t="inlineStr">
        <is>
          <t>estandar</t>
        </is>
      </c>
      <c r="I2136" s="3" t="inlineStr">
        <is>
          <t>importado</t>
        </is>
      </c>
      <c r="J2136" s="5" t="n">
        <v>1</v>
      </c>
      <c r="K2136" s="6" t="n">
        <v>325</v>
      </c>
      <c r="L2136" s="6" t="n">
        <v>325</v>
      </c>
      <c r="M2136" s="6" t="n">
        <v>325</v>
      </c>
      <c r="N2136" s="3" t="inlineStr">
        <is>
          <t>Sí</t>
        </is>
      </c>
      <c r="O2136" s="6">
        <f>IF(K2136="","",IF(N2136="Sí",ROUND(K2136/1.18,2),K2136))</f>
        <v/>
      </c>
      <c r="P2136" s="3" t="inlineStr">
        <is>
          <t>2026-09-09</t>
        </is>
      </c>
      <c r="Q2136" s="4" t="inlineStr">
        <is>
          <t>Ferretería Cima</t>
        </is>
      </c>
      <c r="AE2136" s="7" t="inlineStr">
        <is>
          <t>lavamanos</t>
        </is>
      </c>
      <c r="AF2136" s="4" t="inlineStr">
        <is>
          <t>medida: 20"</t>
        </is>
      </c>
    </row>
    <row r="2137">
      <c r="A2137" s="3" t="inlineStr">
        <is>
          <t>MAT-32-780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22"</t>
        </is>
      </c>
      <c r="E2137" s="4" t="inlineStr"/>
      <c r="F2137" s="3" t="inlineStr">
        <is>
          <t>unidad</t>
        </is>
      </c>
      <c r="G2137" s="3" t="inlineStr">
        <is>
          <t>Instalaciones</t>
        </is>
      </c>
      <c r="H2137" s="3" t="inlineStr">
        <is>
          <t>estandar</t>
        </is>
      </c>
      <c r="I2137" s="3" t="inlineStr">
        <is>
          <t>importado</t>
        </is>
      </c>
      <c r="J2137" s="5" t="n">
        <v>1</v>
      </c>
      <c r="K2137" s="6" t="n">
        <v>425</v>
      </c>
      <c r="L2137" s="6" t="n">
        <v>365</v>
      </c>
      <c r="M2137" s="6" t="n">
        <v>499</v>
      </c>
      <c r="N2137" s="3" t="inlineStr">
        <is>
          <t>Sí</t>
        </is>
      </c>
      <c r="O2137" s="6">
        <f>IF(K2137="","",IF(N2137="Sí",ROUND(K2137/1.18,2),K2137))</f>
        <v/>
      </c>
      <c r="P2137" s="3" t="inlineStr">
        <is>
          <t>2026-09-09</t>
        </is>
      </c>
      <c r="Q2137" s="4" t="inlineStr">
        <is>
          <t>Ferretería Cima</t>
        </is>
      </c>
      <c r="AE2137" s="7" t="inlineStr">
        <is>
          <t>lavamanos</t>
        </is>
      </c>
      <c r="AF2137" s="4" t="inlineStr">
        <is>
          <t>medida: 22"</t>
        </is>
      </c>
    </row>
    <row r="2138">
      <c r="A2138" s="3" t="inlineStr">
        <is>
          <t>MAT-32-781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24"</t>
        </is>
      </c>
      <c r="E2138" s="4" t="inlineStr"/>
      <c r="F2138" s="3" t="inlineStr">
        <is>
          <t>unidad</t>
        </is>
      </c>
      <c r="G2138" s="3" t="inlineStr">
        <is>
          <t>Instalaciones</t>
        </is>
      </c>
      <c r="H2138" s="3" t="inlineStr">
        <is>
          <t>estandar</t>
        </is>
      </c>
      <c r="I2138" s="3" t="inlineStr">
        <is>
          <t>importado</t>
        </is>
      </c>
      <c r="J2138" s="5" t="n">
        <v>1</v>
      </c>
      <c r="K2138" s="6" t="n">
        <v>279</v>
      </c>
      <c r="L2138" s="6" t="n">
        <v>265</v>
      </c>
      <c r="M2138" s="6" t="n">
        <v>293</v>
      </c>
      <c r="N2138" s="3" t="inlineStr">
        <is>
          <t>Sí</t>
        </is>
      </c>
      <c r="O2138" s="6">
        <f>IF(K2138="","",IF(N2138="Sí",ROUND(K2138/1.18,2),K2138))</f>
        <v/>
      </c>
      <c r="P2138" s="3" t="inlineStr">
        <is>
          <t>2026-09-09</t>
        </is>
      </c>
      <c r="Q2138" s="4" t="inlineStr">
        <is>
          <t>Ferretería Cima</t>
        </is>
      </c>
      <c r="AE2138" s="7" t="inlineStr">
        <is>
          <t>lavamanos</t>
        </is>
      </c>
      <c r="AF2138" s="4" t="inlineStr">
        <is>
          <t>medida: 24"</t>
        </is>
      </c>
    </row>
    <row r="2139">
      <c r="A2139" s="3" t="inlineStr">
        <is>
          <t>MAT-32-782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lavamanos 3/8"</t>
        </is>
      </c>
      <c r="E2139" s="4" t="inlineStr"/>
      <c r="F2139" s="3" t="inlineStr">
        <is>
          <t>unidad</t>
        </is>
      </c>
      <c r="G2139" s="3" t="inlineStr">
        <is>
          <t>Instalaciones</t>
        </is>
      </c>
      <c r="H2139" s="3" t="inlineStr">
        <is>
          <t>estandar</t>
        </is>
      </c>
      <c r="I2139" s="3" t="inlineStr">
        <is>
          <t>importado</t>
        </is>
      </c>
      <c r="J2139" s="5" t="n">
        <v>1</v>
      </c>
      <c r="K2139" s="6" t="n">
        <v>505</v>
      </c>
      <c r="L2139" s="6" t="n">
        <v>505</v>
      </c>
      <c r="M2139" s="6" t="n">
        <v>505</v>
      </c>
      <c r="N2139" s="3" t="inlineStr">
        <is>
          <t>Sí</t>
        </is>
      </c>
      <c r="O2139" s="6">
        <f>IF(K2139="","",IF(N2139="Sí",ROUND(K2139/1.18,2),K2139))</f>
        <v/>
      </c>
      <c r="P2139" s="3" t="inlineStr">
        <is>
          <t>2026-09-09</t>
        </is>
      </c>
      <c r="Q2139" s="4" t="inlineStr">
        <is>
          <t>Ferretería Cima</t>
        </is>
      </c>
      <c r="AE2139" s="7" t="inlineStr">
        <is>
          <t>lavamanos</t>
        </is>
      </c>
      <c r="AF2139" s="4" t="inlineStr">
        <is>
          <t>medida: 3/8"</t>
        </is>
      </c>
    </row>
    <row r="2140">
      <c r="A2140" s="3" t="inlineStr">
        <is>
          <t>MAT-32-783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lavamanos 3/8" x 32 pulgadas</t>
        </is>
      </c>
      <c r="E2140" s="4" t="inlineStr"/>
      <c r="F2140" s="3" t="inlineStr">
        <is>
          <t>unidad</t>
        </is>
      </c>
      <c r="G2140" s="3" t="inlineStr">
        <is>
          <t>Instalaciones</t>
        </is>
      </c>
      <c r="H2140" s="3" t="inlineStr">
        <is>
          <t>estandar</t>
        </is>
      </c>
      <c r="I2140" s="3" t="inlineStr">
        <is>
          <t>importado</t>
        </is>
      </c>
      <c r="J2140" s="5" t="n">
        <v>1</v>
      </c>
      <c r="K2140" s="6" t="n">
        <v>198</v>
      </c>
      <c r="L2140" s="6" t="n">
        <v>198</v>
      </c>
      <c r="M2140" s="6" t="n">
        <v>198</v>
      </c>
      <c r="N2140" s="3" t="inlineStr">
        <is>
          <t>Sí</t>
        </is>
      </c>
      <c r="O2140" s="6">
        <f>IF(K2140="","",IF(N2140="Sí",ROUND(K2140/1.18,2),K2140))</f>
        <v/>
      </c>
      <c r="P2140" s="3" t="inlineStr">
        <is>
          <t>2026-09-09</t>
        </is>
      </c>
      <c r="Q2140" s="4" t="inlineStr">
        <is>
          <t>Ferretería Cima</t>
        </is>
      </c>
      <c r="AE2140" s="7" t="inlineStr">
        <is>
          <t>lavamanos</t>
        </is>
      </c>
      <c r="AF2140" s="4" t="inlineStr">
        <is>
          <t>medida: 3/8" x 32 pulgadas</t>
        </is>
      </c>
    </row>
    <row r="2141">
      <c r="A2141" s="3" t="inlineStr">
        <is>
          <t>MAT-32-784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lavamanos 30"</t>
        </is>
      </c>
      <c r="E2141" s="4" t="inlineStr"/>
      <c r="F2141" s="3" t="inlineStr">
        <is>
          <t>unidad</t>
        </is>
      </c>
      <c r="G2141" s="3" t="inlineStr">
        <is>
          <t>Instalaciones</t>
        </is>
      </c>
      <c r="H2141" s="3" t="inlineStr">
        <is>
          <t>estandar</t>
        </is>
      </c>
      <c r="I2141" s="3" t="inlineStr">
        <is>
          <t>importado</t>
        </is>
      </c>
      <c r="J2141" s="5" t="n">
        <v>1</v>
      </c>
      <c r="K2141" s="6" t="n">
        <v>330</v>
      </c>
      <c r="L2141" s="6" t="n">
        <v>330</v>
      </c>
      <c r="M2141" s="6" t="n">
        <v>330</v>
      </c>
      <c r="N2141" s="3" t="inlineStr">
        <is>
          <t>Sí</t>
        </is>
      </c>
      <c r="O2141" s="6">
        <f>IF(K2141="","",IF(N2141="Sí",ROUND(K2141/1.18,2),K2141))</f>
        <v/>
      </c>
      <c r="P2141" s="3" t="inlineStr">
        <is>
          <t>2026-09-09</t>
        </is>
      </c>
      <c r="Q2141" s="4" t="inlineStr">
        <is>
          <t>Ferretería Cima</t>
        </is>
      </c>
      <c r="AE2141" s="7" t="inlineStr">
        <is>
          <t>lavamanos</t>
        </is>
      </c>
      <c r="AF2141" s="4" t="inlineStr">
        <is>
          <t>medida: 30"</t>
        </is>
      </c>
    </row>
    <row r="2142">
      <c r="A2142" s="3" t="inlineStr">
        <is>
          <t>MAT-32-785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lavamanos 36"</t>
        </is>
      </c>
      <c r="E2142" s="4" t="inlineStr"/>
      <c r="F2142" s="3" t="inlineStr">
        <is>
          <t>unidad</t>
        </is>
      </c>
      <c r="G2142" s="3" t="inlineStr">
        <is>
          <t>Instalaciones</t>
        </is>
      </c>
      <c r="H2142" s="3" t="inlineStr">
        <is>
          <t>estandar</t>
        </is>
      </c>
      <c r="I2142" s="3" t="inlineStr">
        <is>
          <t>importado</t>
        </is>
      </c>
      <c r="J2142" s="5" t="n">
        <v>1</v>
      </c>
      <c r="K2142" s="6" t="n">
        <v>319</v>
      </c>
      <c r="L2142" s="6" t="n">
        <v>319</v>
      </c>
      <c r="M2142" s="6" t="n">
        <v>319</v>
      </c>
      <c r="N2142" s="3" t="inlineStr">
        <is>
          <t>Sí</t>
        </is>
      </c>
      <c r="O2142" s="6">
        <f>IF(K2142="","",IF(N2142="Sí",ROUND(K2142/1.18,2),K2142))</f>
        <v/>
      </c>
      <c r="P2142" s="3" t="inlineStr">
        <is>
          <t>2026-09-09</t>
        </is>
      </c>
      <c r="Q2142" s="4" t="inlineStr">
        <is>
          <t>Ferretería Cima</t>
        </is>
      </c>
      <c r="AE2142" s="7" t="inlineStr">
        <is>
          <t>lavamanos</t>
        </is>
      </c>
      <c r="AF2142" s="4" t="inlineStr">
        <is>
          <t>medida: 36"</t>
        </is>
      </c>
    </row>
    <row r="2143">
      <c r="A2143" s="3" t="inlineStr">
        <is>
          <t>MAT-32-786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mezcladora 3/8" x 20 pulgadas</t>
        </is>
      </c>
      <c r="E2143" s="4" t="inlineStr"/>
      <c r="F2143" s="3" t="inlineStr">
        <is>
          <t>unidad</t>
        </is>
      </c>
      <c r="G2143" s="3" t="inlineStr">
        <is>
          <t>Instalaciones</t>
        </is>
      </c>
      <c r="H2143" s="3" t="inlineStr">
        <is>
          <t>estandar</t>
        </is>
      </c>
      <c r="I2143" s="3" t="inlineStr">
        <is>
          <t>importado</t>
        </is>
      </c>
      <c r="J2143" s="5" t="n">
        <v>1</v>
      </c>
      <c r="K2143" s="6" t="n">
        <v>195</v>
      </c>
      <c r="L2143" s="6" t="n">
        <v>195</v>
      </c>
      <c r="M2143" s="6" t="n">
        <v>195</v>
      </c>
      <c r="N2143" s="3" t="inlineStr">
        <is>
          <t>Sí</t>
        </is>
      </c>
      <c r="O2143" s="6">
        <f>IF(K2143="","",IF(N2143="Sí",ROUND(K2143/1.18,2),K2143))</f>
        <v/>
      </c>
      <c r="P2143" s="3" t="inlineStr">
        <is>
          <t>2026-09-09</t>
        </is>
      </c>
      <c r="Q2143" s="4" t="inlineStr">
        <is>
          <t>Ferretería Cima</t>
        </is>
      </c>
      <c r="AE2143" s="7" t="inlineStr">
        <is>
          <t>mezcladora</t>
        </is>
      </c>
      <c r="AF2143" s="4" t="inlineStr">
        <is>
          <t>medida: 3/8" x 20 pulgadas</t>
        </is>
      </c>
    </row>
    <row r="2144">
      <c r="A2144" s="3" t="inlineStr">
        <is>
          <t>MAT-32-787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mezcladora 32"</t>
        </is>
      </c>
      <c r="E2144" s="4" t="inlineStr"/>
      <c r="F2144" s="3" t="inlineStr">
        <is>
          <t>unidad</t>
        </is>
      </c>
      <c r="G2144" s="3" t="inlineStr">
        <is>
          <t>Instalaciones</t>
        </is>
      </c>
      <c r="H2144" s="3" t="inlineStr">
        <is>
          <t>estandar</t>
        </is>
      </c>
      <c r="I2144" s="3" t="inlineStr">
        <is>
          <t>importado</t>
        </is>
      </c>
      <c r="J2144" s="5" t="n">
        <v>1</v>
      </c>
      <c r="K2144" s="6" t="n">
        <v>297</v>
      </c>
      <c r="L2144" s="6" t="n">
        <v>297</v>
      </c>
      <c r="M2144" s="6" t="n">
        <v>297</v>
      </c>
      <c r="N2144" s="3" t="inlineStr">
        <is>
          <t>Sí</t>
        </is>
      </c>
      <c r="O2144" s="6">
        <f>IF(K2144="","",IF(N2144="Sí",ROUND(K2144/1.18,2),K2144))</f>
        <v/>
      </c>
      <c r="P2144" s="3" t="inlineStr">
        <is>
          <t>2026-09-09</t>
        </is>
      </c>
      <c r="Q2144" s="4" t="inlineStr">
        <is>
          <t>Ferretería Cima</t>
        </is>
      </c>
      <c r="AE2144" s="7" t="inlineStr">
        <is>
          <t>mezcladora</t>
        </is>
      </c>
      <c r="AF2144" s="4" t="inlineStr">
        <is>
          <t>medida: 32"</t>
        </is>
      </c>
    </row>
    <row r="2145">
      <c r="A2145" s="3" t="inlineStr">
        <is>
          <t>MAT-32-788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0.31"</t>
        </is>
      </c>
      <c r="E2145" s="4" t="inlineStr"/>
      <c r="F2145" s="3" t="inlineStr">
        <is>
          <t>unidad</t>
        </is>
      </c>
      <c r="G2145" s="3" t="inlineStr">
        <is>
          <t>Instalaciones</t>
        </is>
      </c>
      <c r="H2145" s="3" t="inlineStr">
        <is>
          <t>estandar</t>
        </is>
      </c>
      <c r="I2145" s="3" t="inlineStr">
        <is>
          <t>importado</t>
        </is>
      </c>
      <c r="J2145" s="5" t="n">
        <v>1</v>
      </c>
      <c r="K2145" s="6" t="n">
        <v>25</v>
      </c>
      <c r="L2145" s="6" t="n">
        <v>25</v>
      </c>
      <c r="M2145" s="6" t="n">
        <v>25</v>
      </c>
      <c r="N2145" s="3" t="inlineStr">
        <is>
          <t>Sí</t>
        </is>
      </c>
      <c r="O2145" s="6">
        <f>IF(K2145="","",IF(N2145="Sí",ROUND(K2145/1.18,2),K2145))</f>
        <v/>
      </c>
      <c r="P2145" s="3" t="inlineStr">
        <is>
          <t>2026-09-09</t>
        </is>
      </c>
      <c r="Q2145" s="4" t="inlineStr">
        <is>
          <t>Ferretería Cima</t>
        </is>
      </c>
      <c r="AE2145" s="7" t="inlineStr">
        <is>
          <t>uso general, transparente</t>
        </is>
      </c>
      <c r="AF2145" s="4" t="inlineStr">
        <is>
          <t>medida: 0.31"</t>
        </is>
      </c>
    </row>
    <row r="2146">
      <c r="A2146" s="3" t="inlineStr">
        <is>
          <t>MAT-32-789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1/2"</t>
        </is>
      </c>
      <c r="E2146" s="4" t="inlineStr"/>
      <c r="F2146" s="3" t="inlineStr">
        <is>
          <t>unidad</t>
        </is>
      </c>
      <c r="G2146" s="3" t="inlineStr">
        <is>
          <t>Instalaciones</t>
        </is>
      </c>
      <c r="H2146" s="3" t="inlineStr">
        <is>
          <t>estandar</t>
        </is>
      </c>
      <c r="I2146" s="3" t="inlineStr">
        <is>
          <t>importado</t>
        </is>
      </c>
      <c r="J2146" s="5" t="n">
        <v>1</v>
      </c>
      <c r="K2146" s="6" t="n">
        <v>43.5</v>
      </c>
      <c r="L2146" s="6" t="n">
        <v>40</v>
      </c>
      <c r="M2146" s="6" t="n">
        <v>47</v>
      </c>
      <c r="N2146" s="3" t="inlineStr">
        <is>
          <t>Sí</t>
        </is>
      </c>
      <c r="O2146" s="6">
        <f>IF(K2146="","",IF(N2146="Sí",ROUND(K2146/1.18,2),K2146))</f>
        <v/>
      </c>
      <c r="P2146" s="3" t="inlineStr">
        <is>
          <t>2026-09-09</t>
        </is>
      </c>
      <c r="Q2146" s="4" t="inlineStr">
        <is>
          <t>Ferretería Cima</t>
        </is>
      </c>
      <c r="AE2146" s="7" t="inlineStr">
        <is>
          <t>uso general, transparente</t>
        </is>
      </c>
      <c r="AF2146" s="4" t="inlineStr">
        <is>
          <t>medida: 1/2"</t>
        </is>
      </c>
    </row>
    <row r="2147">
      <c r="A2147" s="3" t="inlineStr">
        <is>
          <t>MAT-32-790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uso general, transparente 1/4"</t>
        </is>
      </c>
      <c r="E2147" s="4" t="inlineStr"/>
      <c r="F2147" s="3" t="inlineStr">
        <is>
          <t>unidad</t>
        </is>
      </c>
      <c r="G2147" s="3" t="inlineStr">
        <is>
          <t>Instalaciones</t>
        </is>
      </c>
      <c r="H2147" s="3" t="inlineStr">
        <is>
          <t>estandar</t>
        </is>
      </c>
      <c r="I2147" s="3" t="inlineStr">
        <is>
          <t>importado</t>
        </is>
      </c>
      <c r="J2147" s="5" t="n">
        <v>1</v>
      </c>
      <c r="K2147" s="6" t="n">
        <v>35</v>
      </c>
      <c r="L2147" s="6" t="n">
        <v>35</v>
      </c>
      <c r="M2147" s="6" t="n">
        <v>35</v>
      </c>
      <c r="N2147" s="3" t="inlineStr">
        <is>
          <t>Sí</t>
        </is>
      </c>
      <c r="O2147" s="6">
        <f>IF(K2147="","",IF(N2147="Sí",ROUND(K2147/1.18,2),K2147))</f>
        <v/>
      </c>
      <c r="P2147" s="3" t="inlineStr">
        <is>
          <t>2026-09-09</t>
        </is>
      </c>
      <c r="Q2147" s="4" t="inlineStr">
        <is>
          <t>Ferretería Cima</t>
        </is>
      </c>
      <c r="AE2147" s="7" t="inlineStr">
        <is>
          <t>uso general, transparente</t>
        </is>
      </c>
      <c r="AF2147" s="4" t="inlineStr">
        <is>
          <t>medida: 1/4"</t>
        </is>
      </c>
    </row>
    <row r="2148">
      <c r="A2148" s="3" t="inlineStr">
        <is>
          <t>MAT-32-791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uso general, transparente 1"</t>
        </is>
      </c>
      <c r="E2148" s="4" t="inlineStr"/>
      <c r="F2148" s="3" t="inlineStr">
        <is>
          <t>unidad</t>
        </is>
      </c>
      <c r="G2148" s="3" t="inlineStr">
        <is>
          <t>Instalaciones</t>
        </is>
      </c>
      <c r="H2148" s="3" t="inlineStr">
        <is>
          <t>estandar</t>
        </is>
      </c>
      <c r="I2148" s="3" t="inlineStr">
        <is>
          <t>importado</t>
        </is>
      </c>
      <c r="J2148" s="5" t="n">
        <v>1</v>
      </c>
      <c r="K2148" s="6" t="n">
        <v>100</v>
      </c>
      <c r="L2148" s="6" t="n">
        <v>100</v>
      </c>
      <c r="M2148" s="6" t="n">
        <v>100</v>
      </c>
      <c r="N2148" s="3" t="inlineStr">
        <is>
          <t>Sí</t>
        </is>
      </c>
      <c r="O2148" s="6">
        <f>IF(K2148="","",IF(N2148="Sí",ROUND(K2148/1.18,2),K2148))</f>
        <v/>
      </c>
      <c r="P2148" s="3" t="inlineStr">
        <is>
          <t>2026-09-09</t>
        </is>
      </c>
      <c r="Q2148" s="4" t="inlineStr">
        <is>
          <t>Ferretería Cima</t>
        </is>
      </c>
      <c r="AE2148" s="7" t="inlineStr">
        <is>
          <t>uso general, transparente</t>
        </is>
      </c>
      <c r="AF2148" s="4" t="inlineStr">
        <is>
          <t>medida: 1"</t>
        </is>
      </c>
    </row>
    <row r="2149">
      <c r="A2149" s="3" t="inlineStr">
        <is>
          <t>MAT-32-792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uso general, transparente 3/4"</t>
        </is>
      </c>
      <c r="E2149" s="4" t="inlineStr"/>
      <c r="F2149" s="3" t="inlineStr">
        <is>
          <t>unidad</t>
        </is>
      </c>
      <c r="G2149" s="3" t="inlineStr">
        <is>
          <t>Instalaciones</t>
        </is>
      </c>
      <c r="H2149" s="3" t="inlineStr">
        <is>
          <t>estandar</t>
        </is>
      </c>
      <c r="I2149" s="3" t="inlineStr">
        <is>
          <t>importado</t>
        </is>
      </c>
      <c r="J2149" s="5" t="n">
        <v>1</v>
      </c>
      <c r="K2149" s="6" t="n">
        <v>36</v>
      </c>
      <c r="L2149" s="6" t="n">
        <v>36</v>
      </c>
      <c r="M2149" s="6" t="n">
        <v>36</v>
      </c>
      <c r="N2149" s="3" t="inlineStr">
        <is>
          <t>Sí</t>
        </is>
      </c>
      <c r="O2149" s="6">
        <f>IF(K2149="","",IF(N2149="Sí",ROUND(K2149/1.18,2),K2149))</f>
        <v/>
      </c>
      <c r="P2149" s="3" t="inlineStr">
        <is>
          <t>2026-09-09</t>
        </is>
      </c>
      <c r="Q2149" s="4" t="inlineStr">
        <is>
          <t>Ferretería Cima</t>
        </is>
      </c>
      <c r="AE2149" s="7" t="inlineStr">
        <is>
          <t>uso general, transparente</t>
        </is>
      </c>
      <c r="AF2149" s="4" t="inlineStr">
        <is>
          <t>medida: 3/4"</t>
        </is>
      </c>
    </row>
    <row r="2150">
      <c r="A2150" s="3" t="inlineStr">
        <is>
          <t>MAT-32-793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uso general, transparente 3/8"</t>
        </is>
      </c>
      <c r="E2150" s="4" t="inlineStr"/>
      <c r="F2150" s="3" t="inlineStr">
        <is>
          <t>unidad</t>
        </is>
      </c>
      <c r="G2150" s="3" t="inlineStr">
        <is>
          <t>Instalaciones</t>
        </is>
      </c>
      <c r="H2150" s="3" t="inlineStr">
        <is>
          <t>estandar</t>
        </is>
      </c>
      <c r="I2150" s="3" t="inlineStr">
        <is>
          <t>importado</t>
        </is>
      </c>
      <c r="J2150" s="5" t="n">
        <v>1</v>
      </c>
      <c r="K2150" s="6" t="n">
        <v>32</v>
      </c>
      <c r="L2150" s="6" t="n">
        <v>32</v>
      </c>
      <c r="M2150" s="6" t="n">
        <v>32</v>
      </c>
      <c r="N2150" s="3" t="inlineStr">
        <is>
          <t>Sí</t>
        </is>
      </c>
      <c r="O2150" s="6">
        <f>IF(K2150="","",IF(N2150="Sí",ROUND(K2150/1.18,2),K2150))</f>
        <v/>
      </c>
      <c r="P2150" s="3" t="inlineStr">
        <is>
          <t>2026-09-09</t>
        </is>
      </c>
      <c r="Q2150" s="4" t="inlineStr">
        <is>
          <t>Ferretería Cima</t>
        </is>
      </c>
      <c r="AE2150" s="7" t="inlineStr">
        <is>
          <t>uso general, transparente</t>
        </is>
      </c>
      <c r="AF2150" s="4" t="inlineStr">
        <is>
          <t>medida: 3/8"</t>
        </is>
      </c>
    </row>
    <row r="2151">
      <c r="A2151" s="3" t="inlineStr">
        <is>
          <t>MAT-32-794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teflón 1"</t>
        </is>
      </c>
      <c r="E2151" s="4" t="inlineStr"/>
      <c r="F2151" s="3" t="inlineStr">
        <is>
          <t>rollo</t>
        </is>
      </c>
      <c r="G2151" s="3" t="inlineStr">
        <is>
          <t>Instalaciones</t>
        </is>
      </c>
      <c r="H2151" s="3" t="inlineStr">
        <is>
          <t>estandar</t>
        </is>
      </c>
      <c r="I2151" s="3" t="inlineStr">
        <is>
          <t>importado</t>
        </is>
      </c>
      <c r="J2151" s="5" t="n">
        <v>1</v>
      </c>
      <c r="K2151" s="6" t="n">
        <v>75</v>
      </c>
      <c r="L2151" s="6" t="n">
        <v>75</v>
      </c>
      <c r="M2151" s="6" t="n">
        <v>75</v>
      </c>
      <c r="N2151" s="3" t="inlineStr">
        <is>
          <t>Sí</t>
        </is>
      </c>
      <c r="O2151" s="6">
        <f>IF(K2151="","",IF(N2151="Sí",ROUND(K2151/1.18,2),K2151))</f>
        <v/>
      </c>
      <c r="P2151" s="3" t="inlineStr">
        <is>
          <t>2026-09-09</t>
        </is>
      </c>
      <c r="Q2151" s="4" t="inlineStr">
        <is>
          <t>Ferretería Cima</t>
        </is>
      </c>
      <c r="AF2151" s="4" t="inlineStr">
        <is>
          <t>medida: 1"</t>
        </is>
      </c>
    </row>
    <row r="2152">
      <c r="A2152" s="3" t="inlineStr">
        <is>
          <t>MAT-32-795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Cinta de teflón 3/4"</t>
        </is>
      </c>
      <c r="E2152" s="4" t="inlineStr"/>
      <c r="F2152" s="3" t="inlineStr">
        <is>
          <t>rollo</t>
        </is>
      </c>
      <c r="G2152" s="3" t="inlineStr">
        <is>
          <t>Instalaciones</t>
        </is>
      </c>
      <c r="H2152" s="3" t="inlineStr">
        <is>
          <t>estandar</t>
        </is>
      </c>
      <c r="I2152" s="3" t="inlineStr">
        <is>
          <t>importado</t>
        </is>
      </c>
      <c r="J2152" s="5" t="n">
        <v>1</v>
      </c>
      <c r="K2152" s="6" t="n">
        <v>117.5</v>
      </c>
      <c r="L2152" s="6" t="n">
        <v>60</v>
      </c>
      <c r="M2152" s="6" t="n">
        <v>175</v>
      </c>
      <c r="N2152" s="3" t="inlineStr">
        <is>
          <t>Sí</t>
        </is>
      </c>
      <c r="O2152" s="6">
        <f>IF(K2152="","",IF(N2152="Sí",ROUND(K2152/1.18,2),K2152))</f>
        <v/>
      </c>
      <c r="P2152" s="3" t="inlineStr">
        <is>
          <t>2026-09-09</t>
        </is>
      </c>
      <c r="Q2152" s="4" t="inlineStr">
        <is>
          <t>Ferretería Cima</t>
        </is>
      </c>
      <c r="AF2152" s="4" t="inlineStr">
        <is>
          <t>medida: 3/4"</t>
        </is>
      </c>
    </row>
    <row r="2153">
      <c r="A2153" s="3" t="inlineStr">
        <is>
          <t>MAT-32-796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Cinta de plomero 0.19" x 15 pies</t>
        </is>
      </c>
      <c r="E2153" s="4" t="inlineStr"/>
      <c r="F2153" s="3" t="inlineStr">
        <is>
          <t>rollo</t>
        </is>
      </c>
      <c r="G2153" s="3" t="inlineStr">
        <is>
          <t>Instalaciones</t>
        </is>
      </c>
      <c r="H2153" s="3" t="inlineStr">
        <is>
          <t>estandar</t>
        </is>
      </c>
      <c r="I2153" s="3" t="inlineStr">
        <is>
          <t>importado</t>
        </is>
      </c>
      <c r="J2153" s="5" t="n">
        <v>1</v>
      </c>
      <c r="K2153" s="6" t="n">
        <v>304</v>
      </c>
      <c r="L2153" s="6" t="n">
        <v>304</v>
      </c>
      <c r="M2153" s="6" t="n">
        <v>304</v>
      </c>
      <c r="N2153" s="3" t="inlineStr">
        <is>
          <t>Sí</t>
        </is>
      </c>
      <c r="O2153" s="6">
        <f>IF(K2153="","",IF(N2153="Sí",ROUND(K2153/1.18,2),K2153))</f>
        <v/>
      </c>
      <c r="P2153" s="3" t="inlineStr">
        <is>
          <t>2026-09-09</t>
        </is>
      </c>
      <c r="Q2153" s="4" t="inlineStr">
        <is>
          <t>Ferretería Cima</t>
        </is>
      </c>
      <c r="AF2153" s="4" t="inlineStr">
        <is>
          <t>medida: 0.19" x 15 pies</t>
        </is>
      </c>
    </row>
    <row r="2154">
      <c r="A2154" s="3" t="inlineStr">
        <is>
          <t>MAT-32-797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Cinta de plomero 1/2" x 50 pies</t>
        </is>
      </c>
      <c r="E2154" s="4" t="inlineStr"/>
      <c r="F2154" s="3" t="inlineStr">
        <is>
          <t>rollo</t>
        </is>
      </c>
      <c r="G2154" s="3" t="inlineStr">
        <is>
          <t>Instalaciones</t>
        </is>
      </c>
      <c r="H2154" s="3" t="inlineStr">
        <is>
          <t>estandar</t>
        </is>
      </c>
      <c r="I2154" s="3" t="inlineStr">
        <is>
          <t>importado</t>
        </is>
      </c>
      <c r="J2154" s="5" t="n">
        <v>1</v>
      </c>
      <c r="K2154" s="6" t="n">
        <v>2525</v>
      </c>
      <c r="L2154" s="6" t="n">
        <v>2525</v>
      </c>
      <c r="M2154" s="6" t="n">
        <v>2525</v>
      </c>
      <c r="N2154" s="3" t="inlineStr">
        <is>
          <t>Sí</t>
        </is>
      </c>
      <c r="O2154" s="6">
        <f>IF(K2154="","",IF(N2154="Sí",ROUND(K2154/1.18,2),K2154))</f>
        <v/>
      </c>
      <c r="P2154" s="3" t="inlineStr">
        <is>
          <t>2026-09-09</t>
        </is>
      </c>
      <c r="Q2154" s="4" t="inlineStr">
        <is>
          <t>Ferretería Cima</t>
        </is>
      </c>
      <c r="AF2154" s="4" t="inlineStr">
        <is>
          <t>medida: 1/2" x 50 pies</t>
        </is>
      </c>
    </row>
    <row r="2155">
      <c r="A2155" s="3" t="inlineStr">
        <is>
          <t>MAT-32-798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Cinta de plomero 1/8" x 25 pies</t>
        </is>
      </c>
      <c r="E2155" s="4" t="inlineStr"/>
      <c r="F2155" s="3" t="inlineStr">
        <is>
          <t>rollo</t>
        </is>
      </c>
      <c r="G2155" s="3" t="inlineStr">
        <is>
          <t>Instalaciones</t>
        </is>
      </c>
      <c r="H2155" s="3" t="inlineStr">
        <is>
          <t>estandar</t>
        </is>
      </c>
      <c r="I2155" s="3" t="inlineStr">
        <is>
          <t>importado</t>
        </is>
      </c>
      <c r="J2155" s="5" t="n">
        <v>1</v>
      </c>
      <c r="K2155" s="6" t="n">
        <v>412</v>
      </c>
      <c r="L2155" s="6" t="n">
        <v>412</v>
      </c>
      <c r="M2155" s="6" t="n">
        <v>412</v>
      </c>
      <c r="N2155" s="3" t="inlineStr">
        <is>
          <t>Sí</t>
        </is>
      </c>
      <c r="O2155" s="6">
        <f>IF(K2155="","",IF(N2155="Sí",ROUND(K2155/1.18,2),K2155))</f>
        <v/>
      </c>
      <c r="P2155" s="3" t="inlineStr">
        <is>
          <t>2026-09-09</t>
        </is>
      </c>
      <c r="Q2155" s="4" t="inlineStr">
        <is>
          <t>Ferretería Cima</t>
        </is>
      </c>
      <c r="AF2155" s="4" t="inlineStr">
        <is>
          <t>medida: 1/8" x 25 pies</t>
        </is>
      </c>
    </row>
    <row r="2156">
      <c r="A2156" s="3" t="inlineStr">
        <is>
          <t>MAT-32-799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16 oz</t>
        </is>
      </c>
      <c r="E2156" s="4" t="inlineStr"/>
      <c r="F2156" s="3" t="inlineStr">
        <is>
          <t>envase</t>
        </is>
      </c>
      <c r="G2156" s="3" t="inlineStr">
        <is>
          <t>Instalaciones</t>
        </is>
      </c>
      <c r="H2156" s="3" t="inlineStr">
        <is>
          <t>estandar</t>
        </is>
      </c>
      <c r="I2156" s="3" t="inlineStr">
        <is>
          <t>importado</t>
        </is>
      </c>
      <c r="J2156" s="5" t="n">
        <v>1</v>
      </c>
      <c r="K2156" s="6" t="n">
        <v>979</v>
      </c>
      <c r="L2156" s="6" t="n">
        <v>979</v>
      </c>
      <c r="M2156" s="6" t="n">
        <v>979</v>
      </c>
      <c r="N2156" s="3" t="inlineStr">
        <is>
          <t>Sí</t>
        </is>
      </c>
      <c r="O2156" s="6">
        <f>IF(K2156="","",IF(N2156="Sí",ROUND(K2156/1.18,2),K2156))</f>
        <v/>
      </c>
      <c r="P2156" s="3" t="inlineStr">
        <is>
          <t>2026-09-09</t>
        </is>
      </c>
      <c r="Q2156" s="4" t="inlineStr">
        <is>
          <t>Ferretería Cima</t>
        </is>
      </c>
      <c r="AF2156" s="4" t="inlineStr">
        <is>
          <t>presentacion: 16 oz</t>
        </is>
      </c>
    </row>
    <row r="2157">
      <c r="A2157" s="3" t="inlineStr">
        <is>
          <t>MAT-32-800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Cemento solvente para PVC, 32 oz</t>
        </is>
      </c>
      <c r="E2157" s="4" t="inlineStr"/>
      <c r="F2157" s="3" t="inlineStr">
        <is>
          <t>envase</t>
        </is>
      </c>
      <c r="G2157" s="3" t="inlineStr">
        <is>
          <t>Instalaciones</t>
        </is>
      </c>
      <c r="H2157" s="3" t="inlineStr">
        <is>
          <t>estandar</t>
        </is>
      </c>
      <c r="I2157" s="3" t="inlineStr">
        <is>
          <t>importado</t>
        </is>
      </c>
      <c r="J2157" s="5" t="n">
        <v>1</v>
      </c>
      <c r="K2157" s="6" t="n">
        <v>1765</v>
      </c>
      <c r="L2157" s="6" t="n">
        <v>1765</v>
      </c>
      <c r="M2157" s="6" t="n">
        <v>1765</v>
      </c>
      <c r="N2157" s="3" t="inlineStr">
        <is>
          <t>Sí</t>
        </is>
      </c>
      <c r="O2157" s="6">
        <f>IF(K2157="","",IF(N2157="Sí",ROUND(K2157/1.18,2),K2157))</f>
        <v/>
      </c>
      <c r="P2157" s="3" t="inlineStr">
        <is>
          <t>2026-09-09</t>
        </is>
      </c>
      <c r="Q2157" s="4" t="inlineStr">
        <is>
          <t>Ferretería Cima</t>
        </is>
      </c>
      <c r="AF2157" s="4" t="inlineStr">
        <is>
          <t>presentacion: 32 oz</t>
        </is>
      </c>
    </row>
    <row r="2158">
      <c r="A2158" s="3" t="inlineStr">
        <is>
          <t>MAT-32-801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Cemento solvente para PVC, 4 oz</t>
        </is>
      </c>
      <c r="E2158" s="4" t="inlineStr"/>
      <c r="F2158" s="3" t="inlineStr">
        <is>
          <t>envase</t>
        </is>
      </c>
      <c r="G2158" s="3" t="inlineStr">
        <is>
          <t>Instalaciones</t>
        </is>
      </c>
      <c r="H2158" s="3" t="inlineStr">
        <is>
          <t>estandar</t>
        </is>
      </c>
      <c r="I2158" s="3" t="inlineStr">
        <is>
          <t>importado</t>
        </is>
      </c>
      <c r="J2158" s="5" t="n">
        <v>1</v>
      </c>
      <c r="K2158" s="6" t="n">
        <v>391.5</v>
      </c>
      <c r="L2158" s="6" t="n">
        <v>335</v>
      </c>
      <c r="M2158" s="6" t="n">
        <v>522</v>
      </c>
      <c r="N2158" s="3" t="inlineStr">
        <is>
          <t>Sí</t>
        </is>
      </c>
      <c r="O2158" s="6">
        <f>IF(K2158="","",IF(N2158="Sí",ROUND(K2158/1.18,2),K2158))</f>
        <v/>
      </c>
      <c r="P2158" s="3" t="inlineStr">
        <is>
          <t>2026-09-09</t>
        </is>
      </c>
      <c r="Q2158" s="4" t="inlineStr">
        <is>
          <t>Ferretería Cima</t>
        </is>
      </c>
      <c r="AF2158" s="4" t="inlineStr">
        <is>
          <t>presentacion: 4 oz</t>
        </is>
      </c>
    </row>
    <row r="2159">
      <c r="A2159" s="3" t="inlineStr">
        <is>
          <t>MAT-32-802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Cemento solvente para PVC, 50 ml</t>
        </is>
      </c>
      <c r="E2159" s="4" t="inlineStr"/>
      <c r="F2159" s="3" t="inlineStr">
        <is>
          <t>envase</t>
        </is>
      </c>
      <c r="G2159" s="3" t="inlineStr">
        <is>
          <t>Instalaciones</t>
        </is>
      </c>
      <c r="H2159" s="3" t="inlineStr">
        <is>
          <t>estandar</t>
        </is>
      </c>
      <c r="I2159" s="3" t="inlineStr">
        <is>
          <t>importado</t>
        </is>
      </c>
      <c r="J2159" s="5" t="n">
        <v>1</v>
      </c>
      <c r="K2159" s="6" t="n">
        <v>205</v>
      </c>
      <c r="L2159" s="6" t="n">
        <v>205</v>
      </c>
      <c r="M2159" s="6" t="n">
        <v>205</v>
      </c>
      <c r="N2159" s="3" t="inlineStr">
        <is>
          <t>Sí</t>
        </is>
      </c>
      <c r="O2159" s="6">
        <f>IF(K2159="","",IF(N2159="Sí",ROUND(K2159/1.18,2),K2159))</f>
        <v/>
      </c>
      <c r="P2159" s="3" t="inlineStr">
        <is>
          <t>2026-09-09</t>
        </is>
      </c>
      <c r="Q2159" s="4" t="inlineStr">
        <is>
          <t>Ferretería Cima</t>
        </is>
      </c>
      <c r="AF2159" s="4" t="inlineStr">
        <is>
          <t>presentacion: 50 ml</t>
        </is>
      </c>
    </row>
    <row r="2160">
      <c r="A2160" s="3" t="inlineStr">
        <is>
          <t>MAT-32-803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Cemento solvente para PVC, 8 oz</t>
        </is>
      </c>
      <c r="E2160" s="4" t="inlineStr"/>
      <c r="F2160" s="3" t="inlineStr">
        <is>
          <t>envase</t>
        </is>
      </c>
      <c r="G2160" s="3" t="inlineStr">
        <is>
          <t>Instalaciones</t>
        </is>
      </c>
      <c r="H2160" s="3" t="inlineStr">
        <is>
          <t>estandar</t>
        </is>
      </c>
      <c r="I2160" s="3" t="inlineStr">
        <is>
          <t>importado</t>
        </is>
      </c>
      <c r="J2160" s="5" t="n">
        <v>1</v>
      </c>
      <c r="K2160" s="6" t="n">
        <v>520</v>
      </c>
      <c r="L2160" s="6" t="n">
        <v>473</v>
      </c>
      <c r="M2160" s="6" t="n">
        <v>567</v>
      </c>
      <c r="N2160" s="3" t="inlineStr">
        <is>
          <t>Sí</t>
        </is>
      </c>
      <c r="O2160" s="6">
        <f>IF(K2160="","",IF(N2160="Sí",ROUND(K2160/1.18,2),K2160))</f>
        <v/>
      </c>
      <c r="P2160" s="3" t="inlineStr">
        <is>
          <t>2026-09-09</t>
        </is>
      </c>
      <c r="Q2160" s="4" t="inlineStr">
        <is>
          <t>Ferretería Cima</t>
        </is>
      </c>
      <c r="AF2160" s="4" t="inlineStr">
        <is>
          <t>presentacion: 8 oz</t>
        </is>
      </c>
    </row>
    <row r="2161">
      <c r="A2161" s="3" t="inlineStr">
        <is>
          <t>MAT-33-001</t>
        </is>
      </c>
      <c r="B2161" s="3" t="inlineStr">
        <is>
          <t>Materiales</t>
        </is>
      </c>
      <c r="C2161" s="3" t="inlineStr">
        <is>
          <t>Iluminación decorativa</t>
        </is>
      </c>
      <c r="D2161" s="4" t="inlineStr">
        <is>
          <t>Lámpara decorativa de mesa</t>
        </is>
      </c>
      <c r="E2161" s="4" t="inlineStr">
        <is>
          <t>Se presupuesta por rango: la pieza se elige por diseño y el catálogo no la compara modelo a modelo</t>
        </is>
      </c>
      <c r="F2161" s="3" t="inlineStr">
        <is>
          <t>unidad</t>
        </is>
      </c>
      <c r="G2161" s="3" t="inlineStr">
        <is>
          <t>Terminación de superficies</t>
        </is>
      </c>
      <c r="H2161" s="3" t="inlineStr">
        <is>
          <t>estandar</t>
        </is>
      </c>
      <c r="I2161" s="3" t="inlineStr">
        <is>
          <t>importado</t>
        </is>
      </c>
      <c r="J2161" s="5" t="n">
        <v>2</v>
      </c>
      <c r="K2161" s="6" t="n">
        <v>4000</v>
      </c>
      <c r="L2161" s="6" t="n">
        <v>1200</v>
      </c>
      <c r="M2161" s="6" t="n">
        <v>29561.63</v>
      </c>
      <c r="N2161" s="3" t="inlineStr">
        <is>
          <t>Sí</t>
        </is>
      </c>
      <c r="O2161" s="6">
        <f>IF(K2161="","",IF(N2161="Sí",ROUND(K2161/1.18,2),K2161))</f>
        <v/>
      </c>
      <c r="P2161" s="3" t="inlineStr">
        <is>
          <t>2026-09-10</t>
        </is>
      </c>
      <c r="Q2161" s="4" t="inlineStr">
        <is>
          <t>Luminatti · Mundo LED</t>
        </is>
      </c>
      <c r="S2161" s="7" t="inlineStr">
        <is>
          <t>mesa</t>
        </is>
      </c>
    </row>
    <row r="2162">
      <c r="A2162" s="3" t="inlineStr">
        <is>
          <t>MAT-33-002</t>
        </is>
      </c>
      <c r="B2162" s="3" t="inlineStr">
        <is>
          <t>Materiales</t>
        </is>
      </c>
      <c r="C2162" s="3" t="inlineStr">
        <is>
          <t>Iluminación decorativa</t>
        </is>
      </c>
      <c r="D2162" s="4" t="inlineStr">
        <is>
          <t>Lámpara decorativa de pared</t>
        </is>
      </c>
      <c r="E2162" s="4" t="inlineStr">
        <is>
          <t>Se presupuesta por rango: la pieza se elige por diseño y el catálogo no la compara modelo a modelo</t>
        </is>
      </c>
      <c r="F2162" s="3" t="inlineStr">
        <is>
          <t>unidad</t>
        </is>
      </c>
      <c r="G2162" s="3" t="inlineStr">
        <is>
          <t>Terminación de superficies</t>
        </is>
      </c>
      <c r="H2162" s="3" t="inlineStr">
        <is>
          <t>estandar</t>
        </is>
      </c>
      <c r="I2162" s="3" t="inlineStr">
        <is>
          <t>importado</t>
        </is>
      </c>
      <c r="J2162" s="5" t="n">
        <v>4</v>
      </c>
      <c r="K2162" s="6" t="n">
        <v>3000</v>
      </c>
      <c r="L2162" s="6" t="n">
        <v>500</v>
      </c>
      <c r="M2162" s="6" t="n">
        <v>37040.2</v>
      </c>
      <c r="N2162" s="3" t="inlineStr">
        <is>
          <t>Sí</t>
        </is>
      </c>
      <c r="O2162" s="6">
        <f>IF(K2162="","",IF(N2162="Sí",ROUND(K2162/1.18,2),K2162))</f>
        <v/>
      </c>
      <c r="P2162" s="3" t="inlineStr">
        <is>
          <t>2026-09-11</t>
        </is>
      </c>
      <c r="Q2162" s="4" t="inlineStr">
        <is>
          <t>Carabela · Ilumel · Luminatti · Mundo LED</t>
        </is>
      </c>
      <c r="S2162" s="7" t="inlineStr">
        <is>
          <t>pared</t>
        </is>
      </c>
    </row>
    <row r="2163">
      <c r="A2163" s="3" t="inlineStr">
        <is>
          <t>MAT-33-003</t>
        </is>
      </c>
      <c r="B2163" s="3" t="inlineStr">
        <is>
          <t>Materiales</t>
        </is>
      </c>
      <c r="C2163" s="3" t="inlineStr">
        <is>
          <t>Iluminación decorativa</t>
        </is>
      </c>
      <c r="D2163" s="4" t="inlineStr">
        <is>
          <t>Lámpara decorativa de pie</t>
        </is>
      </c>
      <c r="E2163" s="4" t="inlineStr">
        <is>
          <t>Se presupuesta por rango: la pieza se elige por diseño y el catálogo no la compara modelo a modelo</t>
        </is>
      </c>
      <c r="F2163" s="3" t="inlineStr">
        <is>
          <t>unidad</t>
        </is>
      </c>
      <c r="G2163" s="3" t="inlineStr">
        <is>
          <t>Terminación de superficies</t>
        </is>
      </c>
      <c r="H2163" s="3" t="inlineStr">
        <is>
          <t>estandar</t>
        </is>
      </c>
      <c r="I2163" s="3" t="inlineStr">
        <is>
          <t>importado</t>
        </is>
      </c>
      <c r="J2163" s="5" t="n">
        <v>2</v>
      </c>
      <c r="K2163" s="6" t="n">
        <v>8250</v>
      </c>
      <c r="L2163" s="6" t="n">
        <v>4000</v>
      </c>
      <c r="M2163" s="6" t="n">
        <v>36560.58</v>
      </c>
      <c r="N2163" s="3" t="inlineStr">
        <is>
          <t>Sí</t>
        </is>
      </c>
      <c r="O2163" s="6">
        <f>IF(K2163="","",IF(N2163="Sí",ROUND(K2163/1.18,2),K2163))</f>
        <v/>
      </c>
      <c r="P2163" s="3" t="inlineStr">
        <is>
          <t>2026-09-10</t>
        </is>
      </c>
      <c r="Q2163" s="4" t="inlineStr">
        <is>
          <t>Luminatti · Mundo LED</t>
        </is>
      </c>
      <c r="S2163" s="7" t="inlineStr">
        <is>
          <t>pie</t>
        </is>
      </c>
    </row>
    <row r="2164">
      <c r="A2164" s="3" t="inlineStr">
        <is>
          <t>MAT-33-004</t>
        </is>
      </c>
      <c r="B2164" s="3" t="inlineStr">
        <is>
          <t>Materiales</t>
        </is>
      </c>
      <c r="C2164" s="3" t="inlineStr">
        <is>
          <t>Iluminación decorativa</t>
        </is>
      </c>
      <c r="D2164" s="4" t="inlineStr">
        <is>
          <t>Lámpara decorativa de techo</t>
        </is>
      </c>
      <c r="E2164" s="4" t="inlineStr">
        <is>
          <t>Se presupuesta por rango: la pieza se elige por diseño y el catálogo no la compara modelo a modelo</t>
        </is>
      </c>
      <c r="F2164" s="3" t="inlineStr">
        <is>
          <t>unidad</t>
        </is>
      </c>
      <c r="G2164" s="3" t="inlineStr">
        <is>
          <t>Terminación de superficies</t>
        </is>
      </c>
      <c r="H2164" s="3" t="inlineStr">
        <is>
          <t>estandar</t>
        </is>
      </c>
      <c r="I2164" s="3" t="inlineStr">
        <is>
          <t>importado</t>
        </is>
      </c>
      <c r="J2164" s="5" t="n">
        <v>3</v>
      </c>
      <c r="K2164" s="6" t="n">
        <v>8000</v>
      </c>
      <c r="L2164" s="6" t="n">
        <v>1089</v>
      </c>
      <c r="M2164" s="6" t="n">
        <v>186717.45</v>
      </c>
      <c r="N2164" s="3" t="inlineStr">
        <is>
          <t>Sí</t>
        </is>
      </c>
      <c r="O2164" s="6">
        <f>IF(K2164="","",IF(N2164="Sí",ROUND(K2164/1.18,2),K2164))</f>
        <v/>
      </c>
      <c r="P2164" s="3" t="inlineStr">
        <is>
          <t>2026-09-11</t>
        </is>
      </c>
      <c r="Q2164" s="4" t="inlineStr">
        <is>
          <t>Ilumel · Luminatti · Mundo LED</t>
        </is>
      </c>
      <c r="S2164" s="7" t="inlineStr">
        <is>
          <t>techo</t>
        </is>
      </c>
    </row>
    <row r="2165">
      <c r="A2165" s="3" t="inlineStr">
        <is>
          <t>MAT-34-001</t>
        </is>
      </c>
      <c r="B2165" s="3" t="inlineStr">
        <is>
          <t>Materiales</t>
        </is>
      </c>
      <c r="C2165" s="3" t="inlineStr">
        <is>
          <t>Revestimientos decorativos</t>
        </is>
      </c>
      <c r="D2165" s="4" t="inlineStr">
        <is>
          <t>Panel de pared de PVC acústico, 21 mm</t>
        </is>
      </c>
      <c r="E2165" s="4" t="inlineStr"/>
      <c r="F2165" s="3" t="inlineStr">
        <is>
          <t>m²</t>
        </is>
      </c>
      <c r="G2165" s="3" t="inlineStr">
        <is>
          <t>Terminación de superficies</t>
        </is>
      </c>
      <c r="H2165" s="3" t="inlineStr">
        <is>
          <t>estandar</t>
        </is>
      </c>
      <c r="I2165" s="3" t="inlineStr">
        <is>
          <t>importado</t>
        </is>
      </c>
      <c r="J2165" s="5" t="n">
        <v>1</v>
      </c>
      <c r="K2165" s="6" t="n">
        <v>1609.2</v>
      </c>
      <c r="L2165" s="6" t="n">
        <v>1609.2</v>
      </c>
      <c r="M2165" s="6" t="n">
        <v>1609.2</v>
      </c>
      <c r="N2165" s="3" t="inlineStr">
        <is>
          <t>Sí</t>
        </is>
      </c>
      <c r="O2165" s="6">
        <f>IF(K2165="","",IF(N2165="Sí",ROUND(K2165/1.18,2),K2165))</f>
        <v/>
      </c>
      <c r="P2165" s="3" t="inlineStr">
        <is>
          <t>2026-09-10</t>
        </is>
      </c>
      <c r="Q2165" s="4" t="inlineStr">
        <is>
          <t>Hogardeco</t>
        </is>
      </c>
      <c r="AF2165" s="4" t="inlineStr">
        <is>
          <t>material: PVC acústico · espesor_mm: 21</t>
        </is>
      </c>
    </row>
    <row r="2166">
      <c r="A2166" s="3" t="inlineStr">
        <is>
          <t>MAT-34-002</t>
        </is>
      </c>
      <c r="B2166" s="3" t="inlineStr">
        <is>
          <t>Materiales</t>
        </is>
      </c>
      <c r="C2166" s="3" t="inlineStr">
        <is>
          <t>Revestimientos decorativos</t>
        </is>
      </c>
      <c r="D2166" s="4" t="inlineStr">
        <is>
          <t>Panel de pared de PVC, 10 mm</t>
        </is>
      </c>
      <c r="E2166" s="4" t="inlineStr"/>
      <c r="F2166" s="3" t="inlineStr">
        <is>
          <t>m²</t>
        </is>
      </c>
      <c r="G2166" s="3" t="inlineStr">
        <is>
          <t>Terminación de superficies</t>
        </is>
      </c>
      <c r="H2166" s="3" t="inlineStr">
        <is>
          <t>estandar</t>
        </is>
      </c>
      <c r="I2166" s="3" t="inlineStr">
        <is>
          <t>importado</t>
        </is>
      </c>
      <c r="J2166" s="5" t="n">
        <v>1</v>
      </c>
      <c r="K2166" s="6" t="n">
        <v>1354.68</v>
      </c>
      <c r="L2166" s="6" t="n">
        <v>1354.68</v>
      </c>
      <c r="M2166" s="6" t="n">
        <v>1354.68</v>
      </c>
      <c r="N2166" s="3" t="inlineStr">
        <is>
          <t>Sí</t>
        </is>
      </c>
      <c r="O2166" s="6">
        <f>IF(K2166="","",IF(N2166="Sí",ROUND(K2166/1.18,2),K2166))</f>
        <v/>
      </c>
      <c r="P2166" s="3" t="inlineStr">
        <is>
          <t>2026-09-10</t>
        </is>
      </c>
      <c r="Q2166" s="4" t="inlineStr">
        <is>
          <t>Hogardeco</t>
        </is>
      </c>
      <c r="AF2166" s="4" t="inlineStr">
        <is>
          <t>material: PVC · espesor_mm: 10</t>
        </is>
      </c>
    </row>
    <row r="2167">
      <c r="A2167" s="3" t="inlineStr">
        <is>
          <t>MAT-34-003</t>
        </is>
      </c>
      <c r="B2167" s="3" t="inlineStr">
        <is>
          <t>Materiales</t>
        </is>
      </c>
      <c r="C2167" s="3" t="inlineStr">
        <is>
          <t>Revestimientos decorativos</t>
        </is>
      </c>
      <c r="D2167" s="4" t="inlineStr">
        <is>
          <t>Panel de pared de PVC, 12 mm</t>
        </is>
      </c>
      <c r="E2167" s="4" t="inlineStr"/>
      <c r="F2167" s="3" t="inlineStr">
        <is>
          <t>m²</t>
        </is>
      </c>
      <c r="G2167" s="3" t="inlineStr">
        <is>
          <t>Terminación de superficies</t>
        </is>
      </c>
      <c r="H2167" s="3" t="inlineStr">
        <is>
          <t>estandar</t>
        </is>
      </c>
      <c r="I2167" s="3" t="inlineStr">
        <is>
          <t>importado</t>
        </is>
      </c>
      <c r="J2167" s="5" t="n">
        <v>1</v>
      </c>
      <c r="K2167" s="6" t="n">
        <v>998.1900000000001</v>
      </c>
      <c r="L2167" s="6" t="n">
        <v>998.1900000000001</v>
      </c>
      <c r="M2167" s="6" t="n">
        <v>998.1900000000001</v>
      </c>
      <c r="N2167" s="3" t="inlineStr">
        <is>
          <t>Sí</t>
        </is>
      </c>
      <c r="O2167" s="6">
        <f>IF(K2167="","",IF(N2167="Sí",ROUND(K2167/1.18,2),K2167))</f>
        <v/>
      </c>
      <c r="P2167" s="3" t="inlineStr">
        <is>
          <t>2026-09-10</t>
        </is>
      </c>
      <c r="Q2167" s="4" t="inlineStr">
        <is>
          <t>Hogardeco</t>
        </is>
      </c>
      <c r="AF2167" s="4" t="inlineStr">
        <is>
          <t>material: PVC · espesor_mm: 12</t>
        </is>
      </c>
    </row>
    <row r="2168">
      <c r="A2168" s="3" t="inlineStr">
        <is>
          <t>MAT-34-004</t>
        </is>
      </c>
      <c r="B2168" s="3" t="inlineStr">
        <is>
          <t>Materiales</t>
        </is>
      </c>
      <c r="C2168" s="3" t="inlineStr">
        <is>
          <t>Revestimientos decorativos</t>
        </is>
      </c>
      <c r="D2168" s="4" t="inlineStr">
        <is>
          <t>Panel de pared de PVC, 13 mm</t>
        </is>
      </c>
      <c r="E2168" s="4" t="inlineStr"/>
      <c r="F2168" s="3" t="inlineStr">
        <is>
          <t>m²</t>
        </is>
      </c>
      <c r="G2168" s="3" t="inlineStr">
        <is>
          <t>Terminación de superficies</t>
        </is>
      </c>
      <c r="H2168" s="3" t="inlineStr">
        <is>
          <t>estandar</t>
        </is>
      </c>
      <c r="I2168" s="3" t="inlineStr">
        <is>
          <t>importado</t>
        </is>
      </c>
      <c r="J2168" s="5" t="n">
        <v>1</v>
      </c>
      <c r="K2168" s="6" t="n">
        <v>1252.27</v>
      </c>
      <c r="L2168" s="6" t="n">
        <v>1252.27</v>
      </c>
      <c r="M2168" s="6" t="n">
        <v>1252.27</v>
      </c>
      <c r="N2168" s="3" t="inlineStr">
        <is>
          <t>Sí</t>
        </is>
      </c>
      <c r="O2168" s="6">
        <f>IF(K2168="","",IF(N2168="Sí",ROUND(K2168/1.18,2),K2168))</f>
        <v/>
      </c>
      <c r="P2168" s="3" t="inlineStr">
        <is>
          <t>2026-09-10</t>
        </is>
      </c>
      <c r="Q2168" s="4" t="inlineStr">
        <is>
          <t>Hogardeco</t>
        </is>
      </c>
      <c r="AF2168" s="4" t="inlineStr">
        <is>
          <t>material: PVC · espesor_mm: 13</t>
        </is>
      </c>
    </row>
    <row r="2169">
      <c r="A2169" s="3" t="inlineStr">
        <is>
          <t>MAT-34-005</t>
        </is>
      </c>
      <c r="B2169" s="3" t="inlineStr">
        <is>
          <t>Materiales</t>
        </is>
      </c>
      <c r="C2169" s="3" t="inlineStr">
        <is>
          <t>Revestimientos decorativos</t>
        </is>
      </c>
      <c r="D2169" s="4" t="inlineStr">
        <is>
          <t>Panel de pared de PVC, 14 mm</t>
        </is>
      </c>
      <c r="E2169" s="4" t="inlineStr"/>
      <c r="F2169" s="3" t="inlineStr">
        <is>
          <t>m²</t>
        </is>
      </c>
      <c r="G2169" s="3" t="inlineStr">
        <is>
          <t>Terminación de superficies</t>
        </is>
      </c>
      <c r="H2169" s="3" t="inlineStr">
        <is>
          <t>estandar</t>
        </is>
      </c>
      <c r="I2169" s="3" t="inlineStr">
        <is>
          <t>importado</t>
        </is>
      </c>
      <c r="J2169" s="5" t="n">
        <v>1</v>
      </c>
      <c r="K2169" s="6" t="n">
        <v>1133</v>
      </c>
      <c r="L2169" s="6" t="n">
        <v>1133</v>
      </c>
      <c r="M2169" s="6" t="n">
        <v>1586.21</v>
      </c>
      <c r="N2169" s="3" t="inlineStr">
        <is>
          <t>Sí</t>
        </is>
      </c>
      <c r="O2169" s="6">
        <f>IF(K2169="","",IF(N2169="Sí",ROUND(K2169/1.18,2),K2169))</f>
        <v/>
      </c>
      <c r="P2169" s="3" t="inlineStr">
        <is>
          <t>2026-09-10</t>
        </is>
      </c>
      <c r="Q2169" s="4" t="inlineStr">
        <is>
          <t>Hogardeco</t>
        </is>
      </c>
      <c r="AF2169" s="4" t="inlineStr">
        <is>
          <t>material: PVC · espesor_mm: 14</t>
        </is>
      </c>
    </row>
    <row r="2170">
      <c r="A2170" s="3" t="inlineStr">
        <is>
          <t>MAT-34-006</t>
        </is>
      </c>
      <c r="B2170" s="3" t="inlineStr">
        <is>
          <t>Materiales</t>
        </is>
      </c>
      <c r="C2170" s="3" t="inlineStr">
        <is>
          <t>Revestimientos decorativos</t>
        </is>
      </c>
      <c r="D2170" s="4" t="inlineStr">
        <is>
          <t>Panel de pared de PVC, 15 mm</t>
        </is>
      </c>
      <c r="E2170" s="4" t="inlineStr"/>
      <c r="F2170" s="3" t="inlineStr">
        <is>
          <t>m²</t>
        </is>
      </c>
      <c r="G2170" s="3" t="inlineStr">
        <is>
          <t>Terminación de superficies</t>
        </is>
      </c>
      <c r="H2170" s="3" t="inlineStr">
        <is>
          <t>estandar</t>
        </is>
      </c>
      <c r="I2170" s="3" t="inlineStr">
        <is>
          <t>importado</t>
        </is>
      </c>
      <c r="J2170" s="5" t="n">
        <v>1</v>
      </c>
      <c r="K2170" s="6" t="n">
        <v>1586.21</v>
      </c>
      <c r="L2170" s="6" t="n">
        <v>1252.27</v>
      </c>
      <c r="M2170" s="6" t="n">
        <v>1586.21</v>
      </c>
      <c r="N2170" s="3" t="inlineStr">
        <is>
          <t>Sí</t>
        </is>
      </c>
      <c r="O2170" s="6">
        <f>IF(K2170="","",IF(N2170="Sí",ROUND(K2170/1.18,2),K2170))</f>
        <v/>
      </c>
      <c r="P2170" s="3" t="inlineStr">
        <is>
          <t>2026-09-10</t>
        </is>
      </c>
      <c r="Q2170" s="4" t="inlineStr">
        <is>
          <t>Hogardeco</t>
        </is>
      </c>
      <c r="AF2170" s="4" t="inlineStr">
        <is>
          <t>material: PVC · espesor_mm: 15</t>
        </is>
      </c>
    </row>
    <row r="2171">
      <c r="A2171" s="3" t="inlineStr">
        <is>
          <t>MAT-34-007</t>
        </is>
      </c>
      <c r="B2171" s="3" t="inlineStr">
        <is>
          <t>Materiales</t>
        </is>
      </c>
      <c r="C2171" s="3" t="inlineStr">
        <is>
          <t>Revestimientos decorativos</t>
        </is>
      </c>
      <c r="D2171" s="4" t="inlineStr">
        <is>
          <t>Panel de pared de PVC, 20 mm</t>
        </is>
      </c>
      <c r="E2171" s="4" t="inlineStr"/>
      <c r="F2171" s="3" t="inlineStr">
        <is>
          <t>m²</t>
        </is>
      </c>
      <c r="G2171" s="3" t="inlineStr">
        <is>
          <t>Terminación de superficies</t>
        </is>
      </c>
      <c r="H2171" s="3" t="inlineStr">
        <is>
          <t>estandar</t>
        </is>
      </c>
      <c r="I2171" s="3" t="inlineStr">
        <is>
          <t>importado</t>
        </is>
      </c>
      <c r="J2171" s="5" t="n">
        <v>1</v>
      </c>
      <c r="K2171" s="6" t="n">
        <v>1487.07</v>
      </c>
      <c r="L2171" s="6" t="n">
        <v>1487.07</v>
      </c>
      <c r="M2171" s="6" t="n">
        <v>1487.07</v>
      </c>
      <c r="N2171" s="3" t="inlineStr">
        <is>
          <t>Sí</t>
        </is>
      </c>
      <c r="O2171" s="6">
        <f>IF(K2171="","",IF(N2171="Sí",ROUND(K2171/1.18,2),K2171))</f>
        <v/>
      </c>
      <c r="P2171" s="3" t="inlineStr">
        <is>
          <t>2026-09-10</t>
        </is>
      </c>
      <c r="Q2171" s="4" t="inlineStr">
        <is>
          <t>Hogardeco</t>
        </is>
      </c>
      <c r="AF2171" s="4" t="inlineStr">
        <is>
          <t>material: PVC · espesor_mm: 20</t>
        </is>
      </c>
    </row>
    <row r="2172">
      <c r="A2172" s="3" t="inlineStr">
        <is>
          <t>MAT-34-008</t>
        </is>
      </c>
      <c r="B2172" s="3" t="inlineStr">
        <is>
          <t>Materiales</t>
        </is>
      </c>
      <c r="C2172" s="3" t="inlineStr">
        <is>
          <t>Revestimientos decorativos</t>
        </is>
      </c>
      <c r="D2172" s="4" t="inlineStr">
        <is>
          <t>Panel de pared de PVC, 24 mm</t>
        </is>
      </c>
      <c r="E2172" s="4" t="inlineStr"/>
      <c r="F2172" s="3" t="inlineStr">
        <is>
          <t>m²</t>
        </is>
      </c>
      <c r="G2172" s="3" t="inlineStr">
        <is>
          <t>Terminación de superficies</t>
        </is>
      </c>
      <c r="H2172" s="3" t="inlineStr">
        <is>
          <t>estandar</t>
        </is>
      </c>
      <c r="I2172" s="3" t="inlineStr">
        <is>
          <t>importado</t>
        </is>
      </c>
      <c r="J2172" s="5" t="n">
        <v>1</v>
      </c>
      <c r="K2172" s="6" t="n">
        <v>1487.07</v>
      </c>
      <c r="L2172" s="6" t="n">
        <v>1487.07</v>
      </c>
      <c r="M2172" s="6" t="n">
        <v>1487.07</v>
      </c>
      <c r="N2172" s="3" t="inlineStr">
        <is>
          <t>Sí</t>
        </is>
      </c>
      <c r="O2172" s="6">
        <f>IF(K2172="","",IF(N2172="Sí",ROUND(K2172/1.18,2),K2172))</f>
        <v/>
      </c>
      <c r="P2172" s="3" t="inlineStr">
        <is>
          <t>2026-09-10</t>
        </is>
      </c>
      <c r="Q2172" s="4" t="inlineStr">
        <is>
          <t>Hogardeco</t>
        </is>
      </c>
      <c r="AF2172" s="4" t="inlineStr">
        <is>
          <t>material: PVC · espesor_mm: 24</t>
        </is>
      </c>
    </row>
    <row r="2173">
      <c r="A2173" s="3" t="inlineStr">
        <is>
          <t>MAT-34-009</t>
        </is>
      </c>
      <c r="B2173" s="3" t="inlineStr">
        <is>
          <t>Materiales</t>
        </is>
      </c>
      <c r="C2173" s="3" t="inlineStr">
        <is>
          <t>Revestimientos decorativos</t>
        </is>
      </c>
      <c r="D2173" s="4" t="inlineStr">
        <is>
          <t>Panel de pared de WPC, 13 mm</t>
        </is>
      </c>
      <c r="E2173" s="4" t="inlineStr"/>
      <c r="F2173" s="3" t="inlineStr">
        <is>
          <t>m²</t>
        </is>
      </c>
      <c r="G2173" s="3" t="inlineStr">
        <is>
          <t>Terminación de superficies</t>
        </is>
      </c>
      <c r="H2173" s="3" t="inlineStr">
        <is>
          <t>estandar</t>
        </is>
      </c>
      <c r="I2173" s="3" t="inlineStr">
        <is>
          <t>importado</t>
        </is>
      </c>
      <c r="J2173" s="5" t="n">
        <v>1</v>
      </c>
      <c r="K2173" s="6" t="n">
        <v>3266.79</v>
      </c>
      <c r="L2173" s="6" t="n">
        <v>3266.79</v>
      </c>
      <c r="M2173" s="6" t="n">
        <v>3266.79</v>
      </c>
      <c r="N2173" s="3" t="inlineStr">
        <is>
          <t>Sí</t>
        </is>
      </c>
      <c r="O2173" s="6">
        <f>IF(K2173="","",IF(N2173="Sí",ROUND(K2173/1.18,2),K2173))</f>
        <v/>
      </c>
      <c r="P2173" s="3" t="inlineStr">
        <is>
          <t>2026-09-10</t>
        </is>
      </c>
      <c r="Q2173" s="4" t="inlineStr">
        <is>
          <t>Hogardeco</t>
        </is>
      </c>
      <c r="AF2173" s="4" t="inlineStr">
        <is>
          <t>material: WPC · espesor_mm: 13</t>
        </is>
      </c>
    </row>
    <row r="2174">
      <c r="A2174" s="3" t="inlineStr">
        <is>
          <t>MAT-34-010</t>
        </is>
      </c>
      <c r="B2174" s="3" t="inlineStr">
        <is>
          <t>Materiales</t>
        </is>
      </c>
      <c r="C2174" s="3" t="inlineStr">
        <is>
          <t>Revestimientos decorativos</t>
        </is>
      </c>
      <c r="D2174" s="4" t="inlineStr">
        <is>
          <t>Panel de pared de WPC, 26 mm</t>
        </is>
      </c>
      <c r="E2174" s="4" t="inlineStr"/>
      <c r="F2174" s="3" t="inlineStr">
        <is>
          <t>m²</t>
        </is>
      </c>
      <c r="G2174" s="3" t="inlineStr">
        <is>
          <t>Terminación de superficies</t>
        </is>
      </c>
      <c r="H2174" s="3" t="inlineStr">
        <is>
          <t>estandar</t>
        </is>
      </c>
      <c r="I2174" s="3" t="inlineStr">
        <is>
          <t>importado</t>
        </is>
      </c>
      <c r="J2174" s="5" t="n">
        <v>1</v>
      </c>
      <c r="K2174" s="6" t="n">
        <v>2955.67</v>
      </c>
      <c r="L2174" s="6" t="n">
        <v>2955.67</v>
      </c>
      <c r="M2174" s="6" t="n">
        <v>2955.67</v>
      </c>
      <c r="N2174" s="3" t="inlineStr">
        <is>
          <t>Sí</t>
        </is>
      </c>
      <c r="O2174" s="6">
        <f>IF(K2174="","",IF(N2174="Sí",ROUND(K2174/1.18,2),K2174))</f>
        <v/>
      </c>
      <c r="P2174" s="3" t="inlineStr">
        <is>
          <t>2026-09-10</t>
        </is>
      </c>
      <c r="Q2174" s="4" t="inlineStr">
        <is>
          <t>Hogardeco</t>
        </is>
      </c>
      <c r="AF2174" s="4" t="inlineStr">
        <is>
          <t>material: WPC · espesor_mm: 26</t>
        </is>
      </c>
    </row>
    <row r="2175">
      <c r="A2175" s="3" t="inlineStr">
        <is>
          <t>MAT-34-011</t>
        </is>
      </c>
      <c r="B2175" s="3" t="inlineStr">
        <is>
          <t>Materiales</t>
        </is>
      </c>
      <c r="C2175" s="3" t="inlineStr">
        <is>
          <t>Revestimientos decorativos</t>
        </is>
      </c>
      <c r="D2175" s="4" t="inlineStr">
        <is>
          <t>Plancha decorativa de bambú, 8 mm</t>
        </is>
      </c>
      <c r="E2175" s="4" t="inlineStr">
        <is>
          <t>Formato de 1.22 m de ancho</t>
        </is>
      </c>
      <c r="F2175" s="3" t="inlineStr">
        <is>
          <t>m²</t>
        </is>
      </c>
      <c r="G2175" s="3" t="inlineStr">
        <is>
          <t>Terminación de superficies</t>
        </is>
      </c>
      <c r="H2175" s="3" t="inlineStr">
        <is>
          <t>estandar</t>
        </is>
      </c>
      <c r="I2175" s="3" t="inlineStr">
        <is>
          <t>importado</t>
        </is>
      </c>
      <c r="J2175" s="5" t="n">
        <v>1</v>
      </c>
      <c r="K2175" s="6" t="n">
        <v>791.41</v>
      </c>
      <c r="L2175" s="6" t="n">
        <v>791.41</v>
      </c>
      <c r="M2175" s="6" t="n">
        <v>791.41</v>
      </c>
      <c r="N2175" s="3" t="inlineStr">
        <is>
          <t>Sí</t>
        </is>
      </c>
      <c r="O2175" s="6">
        <f>IF(K2175="","",IF(N2175="Sí",ROUND(K2175/1.18,2),K2175))</f>
        <v/>
      </c>
      <c r="P2175" s="3" t="inlineStr">
        <is>
          <t>2026-09-10</t>
        </is>
      </c>
      <c r="Q2175" s="4" t="inlineStr">
        <is>
          <t>Hogardeco</t>
        </is>
      </c>
      <c r="AF2175" s="4" t="inlineStr">
        <is>
          <t>material: bambú · espesor_mm: 8</t>
        </is>
      </c>
    </row>
    <row r="2176">
      <c r="A2176" s="3" t="inlineStr">
        <is>
          <t>MAT-34-012</t>
        </is>
      </c>
      <c r="B2176" s="3" t="inlineStr">
        <is>
          <t>Materiales</t>
        </is>
      </c>
      <c r="C2176" s="3" t="inlineStr">
        <is>
          <t>Revestimientos decorativos</t>
        </is>
      </c>
      <c r="D2176" s="4" t="inlineStr">
        <is>
          <t>Plancha decorativa de mármol, 3 mm</t>
        </is>
      </c>
      <c r="E2176" s="4" t="inlineStr">
        <is>
          <t>Formato de 1.22 m de ancho</t>
        </is>
      </c>
      <c r="F2176" s="3" t="inlineStr">
        <is>
          <t>m²</t>
        </is>
      </c>
      <c r="G2176" s="3" t="inlineStr">
        <is>
          <t>Terminación de superficies</t>
        </is>
      </c>
      <c r="H2176" s="3" t="inlineStr">
        <is>
          <t>estandar</t>
        </is>
      </c>
      <c r="I2176" s="3" t="inlineStr">
        <is>
          <t>importado</t>
        </is>
      </c>
      <c r="J2176" s="5" t="n">
        <v>1</v>
      </c>
      <c r="K2176" s="6" t="n">
        <v>650.08</v>
      </c>
      <c r="L2176" s="6" t="n">
        <v>650.08</v>
      </c>
      <c r="M2176" s="6" t="n">
        <v>772.64</v>
      </c>
      <c r="N2176" s="3" t="inlineStr">
        <is>
          <t>Sí</t>
        </is>
      </c>
      <c r="O2176" s="6">
        <f>IF(K2176="","",IF(N2176="Sí",ROUND(K2176/1.18,2),K2176))</f>
        <v/>
      </c>
      <c r="P2176" s="3" t="inlineStr">
        <is>
          <t>2026-09-10</t>
        </is>
      </c>
      <c r="Q2176" s="4" t="inlineStr">
        <is>
          <t>Hogardeco</t>
        </is>
      </c>
      <c r="AF2176" s="4" t="inlineStr">
        <is>
          <t>material: mármol · espesor_mm: 3</t>
        </is>
      </c>
    </row>
    <row r="2177">
      <c r="A2177" s="3" t="inlineStr">
        <is>
          <t>MAT-34-013</t>
        </is>
      </c>
      <c r="B2177" s="3" t="inlineStr">
        <is>
          <t>Materiales</t>
        </is>
      </c>
      <c r="C2177" s="3" t="inlineStr">
        <is>
          <t>Revestimientos decorativos</t>
        </is>
      </c>
      <c r="D2177" s="4" t="inlineStr">
        <is>
          <t>Plancha decorativa de ónix, 6 mm</t>
        </is>
      </c>
      <c r="E2177" s="4" t="inlineStr">
        <is>
          <t>Formato de 1.22 m de ancho</t>
        </is>
      </c>
      <c r="F2177" s="3" t="inlineStr">
        <is>
          <t>m²</t>
        </is>
      </c>
      <c r="G2177" s="3" t="inlineStr">
        <is>
          <t>Terminación de superficies</t>
        </is>
      </c>
      <c r="H2177" s="3" t="inlineStr">
        <is>
          <t>estandar</t>
        </is>
      </c>
      <c r="I2177" s="3" t="inlineStr">
        <is>
          <t>importado</t>
        </is>
      </c>
      <c r="J2177" s="5" t="n">
        <v>1</v>
      </c>
      <c r="K2177" s="6" t="n">
        <v>3512.88</v>
      </c>
      <c r="L2177" s="6" t="n">
        <v>1463.7</v>
      </c>
      <c r="M2177" s="6" t="n">
        <v>4391.1</v>
      </c>
      <c r="N2177" s="3" t="inlineStr">
        <is>
          <t>Sí</t>
        </is>
      </c>
      <c r="O2177" s="6">
        <f>IF(K2177="","",IF(N2177="Sí",ROUND(K2177/1.18,2),K2177))</f>
        <v/>
      </c>
      <c r="P2177" s="3" t="inlineStr">
        <is>
          <t>2026-09-10</t>
        </is>
      </c>
      <c r="Q2177" s="4" t="inlineStr">
        <is>
          <t>Hogardeco</t>
        </is>
      </c>
      <c r="AF2177" s="4" t="inlineStr">
        <is>
          <t>material: ónix · espesor_mm: 6</t>
        </is>
      </c>
    </row>
    <row r="2178">
      <c r="A2178" s="3" t="inlineStr">
        <is>
          <t>MAT-34-014</t>
        </is>
      </c>
      <c r="B2178" s="3" t="inlineStr">
        <is>
          <t>Materiales</t>
        </is>
      </c>
      <c r="C2178" s="3" t="inlineStr">
        <is>
          <t>Revestimientos decorativos</t>
        </is>
      </c>
      <c r="D2178" s="4" t="inlineStr">
        <is>
          <t>Plancha decorativa de poliuretano, 8 mm</t>
        </is>
      </c>
      <c r="E2178" s="4" t="inlineStr">
        <is>
          <t>Formato de 1.22 m de ancho</t>
        </is>
      </c>
      <c r="F2178" s="3" t="inlineStr">
        <is>
          <t>m²</t>
        </is>
      </c>
      <c r="G2178" s="3" t="inlineStr">
        <is>
          <t>Terminación de superficies</t>
        </is>
      </c>
      <c r="H2178" s="3" t="inlineStr">
        <is>
          <t>estandar</t>
        </is>
      </c>
      <c r="I2178" s="3" t="inlineStr">
        <is>
          <t>importado</t>
        </is>
      </c>
      <c r="J2178" s="5" t="n">
        <v>1</v>
      </c>
      <c r="K2178" s="6" t="n">
        <v>791.41</v>
      </c>
      <c r="L2178" s="6" t="n">
        <v>791.41</v>
      </c>
      <c r="M2178" s="6" t="n">
        <v>791.41</v>
      </c>
      <c r="N2178" s="3" t="inlineStr">
        <is>
          <t>Sí</t>
        </is>
      </c>
      <c r="O2178" s="6">
        <f>IF(K2178="","",IF(N2178="Sí",ROUND(K2178/1.18,2),K2178))</f>
        <v/>
      </c>
      <c r="P2178" s="3" t="inlineStr">
        <is>
          <t>2026-09-10</t>
        </is>
      </c>
      <c r="Q2178" s="4" t="inlineStr">
        <is>
          <t>Hogardeco</t>
        </is>
      </c>
      <c r="AF2178" s="4" t="inlineStr">
        <is>
          <t>material: poliuretano · espesor_mm: 8</t>
        </is>
      </c>
    </row>
    <row r="2179">
      <c r="A2179" s="3" t="inlineStr">
        <is>
          <t>MAT-34-015</t>
        </is>
      </c>
      <c r="B2179" s="3" t="inlineStr">
        <is>
          <t>Materiales</t>
        </is>
      </c>
      <c r="C2179" s="3" t="inlineStr">
        <is>
          <t>Revestimientos decorativos</t>
        </is>
      </c>
      <c r="D2179" s="4" t="inlineStr">
        <is>
          <t>Plancha decorativa de PVC, 9 mm</t>
        </is>
      </c>
      <c r="E2179" s="4" t="inlineStr">
        <is>
          <t>Formato de 1.22 m de ancho</t>
        </is>
      </c>
      <c r="F2179" s="3" t="inlineStr">
        <is>
          <t>m²</t>
        </is>
      </c>
      <c r="G2179" s="3" t="inlineStr">
        <is>
          <t>Terminación de superficies</t>
        </is>
      </c>
      <c r="H2179" s="3" t="inlineStr">
        <is>
          <t>estandar</t>
        </is>
      </c>
      <c r="I2179" s="3" t="inlineStr">
        <is>
          <t>importado</t>
        </is>
      </c>
      <c r="J2179" s="5" t="n">
        <v>1</v>
      </c>
      <c r="K2179" s="6" t="n">
        <v>1379.31</v>
      </c>
      <c r="L2179" s="6" t="n">
        <v>1379.31</v>
      </c>
      <c r="M2179" s="6" t="n">
        <v>1379.31</v>
      </c>
      <c r="N2179" s="3" t="inlineStr">
        <is>
          <t>Sí</t>
        </is>
      </c>
      <c r="O2179" s="6">
        <f>IF(K2179="","",IF(N2179="Sí",ROUND(K2179/1.18,2),K2179))</f>
        <v/>
      </c>
      <c r="P2179" s="3" t="inlineStr">
        <is>
          <t>2026-09-10</t>
        </is>
      </c>
      <c r="Q2179" s="4" t="inlineStr">
        <is>
          <t>Hogardeco</t>
        </is>
      </c>
      <c r="AF2179" s="4" t="inlineStr">
        <is>
          <t>material: PVC · espesor_mm: 9</t>
        </is>
      </c>
    </row>
    <row r="2180">
      <c r="A2180" s="3" t="inlineStr">
        <is>
          <t>MAT-34-016</t>
        </is>
      </c>
      <c r="B2180" s="3" t="inlineStr">
        <is>
          <t>Materiales</t>
        </is>
      </c>
      <c r="C2180" s="3" t="inlineStr">
        <is>
          <t>Revestimientos decorativos</t>
        </is>
      </c>
      <c r="D2180" s="4" t="inlineStr">
        <is>
          <t>Papel tapiz</t>
        </is>
      </c>
      <c r="E2180" s="4" t="inlineStr">
        <is>
          <t>Se presupuesta por rango: el rollo se elige por diseño y el catálogo no lo compara modelo a modelo</t>
        </is>
      </c>
      <c r="F2180" s="3" t="inlineStr">
        <is>
          <t>m²</t>
        </is>
      </c>
      <c r="G2180" s="3" t="inlineStr">
        <is>
          <t>Terminación de superficies</t>
        </is>
      </c>
      <c r="H2180" s="3" t="inlineStr">
        <is>
          <t>estandar</t>
        </is>
      </c>
      <c r="I2180" s="3" t="inlineStr">
        <is>
          <t>importado</t>
        </is>
      </c>
      <c r="J2180" s="5" t="n">
        <v>4</v>
      </c>
      <c r="K2180" s="6" t="n">
        <v>836.88</v>
      </c>
      <c r="L2180" s="6" t="n">
        <v>238.12</v>
      </c>
      <c r="M2180" s="6" t="n">
        <v>3055.16</v>
      </c>
      <c r="N2180" s="3" t="inlineStr">
        <is>
          <t>Sí</t>
        </is>
      </c>
      <c r="O2180" s="6">
        <f>IF(K2180="","",IF(N2180="Sí",ROUND(K2180/1.18,2),K2180))</f>
        <v/>
      </c>
      <c r="P2180" s="3" t="inlineStr">
        <is>
          <t>2026-09-11</t>
        </is>
      </c>
      <c r="Q2180" s="4" t="inlineStr">
        <is>
          <t>Cortinaje · DCO · Hogardeco · Papel Tapiz Bella Vista</t>
        </is>
      </c>
    </row>
    <row r="2181">
      <c r="A2181" s="3" t="inlineStr">
        <is>
          <t>MAT-34-017</t>
        </is>
      </c>
      <c r="B2181" s="3" t="inlineStr">
        <is>
          <t>Materiales</t>
        </is>
      </c>
      <c r="C2181" s="3" t="inlineStr">
        <is>
          <t>Revestimientos decorativos</t>
        </is>
      </c>
      <c r="D2181" s="4" t="inlineStr">
        <is>
          <t>Revestimiento flexible de piedra, de interior</t>
        </is>
      </c>
      <c r="E2181" s="4" t="inlineStr">
        <is>
          <t>Lámina flexible que sigue la curva del muro</t>
        </is>
      </c>
      <c r="F2181" s="3" t="inlineStr">
        <is>
          <t>m²</t>
        </is>
      </c>
      <c r="G2181" s="3" t="inlineStr">
        <is>
          <t>Terminación de superficies</t>
        </is>
      </c>
      <c r="H2181" s="3" t="inlineStr">
        <is>
          <t>estandar</t>
        </is>
      </c>
      <c r="I2181" s="3" t="inlineStr">
        <is>
          <t>importado</t>
        </is>
      </c>
      <c r="J2181" s="5" t="n">
        <v>1</v>
      </c>
      <c r="K2181" s="6" t="n">
        <v>2013.89</v>
      </c>
      <c r="L2181" s="6" t="n">
        <v>937.5</v>
      </c>
      <c r="M2181" s="6" t="n">
        <v>2708.33</v>
      </c>
      <c r="N2181" s="3" t="inlineStr">
        <is>
          <t>Sí</t>
        </is>
      </c>
      <c r="O2181" s="6">
        <f>IF(K2181="","",IF(N2181="Sí",ROUND(K2181/1.18,2),K2181))</f>
        <v/>
      </c>
      <c r="P2181" s="3" t="inlineStr">
        <is>
          <t>2026-09-10</t>
        </is>
      </c>
      <c r="Q2181" s="4" t="inlineStr">
        <is>
          <t>Hogardeco</t>
        </is>
      </c>
      <c r="AE2181" s="7" t="inlineStr">
        <is>
          <t>interior</t>
        </is>
      </c>
    </row>
    <row r="2182">
      <c r="A2182" s="3" t="inlineStr">
        <is>
          <t>MAT-34-018</t>
        </is>
      </c>
      <c r="B2182" s="3" t="inlineStr">
        <is>
          <t>Materiales</t>
        </is>
      </c>
      <c r="C2182" s="3" t="inlineStr">
        <is>
          <t>Revestimientos decorativos</t>
        </is>
      </c>
      <c r="D2182" s="4" t="inlineStr">
        <is>
          <t>Mosaico decorativo de madera</t>
        </is>
      </c>
      <c r="E2182" s="4" t="inlineStr"/>
      <c r="F2182" s="3" t="inlineStr">
        <is>
          <t>m²</t>
        </is>
      </c>
      <c r="G2182" s="3" t="inlineStr">
        <is>
          <t>Terminación de superficies</t>
        </is>
      </c>
      <c r="H2182" s="3" t="inlineStr">
        <is>
          <t>estandar</t>
        </is>
      </c>
      <c r="I2182" s="3" t="inlineStr">
        <is>
          <t>importado</t>
        </is>
      </c>
      <c r="J2182" s="5" t="n">
        <v>1</v>
      </c>
      <c r="K2182" s="6" t="n">
        <v>9444.440000000001</v>
      </c>
      <c r="L2182" s="6" t="n">
        <v>4714.29</v>
      </c>
      <c r="M2182" s="6" t="n">
        <v>11666.67</v>
      </c>
      <c r="N2182" s="3" t="inlineStr">
        <is>
          <t>Sí</t>
        </is>
      </c>
      <c r="O2182" s="6">
        <f>IF(K2182="","",IF(N2182="Sí",ROUND(K2182/1.18,2),K2182))</f>
        <v/>
      </c>
      <c r="P2182" s="3" t="inlineStr">
        <is>
          <t>2026-09-10</t>
        </is>
      </c>
      <c r="Q2182" s="4" t="inlineStr">
        <is>
          <t>Hogardeco</t>
        </is>
      </c>
      <c r="AF2182" s="4" t="inlineStr">
        <is>
          <t>material: madera</t>
        </is>
      </c>
    </row>
    <row r="2183">
      <c r="A2183" s="3" t="inlineStr">
        <is>
          <t>MAT-34-019</t>
        </is>
      </c>
      <c r="B2183" s="3" t="inlineStr">
        <is>
          <t>Materiales</t>
        </is>
      </c>
      <c r="C2183" s="3" t="inlineStr">
        <is>
          <t>Revestimientos decorativos</t>
        </is>
      </c>
      <c r="D2183" s="4" t="inlineStr">
        <is>
          <t>Mosaico decorativo de mármol</t>
        </is>
      </c>
      <c r="E2183" s="4" t="inlineStr"/>
      <c r="F2183" s="3" t="inlineStr">
        <is>
          <t>m²</t>
        </is>
      </c>
      <c r="G2183" s="3" t="inlineStr">
        <is>
          <t>Terminación de superficies</t>
        </is>
      </c>
      <c r="H2183" s="3" t="inlineStr">
        <is>
          <t>estandar</t>
        </is>
      </c>
      <c r="I2183" s="3" t="inlineStr">
        <is>
          <t>importado</t>
        </is>
      </c>
      <c r="J2183" s="5" t="n">
        <v>1</v>
      </c>
      <c r="K2183" s="6" t="n">
        <v>10337.55</v>
      </c>
      <c r="L2183" s="6" t="n">
        <v>4166.67</v>
      </c>
      <c r="M2183" s="6" t="n">
        <v>14518.76</v>
      </c>
      <c r="N2183" s="3" t="inlineStr">
        <is>
          <t>Sí</t>
        </is>
      </c>
      <c r="O2183" s="6">
        <f>IF(K2183="","",IF(N2183="Sí",ROUND(K2183/1.18,2),K2183))</f>
        <v/>
      </c>
      <c r="P2183" s="3" t="inlineStr">
        <is>
          <t>2026-09-10</t>
        </is>
      </c>
      <c r="Q2183" s="4" t="inlineStr">
        <is>
          <t>Hogardeco</t>
        </is>
      </c>
      <c r="AF2183" s="4" t="inlineStr">
        <is>
          <t>material: mármol</t>
        </is>
      </c>
    </row>
    <row r="2184">
      <c r="A2184" s="3" t="inlineStr">
        <is>
          <t>MAT-34-020</t>
        </is>
      </c>
      <c r="B2184" s="3" t="inlineStr">
        <is>
          <t>Materiales</t>
        </is>
      </c>
      <c r="C2184" s="3" t="inlineStr">
        <is>
          <t>Revestimientos decorativos</t>
        </is>
      </c>
      <c r="D2184" s="4" t="inlineStr">
        <is>
          <t>Mosaico decorativo de piedra</t>
        </is>
      </c>
      <c r="E2184" s="4" t="inlineStr"/>
      <c r="F2184" s="3" t="inlineStr">
        <is>
          <t>m²</t>
        </is>
      </c>
      <c r="G2184" s="3" t="inlineStr">
        <is>
          <t>Terminación de superficies</t>
        </is>
      </c>
      <c r="H2184" s="3" t="inlineStr">
        <is>
          <t>estandar</t>
        </is>
      </c>
      <c r="I2184" s="3" t="inlineStr">
        <is>
          <t>importado</t>
        </is>
      </c>
      <c r="J2184" s="5" t="n">
        <v>1</v>
      </c>
      <c r="K2184" s="6" t="n">
        <v>8489.209999999999</v>
      </c>
      <c r="L2184" s="6" t="n">
        <v>6111.11</v>
      </c>
      <c r="M2184" s="6" t="n">
        <v>13888.89</v>
      </c>
      <c r="N2184" s="3" t="inlineStr">
        <is>
          <t>Sí</t>
        </is>
      </c>
      <c r="O2184" s="6">
        <f>IF(K2184="","",IF(N2184="Sí",ROUND(K2184/1.18,2),K2184))</f>
        <v/>
      </c>
      <c r="P2184" s="3" t="inlineStr">
        <is>
          <t>2026-09-10</t>
        </is>
      </c>
      <c r="Q2184" s="4" t="inlineStr">
        <is>
          <t>Hogardeco</t>
        </is>
      </c>
      <c r="AF2184" s="4" t="inlineStr">
        <is>
          <t>material: piedra</t>
        </is>
      </c>
    </row>
    <row r="2185">
      <c r="A2185" s="3" t="inlineStr">
        <is>
          <t>MAT-34-021</t>
        </is>
      </c>
      <c r="B2185" s="3" t="inlineStr">
        <is>
          <t>Materiales</t>
        </is>
      </c>
      <c r="C2185" s="3" t="inlineStr">
        <is>
          <t>Revestimientos decorativos</t>
        </is>
      </c>
      <c r="D2185" s="4" t="inlineStr">
        <is>
          <t>Pieza 3D de pared de cuero</t>
        </is>
      </c>
      <c r="E2185" s="4" t="inlineStr"/>
      <c r="F2185" s="3" t="inlineStr">
        <is>
          <t>m²</t>
        </is>
      </c>
      <c r="G2185" s="3" t="inlineStr">
        <is>
          <t>Terminación de superficies</t>
        </is>
      </c>
      <c r="H2185" s="3" t="inlineStr">
        <is>
          <t>estandar</t>
        </is>
      </c>
      <c r="I2185" s="3" t="inlineStr">
        <is>
          <t>importado</t>
        </is>
      </c>
      <c r="J2185" s="5" t="n">
        <v>1</v>
      </c>
      <c r="K2185" s="6" t="n">
        <v>4669.54</v>
      </c>
      <c r="L2185" s="6" t="n">
        <v>3277.78</v>
      </c>
      <c r="M2185" s="6" t="n">
        <v>6357.76</v>
      </c>
      <c r="N2185" s="3" t="inlineStr">
        <is>
          <t>Sí</t>
        </is>
      </c>
      <c r="O2185" s="6">
        <f>IF(K2185="","",IF(N2185="Sí",ROUND(K2185/1.18,2),K2185))</f>
        <v/>
      </c>
      <c r="P2185" s="3" t="inlineStr">
        <is>
          <t>2026-09-10</t>
        </is>
      </c>
      <c r="Q2185" s="4" t="inlineStr">
        <is>
          <t>Hogardeco</t>
        </is>
      </c>
      <c r="AF2185" s="4" t="inlineStr">
        <is>
          <t>material: cuero</t>
        </is>
      </c>
    </row>
    <row r="2186">
      <c r="A2186" s="3" t="inlineStr">
        <is>
          <t>MAT-34-022</t>
        </is>
      </c>
      <c r="B2186" s="3" t="inlineStr">
        <is>
          <t>Materiales</t>
        </is>
      </c>
      <c r="C2186" s="3" t="inlineStr">
        <is>
          <t>Revestimientos decorativos</t>
        </is>
      </c>
      <c r="D2186" s="4" t="inlineStr">
        <is>
          <t>Malla decorativa de ratán</t>
        </is>
      </c>
      <c r="E2186" s="4" t="inlineStr"/>
      <c r="F2186" s="3" t="inlineStr">
        <is>
          <t>m²</t>
        </is>
      </c>
      <c r="G2186" s="3" t="inlineStr">
        <is>
          <t>Terminación de superficies</t>
        </is>
      </c>
      <c r="H2186" s="3" t="inlineStr">
        <is>
          <t>estandar</t>
        </is>
      </c>
      <c r="I2186" s="3" t="inlineStr">
        <is>
          <t>importado</t>
        </is>
      </c>
      <c r="J2186" s="5" t="n">
        <v>1</v>
      </c>
      <c r="K2186" s="6" t="n">
        <v>1247.69</v>
      </c>
      <c r="L2186" s="6" t="n">
        <v>1247.69</v>
      </c>
      <c r="M2186" s="6" t="n">
        <v>1247.69</v>
      </c>
      <c r="N2186" s="3" t="inlineStr">
        <is>
          <t>Sí</t>
        </is>
      </c>
      <c r="O2186" s="6">
        <f>IF(K2186="","",IF(N2186="Sí",ROUND(K2186/1.18,2),K2186))</f>
        <v/>
      </c>
      <c r="P2186" s="3" t="inlineStr">
        <is>
          <t>2026-09-10</t>
        </is>
      </c>
      <c r="Q2186" s="4" t="inlineStr">
        <is>
          <t>Hogardeco</t>
        </is>
      </c>
      <c r="AF2186" s="4" t="inlineStr">
        <is>
          <t>material: ratán</t>
        </is>
      </c>
    </row>
    <row r="2187">
      <c r="A2187" s="3" t="inlineStr">
        <is>
          <t>MAT-34-023</t>
        </is>
      </c>
      <c r="B2187" s="3" t="inlineStr">
        <is>
          <t>Materiales</t>
        </is>
      </c>
      <c r="C2187" s="3" t="inlineStr">
        <is>
          <t>Revestimientos decorativos</t>
        </is>
      </c>
      <c r="D2187" s="4" t="inlineStr">
        <is>
          <t>Tirador para mueble</t>
        </is>
      </c>
      <c r="E2187" s="4" t="inlineStr">
        <is>
          <t>Se presupuesta por rango: la pieza se elige por diseño</t>
        </is>
      </c>
      <c r="F2187" s="3" t="inlineStr">
        <is>
          <t>unidad</t>
        </is>
      </c>
      <c r="G2187" s="3" t="inlineStr">
        <is>
          <t>Terminación de superficies</t>
        </is>
      </c>
      <c r="H2187" s="3" t="inlineStr">
        <is>
          <t>estandar</t>
        </is>
      </c>
      <c r="I2187" s="3" t="inlineStr">
        <is>
          <t>importado</t>
        </is>
      </c>
      <c r="J2187" s="5" t="n">
        <v>1</v>
      </c>
      <c r="K2187" s="6" t="n">
        <v>350</v>
      </c>
      <c r="L2187" s="6" t="n">
        <v>350</v>
      </c>
      <c r="M2187" s="6" t="n">
        <v>900</v>
      </c>
      <c r="N2187" s="3" t="inlineStr">
        <is>
          <t>Sí</t>
        </is>
      </c>
      <c r="O2187" s="6">
        <f>IF(K2187="","",IF(N2187="Sí",ROUND(K2187/1.18,2),K2187))</f>
        <v/>
      </c>
      <c r="P2187" s="3" t="inlineStr">
        <is>
          <t>2026-09-10</t>
        </is>
      </c>
      <c r="Q2187" s="4" t="inlineStr">
        <is>
          <t>Hogardeco</t>
        </is>
      </c>
    </row>
  </sheetData>
  <autoFilter ref="A2:AF2187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3" customWidth="1" min="23" max="23"/>
    <col width="13" customWidth="1" min="24" max="24"/>
    <col width="13" customWidth="1" min="25" max="25"/>
    <col width="11" customWidth="1" min="26" max="26"/>
    <col width="24" customWidth="1" min="27" max="27"/>
    <col width="15" customWidth="1" min="28" max="28"/>
    <col width="11" customWidth="1" min="29" max="2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Imper System (Impersystem Tecnologies)</t>
        </is>
      </c>
      <c r="U2" s="2" t="inlineStr">
        <is>
          <t>Papel Tapiz Bella Vista</t>
        </is>
      </c>
      <c r="V2" s="2" t="inlineStr">
        <is>
          <t>Cortinaje</t>
        </is>
      </c>
      <c r="W2" s="2" t="inlineStr">
        <is>
          <t>Mínimo (RD$)</t>
        </is>
      </c>
      <c r="X2" s="2" t="inlineStr">
        <is>
          <t>Mediana (RD$)</t>
        </is>
      </c>
      <c r="Y2" s="2" t="inlineStr">
        <is>
          <t>Máximo (RD$)</t>
        </is>
      </c>
      <c r="Z2" s="2" t="inlineStr">
        <is>
          <t>Dispersión</t>
        </is>
      </c>
      <c r="AA2" s="2" t="inlineStr">
        <is>
          <t>Más barato</t>
        </is>
      </c>
      <c r="AB2" s="2" t="inlineStr">
        <is>
          <t>Referencia del sitio (RD$)</t>
        </is>
      </c>
      <c r="AC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>
        <v>26589.51</v>
      </c>
      <c r="U3" s="8" t="n"/>
      <c r="V3" s="8" t="n"/>
      <c r="W3" s="8">
        <f>IF(COUNT(D3:V3)=0,"",MIN(D3:V3))</f>
        <v/>
      </c>
      <c r="X3" s="8">
        <f>IF(COUNT(D3:V3)=0,"",MEDIAN(D3:V3))</f>
        <v/>
      </c>
      <c r="Y3" s="8">
        <f>IF(COUNT(D3:V3)=0,"",MAX(D3:V3))</f>
        <v/>
      </c>
      <c r="Z3" s="9">
        <f>IF(OR(W3="",W3=0),"",(Y3-W3)/W3)</f>
        <v/>
      </c>
      <c r="AA3" s="7">
        <f>IF(COUNT(D3:V3)=0,"",INDEX($D$1:$V$1,MATCH(MIN(D3:V3),D3:V3,0)))</f>
        <v/>
      </c>
      <c r="AB3" s="8" t="n">
        <v>31375.62</v>
      </c>
      <c r="AC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>
        <v>112266.82</v>
      </c>
      <c r="U4" s="8" t="n"/>
      <c r="V4" s="8" t="n"/>
      <c r="W4" s="8">
        <f>IF(COUNT(D4:V4)=0,"",MIN(D4:V4))</f>
        <v/>
      </c>
      <c r="X4" s="8">
        <f>IF(COUNT(D4:V4)=0,"",MEDIAN(D4:V4))</f>
        <v/>
      </c>
      <c r="Y4" s="8">
        <f>IF(COUNT(D4:V4)=0,"",MAX(D4:V4))</f>
        <v/>
      </c>
      <c r="Z4" s="9">
        <f>IF(OR(W4="",W4=0),"",(Y4-W4)/W4)</f>
        <v/>
      </c>
      <c r="AA4" s="7">
        <f>IF(COUNT(D4:V4)=0,"",INDEX($D$1:$V$1,MATCH(MIN(D4:V4),D4:V4,0)))</f>
        <v/>
      </c>
      <c r="AB4" s="8" t="n">
        <v>132474.85</v>
      </c>
      <c r="AC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>
        <v>472702.4</v>
      </c>
      <c r="U5" s="8" t="n"/>
      <c r="V5" s="8" t="n"/>
      <c r="W5" s="8">
        <f>IF(COUNT(D5:V5)=0,"",MIN(D5:V5))</f>
        <v/>
      </c>
      <c r="X5" s="8">
        <f>IF(COUNT(D5:V5)=0,"",MEDIAN(D5:V5))</f>
        <v/>
      </c>
      <c r="Y5" s="8">
        <f>IF(COUNT(D5:V5)=0,"",MAX(D5:V5))</f>
        <v/>
      </c>
      <c r="Z5" s="9">
        <f>IF(OR(W5="",W5=0),"",(Y5-W5)/W5)</f>
        <v/>
      </c>
      <c r="AA5" s="7">
        <f>IF(COUNT(D5:V5)=0,"",INDEX($D$1:$V$1,MATCH(MIN(D5:V5),D5:V5,0)))</f>
        <v/>
      </c>
      <c r="AB5" s="8" t="n">
        <v>557788.83</v>
      </c>
      <c r="AC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>
        <v>20680.73</v>
      </c>
      <c r="U6" s="8" t="n"/>
      <c r="V6" s="8" t="n"/>
      <c r="W6" s="8">
        <f>IF(COUNT(D6:V6)=0,"",MIN(D6:V6))</f>
        <v/>
      </c>
      <c r="X6" s="8">
        <f>IF(COUNT(D6:V6)=0,"",MEDIAN(D6:V6))</f>
        <v/>
      </c>
      <c r="Y6" s="8">
        <f>IF(COUNT(D6:V6)=0,"",MAX(D6:V6))</f>
        <v/>
      </c>
      <c r="Z6" s="9">
        <f>IF(OR(W6="",W6=0),"",(Y6-W6)/W6)</f>
        <v/>
      </c>
      <c r="AA6" s="7">
        <f>IF(COUNT(D6:V6)=0,"",INDEX($D$1:$V$1,MATCH(MIN(D6:V6),D6:V6,0)))</f>
        <v/>
      </c>
      <c r="AB6" s="8" t="n">
        <v>24403.26</v>
      </c>
      <c r="AC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>
        <v>94540.48</v>
      </c>
      <c r="U7" s="8" t="n"/>
      <c r="V7" s="8" t="n"/>
      <c r="W7" s="8">
        <f>IF(COUNT(D7:V7)=0,"",MIN(D7:V7))</f>
        <v/>
      </c>
      <c r="X7" s="8">
        <f>IF(COUNT(D7:V7)=0,"",MEDIAN(D7:V7))</f>
        <v/>
      </c>
      <c r="Y7" s="8">
        <f>IF(COUNT(D7:V7)=0,"",MAX(D7:V7))</f>
        <v/>
      </c>
      <c r="Z7" s="9">
        <f>IF(OR(W7="",W7=0),"",(Y7-W7)/W7)</f>
        <v/>
      </c>
      <c r="AA7" s="7">
        <f>IF(COUNT(D7:V7)=0,"",INDEX($D$1:$V$1,MATCH(MIN(D7:V7),D7:V7,0)))</f>
        <v/>
      </c>
      <c r="AB7" s="8" t="n">
        <v>111557.77</v>
      </c>
      <c r="AC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>
        <v>389979.48</v>
      </c>
      <c r="U8" s="8" t="n"/>
      <c r="V8" s="8" t="n"/>
      <c r="W8" s="8">
        <f>IF(COUNT(D8:V8)=0,"",MIN(D8:V8))</f>
        <v/>
      </c>
      <c r="X8" s="8">
        <f>IF(COUNT(D8:V8)=0,"",MEDIAN(D8:V8))</f>
        <v/>
      </c>
      <c r="Y8" s="8">
        <f>IF(COUNT(D8:V8)=0,"",MAX(D8:V8))</f>
        <v/>
      </c>
      <c r="Z8" s="9">
        <f>IF(OR(W8="",W8=0),"",(Y8-W8)/W8)</f>
        <v/>
      </c>
      <c r="AA8" s="7">
        <f>IF(COUNT(D8:V8)=0,"",INDEX($D$1:$V$1,MATCH(MIN(D8:V8),D8:V8,0)))</f>
        <v/>
      </c>
      <c r="AB8" s="8" t="n">
        <v>460175.79</v>
      </c>
      <c r="AC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>
        <v>47270.24</v>
      </c>
      <c r="U9" s="8" t="n"/>
      <c r="V9" s="8" t="n"/>
      <c r="W9" s="8">
        <f>IF(COUNT(D9:V9)=0,"",MIN(D9:V9))</f>
        <v/>
      </c>
      <c r="X9" s="8">
        <f>IF(COUNT(D9:V9)=0,"",MEDIAN(D9:V9))</f>
        <v/>
      </c>
      <c r="Y9" s="8">
        <f>IF(COUNT(D9:V9)=0,"",MAX(D9:V9))</f>
        <v/>
      </c>
      <c r="Z9" s="9">
        <f>IF(OR(W9="",W9=0),"",(Y9-W9)/W9)</f>
        <v/>
      </c>
      <c r="AA9" s="7">
        <f>IF(COUNT(D9:V9)=0,"",INDEX($D$1:$V$1,MATCH(MIN(D9:V9),D9:V9,0)))</f>
        <v/>
      </c>
      <c r="AB9" s="8" t="n">
        <v>55778.88</v>
      </c>
      <c r="AC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>
        <v>177263.4</v>
      </c>
      <c r="U10" s="8" t="n"/>
      <c r="V10" s="8" t="n"/>
      <c r="W10" s="8">
        <f>IF(COUNT(D10:V10)=0,"",MIN(D10:V10))</f>
        <v/>
      </c>
      <c r="X10" s="8">
        <f>IF(COUNT(D10:V10)=0,"",MEDIAN(D10:V10))</f>
        <v/>
      </c>
      <c r="Y10" s="8">
        <f>IF(COUNT(D10:V10)=0,"",MAX(D10:V10))</f>
        <v/>
      </c>
      <c r="Z10" s="9">
        <f>IF(OR(W10="",W10=0),"",(Y10-W10)/W10)</f>
        <v/>
      </c>
      <c r="AA10" s="7">
        <f>IF(COUNT(D10:V10)=0,"",INDEX($D$1:$V$1,MATCH(MIN(D10:V10),D10:V10,0)))</f>
        <v/>
      </c>
      <c r="AB10" s="8" t="n">
        <v>209170.81</v>
      </c>
      <c r="AC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>
        <v>763709.8199999999</v>
      </c>
      <c r="U11" s="8" t="n"/>
      <c r="V11" s="8" t="n"/>
      <c r="W11" s="8">
        <f>IF(COUNT(D11:V11)=0,"",MIN(D11:V11))</f>
        <v/>
      </c>
      <c r="X11" s="8">
        <f>IF(COUNT(D11:V11)=0,"",MEDIAN(D11:V11))</f>
        <v/>
      </c>
      <c r="Y11" s="8">
        <f>IF(COUNT(D11:V11)=0,"",MAX(D11:V11))</f>
        <v/>
      </c>
      <c r="Z11" s="9">
        <f>IF(OR(W11="",W11=0),"",(Y11-W11)/W11)</f>
        <v/>
      </c>
      <c r="AA11" s="7">
        <f>IF(COUNT(D11:V11)=0,"",INDEX($D$1:$V$1,MATCH(MIN(D11:V11),D11:V11,0)))</f>
        <v/>
      </c>
      <c r="AB11" s="8" t="n">
        <v>901177.59</v>
      </c>
      <c r="AC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>
        <v>15362.83</v>
      </c>
      <c r="U12" s="8" t="n"/>
      <c r="V12" s="8" t="n"/>
      <c r="W12" s="8">
        <f>IF(COUNT(D12:V12)=0,"",MIN(D12:V12))</f>
        <v/>
      </c>
      <c r="X12" s="8">
        <f>IF(COUNT(D12:V12)=0,"",MEDIAN(D12:V12))</f>
        <v/>
      </c>
      <c r="Y12" s="8">
        <f>IF(COUNT(D12:V12)=0,"",MAX(D12:V12))</f>
        <v/>
      </c>
      <c r="Z12" s="9">
        <f>IF(OR(W12="",W12=0),"",(Y12-W12)/W12)</f>
        <v/>
      </c>
      <c r="AA12" s="7">
        <f>IF(COUNT(D12:V12)=0,"",INDEX($D$1:$V$1,MATCH(MIN(D12:V12),D12:V12,0)))</f>
        <v/>
      </c>
      <c r="AB12" s="8" t="n">
        <v>18128.14</v>
      </c>
      <c r="AC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>
        <v>64996.58</v>
      </c>
      <c r="U13" s="8" t="n"/>
      <c r="V13" s="8" t="n"/>
      <c r="W13" s="8">
        <f>IF(COUNT(D13:V13)=0,"",MIN(D13:V13))</f>
        <v/>
      </c>
      <c r="X13" s="8">
        <f>IF(COUNT(D13:V13)=0,"",MEDIAN(D13:V13))</f>
        <v/>
      </c>
      <c r="Y13" s="8">
        <f>IF(COUNT(D13:V13)=0,"",MAX(D13:V13))</f>
        <v/>
      </c>
      <c r="Z13" s="9">
        <f>IF(OR(W13="",W13=0),"",(Y13-W13)/W13)</f>
        <v/>
      </c>
      <c r="AA13" s="7">
        <f>IF(COUNT(D13:V13)=0,"",INDEX($D$1:$V$1,MATCH(MIN(D13:V13),D13:V13,0)))</f>
        <v/>
      </c>
      <c r="AB13" s="8" t="n">
        <v>76695.96000000001</v>
      </c>
      <c r="AC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>
        <v>307256.56</v>
      </c>
      <c r="U14" s="8" t="n"/>
      <c r="V14" s="8" t="n"/>
      <c r="W14" s="8">
        <f>IF(COUNT(D14:V14)=0,"",MIN(D14:V14))</f>
        <v/>
      </c>
      <c r="X14" s="8">
        <f>IF(COUNT(D14:V14)=0,"",MEDIAN(D14:V14))</f>
        <v/>
      </c>
      <c r="Y14" s="8">
        <f>IF(COUNT(D14:V14)=0,"",MAX(D14:V14))</f>
        <v/>
      </c>
      <c r="Z14" s="9">
        <f>IF(OR(W14="",W14=0),"",(Y14-W14)/W14)</f>
        <v/>
      </c>
      <c r="AA14" s="7">
        <f>IF(COUNT(D14:V14)=0,"",INDEX($D$1:$V$1,MATCH(MIN(D14:V14),D14:V14,0)))</f>
        <v/>
      </c>
      <c r="AB14" s="8" t="n">
        <v>362562.74</v>
      </c>
      <c r="AC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>
        <v>11226.68</v>
      </c>
      <c r="U15" s="8" t="n"/>
      <c r="V15" s="8" t="n"/>
      <c r="W15" s="8">
        <f>IF(COUNT(D15:V15)=0,"",MIN(D15:V15))</f>
        <v/>
      </c>
      <c r="X15" s="8">
        <f>IF(COUNT(D15:V15)=0,"",MEDIAN(D15:V15))</f>
        <v/>
      </c>
      <c r="Y15" s="8">
        <f>IF(COUNT(D15:V15)=0,"",MAX(D15:V15))</f>
        <v/>
      </c>
      <c r="Z15" s="9">
        <f>IF(OR(W15="",W15=0),"",(Y15-W15)/W15)</f>
        <v/>
      </c>
      <c r="AA15" s="7">
        <f>IF(COUNT(D15:V15)=0,"",INDEX($D$1:$V$1,MATCH(MIN(D15:V15),D15:V15,0)))</f>
        <v/>
      </c>
      <c r="AB15" s="8" t="n">
        <v>13247.48</v>
      </c>
      <c r="AC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>
        <v>50224.63</v>
      </c>
      <c r="U16" s="8" t="n"/>
      <c r="V16" s="8" t="n"/>
      <c r="W16" s="8">
        <f>IF(COUNT(D16:V16)=0,"",MIN(D16:V16))</f>
        <v/>
      </c>
      <c r="X16" s="8">
        <f>IF(COUNT(D16:V16)=0,"",MEDIAN(D16:V16))</f>
        <v/>
      </c>
      <c r="Y16" s="8">
        <f>IF(COUNT(D16:V16)=0,"",MAX(D16:V16))</f>
        <v/>
      </c>
      <c r="Z16" s="9">
        <f>IF(OR(W16="",W16=0),"",(Y16-W16)/W16)</f>
        <v/>
      </c>
      <c r="AA16" s="7">
        <f>IF(COUNT(D16:V16)=0,"",INDEX($D$1:$V$1,MATCH(MIN(D16:V16),D16:V16,0)))</f>
        <v/>
      </c>
      <c r="AB16" s="8" t="n">
        <v>59265.06</v>
      </c>
      <c r="AC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>
        <v>224533.64</v>
      </c>
      <c r="U17" s="8" t="n"/>
      <c r="V17" s="8" t="n"/>
      <c r="W17" s="8">
        <f>IF(COUNT(D17:V17)=0,"",MIN(D17:V17))</f>
        <v/>
      </c>
      <c r="X17" s="8">
        <f>IF(COUNT(D17:V17)=0,"",MEDIAN(D17:V17))</f>
        <v/>
      </c>
      <c r="Y17" s="8">
        <f>IF(COUNT(D17:V17)=0,"",MAX(D17:V17))</f>
        <v/>
      </c>
      <c r="Z17" s="9">
        <f>IF(OR(W17="",W17=0),"",(Y17-W17)/W17)</f>
        <v/>
      </c>
      <c r="AA17" s="7">
        <f>IF(COUNT(D17:V17)=0,"",INDEX($D$1:$V$1,MATCH(MIN(D17:V17),D17:V17,0)))</f>
        <v/>
      </c>
      <c r="AB17" s="8" t="n">
        <v>264949.7</v>
      </c>
      <c r="AC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>
        <f>IF(COUNT(D18:V18)=0,"",MIN(D18:V18))</f>
        <v/>
      </c>
      <c r="X18" s="8">
        <f>IF(COUNT(D18:V18)=0,"",MEDIAN(D18:V18))</f>
        <v/>
      </c>
      <c r="Y18" s="8">
        <f>IF(COUNT(D18:V18)=0,"",MAX(D18:V18))</f>
        <v/>
      </c>
      <c r="Z18" s="9">
        <f>IF(OR(W18="",W18=0),"",(Y18-W18)/W18)</f>
        <v/>
      </c>
      <c r="AA18" s="7">
        <f>IF(COUNT(D18:V18)=0,"",INDEX($D$1:$V$1,MATCH(MIN(D18:V18),D18:V18,0)))</f>
        <v/>
      </c>
      <c r="AB18" s="8" t="n">
        <v>595</v>
      </c>
      <c r="AC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>
        <f>IF(COUNT(D19:V19)=0,"",MIN(D19:V19))</f>
        <v/>
      </c>
      <c r="X19" s="8">
        <f>IF(COUNT(D19:V19)=0,"",MEDIAN(D19:V19))</f>
        <v/>
      </c>
      <c r="Y19" s="8">
        <f>IF(COUNT(D19:V19)=0,"",MAX(D19:V19))</f>
        <v/>
      </c>
      <c r="Z19" s="9">
        <f>IF(OR(W19="",W19=0),"",(Y19-W19)/W19)</f>
        <v/>
      </c>
      <c r="AA19" s="7">
        <f>IF(COUNT(D19:V19)=0,"",INDEX($D$1:$V$1,MATCH(MIN(D19:V19),D19:V19,0)))</f>
        <v/>
      </c>
      <c r="AB19" s="8" t="n">
        <v>755</v>
      </c>
      <c r="AC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>
        <f>IF(COUNT(D20:V20)=0,"",MIN(D20:V20))</f>
        <v/>
      </c>
      <c r="X20" s="8">
        <f>IF(COUNT(D20:V20)=0,"",MEDIAN(D20:V20))</f>
        <v/>
      </c>
      <c r="Y20" s="8">
        <f>IF(COUNT(D20:V20)=0,"",MAX(D20:V20))</f>
        <v/>
      </c>
      <c r="Z20" s="9">
        <f>IF(OR(W20="",W20=0),"",(Y20-W20)/W20)</f>
        <v/>
      </c>
      <c r="AA20" s="7">
        <f>IF(COUNT(D20:V20)=0,"",INDEX($D$1:$V$1,MATCH(MIN(D20:V20),D20:V20,0)))</f>
        <v/>
      </c>
      <c r="AB20" s="8" t="n">
        <v>1295</v>
      </c>
      <c r="AC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>
        <f>IF(COUNT(D21:V21)=0,"",MIN(D21:V21))</f>
        <v/>
      </c>
      <c r="X21" s="8">
        <f>IF(COUNT(D21:V21)=0,"",MEDIAN(D21:V21))</f>
        <v/>
      </c>
      <c r="Y21" s="8">
        <f>IF(COUNT(D21:V21)=0,"",MAX(D21:V21))</f>
        <v/>
      </c>
      <c r="Z21" s="9">
        <f>IF(OR(W21="",W21=0),"",(Y21-W21)/W21)</f>
        <v/>
      </c>
      <c r="AA21" s="7">
        <f>IF(COUNT(D21:V21)=0,"",INDEX($D$1:$V$1,MATCH(MIN(D21:V21),D21:V21,0)))</f>
        <v/>
      </c>
      <c r="AB21" s="8" t="n">
        <v>503.66</v>
      </c>
      <c r="AC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>
        <f>IF(COUNT(D22:V22)=0,"",MIN(D22:V22))</f>
        <v/>
      </c>
      <c r="X22" s="8">
        <f>IF(COUNT(D22:V22)=0,"",MEDIAN(D22:V22))</f>
        <v/>
      </c>
      <c r="Y22" s="8">
        <f>IF(COUNT(D22:V22)=0,"",MAX(D22:V22))</f>
        <v/>
      </c>
      <c r="Z22" s="9">
        <f>IF(OR(W22="",W22=0),"",(Y22-W22)/W22)</f>
        <v/>
      </c>
      <c r="AA22" s="7">
        <f>IF(COUNT(D22:V22)=0,"",INDEX($D$1:$V$1,MATCH(MIN(D22:V22),D22:V22,0)))</f>
        <v/>
      </c>
      <c r="AB22" s="8" t="n">
        <v>345</v>
      </c>
      <c r="AC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>
        <f>IF(COUNT(D23:V23)=0,"",MIN(D23:V23))</f>
        <v/>
      </c>
      <c r="X23" s="8">
        <f>IF(COUNT(D23:V23)=0,"",MEDIAN(D23:V23))</f>
        <v/>
      </c>
      <c r="Y23" s="8">
        <f>IF(COUNT(D23:V23)=0,"",MAX(D23:V23))</f>
        <v/>
      </c>
      <c r="Z23" s="9">
        <f>IF(OR(W23="",W23=0),"",(Y23-W23)/W23)</f>
        <v/>
      </c>
      <c r="AA23" s="7">
        <f>IF(COUNT(D23:V23)=0,"",INDEX($D$1:$V$1,MATCH(MIN(D23:V23),D23:V23,0)))</f>
        <v/>
      </c>
      <c r="AB23" s="8" t="n">
        <v>825</v>
      </c>
      <c r="AC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>
        <f>IF(COUNT(D24:V24)=0,"",MIN(D24:V24))</f>
        <v/>
      </c>
      <c r="X24" s="8">
        <f>IF(COUNT(D24:V24)=0,"",MEDIAN(D24:V24))</f>
        <v/>
      </c>
      <c r="Y24" s="8">
        <f>IF(COUNT(D24:V24)=0,"",MAX(D24:V24))</f>
        <v/>
      </c>
      <c r="Z24" s="9">
        <f>IF(OR(W24="",W24=0),"",(Y24-W24)/W24)</f>
        <v/>
      </c>
      <c r="AA24" s="7">
        <f>IF(COUNT(D24:V24)=0,"",INDEX($D$1:$V$1,MATCH(MIN(D24:V24),D24:V24,0)))</f>
        <v/>
      </c>
      <c r="AB24" s="8" t="n">
        <v>365</v>
      </c>
      <c r="AC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>
        <f>IF(COUNT(D25:V25)=0,"",MIN(D25:V25))</f>
        <v/>
      </c>
      <c r="X25" s="8">
        <f>IF(COUNT(D25:V25)=0,"",MEDIAN(D25:V25))</f>
        <v/>
      </c>
      <c r="Y25" s="8">
        <f>IF(COUNT(D25:V25)=0,"",MAX(D25:V25))</f>
        <v/>
      </c>
      <c r="Z25" s="9">
        <f>IF(OR(W25="",W25=0),"",(Y25-W25)/W25)</f>
        <v/>
      </c>
      <c r="AA25" s="7">
        <f>IF(COUNT(D25:V25)=0,"",INDEX($D$1:$V$1,MATCH(MIN(D25:V25),D25:V25,0)))</f>
        <v/>
      </c>
      <c r="AB25" s="8" t="n">
        <v>323.12</v>
      </c>
      <c r="AC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>
        <f>IF(COUNT(D26:V26)=0,"",MIN(D26:V26))</f>
        <v/>
      </c>
      <c r="X26" s="8">
        <f>IF(COUNT(D26:V26)=0,"",MEDIAN(D26:V26))</f>
        <v/>
      </c>
      <c r="Y26" s="8">
        <f>IF(COUNT(D26:V26)=0,"",MAX(D26:V26))</f>
        <v/>
      </c>
      <c r="Z26" s="9">
        <f>IF(OR(W26="",W26=0),"",(Y26-W26)/W26)</f>
        <v/>
      </c>
      <c r="AA26" s="7">
        <f>IF(COUNT(D26:V26)=0,"",INDEX($D$1:$V$1,MATCH(MIN(D26:V26),D26:V26,0)))</f>
        <v/>
      </c>
      <c r="AB26" s="8" t="n">
        <v>249.98</v>
      </c>
      <c r="AC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>
        <f>IF(COUNT(D27:V27)=0,"",MIN(D27:V27))</f>
        <v/>
      </c>
      <c r="X27" s="8">
        <f>IF(COUNT(D27:V27)=0,"",MEDIAN(D27:V27))</f>
        <v/>
      </c>
      <c r="Y27" s="8">
        <f>IF(COUNT(D27:V27)=0,"",MAX(D27:V27))</f>
        <v/>
      </c>
      <c r="Z27" s="9">
        <f>IF(OR(W27="",W27=0),"",(Y27-W27)/W27)</f>
        <v/>
      </c>
      <c r="AA27" s="7">
        <f>IF(COUNT(D27:V27)=0,"",INDEX($D$1:$V$1,MATCH(MIN(D27:V27),D27:V27,0)))</f>
        <v/>
      </c>
      <c r="AB27" s="8" t="n">
        <v>445.88</v>
      </c>
      <c r="AC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>
        <f>IF(COUNT(D28:V28)=0,"",MIN(D28:V28))</f>
        <v/>
      </c>
      <c r="X28" s="8">
        <f>IF(COUNT(D28:V28)=0,"",MEDIAN(D28:V28))</f>
        <v/>
      </c>
      <c r="Y28" s="8">
        <f>IF(COUNT(D28:V28)=0,"",MAX(D28:V28))</f>
        <v/>
      </c>
      <c r="Z28" s="9">
        <f>IF(OR(W28="",W28=0),"",(Y28-W28)/W28)</f>
        <v/>
      </c>
      <c r="AA28" s="7">
        <f>IF(COUNT(D28:V28)=0,"",INDEX($D$1:$V$1,MATCH(MIN(D28:V28),D28:V28,0)))</f>
        <v/>
      </c>
      <c r="AB28" s="8" t="n">
        <v>1006.75</v>
      </c>
      <c r="AC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>
        <f>IF(COUNT(D29:V29)=0,"",MIN(D29:V29))</f>
        <v/>
      </c>
      <c r="X29" s="8">
        <f>IF(COUNT(D29:V29)=0,"",MEDIAN(D29:V29))</f>
        <v/>
      </c>
      <c r="Y29" s="8">
        <f>IF(COUNT(D29:V29)=0,"",MAX(D29:V29))</f>
        <v/>
      </c>
      <c r="Z29" s="9">
        <f>IF(OR(W29="",W29=0),"",(Y29-W29)/W29)</f>
        <v/>
      </c>
      <c r="AA29" s="7">
        <f>IF(COUNT(D29:V29)=0,"",INDEX($D$1:$V$1,MATCH(MIN(D29:V29),D29:V29,0)))</f>
        <v/>
      </c>
      <c r="AB29" s="8" t="n">
        <v>1773.79</v>
      </c>
      <c r="AC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>
        <f>IF(COUNT(D30:V30)=0,"",MIN(D30:V30))</f>
        <v/>
      </c>
      <c r="X30" s="8">
        <f>IF(COUNT(D30:V30)=0,"",MEDIAN(D30:V30))</f>
        <v/>
      </c>
      <c r="Y30" s="8">
        <f>IF(COUNT(D30:V30)=0,"",MAX(D30:V30))</f>
        <v/>
      </c>
      <c r="Z30" s="9">
        <f>IF(OR(W30="",W30=0),"",(Y30-W30)/W30)</f>
        <v/>
      </c>
      <c r="AA30" s="7">
        <f>IF(COUNT(D30:V30)=0,"",INDEX($D$1:$V$1,MATCH(MIN(D30:V30),D30:V30,0)))</f>
        <v/>
      </c>
      <c r="AB30" s="8" t="n">
        <v>18252.92</v>
      </c>
      <c r="AC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>
        <f>IF(COUNT(D31:V31)=0,"",MIN(D31:V31))</f>
        <v/>
      </c>
      <c r="X31" s="8">
        <f>IF(COUNT(D31:V31)=0,"",MEDIAN(D31:V31))</f>
        <v/>
      </c>
      <c r="Y31" s="8">
        <f>IF(COUNT(D31:V31)=0,"",MAX(D31:V31))</f>
        <v/>
      </c>
      <c r="Z31" s="9">
        <f>IF(OR(W31="",W31=0),"",(Y31-W31)/W31)</f>
        <v/>
      </c>
      <c r="AA31" s="7">
        <f>IF(COUNT(D31:V31)=0,"",INDEX($D$1:$V$1,MATCH(MIN(D31:V31),D31:V31,0)))</f>
        <v/>
      </c>
      <c r="AB31" s="8" t="n">
        <v>20871.84</v>
      </c>
      <c r="AC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>
        <f>IF(COUNT(D32:V32)=0,"",MIN(D32:V32))</f>
        <v/>
      </c>
      <c r="X32" s="8">
        <f>IF(COUNT(D32:V32)=0,"",MEDIAN(D32:V32))</f>
        <v/>
      </c>
      <c r="Y32" s="8">
        <f>IF(COUNT(D32:V32)=0,"",MAX(D32:V32))</f>
        <v/>
      </c>
      <c r="Z32" s="9">
        <f>IF(OR(W32="",W32=0),"",(Y32-W32)/W32)</f>
        <v/>
      </c>
      <c r="AA32" s="7">
        <f>IF(COUNT(D32:V32)=0,"",INDEX($D$1:$V$1,MATCH(MIN(D32:V32),D32:V32,0)))</f>
        <v/>
      </c>
      <c r="AB32" s="8" t="n">
        <v>20629.26</v>
      </c>
      <c r="AC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>
        <f>IF(COUNT(D33:V33)=0,"",MIN(D33:V33))</f>
        <v/>
      </c>
      <c r="X33" s="8">
        <f>IF(COUNT(D33:V33)=0,"",MEDIAN(D33:V33))</f>
        <v/>
      </c>
      <c r="Y33" s="8">
        <f>IF(COUNT(D33:V33)=0,"",MAX(D33:V33))</f>
        <v/>
      </c>
      <c r="Z33" s="9">
        <f>IF(OR(W33="",W33=0),"",(Y33-W33)/W33)</f>
        <v/>
      </c>
      <c r="AA33" s="7">
        <f>IF(COUNT(D33:V33)=0,"",INDEX($D$1:$V$1,MATCH(MIN(D33:V33),D33:V33,0)))</f>
        <v/>
      </c>
      <c r="AB33" s="8" t="n">
        <v>62.48</v>
      </c>
      <c r="AC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>
        <f>IF(COUNT(D34:V34)=0,"",MIN(D34:V34))</f>
        <v/>
      </c>
      <c r="X34" s="8">
        <f>IF(COUNT(D34:V34)=0,"",MEDIAN(D34:V34))</f>
        <v/>
      </c>
      <c r="Y34" s="8">
        <f>IF(COUNT(D34:V34)=0,"",MAX(D34:V34))</f>
        <v/>
      </c>
      <c r="Z34" s="9">
        <f>IF(OR(W34="",W34=0),"",(Y34-W34)/W34)</f>
        <v/>
      </c>
      <c r="AA34" s="7">
        <f>IF(COUNT(D34:V34)=0,"",INDEX($D$1:$V$1,MATCH(MIN(D34:V34),D34:V34,0)))</f>
        <v/>
      </c>
      <c r="AB34" s="8" t="n">
        <v>61.12</v>
      </c>
      <c r="AC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>
        <f>IF(COUNT(D35:V35)=0,"",MIN(D35:V35))</f>
        <v/>
      </c>
      <c r="X35" s="8">
        <f>IF(COUNT(D35:V35)=0,"",MEDIAN(D35:V35))</f>
        <v/>
      </c>
      <c r="Y35" s="8">
        <f>IF(COUNT(D35:V35)=0,"",MAX(D35:V35))</f>
        <v/>
      </c>
      <c r="Z35" s="9">
        <f>IF(OR(W35="",W35=0),"",(Y35-W35)/W35)</f>
        <v/>
      </c>
      <c r="AA35" s="7">
        <f>IF(COUNT(D35:V35)=0,"",INDEX($D$1:$V$1,MATCH(MIN(D35:V35),D35:V35,0)))</f>
        <v/>
      </c>
      <c r="AB35" s="8" t="n">
        <v>861</v>
      </c>
      <c r="AC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>
        <f>IF(COUNT(D36:V36)=0,"",MIN(D36:V36))</f>
        <v/>
      </c>
      <c r="X36" s="8">
        <f>IF(COUNT(D36:V36)=0,"",MEDIAN(D36:V36))</f>
        <v/>
      </c>
      <c r="Y36" s="8">
        <f>IF(COUNT(D36:V36)=0,"",MAX(D36:V36))</f>
        <v/>
      </c>
      <c r="Z36" s="9">
        <f>IF(OR(W36="",W36=0),"",(Y36-W36)/W36)</f>
        <v/>
      </c>
      <c r="AA36" s="7">
        <f>IF(COUNT(D36:V36)=0,"",INDEX($D$1:$V$1,MATCH(MIN(D36:V36),D36:V36,0)))</f>
        <v/>
      </c>
      <c r="AB36" s="8" t="n">
        <v>860</v>
      </c>
      <c r="AC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>
        <f>IF(COUNT(D37:V37)=0,"",MIN(D37:V37))</f>
        <v/>
      </c>
      <c r="X37" s="8">
        <f>IF(COUNT(D37:V37)=0,"",MEDIAN(D37:V37))</f>
        <v/>
      </c>
      <c r="Y37" s="8">
        <f>IF(COUNT(D37:V37)=0,"",MAX(D37:V37))</f>
        <v/>
      </c>
      <c r="Z37" s="9">
        <f>IF(OR(W37="",W37=0),"",(Y37-W37)/W37)</f>
        <v/>
      </c>
      <c r="AA37" s="7">
        <f>IF(COUNT(D37:V37)=0,"",INDEX($D$1:$V$1,MATCH(MIN(D37:V37),D37:V37,0)))</f>
        <v/>
      </c>
      <c r="AB37" s="8" t="n">
        <v>1472.5</v>
      </c>
      <c r="AC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>
        <f>IF(COUNT(D38:V38)=0,"",MIN(D38:V38))</f>
        <v/>
      </c>
      <c r="X38" s="8">
        <f>IF(COUNT(D38:V38)=0,"",MEDIAN(D38:V38))</f>
        <v/>
      </c>
      <c r="Y38" s="8">
        <f>IF(COUNT(D38:V38)=0,"",MAX(D38:V38))</f>
        <v/>
      </c>
      <c r="Z38" s="9">
        <f>IF(OR(W38="",W38=0),"",(Y38-W38)/W38)</f>
        <v/>
      </c>
      <c r="AA38" s="7">
        <f>IF(COUNT(D38:V38)=0,"",INDEX($D$1:$V$1,MATCH(MIN(D38:V38),D38:V38,0)))</f>
        <v/>
      </c>
      <c r="AB38" s="8" t="n">
        <v>1992.5</v>
      </c>
      <c r="AC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>
        <f>IF(COUNT(D39:V39)=0,"",MIN(D39:V39))</f>
        <v/>
      </c>
      <c r="X39" s="8">
        <f>IF(COUNT(D39:V39)=0,"",MEDIAN(D39:V39))</f>
        <v/>
      </c>
      <c r="Y39" s="8">
        <f>IF(COUNT(D39:V39)=0,"",MAX(D39:V39))</f>
        <v/>
      </c>
      <c r="Z39" s="9">
        <f>IF(OR(W39="",W39=0),"",(Y39-W39)/W39)</f>
        <v/>
      </c>
      <c r="AA39" s="7">
        <f>IF(COUNT(D39:V39)=0,"",INDEX($D$1:$V$1,MATCH(MIN(D39:V39),D39:V39,0)))</f>
        <v/>
      </c>
      <c r="AB39" s="8" t="n">
        <v>764.63</v>
      </c>
      <c r="AC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>
        <f>IF(COUNT(D40:V40)=0,"",MIN(D40:V40))</f>
        <v/>
      </c>
      <c r="X40" s="8">
        <f>IF(COUNT(D40:V40)=0,"",MEDIAN(D40:V40))</f>
        <v/>
      </c>
      <c r="Y40" s="8">
        <f>IF(COUNT(D40:V40)=0,"",MAX(D40:V40))</f>
        <v/>
      </c>
      <c r="Z40" s="9">
        <f>IF(OR(W40="",W40=0),"",(Y40-W40)/W40)</f>
        <v/>
      </c>
      <c r="AA40" s="7">
        <f>IF(COUNT(D40:V40)=0,"",INDEX($D$1:$V$1,MATCH(MIN(D40:V40),D40:V40,0)))</f>
        <v/>
      </c>
      <c r="AB40" s="8" t="n">
        <v>1266.7</v>
      </c>
      <c r="AC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>
        <f>IF(COUNT(D41:V41)=0,"",MIN(D41:V41))</f>
        <v/>
      </c>
      <c r="X41" s="8">
        <f>IF(COUNT(D41:V41)=0,"",MEDIAN(D41:V41))</f>
        <v/>
      </c>
      <c r="Y41" s="8">
        <f>IF(COUNT(D41:V41)=0,"",MAX(D41:V41))</f>
        <v/>
      </c>
      <c r="Z41" s="9">
        <f>IF(OR(W41="",W41=0),"",(Y41-W41)/W41)</f>
        <v/>
      </c>
      <c r="AA41" s="7">
        <f>IF(COUNT(D41:V41)=0,"",INDEX($D$1:$V$1,MATCH(MIN(D41:V41),D41:V41,0)))</f>
        <v/>
      </c>
      <c r="AB41" s="8" t="n">
        <v>1101.34</v>
      </c>
      <c r="AC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>
        <f>IF(COUNT(D42:V42)=0,"",MIN(D42:V42))</f>
        <v/>
      </c>
      <c r="X42" s="8">
        <f>IF(COUNT(D42:V42)=0,"",MEDIAN(D42:V42))</f>
        <v/>
      </c>
      <c r="Y42" s="8">
        <f>IF(COUNT(D42:V42)=0,"",MAX(D42:V42))</f>
        <v/>
      </c>
      <c r="Z42" s="9">
        <f>IF(OR(W42="",W42=0),"",(Y42-W42)/W42)</f>
        <v/>
      </c>
      <c r="AA42" s="7">
        <f>IF(COUNT(D42:V42)=0,"",INDEX($D$1:$V$1,MATCH(MIN(D42:V42),D42:V42,0)))</f>
        <v/>
      </c>
      <c r="AB42" s="8" t="n">
        <v>1494.58</v>
      </c>
      <c r="AC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>
        <f>IF(COUNT(D43:V43)=0,"",MIN(D43:V43))</f>
        <v/>
      </c>
      <c r="X43" s="8">
        <f>IF(COUNT(D43:V43)=0,"",MEDIAN(D43:V43))</f>
        <v/>
      </c>
      <c r="Y43" s="8">
        <f>IF(COUNT(D43:V43)=0,"",MAX(D43:V43))</f>
        <v/>
      </c>
      <c r="Z43" s="9">
        <f>IF(OR(W43="",W43=0),"",(Y43-W43)/W43)</f>
        <v/>
      </c>
      <c r="AA43" s="7">
        <f>IF(COUNT(D43:V43)=0,"",INDEX($D$1:$V$1,MATCH(MIN(D43:V43),D43:V43,0)))</f>
        <v/>
      </c>
      <c r="AB43" s="8" t="n">
        <v>503.78</v>
      </c>
      <c r="AC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>
        <f>IF(COUNT(D44:V44)=0,"",MIN(D44:V44))</f>
        <v/>
      </c>
      <c r="X44" s="8">
        <f>IF(COUNT(D44:V44)=0,"",MEDIAN(D44:V44))</f>
        <v/>
      </c>
      <c r="Y44" s="8">
        <f>IF(COUNT(D44:V44)=0,"",MAX(D44:V44))</f>
        <v/>
      </c>
      <c r="Z44" s="9">
        <f>IF(OR(W44="",W44=0),"",(Y44-W44)/W44)</f>
        <v/>
      </c>
      <c r="AA44" s="7">
        <f>IF(COUNT(D44:V44)=0,"",INDEX($D$1:$V$1,MATCH(MIN(D44:V44),D44:V44,0)))</f>
        <v/>
      </c>
      <c r="AB44" s="8" t="n">
        <v>2900</v>
      </c>
      <c r="AC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>
        <f>IF(COUNT(D45:V45)=0,"",MIN(D45:V45))</f>
        <v/>
      </c>
      <c r="X45" s="8">
        <f>IF(COUNT(D45:V45)=0,"",MEDIAN(D45:V45))</f>
        <v/>
      </c>
      <c r="Y45" s="8">
        <f>IF(COUNT(D45:V45)=0,"",MAX(D45:V45))</f>
        <v/>
      </c>
      <c r="Z45" s="9">
        <f>IF(OR(W45="",W45=0),"",(Y45-W45)/W45)</f>
        <v/>
      </c>
      <c r="AA45" s="7">
        <f>IF(COUNT(D45:V45)=0,"",INDEX($D$1:$V$1,MATCH(MIN(D45:V45),D45:V45,0)))</f>
        <v/>
      </c>
      <c r="AB45" s="8" t="n">
        <v>245.01</v>
      </c>
      <c r="AC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>
        <f>IF(COUNT(D46:V46)=0,"",MIN(D46:V46))</f>
        <v/>
      </c>
      <c r="X46" s="8">
        <f>IF(COUNT(D46:V46)=0,"",MEDIAN(D46:V46))</f>
        <v/>
      </c>
      <c r="Y46" s="8">
        <f>IF(COUNT(D46:V46)=0,"",MAX(D46:V46))</f>
        <v/>
      </c>
      <c r="Z46" s="9">
        <f>IF(OR(W46="",W46=0),"",(Y46-W46)/W46)</f>
        <v/>
      </c>
      <c r="AA46" s="7">
        <f>IF(COUNT(D46:V46)=0,"",INDEX($D$1:$V$1,MATCH(MIN(D46:V46),D46:V46,0)))</f>
        <v/>
      </c>
      <c r="AB46" s="8" t="n">
        <v>165</v>
      </c>
      <c r="AC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>
        <f>IF(COUNT(D47:V47)=0,"",MIN(D47:V47))</f>
        <v/>
      </c>
      <c r="X47" s="8">
        <f>IF(COUNT(D47:V47)=0,"",MEDIAN(D47:V47))</f>
        <v/>
      </c>
      <c r="Y47" s="8">
        <f>IF(COUNT(D47:V47)=0,"",MAX(D47:V47))</f>
        <v/>
      </c>
      <c r="Z47" s="9">
        <f>IF(OR(W47="",W47=0),"",(Y47-W47)/W47)</f>
        <v/>
      </c>
      <c r="AA47" s="7">
        <f>IF(COUNT(D47:V47)=0,"",INDEX($D$1:$V$1,MATCH(MIN(D47:V47),D47:V47,0)))</f>
        <v/>
      </c>
      <c r="AB47" s="8" t="n">
        <v>6107.2</v>
      </c>
      <c r="AC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>
        <f>IF(COUNT(D48:V48)=0,"",MIN(D48:V48))</f>
        <v/>
      </c>
      <c r="X48" s="8">
        <f>IF(COUNT(D48:V48)=0,"",MEDIAN(D48:V48))</f>
        <v/>
      </c>
      <c r="Y48" s="8">
        <f>IF(COUNT(D48:V48)=0,"",MAX(D48:V48))</f>
        <v/>
      </c>
      <c r="Z48" s="9">
        <f>IF(OR(W48="",W48=0),"",(Y48-W48)/W48)</f>
        <v/>
      </c>
      <c r="AA48" s="7">
        <f>IF(COUNT(D48:V48)=0,"",INDEX($D$1:$V$1,MATCH(MIN(D48:V48),D48:V48,0)))</f>
        <v/>
      </c>
      <c r="AB48" s="8" t="n">
        <v>1614.24</v>
      </c>
      <c r="AC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>
        <f>IF(COUNT(D49:V49)=0,"",MIN(D49:V49))</f>
        <v/>
      </c>
      <c r="X49" s="8">
        <f>IF(COUNT(D49:V49)=0,"",MEDIAN(D49:V49))</f>
        <v/>
      </c>
      <c r="Y49" s="8">
        <f>IF(COUNT(D49:V49)=0,"",MAX(D49:V49))</f>
        <v/>
      </c>
      <c r="Z49" s="9">
        <f>IF(OR(W49="",W49=0),"",(Y49-W49)/W49)</f>
        <v/>
      </c>
      <c r="AA49" s="7">
        <f>IF(COUNT(D49:V49)=0,"",INDEX($D$1:$V$1,MATCH(MIN(D49:V49),D49:V49,0)))</f>
        <v/>
      </c>
      <c r="AB49" s="8" t="n">
        <v>2560.6</v>
      </c>
      <c r="AC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>
        <f>IF(COUNT(D50:V50)=0,"",MIN(D50:V50))</f>
        <v/>
      </c>
      <c r="X50" s="8">
        <f>IF(COUNT(D50:V50)=0,"",MEDIAN(D50:V50))</f>
        <v/>
      </c>
      <c r="Y50" s="8">
        <f>IF(COUNT(D50:V50)=0,"",MAX(D50:V50))</f>
        <v/>
      </c>
      <c r="Z50" s="9">
        <f>IF(OR(W50="",W50=0),"",(Y50-W50)/W50)</f>
        <v/>
      </c>
      <c r="AA50" s="7">
        <f>IF(COUNT(D50:V50)=0,"",INDEX($D$1:$V$1,MATCH(MIN(D50:V50),D50:V50,0)))</f>
        <v/>
      </c>
      <c r="AB50" s="8" t="n">
        <v>4092.24</v>
      </c>
      <c r="AC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>
        <f>IF(COUNT(D51:V51)=0,"",MIN(D51:V51))</f>
        <v/>
      </c>
      <c r="X51" s="8">
        <f>IF(COUNT(D51:V51)=0,"",MEDIAN(D51:V51))</f>
        <v/>
      </c>
      <c r="Y51" s="8">
        <f>IF(COUNT(D51:V51)=0,"",MAX(D51:V51))</f>
        <v/>
      </c>
      <c r="Z51" s="9">
        <f>IF(OR(W51="",W51=0),"",(Y51-W51)/W51)</f>
        <v/>
      </c>
      <c r="AA51" s="7">
        <f>IF(COUNT(D51:V51)=0,"",INDEX($D$1:$V$1,MATCH(MIN(D51:V51),D51:V51,0)))</f>
        <v/>
      </c>
      <c r="AB51" s="8" t="n">
        <v>194.99</v>
      </c>
      <c r="AC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>
        <f>IF(COUNT(D52:V52)=0,"",MIN(D52:V52))</f>
        <v/>
      </c>
      <c r="X52" s="8">
        <f>IF(COUNT(D52:V52)=0,"",MEDIAN(D52:V52))</f>
        <v/>
      </c>
      <c r="Y52" s="8">
        <f>IF(COUNT(D52:V52)=0,"",MAX(D52:V52))</f>
        <v/>
      </c>
      <c r="Z52" s="9">
        <f>IF(OR(W52="",W52=0),"",(Y52-W52)/W52)</f>
        <v/>
      </c>
      <c r="AA52" s="7">
        <f>IF(COUNT(D52:V52)=0,"",INDEX($D$1:$V$1,MATCH(MIN(D52:V52),D52:V52,0)))</f>
        <v/>
      </c>
      <c r="AB52" s="8" t="n">
        <v>194.99</v>
      </c>
      <c r="AC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>
        <f>IF(COUNT(D53:V53)=0,"",MIN(D53:V53))</f>
        <v/>
      </c>
      <c r="X53" s="8">
        <f>IF(COUNT(D53:V53)=0,"",MEDIAN(D53:V53))</f>
        <v/>
      </c>
      <c r="Y53" s="8">
        <f>IF(COUNT(D53:V53)=0,"",MAX(D53:V53))</f>
        <v/>
      </c>
      <c r="Z53" s="9">
        <f>IF(OR(W53="",W53=0),"",(Y53-W53)/W53)</f>
        <v/>
      </c>
      <c r="AA53" s="7">
        <f>IF(COUNT(D53:V53)=0,"",INDEX($D$1:$V$1,MATCH(MIN(D53:V53),D53:V53,0)))</f>
        <v/>
      </c>
      <c r="AB53" s="8" t="n">
        <v>472.72</v>
      </c>
      <c r="AC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>
        <f>IF(COUNT(D54:V54)=0,"",MIN(D54:V54))</f>
        <v/>
      </c>
      <c r="X54" s="8">
        <f>IF(COUNT(D54:V54)=0,"",MEDIAN(D54:V54))</f>
        <v/>
      </c>
      <c r="Y54" s="8">
        <f>IF(COUNT(D54:V54)=0,"",MAX(D54:V54))</f>
        <v/>
      </c>
      <c r="Z54" s="9">
        <f>IF(OR(W54="",W54=0),"",(Y54-W54)/W54)</f>
        <v/>
      </c>
      <c r="AA54" s="7">
        <f>IF(COUNT(D54:V54)=0,"",INDEX($D$1:$V$1,MATCH(MIN(D54:V54),D54:V54,0)))</f>
        <v/>
      </c>
      <c r="AB54" s="8" t="n">
        <v>925.59</v>
      </c>
      <c r="AC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>
        <f>IF(COUNT(D55:V55)=0,"",MIN(D55:V55))</f>
        <v/>
      </c>
      <c r="X55" s="8">
        <f>IF(COUNT(D55:V55)=0,"",MEDIAN(D55:V55))</f>
        <v/>
      </c>
      <c r="Y55" s="8">
        <f>IF(COUNT(D55:V55)=0,"",MAX(D55:V55))</f>
        <v/>
      </c>
      <c r="Z55" s="9">
        <f>IF(OR(W55="",W55=0),"",(Y55-W55)/W55)</f>
        <v/>
      </c>
      <c r="AA55" s="7">
        <f>IF(COUNT(D55:V55)=0,"",INDEX($D$1:$V$1,MATCH(MIN(D55:V55),D55:V55,0)))</f>
        <v/>
      </c>
      <c r="AB55" s="8" t="n">
        <v>595</v>
      </c>
      <c r="AC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>
        <f>IF(COUNT(D56:V56)=0,"",MIN(D56:V56))</f>
        <v/>
      </c>
      <c r="X56" s="8">
        <f>IF(COUNT(D56:V56)=0,"",MEDIAN(D56:V56))</f>
        <v/>
      </c>
      <c r="Y56" s="8">
        <f>IF(COUNT(D56:V56)=0,"",MAX(D56:V56))</f>
        <v/>
      </c>
      <c r="Z56" s="9">
        <f>IF(OR(W56="",W56=0),"",(Y56-W56)/W56)</f>
        <v/>
      </c>
      <c r="AA56" s="7">
        <f>IF(COUNT(D56:V56)=0,"",INDEX($D$1:$V$1,MATCH(MIN(D56:V56),D56:V56,0)))</f>
        <v/>
      </c>
      <c r="AB56" s="8" t="n">
        <v>85.88</v>
      </c>
      <c r="AC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>
        <f>IF(COUNT(D57:V57)=0,"",MIN(D57:V57))</f>
        <v/>
      </c>
      <c r="X57" s="8">
        <f>IF(COUNT(D57:V57)=0,"",MEDIAN(D57:V57))</f>
        <v/>
      </c>
      <c r="Y57" s="8">
        <f>IF(COUNT(D57:V57)=0,"",MAX(D57:V57))</f>
        <v/>
      </c>
      <c r="Z57" s="9">
        <f>IF(OR(W57="",W57=0),"",(Y57-W57)/W57)</f>
        <v/>
      </c>
      <c r="AA57" s="7">
        <f>IF(COUNT(D57:V57)=0,"",INDEX($D$1:$V$1,MATCH(MIN(D57:V57),D57:V57,0)))</f>
        <v/>
      </c>
      <c r="AB57" s="8" t="n">
        <v>75.15000000000001</v>
      </c>
      <c r="AC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>
        <f>IF(COUNT(D58:V58)=0,"",MIN(D58:V58))</f>
        <v/>
      </c>
      <c r="X58" s="8">
        <f>IF(COUNT(D58:V58)=0,"",MEDIAN(D58:V58))</f>
        <v/>
      </c>
      <c r="Y58" s="8">
        <f>IF(COUNT(D58:V58)=0,"",MAX(D58:V58))</f>
        <v/>
      </c>
      <c r="Z58" s="9">
        <f>IF(OR(W58="",W58=0),"",(Y58-W58)/W58)</f>
        <v/>
      </c>
      <c r="AA58" s="7">
        <f>IF(COUNT(D58:V58)=0,"",INDEX($D$1:$V$1,MATCH(MIN(D58:V58),D58:V58,0)))</f>
        <v/>
      </c>
      <c r="AB58" s="8" t="n">
        <v>45</v>
      </c>
      <c r="AC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>
        <f>IF(COUNT(D59:V59)=0,"",MIN(D59:V59))</f>
        <v/>
      </c>
      <c r="X59" s="8">
        <f>IF(COUNT(D59:V59)=0,"",MEDIAN(D59:V59))</f>
        <v/>
      </c>
      <c r="Y59" s="8">
        <f>IF(COUNT(D59:V59)=0,"",MAX(D59:V59))</f>
        <v/>
      </c>
      <c r="Z59" s="9">
        <f>IF(OR(W59="",W59=0),"",(Y59-W59)/W59)</f>
        <v/>
      </c>
      <c r="AA59" s="7">
        <f>IF(COUNT(D59:V59)=0,"",INDEX($D$1:$V$1,MATCH(MIN(D59:V59),D59:V59,0)))</f>
        <v/>
      </c>
      <c r="AB59" s="8" t="n">
        <v>101.99</v>
      </c>
      <c r="AC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>
        <f>IF(COUNT(D60:V60)=0,"",MIN(D60:V60))</f>
        <v/>
      </c>
      <c r="X60" s="8">
        <f>IF(COUNT(D60:V60)=0,"",MEDIAN(D60:V60))</f>
        <v/>
      </c>
      <c r="Y60" s="8">
        <f>IF(COUNT(D60:V60)=0,"",MAX(D60:V60))</f>
        <v/>
      </c>
      <c r="Z60" s="9">
        <f>IF(OR(W60="",W60=0),"",(Y60-W60)/W60)</f>
        <v/>
      </c>
      <c r="AA60" s="7">
        <f>IF(COUNT(D60:V60)=0,"",INDEX($D$1:$V$1,MATCH(MIN(D60:V60),D60:V60,0)))</f>
        <v/>
      </c>
      <c r="AB60" s="8" t="n">
        <v>123.46</v>
      </c>
      <c r="AC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>
        <f>IF(COUNT(D61:V61)=0,"",MIN(D61:V61))</f>
        <v/>
      </c>
      <c r="X61" s="8">
        <f>IF(COUNT(D61:V61)=0,"",MEDIAN(D61:V61))</f>
        <v/>
      </c>
      <c r="Y61" s="8">
        <f>IF(COUNT(D61:V61)=0,"",MAX(D61:V61))</f>
        <v/>
      </c>
      <c r="Z61" s="9">
        <f>IF(OR(W61="",W61=0),"",(Y61-W61)/W61)</f>
        <v/>
      </c>
      <c r="AA61" s="7">
        <f>IF(COUNT(D61:V61)=0,"",INDEX($D$1:$V$1,MATCH(MIN(D61:V61),D61:V61,0)))</f>
        <v/>
      </c>
      <c r="AB61" s="8" t="n">
        <v>150.31</v>
      </c>
      <c r="AC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>
        <f>IF(COUNT(D62:V62)=0,"",MIN(D62:V62))</f>
        <v/>
      </c>
      <c r="X62" s="8">
        <f>IF(COUNT(D62:V62)=0,"",MEDIAN(D62:V62))</f>
        <v/>
      </c>
      <c r="Y62" s="8">
        <f>IF(COUNT(D62:V62)=0,"",MAX(D62:V62))</f>
        <v/>
      </c>
      <c r="Z62" s="9">
        <f>IF(OR(W62="",W62=0),"",(Y62-W62)/W62)</f>
        <v/>
      </c>
      <c r="AA62" s="7">
        <f>IF(COUNT(D62:V62)=0,"",INDEX($D$1:$V$1,MATCH(MIN(D62:V62),D62:V62,0)))</f>
        <v/>
      </c>
      <c r="AB62" s="8" t="n">
        <v>203.99</v>
      </c>
      <c r="AC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>
        <f>IF(COUNT(D63:V63)=0,"",MIN(D63:V63))</f>
        <v/>
      </c>
      <c r="X63" s="8">
        <f>IF(COUNT(D63:V63)=0,"",MEDIAN(D63:V63))</f>
        <v/>
      </c>
      <c r="Y63" s="8">
        <f>IF(COUNT(D63:V63)=0,"",MAX(D63:V63))</f>
        <v/>
      </c>
      <c r="Z63" s="9">
        <f>IF(OR(W63="",W63=0),"",(Y63-W63)/W63)</f>
        <v/>
      </c>
      <c r="AA63" s="7">
        <f>IF(COUNT(D63:V63)=0,"",INDEX($D$1:$V$1,MATCH(MIN(D63:V63),D63:V63,0)))</f>
        <v/>
      </c>
      <c r="AB63" s="8" t="n">
        <v>305</v>
      </c>
      <c r="AC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>
        <f>IF(COUNT(D64:V64)=0,"",MIN(D64:V64))</f>
        <v/>
      </c>
      <c r="X64" s="8">
        <f>IF(COUNT(D64:V64)=0,"",MEDIAN(D64:V64))</f>
        <v/>
      </c>
      <c r="Y64" s="8">
        <f>IF(COUNT(D64:V64)=0,"",MAX(D64:V64))</f>
        <v/>
      </c>
      <c r="Z64" s="9">
        <f>IF(OR(W64="",W64=0),"",(Y64-W64)/W64)</f>
        <v/>
      </c>
      <c r="AA64" s="7">
        <f>IF(COUNT(D64:V64)=0,"",INDEX($D$1:$V$1,MATCH(MIN(D64:V64),D64:V64,0)))</f>
        <v/>
      </c>
      <c r="AB64" s="8" t="n">
        <v>335</v>
      </c>
      <c r="AC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>
        <f>IF(COUNT(D65:V65)=0,"",MIN(D65:V65))</f>
        <v/>
      </c>
      <c r="X65" s="8">
        <f>IF(COUNT(D65:V65)=0,"",MEDIAN(D65:V65))</f>
        <v/>
      </c>
      <c r="Y65" s="8">
        <f>IF(COUNT(D65:V65)=0,"",MAX(D65:V65))</f>
        <v/>
      </c>
      <c r="Z65" s="9">
        <f>IF(OR(W65="",W65=0),"",(Y65-W65)/W65)</f>
        <v/>
      </c>
      <c r="AA65" s="7">
        <f>IF(COUNT(D65:V65)=0,"",INDEX($D$1:$V$1,MATCH(MIN(D65:V65),D65:V65,0)))</f>
        <v/>
      </c>
      <c r="AB65" s="8" t="n">
        <v>237.5</v>
      </c>
      <c r="AC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>
        <f>IF(COUNT(D66:V66)=0,"",MIN(D66:V66))</f>
        <v/>
      </c>
      <c r="X66" s="8">
        <f>IF(COUNT(D66:V66)=0,"",MEDIAN(D66:V66))</f>
        <v/>
      </c>
      <c r="Y66" s="8">
        <f>IF(COUNT(D66:V66)=0,"",MAX(D66:V66))</f>
        <v/>
      </c>
      <c r="Z66" s="9">
        <f>IF(OR(W66="",W66=0),"",(Y66-W66)/W66)</f>
        <v/>
      </c>
      <c r="AA66" s="7">
        <f>IF(COUNT(D66:V66)=0,"",INDEX($D$1:$V$1,MATCH(MIN(D66:V66),D66:V66,0)))</f>
        <v/>
      </c>
      <c r="AB66" s="8" t="n">
        <v>249</v>
      </c>
      <c r="AC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>
        <f>IF(COUNT(D67:V67)=0,"",MIN(D67:V67))</f>
        <v/>
      </c>
      <c r="X67" s="8">
        <f>IF(COUNT(D67:V67)=0,"",MEDIAN(D67:V67))</f>
        <v/>
      </c>
      <c r="Y67" s="8">
        <f>IF(COUNT(D67:V67)=0,"",MAX(D67:V67))</f>
        <v/>
      </c>
      <c r="Z67" s="9">
        <f>IF(OR(W67="",W67=0),"",(Y67-W67)/W67)</f>
        <v/>
      </c>
      <c r="AA67" s="7">
        <f>IF(COUNT(D67:V67)=0,"",INDEX($D$1:$V$1,MATCH(MIN(D67:V67),D67:V67,0)))</f>
        <v/>
      </c>
      <c r="AB67" s="8" t="n">
        <v>128.83</v>
      </c>
      <c r="AC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>
        <f>IF(COUNT(D68:V68)=0,"",MIN(D68:V68))</f>
        <v/>
      </c>
      <c r="X68" s="8">
        <f>IF(COUNT(D68:V68)=0,"",MEDIAN(D68:V68))</f>
        <v/>
      </c>
      <c r="Y68" s="8">
        <f>IF(COUNT(D68:V68)=0,"",MAX(D68:V68))</f>
        <v/>
      </c>
      <c r="Z68" s="9">
        <f>IF(OR(W68="",W68=0),"",(Y68-W68)/W68)</f>
        <v/>
      </c>
      <c r="AA68" s="7">
        <f>IF(COUNT(D68:V68)=0,"",INDEX($D$1:$V$1,MATCH(MIN(D68:V68),D68:V68,0)))</f>
        <v/>
      </c>
      <c r="AB68" s="8" t="n">
        <v>380</v>
      </c>
      <c r="AC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>
        <f>IF(COUNT(D69:V69)=0,"",MIN(D69:V69))</f>
        <v/>
      </c>
      <c r="X69" s="8">
        <f>IF(COUNT(D69:V69)=0,"",MEDIAN(D69:V69))</f>
        <v/>
      </c>
      <c r="Y69" s="8">
        <f>IF(COUNT(D69:V69)=0,"",MAX(D69:V69))</f>
        <v/>
      </c>
      <c r="Z69" s="9">
        <f>IF(OR(W69="",W69=0),"",(Y69-W69)/W69)</f>
        <v/>
      </c>
      <c r="AA69" s="7">
        <f>IF(COUNT(D69:V69)=0,"",INDEX($D$1:$V$1,MATCH(MIN(D69:V69),D69:V69,0)))</f>
        <v/>
      </c>
      <c r="AB69" s="8" t="n">
        <v>265</v>
      </c>
      <c r="AC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>
        <f>IF(COUNT(D70:V70)=0,"",MIN(D70:V70))</f>
        <v/>
      </c>
      <c r="X70" s="8">
        <f>IF(COUNT(D70:V70)=0,"",MEDIAN(D70:V70))</f>
        <v/>
      </c>
      <c r="Y70" s="8">
        <f>IF(COUNT(D70:V70)=0,"",MAX(D70:V70))</f>
        <v/>
      </c>
      <c r="Z70" s="9">
        <f>IF(OR(W70="",W70=0),"",(Y70-W70)/W70)</f>
        <v/>
      </c>
      <c r="AA70" s="7">
        <f>IF(COUNT(D70:V70)=0,"",INDEX($D$1:$V$1,MATCH(MIN(D70:V70),D70:V70,0)))</f>
        <v/>
      </c>
      <c r="AB70" s="8" t="n">
        <v>249</v>
      </c>
      <c r="AC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>
        <f>IF(COUNT(D71:V71)=0,"",MIN(D71:V71))</f>
        <v/>
      </c>
      <c r="X71" s="8">
        <f>IF(COUNT(D71:V71)=0,"",MEDIAN(D71:V71))</f>
        <v/>
      </c>
      <c r="Y71" s="8">
        <f>IF(COUNT(D71:V71)=0,"",MAX(D71:V71))</f>
        <v/>
      </c>
      <c r="Z71" s="9">
        <f>IF(OR(W71="",W71=0),"",(Y71-W71)/W71)</f>
        <v/>
      </c>
      <c r="AA71" s="7">
        <f>IF(COUNT(D71:V71)=0,"",INDEX($D$1:$V$1,MATCH(MIN(D71:V71),D71:V71,0)))</f>
        <v/>
      </c>
      <c r="AB71" s="8" t="n">
        <v>115</v>
      </c>
      <c r="AC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>
        <f>IF(COUNT(D72:V72)=0,"",MIN(D72:V72))</f>
        <v/>
      </c>
      <c r="X72" s="8">
        <f>IF(COUNT(D72:V72)=0,"",MEDIAN(D72:V72))</f>
        <v/>
      </c>
      <c r="Y72" s="8">
        <f>IF(COUNT(D72:V72)=0,"",MAX(D72:V72))</f>
        <v/>
      </c>
      <c r="Z72" s="9">
        <f>IF(OR(W72="",W72=0),"",(Y72-W72)/W72)</f>
        <v/>
      </c>
      <c r="AA72" s="7">
        <f>IF(COUNT(D72:V72)=0,"",INDEX($D$1:$V$1,MATCH(MIN(D72:V72),D72:V72,0)))</f>
        <v/>
      </c>
      <c r="AB72" s="8" t="n">
        <v>119</v>
      </c>
      <c r="AC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>
        <f>IF(COUNT(D73:V73)=0,"",MIN(D73:V73))</f>
        <v/>
      </c>
      <c r="X73" s="8">
        <f>IF(COUNT(D73:V73)=0,"",MEDIAN(D73:V73))</f>
        <v/>
      </c>
      <c r="Y73" s="8">
        <f>IF(COUNT(D73:V73)=0,"",MAX(D73:V73))</f>
        <v/>
      </c>
      <c r="Z73" s="9">
        <f>IF(OR(W73="",W73=0),"",(Y73-W73)/W73)</f>
        <v/>
      </c>
      <c r="AA73" s="7">
        <f>IF(COUNT(D73:V73)=0,"",INDEX($D$1:$V$1,MATCH(MIN(D73:V73),D73:V73,0)))</f>
        <v/>
      </c>
      <c r="AB73" s="8" t="n">
        <v>240</v>
      </c>
      <c r="AC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>
        <f>IF(COUNT(D74:V74)=0,"",MIN(D74:V74))</f>
        <v/>
      </c>
      <c r="X74" s="8">
        <f>IF(COUNT(D74:V74)=0,"",MEDIAN(D74:V74))</f>
        <v/>
      </c>
      <c r="Y74" s="8">
        <f>IF(COUNT(D74:V74)=0,"",MAX(D74:V74))</f>
        <v/>
      </c>
      <c r="Z74" s="9">
        <f>IF(OR(W74="",W74=0),"",(Y74-W74)/W74)</f>
        <v/>
      </c>
      <c r="AA74" s="7">
        <f>IF(COUNT(D74:V74)=0,"",INDEX($D$1:$V$1,MATCH(MIN(D74:V74),D74:V74,0)))</f>
        <v/>
      </c>
      <c r="AB74" s="8" t="n">
        <v>70</v>
      </c>
      <c r="AC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>
        <f>IF(COUNT(D75:V75)=0,"",MIN(D75:V75))</f>
        <v/>
      </c>
      <c r="X75" s="8">
        <f>IF(COUNT(D75:V75)=0,"",MEDIAN(D75:V75))</f>
        <v/>
      </c>
      <c r="Y75" s="8">
        <f>IF(COUNT(D75:V75)=0,"",MAX(D75:V75))</f>
        <v/>
      </c>
      <c r="Z75" s="9">
        <f>IF(OR(W75="",W75=0),"",(Y75-W75)/W75)</f>
        <v/>
      </c>
      <c r="AA75" s="7">
        <f>IF(COUNT(D75:V75)=0,"",INDEX($D$1:$V$1,MATCH(MIN(D75:V75),D75:V75,0)))</f>
        <v/>
      </c>
      <c r="AB75" s="8" t="n">
        <v>395</v>
      </c>
      <c r="AC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>
        <f>IF(COUNT(D76:V76)=0,"",MIN(D76:V76))</f>
        <v/>
      </c>
      <c r="X76" s="8">
        <f>IF(COUNT(D76:V76)=0,"",MEDIAN(D76:V76))</f>
        <v/>
      </c>
      <c r="Y76" s="8">
        <f>IF(COUNT(D76:V76)=0,"",MAX(D76:V76))</f>
        <v/>
      </c>
      <c r="Z76" s="9">
        <f>IF(OR(W76="",W76=0),"",(Y76-W76)/W76)</f>
        <v/>
      </c>
      <c r="AA76" s="7">
        <f>IF(COUNT(D76:V76)=0,"",INDEX($D$1:$V$1,MATCH(MIN(D76:V76),D76:V76,0)))</f>
        <v/>
      </c>
      <c r="AB76" s="8" t="n">
        <v>102.5</v>
      </c>
      <c r="AC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>
        <f>IF(COUNT(D77:V77)=0,"",MIN(D77:V77))</f>
        <v/>
      </c>
      <c r="X77" s="8">
        <f>IF(COUNT(D77:V77)=0,"",MEDIAN(D77:V77))</f>
        <v/>
      </c>
      <c r="Y77" s="8">
        <f>IF(COUNT(D77:V77)=0,"",MAX(D77:V77))</f>
        <v/>
      </c>
      <c r="Z77" s="9">
        <f>IF(OR(W77="",W77=0),"",(Y77-W77)/W77)</f>
        <v/>
      </c>
      <c r="AA77" s="7">
        <f>IF(COUNT(D77:V77)=0,"",INDEX($D$1:$V$1,MATCH(MIN(D77:V77),D77:V77,0)))</f>
        <v/>
      </c>
      <c r="AB77" s="8" t="n">
        <v>169</v>
      </c>
      <c r="AC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>
        <f>IF(COUNT(D78:V78)=0,"",MIN(D78:V78))</f>
        <v/>
      </c>
      <c r="X78" s="8">
        <f>IF(COUNT(D78:V78)=0,"",MEDIAN(D78:V78))</f>
        <v/>
      </c>
      <c r="Y78" s="8">
        <f>IF(COUNT(D78:V78)=0,"",MAX(D78:V78))</f>
        <v/>
      </c>
      <c r="Z78" s="9">
        <f>IF(OR(W78="",W78=0),"",(Y78-W78)/W78)</f>
        <v/>
      </c>
      <c r="AA78" s="7">
        <f>IF(COUNT(D78:V78)=0,"",INDEX($D$1:$V$1,MATCH(MIN(D78:V78),D78:V78,0)))</f>
        <v/>
      </c>
      <c r="AB78" s="8" t="n">
        <v>35818.07</v>
      </c>
      <c r="AC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>
        <f>IF(COUNT(D79:V79)=0,"",MIN(D79:V79))</f>
        <v/>
      </c>
      <c r="X79" s="8">
        <f>IF(COUNT(D79:V79)=0,"",MEDIAN(D79:V79))</f>
        <v/>
      </c>
      <c r="Y79" s="8">
        <f>IF(COUNT(D79:V79)=0,"",MAX(D79:V79))</f>
        <v/>
      </c>
      <c r="Z79" s="9">
        <f>IF(OR(W79="",W79=0),"",(Y79-W79)/W79)</f>
        <v/>
      </c>
      <c r="AA79" s="7">
        <f>IF(COUNT(D79:V79)=0,"",INDEX($D$1:$V$1,MATCH(MIN(D79:V79),D79:V79,0)))</f>
        <v/>
      </c>
      <c r="AB79" s="8" t="n">
        <v>32070.28</v>
      </c>
      <c r="AC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>
        <f>IF(COUNT(D80:V80)=0,"",MIN(D80:V80))</f>
        <v/>
      </c>
      <c r="X80" s="8">
        <f>IF(COUNT(D80:V80)=0,"",MEDIAN(D80:V80))</f>
        <v/>
      </c>
      <c r="Y80" s="8">
        <f>IF(COUNT(D80:V80)=0,"",MAX(D80:V80))</f>
        <v/>
      </c>
      <c r="Z80" s="9">
        <f>IF(OR(W80="",W80=0),"",(Y80-W80)/W80)</f>
        <v/>
      </c>
      <c r="AA80" s="7">
        <f>IF(COUNT(D80:V80)=0,"",INDEX($D$1:$V$1,MATCH(MIN(D80:V80),D80:V80,0)))</f>
        <v/>
      </c>
      <c r="AB80" s="8" t="n">
        <v>2857.38</v>
      </c>
      <c r="AC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>
        <f>IF(COUNT(D81:V81)=0,"",MIN(D81:V81))</f>
        <v/>
      </c>
      <c r="X81" s="8">
        <f>IF(COUNT(D81:V81)=0,"",MEDIAN(D81:V81))</f>
        <v/>
      </c>
      <c r="Y81" s="8">
        <f>IF(COUNT(D81:V81)=0,"",MAX(D81:V81))</f>
        <v/>
      </c>
      <c r="Z81" s="9">
        <f>IF(OR(W81="",W81=0),"",(Y81-W81)/W81)</f>
        <v/>
      </c>
      <c r="AA81" s="7">
        <f>IF(COUNT(D81:V81)=0,"",INDEX($D$1:$V$1,MATCH(MIN(D81:V81),D81:V81,0)))</f>
        <v/>
      </c>
      <c r="AB81" s="8" t="n">
        <v>6482.72</v>
      </c>
      <c r="AC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>
        <f>IF(COUNT(D82:V82)=0,"",MIN(D82:V82))</f>
        <v/>
      </c>
      <c r="X82" s="8">
        <f>IF(COUNT(D82:V82)=0,"",MEDIAN(D82:V82))</f>
        <v/>
      </c>
      <c r="Y82" s="8">
        <f>IF(COUNT(D82:V82)=0,"",MAX(D82:V82))</f>
        <v/>
      </c>
      <c r="Z82" s="9">
        <f>IF(OR(W82="",W82=0),"",(Y82-W82)/W82)</f>
        <v/>
      </c>
      <c r="AA82" s="7">
        <f>IF(COUNT(D82:V82)=0,"",INDEX($D$1:$V$1,MATCH(MIN(D82:V82),D82:V82,0)))</f>
        <v/>
      </c>
      <c r="AB82" s="8" t="n">
        <v>9559.049999999999</v>
      </c>
      <c r="AC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>
        <f>IF(COUNT(D83:V83)=0,"",MIN(D83:V83))</f>
        <v/>
      </c>
      <c r="X83" s="8">
        <f>IF(COUNT(D83:V83)=0,"",MEDIAN(D83:V83))</f>
        <v/>
      </c>
      <c r="Y83" s="8">
        <f>IF(COUNT(D83:V83)=0,"",MAX(D83:V83))</f>
        <v/>
      </c>
      <c r="Z83" s="9">
        <f>IF(OR(W83="",W83=0),"",(Y83-W83)/W83)</f>
        <v/>
      </c>
      <c r="AA83" s="7">
        <f>IF(COUNT(D83:V83)=0,"",INDEX($D$1:$V$1,MATCH(MIN(D83:V83),D83:V83,0)))</f>
        <v/>
      </c>
      <c r="AB83" s="8" t="n">
        <v>15050.43</v>
      </c>
      <c r="AC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>
        <f>IF(COUNT(D84:V84)=0,"",MIN(D84:V84))</f>
        <v/>
      </c>
      <c r="X84" s="8">
        <f>IF(COUNT(D84:V84)=0,"",MEDIAN(D84:V84))</f>
        <v/>
      </c>
      <c r="Y84" s="8">
        <f>IF(COUNT(D84:V84)=0,"",MAX(D84:V84))</f>
        <v/>
      </c>
      <c r="Z84" s="9">
        <f>IF(OR(W84="",W84=0),"",(Y84-W84)/W84)</f>
        <v/>
      </c>
      <c r="AA84" s="7">
        <f>IF(COUNT(D84:V84)=0,"",INDEX($D$1:$V$1,MATCH(MIN(D84:V84),D84:V84,0)))</f>
        <v/>
      </c>
      <c r="AB84" s="8" t="n">
        <v>814.6799999999999</v>
      </c>
      <c r="AC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>
        <f>IF(COUNT(D85:V85)=0,"",MIN(D85:V85))</f>
        <v/>
      </c>
      <c r="X85" s="8">
        <f>IF(COUNT(D85:V85)=0,"",MEDIAN(D85:V85))</f>
        <v/>
      </c>
      <c r="Y85" s="8">
        <f>IF(COUNT(D85:V85)=0,"",MAX(D85:V85))</f>
        <v/>
      </c>
      <c r="Z85" s="9">
        <f>IF(OR(W85="",W85=0),"",(Y85-W85)/W85)</f>
        <v/>
      </c>
      <c r="AA85" s="7">
        <f>IF(COUNT(D85:V85)=0,"",INDEX($D$1:$V$1,MATCH(MIN(D85:V85),D85:V85,0)))</f>
        <v/>
      </c>
      <c r="AB85" s="8" t="n">
        <v>2931.73</v>
      </c>
      <c r="AC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>
        <f>IF(COUNT(D86:V86)=0,"",MIN(D86:V86))</f>
        <v/>
      </c>
      <c r="X86" s="8">
        <f>IF(COUNT(D86:V86)=0,"",MEDIAN(D86:V86))</f>
        <v/>
      </c>
      <c r="Y86" s="8">
        <f>IF(COUNT(D86:V86)=0,"",MAX(D86:V86))</f>
        <v/>
      </c>
      <c r="Z86" s="9">
        <f>IF(OR(W86="",W86=0),"",(Y86-W86)/W86)</f>
        <v/>
      </c>
      <c r="AA86" s="7">
        <f>IF(COUNT(D86:V86)=0,"",INDEX($D$1:$V$1,MATCH(MIN(D86:V86),D86:V86,0)))</f>
        <v/>
      </c>
      <c r="AB86" s="8" t="n">
        <v>4694.51</v>
      </c>
      <c r="AC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>
        <f>IF(COUNT(D87:V87)=0,"",MIN(D87:V87))</f>
        <v/>
      </c>
      <c r="X87" s="8">
        <f>IF(COUNT(D87:V87)=0,"",MEDIAN(D87:V87))</f>
        <v/>
      </c>
      <c r="Y87" s="8">
        <f>IF(COUNT(D87:V87)=0,"",MAX(D87:V87))</f>
        <v/>
      </c>
      <c r="Z87" s="9">
        <f>IF(OR(W87="",W87=0),"",(Y87-W87)/W87)</f>
        <v/>
      </c>
      <c r="AA87" s="7">
        <f>IF(COUNT(D87:V87)=0,"",INDEX($D$1:$V$1,MATCH(MIN(D87:V87),D87:V87,0)))</f>
        <v/>
      </c>
      <c r="AB87" s="8" t="n">
        <v>323.68</v>
      </c>
      <c r="AC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>
        <f>IF(COUNT(D88:V88)=0,"",MIN(D88:V88))</f>
        <v/>
      </c>
      <c r="X88" s="8">
        <f>IF(COUNT(D88:V88)=0,"",MEDIAN(D88:V88))</f>
        <v/>
      </c>
      <c r="Y88" s="8">
        <f>IF(COUNT(D88:V88)=0,"",MAX(D88:V88))</f>
        <v/>
      </c>
      <c r="Z88" s="9">
        <f>IF(OR(W88="",W88=0),"",(Y88-W88)/W88)</f>
        <v/>
      </c>
      <c r="AA88" s="7">
        <f>IF(COUNT(D88:V88)=0,"",INDEX($D$1:$V$1,MATCH(MIN(D88:V88),D88:V88,0)))</f>
        <v/>
      </c>
      <c r="AB88" s="8" t="n">
        <v>1279.54</v>
      </c>
      <c r="AC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>
        <f>IF(COUNT(D89:V89)=0,"",MIN(D89:V89))</f>
        <v/>
      </c>
      <c r="X89" s="8">
        <f>IF(COUNT(D89:V89)=0,"",MEDIAN(D89:V89))</f>
        <v/>
      </c>
      <c r="Y89" s="8">
        <f>IF(COUNT(D89:V89)=0,"",MAX(D89:V89))</f>
        <v/>
      </c>
      <c r="Z89" s="9">
        <f>IF(OR(W89="",W89=0),"",(Y89-W89)/W89)</f>
        <v/>
      </c>
      <c r="AA89" s="7">
        <f>IF(COUNT(D89:V89)=0,"",INDEX($D$1:$V$1,MATCH(MIN(D89:V89),D89:V89,0)))</f>
        <v/>
      </c>
      <c r="AB89" s="8" t="n">
        <v>5321.25</v>
      </c>
      <c r="AC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>
        <f>IF(COUNT(D90:V90)=0,"",MIN(D90:V90))</f>
        <v/>
      </c>
      <c r="X90" s="8">
        <f>IF(COUNT(D90:V90)=0,"",MEDIAN(D90:V90))</f>
        <v/>
      </c>
      <c r="Y90" s="8">
        <f>IF(COUNT(D90:V90)=0,"",MAX(D90:V90))</f>
        <v/>
      </c>
      <c r="Z90" s="9">
        <f>IF(OR(W90="",W90=0),"",(Y90-W90)/W90)</f>
        <v/>
      </c>
      <c r="AA90" s="7">
        <f>IF(COUNT(D90:V90)=0,"",INDEX($D$1:$V$1,MATCH(MIN(D90:V90),D90:V90,0)))</f>
        <v/>
      </c>
      <c r="AB90" s="8" t="n">
        <v>1644.46</v>
      </c>
      <c r="AC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>
        <f>IF(COUNT(D91:V91)=0,"",MIN(D91:V91))</f>
        <v/>
      </c>
      <c r="X91" s="8">
        <f>IF(COUNT(D91:V91)=0,"",MEDIAN(D91:V91))</f>
        <v/>
      </c>
      <c r="Y91" s="8">
        <f>IF(COUNT(D91:V91)=0,"",MAX(D91:V91))</f>
        <v/>
      </c>
      <c r="Z91" s="9">
        <f>IF(OR(W91="",W91=0),"",(Y91-W91)/W91)</f>
        <v/>
      </c>
      <c r="AA91" s="7">
        <f>IF(COUNT(D91:V91)=0,"",INDEX($D$1:$V$1,MATCH(MIN(D91:V91),D91:V91,0)))</f>
        <v/>
      </c>
      <c r="AB91" s="8" t="n">
        <v>358.67</v>
      </c>
      <c r="AC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>
        <f>IF(COUNT(D92:V92)=0,"",MIN(D92:V92))</f>
        <v/>
      </c>
      <c r="X92" s="8">
        <f>IF(COUNT(D92:V92)=0,"",MEDIAN(D92:V92))</f>
        <v/>
      </c>
      <c r="Y92" s="8">
        <f>IF(COUNT(D92:V92)=0,"",MAX(D92:V92))</f>
        <v/>
      </c>
      <c r="Z92" s="9">
        <f>IF(OR(W92="",W92=0),"",(Y92-W92)/W92)</f>
        <v/>
      </c>
      <c r="AA92" s="7">
        <f>IF(COUNT(D92:V92)=0,"",INDEX($D$1:$V$1,MATCH(MIN(D92:V92),D92:V92,0)))</f>
        <v/>
      </c>
      <c r="AB92" s="8" t="n">
        <v>234.67</v>
      </c>
      <c r="AC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>
        <f>IF(COUNT(D93:V93)=0,"",MIN(D93:V93))</f>
        <v/>
      </c>
      <c r="X93" s="8">
        <f>IF(COUNT(D93:V93)=0,"",MEDIAN(D93:V93))</f>
        <v/>
      </c>
      <c r="Y93" s="8">
        <f>IF(COUNT(D93:V93)=0,"",MAX(D93:V93))</f>
        <v/>
      </c>
      <c r="Z93" s="9">
        <f>IF(OR(W93="",W93=0),"",(Y93-W93)/W93)</f>
        <v/>
      </c>
      <c r="AA93" s="7">
        <f>IF(COUNT(D93:V93)=0,"",INDEX($D$1:$V$1,MATCH(MIN(D93:V93),D93:V93,0)))</f>
        <v/>
      </c>
      <c r="AB93" s="8" t="n">
        <v>151.87</v>
      </c>
      <c r="AC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>
        <f>IF(COUNT(D94:V94)=0,"",MIN(D94:V94))</f>
        <v/>
      </c>
      <c r="X94" s="8">
        <f>IF(COUNT(D94:V94)=0,"",MEDIAN(D94:V94))</f>
        <v/>
      </c>
      <c r="Y94" s="8">
        <f>IF(COUNT(D94:V94)=0,"",MAX(D94:V94))</f>
        <v/>
      </c>
      <c r="Z94" s="9">
        <f>IF(OR(W94="",W94=0),"",(Y94-W94)/W94)</f>
        <v/>
      </c>
      <c r="AA94" s="7">
        <f>IF(COUNT(D94:V94)=0,"",INDEX($D$1:$V$1,MATCH(MIN(D94:V94),D94:V94,0)))</f>
        <v/>
      </c>
      <c r="AB94" s="8" t="n">
        <v>448.34</v>
      </c>
      <c r="AC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>
        <f>IF(COUNT(D95:V95)=0,"",MIN(D95:V95))</f>
        <v/>
      </c>
      <c r="X95" s="8">
        <f>IF(COUNT(D95:V95)=0,"",MEDIAN(D95:V95))</f>
        <v/>
      </c>
      <c r="Y95" s="8">
        <f>IF(COUNT(D95:V95)=0,"",MAX(D95:V95))</f>
        <v/>
      </c>
      <c r="Z95" s="9">
        <f>IF(OR(W95="",W95=0),"",(Y95-W95)/W95)</f>
        <v/>
      </c>
      <c r="AA95" s="7">
        <f>IF(COUNT(D95:V95)=0,"",INDEX($D$1:$V$1,MATCH(MIN(D95:V95),D95:V95,0)))</f>
        <v/>
      </c>
      <c r="AB95" s="8" t="n">
        <v>151.87</v>
      </c>
      <c r="AC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>
        <f>IF(COUNT(D96:V96)=0,"",MIN(D96:V96))</f>
        <v/>
      </c>
      <c r="X96" s="8">
        <f>IF(COUNT(D96:V96)=0,"",MEDIAN(D96:V96))</f>
        <v/>
      </c>
      <c r="Y96" s="8">
        <f>IF(COUNT(D96:V96)=0,"",MAX(D96:V96))</f>
        <v/>
      </c>
      <c r="Z96" s="9">
        <f>IF(OR(W96="",W96=0),"",(Y96-W96)/W96)</f>
        <v/>
      </c>
      <c r="AA96" s="7">
        <f>IF(COUNT(D96:V96)=0,"",INDEX($D$1:$V$1,MATCH(MIN(D96:V96),D96:V96,0)))</f>
        <v/>
      </c>
      <c r="AB96" s="8" t="n">
        <v>1160</v>
      </c>
      <c r="AC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>
        <f>IF(COUNT(D97:V97)=0,"",MIN(D97:V97))</f>
        <v/>
      </c>
      <c r="X97" s="8">
        <f>IF(COUNT(D97:V97)=0,"",MEDIAN(D97:V97))</f>
        <v/>
      </c>
      <c r="Y97" s="8">
        <f>IF(COUNT(D97:V97)=0,"",MAX(D97:V97))</f>
        <v/>
      </c>
      <c r="Z97" s="9">
        <f>IF(OR(W97="",W97=0),"",(Y97-W97)/W97)</f>
        <v/>
      </c>
      <c r="AA97" s="7">
        <f>IF(COUNT(D97:V97)=0,"",INDEX($D$1:$V$1,MATCH(MIN(D97:V97),D97:V97,0)))</f>
        <v/>
      </c>
      <c r="AB97" s="8" t="n">
        <v>322.97</v>
      </c>
      <c r="AC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>
        <f>IF(COUNT(D98:V98)=0,"",MIN(D98:V98))</f>
        <v/>
      </c>
      <c r="X98" s="8">
        <f>IF(COUNT(D98:V98)=0,"",MEDIAN(D98:V98))</f>
        <v/>
      </c>
      <c r="Y98" s="8">
        <f>IF(COUNT(D98:V98)=0,"",MAX(D98:V98))</f>
        <v/>
      </c>
      <c r="Z98" s="9">
        <f>IF(OR(W98="",W98=0),"",(Y98-W98)/W98)</f>
        <v/>
      </c>
      <c r="AA98" s="7">
        <f>IF(COUNT(D98:V98)=0,"",INDEX($D$1:$V$1,MATCH(MIN(D98:V98),D98:V98,0)))</f>
        <v/>
      </c>
      <c r="AB98" s="8" t="n">
        <v>885</v>
      </c>
      <c r="AC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>
        <f>IF(COUNT(D99:V99)=0,"",MIN(D99:V99))</f>
        <v/>
      </c>
      <c r="X99" s="8">
        <f>IF(COUNT(D99:V99)=0,"",MEDIAN(D99:V99))</f>
        <v/>
      </c>
      <c r="Y99" s="8">
        <f>IF(COUNT(D99:V99)=0,"",MAX(D99:V99))</f>
        <v/>
      </c>
      <c r="Z99" s="9">
        <f>IF(OR(W99="",W99=0),"",(Y99-W99)/W99)</f>
        <v/>
      </c>
      <c r="AA99" s="7">
        <f>IF(COUNT(D99:V99)=0,"",INDEX($D$1:$V$1,MATCH(MIN(D99:V99),D99:V99,0)))</f>
        <v/>
      </c>
      <c r="AB99" s="8" t="n">
        <v>1403.29</v>
      </c>
      <c r="AC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>
        <f>IF(COUNT(D100:V100)=0,"",MIN(D100:V100))</f>
        <v/>
      </c>
      <c r="X100" s="8">
        <f>IF(COUNT(D100:V100)=0,"",MEDIAN(D100:V100))</f>
        <v/>
      </c>
      <c r="Y100" s="8">
        <f>IF(COUNT(D100:V100)=0,"",MAX(D100:V100))</f>
        <v/>
      </c>
      <c r="Z100" s="9">
        <f>IF(OR(W100="",W100=0),"",(Y100-W100)/W100)</f>
        <v/>
      </c>
      <c r="AA100" s="7">
        <f>IF(COUNT(D100:V100)=0,"",INDEX($D$1:$V$1,MATCH(MIN(D100:V100),D100:V100,0)))</f>
        <v/>
      </c>
      <c r="AB100" s="8" t="n">
        <v>4784.99</v>
      </c>
      <c r="AC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>
        <f>IF(COUNT(D101:V101)=0,"",MIN(D101:V101))</f>
        <v/>
      </c>
      <c r="X101" s="8">
        <f>IF(COUNT(D101:V101)=0,"",MEDIAN(D101:V101))</f>
        <v/>
      </c>
      <c r="Y101" s="8">
        <f>IF(COUNT(D101:V101)=0,"",MAX(D101:V101))</f>
        <v/>
      </c>
      <c r="Z101" s="9">
        <f>IF(OR(W101="",W101=0),"",(Y101-W101)/W101)</f>
        <v/>
      </c>
      <c r="AA101" s="7">
        <f>IF(COUNT(D101:V101)=0,"",INDEX($D$1:$V$1,MATCH(MIN(D101:V101),D101:V101,0)))</f>
        <v/>
      </c>
      <c r="AB101" s="8" t="n">
        <v>2490</v>
      </c>
      <c r="AC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>
        <f>IF(COUNT(D102:V102)=0,"",MIN(D102:V102))</f>
        <v/>
      </c>
      <c r="X102" s="8">
        <f>IF(COUNT(D102:V102)=0,"",MEDIAN(D102:V102))</f>
        <v/>
      </c>
      <c r="Y102" s="8">
        <f>IF(COUNT(D102:V102)=0,"",MAX(D102:V102))</f>
        <v/>
      </c>
      <c r="Z102" s="9">
        <f>IF(OR(W102="",W102=0),"",(Y102-W102)/W102)</f>
        <v/>
      </c>
      <c r="AA102" s="7">
        <f>IF(COUNT(D102:V102)=0,"",INDEX($D$1:$V$1,MATCH(MIN(D102:V102),D102:V102,0)))</f>
        <v/>
      </c>
      <c r="AB102" s="8" t="n">
        <v>1497.5</v>
      </c>
      <c r="AC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>
        <f>IF(COUNT(D103:V103)=0,"",MIN(D103:V103))</f>
        <v/>
      </c>
      <c r="X103" s="8">
        <f>IF(COUNT(D103:V103)=0,"",MEDIAN(D103:V103))</f>
        <v/>
      </c>
      <c r="Y103" s="8">
        <f>IF(COUNT(D103:V103)=0,"",MAX(D103:V103))</f>
        <v/>
      </c>
      <c r="Z103" s="9">
        <f>IF(OR(W103="",W103=0),"",(Y103-W103)/W103)</f>
        <v/>
      </c>
      <c r="AA103" s="7">
        <f>IF(COUNT(D103:V103)=0,"",INDEX($D$1:$V$1,MATCH(MIN(D103:V103),D103:V103,0)))</f>
        <v/>
      </c>
      <c r="AB103" s="8" t="n">
        <v>1245.72</v>
      </c>
      <c r="AC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>
        <f>IF(COUNT(D104:V104)=0,"",MIN(D104:V104))</f>
        <v/>
      </c>
      <c r="X104" s="8">
        <f>IF(COUNT(D104:V104)=0,"",MEDIAN(D104:V104))</f>
        <v/>
      </c>
      <c r="Y104" s="8">
        <f>IF(COUNT(D104:V104)=0,"",MAX(D104:V104))</f>
        <v/>
      </c>
      <c r="Z104" s="9">
        <f>IF(OR(W104="",W104=0),"",(Y104-W104)/W104)</f>
        <v/>
      </c>
      <c r="AA104" s="7">
        <f>IF(COUNT(D104:V104)=0,"",INDEX($D$1:$V$1,MATCH(MIN(D104:V104),D104:V104,0)))</f>
        <v/>
      </c>
      <c r="AB104" s="8" t="n">
        <v>581.85</v>
      </c>
      <c r="AC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>
        <f>IF(COUNT(D105:V105)=0,"",MIN(D105:V105))</f>
        <v/>
      </c>
      <c r="X105" s="8">
        <f>IF(COUNT(D105:V105)=0,"",MEDIAN(D105:V105))</f>
        <v/>
      </c>
      <c r="Y105" s="8">
        <f>IF(COUNT(D105:V105)=0,"",MAX(D105:V105))</f>
        <v/>
      </c>
      <c r="Z105" s="9">
        <f>IF(OR(W105="",W105=0),"",(Y105-W105)/W105)</f>
        <v/>
      </c>
      <c r="AA105" s="7">
        <f>IF(COUNT(D105:V105)=0,"",INDEX($D$1:$V$1,MATCH(MIN(D105:V105),D105:V105,0)))</f>
        <v/>
      </c>
      <c r="AB105" s="8" t="n">
        <v>1926.69</v>
      </c>
      <c r="AC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>
        <f>IF(COUNT(D106:V106)=0,"",MIN(D106:V106))</f>
        <v/>
      </c>
      <c r="X106" s="8">
        <f>IF(COUNT(D106:V106)=0,"",MEDIAN(D106:V106))</f>
        <v/>
      </c>
      <c r="Y106" s="8">
        <f>IF(COUNT(D106:V106)=0,"",MAX(D106:V106))</f>
        <v/>
      </c>
      <c r="Z106" s="9">
        <f>IF(OR(W106="",W106=0),"",(Y106-W106)/W106)</f>
        <v/>
      </c>
      <c r="AA106" s="7">
        <f>IF(COUNT(D106:V106)=0,"",INDEX($D$1:$V$1,MATCH(MIN(D106:V106),D106:V106,0)))</f>
        <v/>
      </c>
      <c r="AB106" s="8" t="n">
        <v>3100</v>
      </c>
      <c r="AC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>
        <f>IF(COUNT(D107:V107)=0,"",MIN(D107:V107))</f>
        <v/>
      </c>
      <c r="X107" s="8">
        <f>IF(COUNT(D107:V107)=0,"",MEDIAN(D107:V107))</f>
        <v/>
      </c>
      <c r="Y107" s="8">
        <f>IF(COUNT(D107:V107)=0,"",MAX(D107:V107))</f>
        <v/>
      </c>
      <c r="Z107" s="9">
        <f>IF(OR(W107="",W107=0),"",(Y107-W107)/W107)</f>
        <v/>
      </c>
      <c r="AA107" s="7">
        <f>IF(COUNT(D107:V107)=0,"",INDEX($D$1:$V$1,MATCH(MIN(D107:V107),D107:V107,0)))</f>
        <v/>
      </c>
      <c r="AB107" s="8" t="n">
        <v>1365.01</v>
      </c>
      <c r="AC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>
        <f>IF(COUNT(D108:V108)=0,"",MIN(D108:V108))</f>
        <v/>
      </c>
      <c r="X108" s="8">
        <f>IF(COUNT(D108:V108)=0,"",MEDIAN(D108:V108))</f>
        <v/>
      </c>
      <c r="Y108" s="8">
        <f>IF(COUNT(D108:V108)=0,"",MAX(D108:V108))</f>
        <v/>
      </c>
      <c r="Z108" s="9">
        <f>IF(OR(W108="",W108=0),"",(Y108-W108)/W108)</f>
        <v/>
      </c>
      <c r="AA108" s="7">
        <f>IF(COUNT(D108:V108)=0,"",INDEX($D$1:$V$1,MATCH(MIN(D108:V108),D108:V108,0)))</f>
        <v/>
      </c>
      <c r="AB108" s="8" t="n">
        <v>1400</v>
      </c>
      <c r="AC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>
        <f>IF(COUNT(D109:V109)=0,"",MIN(D109:V109))</f>
        <v/>
      </c>
      <c r="X109" s="8">
        <f>IF(COUNT(D109:V109)=0,"",MEDIAN(D109:V109))</f>
        <v/>
      </c>
      <c r="Y109" s="8">
        <f>IF(COUNT(D109:V109)=0,"",MAX(D109:V109))</f>
        <v/>
      </c>
      <c r="Z109" s="9">
        <f>IF(OR(W109="",W109=0),"",(Y109-W109)/W109)</f>
        <v/>
      </c>
      <c r="AA109" s="7">
        <f>IF(COUNT(D109:V109)=0,"",INDEX($D$1:$V$1,MATCH(MIN(D109:V109),D109:V109,0)))</f>
        <v/>
      </c>
      <c r="AB109" s="8" t="n">
        <v>590.12</v>
      </c>
      <c r="AC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>
        <f>IF(COUNT(D110:V110)=0,"",MIN(D110:V110))</f>
        <v/>
      </c>
      <c r="X110" s="8">
        <f>IF(COUNT(D110:V110)=0,"",MEDIAN(D110:V110))</f>
        <v/>
      </c>
      <c r="Y110" s="8">
        <f>IF(COUNT(D110:V110)=0,"",MAX(D110:V110))</f>
        <v/>
      </c>
      <c r="Z110" s="9">
        <f>IF(OR(W110="",W110=0),"",(Y110-W110)/W110)</f>
        <v/>
      </c>
      <c r="AA110" s="7">
        <f>IF(COUNT(D110:V110)=0,"",INDEX($D$1:$V$1,MATCH(MIN(D110:V110),D110:V110,0)))</f>
        <v/>
      </c>
      <c r="AB110" s="8" t="n">
        <v>745</v>
      </c>
      <c r="AC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>
        <f>IF(COUNT(D111:V111)=0,"",MIN(D111:V111))</f>
        <v/>
      </c>
      <c r="X111" s="8">
        <f>IF(COUNT(D111:V111)=0,"",MEDIAN(D111:V111))</f>
        <v/>
      </c>
      <c r="Y111" s="8">
        <f>IF(COUNT(D111:V111)=0,"",MAX(D111:V111))</f>
        <v/>
      </c>
      <c r="Z111" s="9">
        <f>IF(OR(W111="",W111=0),"",(Y111-W111)/W111)</f>
        <v/>
      </c>
      <c r="AA111" s="7">
        <f>IF(COUNT(D111:V111)=0,"",INDEX($D$1:$V$1,MATCH(MIN(D111:V111),D111:V111,0)))</f>
        <v/>
      </c>
      <c r="AB111" s="8" t="n">
        <v>435</v>
      </c>
      <c r="AC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>
        <f>IF(COUNT(D112:V112)=0,"",MIN(D112:V112))</f>
        <v/>
      </c>
      <c r="X112" s="8">
        <f>IF(COUNT(D112:V112)=0,"",MEDIAN(D112:V112))</f>
        <v/>
      </c>
      <c r="Y112" s="8">
        <f>IF(COUNT(D112:V112)=0,"",MAX(D112:V112))</f>
        <v/>
      </c>
      <c r="Z112" s="9">
        <f>IF(OR(W112="",W112=0),"",(Y112-W112)/W112)</f>
        <v/>
      </c>
      <c r="AA112" s="7">
        <f>IF(COUNT(D112:V112)=0,"",INDEX($D$1:$V$1,MATCH(MIN(D112:V112),D112:V112,0)))</f>
        <v/>
      </c>
      <c r="AB112" s="8" t="n">
        <v>1720</v>
      </c>
      <c r="AC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>
        <f>IF(COUNT(D113:V113)=0,"",MIN(D113:V113))</f>
        <v/>
      </c>
      <c r="X113" s="8">
        <f>IF(COUNT(D113:V113)=0,"",MEDIAN(D113:V113))</f>
        <v/>
      </c>
      <c r="Y113" s="8">
        <f>IF(COUNT(D113:V113)=0,"",MAX(D113:V113))</f>
        <v/>
      </c>
      <c r="Z113" s="9">
        <f>IF(OR(W113="",W113=0),"",(Y113-W113)/W113)</f>
        <v/>
      </c>
      <c r="AA113" s="7">
        <f>IF(COUNT(D113:V113)=0,"",INDEX($D$1:$V$1,MATCH(MIN(D113:V113),D113:V113,0)))</f>
        <v/>
      </c>
      <c r="AB113" s="8" t="n">
        <v>330</v>
      </c>
      <c r="AC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>
        <f>IF(COUNT(D114:V114)=0,"",MIN(D114:V114))</f>
        <v/>
      </c>
      <c r="X114" s="8">
        <f>IF(COUNT(D114:V114)=0,"",MEDIAN(D114:V114))</f>
        <v/>
      </c>
      <c r="Y114" s="8">
        <f>IF(COUNT(D114:V114)=0,"",MAX(D114:V114))</f>
        <v/>
      </c>
      <c r="Z114" s="9">
        <f>IF(OR(W114="",W114=0),"",(Y114-W114)/W114)</f>
        <v/>
      </c>
      <c r="AA114" s="7">
        <f>IF(COUNT(D114:V114)=0,"",INDEX($D$1:$V$1,MATCH(MIN(D114:V114),D114:V114,0)))</f>
        <v/>
      </c>
      <c r="AB114" s="8" t="n">
        <v>245.85</v>
      </c>
      <c r="AC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>
        <f>IF(COUNT(D115:V115)=0,"",MIN(D115:V115))</f>
        <v/>
      </c>
      <c r="X115" s="8">
        <f>IF(COUNT(D115:V115)=0,"",MEDIAN(D115:V115))</f>
        <v/>
      </c>
      <c r="Y115" s="8">
        <f>IF(COUNT(D115:V115)=0,"",MAX(D115:V115))</f>
        <v/>
      </c>
      <c r="Z115" s="9">
        <f>IF(OR(W115="",W115=0),"",(Y115-W115)/W115)</f>
        <v/>
      </c>
      <c r="AA115" s="7">
        <f>IF(COUNT(D115:V115)=0,"",INDEX($D$1:$V$1,MATCH(MIN(D115:V115),D115:V115,0)))</f>
        <v/>
      </c>
      <c r="AB115" s="8" t="n">
        <v>253.1</v>
      </c>
      <c r="AC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>
        <f>IF(COUNT(D116:V116)=0,"",MIN(D116:V116))</f>
        <v/>
      </c>
      <c r="X116" s="8">
        <f>IF(COUNT(D116:V116)=0,"",MEDIAN(D116:V116))</f>
        <v/>
      </c>
      <c r="Y116" s="8">
        <f>IF(COUNT(D116:V116)=0,"",MAX(D116:V116))</f>
        <v/>
      </c>
      <c r="Z116" s="9">
        <f>IF(OR(W116="",W116=0),"",(Y116-W116)/W116)</f>
        <v/>
      </c>
      <c r="AA116" s="7">
        <f>IF(COUNT(D116:V116)=0,"",INDEX($D$1:$V$1,MATCH(MIN(D116:V116),D116:V116,0)))</f>
        <v/>
      </c>
      <c r="AB116" s="8" t="n">
        <v>1460</v>
      </c>
      <c r="AC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>
        <f>IF(COUNT(D117:V117)=0,"",MIN(D117:V117))</f>
        <v/>
      </c>
      <c r="X117" s="8">
        <f>IF(COUNT(D117:V117)=0,"",MEDIAN(D117:V117))</f>
        <v/>
      </c>
      <c r="Y117" s="8">
        <f>IF(COUNT(D117:V117)=0,"",MAX(D117:V117))</f>
        <v/>
      </c>
      <c r="Z117" s="9">
        <f>IF(OR(W117="",W117=0),"",(Y117-W117)/W117)</f>
        <v/>
      </c>
      <c r="AA117" s="7">
        <f>IF(COUNT(D117:V117)=0,"",INDEX($D$1:$V$1,MATCH(MIN(D117:V117),D117:V117,0)))</f>
        <v/>
      </c>
      <c r="AB117" s="8" t="n">
        <v>6055</v>
      </c>
      <c r="AC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>
        <f>IF(COUNT(D118:V118)=0,"",MIN(D118:V118))</f>
        <v/>
      </c>
      <c r="X118" s="8">
        <f>IF(COUNT(D118:V118)=0,"",MEDIAN(D118:V118))</f>
        <v/>
      </c>
      <c r="Y118" s="8">
        <f>IF(COUNT(D118:V118)=0,"",MAX(D118:V118))</f>
        <v/>
      </c>
      <c r="Z118" s="9">
        <f>IF(OR(W118="",W118=0),"",(Y118-W118)/W118)</f>
        <v/>
      </c>
      <c r="AA118" s="7">
        <f>IF(COUNT(D118:V118)=0,"",INDEX($D$1:$V$1,MATCH(MIN(D118:V118),D118:V118,0)))</f>
        <v/>
      </c>
      <c r="AB118" s="8" t="n">
        <v>454.75</v>
      </c>
      <c r="AC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>
        <f>IF(COUNT(D119:V119)=0,"",MIN(D119:V119))</f>
        <v/>
      </c>
      <c r="X119" s="8">
        <f>IF(COUNT(D119:V119)=0,"",MEDIAN(D119:V119))</f>
        <v/>
      </c>
      <c r="Y119" s="8">
        <f>IF(COUNT(D119:V119)=0,"",MAX(D119:V119))</f>
        <v/>
      </c>
      <c r="Z119" s="9">
        <f>IF(OR(W119="",W119=0),"",(Y119-W119)/W119)</f>
        <v/>
      </c>
      <c r="AA119" s="7">
        <f>IF(COUNT(D119:V119)=0,"",INDEX($D$1:$V$1,MATCH(MIN(D119:V119),D119:V119,0)))</f>
        <v/>
      </c>
      <c r="AB119" s="8" t="n">
        <v>535</v>
      </c>
      <c r="AC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>
        <f>IF(COUNT(D120:V120)=0,"",MIN(D120:V120))</f>
        <v/>
      </c>
      <c r="X120" s="8">
        <f>IF(COUNT(D120:V120)=0,"",MEDIAN(D120:V120))</f>
        <v/>
      </c>
      <c r="Y120" s="8">
        <f>IF(COUNT(D120:V120)=0,"",MAX(D120:V120))</f>
        <v/>
      </c>
      <c r="Z120" s="9">
        <f>IF(OR(W120="",W120=0),"",(Y120-W120)/W120)</f>
        <v/>
      </c>
      <c r="AA120" s="7">
        <f>IF(COUNT(D120:V120)=0,"",INDEX($D$1:$V$1,MATCH(MIN(D120:V120),D120:V120,0)))</f>
        <v/>
      </c>
      <c r="AB120" s="8" t="n">
        <v>395</v>
      </c>
      <c r="AC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>
        <f>IF(COUNT(D121:V121)=0,"",MIN(D121:V121))</f>
        <v/>
      </c>
      <c r="X121" s="8">
        <f>IF(COUNT(D121:V121)=0,"",MEDIAN(D121:V121))</f>
        <v/>
      </c>
      <c r="Y121" s="8">
        <f>IF(COUNT(D121:V121)=0,"",MAX(D121:V121))</f>
        <v/>
      </c>
      <c r="Z121" s="9">
        <f>IF(OR(W121="",W121=0),"",(Y121-W121)/W121)</f>
        <v/>
      </c>
      <c r="AA121" s="7">
        <f>IF(COUNT(D121:V121)=0,"",INDEX($D$1:$V$1,MATCH(MIN(D121:V121),D121:V121,0)))</f>
        <v/>
      </c>
      <c r="AB121" s="8" t="n">
        <v>1072.5</v>
      </c>
      <c r="AC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>
        <f>IF(COUNT(D122:V122)=0,"",MIN(D122:V122))</f>
        <v/>
      </c>
      <c r="X122" s="8">
        <f>IF(COUNT(D122:V122)=0,"",MEDIAN(D122:V122))</f>
        <v/>
      </c>
      <c r="Y122" s="8">
        <f>IF(COUNT(D122:V122)=0,"",MAX(D122:V122))</f>
        <v/>
      </c>
      <c r="Z122" s="9">
        <f>IF(OR(W122="",W122=0),"",(Y122-W122)/W122)</f>
        <v/>
      </c>
      <c r="AA122" s="7">
        <f>IF(COUNT(D122:V122)=0,"",INDEX($D$1:$V$1,MATCH(MIN(D122:V122),D122:V122,0)))</f>
        <v/>
      </c>
      <c r="AB122" s="8" t="n">
        <v>285</v>
      </c>
      <c r="AC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>
        <f>IF(COUNT(D123:V123)=0,"",MIN(D123:V123))</f>
        <v/>
      </c>
      <c r="X123" s="8">
        <f>IF(COUNT(D123:V123)=0,"",MEDIAN(D123:V123))</f>
        <v/>
      </c>
      <c r="Y123" s="8">
        <f>IF(COUNT(D123:V123)=0,"",MAX(D123:V123))</f>
        <v/>
      </c>
      <c r="Z123" s="9">
        <f>IF(OR(W123="",W123=0),"",(Y123-W123)/W123)</f>
        <v/>
      </c>
      <c r="AA123" s="7">
        <f>IF(COUNT(D123:V123)=0,"",INDEX($D$1:$V$1,MATCH(MIN(D123:V123),D123:V123,0)))</f>
        <v/>
      </c>
      <c r="AB123" s="8" t="n">
        <v>8617.5</v>
      </c>
      <c r="AC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>
        <f>IF(COUNT(D124:V124)=0,"",MIN(D124:V124))</f>
        <v/>
      </c>
      <c r="X124" s="8">
        <f>IF(COUNT(D124:V124)=0,"",MEDIAN(D124:V124))</f>
        <v/>
      </c>
      <c r="Y124" s="8">
        <f>IF(COUNT(D124:V124)=0,"",MAX(D124:V124))</f>
        <v/>
      </c>
      <c r="Z124" s="9">
        <f>IF(OR(W124="",W124=0),"",(Y124-W124)/W124)</f>
        <v/>
      </c>
      <c r="AA124" s="7">
        <f>IF(COUNT(D124:V124)=0,"",INDEX($D$1:$V$1,MATCH(MIN(D124:V124),D124:V124,0)))</f>
        <v/>
      </c>
      <c r="AB124" s="8" t="n">
        <v>1610.75</v>
      </c>
      <c r="AC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>
        <f>IF(COUNT(D125:V125)=0,"",MIN(D125:V125))</f>
        <v/>
      </c>
      <c r="X125" s="8">
        <f>IF(COUNT(D125:V125)=0,"",MEDIAN(D125:V125))</f>
        <v/>
      </c>
      <c r="Y125" s="8">
        <f>IF(COUNT(D125:V125)=0,"",MAX(D125:V125))</f>
        <v/>
      </c>
      <c r="Z125" s="9">
        <f>IF(OR(W125="",W125=0),"",(Y125-W125)/W125)</f>
        <v/>
      </c>
      <c r="AA125" s="7">
        <f>IF(COUNT(D125:V125)=0,"",INDEX($D$1:$V$1,MATCH(MIN(D125:V125),D125:V125,0)))</f>
        <v/>
      </c>
      <c r="AB125" s="8" t="n">
        <v>2005</v>
      </c>
      <c r="AC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>
        <f>IF(COUNT(D126:V126)=0,"",MIN(D126:V126))</f>
        <v/>
      </c>
      <c r="X126" s="8">
        <f>IF(COUNT(D126:V126)=0,"",MEDIAN(D126:V126))</f>
        <v/>
      </c>
      <c r="Y126" s="8">
        <f>IF(COUNT(D126:V126)=0,"",MAX(D126:V126))</f>
        <v/>
      </c>
      <c r="Z126" s="9">
        <f>IF(OR(W126="",W126=0),"",(Y126-W126)/W126)</f>
        <v/>
      </c>
      <c r="AA126" s="7">
        <f>IF(COUNT(D126:V126)=0,"",INDEX($D$1:$V$1,MATCH(MIN(D126:V126),D126:V126,0)))</f>
        <v/>
      </c>
      <c r="AB126" s="8" t="n">
        <v>3952.5</v>
      </c>
      <c r="AC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>
        <f>IF(COUNT(D127:V127)=0,"",MIN(D127:V127))</f>
        <v/>
      </c>
      <c r="X127" s="8">
        <f>IF(COUNT(D127:V127)=0,"",MEDIAN(D127:V127))</f>
        <v/>
      </c>
      <c r="Y127" s="8">
        <f>IF(COUNT(D127:V127)=0,"",MAX(D127:V127))</f>
        <v/>
      </c>
      <c r="Z127" s="9">
        <f>IF(OR(W127="",W127=0),"",(Y127-W127)/W127)</f>
        <v/>
      </c>
      <c r="AA127" s="7">
        <f>IF(COUNT(D127:V127)=0,"",INDEX($D$1:$V$1,MATCH(MIN(D127:V127),D127:V127,0)))</f>
        <v/>
      </c>
      <c r="AB127" s="8" t="n">
        <v>533.8</v>
      </c>
      <c r="AC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>
        <f>IF(COUNT(D128:V128)=0,"",MIN(D128:V128))</f>
        <v/>
      </c>
      <c r="X128" s="8">
        <f>IF(COUNT(D128:V128)=0,"",MEDIAN(D128:V128))</f>
        <v/>
      </c>
      <c r="Y128" s="8">
        <f>IF(COUNT(D128:V128)=0,"",MAX(D128:V128))</f>
        <v/>
      </c>
      <c r="Z128" s="9">
        <f>IF(OR(W128="",W128=0),"",(Y128-W128)/W128)</f>
        <v/>
      </c>
      <c r="AA128" s="7">
        <f>IF(COUNT(D128:V128)=0,"",INDEX($D$1:$V$1,MATCH(MIN(D128:V128),D128:V128,0)))</f>
        <v/>
      </c>
      <c r="AB128" s="8" t="n">
        <v>377.4</v>
      </c>
      <c r="AC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>
        <f>IF(COUNT(D129:V129)=0,"",MIN(D129:V129))</f>
        <v/>
      </c>
      <c r="X129" s="8">
        <f>IF(COUNT(D129:V129)=0,"",MEDIAN(D129:V129))</f>
        <v/>
      </c>
      <c r="Y129" s="8">
        <f>IF(COUNT(D129:V129)=0,"",MAX(D129:V129))</f>
        <v/>
      </c>
      <c r="Z129" s="9">
        <f>IF(OR(W129="",W129=0),"",(Y129-W129)/W129)</f>
        <v/>
      </c>
      <c r="AA129" s="7">
        <f>IF(COUNT(D129:V129)=0,"",INDEX($D$1:$V$1,MATCH(MIN(D129:V129),D129:V129,0)))</f>
        <v/>
      </c>
      <c r="AB129" s="8" t="n">
        <v>949.45</v>
      </c>
      <c r="AC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>
        <f>IF(COUNT(D130:V130)=0,"",MIN(D130:V130))</f>
        <v/>
      </c>
      <c r="X130" s="8">
        <f>IF(COUNT(D130:V130)=0,"",MEDIAN(D130:V130))</f>
        <v/>
      </c>
      <c r="Y130" s="8">
        <f>IF(COUNT(D130:V130)=0,"",MAX(D130:V130))</f>
        <v/>
      </c>
      <c r="Z130" s="9">
        <f>IF(OR(W130="",W130=0),"",(Y130-W130)/W130)</f>
        <v/>
      </c>
      <c r="AA130" s="7">
        <f>IF(COUNT(D130:V130)=0,"",INDEX($D$1:$V$1,MATCH(MIN(D130:V130),D130:V130,0)))</f>
        <v/>
      </c>
      <c r="AB130" s="8" t="n">
        <v>2817.75</v>
      </c>
      <c r="AC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>
        <f>IF(COUNT(D131:V131)=0,"",MIN(D131:V131))</f>
        <v/>
      </c>
      <c r="X131" s="8">
        <f>IF(COUNT(D131:V131)=0,"",MEDIAN(D131:V131))</f>
        <v/>
      </c>
      <c r="Y131" s="8">
        <f>IF(COUNT(D131:V131)=0,"",MAX(D131:V131))</f>
        <v/>
      </c>
      <c r="Z131" s="9">
        <f>IF(OR(W131="",W131=0),"",(Y131-W131)/W131)</f>
        <v/>
      </c>
      <c r="AA131" s="7">
        <f>IF(COUNT(D131:V131)=0,"",INDEX($D$1:$V$1,MATCH(MIN(D131:V131),D131:V131,0)))</f>
        <v/>
      </c>
      <c r="AB131" s="8" t="n">
        <v>712</v>
      </c>
      <c r="AC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>
        <f>IF(COUNT(D132:V132)=0,"",MIN(D132:V132))</f>
        <v/>
      </c>
      <c r="X132" s="8">
        <f>IF(COUNT(D132:V132)=0,"",MEDIAN(D132:V132))</f>
        <v/>
      </c>
      <c r="Y132" s="8">
        <f>IF(COUNT(D132:V132)=0,"",MAX(D132:V132))</f>
        <v/>
      </c>
      <c r="Z132" s="9">
        <f>IF(OR(W132="",W132=0),"",(Y132-W132)/W132)</f>
        <v/>
      </c>
      <c r="AA132" s="7">
        <f>IF(COUNT(D132:V132)=0,"",INDEX($D$1:$V$1,MATCH(MIN(D132:V132),D132:V132,0)))</f>
        <v/>
      </c>
      <c r="AB132" s="8" t="n">
        <v>328</v>
      </c>
      <c r="AC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>
        <f>IF(COUNT(D133:V133)=0,"",MIN(D133:V133))</f>
        <v/>
      </c>
      <c r="X133" s="8">
        <f>IF(COUNT(D133:V133)=0,"",MEDIAN(D133:V133))</f>
        <v/>
      </c>
      <c r="Y133" s="8">
        <f>IF(COUNT(D133:V133)=0,"",MAX(D133:V133))</f>
        <v/>
      </c>
      <c r="Z133" s="9">
        <f>IF(OR(W133="",W133=0),"",(Y133-W133)/W133)</f>
        <v/>
      </c>
      <c r="AA133" s="7">
        <f>IF(COUNT(D133:V133)=0,"",INDEX($D$1:$V$1,MATCH(MIN(D133:V133),D133:V133,0)))</f>
        <v/>
      </c>
      <c r="AB133" s="8" t="n">
        <v>555.05</v>
      </c>
      <c r="AC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>
        <f>IF(COUNT(D134:V134)=0,"",MIN(D134:V134))</f>
        <v/>
      </c>
      <c r="X134" s="8">
        <f>IF(COUNT(D134:V134)=0,"",MEDIAN(D134:V134))</f>
        <v/>
      </c>
      <c r="Y134" s="8">
        <f>IF(COUNT(D134:V134)=0,"",MAX(D134:V134))</f>
        <v/>
      </c>
      <c r="Z134" s="9">
        <f>IF(OR(W134="",W134=0),"",(Y134-W134)/W134)</f>
        <v/>
      </c>
      <c r="AA134" s="7">
        <f>IF(COUNT(D134:V134)=0,"",INDEX($D$1:$V$1,MATCH(MIN(D134:V134),D134:V134,0)))</f>
        <v/>
      </c>
      <c r="AB134" s="8" t="n">
        <v>1365.1</v>
      </c>
      <c r="AC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>
        <f>IF(COUNT(D135:V135)=0,"",MIN(D135:V135))</f>
        <v/>
      </c>
      <c r="X135" s="8">
        <f>IF(COUNT(D135:V135)=0,"",MEDIAN(D135:V135))</f>
        <v/>
      </c>
      <c r="Y135" s="8">
        <f>IF(COUNT(D135:V135)=0,"",MAX(D135:V135))</f>
        <v/>
      </c>
      <c r="Z135" s="9">
        <f>IF(OR(W135="",W135=0),"",(Y135-W135)/W135)</f>
        <v/>
      </c>
      <c r="AA135" s="7">
        <f>IF(COUNT(D135:V135)=0,"",INDEX($D$1:$V$1,MATCH(MIN(D135:V135),D135:V135,0)))</f>
        <v/>
      </c>
      <c r="AB135" s="8" t="n">
        <v>1270.75</v>
      </c>
      <c r="AC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>
        <f>IF(COUNT(D136:V136)=0,"",MIN(D136:V136))</f>
        <v/>
      </c>
      <c r="X136" s="8">
        <f>IF(COUNT(D136:V136)=0,"",MEDIAN(D136:V136))</f>
        <v/>
      </c>
      <c r="Y136" s="8">
        <f>IF(COUNT(D136:V136)=0,"",MAX(D136:V136))</f>
        <v/>
      </c>
      <c r="Z136" s="9">
        <f>IF(OR(W136="",W136=0),"",(Y136-W136)/W136)</f>
        <v/>
      </c>
      <c r="AA136" s="7">
        <f>IF(COUNT(D136:V136)=0,"",INDEX($D$1:$V$1,MATCH(MIN(D136:V136),D136:V136,0)))</f>
        <v/>
      </c>
      <c r="AB136" s="8" t="n">
        <v>135</v>
      </c>
      <c r="AC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>
        <f>IF(COUNT(D137:V137)=0,"",MIN(D137:V137))</f>
        <v/>
      </c>
      <c r="X137" s="8">
        <f>IF(COUNT(D137:V137)=0,"",MEDIAN(D137:V137))</f>
        <v/>
      </c>
      <c r="Y137" s="8">
        <f>IF(COUNT(D137:V137)=0,"",MAX(D137:V137))</f>
        <v/>
      </c>
      <c r="Z137" s="9">
        <f>IF(OR(W137="",W137=0),"",(Y137-W137)/W137)</f>
        <v/>
      </c>
      <c r="AA137" s="7">
        <f>IF(COUNT(D137:V137)=0,"",INDEX($D$1:$V$1,MATCH(MIN(D137:V137),D137:V137,0)))</f>
        <v/>
      </c>
      <c r="AB137" s="8" t="n">
        <v>1308</v>
      </c>
      <c r="AC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>
        <f>IF(COUNT(D138:V138)=0,"",MIN(D138:V138))</f>
        <v/>
      </c>
      <c r="X138" s="8">
        <f>IF(COUNT(D138:V138)=0,"",MEDIAN(D138:V138))</f>
        <v/>
      </c>
      <c r="Y138" s="8">
        <f>IF(COUNT(D138:V138)=0,"",MAX(D138:V138))</f>
        <v/>
      </c>
      <c r="Z138" s="9">
        <f>IF(OR(W138="",W138=0),"",(Y138-W138)/W138)</f>
        <v/>
      </c>
      <c r="AA138" s="7">
        <f>IF(COUNT(D138:V138)=0,"",INDEX($D$1:$V$1,MATCH(MIN(D138:V138),D138:V138,0)))</f>
        <v/>
      </c>
      <c r="AB138" s="8" t="n">
        <v>2715.75</v>
      </c>
      <c r="AC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>
        <f>IF(COUNT(D139:V139)=0,"",MIN(D139:V139))</f>
        <v/>
      </c>
      <c r="X139" s="8">
        <f>IF(COUNT(D139:V139)=0,"",MEDIAN(D139:V139))</f>
        <v/>
      </c>
      <c r="Y139" s="8">
        <f>IF(COUNT(D139:V139)=0,"",MAX(D139:V139))</f>
        <v/>
      </c>
      <c r="Z139" s="9">
        <f>IF(OR(W139="",W139=0),"",(Y139-W139)/W139)</f>
        <v/>
      </c>
      <c r="AA139" s="7">
        <f>IF(COUNT(D139:V139)=0,"",INDEX($D$1:$V$1,MATCH(MIN(D139:V139),D139:V139,0)))</f>
        <v/>
      </c>
      <c r="AB139" s="8" t="n">
        <v>2396</v>
      </c>
      <c r="AC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>
        <f>IF(COUNT(D140:V140)=0,"",MIN(D140:V140))</f>
        <v/>
      </c>
      <c r="X140" s="8">
        <f>IF(COUNT(D140:V140)=0,"",MEDIAN(D140:V140))</f>
        <v/>
      </c>
      <c r="Y140" s="8">
        <f>IF(COUNT(D140:V140)=0,"",MAX(D140:V140))</f>
        <v/>
      </c>
      <c r="Z140" s="9">
        <f>IF(OR(W140="",W140=0),"",(Y140-W140)/W140)</f>
        <v/>
      </c>
      <c r="AA140" s="7">
        <f>IF(COUNT(D140:V140)=0,"",INDEX($D$1:$V$1,MATCH(MIN(D140:V140),D140:V140,0)))</f>
        <v/>
      </c>
      <c r="AB140" s="8" t="n">
        <v>625</v>
      </c>
      <c r="AC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>
        <f>IF(COUNT(D141:V141)=0,"",MIN(D141:V141))</f>
        <v/>
      </c>
      <c r="X141" s="8">
        <f>IF(COUNT(D141:V141)=0,"",MEDIAN(D141:V141))</f>
        <v/>
      </c>
      <c r="Y141" s="8">
        <f>IF(COUNT(D141:V141)=0,"",MAX(D141:V141))</f>
        <v/>
      </c>
      <c r="Z141" s="9">
        <f>IF(OR(W141="",W141=0),"",(Y141-W141)/W141)</f>
        <v/>
      </c>
      <c r="AA141" s="7">
        <f>IF(COUNT(D141:V141)=0,"",INDEX($D$1:$V$1,MATCH(MIN(D141:V141),D141:V141,0)))</f>
        <v/>
      </c>
      <c r="AB141" s="8" t="n">
        <v>1845</v>
      </c>
      <c r="AC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>
        <f>IF(COUNT(D142:V142)=0,"",MIN(D142:V142))</f>
        <v/>
      </c>
      <c r="X142" s="8">
        <f>IF(COUNT(D142:V142)=0,"",MEDIAN(D142:V142))</f>
        <v/>
      </c>
      <c r="Y142" s="8">
        <f>IF(COUNT(D142:V142)=0,"",MAX(D142:V142))</f>
        <v/>
      </c>
      <c r="Z142" s="9">
        <f>IF(OR(W142="",W142=0),"",(Y142-W142)/W142)</f>
        <v/>
      </c>
      <c r="AA142" s="7">
        <f>IF(COUNT(D142:V142)=0,"",INDEX($D$1:$V$1,MATCH(MIN(D142:V142),D142:V142,0)))</f>
        <v/>
      </c>
      <c r="AB142" s="8" t="n">
        <v>569.5</v>
      </c>
      <c r="AC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>
        <f>IF(COUNT(D143:V143)=0,"",MIN(D143:V143))</f>
        <v/>
      </c>
      <c r="X143" s="8">
        <f>IF(COUNT(D143:V143)=0,"",MEDIAN(D143:V143))</f>
        <v/>
      </c>
      <c r="Y143" s="8">
        <f>IF(COUNT(D143:V143)=0,"",MAX(D143:V143))</f>
        <v/>
      </c>
      <c r="Z143" s="9">
        <f>IF(OR(W143="",W143=0),"",(Y143-W143)/W143)</f>
        <v/>
      </c>
      <c r="AA143" s="7">
        <f>IF(COUNT(D143:V143)=0,"",INDEX($D$1:$V$1,MATCH(MIN(D143:V143),D143:V143,0)))</f>
        <v/>
      </c>
      <c r="AB143" s="8" t="n">
        <v>330.5</v>
      </c>
      <c r="AC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>
        <f>IF(COUNT(D144:V144)=0,"",MIN(D144:V144))</f>
        <v/>
      </c>
      <c r="X144" s="8">
        <f>IF(COUNT(D144:V144)=0,"",MEDIAN(D144:V144))</f>
        <v/>
      </c>
      <c r="Y144" s="8">
        <f>IF(COUNT(D144:V144)=0,"",MAX(D144:V144))</f>
        <v/>
      </c>
      <c r="Z144" s="9">
        <f>IF(OR(W144="",W144=0),"",(Y144-W144)/W144)</f>
        <v/>
      </c>
      <c r="AA144" s="7">
        <f>IF(COUNT(D144:V144)=0,"",INDEX($D$1:$V$1,MATCH(MIN(D144:V144),D144:V144,0)))</f>
        <v/>
      </c>
      <c r="AB144" s="8" t="n">
        <v>167</v>
      </c>
      <c r="AC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>
        <f>IF(COUNT(D145:V145)=0,"",MIN(D145:V145))</f>
        <v/>
      </c>
      <c r="X145" s="8">
        <f>IF(COUNT(D145:V145)=0,"",MEDIAN(D145:V145))</f>
        <v/>
      </c>
      <c r="Y145" s="8">
        <f>IF(COUNT(D145:V145)=0,"",MAX(D145:V145))</f>
        <v/>
      </c>
      <c r="Z145" s="9">
        <f>IF(OR(W145="",W145=0),"",(Y145-W145)/W145)</f>
        <v/>
      </c>
      <c r="AA145" s="7">
        <f>IF(COUNT(D145:V145)=0,"",INDEX($D$1:$V$1,MATCH(MIN(D145:V145),D145:V145,0)))</f>
        <v/>
      </c>
      <c r="AB145" s="8" t="n">
        <v>30</v>
      </c>
      <c r="AC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>
        <f>IF(COUNT(D146:V146)=0,"",MIN(D146:V146))</f>
        <v/>
      </c>
      <c r="X146" s="8">
        <f>IF(COUNT(D146:V146)=0,"",MEDIAN(D146:V146))</f>
        <v/>
      </c>
      <c r="Y146" s="8">
        <f>IF(COUNT(D146:V146)=0,"",MAX(D146:V146))</f>
        <v/>
      </c>
      <c r="Z146" s="9">
        <f>IF(OR(W146="",W146=0),"",(Y146-W146)/W146)</f>
        <v/>
      </c>
      <c r="AA146" s="7">
        <f>IF(COUNT(D146:V146)=0,"",INDEX($D$1:$V$1,MATCH(MIN(D146:V146),D146:V146,0)))</f>
        <v/>
      </c>
      <c r="AB146" s="8" t="n">
        <v>54.68</v>
      </c>
      <c r="AC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>
        <f>IF(COUNT(D147:V147)=0,"",MIN(D147:V147))</f>
        <v/>
      </c>
      <c r="X147" s="8">
        <f>IF(COUNT(D147:V147)=0,"",MEDIAN(D147:V147))</f>
        <v/>
      </c>
      <c r="Y147" s="8">
        <f>IF(COUNT(D147:V147)=0,"",MAX(D147:V147))</f>
        <v/>
      </c>
      <c r="Z147" s="9">
        <f>IF(OR(W147="",W147=0),"",(Y147-W147)/W147)</f>
        <v/>
      </c>
      <c r="AA147" s="7">
        <f>IF(COUNT(D147:V147)=0,"",INDEX($D$1:$V$1,MATCH(MIN(D147:V147),D147:V147,0)))</f>
        <v/>
      </c>
      <c r="AB147" s="8" t="n">
        <v>119.48</v>
      </c>
      <c r="AC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>
        <f>IF(COUNT(D148:V148)=0,"",MIN(D148:V148))</f>
        <v/>
      </c>
      <c r="X148" s="8">
        <f>IF(COUNT(D148:V148)=0,"",MEDIAN(D148:V148))</f>
        <v/>
      </c>
      <c r="Y148" s="8">
        <f>IF(COUNT(D148:V148)=0,"",MAX(D148:V148))</f>
        <v/>
      </c>
      <c r="Z148" s="9">
        <f>IF(OR(W148="",W148=0),"",(Y148-W148)/W148)</f>
        <v/>
      </c>
      <c r="AA148" s="7">
        <f>IF(COUNT(D148:V148)=0,"",INDEX($D$1:$V$1,MATCH(MIN(D148:V148),D148:V148,0)))</f>
        <v/>
      </c>
      <c r="AB148" s="8" t="n">
        <v>57</v>
      </c>
      <c r="AC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>
        <f>IF(COUNT(D149:V149)=0,"",MIN(D149:V149))</f>
        <v/>
      </c>
      <c r="X149" s="8">
        <f>IF(COUNT(D149:V149)=0,"",MEDIAN(D149:V149))</f>
        <v/>
      </c>
      <c r="Y149" s="8">
        <f>IF(COUNT(D149:V149)=0,"",MAX(D149:V149))</f>
        <v/>
      </c>
      <c r="Z149" s="9">
        <f>IF(OR(W149="",W149=0),"",(Y149-W149)/W149)</f>
        <v/>
      </c>
      <c r="AA149" s="7">
        <f>IF(COUNT(D149:V149)=0,"",INDEX($D$1:$V$1,MATCH(MIN(D149:V149),D149:V149,0)))</f>
        <v/>
      </c>
      <c r="AB149" s="8" t="n">
        <v>138.5</v>
      </c>
      <c r="AC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>
        <f>IF(COUNT(D150:V150)=0,"",MIN(D150:V150))</f>
        <v/>
      </c>
      <c r="X150" s="8">
        <f>IF(COUNT(D150:V150)=0,"",MEDIAN(D150:V150))</f>
        <v/>
      </c>
      <c r="Y150" s="8">
        <f>IF(COUNT(D150:V150)=0,"",MAX(D150:V150))</f>
        <v/>
      </c>
      <c r="Z150" s="9">
        <f>IF(OR(W150="",W150=0),"",(Y150-W150)/W150)</f>
        <v/>
      </c>
      <c r="AA150" s="7">
        <f>IF(COUNT(D150:V150)=0,"",INDEX($D$1:$V$1,MATCH(MIN(D150:V150),D150:V150,0)))</f>
        <v/>
      </c>
      <c r="AB150" s="8" t="n">
        <v>159.1</v>
      </c>
      <c r="AC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>
        <f>IF(COUNT(D151:V151)=0,"",MIN(D151:V151))</f>
        <v/>
      </c>
      <c r="X151" s="8">
        <f>IF(COUNT(D151:V151)=0,"",MEDIAN(D151:V151))</f>
        <v/>
      </c>
      <c r="Y151" s="8">
        <f>IF(COUNT(D151:V151)=0,"",MAX(D151:V151))</f>
        <v/>
      </c>
      <c r="Z151" s="9">
        <f>IF(OR(W151="",W151=0),"",(Y151-W151)/W151)</f>
        <v/>
      </c>
      <c r="AA151" s="7">
        <f>IF(COUNT(D151:V151)=0,"",INDEX($D$1:$V$1,MATCH(MIN(D151:V151),D151:V151,0)))</f>
        <v/>
      </c>
      <c r="AB151" s="8" t="n">
        <v>4.8</v>
      </c>
      <c r="AC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>
        <f>IF(COUNT(D152:V152)=0,"",MIN(D152:V152))</f>
        <v/>
      </c>
      <c r="X152" s="8">
        <f>IF(COUNT(D152:V152)=0,"",MEDIAN(D152:V152))</f>
        <v/>
      </c>
      <c r="Y152" s="8">
        <f>IF(COUNT(D152:V152)=0,"",MAX(D152:V152))</f>
        <v/>
      </c>
      <c r="Z152" s="9">
        <f>IF(OR(W152="",W152=0),"",(Y152-W152)/W152)</f>
        <v/>
      </c>
      <c r="AA152" s="7">
        <f>IF(COUNT(D152:V152)=0,"",INDEX($D$1:$V$1,MATCH(MIN(D152:V152),D152:V152,0)))</f>
        <v/>
      </c>
      <c r="AB152" s="8" t="n">
        <v>37.93</v>
      </c>
      <c r="AC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>
        <f>IF(COUNT(D153:V153)=0,"",MIN(D153:V153))</f>
        <v/>
      </c>
      <c r="X153" s="8">
        <f>IF(COUNT(D153:V153)=0,"",MEDIAN(D153:V153))</f>
        <v/>
      </c>
      <c r="Y153" s="8">
        <f>IF(COUNT(D153:V153)=0,"",MAX(D153:V153))</f>
        <v/>
      </c>
      <c r="Z153" s="9">
        <f>IF(OR(W153="",W153=0),"",(Y153-W153)/W153)</f>
        <v/>
      </c>
      <c r="AA153" s="7">
        <f>IF(COUNT(D153:V153)=0,"",INDEX($D$1:$V$1,MATCH(MIN(D153:V153),D153:V153,0)))</f>
        <v/>
      </c>
      <c r="AB153" s="8" t="n">
        <v>373.64</v>
      </c>
      <c r="AC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>
        <f>IF(COUNT(D154:V154)=0,"",MIN(D154:V154))</f>
        <v/>
      </c>
      <c r="X154" s="8">
        <f>IF(COUNT(D154:V154)=0,"",MEDIAN(D154:V154))</f>
        <v/>
      </c>
      <c r="Y154" s="8">
        <f>IF(COUNT(D154:V154)=0,"",MAX(D154:V154))</f>
        <v/>
      </c>
      <c r="Z154" s="9">
        <f>IF(OR(W154="",W154=0),"",(Y154-W154)/W154)</f>
        <v/>
      </c>
      <c r="AA154" s="7">
        <f>IF(COUNT(D154:V154)=0,"",INDEX($D$1:$V$1,MATCH(MIN(D154:V154),D154:V154,0)))</f>
        <v/>
      </c>
      <c r="AB154" s="8" t="n">
        <v>1295.68</v>
      </c>
      <c r="AC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>
        <f>IF(COUNT(D155:V155)=0,"",MIN(D155:V155))</f>
        <v/>
      </c>
      <c r="X155" s="8">
        <f>IF(COUNT(D155:V155)=0,"",MEDIAN(D155:V155))</f>
        <v/>
      </c>
      <c r="Y155" s="8">
        <f>IF(COUNT(D155:V155)=0,"",MAX(D155:V155))</f>
        <v/>
      </c>
      <c r="Z155" s="9">
        <f>IF(OR(W155="",W155=0),"",(Y155-W155)/W155)</f>
        <v/>
      </c>
      <c r="AA155" s="7">
        <f>IF(COUNT(D155:V155)=0,"",INDEX($D$1:$V$1,MATCH(MIN(D155:V155),D155:V155,0)))</f>
        <v/>
      </c>
      <c r="AB155" s="8" t="n">
        <v>807.79</v>
      </c>
      <c r="AC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>
        <f>IF(COUNT(D156:V156)=0,"",MIN(D156:V156))</f>
        <v/>
      </c>
      <c r="X156" s="8">
        <f>IF(COUNT(D156:V156)=0,"",MEDIAN(D156:V156))</f>
        <v/>
      </c>
      <c r="Y156" s="8">
        <f>IF(COUNT(D156:V156)=0,"",MAX(D156:V156))</f>
        <v/>
      </c>
      <c r="Z156" s="9">
        <f>IF(OR(W156="",W156=0),"",(Y156-W156)/W156)</f>
        <v/>
      </c>
      <c r="AA156" s="7">
        <f>IF(COUNT(D156:V156)=0,"",INDEX($D$1:$V$1,MATCH(MIN(D156:V156),D156:V156,0)))</f>
        <v/>
      </c>
      <c r="AB156" s="8" t="n">
        <v>5692.31</v>
      </c>
      <c r="AC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>
        <f>IF(COUNT(D157:V157)=0,"",MIN(D157:V157))</f>
        <v/>
      </c>
      <c r="X157" s="8">
        <f>IF(COUNT(D157:V157)=0,"",MEDIAN(D157:V157))</f>
        <v/>
      </c>
      <c r="Y157" s="8">
        <f>IF(COUNT(D157:V157)=0,"",MAX(D157:V157))</f>
        <v/>
      </c>
      <c r="Z157" s="9">
        <f>IF(OR(W157="",W157=0),"",(Y157-W157)/W157)</f>
        <v/>
      </c>
      <c r="AA157" s="7">
        <f>IF(COUNT(D157:V157)=0,"",INDEX($D$1:$V$1,MATCH(MIN(D157:V157),D157:V157,0)))</f>
        <v/>
      </c>
      <c r="AB157" s="8" t="n">
        <v>556</v>
      </c>
      <c r="AC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>
        <f>IF(COUNT(D158:V158)=0,"",MIN(D158:V158))</f>
        <v/>
      </c>
      <c r="X158" s="8">
        <f>IF(COUNT(D158:V158)=0,"",MEDIAN(D158:V158))</f>
        <v/>
      </c>
      <c r="Y158" s="8">
        <f>IF(COUNT(D158:V158)=0,"",MAX(D158:V158))</f>
        <v/>
      </c>
      <c r="Z158" s="9">
        <f>IF(OR(W158="",W158=0),"",(Y158-W158)/W158)</f>
        <v/>
      </c>
      <c r="AA158" s="7">
        <f>IF(COUNT(D158:V158)=0,"",INDEX($D$1:$V$1,MATCH(MIN(D158:V158),D158:V158,0)))</f>
        <v/>
      </c>
      <c r="AB158" s="8" t="n">
        <v>673</v>
      </c>
      <c r="AC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>
        <f>IF(COUNT(D159:V159)=0,"",MIN(D159:V159))</f>
        <v/>
      </c>
      <c r="X159" s="8">
        <f>IF(COUNT(D159:V159)=0,"",MEDIAN(D159:V159))</f>
        <v/>
      </c>
      <c r="Y159" s="8">
        <f>IF(COUNT(D159:V159)=0,"",MAX(D159:V159))</f>
        <v/>
      </c>
      <c r="Z159" s="9">
        <f>IF(OR(W159="",W159=0),"",(Y159-W159)/W159)</f>
        <v/>
      </c>
      <c r="AA159" s="7">
        <f>IF(COUNT(D159:V159)=0,"",INDEX($D$1:$V$1,MATCH(MIN(D159:V159),D159:V159,0)))</f>
        <v/>
      </c>
      <c r="AB159" s="8" t="n">
        <v>778.95</v>
      </c>
      <c r="AC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>
        <f>IF(COUNT(D160:V160)=0,"",MIN(D160:V160))</f>
        <v/>
      </c>
      <c r="X160" s="8">
        <f>IF(COUNT(D160:V160)=0,"",MEDIAN(D160:V160))</f>
        <v/>
      </c>
      <c r="Y160" s="8">
        <f>IF(COUNT(D160:V160)=0,"",MAX(D160:V160))</f>
        <v/>
      </c>
      <c r="Z160" s="9">
        <f>IF(OR(W160="",W160=0),"",(Y160-W160)/W160)</f>
        <v/>
      </c>
      <c r="AA160" s="7">
        <f>IF(COUNT(D160:V160)=0,"",INDEX($D$1:$V$1,MATCH(MIN(D160:V160),D160:V160,0)))</f>
        <v/>
      </c>
      <c r="AB160" s="8" t="n">
        <v>892</v>
      </c>
      <c r="AC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>
        <f>IF(COUNT(D161:V161)=0,"",MIN(D161:V161))</f>
        <v/>
      </c>
      <c r="X161" s="8">
        <f>IF(COUNT(D161:V161)=0,"",MEDIAN(D161:V161))</f>
        <v/>
      </c>
      <c r="Y161" s="8">
        <f>IF(COUNT(D161:V161)=0,"",MAX(D161:V161))</f>
        <v/>
      </c>
      <c r="Z161" s="9">
        <f>IF(OR(W161="",W161=0),"",(Y161-W161)/W161)</f>
        <v/>
      </c>
      <c r="AA161" s="7">
        <f>IF(COUNT(D161:V161)=0,"",INDEX($D$1:$V$1,MATCH(MIN(D161:V161),D161:V161,0)))</f>
        <v/>
      </c>
      <c r="AB161" s="8" t="n">
        <v>2176.47</v>
      </c>
      <c r="AC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>
        <f>IF(COUNT(D162:V162)=0,"",MIN(D162:V162))</f>
        <v/>
      </c>
      <c r="X162" s="8">
        <f>IF(COUNT(D162:V162)=0,"",MEDIAN(D162:V162))</f>
        <v/>
      </c>
      <c r="Y162" s="8">
        <f>IF(COUNT(D162:V162)=0,"",MAX(D162:V162))</f>
        <v/>
      </c>
      <c r="Z162" s="9">
        <f>IF(OR(W162="",W162=0),"",(Y162-W162)/W162)</f>
        <v/>
      </c>
      <c r="AA162" s="7">
        <f>IF(COUNT(D162:V162)=0,"",INDEX($D$1:$V$1,MATCH(MIN(D162:V162),D162:V162,0)))</f>
        <v/>
      </c>
      <c r="AB162" s="8" t="n">
        <v>2642.86</v>
      </c>
      <c r="AC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>
        <f>IF(COUNT(D163:V163)=0,"",MIN(D163:V163))</f>
        <v/>
      </c>
      <c r="X163" s="8">
        <f>IF(COUNT(D163:V163)=0,"",MEDIAN(D163:V163))</f>
        <v/>
      </c>
      <c r="Y163" s="8">
        <f>IF(COUNT(D163:V163)=0,"",MAX(D163:V163))</f>
        <v/>
      </c>
      <c r="Z163" s="9">
        <f>IF(OR(W163="",W163=0),"",(Y163-W163)/W163)</f>
        <v/>
      </c>
      <c r="AA163" s="7">
        <f>IF(COUNT(D163:V163)=0,"",INDEX($D$1:$V$1,MATCH(MIN(D163:V163),D163:V163,0)))</f>
        <v/>
      </c>
      <c r="AB163" s="8" t="n">
        <v>3083.33</v>
      </c>
      <c r="AC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>
        <f>IF(COUNT(D164:V164)=0,"",MIN(D164:V164))</f>
        <v/>
      </c>
      <c r="X164" s="8">
        <f>IF(COUNT(D164:V164)=0,"",MEDIAN(D164:V164))</f>
        <v/>
      </c>
      <c r="Y164" s="8">
        <f>IF(COUNT(D164:V164)=0,"",MAX(D164:V164))</f>
        <v/>
      </c>
      <c r="Z164" s="9">
        <f>IF(OR(W164="",W164=0),"",(Y164-W164)/W164)</f>
        <v/>
      </c>
      <c r="AA164" s="7">
        <f>IF(COUNT(D164:V164)=0,"",INDEX($D$1:$V$1,MATCH(MIN(D164:V164),D164:V164,0)))</f>
        <v/>
      </c>
      <c r="AB164" s="8" t="n">
        <v>3476</v>
      </c>
      <c r="AC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>
        <f>IF(COUNT(D165:V165)=0,"",MIN(D165:V165))</f>
        <v/>
      </c>
      <c r="X165" s="8">
        <f>IF(COUNT(D165:V165)=0,"",MEDIAN(D165:V165))</f>
        <v/>
      </c>
      <c r="Y165" s="8">
        <f>IF(COUNT(D165:V165)=0,"",MAX(D165:V165))</f>
        <v/>
      </c>
      <c r="Z165" s="9">
        <f>IF(OR(W165="",W165=0),"",(Y165-W165)/W165)</f>
        <v/>
      </c>
      <c r="AA165" s="7">
        <f>IF(COUNT(D165:V165)=0,"",INDEX($D$1:$V$1,MATCH(MIN(D165:V165),D165:V165,0)))</f>
        <v/>
      </c>
      <c r="AB165" s="8" t="n">
        <v>1233</v>
      </c>
      <c r="AC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>
        <f>IF(COUNT(D166:V166)=0,"",MIN(D166:V166))</f>
        <v/>
      </c>
      <c r="X166" s="8">
        <f>IF(COUNT(D166:V166)=0,"",MEDIAN(D166:V166))</f>
        <v/>
      </c>
      <c r="Y166" s="8">
        <f>IF(COUNT(D166:V166)=0,"",MAX(D166:V166))</f>
        <v/>
      </c>
      <c r="Z166" s="9">
        <f>IF(OR(W166="",W166=0),"",(Y166-W166)/W166)</f>
        <v/>
      </c>
      <c r="AA166" s="7">
        <f>IF(COUNT(D166:V166)=0,"",INDEX($D$1:$V$1,MATCH(MIN(D166:V166),D166:V166,0)))</f>
        <v/>
      </c>
      <c r="AB166" s="8" t="n">
        <v>1460</v>
      </c>
      <c r="AC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>
        <f>IF(COUNT(D167:V167)=0,"",MIN(D167:V167))</f>
        <v/>
      </c>
      <c r="X167" s="8">
        <f>IF(COUNT(D167:V167)=0,"",MEDIAN(D167:V167))</f>
        <v/>
      </c>
      <c r="Y167" s="8">
        <f>IF(COUNT(D167:V167)=0,"",MAX(D167:V167))</f>
        <v/>
      </c>
      <c r="Z167" s="9">
        <f>IF(OR(W167="",W167=0),"",(Y167-W167)/W167)</f>
        <v/>
      </c>
      <c r="AA167" s="7">
        <f>IF(COUNT(D167:V167)=0,"",INDEX($D$1:$V$1,MATCH(MIN(D167:V167),D167:V167,0)))</f>
        <v/>
      </c>
      <c r="AB167" s="8" t="n">
        <v>1761.9</v>
      </c>
      <c r="AC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>
        <f>IF(COUNT(D168:V168)=0,"",MIN(D168:V168))</f>
        <v/>
      </c>
      <c r="X168" s="8">
        <f>IF(COUNT(D168:V168)=0,"",MEDIAN(D168:V168))</f>
        <v/>
      </c>
      <c r="Y168" s="8">
        <f>IF(COUNT(D168:V168)=0,"",MAX(D168:V168))</f>
        <v/>
      </c>
      <c r="Z168" s="9">
        <f>IF(OR(W168="",W168=0),"",(Y168-W168)/W168)</f>
        <v/>
      </c>
      <c r="AA168" s="7">
        <f>IF(COUNT(D168:V168)=0,"",INDEX($D$1:$V$1,MATCH(MIN(D168:V168),D168:V168,0)))</f>
        <v/>
      </c>
      <c r="AB168" s="8" t="n">
        <v>1973</v>
      </c>
      <c r="AC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>
        <f>IF(COUNT(D169:V169)=0,"",MIN(D169:V169))</f>
        <v/>
      </c>
      <c r="X169" s="8">
        <f>IF(COUNT(D169:V169)=0,"",MEDIAN(D169:V169))</f>
        <v/>
      </c>
      <c r="Y169" s="8">
        <f>IF(COUNT(D169:V169)=0,"",MAX(D169:V169))</f>
        <v/>
      </c>
      <c r="Z169" s="9">
        <f>IF(OR(W169="",W169=0),"",(Y169-W169)/W169)</f>
        <v/>
      </c>
      <c r="AA169" s="7">
        <f>IF(COUNT(D169:V169)=0,"",INDEX($D$1:$V$1,MATCH(MIN(D169:V169),D169:V169,0)))</f>
        <v/>
      </c>
      <c r="AB169" s="8" t="n">
        <v>312.24</v>
      </c>
      <c r="AC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>
        <f>IF(COUNT(D170:V170)=0,"",MIN(D170:V170))</f>
        <v/>
      </c>
      <c r="X170" s="8">
        <f>IF(COUNT(D170:V170)=0,"",MEDIAN(D170:V170))</f>
        <v/>
      </c>
      <c r="Y170" s="8">
        <f>IF(COUNT(D170:V170)=0,"",MAX(D170:V170))</f>
        <v/>
      </c>
      <c r="Z170" s="9">
        <f>IF(OR(W170="",W170=0),"",(Y170-W170)/W170)</f>
        <v/>
      </c>
      <c r="AA170" s="7">
        <f>IF(COUNT(D170:V170)=0,"",INDEX($D$1:$V$1,MATCH(MIN(D170:V170),D170:V170,0)))</f>
        <v/>
      </c>
      <c r="AB170" s="8" t="n">
        <v>378</v>
      </c>
      <c r="AC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>
        <f>IF(COUNT(D171:V171)=0,"",MIN(D171:V171))</f>
        <v/>
      </c>
      <c r="X171" s="8">
        <f>IF(COUNT(D171:V171)=0,"",MEDIAN(D171:V171))</f>
        <v/>
      </c>
      <c r="Y171" s="8">
        <f>IF(COUNT(D171:V171)=0,"",MAX(D171:V171))</f>
        <v/>
      </c>
      <c r="Z171" s="9">
        <f>IF(OR(W171="",W171=0),"",(Y171-W171)/W171)</f>
        <v/>
      </c>
      <c r="AA171" s="7">
        <f>IF(COUNT(D171:V171)=0,"",INDEX($D$1:$V$1,MATCH(MIN(D171:V171),D171:V171,0)))</f>
        <v/>
      </c>
      <c r="AB171" s="8" t="n">
        <v>440.48</v>
      </c>
      <c r="AC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>
        <f>IF(COUNT(D172:V172)=0,"",MIN(D172:V172))</f>
        <v/>
      </c>
      <c r="X172" s="8">
        <f>IF(COUNT(D172:V172)=0,"",MEDIAN(D172:V172))</f>
        <v/>
      </c>
      <c r="Y172" s="8">
        <f>IF(COUNT(D172:V172)=0,"",MAX(D172:V172))</f>
        <v/>
      </c>
      <c r="Z172" s="9">
        <f>IF(OR(W172="",W172=0),"",(Y172-W172)/W172)</f>
        <v/>
      </c>
      <c r="AA172" s="7">
        <f>IF(COUNT(D172:V172)=0,"",INDEX($D$1:$V$1,MATCH(MIN(D172:V172),D172:V172,0)))</f>
        <v/>
      </c>
      <c r="AB172" s="8" t="n">
        <v>497</v>
      </c>
      <c r="AC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>
        <f>IF(COUNT(D173:V173)=0,"",MIN(D173:V173))</f>
        <v/>
      </c>
      <c r="X173" s="8">
        <f>IF(COUNT(D173:V173)=0,"",MEDIAN(D173:V173))</f>
        <v/>
      </c>
      <c r="Y173" s="8">
        <f>IF(COUNT(D173:V173)=0,"",MAX(D173:V173))</f>
        <v/>
      </c>
      <c r="Z173" s="9">
        <f>IF(OR(W173="",W173=0),"",(Y173-W173)/W173)</f>
        <v/>
      </c>
      <c r="AA173" s="7">
        <f>IF(COUNT(D173:V173)=0,"",INDEX($D$1:$V$1,MATCH(MIN(D173:V173),D173:V173,0)))</f>
        <v/>
      </c>
      <c r="AB173" s="8" t="n">
        <v>61.12</v>
      </c>
      <c r="AC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>
        <f>IF(COUNT(D174:V174)=0,"",MIN(D174:V174))</f>
        <v/>
      </c>
      <c r="X174" s="8">
        <f>IF(COUNT(D174:V174)=0,"",MEDIAN(D174:V174))</f>
        <v/>
      </c>
      <c r="Y174" s="8">
        <f>IF(COUNT(D174:V174)=0,"",MAX(D174:V174))</f>
        <v/>
      </c>
      <c r="Z174" s="9">
        <f>IF(OR(W174="",W174=0),"",(Y174-W174)/W174)</f>
        <v/>
      </c>
      <c r="AA174" s="7">
        <f>IF(COUNT(D174:V174)=0,"",INDEX($D$1:$V$1,MATCH(MIN(D174:V174),D174:V174,0)))</f>
        <v/>
      </c>
      <c r="AB174" s="8" t="n">
        <v>61.12</v>
      </c>
      <c r="AC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>
        <f>IF(COUNT(D175:V175)=0,"",MIN(D175:V175))</f>
        <v/>
      </c>
      <c r="X175" s="8">
        <f>IF(COUNT(D175:V175)=0,"",MEDIAN(D175:V175))</f>
        <v/>
      </c>
      <c r="Y175" s="8">
        <f>IF(COUNT(D175:V175)=0,"",MAX(D175:V175))</f>
        <v/>
      </c>
      <c r="Z175" s="9">
        <f>IF(OR(W175="",W175=0),"",(Y175-W175)/W175)</f>
        <v/>
      </c>
      <c r="AA175" s="7">
        <f>IF(COUNT(D175:V175)=0,"",INDEX($D$1:$V$1,MATCH(MIN(D175:V175),D175:V175,0)))</f>
        <v/>
      </c>
      <c r="AB175" s="8" t="n">
        <v>56.59</v>
      </c>
      <c r="AC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>
        <f>IF(COUNT(D176:V176)=0,"",MIN(D176:V176))</f>
        <v/>
      </c>
      <c r="X176" s="8">
        <f>IF(COUNT(D176:V176)=0,"",MEDIAN(D176:V176))</f>
        <v/>
      </c>
      <c r="Y176" s="8">
        <f>IF(COUNT(D176:V176)=0,"",MAX(D176:V176))</f>
        <v/>
      </c>
      <c r="Z176" s="9">
        <f>IF(OR(W176="",W176=0),"",(Y176-W176)/W176)</f>
        <v/>
      </c>
      <c r="AA176" s="7">
        <f>IF(COUNT(D176:V176)=0,"",INDEX($D$1:$V$1,MATCH(MIN(D176:V176),D176:V176,0)))</f>
        <v/>
      </c>
      <c r="AB176" s="8" t="n">
        <v>30.48</v>
      </c>
      <c r="AC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>
        <f>IF(COUNT(D177:V177)=0,"",MIN(D177:V177))</f>
        <v/>
      </c>
      <c r="X177" s="8">
        <f>IF(COUNT(D177:V177)=0,"",MEDIAN(D177:V177))</f>
        <v/>
      </c>
      <c r="Y177" s="8">
        <f>IF(COUNT(D177:V177)=0,"",MAX(D177:V177))</f>
        <v/>
      </c>
      <c r="Z177" s="9">
        <f>IF(OR(W177="",W177=0),"",(Y177-W177)/W177)</f>
        <v/>
      </c>
      <c r="AA177" s="7">
        <f>IF(COUNT(D177:V177)=0,"",INDEX($D$1:$V$1,MATCH(MIN(D177:V177),D177:V177,0)))</f>
        <v/>
      </c>
      <c r="AB177" s="8" t="n">
        <v>45.71</v>
      </c>
      <c r="AC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>
        <f>IF(COUNT(D178:V178)=0,"",MIN(D178:V178))</f>
        <v/>
      </c>
      <c r="X178" s="8">
        <f>IF(COUNT(D178:V178)=0,"",MEDIAN(D178:V178))</f>
        <v/>
      </c>
      <c r="Y178" s="8">
        <f>IF(COUNT(D178:V178)=0,"",MAX(D178:V178))</f>
        <v/>
      </c>
      <c r="Z178" s="9">
        <f>IF(OR(W178="",W178=0),"",(Y178-W178)/W178)</f>
        <v/>
      </c>
      <c r="AA178" s="7">
        <f>IF(COUNT(D178:V178)=0,"",INDEX($D$1:$V$1,MATCH(MIN(D178:V178),D178:V178,0)))</f>
        <v/>
      </c>
      <c r="AB178" s="8" t="n">
        <v>54.43</v>
      </c>
      <c r="AC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>
        <f>IF(COUNT(D179:V179)=0,"",MIN(D179:V179))</f>
        <v/>
      </c>
      <c r="X179" s="8">
        <f>IF(COUNT(D179:V179)=0,"",MEDIAN(D179:V179))</f>
        <v/>
      </c>
      <c r="Y179" s="8">
        <f>IF(COUNT(D179:V179)=0,"",MAX(D179:V179))</f>
        <v/>
      </c>
      <c r="Z179" s="9">
        <f>IF(OR(W179="",W179=0),"",(Y179-W179)/W179)</f>
        <v/>
      </c>
      <c r="AA179" s="7">
        <f>IF(COUNT(D179:V179)=0,"",INDEX($D$1:$V$1,MATCH(MIN(D179:V179),D179:V179,0)))</f>
        <v/>
      </c>
      <c r="AB179" s="8" t="n">
        <v>63.13</v>
      </c>
      <c r="AC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>
        <f>IF(COUNT(D180:V180)=0,"",MIN(D180:V180))</f>
        <v/>
      </c>
      <c r="X180" s="8">
        <f>IF(COUNT(D180:V180)=0,"",MEDIAN(D180:V180))</f>
        <v/>
      </c>
      <c r="Y180" s="8">
        <f>IF(COUNT(D180:V180)=0,"",MAX(D180:V180))</f>
        <v/>
      </c>
      <c r="Z180" s="9">
        <f>IF(OR(W180="",W180=0),"",(Y180-W180)/W180)</f>
        <v/>
      </c>
      <c r="AA180" s="7">
        <f>IF(COUNT(D180:V180)=0,"",INDEX($D$1:$V$1,MATCH(MIN(D180:V180),D180:V180,0)))</f>
        <v/>
      </c>
      <c r="AB180" s="8" t="n">
        <v>70.75</v>
      </c>
      <c r="AC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>
        <f>IF(COUNT(D181:V181)=0,"",MIN(D181:V181))</f>
        <v/>
      </c>
      <c r="X181" s="8">
        <f>IF(COUNT(D181:V181)=0,"",MEDIAN(D181:V181))</f>
        <v/>
      </c>
      <c r="Y181" s="8">
        <f>IF(COUNT(D181:V181)=0,"",MAX(D181:V181))</f>
        <v/>
      </c>
      <c r="Z181" s="9">
        <f>IF(OR(W181="",W181=0),"",(Y181-W181)/W181)</f>
        <v/>
      </c>
      <c r="AA181" s="7">
        <f>IF(COUNT(D181:V181)=0,"",INDEX($D$1:$V$1,MATCH(MIN(D181:V181),D181:V181,0)))</f>
        <v/>
      </c>
      <c r="AB181" s="8" t="n">
        <v>78.36</v>
      </c>
      <c r="AC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>
        <f>IF(COUNT(D182:V182)=0,"",MIN(D182:V182))</f>
        <v/>
      </c>
      <c r="X182" s="8">
        <f>IF(COUNT(D182:V182)=0,"",MEDIAN(D182:V182))</f>
        <v/>
      </c>
      <c r="Y182" s="8">
        <f>IF(COUNT(D182:V182)=0,"",MAX(D182:V182))</f>
        <v/>
      </c>
      <c r="Z182" s="9">
        <f>IF(OR(W182="",W182=0),"",(Y182-W182)/W182)</f>
        <v/>
      </c>
      <c r="AA182" s="7">
        <f>IF(COUNT(D182:V182)=0,"",INDEX($D$1:$V$1,MATCH(MIN(D182:V182),D182:V182,0)))</f>
        <v/>
      </c>
      <c r="AB182" s="8" t="n">
        <v>228.57</v>
      </c>
      <c r="AC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>
        <f>IF(COUNT(D183:V183)=0,"",MIN(D183:V183))</f>
        <v/>
      </c>
      <c r="X183" s="8">
        <f>IF(COUNT(D183:V183)=0,"",MEDIAN(D183:V183))</f>
        <v/>
      </c>
      <c r="Y183" s="8">
        <f>IF(COUNT(D183:V183)=0,"",MAX(D183:V183))</f>
        <v/>
      </c>
      <c r="Z183" s="9">
        <f>IF(OR(W183="",W183=0),"",(Y183-W183)/W183)</f>
        <v/>
      </c>
      <c r="AA183" s="7">
        <f>IF(COUNT(D183:V183)=0,"",INDEX($D$1:$V$1,MATCH(MIN(D183:V183),D183:V183,0)))</f>
        <v/>
      </c>
      <c r="AB183" s="8" t="n">
        <v>434.26</v>
      </c>
      <c r="AC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>
        <f>IF(COUNT(D184:V184)=0,"",MIN(D184:V184))</f>
        <v/>
      </c>
      <c r="X184" s="8">
        <f>IF(COUNT(D184:V184)=0,"",MEDIAN(D184:V184))</f>
        <v/>
      </c>
      <c r="Y184" s="8">
        <f>IF(COUNT(D184:V184)=0,"",MAX(D184:V184))</f>
        <v/>
      </c>
      <c r="Z184" s="9">
        <f>IF(OR(W184="",W184=0),"",(Y184-W184)/W184)</f>
        <v/>
      </c>
      <c r="AA184" s="7">
        <f>IF(COUNT(D184:V184)=0,"",INDEX($D$1:$V$1,MATCH(MIN(D184:V184),D184:V184,0)))</f>
        <v/>
      </c>
      <c r="AB184" s="8" t="n">
        <v>697.6799999999999</v>
      </c>
      <c r="AC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>
        <f>IF(COUNT(D185:V185)=0,"",MIN(D185:V185))</f>
        <v/>
      </c>
      <c r="X185" s="8">
        <f>IF(COUNT(D185:V185)=0,"",MEDIAN(D185:V185))</f>
        <v/>
      </c>
      <c r="Y185" s="8">
        <f>IF(COUNT(D185:V185)=0,"",MAX(D185:V185))</f>
        <v/>
      </c>
      <c r="Z185" s="9">
        <f>IF(OR(W185="",W185=0),"",(Y185-W185)/W185)</f>
        <v/>
      </c>
      <c r="AA185" s="7">
        <f>IF(COUNT(D185:V185)=0,"",INDEX($D$1:$V$1,MATCH(MIN(D185:V185),D185:V185,0)))</f>
        <v/>
      </c>
      <c r="AB185" s="8" t="n">
        <v>854.4</v>
      </c>
      <c r="AC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>
        <f>IF(COUNT(D186:V186)=0,"",MIN(D186:V186))</f>
        <v/>
      </c>
      <c r="X186" s="8">
        <f>IF(COUNT(D186:V186)=0,"",MEDIAN(D186:V186))</f>
        <v/>
      </c>
      <c r="Y186" s="8">
        <f>IF(COUNT(D186:V186)=0,"",MAX(D186:V186))</f>
        <v/>
      </c>
      <c r="Z186" s="9">
        <f>IF(OR(W186="",W186=0),"",(Y186-W186)/W186)</f>
        <v/>
      </c>
      <c r="AA186" s="7">
        <f>IF(COUNT(D186:V186)=0,"",INDEX($D$1:$V$1,MATCH(MIN(D186:V186),D186:V186,0)))</f>
        <v/>
      </c>
      <c r="AB186" s="8" t="n">
        <v>1066.64</v>
      </c>
      <c r="AC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>
        <f>IF(COUNT(D187:V187)=0,"",MIN(D187:V187))</f>
        <v/>
      </c>
      <c r="X187" s="8">
        <f>IF(COUNT(D187:V187)=0,"",MEDIAN(D187:V187))</f>
        <v/>
      </c>
      <c r="Y187" s="8">
        <f>IF(COUNT(D187:V187)=0,"",MAX(D187:V187))</f>
        <v/>
      </c>
      <c r="Z187" s="9">
        <f>IF(OR(W187="",W187=0),"",(Y187-W187)/W187)</f>
        <v/>
      </c>
      <c r="AA187" s="7">
        <f>IF(COUNT(D187:V187)=0,"",INDEX($D$1:$V$1,MATCH(MIN(D187:V187),D187:V187,0)))</f>
        <v/>
      </c>
      <c r="AB187" s="8" t="n">
        <v>2488.96</v>
      </c>
      <c r="AC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>
        <f>IF(COUNT(D188:V188)=0,"",MIN(D188:V188))</f>
        <v/>
      </c>
      <c r="X188" s="8">
        <f>IF(COUNT(D188:V188)=0,"",MEDIAN(D188:V188))</f>
        <v/>
      </c>
      <c r="Y188" s="8">
        <f>IF(COUNT(D188:V188)=0,"",MAX(D188:V188))</f>
        <v/>
      </c>
      <c r="Z188" s="9">
        <f>IF(OR(W188="",W188=0),"",(Y188-W188)/W188)</f>
        <v/>
      </c>
      <c r="AA188" s="7">
        <f>IF(COUNT(D188:V188)=0,"",INDEX($D$1:$V$1,MATCH(MIN(D188:V188),D188:V188,0)))</f>
        <v/>
      </c>
      <c r="AB188" s="8" t="n">
        <v>619.63</v>
      </c>
      <c r="AC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>
        <f>IF(COUNT(D189:V189)=0,"",MIN(D189:V189))</f>
        <v/>
      </c>
      <c r="X189" s="8">
        <f>IF(COUNT(D189:V189)=0,"",MEDIAN(D189:V189))</f>
        <v/>
      </c>
      <c r="Y189" s="8">
        <f>IF(COUNT(D189:V189)=0,"",MAX(D189:V189))</f>
        <v/>
      </c>
      <c r="Z189" s="9">
        <f>IF(OR(W189="",W189=0),"",(Y189-W189)/W189)</f>
        <v/>
      </c>
      <c r="AA189" s="7">
        <f>IF(COUNT(D189:V189)=0,"",INDEX($D$1:$V$1,MATCH(MIN(D189:V189),D189:V189,0)))</f>
        <v/>
      </c>
      <c r="AB189" s="8" t="n">
        <v>1425</v>
      </c>
      <c r="AC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>
        <f>IF(COUNT(D190:V190)=0,"",MIN(D190:V190))</f>
        <v/>
      </c>
      <c r="X190" s="8">
        <f>IF(COUNT(D190:V190)=0,"",MEDIAN(D190:V190))</f>
        <v/>
      </c>
      <c r="Y190" s="8">
        <f>IF(COUNT(D190:V190)=0,"",MAX(D190:V190))</f>
        <v/>
      </c>
      <c r="Z190" s="9">
        <f>IF(OR(W190="",W190=0),"",(Y190-W190)/W190)</f>
        <v/>
      </c>
      <c r="AA190" s="7">
        <f>IF(COUNT(D190:V190)=0,"",INDEX($D$1:$V$1,MATCH(MIN(D190:V190),D190:V190,0)))</f>
        <v/>
      </c>
      <c r="AB190" s="8" t="n">
        <v>310.01</v>
      </c>
      <c r="AC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>
        <f>IF(COUNT(D191:V191)=0,"",MIN(D191:V191))</f>
        <v/>
      </c>
      <c r="X191" s="8">
        <f>IF(COUNT(D191:V191)=0,"",MEDIAN(D191:V191))</f>
        <v/>
      </c>
      <c r="Y191" s="8">
        <f>IF(COUNT(D191:V191)=0,"",MAX(D191:V191))</f>
        <v/>
      </c>
      <c r="Z191" s="9">
        <f>IF(OR(W191="",W191=0),"",(Y191-W191)/W191)</f>
        <v/>
      </c>
      <c r="AA191" s="7">
        <f>IF(COUNT(D191:V191)=0,"",INDEX($D$1:$V$1,MATCH(MIN(D191:V191),D191:V191,0)))</f>
        <v/>
      </c>
      <c r="AB191" s="8" t="n">
        <v>635.01</v>
      </c>
      <c r="AC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>
        <f>IF(COUNT(D192:V192)=0,"",MIN(D192:V192))</f>
        <v/>
      </c>
      <c r="X192" s="8">
        <f>IF(COUNT(D192:V192)=0,"",MEDIAN(D192:V192))</f>
        <v/>
      </c>
      <c r="Y192" s="8">
        <f>IF(COUNT(D192:V192)=0,"",MAX(D192:V192))</f>
        <v/>
      </c>
      <c r="Z192" s="9">
        <f>IF(OR(W192="",W192=0),"",(Y192-W192)/W192)</f>
        <v/>
      </c>
      <c r="AA192" s="7">
        <f>IF(COUNT(D192:V192)=0,"",INDEX($D$1:$V$1,MATCH(MIN(D192:V192),D192:V192,0)))</f>
        <v/>
      </c>
      <c r="AB192" s="8" t="n">
        <v>1010</v>
      </c>
      <c r="AC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/>
      <c r="L193" s="8" t="n">
        <v>2470</v>
      </c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>
        <f>IF(COUNT(D193:V193)=0,"",MIN(D193:V193))</f>
        <v/>
      </c>
      <c r="X193" s="8">
        <f>IF(COUNT(D193:V193)=0,"",MEDIAN(D193:V193))</f>
        <v/>
      </c>
      <c r="Y193" s="8">
        <f>IF(COUNT(D193:V193)=0,"",MAX(D193:V193))</f>
        <v/>
      </c>
      <c r="Z193" s="9">
        <f>IF(OR(W193="",W193=0),"",(Y193-W193)/W193)</f>
        <v/>
      </c>
      <c r="AA193" s="7">
        <f>IF(COUNT(D193:V193)=0,"",INDEX($D$1:$V$1,MATCH(MIN(D193:V193),D193:V193,0)))</f>
        <v/>
      </c>
      <c r="AB193" s="8" t="n">
        <v>2733</v>
      </c>
      <c r="AC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>
        <f>IF(COUNT(D194:V194)=0,"",MIN(D194:V194))</f>
        <v/>
      </c>
      <c r="X194" s="8">
        <f>IF(COUNT(D194:V194)=0,"",MEDIAN(D194:V194))</f>
        <v/>
      </c>
      <c r="Y194" s="8">
        <f>IF(COUNT(D194:V194)=0,"",MAX(D194:V194))</f>
        <v/>
      </c>
      <c r="Z194" s="9">
        <f>IF(OR(W194="",W194=0),"",(Y194-W194)/W194)</f>
        <v/>
      </c>
      <c r="AA194" s="7">
        <f>IF(COUNT(D194:V194)=0,"",INDEX($D$1:$V$1,MATCH(MIN(D194:V194),D194:V194,0)))</f>
        <v/>
      </c>
      <c r="AB194" s="8" t="n">
        <v>430</v>
      </c>
      <c r="AC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>
        <f>IF(COUNT(D195:V195)=0,"",MIN(D195:V195))</f>
        <v/>
      </c>
      <c r="X195" s="8">
        <f>IF(COUNT(D195:V195)=0,"",MEDIAN(D195:V195))</f>
        <v/>
      </c>
      <c r="Y195" s="8">
        <f>IF(COUNT(D195:V195)=0,"",MAX(D195:V195))</f>
        <v/>
      </c>
      <c r="Z195" s="9">
        <f>IF(OR(W195="",W195=0),"",(Y195-W195)/W195)</f>
        <v/>
      </c>
      <c r="AA195" s="7">
        <f>IF(COUNT(D195:V195)=0,"",INDEX($D$1:$V$1,MATCH(MIN(D195:V195),D195:V195,0)))</f>
        <v/>
      </c>
      <c r="AB195" s="8" t="n">
        <v>501</v>
      </c>
      <c r="AC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>
        <f>IF(COUNT(D196:V196)=0,"",MIN(D196:V196))</f>
        <v/>
      </c>
      <c r="X196" s="8">
        <f>IF(COUNT(D196:V196)=0,"",MEDIAN(D196:V196))</f>
        <v/>
      </c>
      <c r="Y196" s="8">
        <f>IF(COUNT(D196:V196)=0,"",MAX(D196:V196))</f>
        <v/>
      </c>
      <c r="Z196" s="9">
        <f>IF(OR(W196="",W196=0),"",(Y196-W196)/W196)</f>
        <v/>
      </c>
      <c r="AA196" s="7">
        <f>IF(COUNT(D196:V196)=0,"",INDEX($D$1:$V$1,MATCH(MIN(D196:V196),D196:V196,0)))</f>
        <v/>
      </c>
      <c r="AB196" s="8" t="n">
        <v>1235</v>
      </c>
      <c r="AC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/>
      <c r="L197" s="8" t="n">
        <v>849.6</v>
      </c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>
        <f>IF(COUNT(D197:V197)=0,"",MIN(D197:V197))</f>
        <v/>
      </c>
      <c r="X197" s="8">
        <f>IF(COUNT(D197:V197)=0,"",MEDIAN(D197:V197))</f>
        <v/>
      </c>
      <c r="Y197" s="8">
        <f>IF(COUNT(D197:V197)=0,"",MAX(D197:V197))</f>
        <v/>
      </c>
      <c r="Z197" s="9">
        <f>IF(OR(W197="",W197=0),"",(Y197-W197)/W197)</f>
        <v/>
      </c>
      <c r="AA197" s="7">
        <f>IF(COUNT(D197:V197)=0,"",INDEX($D$1:$V$1,MATCH(MIN(D197:V197),D197:V197,0)))</f>
        <v/>
      </c>
      <c r="AB197" s="8" t="n">
        <v>809.8</v>
      </c>
      <c r="AC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>
        <f>IF(COUNT(D198:V198)=0,"",MIN(D198:V198))</f>
        <v/>
      </c>
      <c r="X198" s="8">
        <f>IF(COUNT(D198:V198)=0,"",MEDIAN(D198:V198))</f>
        <v/>
      </c>
      <c r="Y198" s="8">
        <f>IF(COUNT(D198:V198)=0,"",MAX(D198:V198))</f>
        <v/>
      </c>
      <c r="Z198" s="9">
        <f>IF(OR(W198="",W198=0),"",(Y198-W198)/W198)</f>
        <v/>
      </c>
      <c r="AA198" s="7">
        <f>IF(COUNT(D198:V198)=0,"",INDEX($D$1:$V$1,MATCH(MIN(D198:V198),D198:V198,0)))</f>
        <v/>
      </c>
      <c r="AB198" s="8" t="n">
        <v>450</v>
      </c>
      <c r="AC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>
        <f>IF(COUNT(D199:V199)=0,"",MIN(D199:V199))</f>
        <v/>
      </c>
      <c r="X199" s="8">
        <f>IF(COUNT(D199:V199)=0,"",MEDIAN(D199:V199))</f>
        <v/>
      </c>
      <c r="Y199" s="8">
        <f>IF(COUNT(D199:V199)=0,"",MAX(D199:V199))</f>
        <v/>
      </c>
      <c r="Z199" s="9">
        <f>IF(OR(W199="",W199=0),"",(Y199-W199)/W199)</f>
        <v/>
      </c>
      <c r="AA199" s="7">
        <f>IF(COUNT(D199:V199)=0,"",INDEX($D$1:$V$1,MATCH(MIN(D199:V199),D199:V199,0)))</f>
        <v/>
      </c>
      <c r="AB199" s="8" t="n">
        <v>2121</v>
      </c>
      <c r="AC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>
        <f>IF(COUNT(D200:V200)=0,"",MIN(D200:V200))</f>
        <v/>
      </c>
      <c r="X200" s="8">
        <f>IF(COUNT(D200:V200)=0,"",MEDIAN(D200:V200))</f>
        <v/>
      </c>
      <c r="Y200" s="8">
        <f>IF(COUNT(D200:V200)=0,"",MAX(D200:V200))</f>
        <v/>
      </c>
      <c r="Z200" s="9">
        <f>IF(OR(W200="",W200=0),"",(Y200-W200)/W200)</f>
        <v/>
      </c>
      <c r="AA200" s="7">
        <f>IF(COUNT(D200:V200)=0,"",INDEX($D$1:$V$1,MATCH(MIN(D200:V200),D200:V200,0)))</f>
        <v/>
      </c>
      <c r="AB200" s="8" t="n">
        <v>1249</v>
      </c>
      <c r="AC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>
        <f>IF(COUNT(D201:V201)=0,"",MIN(D201:V201))</f>
        <v/>
      </c>
      <c r="X201" s="8">
        <f>IF(COUNT(D201:V201)=0,"",MEDIAN(D201:V201))</f>
        <v/>
      </c>
      <c r="Y201" s="8">
        <f>IF(COUNT(D201:V201)=0,"",MAX(D201:V201))</f>
        <v/>
      </c>
      <c r="Z201" s="9">
        <f>IF(OR(W201="",W201=0),"",(Y201-W201)/W201)</f>
        <v/>
      </c>
      <c r="AA201" s="7">
        <f>IF(COUNT(D201:V201)=0,"",INDEX($D$1:$V$1,MATCH(MIN(D201:V201),D201:V201,0)))</f>
        <v/>
      </c>
      <c r="AB201" s="8" t="n">
        <v>705</v>
      </c>
      <c r="AC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>
        <f>IF(COUNT(D202:V202)=0,"",MIN(D202:V202))</f>
        <v/>
      </c>
      <c r="X202" s="8">
        <f>IF(COUNT(D202:V202)=0,"",MEDIAN(D202:V202))</f>
        <v/>
      </c>
      <c r="Y202" s="8">
        <f>IF(COUNT(D202:V202)=0,"",MAX(D202:V202))</f>
        <v/>
      </c>
      <c r="Z202" s="9">
        <f>IF(OR(W202="",W202=0),"",(Y202-W202)/W202)</f>
        <v/>
      </c>
      <c r="AA202" s="7">
        <f>IF(COUNT(D202:V202)=0,"",INDEX($D$1:$V$1,MATCH(MIN(D202:V202),D202:V202,0)))</f>
        <v/>
      </c>
      <c r="AB202" s="8" t="n">
        <v>875</v>
      </c>
      <c r="AC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>
        <f>IF(COUNT(D203:V203)=0,"",MIN(D203:V203))</f>
        <v/>
      </c>
      <c r="X203" s="8">
        <f>IF(COUNT(D203:V203)=0,"",MEDIAN(D203:V203))</f>
        <v/>
      </c>
      <c r="Y203" s="8">
        <f>IF(COUNT(D203:V203)=0,"",MAX(D203:V203))</f>
        <v/>
      </c>
      <c r="Z203" s="9">
        <f>IF(OR(W203="",W203=0),"",(Y203-W203)/W203)</f>
        <v/>
      </c>
      <c r="AA203" s="7">
        <f>IF(COUNT(D203:V203)=0,"",INDEX($D$1:$V$1,MATCH(MIN(D203:V203),D203:V203,0)))</f>
        <v/>
      </c>
      <c r="AB203" s="8" t="n">
        <v>1030</v>
      </c>
      <c r="AC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>
        <f>IF(COUNT(D204:V204)=0,"",MIN(D204:V204))</f>
        <v/>
      </c>
      <c r="X204" s="8">
        <f>IF(COUNT(D204:V204)=0,"",MEDIAN(D204:V204))</f>
        <v/>
      </c>
      <c r="Y204" s="8">
        <f>IF(COUNT(D204:V204)=0,"",MAX(D204:V204))</f>
        <v/>
      </c>
      <c r="Z204" s="9">
        <f>IF(OR(W204="",W204=0),"",(Y204-W204)/W204)</f>
        <v/>
      </c>
      <c r="AA204" s="7">
        <f>IF(COUNT(D204:V204)=0,"",INDEX($D$1:$V$1,MATCH(MIN(D204:V204),D204:V204,0)))</f>
        <v/>
      </c>
      <c r="AB204" s="8" t="n">
        <v>875</v>
      </c>
      <c r="AC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>
        <v>1735</v>
      </c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>
        <f>IF(COUNT(D205:V205)=0,"",MIN(D205:V205))</f>
        <v/>
      </c>
      <c r="X205" s="8">
        <f>IF(COUNT(D205:V205)=0,"",MEDIAN(D205:V205))</f>
        <v/>
      </c>
      <c r="Y205" s="8">
        <f>IF(COUNT(D205:V205)=0,"",MAX(D205:V205))</f>
        <v/>
      </c>
      <c r="Z205" s="9">
        <f>IF(OR(W205="",W205=0),"",(Y205-W205)/W205)</f>
        <v/>
      </c>
      <c r="AA205" s="7">
        <f>IF(COUNT(D205:V205)=0,"",INDEX($D$1:$V$1,MATCH(MIN(D205:V205),D205:V205,0)))</f>
        <v/>
      </c>
      <c r="AB205" s="8" t="n">
        <v>1735</v>
      </c>
      <c r="AC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825</v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>
        <f>IF(COUNT(D206:V206)=0,"",MIN(D206:V206))</f>
        <v/>
      </c>
      <c r="X206" s="8">
        <f>IF(COUNT(D206:V206)=0,"",MEDIAN(D206:V206))</f>
        <v/>
      </c>
      <c r="Y206" s="8">
        <f>IF(COUNT(D206:V206)=0,"",MAX(D206:V206))</f>
        <v/>
      </c>
      <c r="Z206" s="9">
        <f>IF(OR(W206="",W206=0),"",(Y206-W206)/W206)</f>
        <v/>
      </c>
      <c r="AA206" s="7">
        <f>IF(COUNT(D206:V206)=0,"",INDEX($D$1:$V$1,MATCH(MIN(D206:V206),D206:V206,0)))</f>
        <v/>
      </c>
      <c r="AB206" s="8" t="n">
        <v>825</v>
      </c>
      <c r="AC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780</v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>
        <f>IF(COUNT(D207:V207)=0,"",MIN(D207:V207))</f>
        <v/>
      </c>
      <c r="X207" s="8">
        <f>IF(COUNT(D207:V207)=0,"",MEDIAN(D207:V207))</f>
        <v/>
      </c>
      <c r="Y207" s="8">
        <f>IF(COUNT(D207:V207)=0,"",MAX(D207:V207))</f>
        <v/>
      </c>
      <c r="Z207" s="9">
        <f>IF(OR(W207="",W207=0),"",(Y207-W207)/W207)</f>
        <v/>
      </c>
      <c r="AA207" s="7">
        <f>IF(COUNT(D207:V207)=0,"",INDEX($D$1:$V$1,MATCH(MIN(D207:V207),D207:V207,0)))</f>
        <v/>
      </c>
      <c r="AB207" s="8" t="n">
        <v>780</v>
      </c>
      <c r="AC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475</v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>
        <f>IF(COUNT(D208:V208)=0,"",MIN(D208:V208))</f>
        <v/>
      </c>
      <c r="X208" s="8">
        <f>IF(COUNT(D208:V208)=0,"",MEDIAN(D208:V208))</f>
        <v/>
      </c>
      <c r="Y208" s="8">
        <f>IF(COUNT(D208:V208)=0,"",MAX(D208:V208))</f>
        <v/>
      </c>
      <c r="Z208" s="9">
        <f>IF(OR(W208="",W208=0),"",(Y208-W208)/W208)</f>
        <v/>
      </c>
      <c r="AA208" s="7">
        <f>IF(COUNT(D208:V208)=0,"",INDEX($D$1:$V$1,MATCH(MIN(D208:V208),D208:V208,0)))</f>
        <v/>
      </c>
      <c r="AB208" s="8" t="n">
        <v>475</v>
      </c>
      <c r="AC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1115</v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>
        <f>IF(COUNT(D209:V209)=0,"",MIN(D209:V209))</f>
        <v/>
      </c>
      <c r="X209" s="8">
        <f>IF(COUNT(D209:V209)=0,"",MEDIAN(D209:V209))</f>
        <v/>
      </c>
      <c r="Y209" s="8">
        <f>IF(COUNT(D209:V209)=0,"",MAX(D209:V209))</f>
        <v/>
      </c>
      <c r="Z209" s="9">
        <f>IF(OR(W209="",W209=0),"",(Y209-W209)/W209)</f>
        <v/>
      </c>
      <c r="AA209" s="7">
        <f>IF(COUNT(D209:V209)=0,"",INDEX($D$1:$V$1,MATCH(MIN(D209:V209),D209:V209,0)))</f>
        <v/>
      </c>
      <c r="AB209" s="8" t="n">
        <v>1180</v>
      </c>
      <c r="AC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/>
      <c r="K210" s="8" t="n">
        <v>1995</v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>
        <f>IF(COUNT(D210:V210)=0,"",MIN(D210:V210))</f>
        <v/>
      </c>
      <c r="X210" s="8">
        <f>IF(COUNT(D210:V210)=0,"",MEDIAN(D210:V210))</f>
        <v/>
      </c>
      <c r="Y210" s="8">
        <f>IF(COUNT(D210:V210)=0,"",MAX(D210:V210))</f>
        <v/>
      </c>
      <c r="Z210" s="9">
        <f>IF(OR(W210="",W210=0),"",(Y210-W210)/W210)</f>
        <v/>
      </c>
      <c r="AA210" s="7">
        <f>IF(COUNT(D210:V210)=0,"",INDEX($D$1:$V$1,MATCH(MIN(D210:V210),D210:V210,0)))</f>
        <v/>
      </c>
      <c r="AB210" s="8" t="n">
        <v>1995</v>
      </c>
      <c r="AC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/>
      <c r="K211" s="8" t="n">
        <v>338</v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>
        <f>IF(COUNT(D211:V211)=0,"",MIN(D211:V211))</f>
        <v/>
      </c>
      <c r="X211" s="8">
        <f>IF(COUNT(D211:V211)=0,"",MEDIAN(D211:V211))</f>
        <v/>
      </c>
      <c r="Y211" s="8">
        <f>IF(COUNT(D211:V211)=0,"",MAX(D211:V211))</f>
        <v/>
      </c>
      <c r="Z211" s="9">
        <f>IF(OR(W211="",W211=0),"",(Y211-W211)/W211)</f>
        <v/>
      </c>
      <c r="AA211" s="7">
        <f>IF(COUNT(D211:V211)=0,"",INDEX($D$1:$V$1,MATCH(MIN(D211:V211),D211:V211,0)))</f>
        <v/>
      </c>
      <c r="AB211" s="8" t="n">
        <v>296.18</v>
      </c>
      <c r="AC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>
        <f>IF(COUNT(D212:V212)=0,"",MIN(D212:V212))</f>
        <v/>
      </c>
      <c r="X212" s="8">
        <f>IF(COUNT(D212:V212)=0,"",MEDIAN(D212:V212))</f>
        <v/>
      </c>
      <c r="Y212" s="8">
        <f>IF(COUNT(D212:V212)=0,"",MAX(D212:V212))</f>
        <v/>
      </c>
      <c r="Z212" s="9">
        <f>IF(OR(W212="",W212=0),"",(Y212-W212)/W212)</f>
        <v/>
      </c>
      <c r="AA212" s="7">
        <f>IF(COUNT(D212:V212)=0,"",INDEX($D$1:$V$1,MATCH(MIN(D212:V212),D212:V212,0)))</f>
        <v/>
      </c>
      <c r="AB212" s="8" t="n">
        <v>592.36</v>
      </c>
      <c r="AC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/>
      <c r="K213" s="8" t="n">
        <v>245</v>
      </c>
      <c r="L213" s="8" t="n">
        <v>275.01</v>
      </c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>
        <f>IF(COUNT(D213:V213)=0,"",MIN(D213:V213))</f>
        <v/>
      </c>
      <c r="X213" s="8">
        <f>IF(COUNT(D213:V213)=0,"",MEDIAN(D213:V213))</f>
        <v/>
      </c>
      <c r="Y213" s="8">
        <f>IF(COUNT(D213:V213)=0,"",MAX(D213:V213))</f>
        <v/>
      </c>
      <c r="Z213" s="9">
        <f>IF(OR(W213="",W213=0),"",(Y213-W213)/W213)</f>
        <v/>
      </c>
      <c r="AA213" s="7">
        <f>IF(COUNT(D213:V213)=0,"",INDEX($D$1:$V$1,MATCH(MIN(D213:V213),D213:V213,0)))</f>
        <v/>
      </c>
      <c r="AB213" s="8" t="n">
        <v>219</v>
      </c>
      <c r="AC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>
        <f>IF(COUNT(D214:V214)=0,"",MIN(D214:V214))</f>
        <v/>
      </c>
      <c r="X214" s="8">
        <f>IF(COUNT(D214:V214)=0,"",MEDIAN(D214:V214))</f>
        <v/>
      </c>
      <c r="Y214" s="8">
        <f>IF(COUNT(D214:V214)=0,"",MAX(D214:V214))</f>
        <v/>
      </c>
      <c r="Z214" s="9">
        <f>IF(OR(W214="",W214=0),"",(Y214-W214)/W214)</f>
        <v/>
      </c>
      <c r="AA214" s="7">
        <f>IF(COUNT(D214:V214)=0,"",INDEX($D$1:$V$1,MATCH(MIN(D214:V214),D214:V214,0)))</f>
        <v/>
      </c>
      <c r="AB214" s="8" t="n">
        <v>452</v>
      </c>
      <c r="AC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>
        <f>IF(COUNT(D215:V215)=0,"",MIN(D215:V215))</f>
        <v/>
      </c>
      <c r="X215" s="8">
        <f>IF(COUNT(D215:V215)=0,"",MEDIAN(D215:V215))</f>
        <v/>
      </c>
      <c r="Y215" s="8">
        <f>IF(COUNT(D215:V215)=0,"",MAX(D215:V215))</f>
        <v/>
      </c>
      <c r="Z215" s="9">
        <f>IF(OR(W215="",W215=0),"",(Y215-W215)/W215)</f>
        <v/>
      </c>
      <c r="AA215" s="7">
        <f>IF(COUNT(D215:V215)=0,"",INDEX($D$1:$V$1,MATCH(MIN(D215:V215),D215:V215,0)))</f>
        <v/>
      </c>
      <c r="AB215" s="8" t="n">
        <v>1026.24</v>
      </c>
      <c r="AC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>
        <f>IF(COUNT(D216:V216)=0,"",MIN(D216:V216))</f>
        <v/>
      </c>
      <c r="X216" s="8">
        <f>IF(COUNT(D216:V216)=0,"",MEDIAN(D216:V216))</f>
        <v/>
      </c>
      <c r="Y216" s="8">
        <f>IF(COUNT(D216:V216)=0,"",MAX(D216:V216))</f>
        <v/>
      </c>
      <c r="Z216" s="9">
        <f>IF(OR(W216="",W216=0),"",(Y216-W216)/W216)</f>
        <v/>
      </c>
      <c r="AA216" s="7">
        <f>IF(COUNT(D216:V216)=0,"",INDEX($D$1:$V$1,MATCH(MIN(D216:V216),D216:V216,0)))</f>
        <v/>
      </c>
      <c r="AB216" s="8" t="n">
        <v>1677.27</v>
      </c>
      <c r="AC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>
        <f>IF(COUNT(D217:V217)=0,"",MIN(D217:V217))</f>
        <v/>
      </c>
      <c r="X217" s="8">
        <f>IF(COUNT(D217:V217)=0,"",MEDIAN(D217:V217))</f>
        <v/>
      </c>
      <c r="Y217" s="8">
        <f>IF(COUNT(D217:V217)=0,"",MAX(D217:V217))</f>
        <v/>
      </c>
      <c r="Z217" s="9">
        <f>IF(OR(W217="",W217=0),"",(Y217-W217)/W217)</f>
        <v/>
      </c>
      <c r="AA217" s="7">
        <f>IF(COUNT(D217:V217)=0,"",INDEX($D$1:$V$1,MATCH(MIN(D217:V217),D217:V217,0)))</f>
        <v/>
      </c>
      <c r="AB217" s="8" t="n">
        <v>2064.49</v>
      </c>
      <c r="AC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>
        <f>IF(COUNT(D218:V218)=0,"",MIN(D218:V218))</f>
        <v/>
      </c>
      <c r="X218" s="8">
        <f>IF(COUNT(D218:V218)=0,"",MEDIAN(D218:V218))</f>
        <v/>
      </c>
      <c r="Y218" s="8">
        <f>IF(COUNT(D218:V218)=0,"",MAX(D218:V218))</f>
        <v/>
      </c>
      <c r="Z218" s="9">
        <f>IF(OR(W218="",W218=0),"",(Y218-W218)/W218)</f>
        <v/>
      </c>
      <c r="AA218" s="7">
        <f>IF(COUNT(D218:V218)=0,"",INDEX($D$1:$V$1,MATCH(MIN(D218:V218),D218:V218,0)))</f>
        <v/>
      </c>
      <c r="AB218" s="8" t="n">
        <v>386.75</v>
      </c>
      <c r="AC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>
        <f>IF(COUNT(D219:V219)=0,"",MIN(D219:V219))</f>
        <v/>
      </c>
      <c r="X219" s="8">
        <f>IF(COUNT(D219:V219)=0,"",MEDIAN(D219:V219))</f>
        <v/>
      </c>
      <c r="Y219" s="8">
        <f>IF(COUNT(D219:V219)=0,"",MAX(D219:V219))</f>
        <v/>
      </c>
      <c r="Z219" s="9">
        <f>IF(OR(W219="",W219=0),"",(Y219-W219)/W219)</f>
        <v/>
      </c>
      <c r="AA219" s="7">
        <f>IF(COUNT(D219:V219)=0,"",INDEX($D$1:$V$1,MATCH(MIN(D219:V219),D219:V219,0)))</f>
        <v/>
      </c>
      <c r="AB219" s="8" t="n">
        <v>136.66</v>
      </c>
      <c r="AC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>
        <f>IF(COUNT(D220:V220)=0,"",MIN(D220:V220))</f>
        <v/>
      </c>
      <c r="X220" s="8">
        <f>IF(COUNT(D220:V220)=0,"",MEDIAN(D220:V220))</f>
        <v/>
      </c>
      <c r="Y220" s="8">
        <f>IF(COUNT(D220:V220)=0,"",MAX(D220:V220))</f>
        <v/>
      </c>
      <c r="Z220" s="9">
        <f>IF(OR(W220="",W220=0),"",(Y220-W220)/W220)</f>
        <v/>
      </c>
      <c r="AA220" s="7">
        <f>IF(COUNT(D220:V220)=0,"",INDEX($D$1:$V$1,MATCH(MIN(D220:V220),D220:V220,0)))</f>
        <v/>
      </c>
      <c r="AB220" s="8" t="n">
        <v>2198.43</v>
      </c>
      <c r="AC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>
        <f>IF(COUNT(D221:V221)=0,"",MIN(D221:V221))</f>
        <v/>
      </c>
      <c r="X221" s="8">
        <f>IF(COUNT(D221:V221)=0,"",MEDIAN(D221:V221))</f>
        <v/>
      </c>
      <c r="Y221" s="8">
        <f>IF(COUNT(D221:V221)=0,"",MAX(D221:V221))</f>
        <v/>
      </c>
      <c r="Z221" s="9">
        <f>IF(OR(W221="",W221=0),"",(Y221-W221)/W221)</f>
        <v/>
      </c>
      <c r="AA221" s="7">
        <f>IF(COUNT(D221:V221)=0,"",INDEX($D$1:$V$1,MATCH(MIN(D221:V221),D221:V221,0)))</f>
        <v/>
      </c>
      <c r="AB221" s="8" t="n">
        <v>302.34</v>
      </c>
      <c r="AC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>
        <f>IF(COUNT(D222:V222)=0,"",MIN(D222:V222))</f>
        <v/>
      </c>
      <c r="X222" s="8">
        <f>IF(COUNT(D222:V222)=0,"",MEDIAN(D222:V222))</f>
        <v/>
      </c>
      <c r="Y222" s="8">
        <f>IF(COUNT(D222:V222)=0,"",MAX(D222:V222))</f>
        <v/>
      </c>
      <c r="Z222" s="9">
        <f>IF(OR(W222="",W222=0),"",(Y222-W222)/W222)</f>
        <v/>
      </c>
      <c r="AA222" s="7">
        <f>IF(COUNT(D222:V222)=0,"",INDEX($D$1:$V$1,MATCH(MIN(D222:V222),D222:V222,0)))</f>
        <v/>
      </c>
      <c r="AB222" s="8" t="n">
        <v>215.03</v>
      </c>
      <c r="AC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/>
      <c r="K223" s="8" t="n">
        <v>1195</v>
      </c>
      <c r="L223" s="8" t="n">
        <v>1050.01</v>
      </c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>
        <f>IF(COUNT(D223:V223)=0,"",MIN(D223:V223))</f>
        <v/>
      </c>
      <c r="X223" s="8">
        <f>IF(COUNT(D223:V223)=0,"",MEDIAN(D223:V223))</f>
        <v/>
      </c>
      <c r="Y223" s="8">
        <f>IF(COUNT(D223:V223)=0,"",MAX(D223:V223))</f>
        <v/>
      </c>
      <c r="Z223" s="9">
        <f>IF(OR(W223="",W223=0),"",(Y223-W223)/W223)</f>
        <v/>
      </c>
      <c r="AA223" s="7">
        <f>IF(COUNT(D223:V223)=0,"",INDEX($D$1:$V$1,MATCH(MIN(D223:V223),D223:V223,0)))</f>
        <v/>
      </c>
      <c r="AB223" s="8" t="n">
        <v>1127.34</v>
      </c>
      <c r="AC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>
        <f>IF(COUNT(D224:V224)=0,"",MIN(D224:V224))</f>
        <v/>
      </c>
      <c r="X224" s="8">
        <f>IF(COUNT(D224:V224)=0,"",MEDIAN(D224:V224))</f>
        <v/>
      </c>
      <c r="Y224" s="8">
        <f>IF(COUNT(D224:V224)=0,"",MAX(D224:V224))</f>
        <v/>
      </c>
      <c r="Z224" s="9">
        <f>IF(OR(W224="",W224=0),"",(Y224-W224)/W224)</f>
        <v/>
      </c>
      <c r="AA224" s="7">
        <f>IF(COUNT(D224:V224)=0,"",INDEX($D$1:$V$1,MATCH(MIN(D224:V224),D224:V224,0)))</f>
        <v/>
      </c>
      <c r="AB224" s="8" t="n">
        <v>660</v>
      </c>
      <c r="AC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1535</v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>
        <f>IF(COUNT(D225:V225)=0,"",MIN(D225:V225))</f>
        <v/>
      </c>
      <c r="X225" s="8">
        <f>IF(COUNT(D225:V225)=0,"",MEDIAN(D225:V225))</f>
        <v/>
      </c>
      <c r="Y225" s="8">
        <f>IF(COUNT(D225:V225)=0,"",MAX(D225:V225))</f>
        <v/>
      </c>
      <c r="Z225" s="9">
        <f>IF(OR(W225="",W225=0),"",(Y225-W225)/W225)</f>
        <v/>
      </c>
      <c r="AA225" s="7">
        <f>IF(COUNT(D225:V225)=0,"",INDEX($D$1:$V$1,MATCH(MIN(D225:V225),D225:V225,0)))</f>
        <v/>
      </c>
      <c r="AB225" s="8" t="n">
        <v>1535</v>
      </c>
      <c r="AC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/>
      <c r="K226" s="8" t="n">
        <v>1450</v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>
        <f>IF(COUNT(D226:V226)=0,"",MIN(D226:V226))</f>
        <v/>
      </c>
      <c r="X226" s="8">
        <f>IF(COUNT(D226:V226)=0,"",MEDIAN(D226:V226))</f>
        <v/>
      </c>
      <c r="Y226" s="8">
        <f>IF(COUNT(D226:V226)=0,"",MAX(D226:V226))</f>
        <v/>
      </c>
      <c r="Z226" s="9">
        <f>IF(OR(W226="",W226=0),"",(Y226-W226)/W226)</f>
        <v/>
      </c>
      <c r="AA226" s="7">
        <f>IF(COUNT(D226:V226)=0,"",INDEX($D$1:$V$1,MATCH(MIN(D226:V226),D226:V226,0)))</f>
        <v/>
      </c>
      <c r="AB226" s="8" t="n">
        <v>1450</v>
      </c>
      <c r="AC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>
        <f>IF(COUNT(D227:V227)=0,"",MIN(D227:V227))</f>
        <v/>
      </c>
      <c r="X227" s="8">
        <f>IF(COUNT(D227:V227)=0,"",MEDIAN(D227:V227))</f>
        <v/>
      </c>
      <c r="Y227" s="8">
        <f>IF(COUNT(D227:V227)=0,"",MAX(D227:V227))</f>
        <v/>
      </c>
      <c r="Z227" s="9">
        <f>IF(OR(W227="",W227=0),"",(Y227-W227)/W227)</f>
        <v/>
      </c>
      <c r="AA227" s="7">
        <f>IF(COUNT(D227:V227)=0,"",INDEX($D$1:$V$1,MATCH(MIN(D227:V227),D227:V227,0)))</f>
        <v/>
      </c>
      <c r="AB227" s="8" t="n">
        <v>141.1</v>
      </c>
      <c r="AC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>
        <f>IF(COUNT(D228:V228)=0,"",MIN(D228:V228))</f>
        <v/>
      </c>
      <c r="X228" s="8">
        <f>IF(COUNT(D228:V228)=0,"",MEDIAN(D228:V228))</f>
        <v/>
      </c>
      <c r="Y228" s="8">
        <f>IF(COUNT(D228:V228)=0,"",MAX(D228:V228))</f>
        <v/>
      </c>
      <c r="Z228" s="9">
        <f>IF(OR(W228="",W228=0),"",(Y228-W228)/W228)</f>
        <v/>
      </c>
      <c r="AA228" s="7">
        <f>IF(COUNT(D228:V228)=0,"",INDEX($D$1:$V$1,MATCH(MIN(D228:V228),D228:V228,0)))</f>
        <v/>
      </c>
      <c r="AB228" s="8" t="n">
        <v>104.29</v>
      </c>
      <c r="AC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>
        <f>IF(COUNT(D229:V229)=0,"",MIN(D229:V229))</f>
        <v/>
      </c>
      <c r="X229" s="8">
        <f>IF(COUNT(D229:V229)=0,"",MEDIAN(D229:V229))</f>
        <v/>
      </c>
      <c r="Y229" s="8">
        <f>IF(COUNT(D229:V229)=0,"",MAX(D229:V229))</f>
        <v/>
      </c>
      <c r="Z229" s="9">
        <f>IF(OR(W229="",W229=0),"",(Y229-W229)/W229)</f>
        <v/>
      </c>
      <c r="AA229" s="7">
        <f>IF(COUNT(D229:V229)=0,"",INDEX($D$1:$V$1,MATCH(MIN(D229:V229),D229:V229,0)))</f>
        <v/>
      </c>
      <c r="AB229" s="8" t="n">
        <v>659.86</v>
      </c>
      <c r="AC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>
        <f>IF(COUNT(D230:V230)=0,"",MIN(D230:V230))</f>
        <v/>
      </c>
      <c r="X230" s="8">
        <f>IF(COUNT(D230:V230)=0,"",MEDIAN(D230:V230))</f>
        <v/>
      </c>
      <c r="Y230" s="8">
        <f>IF(COUNT(D230:V230)=0,"",MAX(D230:V230))</f>
        <v/>
      </c>
      <c r="Z230" s="9">
        <f>IF(OR(W230="",W230=0),"",(Y230-W230)/W230)</f>
        <v/>
      </c>
      <c r="AA230" s="7">
        <f>IF(COUNT(D230:V230)=0,"",INDEX($D$1:$V$1,MATCH(MIN(D230:V230),D230:V230,0)))</f>
        <v/>
      </c>
      <c r="AB230" s="8" t="n">
        <v>2112.23</v>
      </c>
      <c r="AC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>
        <f>IF(COUNT(D231:V231)=0,"",MIN(D231:V231))</f>
        <v/>
      </c>
      <c r="X231" s="8">
        <f>IF(COUNT(D231:V231)=0,"",MEDIAN(D231:V231))</f>
        <v/>
      </c>
      <c r="Y231" s="8">
        <f>IF(COUNT(D231:V231)=0,"",MAX(D231:V231))</f>
        <v/>
      </c>
      <c r="Z231" s="9">
        <f>IF(OR(W231="",W231=0),"",(Y231-W231)/W231)</f>
        <v/>
      </c>
      <c r="AA231" s="7">
        <f>IF(COUNT(D231:V231)=0,"",INDEX($D$1:$V$1,MATCH(MIN(D231:V231),D231:V231,0)))</f>
        <v/>
      </c>
      <c r="AB231" s="8" t="n">
        <v>1725.01</v>
      </c>
      <c r="AC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>
        <f>IF(COUNT(D232:V232)=0,"",MIN(D232:V232))</f>
        <v/>
      </c>
      <c r="X232" s="8">
        <f>IF(COUNT(D232:V232)=0,"",MEDIAN(D232:V232))</f>
        <v/>
      </c>
      <c r="Y232" s="8">
        <f>IF(COUNT(D232:V232)=0,"",MAX(D232:V232))</f>
        <v/>
      </c>
      <c r="Z232" s="9">
        <f>IF(OR(W232="",W232=0),"",(Y232-W232)/W232)</f>
        <v/>
      </c>
      <c r="AA232" s="7">
        <f>IF(COUNT(D232:V232)=0,"",INDEX($D$1:$V$1,MATCH(MIN(D232:V232),D232:V232,0)))</f>
        <v/>
      </c>
      <c r="AB232" s="8" t="n">
        <v>1045.19</v>
      </c>
      <c r="AC232" s="10" t="n">
        <v>1</v>
      </c>
    </row>
    <row r="233">
      <c r="A233" s="7" t="inlineStr">
        <is>
          <t>MAT-08-017</t>
        </is>
      </c>
      <c r="B233" s="4" t="inlineStr">
        <is>
          <t>Cerámica de pared, 120 x 120 cm</t>
        </is>
      </c>
      <c r="C233" s="7" t="inlineStr">
        <is>
          <t>m²</t>
        </is>
      </c>
      <c r="D233" s="8" t="n">
        <v>2945.45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>
        <f>IF(COUNT(D233:V233)=0,"",MIN(D233:V233))</f>
        <v/>
      </c>
      <c r="X233" s="8">
        <f>IF(COUNT(D233:V233)=0,"",MEDIAN(D233:V233))</f>
        <v/>
      </c>
      <c r="Y233" s="8">
        <f>IF(COUNT(D233:V233)=0,"",MAX(D233:V233))</f>
        <v/>
      </c>
      <c r="Z233" s="9">
        <f>IF(OR(W233="",W233=0),"",(Y233-W233)/W233)</f>
        <v/>
      </c>
      <c r="AA233" s="7">
        <f>IF(COUNT(D233:V233)=0,"",INDEX($D$1:$V$1,MATCH(MIN(D233:V233),D233:V233,0)))</f>
        <v/>
      </c>
      <c r="AB233" s="8" t="n">
        <v>2945.45</v>
      </c>
      <c r="AC233" s="10" t="n">
        <v>1</v>
      </c>
    </row>
    <row r="234">
      <c r="A234" s="7" t="inlineStr">
        <is>
          <t>MAT-08-018</t>
        </is>
      </c>
      <c r="B234" s="4" t="inlineStr">
        <is>
          <t>Cerámica de pared, 120 x 20 cm</t>
        </is>
      </c>
      <c r="C234" s="7" t="inlineStr">
        <is>
          <t>m²</t>
        </is>
      </c>
      <c r="D234" s="8" t="n">
        <v>1439.19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>
        <f>IF(COUNT(D234:V234)=0,"",MIN(D234:V234))</f>
        <v/>
      </c>
      <c r="X234" s="8">
        <f>IF(COUNT(D234:V234)=0,"",MEDIAN(D234:V234))</f>
        <v/>
      </c>
      <c r="Y234" s="8">
        <f>IF(COUNT(D234:V234)=0,"",MAX(D234:V234))</f>
        <v/>
      </c>
      <c r="Z234" s="9">
        <f>IF(OR(W234="",W234=0),"",(Y234-W234)/W234)</f>
        <v/>
      </c>
      <c r="AA234" s="7">
        <f>IF(COUNT(D234:V234)=0,"",INDEX($D$1:$V$1,MATCH(MIN(D234:V234),D234:V234,0)))</f>
        <v/>
      </c>
      <c r="AB234" s="8" t="n">
        <v>1459.08</v>
      </c>
      <c r="AC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1563.47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>
        <f>IF(COUNT(D235:V235)=0,"",MIN(D235:V235))</f>
        <v/>
      </c>
      <c r="X235" s="8">
        <f>IF(COUNT(D235:V235)=0,"",MEDIAN(D235:V235))</f>
        <v/>
      </c>
      <c r="Y235" s="8">
        <f>IF(COUNT(D235:V235)=0,"",MAX(D235:V235))</f>
        <v/>
      </c>
      <c r="Z235" s="9">
        <f>IF(OR(W235="",W235=0),"",(Y235-W235)/W235)</f>
        <v/>
      </c>
      <c r="AA235" s="7">
        <f>IF(COUNT(D235:V235)=0,"",INDEX($D$1:$V$1,MATCH(MIN(D235:V235),D235:V235,0)))</f>
        <v/>
      </c>
      <c r="AB235" s="8" t="n">
        <v>2227.8</v>
      </c>
      <c r="AC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2224.67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>
        <f>IF(COUNT(D236:V236)=0,"",MIN(D236:V236))</f>
        <v/>
      </c>
      <c r="X236" s="8">
        <f>IF(COUNT(D236:V236)=0,"",MEDIAN(D236:V236))</f>
        <v/>
      </c>
      <c r="Y236" s="8">
        <f>IF(COUNT(D236:V236)=0,"",MAX(D236:V236))</f>
        <v/>
      </c>
      <c r="Z236" s="9">
        <f>IF(OR(W236="",W236=0),"",(Y236-W236)/W236)</f>
        <v/>
      </c>
      <c r="AA236" s="7">
        <f>IF(COUNT(D236:V236)=0,"",INDEX($D$1:$V$1,MATCH(MIN(D236:V236),D236:V236,0)))</f>
        <v/>
      </c>
      <c r="AB236" s="8" t="n">
        <v>3077.3</v>
      </c>
      <c r="AC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2119.72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>
        <f>IF(COUNT(D237:V237)=0,"",MIN(D237:V237))</f>
        <v/>
      </c>
      <c r="X237" s="8">
        <f>IF(COUNT(D237:V237)=0,"",MEDIAN(D237:V237))</f>
        <v/>
      </c>
      <c r="Y237" s="8">
        <f>IF(COUNT(D237:V237)=0,"",MAX(D237:V237))</f>
        <v/>
      </c>
      <c r="Z237" s="9">
        <f>IF(OR(W237="",W237=0),"",(Y237-W237)/W237)</f>
        <v/>
      </c>
      <c r="AA237" s="7">
        <f>IF(COUNT(D237:V237)=0,"",INDEX($D$1:$V$1,MATCH(MIN(D237:V237),D237:V237,0)))</f>
        <v/>
      </c>
      <c r="AB237" s="8" t="n">
        <v>2520.03</v>
      </c>
      <c r="AC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>
        <v>2122.94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>
        <f>IF(COUNT(D238:V238)=0,"",MIN(D238:V238))</f>
        <v/>
      </c>
      <c r="X238" s="8">
        <f>IF(COUNT(D238:V238)=0,"",MEDIAN(D238:V238))</f>
        <v/>
      </c>
      <c r="Y238" s="8">
        <f>IF(COUNT(D238:V238)=0,"",MAX(D238:V238))</f>
        <v/>
      </c>
      <c r="Z238" s="9">
        <f>IF(OR(W238="",W238=0),"",(Y238-W238)/W238)</f>
        <v/>
      </c>
      <c r="AA238" s="7">
        <f>IF(COUNT(D238:V238)=0,"",INDEX($D$1:$V$1,MATCH(MIN(D238:V238),D238:V238,0)))</f>
        <v/>
      </c>
      <c r="AB238" s="8" t="n">
        <v>2854.38</v>
      </c>
      <c r="AC238" s="10" t="n">
        <v>2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>
        <f>IF(COUNT(D239:V239)=0,"",MIN(D239:V239))</f>
        <v/>
      </c>
      <c r="X239" s="8">
        <f>IF(COUNT(D239:V239)=0,"",MEDIAN(D239:V239))</f>
        <v/>
      </c>
      <c r="Y239" s="8">
        <f>IF(COUNT(D239:V239)=0,"",MAX(D239:V239))</f>
        <v/>
      </c>
      <c r="Z239" s="9">
        <f>IF(OR(W239="",W239=0),"",(Y239-W239)/W239)</f>
        <v/>
      </c>
      <c r="AA239" s="7">
        <f>IF(COUNT(D239:V239)=0,"",INDEX($D$1:$V$1,MATCH(MIN(D239:V239),D239:V239,0)))</f>
        <v/>
      </c>
      <c r="AB239" s="8" t="n">
        <v>2565.64</v>
      </c>
      <c r="AC239" s="10" t="n">
        <v>1</v>
      </c>
    </row>
    <row r="240">
      <c r="A240" s="7" t="inlineStr">
        <is>
          <t>MAT-08-024</t>
        </is>
      </c>
      <c r="B240" s="4" t="inlineStr">
        <is>
          <t>Cerámica de pared, 20 x 10 cm</t>
        </is>
      </c>
      <c r="C240" s="7" t="inlineStr">
        <is>
          <t>m²</t>
        </is>
      </c>
      <c r="D240" s="8" t="n"/>
      <c r="E240" s="8" t="n"/>
      <c r="F240" s="8" t="n">
        <v>1224.36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>
        <f>IF(COUNT(D240:V240)=0,"",MIN(D240:V240))</f>
        <v/>
      </c>
      <c r="X240" s="8">
        <f>IF(COUNT(D240:V240)=0,"",MEDIAN(D240:V240))</f>
        <v/>
      </c>
      <c r="Y240" s="8">
        <f>IF(COUNT(D240:V240)=0,"",MAX(D240:V240))</f>
        <v/>
      </c>
      <c r="Z240" s="9">
        <f>IF(OR(W240="",W240=0),"",(Y240-W240)/W240)</f>
        <v/>
      </c>
      <c r="AA240" s="7">
        <f>IF(COUNT(D240:V240)=0,"",INDEX($D$1:$V$1,MATCH(MIN(D240:V240),D240:V240,0)))</f>
        <v/>
      </c>
      <c r="AB240" s="8" t="n">
        <v>1444.74</v>
      </c>
      <c r="AC240" s="10" t="n">
        <v>1</v>
      </c>
    </row>
    <row r="241">
      <c r="A241" s="7" t="inlineStr">
        <is>
          <t>MAT-08-025</t>
        </is>
      </c>
      <c r="B241" s="4" t="inlineStr">
        <is>
          <t>Cerámica de pared, 20 x 17.5 cm</t>
        </is>
      </c>
      <c r="C241" s="7" t="inlineStr">
        <is>
          <t>m²</t>
        </is>
      </c>
      <c r="D241" s="8" t="n">
        <v>767.39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>
        <f>IF(COUNT(D241:V241)=0,"",MIN(D241:V241))</f>
        <v/>
      </c>
      <c r="X241" s="8">
        <f>IF(COUNT(D241:V241)=0,"",MEDIAN(D241:V241))</f>
        <v/>
      </c>
      <c r="Y241" s="8">
        <f>IF(COUNT(D241:V241)=0,"",MAX(D241:V241))</f>
        <v/>
      </c>
      <c r="Z241" s="9">
        <f>IF(OR(W241="",W241=0),"",(Y241-W241)/W241)</f>
        <v/>
      </c>
      <c r="AA241" s="7">
        <f>IF(COUNT(D241:V241)=0,"",INDEX($D$1:$V$1,MATCH(MIN(D241:V241),D241:V241,0)))</f>
        <v/>
      </c>
      <c r="AB241" s="8" t="n">
        <v>767.39</v>
      </c>
      <c r="AC241" s="10" t="n">
        <v>1</v>
      </c>
    </row>
    <row r="242">
      <c r="A242" s="7" t="inlineStr">
        <is>
          <t>MAT-08-026</t>
        </is>
      </c>
      <c r="B242" s="4" t="inlineStr">
        <is>
          <t>Cerámica de pared, 20 x 20 cm</t>
        </is>
      </c>
      <c r="C242" s="7" t="inlineStr">
        <is>
          <t>m²</t>
        </is>
      </c>
      <c r="D242" s="8" t="n"/>
      <c r="E242" s="8" t="n"/>
      <c r="F242" s="8" t="n">
        <v>995</v>
      </c>
      <c r="G242" s="8" t="n"/>
      <c r="H242" s="8" t="n">
        <v>924.83</v>
      </c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>
        <f>IF(COUNT(D242:V242)=0,"",MIN(D242:V242))</f>
        <v/>
      </c>
      <c r="X242" s="8">
        <f>IF(COUNT(D242:V242)=0,"",MEDIAN(D242:V242))</f>
        <v/>
      </c>
      <c r="Y242" s="8">
        <f>IF(COUNT(D242:V242)=0,"",MAX(D242:V242))</f>
        <v/>
      </c>
      <c r="Z242" s="9">
        <f>IF(OR(W242="",W242=0),"",(Y242-W242)/W242)</f>
        <v/>
      </c>
      <c r="AA242" s="7">
        <f>IF(COUNT(D242:V242)=0,"",INDEX($D$1:$V$1,MATCH(MIN(D242:V242),D242:V242,0)))</f>
        <v/>
      </c>
      <c r="AB242" s="8" t="n">
        <v>989.73</v>
      </c>
      <c r="AC242" s="10" t="n">
        <v>2</v>
      </c>
    </row>
    <row r="243">
      <c r="A243" s="7" t="inlineStr">
        <is>
          <t>MAT-08-027</t>
        </is>
      </c>
      <c r="B243" s="4" t="inlineStr">
        <is>
          <t>Cerámica de pared, 22.3 x 22.3 cm</t>
        </is>
      </c>
      <c r="C243" s="7" t="inlineStr">
        <is>
          <t>m²</t>
        </is>
      </c>
      <c r="D243" s="8" t="n">
        <v>1177.9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>
        <f>IF(COUNT(D243:V243)=0,"",MIN(D243:V243))</f>
        <v/>
      </c>
      <c r="X243" s="8">
        <f>IF(COUNT(D243:V243)=0,"",MEDIAN(D243:V243))</f>
        <v/>
      </c>
      <c r="Y243" s="8">
        <f>IF(COUNT(D243:V243)=0,"",MAX(D243:V243))</f>
        <v/>
      </c>
      <c r="Z243" s="9">
        <f>IF(OR(W243="",W243=0),"",(Y243-W243)/W243)</f>
        <v/>
      </c>
      <c r="AA243" s="7">
        <f>IF(COUNT(D243:V243)=0,"",INDEX($D$1:$V$1,MATCH(MIN(D243:V243),D243:V243,0)))</f>
        <v/>
      </c>
      <c r="AB243" s="8" t="n">
        <v>1177.9</v>
      </c>
      <c r="AC243" s="10" t="n">
        <v>1</v>
      </c>
    </row>
    <row r="244">
      <c r="A244" s="7" t="inlineStr">
        <is>
          <t>MAT-08-028</t>
        </is>
      </c>
      <c r="B244" s="4" t="inlineStr">
        <is>
          <t>Cerámica de pared, 30 x 10 cm</t>
        </is>
      </c>
      <c r="C244" s="7" t="inlineStr">
        <is>
          <t>m²</t>
        </is>
      </c>
      <c r="D244" s="8" t="n">
        <v>874.58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>
        <f>IF(COUNT(D244:V244)=0,"",MIN(D244:V244))</f>
        <v/>
      </c>
      <c r="X244" s="8">
        <f>IF(COUNT(D244:V244)=0,"",MEDIAN(D244:V244))</f>
        <v/>
      </c>
      <c r="Y244" s="8">
        <f>IF(COUNT(D244:V244)=0,"",MAX(D244:V244))</f>
        <v/>
      </c>
      <c r="Z244" s="9">
        <f>IF(OR(W244="",W244=0),"",(Y244-W244)/W244)</f>
        <v/>
      </c>
      <c r="AA244" s="7">
        <f>IF(COUNT(D244:V244)=0,"",INDEX($D$1:$V$1,MATCH(MIN(D244:V244),D244:V244,0)))</f>
        <v/>
      </c>
      <c r="AB244" s="8" t="n">
        <v>1204.05</v>
      </c>
      <c r="AC244" s="10" t="n">
        <v>1</v>
      </c>
    </row>
    <row r="245">
      <c r="A245" s="7" t="inlineStr">
        <is>
          <t>MAT-08-029</t>
        </is>
      </c>
      <c r="B245" s="4" t="inlineStr">
        <is>
          <t>Cerámica de pared, 30 x 20 cm</t>
        </is>
      </c>
      <c r="C245" s="7" t="inlineStr">
        <is>
          <t>m²</t>
        </is>
      </c>
      <c r="D245" s="8" t="n"/>
      <c r="E245" s="8" t="n"/>
      <c r="F245" s="8" t="n">
        <v>1873.67</v>
      </c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>
        <f>IF(COUNT(D245:V245)=0,"",MIN(D245:V245))</f>
        <v/>
      </c>
      <c r="X245" s="8">
        <f>IF(COUNT(D245:V245)=0,"",MEDIAN(D245:V245))</f>
        <v/>
      </c>
      <c r="Y245" s="8">
        <f>IF(COUNT(D245:V245)=0,"",MAX(D245:V245))</f>
        <v/>
      </c>
      <c r="Z245" s="9">
        <f>IF(OR(W245="",W245=0),"",(Y245-W245)/W245)</f>
        <v/>
      </c>
      <c r="AA245" s="7">
        <f>IF(COUNT(D245:V245)=0,"",INDEX($D$1:$V$1,MATCH(MIN(D245:V245),D245:V245,0)))</f>
        <v/>
      </c>
      <c r="AB245" s="8" t="n">
        <v>2210.93</v>
      </c>
      <c r="AC245" s="10" t="n">
        <v>1</v>
      </c>
    </row>
    <row r="246">
      <c r="A246" s="7" t="inlineStr">
        <is>
          <t>MAT-08-030</t>
        </is>
      </c>
      <c r="B246" s="4" t="inlineStr">
        <is>
          <t>Cerámica de pared, 30 x 7.5 cm</t>
        </is>
      </c>
      <c r="C246" s="7" t="inlineStr">
        <is>
          <t>m²</t>
        </is>
      </c>
      <c r="D246" s="8" t="n">
        <v>806.14</v>
      </c>
      <c r="E246" s="8" t="n"/>
      <c r="F246" s="8" t="n">
        <v>968.37</v>
      </c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>
        <f>IF(COUNT(D246:V246)=0,"",MIN(D246:V246))</f>
        <v/>
      </c>
      <c r="X246" s="8">
        <f>IF(COUNT(D246:V246)=0,"",MEDIAN(D246:V246))</f>
        <v/>
      </c>
      <c r="Y246" s="8">
        <f>IF(COUNT(D246:V246)=0,"",MAX(D246:V246))</f>
        <v/>
      </c>
      <c r="Z246" s="9">
        <f>IF(OR(W246="",W246=0),"",(Y246-W246)/W246)</f>
        <v/>
      </c>
      <c r="AA246" s="7">
        <f>IF(COUNT(D246:V246)=0,"",INDEX($D$1:$V$1,MATCH(MIN(D246:V246),D246:V246,0)))</f>
        <v/>
      </c>
      <c r="AB246" s="8" t="n">
        <v>2336.59</v>
      </c>
      <c r="AC246" s="10" t="n">
        <v>2</v>
      </c>
    </row>
    <row r="247">
      <c r="A247" s="7" t="inlineStr">
        <is>
          <t>MAT-08-031</t>
        </is>
      </c>
      <c r="B247" s="4" t="inlineStr">
        <is>
          <t>Cerámica de pared, 40 x 25 cm</t>
        </is>
      </c>
      <c r="C247" s="7" t="inlineStr">
        <is>
          <t>m²</t>
        </is>
      </c>
      <c r="D247" s="8" t="n"/>
      <c r="E247" s="8" t="n"/>
      <c r="F247" s="8" t="n"/>
      <c r="G247" s="8" t="n"/>
      <c r="H247" s="8" t="n">
        <v>1100</v>
      </c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>
        <f>IF(COUNT(D247:V247)=0,"",MIN(D247:V247))</f>
        <v/>
      </c>
      <c r="X247" s="8">
        <f>IF(COUNT(D247:V247)=0,"",MEDIAN(D247:V247))</f>
        <v/>
      </c>
      <c r="Y247" s="8">
        <f>IF(COUNT(D247:V247)=0,"",MAX(D247:V247))</f>
        <v/>
      </c>
      <c r="Z247" s="9">
        <f>IF(OR(W247="",W247=0),"",(Y247-W247)/W247)</f>
        <v/>
      </c>
      <c r="AA247" s="7">
        <f>IF(COUNT(D247:V247)=0,"",INDEX($D$1:$V$1,MATCH(MIN(D247:V247),D247:V247,0)))</f>
        <v/>
      </c>
      <c r="AB247" s="8" t="n">
        <v>1364.21</v>
      </c>
      <c r="AC247" s="10" t="n">
        <v>1</v>
      </c>
    </row>
    <row r="248">
      <c r="A248" s="7" t="inlineStr">
        <is>
          <t>MAT-08-032</t>
        </is>
      </c>
      <c r="B248" s="4" t="inlineStr">
        <is>
          <t>Cerámica de pared, 45 x 45 cm</t>
        </is>
      </c>
      <c r="C248" s="7" t="inlineStr">
        <is>
          <t>m²</t>
        </is>
      </c>
      <c r="D248" s="8" t="n">
        <v>709.33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>
        <f>IF(COUNT(D248:V248)=0,"",MIN(D248:V248))</f>
        <v/>
      </c>
      <c r="X248" s="8">
        <f>IF(COUNT(D248:V248)=0,"",MEDIAN(D248:V248))</f>
        <v/>
      </c>
      <c r="Y248" s="8">
        <f>IF(COUNT(D248:V248)=0,"",MAX(D248:V248))</f>
        <v/>
      </c>
      <c r="Z248" s="9">
        <f>IF(OR(W248="",W248=0),"",(Y248-W248)/W248)</f>
        <v/>
      </c>
      <c r="AA248" s="7">
        <f>IF(COUNT(D248:V248)=0,"",INDEX($D$1:$V$1,MATCH(MIN(D248:V248),D248:V248,0)))</f>
        <v/>
      </c>
      <c r="AB248" s="8" t="n">
        <v>832.97</v>
      </c>
      <c r="AC248" s="10" t="n">
        <v>1</v>
      </c>
    </row>
    <row r="249">
      <c r="A249" s="7" t="inlineStr">
        <is>
          <t>MAT-08-033</t>
        </is>
      </c>
      <c r="B249" s="4" t="inlineStr">
        <is>
          <t>Cerámica de pared, 50 x 17 cm</t>
        </is>
      </c>
      <c r="C249" s="7" t="inlineStr">
        <is>
          <t>m²</t>
        </is>
      </c>
      <c r="D249" s="8" t="n">
        <v>1238.82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>
        <f>IF(COUNT(D249:V249)=0,"",MIN(D249:V249))</f>
        <v/>
      </c>
      <c r="X249" s="8">
        <f>IF(COUNT(D249:V249)=0,"",MEDIAN(D249:V249))</f>
        <v/>
      </c>
      <c r="Y249" s="8">
        <f>IF(COUNT(D249:V249)=0,"",MAX(D249:V249))</f>
        <v/>
      </c>
      <c r="Z249" s="9">
        <f>IF(OR(W249="",W249=0),"",(Y249-W249)/W249)</f>
        <v/>
      </c>
      <c r="AA249" s="7">
        <f>IF(COUNT(D249:V249)=0,"",INDEX($D$1:$V$1,MATCH(MIN(D249:V249),D249:V249,0)))</f>
        <v/>
      </c>
      <c r="AB249" s="8" t="n">
        <v>1238.82</v>
      </c>
      <c r="AC249" s="10" t="n">
        <v>1</v>
      </c>
    </row>
    <row r="250">
      <c r="A250" s="7" t="inlineStr">
        <is>
          <t>MAT-08-034</t>
        </is>
      </c>
      <c r="B250" s="4" t="inlineStr">
        <is>
          <t>Cerámica de pared, 50 x 20 cm</t>
        </is>
      </c>
      <c r="C250" s="7" t="inlineStr">
        <is>
          <t>m²</t>
        </is>
      </c>
      <c r="D250" s="8" t="n"/>
      <c r="E250" s="8" t="n"/>
      <c r="F250" s="8" t="n">
        <v>2332.73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>
        <f>IF(COUNT(D250:V250)=0,"",MIN(D250:V250))</f>
        <v/>
      </c>
      <c r="X250" s="8">
        <f>IF(COUNT(D250:V250)=0,"",MEDIAN(D250:V250))</f>
        <v/>
      </c>
      <c r="Y250" s="8">
        <f>IF(COUNT(D250:V250)=0,"",MAX(D250:V250))</f>
        <v/>
      </c>
      <c r="Z250" s="9">
        <f>IF(OR(W250="",W250=0),"",(Y250-W250)/W250)</f>
        <v/>
      </c>
      <c r="AA250" s="7">
        <f>IF(COUNT(D250:V250)=0,"",INDEX($D$1:$V$1,MATCH(MIN(D250:V250),D250:V250,0)))</f>
        <v/>
      </c>
      <c r="AB250" s="8" t="n">
        <v>2752.62</v>
      </c>
      <c r="AC250" s="10" t="n">
        <v>1</v>
      </c>
    </row>
    <row r="251">
      <c r="A251" s="7" t="inlineStr">
        <is>
          <t>MAT-08-035</t>
        </is>
      </c>
      <c r="B251" s="4" t="inlineStr">
        <is>
          <t>Cerámica de pared, 50 x 25 cm</t>
        </is>
      </c>
      <c r="C251" s="7" t="inlineStr">
        <is>
          <t>m²</t>
        </is>
      </c>
      <c r="D251" s="8" t="n"/>
      <c r="E251" s="8" t="n"/>
      <c r="F251" s="8" t="n">
        <v>459.05</v>
      </c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>
        <f>IF(COUNT(D251:V251)=0,"",MIN(D251:V251))</f>
        <v/>
      </c>
      <c r="X251" s="8">
        <f>IF(COUNT(D251:V251)=0,"",MEDIAN(D251:V251))</f>
        <v/>
      </c>
      <c r="Y251" s="8">
        <f>IF(COUNT(D251:V251)=0,"",MAX(D251:V251))</f>
        <v/>
      </c>
      <c r="Z251" s="9">
        <f>IF(OR(W251="",W251=0),"",(Y251-W251)/W251)</f>
        <v/>
      </c>
      <c r="AA251" s="7">
        <f>IF(COUNT(D251:V251)=0,"",INDEX($D$1:$V$1,MATCH(MIN(D251:V251),D251:V251,0)))</f>
        <v/>
      </c>
      <c r="AB251" s="8" t="n">
        <v>541.6799999999999</v>
      </c>
      <c r="AC251" s="10" t="n">
        <v>1</v>
      </c>
    </row>
    <row r="252">
      <c r="A252" s="7" t="inlineStr">
        <is>
          <t>MAT-08-036</t>
        </is>
      </c>
      <c r="B252" s="4" t="inlineStr">
        <is>
          <t>Cerámica de pared, 50 x 33 cm</t>
        </is>
      </c>
      <c r="C252" s="7" t="inlineStr">
        <is>
          <t>m²</t>
        </is>
      </c>
      <c r="D252" s="8" t="n">
        <v>1173.88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>
        <f>IF(COUNT(D252:V252)=0,"",MIN(D252:V252))</f>
        <v/>
      </c>
      <c r="X252" s="8">
        <f>IF(COUNT(D252:V252)=0,"",MEDIAN(D252:V252))</f>
        <v/>
      </c>
      <c r="Y252" s="8">
        <f>IF(COUNT(D252:V252)=0,"",MAX(D252:V252))</f>
        <v/>
      </c>
      <c r="Z252" s="9">
        <f>IF(OR(W252="",W252=0),"",(Y252-W252)/W252)</f>
        <v/>
      </c>
      <c r="AA252" s="7">
        <f>IF(COUNT(D252:V252)=0,"",INDEX($D$1:$V$1,MATCH(MIN(D252:V252),D252:V252,0)))</f>
        <v/>
      </c>
      <c r="AB252" s="8" t="n">
        <v>1229.86</v>
      </c>
      <c r="AC252" s="10" t="n">
        <v>1</v>
      </c>
    </row>
    <row r="253">
      <c r="A253" s="7" t="inlineStr">
        <is>
          <t>MAT-08-037</t>
        </is>
      </c>
      <c r="B253" s="4" t="inlineStr">
        <is>
          <t>Cerámica de pared, 50 x 35 cm</t>
        </is>
      </c>
      <c r="C253" s="7" t="inlineStr">
        <is>
          <t>m²</t>
        </is>
      </c>
      <c r="D253" s="8" t="n"/>
      <c r="E253" s="8" t="n"/>
      <c r="F253" s="8" t="n">
        <v>1029.69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>
        <f>IF(COUNT(D253:V253)=0,"",MIN(D253:V253))</f>
        <v/>
      </c>
      <c r="X253" s="8">
        <f>IF(COUNT(D253:V253)=0,"",MEDIAN(D253:V253))</f>
        <v/>
      </c>
      <c r="Y253" s="8">
        <f>IF(COUNT(D253:V253)=0,"",MAX(D253:V253))</f>
        <v/>
      </c>
      <c r="Z253" s="9">
        <f>IF(OR(W253="",W253=0),"",(Y253-W253)/W253)</f>
        <v/>
      </c>
      <c r="AA253" s="7">
        <f>IF(COUNT(D253:V253)=0,"",INDEX($D$1:$V$1,MATCH(MIN(D253:V253),D253:V253,0)))</f>
        <v/>
      </c>
      <c r="AB253" s="8" t="n">
        <v>1215.03</v>
      </c>
      <c r="AC253" s="10" t="n">
        <v>1</v>
      </c>
    </row>
    <row r="254">
      <c r="A254" s="7" t="inlineStr">
        <is>
          <t>MAT-08-038</t>
        </is>
      </c>
      <c r="B254" s="4" t="inlineStr">
        <is>
          <t>Cerámica de pared, 55 x 33 cm</t>
        </is>
      </c>
      <c r="C254" s="7" t="inlineStr">
        <is>
          <t>m²</t>
        </is>
      </c>
      <c r="D254" s="8" t="n">
        <v>684.1799999999999</v>
      </c>
      <c r="E254" s="8" t="n">
        <v>680.76</v>
      </c>
      <c r="F254" s="8" t="n"/>
      <c r="G254" s="8" t="n"/>
      <c r="H254" s="8" t="n">
        <v>1189.99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>
        <f>IF(COUNT(D254:V254)=0,"",MIN(D254:V254))</f>
        <v/>
      </c>
      <c r="X254" s="8">
        <f>IF(COUNT(D254:V254)=0,"",MEDIAN(D254:V254))</f>
        <v/>
      </c>
      <c r="Y254" s="8">
        <f>IF(COUNT(D254:V254)=0,"",MAX(D254:V254))</f>
        <v/>
      </c>
      <c r="Z254" s="9">
        <f>IF(OR(W254="",W254=0),"",(Y254-W254)/W254)</f>
        <v/>
      </c>
      <c r="AA254" s="7">
        <f>IF(COUNT(D254:V254)=0,"",INDEX($D$1:$V$1,MATCH(MIN(D254:V254),D254:V254,0)))</f>
        <v/>
      </c>
      <c r="AB254" s="8" t="n">
        <v>822.24</v>
      </c>
      <c r="AC254" s="10" t="n">
        <v>3</v>
      </c>
    </row>
    <row r="255">
      <c r="A255" s="7" t="inlineStr">
        <is>
          <t>MAT-08-039</t>
        </is>
      </c>
      <c r="B255" s="4" t="inlineStr">
        <is>
          <t>Cerámica de pared, 58 x 19 cm</t>
        </is>
      </c>
      <c r="C255" s="7" t="inlineStr">
        <is>
          <t>m²</t>
        </is>
      </c>
      <c r="D255" s="8" t="n">
        <v>760.26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>
        <f>IF(COUNT(D255:V255)=0,"",MIN(D255:V255))</f>
        <v/>
      </c>
      <c r="X255" s="8">
        <f>IF(COUNT(D255:V255)=0,"",MEDIAN(D255:V255))</f>
        <v/>
      </c>
      <c r="Y255" s="8">
        <f>IF(COUNT(D255:V255)=0,"",MAX(D255:V255))</f>
        <v/>
      </c>
      <c r="Z255" s="9">
        <f>IF(OR(W255="",W255=0),"",(Y255-W255)/W255)</f>
        <v/>
      </c>
      <c r="AA255" s="7">
        <f>IF(COUNT(D255:V255)=0,"",INDEX($D$1:$V$1,MATCH(MIN(D255:V255),D255:V255,0)))</f>
        <v/>
      </c>
      <c r="AB255" s="8" t="n">
        <v>785.33</v>
      </c>
      <c r="AC255" s="10" t="n">
        <v>1</v>
      </c>
    </row>
    <row r="256">
      <c r="A256" s="7" t="inlineStr">
        <is>
          <t>MAT-08-040</t>
        </is>
      </c>
      <c r="B256" s="4" t="inlineStr">
        <is>
          <t>Cerámica de pared, 58 x 30 cm</t>
        </is>
      </c>
      <c r="C256" s="7" t="inlineStr">
        <is>
          <t>m²</t>
        </is>
      </c>
      <c r="D256" s="8" t="n">
        <v>1684.92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>
        <f>IF(COUNT(D256:V256)=0,"",MIN(D256:V256))</f>
        <v/>
      </c>
      <c r="X256" s="8">
        <f>IF(COUNT(D256:V256)=0,"",MEDIAN(D256:V256))</f>
        <v/>
      </c>
      <c r="Y256" s="8">
        <f>IF(COUNT(D256:V256)=0,"",MAX(D256:V256))</f>
        <v/>
      </c>
      <c r="Z256" s="9">
        <f>IF(OR(W256="",W256=0),"",(Y256-W256)/W256)</f>
        <v/>
      </c>
      <c r="AA256" s="7">
        <f>IF(COUNT(D256:V256)=0,"",INDEX($D$1:$V$1,MATCH(MIN(D256:V256),D256:V256,0)))</f>
        <v/>
      </c>
      <c r="AB256" s="8" t="n">
        <v>1684.92</v>
      </c>
      <c r="AC256" s="10" t="n">
        <v>1</v>
      </c>
    </row>
    <row r="257">
      <c r="A257" s="7" t="inlineStr">
        <is>
          <t>MAT-08-041</t>
        </is>
      </c>
      <c r="B257" s="4" t="inlineStr">
        <is>
          <t>Cerámica de pared, 58 x 33 cm</t>
        </is>
      </c>
      <c r="C257" s="7" t="inlineStr">
        <is>
          <t>m²</t>
        </is>
      </c>
      <c r="D257" s="8" t="n">
        <v>333.42</v>
      </c>
      <c r="E257" s="8" t="n"/>
      <c r="F257" s="8" t="n"/>
      <c r="G257" s="8" t="n"/>
      <c r="H257" s="8" t="n"/>
      <c r="I257" s="8" t="n">
        <v>460</v>
      </c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>
        <f>IF(COUNT(D257:V257)=0,"",MIN(D257:V257))</f>
        <v/>
      </c>
      <c r="X257" s="8">
        <f>IF(COUNT(D257:V257)=0,"",MEDIAN(D257:V257))</f>
        <v/>
      </c>
      <c r="Y257" s="8">
        <f>IF(COUNT(D257:V257)=0,"",MAX(D257:V257))</f>
        <v/>
      </c>
      <c r="Z257" s="9">
        <f>IF(OR(W257="",W257=0),"",(Y257-W257)/W257)</f>
        <v/>
      </c>
      <c r="AA257" s="7">
        <f>IF(COUNT(D257:V257)=0,"",INDEX($D$1:$V$1,MATCH(MIN(D257:V257),D257:V257,0)))</f>
        <v/>
      </c>
      <c r="AB257" s="8" t="n">
        <v>401.21</v>
      </c>
      <c r="AC257" s="10" t="n">
        <v>2</v>
      </c>
    </row>
    <row r="258">
      <c r="A258" s="7" t="inlineStr">
        <is>
          <t>MAT-08-042</t>
        </is>
      </c>
      <c r="B258" s="4" t="inlineStr">
        <is>
          <t>Cerámica de pared, 60 x 20 cm</t>
        </is>
      </c>
      <c r="C258" s="7" t="inlineStr">
        <is>
          <t>m²</t>
        </is>
      </c>
      <c r="D258" s="8" t="n">
        <v>1162.7</v>
      </c>
      <c r="E258" s="8" t="n"/>
      <c r="F258" s="8" t="n"/>
      <c r="G258" s="8" t="n"/>
      <c r="H258" s="8" t="n">
        <v>1640.18</v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>
        <f>IF(COUNT(D258:V258)=0,"",MIN(D258:V258))</f>
        <v/>
      </c>
      <c r="X258" s="8">
        <f>IF(COUNT(D258:V258)=0,"",MEDIAN(D258:V258))</f>
        <v/>
      </c>
      <c r="Y258" s="8">
        <f>IF(COUNT(D258:V258)=0,"",MAX(D258:V258))</f>
        <v/>
      </c>
      <c r="Z258" s="9">
        <f>IF(OR(W258="",W258=0),"",(Y258-W258)/W258)</f>
        <v/>
      </c>
      <c r="AA258" s="7">
        <f>IF(COUNT(D258:V258)=0,"",INDEX($D$1:$V$1,MATCH(MIN(D258:V258),D258:V258,0)))</f>
        <v/>
      </c>
      <c r="AB258" s="8" t="n">
        <v>1264.08</v>
      </c>
      <c r="AC258" s="10" t="n">
        <v>2</v>
      </c>
    </row>
    <row r="259">
      <c r="A259" s="7" t="inlineStr">
        <is>
          <t>MAT-08-043</t>
        </is>
      </c>
      <c r="B259" s="4" t="inlineStr">
        <is>
          <t>Cerámica de pared, 60 x 30 cm</t>
        </is>
      </c>
      <c r="C259" s="7" t="inlineStr">
        <is>
          <t>m²</t>
        </is>
      </c>
      <c r="D259" s="8" t="n">
        <v>461.4</v>
      </c>
      <c r="E259" s="8" t="n"/>
      <c r="F259" s="8" t="n">
        <v>355.01</v>
      </c>
      <c r="G259" s="8" t="n"/>
      <c r="H259" s="8" t="n">
        <v>989.96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>
        <f>IF(COUNT(D259:V259)=0,"",MIN(D259:V259))</f>
        <v/>
      </c>
      <c r="X259" s="8">
        <f>IF(COUNT(D259:V259)=0,"",MEDIAN(D259:V259))</f>
        <v/>
      </c>
      <c r="Y259" s="8">
        <f>IF(COUNT(D259:V259)=0,"",MAX(D259:V259))</f>
        <v/>
      </c>
      <c r="Z259" s="9">
        <f>IF(OR(W259="",W259=0),"",(Y259-W259)/W259)</f>
        <v/>
      </c>
      <c r="AA259" s="7">
        <f>IF(COUNT(D259:V259)=0,"",INDEX($D$1:$V$1,MATCH(MIN(D259:V259),D259:V259,0)))</f>
        <v/>
      </c>
      <c r="AB259" s="8" t="n">
        <v>800.16</v>
      </c>
      <c r="AC259" s="10" t="n">
        <v>3</v>
      </c>
    </row>
    <row r="260">
      <c r="A260" s="7" t="inlineStr">
        <is>
          <t>MAT-08-044</t>
        </is>
      </c>
      <c r="B260" s="4" t="inlineStr">
        <is>
          <t>Cerámica de pared, 60 x 33 cm</t>
        </is>
      </c>
      <c r="C260" s="7" t="inlineStr">
        <is>
          <t>m²</t>
        </is>
      </c>
      <c r="D260" s="8" t="n">
        <v>1027.23</v>
      </c>
      <c r="E260" s="8" t="n"/>
      <c r="F260" s="8" t="n"/>
      <c r="G260" s="8" t="n"/>
      <c r="H260" s="8" t="n">
        <v>724.97</v>
      </c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>
        <f>IF(COUNT(D260:V260)=0,"",MIN(D260:V260))</f>
        <v/>
      </c>
      <c r="X260" s="8">
        <f>IF(COUNT(D260:V260)=0,"",MEDIAN(D260:V260))</f>
        <v/>
      </c>
      <c r="Y260" s="8">
        <f>IF(COUNT(D260:V260)=0,"",MAX(D260:V260))</f>
        <v/>
      </c>
      <c r="Z260" s="9">
        <f>IF(OR(W260="",W260=0),"",(Y260-W260)/W260)</f>
        <v/>
      </c>
      <c r="AA260" s="7">
        <f>IF(COUNT(D260:V260)=0,"",INDEX($D$1:$V$1,MATCH(MIN(D260:V260),D260:V260,0)))</f>
        <v/>
      </c>
      <c r="AB260" s="8" t="n">
        <v>876.1</v>
      </c>
      <c r="AC260" s="10" t="n">
        <v>2</v>
      </c>
    </row>
    <row r="261">
      <c r="A261" s="7" t="inlineStr">
        <is>
          <t>MAT-08-045</t>
        </is>
      </c>
      <c r="B261" s="4" t="inlineStr">
        <is>
          <t>Cerámica de pared, 60 x 60 cm</t>
        </is>
      </c>
      <c r="C261" s="7" t="inlineStr">
        <is>
          <t>m²</t>
        </is>
      </c>
      <c r="D261" s="8" t="n">
        <v>1195.21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>
        <f>IF(COUNT(D261:V261)=0,"",MIN(D261:V261))</f>
        <v/>
      </c>
      <c r="X261" s="8">
        <f>IF(COUNT(D261:V261)=0,"",MEDIAN(D261:V261))</f>
        <v/>
      </c>
      <c r="Y261" s="8">
        <f>IF(COUNT(D261:V261)=0,"",MAX(D261:V261))</f>
        <v/>
      </c>
      <c r="Z261" s="9">
        <f>IF(OR(W261="",W261=0),"",(Y261-W261)/W261)</f>
        <v/>
      </c>
      <c r="AA261" s="7">
        <f>IF(COUNT(D261:V261)=0,"",INDEX($D$1:$V$1,MATCH(MIN(D261:V261),D261:V261,0)))</f>
        <v/>
      </c>
      <c r="AB261" s="8" t="n">
        <v>1195.21</v>
      </c>
      <c r="AC261" s="10" t="n">
        <v>1</v>
      </c>
    </row>
    <row r="262">
      <c r="A262" s="7" t="inlineStr">
        <is>
          <t>MAT-08-046</t>
        </is>
      </c>
      <c r="B262" s="4" t="inlineStr">
        <is>
          <t>Cerámica de pared, 70 x 25 cm</t>
        </is>
      </c>
      <c r="C262" s="7" t="inlineStr">
        <is>
          <t>m²</t>
        </is>
      </c>
      <c r="D262" s="8" t="n">
        <v>199.95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>
        <f>IF(COUNT(D262:V262)=0,"",MIN(D262:V262))</f>
        <v/>
      </c>
      <c r="X262" s="8">
        <f>IF(COUNT(D262:V262)=0,"",MEDIAN(D262:V262))</f>
        <v/>
      </c>
      <c r="Y262" s="8">
        <f>IF(COUNT(D262:V262)=0,"",MAX(D262:V262))</f>
        <v/>
      </c>
      <c r="Z262" s="9">
        <f>IF(OR(W262="",W262=0),"",(Y262-W262)/W262)</f>
        <v/>
      </c>
      <c r="AA262" s="7">
        <f>IF(COUNT(D262:V262)=0,"",INDEX($D$1:$V$1,MATCH(MIN(D262:V262),D262:V262,0)))</f>
        <v/>
      </c>
      <c r="AB262" s="8" t="n">
        <v>199.95</v>
      </c>
      <c r="AC262" s="10" t="n">
        <v>1</v>
      </c>
    </row>
    <row r="263">
      <c r="A263" s="7" t="inlineStr">
        <is>
          <t>MAT-08-047</t>
        </is>
      </c>
      <c r="B263" s="4" t="inlineStr">
        <is>
          <t>Cerámica de pared, 75 x 25 cm</t>
        </is>
      </c>
      <c r="C263" s="7" t="inlineStr">
        <is>
          <t>m²</t>
        </is>
      </c>
      <c r="D263" s="8" t="n">
        <v>883.8200000000001</v>
      </c>
      <c r="E263" s="8" t="n"/>
      <c r="F263" s="8" t="n">
        <v>1391.47</v>
      </c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>
        <f>IF(COUNT(D263:V263)=0,"",MIN(D263:V263))</f>
        <v/>
      </c>
      <c r="X263" s="8">
        <f>IF(COUNT(D263:V263)=0,"",MEDIAN(D263:V263))</f>
        <v/>
      </c>
      <c r="Y263" s="8">
        <f>IF(COUNT(D263:V263)=0,"",MAX(D263:V263))</f>
        <v/>
      </c>
      <c r="Z263" s="9">
        <f>IF(OR(W263="",W263=0),"",(Y263-W263)/W263)</f>
        <v/>
      </c>
      <c r="AA263" s="7">
        <f>IF(COUNT(D263:V263)=0,"",INDEX($D$1:$V$1,MATCH(MIN(D263:V263),D263:V263,0)))</f>
        <v/>
      </c>
      <c r="AB263" s="8" t="n">
        <v>1279.89</v>
      </c>
      <c r="AC263" s="10" t="n">
        <v>2</v>
      </c>
    </row>
    <row r="264">
      <c r="A264" s="7" t="inlineStr">
        <is>
          <t>MAT-08-048</t>
        </is>
      </c>
      <c r="B264" s="4" t="inlineStr">
        <is>
          <t>Cerámica de pared, 75 x 30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1789.97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>
        <f>IF(COUNT(D264:V264)=0,"",MIN(D264:V264))</f>
        <v/>
      </c>
      <c r="X264" s="8">
        <f>IF(COUNT(D264:V264)=0,"",MEDIAN(D264:V264))</f>
        <v/>
      </c>
      <c r="Y264" s="8">
        <f>IF(COUNT(D264:V264)=0,"",MAX(D264:V264))</f>
        <v/>
      </c>
      <c r="Z264" s="9">
        <f>IF(OR(W264="",W264=0),"",(Y264-W264)/W264)</f>
        <v/>
      </c>
      <c r="AA264" s="7">
        <f>IF(COUNT(D264:V264)=0,"",INDEX($D$1:$V$1,MATCH(MIN(D264:V264),D264:V264,0)))</f>
        <v/>
      </c>
      <c r="AB264" s="8" t="n">
        <v>1789.97</v>
      </c>
      <c r="AC264" s="10" t="n">
        <v>1</v>
      </c>
    </row>
    <row r="265">
      <c r="A265" s="7" t="inlineStr">
        <is>
          <t>MAT-08-049</t>
        </is>
      </c>
      <c r="B265" s="4" t="inlineStr">
        <is>
          <t>Cerámica de pared, 75 x 35 cm</t>
        </is>
      </c>
      <c r="C265" s="7" t="inlineStr">
        <is>
          <t>m²</t>
        </is>
      </c>
      <c r="D265" s="8" t="n"/>
      <c r="E265" s="8" t="n"/>
      <c r="F265" s="8" t="n">
        <v>1573.05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>
        <f>IF(COUNT(D265:V265)=0,"",MIN(D265:V265))</f>
        <v/>
      </c>
      <c r="X265" s="8">
        <f>IF(COUNT(D265:V265)=0,"",MEDIAN(D265:V265))</f>
        <v/>
      </c>
      <c r="Y265" s="8">
        <f>IF(COUNT(D265:V265)=0,"",MAX(D265:V265))</f>
        <v/>
      </c>
      <c r="Z265" s="9">
        <f>IF(OR(W265="",W265=0),"",(Y265-W265)/W265)</f>
        <v/>
      </c>
      <c r="AA265" s="7">
        <f>IF(COUNT(D265:V265)=0,"",INDEX($D$1:$V$1,MATCH(MIN(D265:V265),D265:V265,0)))</f>
        <v/>
      </c>
      <c r="AB265" s="8" t="n">
        <v>2071.81</v>
      </c>
      <c r="AC265" s="10" t="n">
        <v>1</v>
      </c>
    </row>
    <row r="266">
      <c r="A266" s="7" t="inlineStr">
        <is>
          <t>MAT-08-050</t>
        </is>
      </c>
      <c r="B266" s="4" t="inlineStr">
        <is>
          <t>Cerámica de pared, 75 x 38 cm</t>
        </is>
      </c>
      <c r="C266" s="7" t="inlineStr">
        <is>
          <t>m²</t>
        </is>
      </c>
      <c r="D266" s="8" t="n">
        <v>527.28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>
        <f>IF(COUNT(D266:V266)=0,"",MIN(D266:V266))</f>
        <v/>
      </c>
      <c r="X266" s="8">
        <f>IF(COUNT(D266:V266)=0,"",MEDIAN(D266:V266))</f>
        <v/>
      </c>
      <c r="Y266" s="8">
        <f>IF(COUNT(D266:V266)=0,"",MAX(D266:V266))</f>
        <v/>
      </c>
      <c r="Z266" s="9">
        <f>IF(OR(W266="",W266=0),"",(Y266-W266)/W266)</f>
        <v/>
      </c>
      <c r="AA266" s="7">
        <f>IF(COUNT(D266:V266)=0,"",INDEX($D$1:$V$1,MATCH(MIN(D266:V266),D266:V266,0)))</f>
        <v/>
      </c>
      <c r="AB266" s="8" t="n">
        <v>644.1900000000001</v>
      </c>
      <c r="AC266" s="10" t="n">
        <v>1</v>
      </c>
    </row>
    <row r="267">
      <c r="A267" s="7" t="inlineStr">
        <is>
          <t>MAT-08-051</t>
        </is>
      </c>
      <c r="B267" s="4" t="inlineStr">
        <is>
          <t>Cerámica de pared, 80 x 36 cm</t>
        </is>
      </c>
      <c r="C267" s="7" t="inlineStr">
        <is>
          <t>m²</t>
        </is>
      </c>
      <c r="D267" s="8" t="n">
        <v>1343.86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>
        <f>IF(COUNT(D267:V267)=0,"",MIN(D267:V267))</f>
        <v/>
      </c>
      <c r="X267" s="8">
        <f>IF(COUNT(D267:V267)=0,"",MEDIAN(D267:V267))</f>
        <v/>
      </c>
      <c r="Y267" s="8">
        <f>IF(COUNT(D267:V267)=0,"",MAX(D267:V267))</f>
        <v/>
      </c>
      <c r="Z267" s="9">
        <f>IF(OR(W267="",W267=0),"",(Y267-W267)/W267)</f>
        <v/>
      </c>
      <c r="AA267" s="7">
        <f>IF(COUNT(D267:V267)=0,"",INDEX($D$1:$V$1,MATCH(MIN(D267:V267),D267:V267,0)))</f>
        <v/>
      </c>
      <c r="AB267" s="8" t="n">
        <v>1511.88</v>
      </c>
      <c r="AC267" s="10" t="n">
        <v>1</v>
      </c>
    </row>
    <row r="268">
      <c r="A268" s="7" t="inlineStr">
        <is>
          <t>MAT-08-052</t>
        </is>
      </c>
      <c r="B268" s="4" t="inlineStr">
        <is>
          <t>Cerámica de pared, 90 x 30 cm</t>
        </is>
      </c>
      <c r="C268" s="7" t="inlineStr">
        <is>
          <t>m²</t>
        </is>
      </c>
      <c r="D268" s="8" t="n">
        <v>401.35</v>
      </c>
      <c r="E268" s="8" t="n"/>
      <c r="F268" s="8" t="n">
        <v>987.8</v>
      </c>
      <c r="G268" s="8" t="n"/>
      <c r="H268" s="8" t="n">
        <v>1849.96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>
        <f>IF(COUNT(D268:V268)=0,"",MIN(D268:V268))</f>
        <v/>
      </c>
      <c r="X268" s="8">
        <f>IF(COUNT(D268:V268)=0,"",MEDIAN(D268:V268))</f>
        <v/>
      </c>
      <c r="Y268" s="8">
        <f>IF(COUNT(D268:V268)=0,"",MAX(D268:V268))</f>
        <v/>
      </c>
      <c r="Z268" s="9">
        <f>IF(OR(W268="",W268=0),"",(Y268-W268)/W268)</f>
        <v/>
      </c>
      <c r="AA268" s="7">
        <f>IF(COUNT(D268:V268)=0,"",INDEX($D$1:$V$1,MATCH(MIN(D268:V268),D268:V268,0)))</f>
        <v/>
      </c>
      <c r="AB268" s="8" t="n">
        <v>1817.04</v>
      </c>
      <c r="AC268" s="10" t="n">
        <v>3</v>
      </c>
    </row>
    <row r="269">
      <c r="A269" s="7" t="inlineStr">
        <is>
          <t>MAT-08-053</t>
        </is>
      </c>
      <c r="B269" s="4" t="inlineStr">
        <is>
          <t>Cerámica de pared, 90 x 33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1690.02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>
        <f>IF(COUNT(D269:V269)=0,"",MIN(D269:V269))</f>
        <v/>
      </c>
      <c r="X269" s="8">
        <f>IF(COUNT(D269:V269)=0,"",MEDIAN(D269:V269))</f>
        <v/>
      </c>
      <c r="Y269" s="8">
        <f>IF(COUNT(D269:V269)=0,"",MAX(D269:V269))</f>
        <v/>
      </c>
      <c r="Z269" s="9">
        <f>IF(OR(W269="",W269=0),"",(Y269-W269)/W269)</f>
        <v/>
      </c>
      <c r="AA269" s="7">
        <f>IF(COUNT(D269:V269)=0,"",INDEX($D$1:$V$1,MATCH(MIN(D269:V269),D269:V269,0)))</f>
        <v/>
      </c>
      <c r="AB269" s="8" t="n">
        <v>1770.01</v>
      </c>
      <c r="AC269" s="10" t="n">
        <v>1</v>
      </c>
    </row>
    <row r="270">
      <c r="A270" s="7" t="inlineStr">
        <is>
          <t>MAT-08-054</t>
        </is>
      </c>
      <c r="B270" s="4" t="inlineStr">
        <is>
          <t>Cerámica de pared, 90 x 45 cm</t>
        </is>
      </c>
      <c r="C270" s="7" t="inlineStr">
        <is>
          <t>m²</t>
        </is>
      </c>
      <c r="D270" s="8" t="n">
        <v>2506.89</v>
      </c>
      <c r="E270" s="8" t="n"/>
      <c r="F270" s="8" t="n">
        <v>1552.61</v>
      </c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>
        <f>IF(COUNT(D270:V270)=0,"",MIN(D270:V270))</f>
        <v/>
      </c>
      <c r="X270" s="8">
        <f>IF(COUNT(D270:V270)=0,"",MEDIAN(D270:V270))</f>
        <v/>
      </c>
      <c r="Y270" s="8">
        <f>IF(COUNT(D270:V270)=0,"",MAX(D270:V270))</f>
        <v/>
      </c>
      <c r="Z270" s="9">
        <f>IF(OR(W270="",W270=0),"",(Y270-W270)/W270)</f>
        <v/>
      </c>
      <c r="AA270" s="7">
        <f>IF(COUNT(D270:V270)=0,"",INDEX($D$1:$V$1,MATCH(MIN(D270:V270),D270:V270,0)))</f>
        <v/>
      </c>
      <c r="AB270" s="8" t="n">
        <v>2169.48</v>
      </c>
      <c r="AC270" s="10" t="n">
        <v>2</v>
      </c>
    </row>
    <row r="271">
      <c r="A271" s="7" t="inlineStr">
        <is>
          <t>MAT-08-055</t>
        </is>
      </c>
      <c r="B271" s="4" t="inlineStr">
        <is>
          <t>Cerámica de piso, 100 x 33 cm</t>
        </is>
      </c>
      <c r="C271" s="7" t="inlineStr">
        <is>
          <t>m²</t>
        </is>
      </c>
      <c r="D271" s="8" t="n">
        <v>1333.56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>
        <f>IF(COUNT(D271:V271)=0,"",MIN(D271:V271))</f>
        <v/>
      </c>
      <c r="X271" s="8">
        <f>IF(COUNT(D271:V271)=0,"",MEDIAN(D271:V271))</f>
        <v/>
      </c>
      <c r="Y271" s="8">
        <f>IF(COUNT(D271:V271)=0,"",MAX(D271:V271))</f>
        <v/>
      </c>
      <c r="Z271" s="9">
        <f>IF(OR(W271="",W271=0),"",(Y271-W271)/W271)</f>
        <v/>
      </c>
      <c r="AA271" s="7">
        <f>IF(COUNT(D271:V271)=0,"",INDEX($D$1:$V$1,MATCH(MIN(D271:V271),D271:V271,0)))</f>
        <v/>
      </c>
      <c r="AB271" s="8" t="n">
        <v>1419.42</v>
      </c>
      <c r="AC271" s="10" t="n">
        <v>1</v>
      </c>
    </row>
    <row r="272">
      <c r="A272" s="7" t="inlineStr">
        <is>
          <t>MAT-08-056</t>
        </is>
      </c>
      <c r="B272" s="4" t="inlineStr">
        <is>
          <t>Cerámica de piso, 100 x 45 cm</t>
        </is>
      </c>
      <c r="C272" s="7" t="inlineStr">
        <is>
          <t>m²</t>
        </is>
      </c>
      <c r="D272" s="8" t="n"/>
      <c r="E272" s="8" t="n"/>
      <c r="F272" s="8" t="n">
        <v>1145.76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>
        <f>IF(COUNT(D272:V272)=0,"",MIN(D272:V272))</f>
        <v/>
      </c>
      <c r="X272" s="8">
        <f>IF(COUNT(D272:V272)=0,"",MEDIAN(D272:V272))</f>
        <v/>
      </c>
      <c r="Y272" s="8">
        <f>IF(COUNT(D272:V272)=0,"",MAX(D272:V272))</f>
        <v/>
      </c>
      <c r="Z272" s="9">
        <f>IF(OR(W272="",W272=0),"",(Y272-W272)/W272)</f>
        <v/>
      </c>
      <c r="AA272" s="7">
        <f>IF(COUNT(D272:V272)=0,"",INDEX($D$1:$V$1,MATCH(MIN(D272:V272),D272:V272,0)))</f>
        <v/>
      </c>
      <c r="AB272" s="8" t="n">
        <v>1352</v>
      </c>
      <c r="AC272" s="10" t="n">
        <v>1</v>
      </c>
    </row>
    <row r="273">
      <c r="A273" s="7" t="inlineStr">
        <is>
          <t>MAT-08-057</t>
        </is>
      </c>
      <c r="B273" s="4" t="inlineStr">
        <is>
          <t>Cerámica de piso, 110 x 55 cm</t>
        </is>
      </c>
      <c r="C273" s="7" t="inlineStr">
        <is>
          <t>m²</t>
        </is>
      </c>
      <c r="D273" s="8" t="n"/>
      <c r="E273" s="8" t="n"/>
      <c r="F273" s="8" t="n">
        <v>664.4400000000001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>
        <f>IF(COUNT(D273:V273)=0,"",MIN(D273:V273))</f>
        <v/>
      </c>
      <c r="X273" s="8">
        <f>IF(COUNT(D273:V273)=0,"",MEDIAN(D273:V273))</f>
        <v/>
      </c>
      <c r="Y273" s="8">
        <f>IF(COUNT(D273:V273)=0,"",MAX(D273:V273))</f>
        <v/>
      </c>
      <c r="Z273" s="9">
        <f>IF(OR(W273="",W273=0),"",(Y273-W273)/W273)</f>
        <v/>
      </c>
      <c r="AA273" s="7">
        <f>IF(COUNT(D273:V273)=0,"",INDEX($D$1:$V$1,MATCH(MIN(D273:V273),D273:V273,0)))</f>
        <v/>
      </c>
      <c r="AB273" s="8" t="n">
        <v>784.04</v>
      </c>
      <c r="AC273" s="10" t="n">
        <v>1</v>
      </c>
    </row>
    <row r="274">
      <c r="A274" s="7" t="inlineStr">
        <is>
          <t>MAT-08-058</t>
        </is>
      </c>
      <c r="B274" s="4" t="inlineStr">
        <is>
          <t>Cerámica de piso, 113 x 55 cm</t>
        </is>
      </c>
      <c r="C274" s="7" t="inlineStr">
        <is>
          <t>m²</t>
        </is>
      </c>
      <c r="D274" s="8" t="n">
        <v>489.48</v>
      </c>
      <c r="E274" s="8" t="n"/>
      <c r="F274" s="8" t="n"/>
      <c r="G274" s="8" t="n"/>
      <c r="H274" s="8" t="n"/>
      <c r="I274" s="8" t="n">
        <v>750</v>
      </c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>
        <f>IF(COUNT(D274:V274)=0,"",MIN(D274:V274))</f>
        <v/>
      </c>
      <c r="X274" s="8">
        <f>IF(COUNT(D274:V274)=0,"",MEDIAN(D274:V274))</f>
        <v/>
      </c>
      <c r="Y274" s="8">
        <f>IF(COUNT(D274:V274)=0,"",MAX(D274:V274))</f>
        <v/>
      </c>
      <c r="Z274" s="9">
        <f>IF(OR(W274="",W274=0),"",(Y274-W274)/W274)</f>
        <v/>
      </c>
      <c r="AA274" s="7">
        <f>IF(COUNT(D274:V274)=0,"",INDEX($D$1:$V$1,MATCH(MIN(D274:V274),D274:V274,0)))</f>
        <v/>
      </c>
      <c r="AB274" s="8" t="n">
        <v>975</v>
      </c>
      <c r="AC274" s="10" t="n">
        <v>2</v>
      </c>
    </row>
    <row r="275">
      <c r="A275" s="7" t="inlineStr">
        <is>
          <t>MAT-08-059</t>
        </is>
      </c>
      <c r="B275" s="4" t="inlineStr">
        <is>
          <t>Cerámica de piso, 114 x 18 cm</t>
        </is>
      </c>
      <c r="C275" s="7" t="inlineStr">
        <is>
          <t>m²</t>
        </is>
      </c>
      <c r="D275" s="8" t="n">
        <v>669.27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>
        <f>IF(COUNT(D275:V275)=0,"",MIN(D275:V275))</f>
        <v/>
      </c>
      <c r="X275" s="8">
        <f>IF(COUNT(D275:V275)=0,"",MEDIAN(D275:V275))</f>
        <v/>
      </c>
      <c r="Y275" s="8">
        <f>IF(COUNT(D275:V275)=0,"",MAX(D275:V275))</f>
        <v/>
      </c>
      <c r="Z275" s="9">
        <f>IF(OR(W275="",W275=0),"",(Y275-W275)/W275)</f>
        <v/>
      </c>
      <c r="AA275" s="7">
        <f>IF(COUNT(D275:V275)=0,"",INDEX($D$1:$V$1,MATCH(MIN(D275:V275),D275:V275,0)))</f>
        <v/>
      </c>
      <c r="AB275" s="8" t="n">
        <v>737.36</v>
      </c>
      <c r="AC275" s="10" t="n">
        <v>1</v>
      </c>
    </row>
    <row r="276">
      <c r="A276" s="7" t="inlineStr">
        <is>
          <t>MAT-08-060</t>
        </is>
      </c>
      <c r="B276" s="4" t="inlineStr">
        <is>
          <t>Cerámica de piso, 120 x 15 cm</t>
        </is>
      </c>
      <c r="C276" s="7" t="inlineStr">
        <is>
          <t>m²</t>
        </is>
      </c>
      <c r="D276" s="8" t="n">
        <v>2578.7</v>
      </c>
      <c r="E276" s="8" t="n"/>
      <c r="F276" s="8" t="n"/>
      <c r="G276" s="8" t="n"/>
      <c r="H276" s="8" t="n">
        <v>1690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>
        <f>IF(COUNT(D276:V276)=0,"",MIN(D276:V276))</f>
        <v/>
      </c>
      <c r="X276" s="8">
        <f>IF(COUNT(D276:V276)=0,"",MEDIAN(D276:V276))</f>
        <v/>
      </c>
      <c r="Y276" s="8">
        <f>IF(COUNT(D276:V276)=0,"",MAX(D276:V276))</f>
        <v/>
      </c>
      <c r="Z276" s="9">
        <f>IF(OR(W276="",W276=0),"",(Y276-W276)/W276)</f>
        <v/>
      </c>
      <c r="AA276" s="7">
        <f>IF(COUNT(D276:V276)=0,"",INDEX($D$1:$V$1,MATCH(MIN(D276:V276),D276:V276,0)))</f>
        <v/>
      </c>
      <c r="AB276" s="8" t="n">
        <v>3981.13</v>
      </c>
      <c r="AC276" s="10" t="n">
        <v>2</v>
      </c>
    </row>
    <row r="277">
      <c r="A277" s="7" t="inlineStr">
        <is>
          <t>MAT-08-061</t>
        </is>
      </c>
      <c r="B277" s="4" t="inlineStr">
        <is>
          <t>Cerámica de piso, 120 x 20 cm</t>
        </is>
      </c>
      <c r="C277" s="7" t="inlineStr">
        <is>
          <t>m²</t>
        </is>
      </c>
      <c r="D277" s="8" t="n">
        <v>1732.1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>
        <f>IF(COUNT(D277:V277)=0,"",MIN(D277:V277))</f>
        <v/>
      </c>
      <c r="X277" s="8">
        <f>IF(COUNT(D277:V277)=0,"",MEDIAN(D277:V277))</f>
        <v/>
      </c>
      <c r="Y277" s="8">
        <f>IF(COUNT(D277:V277)=0,"",MAX(D277:V277))</f>
        <v/>
      </c>
      <c r="Z277" s="9">
        <f>IF(OR(W277="",W277=0),"",(Y277-W277)/W277)</f>
        <v/>
      </c>
      <c r="AA277" s="7">
        <f>IF(COUNT(D277:V277)=0,"",INDEX($D$1:$V$1,MATCH(MIN(D277:V277),D277:V277,0)))</f>
        <v/>
      </c>
      <c r="AB277" s="8" t="n">
        <v>2136.75</v>
      </c>
      <c r="AC277" s="10" t="n">
        <v>1</v>
      </c>
    </row>
    <row r="278">
      <c r="A278" s="7" t="inlineStr">
        <is>
          <t>MAT-08-062</t>
        </is>
      </c>
      <c r="B278" s="4" t="inlineStr">
        <is>
          <t>Cerámica de piso, 120 x 23 cm</t>
        </is>
      </c>
      <c r="C278" s="7" t="inlineStr">
        <is>
          <t>m²</t>
        </is>
      </c>
      <c r="D278" s="8" t="n">
        <v>1253.57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>
        <f>IF(COUNT(D278:V278)=0,"",MIN(D278:V278))</f>
        <v/>
      </c>
      <c r="X278" s="8">
        <f>IF(COUNT(D278:V278)=0,"",MEDIAN(D278:V278))</f>
        <v/>
      </c>
      <c r="Y278" s="8">
        <f>IF(COUNT(D278:V278)=0,"",MAX(D278:V278))</f>
        <v/>
      </c>
      <c r="Z278" s="9">
        <f>IF(OR(W278="",W278=0),"",(Y278-W278)/W278)</f>
        <v/>
      </c>
      <c r="AA278" s="7">
        <f>IF(COUNT(D278:V278)=0,"",INDEX($D$1:$V$1,MATCH(MIN(D278:V278),D278:V278,0)))</f>
        <v/>
      </c>
      <c r="AB278" s="8" t="n">
        <v>1295.89</v>
      </c>
      <c r="AC278" s="10" t="n">
        <v>1</v>
      </c>
    </row>
    <row r="279">
      <c r="A279" s="7" t="inlineStr">
        <is>
          <t>MAT-08-063</t>
        </is>
      </c>
      <c r="B279" s="4" t="inlineStr">
        <is>
          <t>Cerámica de piso, 120 x 40 cm</t>
        </is>
      </c>
      <c r="C279" s="7" t="inlineStr">
        <is>
          <t>m²</t>
        </is>
      </c>
      <c r="D279" s="8" t="n">
        <v>1624.23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>
        <f>IF(COUNT(D279:V279)=0,"",MIN(D279:V279))</f>
        <v/>
      </c>
      <c r="X279" s="8">
        <f>IF(COUNT(D279:V279)=0,"",MEDIAN(D279:V279))</f>
        <v/>
      </c>
      <c r="Y279" s="8">
        <f>IF(COUNT(D279:V279)=0,"",MAX(D279:V279))</f>
        <v/>
      </c>
      <c r="Z279" s="9">
        <f>IF(OR(W279="",W279=0),"",(Y279-W279)/W279)</f>
        <v/>
      </c>
      <c r="AA279" s="7">
        <f>IF(COUNT(D279:V279)=0,"",INDEX($D$1:$V$1,MATCH(MIN(D279:V279),D279:V279,0)))</f>
        <v/>
      </c>
      <c r="AB279" s="8" t="n">
        <v>2036.8</v>
      </c>
      <c r="AC279" s="10" t="n">
        <v>1</v>
      </c>
    </row>
    <row r="280">
      <c r="A280" s="7" t="inlineStr">
        <is>
          <t>MAT-08-064</t>
        </is>
      </c>
      <c r="B280" s="4" t="inlineStr">
        <is>
          <t>Cerámica de piso, 120 x 60 cm</t>
        </is>
      </c>
      <c r="C280" s="7" t="inlineStr">
        <is>
          <t>m²</t>
        </is>
      </c>
      <c r="D280" s="8" t="n">
        <v>819.97</v>
      </c>
      <c r="E280" s="8" t="n"/>
      <c r="F280" s="8" t="n">
        <v>1082.08</v>
      </c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>
        <f>IF(COUNT(D280:V280)=0,"",MIN(D280:V280))</f>
        <v/>
      </c>
      <c r="X280" s="8">
        <f>IF(COUNT(D280:V280)=0,"",MEDIAN(D280:V280))</f>
        <v/>
      </c>
      <c r="Y280" s="8">
        <f>IF(COUNT(D280:V280)=0,"",MAX(D280:V280))</f>
        <v/>
      </c>
      <c r="Z280" s="9">
        <f>IF(OR(W280="",W280=0),"",(Y280-W280)/W280)</f>
        <v/>
      </c>
      <c r="AA280" s="7">
        <f>IF(COUNT(D280:V280)=0,"",INDEX($D$1:$V$1,MATCH(MIN(D280:V280),D280:V280,0)))</f>
        <v/>
      </c>
      <c r="AB280" s="8" t="n">
        <v>1697.46</v>
      </c>
      <c r="AC280" s="10" t="n">
        <v>2</v>
      </c>
    </row>
    <row r="281">
      <c r="A281" s="7" t="inlineStr">
        <is>
          <t>MAT-08-065</t>
        </is>
      </c>
      <c r="B281" s="4" t="inlineStr">
        <is>
          <t>Cerámica de piso, 15 x 15 cm</t>
        </is>
      </c>
      <c r="C281" s="7" t="inlineStr">
        <is>
          <t>m²</t>
        </is>
      </c>
      <c r="D281" s="8" t="n">
        <v>741.84</v>
      </c>
      <c r="E281" s="8" t="n">
        <v>2174.92</v>
      </c>
      <c r="F281" s="8" t="n"/>
      <c r="G281" s="8" t="n"/>
      <c r="H281" s="8" t="n">
        <v>1889.91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>
        <f>IF(COUNT(D281:V281)=0,"",MIN(D281:V281))</f>
        <v/>
      </c>
      <c r="X281" s="8">
        <f>IF(COUNT(D281:V281)=0,"",MEDIAN(D281:V281))</f>
        <v/>
      </c>
      <c r="Y281" s="8">
        <f>IF(COUNT(D281:V281)=0,"",MAX(D281:V281))</f>
        <v/>
      </c>
      <c r="Z281" s="9">
        <f>IF(OR(W281="",W281=0),"",(Y281-W281)/W281)</f>
        <v/>
      </c>
      <c r="AA281" s="7">
        <f>IF(COUNT(D281:V281)=0,"",INDEX($D$1:$V$1,MATCH(MIN(D281:V281),D281:V281,0)))</f>
        <v/>
      </c>
      <c r="AB281" s="8" t="n">
        <v>1889.91</v>
      </c>
      <c r="AC281" s="10" t="n">
        <v>3</v>
      </c>
    </row>
    <row r="282">
      <c r="A282" s="7" t="inlineStr">
        <is>
          <t>MAT-08-066</t>
        </is>
      </c>
      <c r="B282" s="4" t="inlineStr">
        <is>
          <t>Cerámica de piso, 150 x 75 cm</t>
        </is>
      </c>
      <c r="C282" s="7" t="inlineStr">
        <is>
          <t>m²</t>
        </is>
      </c>
      <c r="D282" s="8" t="n"/>
      <c r="E282" s="8" t="n"/>
      <c r="F282" s="8" t="n">
        <v>2539.67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>
        <f>IF(COUNT(D282:V282)=0,"",MIN(D282:V282))</f>
        <v/>
      </c>
      <c r="X282" s="8">
        <f>IF(COUNT(D282:V282)=0,"",MEDIAN(D282:V282))</f>
        <v/>
      </c>
      <c r="Y282" s="8">
        <f>IF(COUNT(D282:V282)=0,"",MAX(D282:V282))</f>
        <v/>
      </c>
      <c r="Z282" s="9">
        <f>IF(OR(W282="",W282=0),"",(Y282-W282)/W282)</f>
        <v/>
      </c>
      <c r="AA282" s="7">
        <f>IF(COUNT(D282:V282)=0,"",INDEX($D$1:$V$1,MATCH(MIN(D282:V282),D282:V282,0)))</f>
        <v/>
      </c>
      <c r="AB282" s="8" t="n">
        <v>3031.01</v>
      </c>
      <c r="AC282" s="10" t="n">
        <v>1</v>
      </c>
    </row>
    <row r="283">
      <c r="A283" s="7" t="inlineStr">
        <is>
          <t>MAT-08-067</t>
        </is>
      </c>
      <c r="B283" s="4" t="inlineStr">
        <is>
          <t>Cerámica de piso, 20 x 20 cm</t>
        </is>
      </c>
      <c r="C283" s="7" t="inlineStr">
        <is>
          <t>m²</t>
        </is>
      </c>
      <c r="D283" s="8" t="n">
        <v>324.25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>
        <f>IF(COUNT(D283:V283)=0,"",MIN(D283:V283))</f>
        <v/>
      </c>
      <c r="X283" s="8">
        <f>IF(COUNT(D283:V283)=0,"",MEDIAN(D283:V283))</f>
        <v/>
      </c>
      <c r="Y283" s="8">
        <f>IF(COUNT(D283:V283)=0,"",MAX(D283:V283))</f>
        <v/>
      </c>
      <c r="Z283" s="9">
        <f>IF(OR(W283="",W283=0),"",(Y283-W283)/W283)</f>
        <v/>
      </c>
      <c r="AA283" s="7">
        <f>IF(COUNT(D283:V283)=0,"",INDEX($D$1:$V$1,MATCH(MIN(D283:V283),D283:V283,0)))</f>
        <v/>
      </c>
      <c r="AB283" s="8" t="n">
        <v>324.25</v>
      </c>
      <c r="AC283" s="10" t="n">
        <v>1</v>
      </c>
    </row>
    <row r="284">
      <c r="A284" s="7" t="inlineStr">
        <is>
          <t>MAT-08-068</t>
        </is>
      </c>
      <c r="B284" s="4" t="inlineStr">
        <is>
          <t>Cerámica de piso, 22.3 x 22.3 cm</t>
        </is>
      </c>
      <c r="C284" s="7" t="inlineStr">
        <is>
          <t>m²</t>
        </is>
      </c>
      <c r="D284" s="8" t="n">
        <v>2595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>
        <f>IF(COUNT(D284:V284)=0,"",MIN(D284:V284))</f>
        <v/>
      </c>
      <c r="X284" s="8">
        <f>IF(COUNT(D284:V284)=0,"",MEDIAN(D284:V284))</f>
        <v/>
      </c>
      <c r="Y284" s="8">
        <f>IF(COUNT(D284:V284)=0,"",MAX(D284:V284))</f>
        <v/>
      </c>
      <c r="Z284" s="9">
        <f>IF(OR(W284="",W284=0),"",(Y284-W284)/W284)</f>
        <v/>
      </c>
      <c r="AA284" s="7">
        <f>IF(COUNT(D284:V284)=0,"",INDEX($D$1:$V$1,MATCH(MIN(D284:V284),D284:V284,0)))</f>
        <v/>
      </c>
      <c r="AB284" s="8" t="n">
        <v>2595</v>
      </c>
      <c r="AC284" s="10" t="n">
        <v>1</v>
      </c>
    </row>
    <row r="285">
      <c r="A285" s="7" t="inlineStr">
        <is>
          <t>MAT-08-069</t>
        </is>
      </c>
      <c r="B285" s="4" t="inlineStr">
        <is>
          <t>Cerámica de piso, 30 x 7.5 cm</t>
        </is>
      </c>
      <c r="C285" s="7" t="inlineStr">
        <is>
          <t>m²</t>
        </is>
      </c>
      <c r="D285" s="8" t="n"/>
      <c r="E285" s="8" t="n"/>
      <c r="F285" s="8" t="n"/>
      <c r="G285" s="8" t="n"/>
      <c r="H285" s="8" t="n">
        <v>2989.56</v>
      </c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>
        <f>IF(COUNT(D285:V285)=0,"",MIN(D285:V285))</f>
        <v/>
      </c>
      <c r="X285" s="8">
        <f>IF(COUNT(D285:V285)=0,"",MEDIAN(D285:V285))</f>
        <v/>
      </c>
      <c r="Y285" s="8">
        <f>IF(COUNT(D285:V285)=0,"",MAX(D285:V285))</f>
        <v/>
      </c>
      <c r="Z285" s="9">
        <f>IF(OR(W285="",W285=0),"",(Y285-W285)/W285)</f>
        <v/>
      </c>
      <c r="AA285" s="7">
        <f>IF(COUNT(D285:V285)=0,"",INDEX($D$1:$V$1,MATCH(MIN(D285:V285),D285:V285,0)))</f>
        <v/>
      </c>
      <c r="AB285" s="8" t="n">
        <v>2989.56</v>
      </c>
      <c r="AC285" s="10" t="n">
        <v>1</v>
      </c>
    </row>
    <row r="286">
      <c r="A286" s="7" t="inlineStr">
        <is>
          <t>MAT-08-070</t>
        </is>
      </c>
      <c r="B286" s="4" t="inlineStr">
        <is>
          <t>Cerámica de piso, 33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850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>
        <f>IF(COUNT(D286:V286)=0,"",MIN(D286:V286))</f>
        <v/>
      </c>
      <c r="X286" s="8">
        <f>IF(COUNT(D286:V286)=0,"",MEDIAN(D286:V286))</f>
        <v/>
      </c>
      <c r="Y286" s="8">
        <f>IF(COUNT(D286:V286)=0,"",MAX(D286:V286))</f>
        <v/>
      </c>
      <c r="Z286" s="9">
        <f>IF(OR(W286="",W286=0),"",(Y286-W286)/W286)</f>
        <v/>
      </c>
      <c r="AA286" s="7">
        <f>IF(COUNT(D286:V286)=0,"",INDEX($D$1:$V$1,MATCH(MIN(D286:V286),D286:V286,0)))</f>
        <v/>
      </c>
      <c r="AB286" s="8" t="n">
        <v>899.08</v>
      </c>
      <c r="AC286" s="10" t="n">
        <v>1</v>
      </c>
    </row>
    <row r="287">
      <c r="A287" s="7" t="inlineStr">
        <is>
          <t>MAT-08-071</t>
        </is>
      </c>
      <c r="B287" s="4" t="inlineStr">
        <is>
          <t>Cerámica de piso, 45 x 45 cm</t>
        </is>
      </c>
      <c r="C287" s="7" t="inlineStr">
        <is>
          <t>m²</t>
        </is>
      </c>
      <c r="D287" s="8" t="n">
        <v>371.25</v>
      </c>
      <c r="E287" s="8" t="n">
        <v>494</v>
      </c>
      <c r="F287" s="8" t="n">
        <v>674.91</v>
      </c>
      <c r="G287" s="8" t="n"/>
      <c r="H287" s="8" t="n">
        <v>960.01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>
        <f>IF(COUNT(D287:V287)=0,"",MIN(D287:V287))</f>
        <v/>
      </c>
      <c r="X287" s="8">
        <f>IF(COUNT(D287:V287)=0,"",MEDIAN(D287:V287))</f>
        <v/>
      </c>
      <c r="Y287" s="8">
        <f>IF(COUNT(D287:V287)=0,"",MAX(D287:V287))</f>
        <v/>
      </c>
      <c r="Z287" s="9">
        <f>IF(OR(W287="",W287=0),"",(Y287-W287)/W287)</f>
        <v/>
      </c>
      <c r="AA287" s="7">
        <f>IF(COUNT(D287:V287)=0,"",INDEX($D$1:$V$1,MATCH(MIN(D287:V287),D287:V287,0)))</f>
        <v/>
      </c>
      <c r="AB287" s="8" t="n">
        <v>718.77</v>
      </c>
      <c r="AC287" s="10" t="n">
        <v>4</v>
      </c>
    </row>
    <row r="288">
      <c r="A288" s="7" t="inlineStr">
        <is>
          <t>MAT-08-072</t>
        </is>
      </c>
      <c r="B288" s="4" t="inlineStr">
        <is>
          <t>Cerámica de piso, 50 x 17 cm</t>
        </is>
      </c>
      <c r="C288" s="7" t="inlineStr">
        <is>
          <t>m²</t>
        </is>
      </c>
      <c r="D288" s="8" t="n">
        <v>1169.89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>
        <f>IF(COUNT(D288:V288)=0,"",MIN(D288:V288))</f>
        <v/>
      </c>
      <c r="X288" s="8">
        <f>IF(COUNT(D288:V288)=0,"",MEDIAN(D288:V288))</f>
        <v/>
      </c>
      <c r="Y288" s="8">
        <f>IF(COUNT(D288:V288)=0,"",MAX(D288:V288))</f>
        <v/>
      </c>
      <c r="Z288" s="9">
        <f>IF(OR(W288="",W288=0),"",(Y288-W288)/W288)</f>
        <v/>
      </c>
      <c r="AA288" s="7">
        <f>IF(COUNT(D288:V288)=0,"",INDEX($D$1:$V$1,MATCH(MIN(D288:V288),D288:V288,0)))</f>
        <v/>
      </c>
      <c r="AB288" s="8" t="n">
        <v>1223.85</v>
      </c>
      <c r="AC288" s="10" t="n">
        <v>1</v>
      </c>
    </row>
    <row r="289">
      <c r="A289" s="7" t="inlineStr">
        <is>
          <t>MAT-08-073</t>
        </is>
      </c>
      <c r="B289" s="4" t="inlineStr">
        <is>
          <t>Cerámica de piso, 50 x 50 cm</t>
        </is>
      </c>
      <c r="C289" s="7" t="inlineStr">
        <is>
          <t>m²</t>
        </is>
      </c>
      <c r="D289" s="8" t="n">
        <v>344.43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>
        <f>IF(COUNT(D289:V289)=0,"",MIN(D289:V289))</f>
        <v/>
      </c>
      <c r="X289" s="8">
        <f>IF(COUNT(D289:V289)=0,"",MEDIAN(D289:V289))</f>
        <v/>
      </c>
      <c r="Y289" s="8">
        <f>IF(COUNT(D289:V289)=0,"",MAX(D289:V289))</f>
        <v/>
      </c>
      <c r="Z289" s="9">
        <f>IF(OR(W289="",W289=0),"",(Y289-W289)/W289)</f>
        <v/>
      </c>
      <c r="AA289" s="7">
        <f>IF(COUNT(D289:V289)=0,"",INDEX($D$1:$V$1,MATCH(MIN(D289:V289),D289:V289,0)))</f>
        <v/>
      </c>
      <c r="AB289" s="8" t="n">
        <v>394.57</v>
      </c>
      <c r="AC289" s="10" t="n">
        <v>1</v>
      </c>
    </row>
    <row r="290">
      <c r="A290" s="7" t="inlineStr">
        <is>
          <t>MAT-08-074</t>
        </is>
      </c>
      <c r="B290" s="4" t="inlineStr">
        <is>
          <t>Cerámica de piso, 55 x 33 cm</t>
        </is>
      </c>
      <c r="C290" s="7" t="inlineStr">
        <is>
          <t>m²</t>
        </is>
      </c>
      <c r="D290" s="8" t="n">
        <v>596.66</v>
      </c>
      <c r="E290" s="8" t="n">
        <v>703.08</v>
      </c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>
        <f>IF(COUNT(D290:V290)=0,"",MIN(D290:V290))</f>
        <v/>
      </c>
      <c r="X290" s="8">
        <f>IF(COUNT(D290:V290)=0,"",MEDIAN(D290:V290))</f>
        <v/>
      </c>
      <c r="Y290" s="8">
        <f>IF(COUNT(D290:V290)=0,"",MAX(D290:V290))</f>
        <v/>
      </c>
      <c r="Z290" s="9">
        <f>IF(OR(W290="",W290=0),"",(Y290-W290)/W290)</f>
        <v/>
      </c>
      <c r="AA290" s="7">
        <f>IF(COUNT(D290:V290)=0,"",INDEX($D$1:$V$1,MATCH(MIN(D290:V290),D290:V290,0)))</f>
        <v/>
      </c>
      <c r="AB290" s="8" t="n">
        <v>831.15</v>
      </c>
      <c r="AC290" s="10" t="n">
        <v>2</v>
      </c>
    </row>
    <row r="291">
      <c r="A291" s="7" t="inlineStr">
        <is>
          <t>MAT-08-075</t>
        </is>
      </c>
      <c r="B291" s="4" t="inlineStr">
        <is>
          <t>Cerámica de piso, 55 x 55 cm</t>
        </is>
      </c>
      <c r="C291" s="7" t="inlineStr">
        <is>
          <t>m²</t>
        </is>
      </c>
      <c r="D291" s="8" t="n"/>
      <c r="E291" s="8" t="n">
        <v>524.7</v>
      </c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>
        <f>IF(COUNT(D291:V291)=0,"",MIN(D291:V291))</f>
        <v/>
      </c>
      <c r="X291" s="8">
        <f>IF(COUNT(D291:V291)=0,"",MEDIAN(D291:V291))</f>
        <v/>
      </c>
      <c r="Y291" s="8">
        <f>IF(COUNT(D291:V291)=0,"",MAX(D291:V291))</f>
        <v/>
      </c>
      <c r="Z291" s="9">
        <f>IF(OR(W291="",W291=0),"",(Y291-W291)/W291)</f>
        <v/>
      </c>
      <c r="AA291" s="7">
        <f>IF(COUNT(D291:V291)=0,"",INDEX($D$1:$V$1,MATCH(MIN(D291:V291),D291:V291,0)))</f>
        <v/>
      </c>
      <c r="AB291" s="8" t="n">
        <v>718.6799999999999</v>
      </c>
      <c r="AC291" s="10" t="n">
        <v>1</v>
      </c>
    </row>
    <row r="292">
      <c r="A292" s="7" t="inlineStr">
        <is>
          <t>MAT-08-076</t>
        </is>
      </c>
      <c r="B292" s="4" t="inlineStr">
        <is>
          <t>Cerámica de piso, 58 x 33 cm</t>
        </is>
      </c>
      <c r="C292" s="7" t="inlineStr">
        <is>
          <t>m²</t>
        </is>
      </c>
      <c r="D292" s="8" t="n">
        <v>380.26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>
        <f>IF(COUNT(D292:V292)=0,"",MIN(D292:V292))</f>
        <v/>
      </c>
      <c r="X292" s="8">
        <f>IF(COUNT(D292:V292)=0,"",MEDIAN(D292:V292))</f>
        <v/>
      </c>
      <c r="Y292" s="8">
        <f>IF(COUNT(D292:V292)=0,"",MAX(D292:V292))</f>
        <v/>
      </c>
      <c r="Z292" s="9">
        <f>IF(OR(W292="",W292=0),"",(Y292-W292)/W292)</f>
        <v/>
      </c>
      <c r="AA292" s="7">
        <f>IF(COUNT(D292:V292)=0,"",INDEX($D$1:$V$1,MATCH(MIN(D292:V292),D292:V292,0)))</f>
        <v/>
      </c>
      <c r="AB292" s="8" t="n">
        <v>509.76</v>
      </c>
      <c r="AC292" s="10" t="n">
        <v>1</v>
      </c>
    </row>
    <row r="293">
      <c r="A293" s="7" t="inlineStr">
        <is>
          <t>MAT-08-077</t>
        </is>
      </c>
      <c r="B293" s="4" t="inlineStr">
        <is>
          <t>Cerámica de piso, 58 x 58 cm</t>
        </is>
      </c>
      <c r="C293" s="7" t="inlineStr">
        <is>
          <t>m²</t>
        </is>
      </c>
      <c r="D293" s="8" t="n">
        <v>342.39</v>
      </c>
      <c r="E293" s="8" t="n"/>
      <c r="F293" s="8" t="n"/>
      <c r="G293" s="8" t="n"/>
      <c r="H293" s="8" t="n"/>
      <c r="I293" s="8" t="n">
        <v>389</v>
      </c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>
        <f>IF(COUNT(D293:V293)=0,"",MIN(D293:V293))</f>
        <v/>
      </c>
      <c r="X293" s="8">
        <f>IF(COUNT(D293:V293)=0,"",MEDIAN(D293:V293))</f>
        <v/>
      </c>
      <c r="Y293" s="8">
        <f>IF(COUNT(D293:V293)=0,"",MAX(D293:V293))</f>
        <v/>
      </c>
      <c r="Z293" s="9">
        <f>IF(OR(W293="",W293=0),"",(Y293-W293)/W293)</f>
        <v/>
      </c>
      <c r="AA293" s="7">
        <f>IF(COUNT(D293:V293)=0,"",INDEX($D$1:$V$1,MATCH(MIN(D293:V293),D293:V293,0)))</f>
        <v/>
      </c>
      <c r="AB293" s="8" t="n">
        <v>389</v>
      </c>
      <c r="AC293" s="10" t="n">
        <v>2</v>
      </c>
    </row>
    <row r="294">
      <c r="A294" s="7" t="inlineStr">
        <is>
          <t>MAT-08-078</t>
        </is>
      </c>
      <c r="B294" s="4" t="inlineStr">
        <is>
          <t>Cerámica de piso, 60 x 20 cm</t>
        </is>
      </c>
      <c r="C294" s="7" t="inlineStr">
        <is>
          <t>m²</t>
        </is>
      </c>
      <c r="D294" s="8" t="n">
        <v>445.65</v>
      </c>
      <c r="E294" s="8" t="n"/>
      <c r="F294" s="8" t="n">
        <v>619.3200000000001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>
        <f>IF(COUNT(D294:V294)=0,"",MIN(D294:V294))</f>
        <v/>
      </c>
      <c r="X294" s="8">
        <f>IF(COUNT(D294:V294)=0,"",MEDIAN(D294:V294))</f>
        <v/>
      </c>
      <c r="Y294" s="8">
        <f>IF(COUNT(D294:V294)=0,"",MAX(D294:V294))</f>
        <v/>
      </c>
      <c r="Z294" s="9">
        <f>IF(OR(W294="",W294=0),"",(Y294-W294)/W294)</f>
        <v/>
      </c>
      <c r="AA294" s="7">
        <f>IF(COUNT(D294:V294)=0,"",INDEX($D$1:$V$1,MATCH(MIN(D294:V294),D294:V294,0)))</f>
        <v/>
      </c>
      <c r="AB294" s="8" t="n">
        <v>880.0599999999999</v>
      </c>
      <c r="AC294" s="10" t="n">
        <v>2</v>
      </c>
    </row>
    <row r="295">
      <c r="A295" s="7" t="inlineStr">
        <is>
          <t>MAT-08-079</t>
        </is>
      </c>
      <c r="B295" s="4" t="inlineStr">
        <is>
          <t>Cerámica de piso, 60 x 30 cm</t>
        </is>
      </c>
      <c r="C295" s="7" t="inlineStr">
        <is>
          <t>m²</t>
        </is>
      </c>
      <c r="D295" s="8" t="n">
        <v>846.53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>
        <f>IF(COUNT(D295:V295)=0,"",MIN(D295:V295))</f>
        <v/>
      </c>
      <c r="X295" s="8">
        <f>IF(COUNT(D295:V295)=0,"",MEDIAN(D295:V295))</f>
        <v/>
      </c>
      <c r="Y295" s="8">
        <f>IF(COUNT(D295:V295)=0,"",MAX(D295:V295))</f>
        <v/>
      </c>
      <c r="Z295" s="9">
        <f>IF(OR(W295="",W295=0),"",(Y295-W295)/W295)</f>
        <v/>
      </c>
      <c r="AA295" s="7">
        <f>IF(COUNT(D295:V295)=0,"",INDEX($D$1:$V$1,MATCH(MIN(D295:V295),D295:V295,0)))</f>
        <v/>
      </c>
      <c r="AB295" s="8" t="n">
        <v>1343.36</v>
      </c>
      <c r="AC295" s="10" t="n">
        <v>1</v>
      </c>
    </row>
    <row r="296">
      <c r="A296" s="7" t="inlineStr">
        <is>
          <t>MAT-08-080</t>
        </is>
      </c>
      <c r="B296" s="4" t="inlineStr">
        <is>
          <t>Cerámica de piso, 60 x 33 cm</t>
        </is>
      </c>
      <c r="C296" s="7" t="inlineStr">
        <is>
          <t>m²</t>
        </is>
      </c>
      <c r="D296" s="8" t="n">
        <v>902.6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>
        <f>IF(COUNT(D296:V296)=0,"",MIN(D296:V296))</f>
        <v/>
      </c>
      <c r="X296" s="8">
        <f>IF(COUNT(D296:V296)=0,"",MEDIAN(D296:V296))</f>
        <v/>
      </c>
      <c r="Y296" s="8">
        <f>IF(COUNT(D296:V296)=0,"",MAX(D296:V296))</f>
        <v/>
      </c>
      <c r="Z296" s="9">
        <f>IF(OR(W296="",W296=0),"",(Y296-W296)/W296)</f>
        <v/>
      </c>
      <c r="AA296" s="7">
        <f>IF(COUNT(D296:V296)=0,"",INDEX($D$1:$V$1,MATCH(MIN(D296:V296),D296:V296,0)))</f>
        <v/>
      </c>
      <c r="AB296" s="8" t="n">
        <v>902.6</v>
      </c>
      <c r="AC296" s="10" t="n">
        <v>1</v>
      </c>
    </row>
    <row r="297">
      <c r="A297" s="7" t="inlineStr">
        <is>
          <t>MAT-08-081</t>
        </is>
      </c>
      <c r="B297" s="4" t="inlineStr">
        <is>
          <t>Cerámica de piso, 60 x 60 cm</t>
        </is>
      </c>
      <c r="C297" s="7" t="inlineStr">
        <is>
          <t>m²</t>
        </is>
      </c>
      <c r="D297" s="8" t="n">
        <v>744.77</v>
      </c>
      <c r="E297" s="8" t="n"/>
      <c r="F297" s="8" t="n">
        <v>582.8099999999999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>
        <f>IF(COUNT(D297:V297)=0,"",MIN(D297:V297))</f>
        <v/>
      </c>
      <c r="X297" s="8">
        <f>IF(COUNT(D297:V297)=0,"",MEDIAN(D297:V297))</f>
        <v/>
      </c>
      <c r="Y297" s="8">
        <f>IF(COUNT(D297:V297)=0,"",MAX(D297:V297))</f>
        <v/>
      </c>
      <c r="Z297" s="9">
        <f>IF(OR(W297="",W297=0),"",(Y297-W297)/W297)</f>
        <v/>
      </c>
      <c r="AA297" s="7">
        <f>IF(COUNT(D297:V297)=0,"",INDEX($D$1:$V$1,MATCH(MIN(D297:V297),D297:V297,0)))</f>
        <v/>
      </c>
      <c r="AB297" s="8" t="n">
        <v>1196.92</v>
      </c>
      <c r="AC297" s="10" t="n">
        <v>2</v>
      </c>
    </row>
    <row r="298">
      <c r="A298" s="7" t="inlineStr">
        <is>
          <t>MAT-08-082</t>
        </is>
      </c>
      <c r="B298" s="4" t="inlineStr">
        <is>
          <t>Cerámica de piso, 60 x 7.1 cm</t>
        </is>
      </c>
      <c r="C298" s="7" t="inlineStr">
        <is>
          <t>m²</t>
        </is>
      </c>
      <c r="D298" s="8" t="n">
        <v>2092.5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>
        <f>IF(COUNT(D298:V298)=0,"",MIN(D298:V298))</f>
        <v/>
      </c>
      <c r="X298" s="8">
        <f>IF(COUNT(D298:V298)=0,"",MEDIAN(D298:V298))</f>
        <v/>
      </c>
      <c r="Y298" s="8">
        <f>IF(COUNT(D298:V298)=0,"",MAX(D298:V298))</f>
        <v/>
      </c>
      <c r="Z298" s="9">
        <f>IF(OR(W298="",W298=0),"",(Y298-W298)/W298)</f>
        <v/>
      </c>
      <c r="AA298" s="7">
        <f>IF(COUNT(D298:V298)=0,"",INDEX($D$1:$V$1,MATCH(MIN(D298:V298),D298:V298,0)))</f>
        <v/>
      </c>
      <c r="AB298" s="8" t="n">
        <v>2092.5</v>
      </c>
      <c r="AC298" s="10" t="n">
        <v>1</v>
      </c>
    </row>
    <row r="299">
      <c r="A299" s="7" t="inlineStr">
        <is>
          <t>MAT-08-083</t>
        </is>
      </c>
      <c r="B299" s="4" t="inlineStr">
        <is>
          <t>Cerámica de piso, 70 x 25 cm</t>
        </is>
      </c>
      <c r="C299" s="7" t="inlineStr">
        <is>
          <t>m²</t>
        </is>
      </c>
      <c r="D299" s="8" t="n">
        <v>509.73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>
        <f>IF(COUNT(D299:V299)=0,"",MIN(D299:V299))</f>
        <v/>
      </c>
      <c r="X299" s="8">
        <f>IF(COUNT(D299:V299)=0,"",MEDIAN(D299:V299))</f>
        <v/>
      </c>
      <c r="Y299" s="8">
        <f>IF(COUNT(D299:V299)=0,"",MAX(D299:V299))</f>
        <v/>
      </c>
      <c r="Z299" s="9">
        <f>IF(OR(W299="",W299=0),"",(Y299-W299)/W299)</f>
        <v/>
      </c>
      <c r="AA299" s="7">
        <f>IF(COUNT(D299:V299)=0,"",INDEX($D$1:$V$1,MATCH(MIN(D299:V299),D299:V299,0)))</f>
        <v/>
      </c>
      <c r="AB299" s="8" t="n">
        <v>509.73</v>
      </c>
      <c r="AC299" s="10" t="n">
        <v>1</v>
      </c>
    </row>
    <row r="300">
      <c r="A300" s="7" t="inlineStr">
        <is>
          <t>MAT-08-084</t>
        </is>
      </c>
      <c r="B300" s="4" t="inlineStr">
        <is>
          <t>Cerámica de piso, 75 x 25 cm</t>
        </is>
      </c>
      <c r="C300" s="7" t="inlineStr">
        <is>
          <t>m²</t>
        </is>
      </c>
      <c r="D300" s="8" t="n">
        <v>1055.55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>
        <f>IF(COUNT(D300:V300)=0,"",MIN(D300:V300))</f>
        <v/>
      </c>
      <c r="X300" s="8">
        <f>IF(COUNT(D300:V300)=0,"",MEDIAN(D300:V300))</f>
        <v/>
      </c>
      <c r="Y300" s="8">
        <f>IF(COUNT(D300:V300)=0,"",MAX(D300:V300))</f>
        <v/>
      </c>
      <c r="Z300" s="9">
        <f>IF(OR(W300="",W300=0),"",(Y300-W300)/W300)</f>
        <v/>
      </c>
      <c r="AA300" s="7">
        <f>IF(COUNT(D300:V300)=0,"",INDEX($D$1:$V$1,MATCH(MIN(D300:V300),D300:V300,0)))</f>
        <v/>
      </c>
      <c r="AB300" s="8" t="n">
        <v>1318.41</v>
      </c>
      <c r="AC300" s="10" t="n">
        <v>1</v>
      </c>
    </row>
    <row r="301">
      <c r="A301" s="7" t="inlineStr">
        <is>
          <t>MAT-08-085</t>
        </is>
      </c>
      <c r="B301" s="4" t="inlineStr">
        <is>
          <t>Cerámica de piso, 75 x 75 cm</t>
        </is>
      </c>
      <c r="C301" s="7" t="inlineStr">
        <is>
          <t>m²</t>
        </is>
      </c>
      <c r="D301" s="8" t="n"/>
      <c r="E301" s="8" t="n"/>
      <c r="F301" s="8" t="n">
        <v>673.04</v>
      </c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>
        <f>IF(COUNT(D301:V301)=0,"",MIN(D301:V301))</f>
        <v/>
      </c>
      <c r="X301" s="8">
        <f>IF(COUNT(D301:V301)=0,"",MEDIAN(D301:V301))</f>
        <v/>
      </c>
      <c r="Y301" s="8">
        <f>IF(COUNT(D301:V301)=0,"",MAX(D301:V301))</f>
        <v/>
      </c>
      <c r="Z301" s="9">
        <f>IF(OR(W301="",W301=0),"",(Y301-W301)/W301)</f>
        <v/>
      </c>
      <c r="AA301" s="7">
        <f>IF(COUNT(D301:V301)=0,"",INDEX($D$1:$V$1,MATCH(MIN(D301:V301),D301:V301,0)))</f>
        <v/>
      </c>
      <c r="AB301" s="8" t="n">
        <v>1011.3</v>
      </c>
      <c r="AC301" s="10" t="n">
        <v>1</v>
      </c>
    </row>
    <row r="302">
      <c r="A302" s="7" t="inlineStr">
        <is>
          <t>MAT-08-086</t>
        </is>
      </c>
      <c r="B302" s="4" t="inlineStr">
        <is>
          <t>Cerámica de piso, 80 x 80 cm</t>
        </is>
      </c>
      <c r="C302" s="7" t="inlineStr">
        <is>
          <t>m²</t>
        </is>
      </c>
      <c r="D302" s="8" t="n">
        <v>951.1</v>
      </c>
      <c r="E302" s="8" t="n"/>
      <c r="F302" s="8" t="n">
        <v>716.48</v>
      </c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>
        <f>IF(COUNT(D302:V302)=0,"",MIN(D302:V302))</f>
        <v/>
      </c>
      <c r="X302" s="8">
        <f>IF(COUNT(D302:V302)=0,"",MEDIAN(D302:V302))</f>
        <v/>
      </c>
      <c r="Y302" s="8">
        <f>IF(COUNT(D302:V302)=0,"",MAX(D302:V302))</f>
        <v/>
      </c>
      <c r="Z302" s="9">
        <f>IF(OR(W302="",W302=0),"",(Y302-W302)/W302)</f>
        <v/>
      </c>
      <c r="AA302" s="7">
        <f>IF(COUNT(D302:V302)=0,"",INDEX($D$1:$V$1,MATCH(MIN(D302:V302),D302:V302,0)))</f>
        <v/>
      </c>
      <c r="AB302" s="8" t="n">
        <v>1191.86</v>
      </c>
      <c r="AC302" s="10" t="n">
        <v>2</v>
      </c>
    </row>
    <row r="303">
      <c r="A303" s="7" t="inlineStr">
        <is>
          <t>MAT-08-087</t>
        </is>
      </c>
      <c r="B303" s="4" t="inlineStr">
        <is>
          <t>Cerámica de piso, 90 x 15 cm</t>
        </is>
      </c>
      <c r="C303" s="7" t="inlineStr">
        <is>
          <t>m²</t>
        </is>
      </c>
      <c r="D303" s="8" t="n">
        <v>1042.92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>
        <f>IF(COUNT(D303:V303)=0,"",MIN(D303:V303))</f>
        <v/>
      </c>
      <c r="X303" s="8">
        <f>IF(COUNT(D303:V303)=0,"",MEDIAN(D303:V303))</f>
        <v/>
      </c>
      <c r="Y303" s="8">
        <f>IF(COUNT(D303:V303)=0,"",MAX(D303:V303))</f>
        <v/>
      </c>
      <c r="Z303" s="9">
        <f>IF(OR(W303="",W303=0),"",(Y303-W303)/W303)</f>
        <v/>
      </c>
      <c r="AA303" s="7">
        <f>IF(COUNT(D303:V303)=0,"",INDEX($D$1:$V$1,MATCH(MIN(D303:V303),D303:V303,0)))</f>
        <v/>
      </c>
      <c r="AB303" s="8" t="n">
        <v>1042.92</v>
      </c>
      <c r="AC303" s="10" t="n">
        <v>1</v>
      </c>
    </row>
    <row r="304">
      <c r="A304" s="7" t="inlineStr">
        <is>
          <t>MAT-08-088</t>
        </is>
      </c>
      <c r="B304" s="4" t="inlineStr">
        <is>
          <t>Cerámica de piso, 90 x 30 cm</t>
        </is>
      </c>
      <c r="C304" s="7" t="inlineStr">
        <is>
          <t>m²</t>
        </is>
      </c>
      <c r="D304" s="8" t="n">
        <v>954.53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>
        <f>IF(COUNT(D304:V304)=0,"",MIN(D304:V304))</f>
        <v/>
      </c>
      <c r="X304" s="8">
        <f>IF(COUNT(D304:V304)=0,"",MEDIAN(D304:V304))</f>
        <v/>
      </c>
      <c r="Y304" s="8">
        <f>IF(COUNT(D304:V304)=0,"",MAX(D304:V304))</f>
        <v/>
      </c>
      <c r="Z304" s="9">
        <f>IF(OR(W304="",W304=0),"",(Y304-W304)/W304)</f>
        <v/>
      </c>
      <c r="AA304" s="7">
        <f>IF(COUNT(D304:V304)=0,"",INDEX($D$1:$V$1,MATCH(MIN(D304:V304),D304:V304,0)))</f>
        <v/>
      </c>
      <c r="AB304" s="8" t="n">
        <v>1646.97</v>
      </c>
      <c r="AC304" s="10" t="n">
        <v>1</v>
      </c>
    </row>
    <row r="305">
      <c r="A305" s="7" t="inlineStr">
        <is>
          <t>MAT-08-089</t>
        </is>
      </c>
      <c r="B305" s="4" t="inlineStr">
        <is>
          <t>Cerámica de piso y pared, 100 x 30 cm</t>
        </is>
      </c>
      <c r="C305" s="7" t="inlineStr">
        <is>
          <t>m²</t>
        </is>
      </c>
      <c r="D305" s="8" t="n">
        <v>1700.29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>
        <f>IF(COUNT(D305:V305)=0,"",MIN(D305:V305))</f>
        <v/>
      </c>
      <c r="X305" s="8">
        <f>IF(COUNT(D305:V305)=0,"",MEDIAN(D305:V305))</f>
        <v/>
      </c>
      <c r="Y305" s="8">
        <f>IF(COUNT(D305:V305)=0,"",MAX(D305:V305))</f>
        <v/>
      </c>
      <c r="Z305" s="9">
        <f>IF(OR(W305="",W305=0),"",(Y305-W305)/W305)</f>
        <v/>
      </c>
      <c r="AA305" s="7">
        <f>IF(COUNT(D305:V305)=0,"",INDEX($D$1:$V$1,MATCH(MIN(D305:V305),D305:V305,0)))</f>
        <v/>
      </c>
      <c r="AB305" s="8" t="n">
        <v>2014.5</v>
      </c>
      <c r="AC305" s="10" t="n">
        <v>1</v>
      </c>
    </row>
    <row r="306">
      <c r="A306" s="7" t="inlineStr">
        <is>
          <t>MAT-08-090</t>
        </is>
      </c>
      <c r="B306" s="4" t="inlineStr">
        <is>
          <t>Cerámica de piso y pared, 113 x 55 cm</t>
        </is>
      </c>
      <c r="C306" s="7" t="inlineStr">
        <is>
          <t>m²</t>
        </is>
      </c>
      <c r="D306" s="8" t="n">
        <v>493.24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>
        <f>IF(COUNT(D306:V306)=0,"",MIN(D306:V306))</f>
        <v/>
      </c>
      <c r="X306" s="8">
        <f>IF(COUNT(D306:V306)=0,"",MEDIAN(D306:V306))</f>
        <v/>
      </c>
      <c r="Y306" s="8">
        <f>IF(COUNT(D306:V306)=0,"",MAX(D306:V306))</f>
        <v/>
      </c>
      <c r="Z306" s="9">
        <f>IF(OR(W306="",W306=0),"",(Y306-W306)/W306)</f>
        <v/>
      </c>
      <c r="AA306" s="7">
        <f>IF(COUNT(D306:V306)=0,"",INDEX($D$1:$V$1,MATCH(MIN(D306:V306),D306:V306,0)))</f>
        <v/>
      </c>
      <c r="AB306" s="8" t="n">
        <v>872.1900000000001</v>
      </c>
      <c r="AC306" s="10" t="n">
        <v>1</v>
      </c>
    </row>
    <row r="307">
      <c r="A307" s="7" t="inlineStr">
        <is>
          <t>MAT-08-091</t>
        </is>
      </c>
      <c r="B307" s="4" t="inlineStr">
        <is>
          <t>Cerámica de piso y pared, 120 x 20 cm</t>
        </is>
      </c>
      <c r="C307" s="7" t="inlineStr">
        <is>
          <t>m²</t>
        </is>
      </c>
      <c r="D307" s="8" t="n">
        <v>1294.63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>
        <f>IF(COUNT(D307:V307)=0,"",MIN(D307:V307))</f>
        <v/>
      </c>
      <c r="X307" s="8">
        <f>IF(COUNT(D307:V307)=0,"",MEDIAN(D307:V307))</f>
        <v/>
      </c>
      <c r="Y307" s="8">
        <f>IF(COUNT(D307:V307)=0,"",MAX(D307:V307))</f>
        <v/>
      </c>
      <c r="Z307" s="9">
        <f>IF(OR(W307="",W307=0),"",(Y307-W307)/W307)</f>
        <v/>
      </c>
      <c r="AA307" s="7">
        <f>IF(COUNT(D307:V307)=0,"",INDEX($D$1:$V$1,MATCH(MIN(D307:V307),D307:V307,0)))</f>
        <v/>
      </c>
      <c r="AB307" s="8" t="n">
        <v>1922.79</v>
      </c>
      <c r="AC307" s="10" t="n">
        <v>1</v>
      </c>
    </row>
    <row r="308">
      <c r="A308" s="7" t="inlineStr">
        <is>
          <t>MAT-08-092</t>
        </is>
      </c>
      <c r="B308" s="4" t="inlineStr">
        <is>
          <t>Cerámica de piso y pared, 120 x 23.3 cm</t>
        </is>
      </c>
      <c r="C308" s="7" t="inlineStr">
        <is>
          <t>m²</t>
        </is>
      </c>
      <c r="D308" s="8" t="n">
        <v>1394.83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>
        <f>IF(COUNT(D308:V308)=0,"",MIN(D308:V308))</f>
        <v/>
      </c>
      <c r="X308" s="8">
        <f>IF(COUNT(D308:V308)=0,"",MEDIAN(D308:V308))</f>
        <v/>
      </c>
      <c r="Y308" s="8">
        <f>IF(COUNT(D308:V308)=0,"",MAX(D308:V308))</f>
        <v/>
      </c>
      <c r="Z308" s="9">
        <f>IF(OR(W308="",W308=0),"",(Y308-W308)/W308)</f>
        <v/>
      </c>
      <c r="AA308" s="7">
        <f>IF(COUNT(D308:V308)=0,"",INDEX($D$1:$V$1,MATCH(MIN(D308:V308),D308:V308,0)))</f>
        <v/>
      </c>
      <c r="AB308" s="8" t="n">
        <v>1394.83</v>
      </c>
      <c r="AC308" s="10" t="n">
        <v>1</v>
      </c>
    </row>
    <row r="309">
      <c r="A309" s="7" t="inlineStr">
        <is>
          <t>MAT-08-093</t>
        </is>
      </c>
      <c r="B309" s="4" t="inlineStr">
        <is>
          <t>Cerámica de piso y pared, 120 x 30 cm</t>
        </is>
      </c>
      <c r="C309" s="7" t="inlineStr">
        <is>
          <t>m²</t>
        </is>
      </c>
      <c r="D309" s="8" t="n">
        <v>1905.01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>
        <f>IF(COUNT(D309:V309)=0,"",MIN(D309:V309))</f>
        <v/>
      </c>
      <c r="X309" s="8">
        <f>IF(COUNT(D309:V309)=0,"",MEDIAN(D309:V309))</f>
        <v/>
      </c>
      <c r="Y309" s="8">
        <f>IF(COUNT(D309:V309)=0,"",MAX(D309:V309))</f>
        <v/>
      </c>
      <c r="Z309" s="9">
        <f>IF(OR(W309="",W309=0),"",(Y309-W309)/W309)</f>
        <v/>
      </c>
      <c r="AA309" s="7">
        <f>IF(COUNT(D309:V309)=0,"",INDEX($D$1:$V$1,MATCH(MIN(D309:V309),D309:V309,0)))</f>
        <v/>
      </c>
      <c r="AB309" s="8" t="n">
        <v>1973.41</v>
      </c>
      <c r="AC309" s="10" t="n">
        <v>1</v>
      </c>
    </row>
    <row r="310">
      <c r="A310" s="7" t="inlineStr">
        <is>
          <t>MAT-08-094</t>
        </is>
      </c>
      <c r="B310" s="4" t="inlineStr">
        <is>
          <t>Cerámica de piso y pared, 120 x 40 cm</t>
        </is>
      </c>
      <c r="C310" s="7" t="inlineStr">
        <is>
          <t>m²</t>
        </is>
      </c>
      <c r="D310" s="8" t="n">
        <v>1397.03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>
        <f>IF(COUNT(D310:V310)=0,"",MIN(D310:V310))</f>
        <v/>
      </c>
      <c r="X310" s="8">
        <f>IF(COUNT(D310:V310)=0,"",MEDIAN(D310:V310))</f>
        <v/>
      </c>
      <c r="Y310" s="8">
        <f>IF(COUNT(D310:V310)=0,"",MAX(D310:V310))</f>
        <v/>
      </c>
      <c r="Z310" s="9">
        <f>IF(OR(W310="",W310=0),"",(Y310-W310)/W310)</f>
        <v/>
      </c>
      <c r="AA310" s="7">
        <f>IF(COUNT(D310:V310)=0,"",INDEX($D$1:$V$1,MATCH(MIN(D310:V310),D310:V310,0)))</f>
        <v/>
      </c>
      <c r="AB310" s="8" t="n">
        <v>2113.36</v>
      </c>
      <c r="AC310" s="10" t="n">
        <v>1</v>
      </c>
    </row>
    <row r="311">
      <c r="A311" s="7" t="inlineStr">
        <is>
          <t>MAT-08-095</t>
        </is>
      </c>
      <c r="B311" s="4" t="inlineStr">
        <is>
          <t>Cerámica de piso y pared, 120 x 60 cm</t>
        </is>
      </c>
      <c r="C311" s="7" t="inlineStr">
        <is>
          <t>m²</t>
        </is>
      </c>
      <c r="D311" s="8" t="n">
        <v>1481.03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>
        <f>IF(COUNT(D311:V311)=0,"",MIN(D311:V311))</f>
        <v/>
      </c>
      <c r="X311" s="8">
        <f>IF(COUNT(D311:V311)=0,"",MEDIAN(D311:V311))</f>
        <v/>
      </c>
      <c r="Y311" s="8">
        <f>IF(COUNT(D311:V311)=0,"",MAX(D311:V311))</f>
        <v/>
      </c>
      <c r="Z311" s="9">
        <f>IF(OR(W311="",W311=0),"",(Y311-W311)/W311)</f>
        <v/>
      </c>
      <c r="AA311" s="7">
        <f>IF(COUNT(D311:V311)=0,"",INDEX($D$1:$V$1,MATCH(MIN(D311:V311),D311:V311,0)))</f>
        <v/>
      </c>
      <c r="AB311" s="8" t="n">
        <v>1964.18</v>
      </c>
      <c r="AC311" s="10" t="n">
        <v>1</v>
      </c>
    </row>
    <row r="312">
      <c r="A312" s="7" t="inlineStr">
        <is>
          <t>MAT-08-096</t>
        </is>
      </c>
      <c r="B312" s="4" t="inlineStr">
        <is>
          <t>Cerámica de piso y pared, 15 x 15 cm</t>
        </is>
      </c>
      <c r="C312" s="7" t="inlineStr">
        <is>
          <t>m²</t>
        </is>
      </c>
      <c r="D312" s="8" t="n">
        <v>516.5599999999999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>
        <f>IF(COUNT(D312:V312)=0,"",MIN(D312:V312))</f>
        <v/>
      </c>
      <c r="X312" s="8">
        <f>IF(COUNT(D312:V312)=0,"",MEDIAN(D312:V312))</f>
        <v/>
      </c>
      <c r="Y312" s="8">
        <f>IF(COUNT(D312:V312)=0,"",MAX(D312:V312))</f>
        <v/>
      </c>
      <c r="Z312" s="9">
        <f>IF(OR(W312="",W312=0),"",(Y312-W312)/W312)</f>
        <v/>
      </c>
      <c r="AA312" s="7">
        <f>IF(COUNT(D312:V312)=0,"",INDEX($D$1:$V$1,MATCH(MIN(D312:V312),D312:V312,0)))</f>
        <v/>
      </c>
      <c r="AB312" s="8" t="n">
        <v>1640.37</v>
      </c>
      <c r="AC312" s="10" t="n">
        <v>1</v>
      </c>
    </row>
    <row r="313">
      <c r="A313" s="7" t="inlineStr">
        <is>
          <t>MAT-08-097</t>
        </is>
      </c>
      <c r="B313" s="4" t="inlineStr">
        <is>
          <t>Cerámica de piso y pared, 18.5 x 18.5 cm</t>
        </is>
      </c>
      <c r="C313" s="7" t="inlineStr">
        <is>
          <t>m²</t>
        </is>
      </c>
      <c r="D313" s="8" t="n">
        <v>3184.41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>
        <f>IF(COUNT(D313:V313)=0,"",MIN(D313:V313))</f>
        <v/>
      </c>
      <c r="X313" s="8">
        <f>IF(COUNT(D313:V313)=0,"",MEDIAN(D313:V313))</f>
        <v/>
      </c>
      <c r="Y313" s="8">
        <f>IF(COUNT(D313:V313)=0,"",MAX(D313:V313))</f>
        <v/>
      </c>
      <c r="Z313" s="9">
        <f>IF(OR(W313="",W313=0),"",(Y313-W313)/W313)</f>
        <v/>
      </c>
      <c r="AA313" s="7">
        <f>IF(COUNT(D313:V313)=0,"",INDEX($D$1:$V$1,MATCH(MIN(D313:V313),D313:V313,0)))</f>
        <v/>
      </c>
      <c r="AB313" s="8" t="n">
        <v>3184.41</v>
      </c>
      <c r="AC313" s="10" t="n">
        <v>1</v>
      </c>
    </row>
    <row r="314">
      <c r="A314" s="7" t="inlineStr">
        <is>
          <t>MAT-08-098</t>
        </is>
      </c>
      <c r="B314" s="4" t="inlineStr">
        <is>
          <t>Cerámica de piso y pared, 180 x 90 cm</t>
        </is>
      </c>
      <c r="C314" s="7" t="inlineStr">
        <is>
          <t>m²</t>
        </is>
      </c>
      <c r="D314" s="8" t="n">
        <v>3073.71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>
        <f>IF(COUNT(D314:V314)=0,"",MIN(D314:V314))</f>
        <v/>
      </c>
      <c r="X314" s="8">
        <f>IF(COUNT(D314:V314)=0,"",MEDIAN(D314:V314))</f>
        <v/>
      </c>
      <c r="Y314" s="8">
        <f>IF(COUNT(D314:V314)=0,"",MAX(D314:V314))</f>
        <v/>
      </c>
      <c r="Z314" s="9">
        <f>IF(OR(W314="",W314=0),"",(Y314-W314)/W314)</f>
        <v/>
      </c>
      <c r="AA314" s="7">
        <f>IF(COUNT(D314:V314)=0,"",INDEX($D$1:$V$1,MATCH(MIN(D314:V314),D314:V314,0)))</f>
        <v/>
      </c>
      <c r="AB314" s="8" t="n">
        <v>3073.71</v>
      </c>
      <c r="AC314" s="10" t="n">
        <v>1</v>
      </c>
    </row>
    <row r="315">
      <c r="A315" s="7" t="inlineStr">
        <is>
          <t>MAT-08-099</t>
        </is>
      </c>
      <c r="B315" s="4" t="inlineStr">
        <is>
          <t>Cerámica de piso y pared, 20 x 20 cm</t>
        </is>
      </c>
      <c r="C315" s="7" t="inlineStr">
        <is>
          <t>m²</t>
        </is>
      </c>
      <c r="D315" s="8" t="n">
        <v>915.75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>
        <f>IF(COUNT(D315:V315)=0,"",MIN(D315:V315))</f>
        <v/>
      </c>
      <c r="X315" s="8">
        <f>IF(COUNT(D315:V315)=0,"",MEDIAN(D315:V315))</f>
        <v/>
      </c>
      <c r="Y315" s="8">
        <f>IF(COUNT(D315:V315)=0,"",MAX(D315:V315))</f>
        <v/>
      </c>
      <c r="Z315" s="9">
        <f>IF(OR(W315="",W315=0),"",(Y315-W315)/W315)</f>
        <v/>
      </c>
      <c r="AA315" s="7">
        <f>IF(COUNT(D315:V315)=0,"",INDEX($D$1:$V$1,MATCH(MIN(D315:V315),D315:V315,0)))</f>
        <v/>
      </c>
      <c r="AB315" s="8" t="n">
        <v>915.75</v>
      </c>
      <c r="AC315" s="10" t="n">
        <v>1</v>
      </c>
    </row>
    <row r="316">
      <c r="A316" s="7" t="inlineStr">
        <is>
          <t>MAT-08-100</t>
        </is>
      </c>
      <c r="B316" s="4" t="inlineStr">
        <is>
          <t>Cerámica de piso y pared, 20 x 6.5 cm</t>
        </is>
      </c>
      <c r="C316" s="7" t="inlineStr">
        <is>
          <t>m²</t>
        </is>
      </c>
      <c r="D316" s="8" t="n">
        <v>2599.62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>
        <f>IF(COUNT(D316:V316)=0,"",MIN(D316:V316))</f>
        <v/>
      </c>
      <c r="X316" s="8">
        <f>IF(COUNT(D316:V316)=0,"",MEDIAN(D316:V316))</f>
        <v/>
      </c>
      <c r="Y316" s="8">
        <f>IF(COUNT(D316:V316)=0,"",MAX(D316:V316))</f>
        <v/>
      </c>
      <c r="Z316" s="9">
        <f>IF(OR(W316="",W316=0),"",(Y316-W316)/W316)</f>
        <v/>
      </c>
      <c r="AA316" s="7">
        <f>IF(COUNT(D316:V316)=0,"",INDEX($D$1:$V$1,MATCH(MIN(D316:V316),D316:V316,0)))</f>
        <v/>
      </c>
      <c r="AB316" s="8" t="n">
        <v>2621.99</v>
      </c>
      <c r="AC316" s="10" t="n">
        <v>1</v>
      </c>
    </row>
    <row r="317">
      <c r="A317" s="7" t="inlineStr">
        <is>
          <t>MAT-08-101</t>
        </is>
      </c>
      <c r="B317" s="4" t="inlineStr">
        <is>
          <t>Cerámica de piso y pared, 22.3 x 22.3 cm</t>
        </is>
      </c>
      <c r="C317" s="7" t="inlineStr">
        <is>
          <t>m²</t>
        </is>
      </c>
      <c r="D317" s="8" t="n">
        <v>2550.6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>
        <f>IF(COUNT(D317:V317)=0,"",MIN(D317:V317))</f>
        <v/>
      </c>
      <c r="X317" s="8">
        <f>IF(COUNT(D317:V317)=0,"",MEDIAN(D317:V317))</f>
        <v/>
      </c>
      <c r="Y317" s="8">
        <f>IF(COUNT(D317:V317)=0,"",MAX(D317:V317))</f>
        <v/>
      </c>
      <c r="Z317" s="9">
        <f>IF(OR(W317="",W317=0),"",(Y317-W317)/W317)</f>
        <v/>
      </c>
      <c r="AA317" s="7">
        <f>IF(COUNT(D317:V317)=0,"",INDEX($D$1:$V$1,MATCH(MIN(D317:V317),D317:V317,0)))</f>
        <v/>
      </c>
      <c r="AB317" s="8" t="n">
        <v>2550.6</v>
      </c>
      <c r="AC317" s="10" t="n">
        <v>1</v>
      </c>
    </row>
    <row r="318">
      <c r="A318" s="7" t="inlineStr">
        <is>
          <t>MAT-08-102</t>
        </is>
      </c>
      <c r="B318" s="4" t="inlineStr">
        <is>
          <t>Cerámica de piso y pared, 22.8 x 20 cm</t>
        </is>
      </c>
      <c r="C318" s="7" t="inlineStr">
        <is>
          <t>m²</t>
        </is>
      </c>
      <c r="D318" s="8" t="n">
        <v>1614.78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>
        <f>IF(COUNT(D318:V318)=0,"",MIN(D318:V318))</f>
        <v/>
      </c>
      <c r="X318" s="8">
        <f>IF(COUNT(D318:V318)=0,"",MEDIAN(D318:V318))</f>
        <v/>
      </c>
      <c r="Y318" s="8">
        <f>IF(COUNT(D318:V318)=0,"",MAX(D318:V318))</f>
        <v/>
      </c>
      <c r="Z318" s="9">
        <f>IF(OR(W318="",W318=0),"",(Y318-W318)/W318)</f>
        <v/>
      </c>
      <c r="AA318" s="7">
        <f>IF(COUNT(D318:V318)=0,"",INDEX($D$1:$V$1,MATCH(MIN(D318:V318),D318:V318,0)))</f>
        <v/>
      </c>
      <c r="AB318" s="8" t="n">
        <v>2071.61</v>
      </c>
      <c r="AC318" s="10" t="n">
        <v>1</v>
      </c>
    </row>
    <row r="319">
      <c r="A319" s="7" t="inlineStr">
        <is>
          <t>MAT-08-103</t>
        </is>
      </c>
      <c r="B319" s="4" t="inlineStr">
        <is>
          <t>Cerámica de piso y pared, 25 x 25 cm</t>
        </is>
      </c>
      <c r="C319" s="7" t="inlineStr">
        <is>
          <t>m²</t>
        </is>
      </c>
      <c r="D319" s="8" t="n">
        <v>1470.37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>
        <f>IF(COUNT(D319:V319)=0,"",MIN(D319:V319))</f>
        <v/>
      </c>
      <c r="X319" s="8">
        <f>IF(COUNT(D319:V319)=0,"",MEDIAN(D319:V319))</f>
        <v/>
      </c>
      <c r="Y319" s="8">
        <f>IF(COUNT(D319:V319)=0,"",MAX(D319:V319))</f>
        <v/>
      </c>
      <c r="Z319" s="9">
        <f>IF(OR(W319="",W319=0),"",(Y319-W319)/W319)</f>
        <v/>
      </c>
      <c r="AA319" s="7">
        <f>IF(COUNT(D319:V319)=0,"",INDEX($D$1:$V$1,MATCH(MIN(D319:V319),D319:V319,0)))</f>
        <v/>
      </c>
      <c r="AB319" s="8" t="n">
        <v>1641.67</v>
      </c>
      <c r="AC319" s="10" t="n">
        <v>1</v>
      </c>
    </row>
    <row r="320">
      <c r="A320" s="7" t="inlineStr">
        <is>
          <t>MAT-08-104</t>
        </is>
      </c>
      <c r="B320" s="4" t="inlineStr">
        <is>
          <t>Cerámica de piso y pared, 26.8 x 23.2 cm</t>
        </is>
      </c>
      <c r="C320" s="7" t="inlineStr">
        <is>
          <t>m²</t>
        </is>
      </c>
      <c r="D320" s="8" t="n">
        <v>2504.68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>
        <f>IF(COUNT(D320:V320)=0,"",MIN(D320:V320))</f>
        <v/>
      </c>
      <c r="X320" s="8">
        <f>IF(COUNT(D320:V320)=0,"",MEDIAN(D320:V320))</f>
        <v/>
      </c>
      <c r="Y320" s="8">
        <f>IF(COUNT(D320:V320)=0,"",MAX(D320:V320))</f>
        <v/>
      </c>
      <c r="Z320" s="9">
        <f>IF(OR(W320="",W320=0),"",(Y320-W320)/W320)</f>
        <v/>
      </c>
      <c r="AA320" s="7">
        <f>IF(COUNT(D320:V320)=0,"",INDEX($D$1:$V$1,MATCH(MIN(D320:V320),D320:V320,0)))</f>
        <v/>
      </c>
      <c r="AB320" s="8" t="n">
        <v>2504.68</v>
      </c>
      <c r="AC320" s="10" t="n">
        <v>1</v>
      </c>
    </row>
    <row r="321">
      <c r="A321" s="7" t="inlineStr">
        <is>
          <t>MAT-08-105</t>
        </is>
      </c>
      <c r="B321" s="4" t="inlineStr">
        <is>
          <t>Cerámica de piso y pared, 30 x 25 cm</t>
        </is>
      </c>
      <c r="C321" s="7" t="inlineStr">
        <is>
          <t>m²</t>
        </is>
      </c>
      <c r="D321" s="8" t="n">
        <v>1914.66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>
        <f>IF(COUNT(D321:V321)=0,"",MIN(D321:V321))</f>
        <v/>
      </c>
      <c r="X321" s="8">
        <f>IF(COUNT(D321:V321)=0,"",MEDIAN(D321:V321))</f>
        <v/>
      </c>
      <c r="Y321" s="8">
        <f>IF(COUNT(D321:V321)=0,"",MAX(D321:V321))</f>
        <v/>
      </c>
      <c r="Z321" s="9">
        <f>IF(OR(W321="",W321=0),"",(Y321-W321)/W321)</f>
        <v/>
      </c>
      <c r="AA321" s="7">
        <f>IF(COUNT(D321:V321)=0,"",INDEX($D$1:$V$1,MATCH(MIN(D321:V321),D321:V321,0)))</f>
        <v/>
      </c>
      <c r="AB321" s="8" t="n">
        <v>1914.66</v>
      </c>
      <c r="AC321" s="10" t="n">
        <v>1</v>
      </c>
    </row>
    <row r="322">
      <c r="A322" s="7" t="inlineStr">
        <is>
          <t>MAT-08-106</t>
        </is>
      </c>
      <c r="B322" s="4" t="inlineStr">
        <is>
          <t>Cerámica de piso y pared, 40 x 25 cm</t>
        </is>
      </c>
      <c r="C322" s="7" t="inlineStr">
        <is>
          <t>m²</t>
        </is>
      </c>
      <c r="D322" s="8" t="n">
        <v>779.2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>
        <f>IF(COUNT(D322:V322)=0,"",MIN(D322:V322))</f>
        <v/>
      </c>
      <c r="X322" s="8">
        <f>IF(COUNT(D322:V322)=0,"",MEDIAN(D322:V322))</f>
        <v/>
      </c>
      <c r="Y322" s="8">
        <f>IF(COUNT(D322:V322)=0,"",MAX(D322:V322))</f>
        <v/>
      </c>
      <c r="Z322" s="9">
        <f>IF(OR(W322="",W322=0),"",(Y322-W322)/W322)</f>
        <v/>
      </c>
      <c r="AA322" s="7">
        <f>IF(COUNT(D322:V322)=0,"",INDEX($D$1:$V$1,MATCH(MIN(D322:V322),D322:V322,0)))</f>
        <v/>
      </c>
      <c r="AB322" s="8" t="n">
        <v>779.2</v>
      </c>
      <c r="AC322" s="10" t="n">
        <v>1</v>
      </c>
    </row>
    <row r="323">
      <c r="A323" s="7" t="inlineStr">
        <is>
          <t>MAT-08-107</t>
        </is>
      </c>
      <c r="B323" s="4" t="inlineStr">
        <is>
          <t>Cerámica de piso y pared, 45 x 45 cm</t>
        </is>
      </c>
      <c r="C323" s="7" t="inlineStr">
        <is>
          <t>m²</t>
        </is>
      </c>
      <c r="D323" s="8" t="n">
        <v>666.6799999999999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>
        <f>IF(COUNT(D323:V323)=0,"",MIN(D323:V323))</f>
        <v/>
      </c>
      <c r="X323" s="8">
        <f>IF(COUNT(D323:V323)=0,"",MEDIAN(D323:V323))</f>
        <v/>
      </c>
      <c r="Y323" s="8">
        <f>IF(COUNT(D323:V323)=0,"",MAX(D323:V323))</f>
        <v/>
      </c>
      <c r="Z323" s="9">
        <f>IF(OR(W323="",W323=0),"",(Y323-W323)/W323)</f>
        <v/>
      </c>
      <c r="AA323" s="7">
        <f>IF(COUNT(D323:V323)=0,"",INDEX($D$1:$V$1,MATCH(MIN(D323:V323),D323:V323,0)))</f>
        <v/>
      </c>
      <c r="AB323" s="8" t="n">
        <v>883.6</v>
      </c>
      <c r="AC323" s="10" t="n">
        <v>1</v>
      </c>
    </row>
    <row r="324">
      <c r="A324" s="7" t="inlineStr">
        <is>
          <t>MAT-08-108</t>
        </is>
      </c>
      <c r="B324" s="4" t="inlineStr">
        <is>
          <t>Cerámica de piso y pared, 55 x 33 cm</t>
        </is>
      </c>
      <c r="C324" s="7" t="inlineStr">
        <is>
          <t>m²</t>
        </is>
      </c>
      <c r="D324" s="8" t="n">
        <v>811.99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>
        <f>IF(COUNT(D324:V324)=0,"",MIN(D324:V324))</f>
        <v/>
      </c>
      <c r="X324" s="8">
        <f>IF(COUNT(D324:V324)=0,"",MEDIAN(D324:V324))</f>
        <v/>
      </c>
      <c r="Y324" s="8">
        <f>IF(COUNT(D324:V324)=0,"",MAX(D324:V324))</f>
        <v/>
      </c>
      <c r="Z324" s="9">
        <f>IF(OR(W324="",W324=0),"",(Y324-W324)/W324)</f>
        <v/>
      </c>
      <c r="AA324" s="7">
        <f>IF(COUNT(D324:V324)=0,"",INDEX($D$1:$V$1,MATCH(MIN(D324:V324),D324:V324,0)))</f>
        <v/>
      </c>
      <c r="AB324" s="8" t="n">
        <v>837.58</v>
      </c>
      <c r="AC324" s="10" t="n">
        <v>1</v>
      </c>
    </row>
    <row r="325">
      <c r="A325" s="7" t="inlineStr">
        <is>
          <t>MAT-08-109</t>
        </is>
      </c>
      <c r="B325" s="4" t="inlineStr">
        <is>
          <t>Cerámica de piso y pared, 58 x 19 cm</t>
        </is>
      </c>
      <c r="C325" s="7" t="inlineStr">
        <is>
          <t>m²</t>
        </is>
      </c>
      <c r="D325" s="8" t="n">
        <v>851.73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>
        <f>IF(COUNT(D325:V325)=0,"",MIN(D325:V325))</f>
        <v/>
      </c>
      <c r="X325" s="8">
        <f>IF(COUNT(D325:V325)=0,"",MEDIAN(D325:V325))</f>
        <v/>
      </c>
      <c r="Y325" s="8">
        <f>IF(COUNT(D325:V325)=0,"",MAX(D325:V325))</f>
        <v/>
      </c>
      <c r="Z325" s="9">
        <f>IF(OR(W325="",W325=0),"",(Y325-W325)/W325)</f>
        <v/>
      </c>
      <c r="AA325" s="7">
        <f>IF(COUNT(D325:V325)=0,"",INDEX($D$1:$V$1,MATCH(MIN(D325:V325),D325:V325,0)))</f>
        <v/>
      </c>
      <c r="AB325" s="8" t="n">
        <v>884.59</v>
      </c>
      <c r="AC325" s="10" t="n">
        <v>1</v>
      </c>
    </row>
    <row r="326">
      <c r="A326" s="7" t="inlineStr">
        <is>
          <t>MAT-08-110</t>
        </is>
      </c>
      <c r="B326" s="4" t="inlineStr">
        <is>
          <t>Cerámica de piso y pared, 58 x 58 cm</t>
        </is>
      </c>
      <c r="C326" s="7" t="inlineStr">
        <is>
          <t>m²</t>
        </is>
      </c>
      <c r="D326" s="8" t="n">
        <v>1267.19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>
        <f>IF(COUNT(D326:V326)=0,"",MIN(D326:V326))</f>
        <v/>
      </c>
      <c r="X326" s="8">
        <f>IF(COUNT(D326:V326)=0,"",MEDIAN(D326:V326))</f>
        <v/>
      </c>
      <c r="Y326" s="8">
        <f>IF(COUNT(D326:V326)=0,"",MAX(D326:V326))</f>
        <v/>
      </c>
      <c r="Z326" s="9">
        <f>IF(OR(W326="",W326=0),"",(Y326-W326)/W326)</f>
        <v/>
      </c>
      <c r="AA326" s="7">
        <f>IF(COUNT(D326:V326)=0,"",INDEX($D$1:$V$1,MATCH(MIN(D326:V326),D326:V326,0)))</f>
        <v/>
      </c>
      <c r="AB326" s="8" t="n">
        <v>1407.51</v>
      </c>
      <c r="AC326" s="10" t="n">
        <v>1</v>
      </c>
    </row>
    <row r="327">
      <c r="A327" s="7" t="inlineStr">
        <is>
          <t>MAT-08-111</t>
        </is>
      </c>
      <c r="B327" s="4" t="inlineStr">
        <is>
          <t>Cerámica de piso y pared, 60 x 20 cm</t>
        </is>
      </c>
      <c r="C327" s="7" t="inlineStr">
        <is>
          <t>m²</t>
        </is>
      </c>
      <c r="D327" s="8" t="n">
        <v>482.11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>
        <f>IF(COUNT(D327:V327)=0,"",MIN(D327:V327))</f>
        <v/>
      </c>
      <c r="X327" s="8">
        <f>IF(COUNT(D327:V327)=0,"",MEDIAN(D327:V327))</f>
        <v/>
      </c>
      <c r="Y327" s="8">
        <f>IF(COUNT(D327:V327)=0,"",MAX(D327:V327))</f>
        <v/>
      </c>
      <c r="Z327" s="9">
        <f>IF(OR(W327="",W327=0),"",(Y327-W327)/W327)</f>
        <v/>
      </c>
      <c r="AA327" s="7">
        <f>IF(COUNT(D327:V327)=0,"",INDEX($D$1:$V$1,MATCH(MIN(D327:V327),D327:V327,0)))</f>
        <v/>
      </c>
      <c r="AB327" s="8" t="n">
        <v>767.4400000000001</v>
      </c>
      <c r="AC327" s="10" t="n">
        <v>1</v>
      </c>
    </row>
    <row r="328">
      <c r="A328" s="7" t="inlineStr">
        <is>
          <t>MAT-08-112</t>
        </is>
      </c>
      <c r="B328" s="4" t="inlineStr">
        <is>
          <t>Cerámica de piso y pared, 60 x 30 cm</t>
        </is>
      </c>
      <c r="C328" s="7" t="inlineStr">
        <is>
          <t>m²</t>
        </is>
      </c>
      <c r="D328" s="8" t="n">
        <v>1048.67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>
        <f>IF(COUNT(D328:V328)=0,"",MIN(D328:V328))</f>
        <v/>
      </c>
      <c r="X328" s="8">
        <f>IF(COUNT(D328:V328)=0,"",MEDIAN(D328:V328))</f>
        <v/>
      </c>
      <c r="Y328" s="8">
        <f>IF(COUNT(D328:V328)=0,"",MAX(D328:V328))</f>
        <v/>
      </c>
      <c r="Z328" s="9">
        <f>IF(OR(W328="",W328=0),"",(Y328-W328)/W328)</f>
        <v/>
      </c>
      <c r="AA328" s="7">
        <f>IF(COUNT(D328:V328)=0,"",INDEX($D$1:$V$1,MATCH(MIN(D328:V328),D328:V328,0)))</f>
        <v/>
      </c>
      <c r="AB328" s="8" t="n">
        <v>1474.52</v>
      </c>
      <c r="AC328" s="10" t="n">
        <v>1</v>
      </c>
    </row>
    <row r="329">
      <c r="A329" s="7" t="inlineStr">
        <is>
          <t>MAT-08-113</t>
        </is>
      </c>
      <c r="B329" s="4" t="inlineStr">
        <is>
          <t>Cerámica de piso y pared, 60 x 60 cm</t>
        </is>
      </c>
      <c r="C329" s="7" t="inlineStr">
        <is>
          <t>m²</t>
        </is>
      </c>
      <c r="D329" s="8" t="n">
        <v>461.4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>
        <f>IF(COUNT(D329:V329)=0,"",MIN(D329:V329))</f>
        <v/>
      </c>
      <c r="X329" s="8">
        <f>IF(COUNT(D329:V329)=0,"",MEDIAN(D329:V329))</f>
        <v/>
      </c>
      <c r="Y329" s="8">
        <f>IF(COUNT(D329:V329)=0,"",MAX(D329:V329))</f>
        <v/>
      </c>
      <c r="Z329" s="9">
        <f>IF(OR(W329="",W329=0),"",(Y329-W329)/W329)</f>
        <v/>
      </c>
      <c r="AA329" s="7">
        <f>IF(COUNT(D329:V329)=0,"",INDEX($D$1:$V$1,MATCH(MIN(D329:V329),D329:V329,0)))</f>
        <v/>
      </c>
      <c r="AB329" s="8" t="n">
        <v>1251.4</v>
      </c>
      <c r="AC329" s="10" t="n">
        <v>1</v>
      </c>
    </row>
    <row r="330">
      <c r="A330" s="7" t="inlineStr">
        <is>
          <t>MAT-08-114</t>
        </is>
      </c>
      <c r="B330" s="4" t="inlineStr">
        <is>
          <t>Cerámica de piso y pared, 75 x 25 cm</t>
        </is>
      </c>
      <c r="C330" s="7" t="inlineStr">
        <is>
          <t>m²</t>
        </is>
      </c>
      <c r="D330" s="8" t="n">
        <v>915.6799999999999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>
        <f>IF(COUNT(D330:V330)=0,"",MIN(D330:V330))</f>
        <v/>
      </c>
      <c r="X330" s="8">
        <f>IF(COUNT(D330:V330)=0,"",MEDIAN(D330:V330))</f>
        <v/>
      </c>
      <c r="Y330" s="8">
        <f>IF(COUNT(D330:V330)=0,"",MAX(D330:V330))</f>
        <v/>
      </c>
      <c r="Z330" s="9">
        <f>IF(OR(W330="",W330=0),"",(Y330-W330)/W330)</f>
        <v/>
      </c>
      <c r="AA330" s="7">
        <f>IF(COUNT(D330:V330)=0,"",INDEX($D$1:$V$1,MATCH(MIN(D330:V330),D330:V330,0)))</f>
        <v/>
      </c>
      <c r="AB330" s="8" t="n">
        <v>1257.26</v>
      </c>
      <c r="AC330" s="10" t="n">
        <v>1</v>
      </c>
    </row>
    <row r="331">
      <c r="A331" s="7" t="inlineStr">
        <is>
          <t>MAT-08-115</t>
        </is>
      </c>
      <c r="B331" s="4" t="inlineStr">
        <is>
          <t>Cerámica de piso y pared, 80 x 80 cm</t>
        </is>
      </c>
      <c r="C331" s="7" t="inlineStr">
        <is>
          <t>m²</t>
        </is>
      </c>
      <c r="D331" s="8" t="n">
        <v>908.36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>
        <f>IF(COUNT(D331:V331)=0,"",MIN(D331:V331))</f>
        <v/>
      </c>
      <c r="X331" s="8">
        <f>IF(COUNT(D331:V331)=0,"",MEDIAN(D331:V331))</f>
        <v/>
      </c>
      <c r="Y331" s="8">
        <f>IF(COUNT(D331:V331)=0,"",MAX(D331:V331))</f>
        <v/>
      </c>
      <c r="Z331" s="9">
        <f>IF(OR(W331="",W331=0),"",(Y331-W331)/W331)</f>
        <v/>
      </c>
      <c r="AA331" s="7">
        <f>IF(COUNT(D331:V331)=0,"",INDEX($D$1:$V$1,MATCH(MIN(D331:V331),D331:V331,0)))</f>
        <v/>
      </c>
      <c r="AB331" s="8" t="n">
        <v>929.73</v>
      </c>
      <c r="AC331" s="10" t="n">
        <v>1</v>
      </c>
    </row>
    <row r="332">
      <c r="A332" s="7" t="inlineStr">
        <is>
          <t>MAT-08-116</t>
        </is>
      </c>
      <c r="B332" s="4" t="inlineStr">
        <is>
          <t>Cerámica de piso y pared, 90 x 15 cm</t>
        </is>
      </c>
      <c r="C332" s="7" t="inlineStr">
        <is>
          <t>m²</t>
        </is>
      </c>
      <c r="D332" s="8" t="n">
        <v>1417.32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>
        <f>IF(COUNT(D332:V332)=0,"",MIN(D332:V332))</f>
        <v/>
      </c>
      <c r="X332" s="8">
        <f>IF(COUNT(D332:V332)=0,"",MEDIAN(D332:V332))</f>
        <v/>
      </c>
      <c r="Y332" s="8">
        <f>IF(COUNT(D332:V332)=0,"",MAX(D332:V332))</f>
        <v/>
      </c>
      <c r="Z332" s="9">
        <f>IF(OR(W332="",W332=0),"",(Y332-W332)/W332)</f>
        <v/>
      </c>
      <c r="AA332" s="7">
        <f>IF(COUNT(D332:V332)=0,"",INDEX($D$1:$V$1,MATCH(MIN(D332:V332),D332:V332,0)))</f>
        <v/>
      </c>
      <c r="AB332" s="8" t="n">
        <v>1496.73</v>
      </c>
      <c r="AC332" s="10" t="n">
        <v>1</v>
      </c>
    </row>
    <row r="333">
      <c r="A333" s="7" t="inlineStr">
        <is>
          <t>MAT-08-117</t>
        </is>
      </c>
      <c r="B333" s="4" t="inlineStr">
        <is>
          <t>Cerámica de piso y pared, 90 x 30 cm</t>
        </is>
      </c>
      <c r="C333" s="7" t="inlineStr">
        <is>
          <t>m²</t>
        </is>
      </c>
      <c r="D333" s="8" t="n">
        <v>1180.22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>
        <f>IF(COUNT(D333:V333)=0,"",MIN(D333:V333))</f>
        <v/>
      </c>
      <c r="X333" s="8">
        <f>IF(COUNT(D333:V333)=0,"",MEDIAN(D333:V333))</f>
        <v/>
      </c>
      <c r="Y333" s="8">
        <f>IF(COUNT(D333:V333)=0,"",MAX(D333:V333))</f>
        <v/>
      </c>
      <c r="Z333" s="9">
        <f>IF(OR(W333="",W333=0),"",(Y333-W333)/W333)</f>
        <v/>
      </c>
      <c r="AA333" s="7">
        <f>IF(COUNT(D333:V333)=0,"",INDEX($D$1:$V$1,MATCH(MIN(D333:V333),D333:V333,0)))</f>
        <v/>
      </c>
      <c r="AB333" s="8" t="n">
        <v>2227.75</v>
      </c>
      <c r="AC333" s="10" t="n">
        <v>1</v>
      </c>
    </row>
    <row r="334">
      <c r="A334" s="7" t="inlineStr">
        <is>
          <t>MAT-08-118</t>
        </is>
      </c>
      <c r="B334" s="4" t="inlineStr">
        <is>
          <t>Cerámica de piso y pared, 90 x 45 cm</t>
        </is>
      </c>
      <c r="C334" s="7" t="inlineStr">
        <is>
          <t>m²</t>
        </is>
      </c>
      <c r="D334" s="8" t="n">
        <v>1367.94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>
        <f>IF(COUNT(D334:V334)=0,"",MIN(D334:V334))</f>
        <v/>
      </c>
      <c r="X334" s="8">
        <f>IF(COUNT(D334:V334)=0,"",MEDIAN(D334:V334))</f>
        <v/>
      </c>
      <c r="Y334" s="8">
        <f>IF(COUNT(D334:V334)=0,"",MAX(D334:V334))</f>
        <v/>
      </c>
      <c r="Z334" s="9">
        <f>IF(OR(W334="",W334=0),"",(Y334-W334)/W334)</f>
        <v/>
      </c>
      <c r="AA334" s="7">
        <f>IF(COUNT(D334:V334)=0,"",INDEX($D$1:$V$1,MATCH(MIN(D334:V334),D334:V334,0)))</f>
        <v/>
      </c>
      <c r="AB334" s="8" t="n">
        <v>1988.37</v>
      </c>
      <c r="AC334" s="10" t="n">
        <v>1</v>
      </c>
    </row>
    <row r="335">
      <c r="A335" s="7" t="inlineStr">
        <is>
          <t>MAT-08-119</t>
        </is>
      </c>
      <c r="B335" s="4" t="inlineStr">
        <is>
          <t>Porcelanato de pared, 100 x 30 cm</t>
        </is>
      </c>
      <c r="C335" s="7" t="inlineStr">
        <is>
          <t>m²</t>
        </is>
      </c>
      <c r="D335" s="8" t="n">
        <v>1961.18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>
        <f>IF(COUNT(D335:V335)=0,"",MIN(D335:V335))</f>
        <v/>
      </c>
      <c r="X335" s="8">
        <f>IF(COUNT(D335:V335)=0,"",MEDIAN(D335:V335))</f>
        <v/>
      </c>
      <c r="Y335" s="8">
        <f>IF(COUNT(D335:V335)=0,"",MAX(D335:V335))</f>
        <v/>
      </c>
      <c r="Z335" s="9">
        <f>IF(OR(W335="",W335=0),"",(Y335-W335)/W335)</f>
        <v/>
      </c>
      <c r="AA335" s="7">
        <f>IF(COUNT(D335:V335)=0,"",INDEX($D$1:$V$1,MATCH(MIN(D335:V335),D335:V335,0)))</f>
        <v/>
      </c>
      <c r="AB335" s="8" t="n">
        <v>2062.5</v>
      </c>
      <c r="AC335" s="10" t="n">
        <v>1</v>
      </c>
    </row>
    <row r="336">
      <c r="A336" s="7" t="inlineStr">
        <is>
          <t>MAT-08-120</t>
        </is>
      </c>
      <c r="B336" s="4" t="inlineStr">
        <is>
          <t>Porcelanato de pared, 120 x 120 cm</t>
        </is>
      </c>
      <c r="C336" s="7" t="inlineStr">
        <is>
          <t>m²</t>
        </is>
      </c>
      <c r="D336" s="8" t="n"/>
      <c r="E336" s="8" t="n"/>
      <c r="F336" s="8" t="n">
        <v>2686.15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>
        <f>IF(COUNT(D336:V336)=0,"",MIN(D336:V336))</f>
        <v/>
      </c>
      <c r="X336" s="8">
        <f>IF(COUNT(D336:V336)=0,"",MEDIAN(D336:V336))</f>
        <v/>
      </c>
      <c r="Y336" s="8">
        <f>IF(COUNT(D336:V336)=0,"",MAX(D336:V336))</f>
        <v/>
      </c>
      <c r="Z336" s="9">
        <f>IF(OR(W336="",W336=0),"",(Y336-W336)/W336)</f>
        <v/>
      </c>
      <c r="AA336" s="7">
        <f>IF(COUNT(D336:V336)=0,"",INDEX($D$1:$V$1,MATCH(MIN(D336:V336),D336:V336,0)))</f>
        <v/>
      </c>
      <c r="AB336" s="8" t="n">
        <v>3169.66</v>
      </c>
      <c r="AC336" s="10" t="n">
        <v>1</v>
      </c>
    </row>
    <row r="337">
      <c r="A337" s="7" t="inlineStr">
        <is>
          <t>MAT-08-121</t>
        </is>
      </c>
      <c r="B337" s="4" t="inlineStr">
        <is>
          <t>Porcelanato de pared, 120 x 40 cm</t>
        </is>
      </c>
      <c r="C337" s="7" t="inlineStr">
        <is>
          <t>m²</t>
        </is>
      </c>
      <c r="D337" s="8" t="n">
        <v>1241.03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>
        <f>IF(COUNT(D337:V337)=0,"",MIN(D337:V337))</f>
        <v/>
      </c>
      <c r="X337" s="8">
        <f>IF(COUNT(D337:V337)=0,"",MEDIAN(D337:V337))</f>
        <v/>
      </c>
      <c r="Y337" s="8">
        <f>IF(COUNT(D337:V337)=0,"",MAX(D337:V337))</f>
        <v/>
      </c>
      <c r="Z337" s="9">
        <f>IF(OR(W337="",W337=0),"",(Y337-W337)/W337)</f>
        <v/>
      </c>
      <c r="AA337" s="7">
        <f>IF(COUNT(D337:V337)=0,"",INDEX($D$1:$V$1,MATCH(MIN(D337:V337),D337:V337,0)))</f>
        <v/>
      </c>
      <c r="AB337" s="8" t="n">
        <v>1540.39</v>
      </c>
      <c r="AC337" s="10" t="n">
        <v>1</v>
      </c>
    </row>
    <row r="338">
      <c r="A338" s="7" t="inlineStr">
        <is>
          <t>MAT-08-122</t>
        </is>
      </c>
      <c r="B338" s="4" t="inlineStr">
        <is>
          <t>Porcelanato de pared, 120 x 45 cm</t>
        </is>
      </c>
      <c r="C338" s="7" t="inlineStr">
        <is>
          <t>m²</t>
        </is>
      </c>
      <c r="D338" s="8" t="n"/>
      <c r="E338" s="8" t="n"/>
      <c r="F338" s="8" t="n">
        <v>1645.33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>
        <f>IF(COUNT(D338:V338)=0,"",MIN(D338:V338))</f>
        <v/>
      </c>
      <c r="X338" s="8">
        <f>IF(COUNT(D338:V338)=0,"",MEDIAN(D338:V338))</f>
        <v/>
      </c>
      <c r="Y338" s="8">
        <f>IF(COUNT(D338:V338)=0,"",MAX(D338:V338))</f>
        <v/>
      </c>
      <c r="Z338" s="9">
        <f>IF(OR(W338="",W338=0),"",(Y338-W338)/W338)</f>
        <v/>
      </c>
      <c r="AA338" s="7">
        <f>IF(COUNT(D338:V338)=0,"",INDEX($D$1:$V$1,MATCH(MIN(D338:V338),D338:V338,0)))</f>
        <v/>
      </c>
      <c r="AB338" s="8" t="n">
        <v>2022.32</v>
      </c>
      <c r="AC338" s="10" t="n">
        <v>1</v>
      </c>
    </row>
    <row r="339">
      <c r="A339" s="7" t="inlineStr">
        <is>
          <t>MAT-08-123</t>
        </is>
      </c>
      <c r="B339" s="4" t="inlineStr">
        <is>
          <t>Porcelanato de pared, 120 x 60 cm</t>
        </is>
      </c>
      <c r="C339" s="7" t="inlineStr">
        <is>
          <t>m²</t>
        </is>
      </c>
      <c r="D339" s="8" t="n">
        <v>1708.56</v>
      </c>
      <c r="E339" s="8" t="n"/>
      <c r="F339" s="8" t="n">
        <v>996.8</v>
      </c>
      <c r="G339" s="8" t="n"/>
      <c r="H339" s="8" t="n">
        <v>2589.99</v>
      </c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>
        <f>IF(COUNT(D339:V339)=0,"",MIN(D339:V339))</f>
        <v/>
      </c>
      <c r="X339" s="8">
        <f>IF(COUNT(D339:V339)=0,"",MEDIAN(D339:V339))</f>
        <v/>
      </c>
      <c r="Y339" s="8">
        <f>IF(COUNT(D339:V339)=0,"",MAX(D339:V339))</f>
        <v/>
      </c>
      <c r="Z339" s="9">
        <f>IF(OR(W339="",W339=0),"",(Y339-W339)/W339)</f>
        <v/>
      </c>
      <c r="AA339" s="7">
        <f>IF(COUNT(D339:V339)=0,"",INDEX($D$1:$V$1,MATCH(MIN(D339:V339),D339:V339,0)))</f>
        <v/>
      </c>
      <c r="AB339" s="8" t="n">
        <v>1811.22</v>
      </c>
      <c r="AC339" s="10" t="n">
        <v>3</v>
      </c>
    </row>
    <row r="340">
      <c r="A340" s="7" t="inlineStr">
        <is>
          <t>MAT-08-124</t>
        </is>
      </c>
      <c r="B340" s="4" t="inlineStr">
        <is>
          <t>Porcelanato de pared, 15 x 15 cm</t>
        </is>
      </c>
      <c r="C340" s="7" t="inlineStr">
        <is>
          <t>m²</t>
        </is>
      </c>
      <c r="D340" s="8" t="n">
        <v>516.5599999999999</v>
      </c>
      <c r="E340" s="8" t="n"/>
      <c r="F340" s="8" t="n">
        <v>1237.02</v>
      </c>
      <c r="G340" s="8" t="n"/>
      <c r="H340" s="8" t="n">
        <v>3349.82</v>
      </c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>
        <f>IF(COUNT(D340:V340)=0,"",MIN(D340:V340))</f>
        <v/>
      </c>
      <c r="X340" s="8">
        <f>IF(COUNT(D340:V340)=0,"",MEDIAN(D340:V340))</f>
        <v/>
      </c>
      <c r="Y340" s="8">
        <f>IF(COUNT(D340:V340)=0,"",MAX(D340:V340))</f>
        <v/>
      </c>
      <c r="Z340" s="9">
        <f>IF(OR(W340="",W340=0),"",(Y340-W340)/W340)</f>
        <v/>
      </c>
      <c r="AA340" s="7">
        <f>IF(COUNT(D340:V340)=0,"",INDEX($D$1:$V$1,MATCH(MIN(D340:V340),D340:V340,0)))</f>
        <v/>
      </c>
      <c r="AB340" s="8" t="n">
        <v>2988.15</v>
      </c>
      <c r="AC340" s="10" t="n">
        <v>3</v>
      </c>
    </row>
    <row r="341">
      <c r="A341" s="7" t="inlineStr">
        <is>
          <t>MAT-08-125</t>
        </is>
      </c>
      <c r="B341" s="4" t="inlineStr">
        <is>
          <t>Porcelanato de pared, 20 x 20 cm</t>
        </is>
      </c>
      <c r="C341" s="7" t="inlineStr">
        <is>
          <t>m²</t>
        </is>
      </c>
      <c r="D341" s="8" t="n"/>
      <c r="E341" s="8" t="n"/>
      <c r="F341" s="8" t="n">
        <v>1437.07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>
        <f>IF(COUNT(D341:V341)=0,"",MIN(D341:V341))</f>
        <v/>
      </c>
      <c r="X341" s="8">
        <f>IF(COUNT(D341:V341)=0,"",MEDIAN(D341:V341))</f>
        <v/>
      </c>
      <c r="Y341" s="8">
        <f>IF(COUNT(D341:V341)=0,"",MAX(D341:V341))</f>
        <v/>
      </c>
      <c r="Z341" s="9">
        <f>IF(OR(W341="",W341=0),"",(Y341-W341)/W341)</f>
        <v/>
      </c>
      <c r="AA341" s="7">
        <f>IF(COUNT(D341:V341)=0,"",INDEX($D$1:$V$1,MATCH(MIN(D341:V341),D341:V341,0)))</f>
        <v/>
      </c>
      <c r="AB341" s="8" t="n">
        <v>2678.99</v>
      </c>
      <c r="AC341" s="10" t="n">
        <v>1</v>
      </c>
    </row>
    <row r="342">
      <c r="A342" s="7" t="inlineStr">
        <is>
          <t>MAT-08-126</t>
        </is>
      </c>
      <c r="B342" s="4" t="inlineStr">
        <is>
          <t>Porcelanato de pared, 25 x 14 cm</t>
        </is>
      </c>
      <c r="C342" s="7" t="inlineStr">
        <is>
          <t>m²</t>
        </is>
      </c>
      <c r="D342" s="8" t="n"/>
      <c r="E342" s="8" t="n"/>
      <c r="F342" s="8" t="n"/>
      <c r="G342" s="8" t="n"/>
      <c r="H342" s="8" t="n">
        <v>3926.57</v>
      </c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>
        <f>IF(COUNT(D342:V342)=0,"",MIN(D342:V342))</f>
        <v/>
      </c>
      <c r="X342" s="8">
        <f>IF(COUNT(D342:V342)=0,"",MEDIAN(D342:V342))</f>
        <v/>
      </c>
      <c r="Y342" s="8">
        <f>IF(COUNT(D342:V342)=0,"",MAX(D342:V342))</f>
        <v/>
      </c>
      <c r="Z342" s="9">
        <f>IF(OR(W342="",W342=0),"",(Y342-W342)/W342)</f>
        <v/>
      </c>
      <c r="AA342" s="7">
        <f>IF(COUNT(D342:V342)=0,"",INDEX($D$1:$V$1,MATCH(MIN(D342:V342),D342:V342,0)))</f>
        <v/>
      </c>
      <c r="AB342" s="8" t="n">
        <v>3926.57</v>
      </c>
      <c r="AC342" s="10" t="n">
        <v>1</v>
      </c>
    </row>
    <row r="343">
      <c r="A343" s="7" t="inlineStr">
        <is>
          <t>MAT-08-127</t>
        </is>
      </c>
      <c r="B343" s="4" t="inlineStr">
        <is>
          <t>Porcelanato de pared, 25 x 22 cm</t>
        </is>
      </c>
      <c r="C343" s="7" t="inlineStr">
        <is>
          <t>m²</t>
        </is>
      </c>
      <c r="D343" s="8" t="n"/>
      <c r="E343" s="8" t="n"/>
      <c r="F343" s="8" t="n"/>
      <c r="G343" s="8" t="n"/>
      <c r="H343" s="8" t="n">
        <v>2990.03</v>
      </c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>
        <f>IF(COUNT(D343:V343)=0,"",MIN(D343:V343))</f>
        <v/>
      </c>
      <c r="X343" s="8">
        <f>IF(COUNT(D343:V343)=0,"",MEDIAN(D343:V343))</f>
        <v/>
      </c>
      <c r="Y343" s="8">
        <f>IF(COUNT(D343:V343)=0,"",MAX(D343:V343))</f>
        <v/>
      </c>
      <c r="Z343" s="9">
        <f>IF(OR(W343="",W343=0),"",(Y343-W343)/W343)</f>
        <v/>
      </c>
      <c r="AA343" s="7">
        <f>IF(COUNT(D343:V343)=0,"",INDEX($D$1:$V$1,MATCH(MIN(D343:V343),D343:V343,0)))</f>
        <v/>
      </c>
      <c r="AB343" s="8" t="n">
        <v>2990.03</v>
      </c>
      <c r="AC343" s="10" t="n">
        <v>1</v>
      </c>
    </row>
    <row r="344">
      <c r="A344" s="7" t="inlineStr">
        <is>
          <t>MAT-08-128</t>
        </is>
      </c>
      <c r="B344" s="4" t="inlineStr">
        <is>
          <t>Porcelanato de pared, 25 x 23 cm</t>
        </is>
      </c>
      <c r="C344" s="7" t="inlineStr">
        <is>
          <t>m²</t>
        </is>
      </c>
      <c r="D344" s="8" t="n"/>
      <c r="E344" s="8" t="n"/>
      <c r="F344" s="8" t="n">
        <v>3637.09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>
        <f>IF(COUNT(D344:V344)=0,"",MIN(D344:V344))</f>
        <v/>
      </c>
      <c r="X344" s="8">
        <f>IF(COUNT(D344:V344)=0,"",MEDIAN(D344:V344))</f>
        <v/>
      </c>
      <c r="Y344" s="8">
        <f>IF(COUNT(D344:V344)=0,"",MAX(D344:V344))</f>
        <v/>
      </c>
      <c r="Z344" s="9">
        <f>IF(OR(W344="",W344=0),"",(Y344-W344)/W344)</f>
        <v/>
      </c>
      <c r="AA344" s="7">
        <f>IF(COUNT(D344:V344)=0,"",INDEX($D$1:$V$1,MATCH(MIN(D344:V344),D344:V344,0)))</f>
        <v/>
      </c>
      <c r="AB344" s="8" t="n">
        <v>4291.77</v>
      </c>
      <c r="AC344" s="10" t="n">
        <v>1</v>
      </c>
    </row>
    <row r="345">
      <c r="A345" s="7" t="inlineStr">
        <is>
          <t>MAT-08-129</t>
        </is>
      </c>
      <c r="B345" s="4" t="inlineStr">
        <is>
          <t>Porcelanato de pared, 30 x 30 cm</t>
        </is>
      </c>
      <c r="C345" s="7" t="inlineStr">
        <is>
          <t>m²</t>
        </is>
      </c>
      <c r="D345" s="8" t="n"/>
      <c r="E345" s="8" t="n"/>
      <c r="F345" s="8" t="n">
        <v>1838.44</v>
      </c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>
        <f>IF(COUNT(D345:V345)=0,"",MIN(D345:V345))</f>
        <v/>
      </c>
      <c r="X345" s="8">
        <f>IF(COUNT(D345:V345)=0,"",MEDIAN(D345:V345))</f>
        <v/>
      </c>
      <c r="Y345" s="8">
        <f>IF(COUNT(D345:V345)=0,"",MAX(D345:V345))</f>
        <v/>
      </c>
      <c r="Z345" s="9">
        <f>IF(OR(W345="",W345=0),"",(Y345-W345)/W345)</f>
        <v/>
      </c>
      <c r="AA345" s="7">
        <f>IF(COUNT(D345:V345)=0,"",INDEX($D$1:$V$1,MATCH(MIN(D345:V345),D345:V345,0)))</f>
        <v/>
      </c>
      <c r="AB345" s="8" t="n">
        <v>2169.36</v>
      </c>
      <c r="AC345" s="10" t="n">
        <v>1</v>
      </c>
    </row>
    <row r="346">
      <c r="A346" s="7" t="inlineStr">
        <is>
          <t>MAT-08-130</t>
        </is>
      </c>
      <c r="B346" s="4" t="inlineStr">
        <is>
          <t>Porcelanato de pared, 300 x 150 cm</t>
        </is>
      </c>
      <c r="C346" s="7" t="inlineStr">
        <is>
          <t>m²</t>
        </is>
      </c>
      <c r="D346" s="8" t="n"/>
      <c r="E346" s="8" t="n"/>
      <c r="F346" s="8" t="n">
        <v>6935.94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>
        <f>IF(COUNT(D346:V346)=0,"",MIN(D346:V346))</f>
        <v/>
      </c>
      <c r="X346" s="8">
        <f>IF(COUNT(D346:V346)=0,"",MEDIAN(D346:V346))</f>
        <v/>
      </c>
      <c r="Y346" s="8">
        <f>IF(COUNT(D346:V346)=0,"",MAX(D346:V346))</f>
        <v/>
      </c>
      <c r="Z346" s="9">
        <f>IF(OR(W346="",W346=0),"",(Y346-W346)/W346)</f>
        <v/>
      </c>
      <c r="AA346" s="7">
        <f>IF(COUNT(D346:V346)=0,"",INDEX($D$1:$V$1,MATCH(MIN(D346:V346),D346:V346,0)))</f>
        <v/>
      </c>
      <c r="AB346" s="8" t="n">
        <v>8184.41</v>
      </c>
      <c r="AC346" s="10" t="n">
        <v>1</v>
      </c>
    </row>
    <row r="347">
      <c r="A347" s="7" t="inlineStr">
        <is>
          <t>MAT-08-131</t>
        </is>
      </c>
      <c r="B347" s="4" t="inlineStr">
        <is>
          <t>Porcelanato de pared, 50 x 17 cm</t>
        </is>
      </c>
      <c r="C347" s="7" t="inlineStr">
        <is>
          <t>m²</t>
        </is>
      </c>
      <c r="D347" s="8" t="n">
        <v>1550.47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>
        <f>IF(COUNT(D347:V347)=0,"",MIN(D347:V347))</f>
        <v/>
      </c>
      <c r="X347" s="8">
        <f>IF(COUNT(D347:V347)=0,"",MEDIAN(D347:V347))</f>
        <v/>
      </c>
      <c r="Y347" s="8">
        <f>IF(COUNT(D347:V347)=0,"",MAX(D347:V347))</f>
        <v/>
      </c>
      <c r="Z347" s="9">
        <f>IF(OR(W347="",W347=0),"",(Y347-W347)/W347)</f>
        <v/>
      </c>
      <c r="AA347" s="7">
        <f>IF(COUNT(D347:V347)=0,"",INDEX($D$1:$V$1,MATCH(MIN(D347:V347),D347:V347,0)))</f>
        <v/>
      </c>
      <c r="AB347" s="8" t="n">
        <v>1873.88</v>
      </c>
      <c r="AC347" s="10" t="n">
        <v>1</v>
      </c>
    </row>
    <row r="348">
      <c r="A348" s="7" t="inlineStr">
        <is>
          <t>MAT-08-132</t>
        </is>
      </c>
      <c r="B348" s="4" t="inlineStr">
        <is>
          <t>Porcelanato de pared, 55 x 33 cm</t>
        </is>
      </c>
      <c r="C348" s="7" t="inlineStr">
        <is>
          <t>m²</t>
        </is>
      </c>
      <c r="D348" s="8" t="n">
        <v>671.4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>
        <f>IF(COUNT(D348:V348)=0,"",MIN(D348:V348))</f>
        <v/>
      </c>
      <c r="X348" s="8">
        <f>IF(COUNT(D348:V348)=0,"",MEDIAN(D348:V348))</f>
        <v/>
      </c>
      <c r="Y348" s="8">
        <f>IF(COUNT(D348:V348)=0,"",MAX(D348:V348))</f>
        <v/>
      </c>
      <c r="Z348" s="9">
        <f>IF(OR(W348="",W348=0),"",(Y348-W348)/W348)</f>
        <v/>
      </c>
      <c r="AA348" s="7">
        <f>IF(COUNT(D348:V348)=0,"",INDEX($D$1:$V$1,MATCH(MIN(D348:V348),D348:V348,0)))</f>
        <v/>
      </c>
      <c r="AB348" s="8" t="n">
        <v>839.97</v>
      </c>
      <c r="AC348" s="10" t="n">
        <v>1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1034.85</v>
      </c>
      <c r="E349" s="8" t="n"/>
      <c r="F349" s="8" t="n">
        <v>1309.22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>
        <f>IF(COUNT(D349:V349)=0,"",MIN(D349:V349))</f>
        <v/>
      </c>
      <c r="X349" s="8">
        <f>IF(COUNT(D349:V349)=0,"",MEDIAN(D349:V349))</f>
        <v/>
      </c>
      <c r="Y349" s="8">
        <f>IF(COUNT(D349:V349)=0,"",MAX(D349:V349))</f>
        <v/>
      </c>
      <c r="Z349" s="9">
        <f>IF(OR(W349="",W349=0),"",(Y349-W349)/W349)</f>
        <v/>
      </c>
      <c r="AA349" s="7">
        <f>IF(COUNT(D349:V349)=0,"",INDEX($D$1:$V$1,MATCH(MIN(D349:V349),D349:V349,0)))</f>
        <v/>
      </c>
      <c r="AB349" s="8" t="n">
        <v>1576.66</v>
      </c>
      <c r="AC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>
        <f>IF(COUNT(D350:V350)=0,"",MIN(D350:V350))</f>
        <v/>
      </c>
      <c r="X350" s="8">
        <f>IF(COUNT(D350:V350)=0,"",MEDIAN(D350:V350))</f>
        <v/>
      </c>
      <c r="Y350" s="8">
        <f>IF(COUNT(D350:V350)=0,"",MAX(D350:V350))</f>
        <v/>
      </c>
      <c r="Z350" s="9">
        <f>IF(OR(W350="",W350=0),"",(Y350-W350)/W350)</f>
        <v/>
      </c>
      <c r="AA350" s="7">
        <f>IF(COUNT(D350:V350)=0,"",INDEX($D$1:$V$1,MATCH(MIN(D350:V350),D350:V350,0)))</f>
        <v/>
      </c>
      <c r="AB350" s="8" t="n">
        <v>1727.89</v>
      </c>
      <c r="AC350" s="10" t="n">
        <v>1</v>
      </c>
    </row>
    <row r="351">
      <c r="A351" s="7" t="inlineStr">
        <is>
          <t>MAT-08-135</t>
        </is>
      </c>
      <c r="B351" s="4" t="inlineStr">
        <is>
          <t>Porcelanato de pared, 75 x 25 cm</t>
        </is>
      </c>
      <c r="C351" s="7" t="inlineStr">
        <is>
          <t>m²</t>
        </is>
      </c>
      <c r="D351" s="8" t="n">
        <v>796.67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>
        <f>IF(COUNT(D351:V351)=0,"",MIN(D351:V351))</f>
        <v/>
      </c>
      <c r="X351" s="8">
        <f>IF(COUNT(D351:V351)=0,"",MEDIAN(D351:V351))</f>
        <v/>
      </c>
      <c r="Y351" s="8">
        <f>IF(COUNT(D351:V351)=0,"",MAX(D351:V351))</f>
        <v/>
      </c>
      <c r="Z351" s="9">
        <f>IF(OR(W351="",W351=0),"",(Y351-W351)/W351)</f>
        <v/>
      </c>
      <c r="AA351" s="7">
        <f>IF(COUNT(D351:V351)=0,"",INDEX($D$1:$V$1,MATCH(MIN(D351:V351),D351:V351,0)))</f>
        <v/>
      </c>
      <c r="AB351" s="8" t="n">
        <v>796.67</v>
      </c>
      <c r="AC351" s="10" t="n">
        <v>1</v>
      </c>
    </row>
    <row r="352">
      <c r="A352" s="7" t="inlineStr">
        <is>
          <t>MAT-08-136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>
        <f>IF(COUNT(D352:V352)=0,"",MIN(D352:V352))</f>
        <v/>
      </c>
      <c r="X352" s="8">
        <f>IF(COUNT(D352:V352)=0,"",MEDIAN(D352:V352))</f>
        <v/>
      </c>
      <c r="Y352" s="8">
        <f>IF(COUNT(D352:V352)=0,"",MAX(D352:V352))</f>
        <v/>
      </c>
      <c r="Z352" s="9">
        <f>IF(OR(W352="",W352=0),"",(Y352-W352)/W352)</f>
        <v/>
      </c>
      <c r="AA352" s="7">
        <f>IF(COUNT(D352:V352)=0,"",INDEX($D$1:$V$1,MATCH(MIN(D352:V352),D352:V352,0)))</f>
        <v/>
      </c>
      <c r="AB352" s="8" t="n">
        <v>2789.99</v>
      </c>
      <c r="AC352" s="10" t="n">
        <v>1</v>
      </c>
    </row>
    <row r="353">
      <c r="A353" s="7" t="inlineStr">
        <is>
          <t>MAT-08-137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1531.25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>
        <f>IF(COUNT(D353:V353)=0,"",MIN(D353:V353))</f>
        <v/>
      </c>
      <c r="X353" s="8">
        <f>IF(COUNT(D353:V353)=0,"",MEDIAN(D353:V353))</f>
        <v/>
      </c>
      <c r="Y353" s="8">
        <f>IF(COUNT(D353:V353)=0,"",MAX(D353:V353))</f>
        <v/>
      </c>
      <c r="Z353" s="9">
        <f>IF(OR(W353="",W353=0),"",(Y353-W353)/W353)</f>
        <v/>
      </c>
      <c r="AA353" s="7">
        <f>IF(COUNT(D353:V353)=0,"",INDEX($D$1:$V$1,MATCH(MIN(D353:V353),D353:V353,0)))</f>
        <v/>
      </c>
      <c r="AB353" s="8" t="n">
        <v>1531.25</v>
      </c>
      <c r="AC353" s="10" t="n">
        <v>1</v>
      </c>
    </row>
    <row r="354">
      <c r="A354" s="7" t="inlineStr">
        <is>
          <t>MAT-08-138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>
        <f>IF(COUNT(D354:V354)=0,"",MIN(D354:V354))</f>
        <v/>
      </c>
      <c r="X354" s="8">
        <f>IF(COUNT(D354:V354)=0,"",MEDIAN(D354:V354))</f>
        <v/>
      </c>
      <c r="Y354" s="8">
        <f>IF(COUNT(D354:V354)=0,"",MAX(D354:V354))</f>
        <v/>
      </c>
      <c r="Z354" s="9">
        <f>IF(OR(W354="",W354=0),"",(Y354-W354)/W354)</f>
        <v/>
      </c>
      <c r="AA354" s="7">
        <f>IF(COUNT(D354:V354)=0,"",INDEX($D$1:$V$1,MATCH(MIN(D354:V354),D354:V354,0)))</f>
        <v/>
      </c>
      <c r="AB354" s="8" t="n">
        <v>805</v>
      </c>
      <c r="AC354" s="10" t="n">
        <v>1</v>
      </c>
    </row>
    <row r="355">
      <c r="A355" s="7" t="inlineStr">
        <is>
          <t>MAT-08-139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>
        <f>IF(COUNT(D355:V355)=0,"",MIN(D355:V355))</f>
        <v/>
      </c>
      <c r="X355" s="8">
        <f>IF(COUNT(D355:V355)=0,"",MEDIAN(D355:V355))</f>
        <v/>
      </c>
      <c r="Y355" s="8">
        <f>IF(COUNT(D355:V355)=0,"",MAX(D355:V355))</f>
        <v/>
      </c>
      <c r="Z355" s="9">
        <f>IF(OR(W355="",W355=0),"",(Y355-W355)/W355)</f>
        <v/>
      </c>
      <c r="AA355" s="7">
        <f>IF(COUNT(D355:V355)=0,"",INDEX($D$1:$V$1,MATCH(MIN(D355:V355),D355:V355,0)))</f>
        <v/>
      </c>
      <c r="AB355" s="8" t="n">
        <v>2001.81</v>
      </c>
      <c r="AC355" s="10" t="n">
        <v>1</v>
      </c>
    </row>
    <row r="356">
      <c r="A356" s="7" t="inlineStr">
        <is>
          <t>MAT-08-140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>
        <f>IF(COUNT(D356:V356)=0,"",MIN(D356:V356))</f>
        <v/>
      </c>
      <c r="X356" s="8">
        <f>IF(COUNT(D356:V356)=0,"",MEDIAN(D356:V356))</f>
        <v/>
      </c>
      <c r="Y356" s="8">
        <f>IF(COUNT(D356:V356)=0,"",MAX(D356:V356))</f>
        <v/>
      </c>
      <c r="Z356" s="9">
        <f>IF(OR(W356="",W356=0),"",(Y356-W356)/W356)</f>
        <v/>
      </c>
      <c r="AA356" s="7">
        <f>IF(COUNT(D356:V356)=0,"",INDEX($D$1:$V$1,MATCH(MIN(D356:V356),D356:V356,0)))</f>
        <v/>
      </c>
      <c r="AB356" s="8" t="n">
        <v>1269.08</v>
      </c>
      <c r="AC356" s="10" t="n">
        <v>1</v>
      </c>
    </row>
    <row r="357">
      <c r="A357" s="7" t="inlineStr">
        <is>
          <t>MAT-08-141</t>
        </is>
      </c>
      <c r="B357" s="4" t="inlineStr">
        <is>
          <t>Porcelanato de piso, 113 x 55 cm</t>
        </is>
      </c>
      <c r="C357" s="7" t="inlineStr">
        <is>
          <t>m²</t>
        </is>
      </c>
      <c r="D357" s="8" t="n">
        <v>955.09</v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>
        <f>IF(COUNT(D357:V357)=0,"",MIN(D357:V357))</f>
        <v/>
      </c>
      <c r="X357" s="8">
        <f>IF(COUNT(D357:V357)=0,"",MEDIAN(D357:V357))</f>
        <v/>
      </c>
      <c r="Y357" s="8">
        <f>IF(COUNT(D357:V357)=0,"",MAX(D357:V357))</f>
        <v/>
      </c>
      <c r="Z357" s="9">
        <f>IF(OR(W357="",W357=0),"",(Y357-W357)/W357)</f>
        <v/>
      </c>
      <c r="AA357" s="7">
        <f>IF(COUNT(D357:V357)=0,"",INDEX($D$1:$V$1,MATCH(MIN(D357:V357),D357:V357,0)))</f>
        <v/>
      </c>
      <c r="AB357" s="8" t="n">
        <v>955.09</v>
      </c>
      <c r="AC357" s="10" t="n">
        <v>1</v>
      </c>
    </row>
    <row r="358">
      <c r="A358" s="7" t="inlineStr">
        <is>
          <t>MAT-08-142</t>
        </is>
      </c>
      <c r="B358" s="4" t="inlineStr">
        <is>
          <t>Porcelanato de piso, 120 x 120 cm</t>
        </is>
      </c>
      <c r="C358" s="7" t="inlineStr">
        <is>
          <t>m²</t>
        </is>
      </c>
      <c r="D358" s="8" t="n"/>
      <c r="E358" s="8" t="n"/>
      <c r="F358" s="8" t="n">
        <v>2505.65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>
        <f>IF(COUNT(D358:V358)=0,"",MIN(D358:V358))</f>
        <v/>
      </c>
      <c r="X358" s="8">
        <f>IF(COUNT(D358:V358)=0,"",MEDIAN(D358:V358))</f>
        <v/>
      </c>
      <c r="Y358" s="8">
        <f>IF(COUNT(D358:V358)=0,"",MAX(D358:V358))</f>
        <v/>
      </c>
      <c r="Z358" s="9">
        <f>IF(OR(W358="",W358=0),"",(Y358-W358)/W358)</f>
        <v/>
      </c>
      <c r="AA358" s="7">
        <f>IF(COUNT(D358:V358)=0,"",INDEX($D$1:$V$1,MATCH(MIN(D358:V358),D358:V358,0)))</f>
        <v/>
      </c>
      <c r="AB358" s="8" t="n">
        <v>2956.72</v>
      </c>
      <c r="AC358" s="10" t="n">
        <v>1</v>
      </c>
    </row>
    <row r="359">
      <c r="A359" s="7" t="inlineStr">
        <is>
          <t>MAT-08-143</t>
        </is>
      </c>
      <c r="B359" s="4" t="inlineStr">
        <is>
          <t>Porcelanato de piso, 120 x 15 cm</t>
        </is>
      </c>
      <c r="C359" s="7" t="inlineStr">
        <is>
          <t>m²</t>
        </is>
      </c>
      <c r="D359" s="8" t="n">
        <v>2570.59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>
        <f>IF(COUNT(D359:V359)=0,"",MIN(D359:V359))</f>
        <v/>
      </c>
      <c r="X359" s="8">
        <f>IF(COUNT(D359:V359)=0,"",MEDIAN(D359:V359))</f>
        <v/>
      </c>
      <c r="Y359" s="8">
        <f>IF(COUNT(D359:V359)=0,"",MAX(D359:V359))</f>
        <v/>
      </c>
      <c r="Z359" s="9">
        <f>IF(OR(W359="",W359=0),"",(Y359-W359)/W359)</f>
        <v/>
      </c>
      <c r="AA359" s="7">
        <f>IF(COUNT(D359:V359)=0,"",INDEX($D$1:$V$1,MATCH(MIN(D359:V359),D359:V359,0)))</f>
        <v/>
      </c>
      <c r="AB359" s="8" t="n">
        <v>3297.03</v>
      </c>
      <c r="AC359" s="10" t="n">
        <v>1</v>
      </c>
    </row>
    <row r="360">
      <c r="A360" s="7" t="inlineStr">
        <is>
          <t>MAT-08-144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2010.03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>
        <f>IF(COUNT(D360:V360)=0,"",MIN(D360:V360))</f>
        <v/>
      </c>
      <c r="X360" s="8">
        <f>IF(COUNT(D360:V360)=0,"",MEDIAN(D360:V360))</f>
        <v/>
      </c>
      <c r="Y360" s="8">
        <f>IF(COUNT(D360:V360)=0,"",MAX(D360:V360))</f>
        <v/>
      </c>
      <c r="Z360" s="9">
        <f>IF(OR(W360="",W360=0),"",(Y360-W360)/W360)</f>
        <v/>
      </c>
      <c r="AA360" s="7">
        <f>IF(COUNT(D360:V360)=0,"",INDEX($D$1:$V$1,MATCH(MIN(D360:V360),D360:V360,0)))</f>
        <v/>
      </c>
      <c r="AB360" s="8" t="n">
        <v>1510.06</v>
      </c>
      <c r="AC360" s="10" t="n">
        <v>2</v>
      </c>
    </row>
    <row r="361">
      <c r="A361" s="7" t="inlineStr">
        <is>
          <t>MAT-08-145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>
        <f>IF(COUNT(D361:V361)=0,"",MIN(D361:V361))</f>
        <v/>
      </c>
      <c r="X361" s="8">
        <f>IF(COUNT(D361:V361)=0,"",MEDIAN(D361:V361))</f>
        <v/>
      </c>
      <c r="Y361" s="8">
        <f>IF(COUNT(D361:V361)=0,"",MAX(D361:V361))</f>
        <v/>
      </c>
      <c r="Z361" s="9">
        <f>IF(OR(W361="",W361=0),"",(Y361-W361)/W361)</f>
        <v/>
      </c>
      <c r="AA361" s="7">
        <f>IF(COUNT(D361:V361)=0,"",INDEX($D$1:$V$1,MATCH(MIN(D361:V361),D361:V361,0)))</f>
        <v/>
      </c>
      <c r="AB361" s="8" t="n">
        <v>1949.98</v>
      </c>
      <c r="AC361" s="10" t="n">
        <v>1</v>
      </c>
    </row>
    <row r="362">
      <c r="A362" s="7" t="inlineStr">
        <is>
          <t>MAT-08-146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>
        <v>1122.74</v>
      </c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>
        <f>IF(COUNT(D362:V362)=0,"",MIN(D362:V362))</f>
        <v/>
      </c>
      <c r="X362" s="8">
        <f>IF(COUNT(D362:V362)=0,"",MEDIAN(D362:V362))</f>
        <v/>
      </c>
      <c r="Y362" s="8">
        <f>IF(COUNT(D362:V362)=0,"",MAX(D362:V362))</f>
        <v/>
      </c>
      <c r="Z362" s="9">
        <f>IF(OR(W362="",W362=0),"",(Y362-W362)/W362)</f>
        <v/>
      </c>
      <c r="AA362" s="7">
        <f>IF(COUNT(D362:V362)=0,"",INDEX($D$1:$V$1,MATCH(MIN(D362:V362),D362:V362,0)))</f>
        <v/>
      </c>
      <c r="AB362" s="8" t="n">
        <v>1798</v>
      </c>
      <c r="AC362" s="10" t="n">
        <v>2</v>
      </c>
    </row>
    <row r="363">
      <c r="A363" s="7" t="inlineStr">
        <is>
          <t>MAT-08-147</t>
        </is>
      </c>
      <c r="B363" s="4" t="inlineStr">
        <is>
          <t>Porcelanato de piso, 120 x 40 cm</t>
        </is>
      </c>
      <c r="C363" s="7" t="inlineStr">
        <is>
          <t>m²</t>
        </is>
      </c>
      <c r="D363" s="8" t="n">
        <v>1516.36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>
        <f>IF(COUNT(D363:V363)=0,"",MIN(D363:V363))</f>
        <v/>
      </c>
      <c r="X363" s="8">
        <f>IF(COUNT(D363:V363)=0,"",MEDIAN(D363:V363))</f>
        <v/>
      </c>
      <c r="Y363" s="8">
        <f>IF(COUNT(D363:V363)=0,"",MAX(D363:V363))</f>
        <v/>
      </c>
      <c r="Z363" s="9">
        <f>IF(OR(W363="",W363=0),"",(Y363-W363)/W363)</f>
        <v/>
      </c>
      <c r="AA363" s="7">
        <f>IF(COUNT(D363:V363)=0,"",INDEX($D$1:$V$1,MATCH(MIN(D363:V363),D363:V363,0)))</f>
        <v/>
      </c>
      <c r="AB363" s="8" t="n">
        <v>1753.98</v>
      </c>
      <c r="AC363" s="10" t="n">
        <v>1</v>
      </c>
    </row>
    <row r="364">
      <c r="A364" s="7" t="inlineStr">
        <is>
          <t>MAT-08-148</t>
        </is>
      </c>
      <c r="B364" s="4" t="inlineStr">
        <is>
          <t>Porcelanato de piso, 120 x 60 cm</t>
        </is>
      </c>
      <c r="C364" s="7" t="inlineStr">
        <is>
          <t>m²</t>
        </is>
      </c>
      <c r="D364" s="8" t="n">
        <v>819.97</v>
      </c>
      <c r="E364" s="8" t="n"/>
      <c r="F364" s="8" t="n">
        <v>909.23</v>
      </c>
      <c r="G364" s="8" t="n"/>
      <c r="H364" s="8" t="n">
        <v>1190</v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>
        <f>IF(COUNT(D364:V364)=0,"",MIN(D364:V364))</f>
        <v/>
      </c>
      <c r="X364" s="8">
        <f>IF(COUNT(D364:V364)=0,"",MEDIAN(D364:V364))</f>
        <v/>
      </c>
      <c r="Y364" s="8">
        <f>IF(COUNT(D364:V364)=0,"",MAX(D364:V364))</f>
        <v/>
      </c>
      <c r="Z364" s="9">
        <f>IF(OR(W364="",W364=0),"",(Y364-W364)/W364)</f>
        <v/>
      </c>
      <c r="AA364" s="7">
        <f>IF(COUNT(D364:V364)=0,"",INDEX($D$1:$V$1,MATCH(MIN(D364:V364),D364:V364,0)))</f>
        <v/>
      </c>
      <c r="AB364" s="8" t="n">
        <v>2249.99</v>
      </c>
      <c r="AC364" s="10" t="n">
        <v>3</v>
      </c>
    </row>
    <row r="365">
      <c r="A365" s="7" t="inlineStr">
        <is>
          <t>MAT-08-149</t>
        </is>
      </c>
      <c r="B365" s="4" t="inlineStr">
        <is>
          <t>Porcelanato de piso, 160 x 80 cm</t>
        </is>
      </c>
      <c r="C365" s="7" t="inlineStr">
        <is>
          <t>m²</t>
        </is>
      </c>
      <c r="D365" s="8" t="n"/>
      <c r="E365" s="8" t="n"/>
      <c r="F365" s="8" t="n">
        <v>2029.55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>
        <f>IF(COUNT(D365:V365)=0,"",MIN(D365:V365))</f>
        <v/>
      </c>
      <c r="X365" s="8">
        <f>IF(COUNT(D365:V365)=0,"",MEDIAN(D365:V365))</f>
        <v/>
      </c>
      <c r="Y365" s="8">
        <f>IF(COUNT(D365:V365)=0,"",MAX(D365:V365))</f>
        <v/>
      </c>
      <c r="Z365" s="9">
        <f>IF(OR(W365="",W365=0),"",(Y365-W365)/W365)</f>
        <v/>
      </c>
      <c r="AA365" s="7">
        <f>IF(COUNT(D365:V365)=0,"",INDEX($D$1:$V$1,MATCH(MIN(D365:V365),D365:V365,0)))</f>
        <v/>
      </c>
      <c r="AB365" s="8" t="n">
        <v>2394.87</v>
      </c>
      <c r="AC365" s="10" t="n">
        <v>1</v>
      </c>
    </row>
    <row r="366">
      <c r="A366" s="7" t="inlineStr">
        <is>
          <t>MAT-08-150</t>
        </is>
      </c>
      <c r="B366" s="4" t="inlineStr">
        <is>
          <t>Porcelanato de piso, 20 x 20 cm</t>
        </is>
      </c>
      <c r="C366" s="7" t="inlineStr">
        <is>
          <t>m²</t>
        </is>
      </c>
      <c r="D366" s="8" t="n"/>
      <c r="E366" s="8" t="n"/>
      <c r="F366" s="8" t="n">
        <v>2854.33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>
        <f>IF(COUNT(D366:V366)=0,"",MIN(D366:V366))</f>
        <v/>
      </c>
      <c r="X366" s="8">
        <f>IF(COUNT(D366:V366)=0,"",MEDIAN(D366:V366))</f>
        <v/>
      </c>
      <c r="Y366" s="8">
        <f>IF(COUNT(D366:V366)=0,"",MAX(D366:V366))</f>
        <v/>
      </c>
      <c r="Z366" s="9">
        <f>IF(OR(W366="",W366=0),"",(Y366-W366)/W366)</f>
        <v/>
      </c>
      <c r="AA366" s="7">
        <f>IF(COUNT(D366:V366)=0,"",INDEX($D$1:$V$1,MATCH(MIN(D366:V366),D366:V366,0)))</f>
        <v/>
      </c>
      <c r="AB366" s="8" t="n">
        <v>3368.11</v>
      </c>
      <c r="AC366" s="10" t="n">
        <v>1</v>
      </c>
    </row>
    <row r="367">
      <c r="A367" s="7" t="inlineStr">
        <is>
          <t>MAT-08-151</t>
        </is>
      </c>
      <c r="B367" s="4" t="inlineStr">
        <is>
          <t>Porcelanato de piso, 33 x 33 cm</t>
        </is>
      </c>
      <c r="C367" s="7" t="inlineStr">
        <is>
          <t>m²</t>
        </is>
      </c>
      <c r="D367" s="8" t="n"/>
      <c r="E367" s="8" t="n"/>
      <c r="F367" s="8" t="n"/>
      <c r="G367" s="8" t="n"/>
      <c r="H367" s="8" t="n">
        <v>3834.91</v>
      </c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>
        <f>IF(COUNT(D367:V367)=0,"",MIN(D367:V367))</f>
        <v/>
      </c>
      <c r="X367" s="8">
        <f>IF(COUNT(D367:V367)=0,"",MEDIAN(D367:V367))</f>
        <v/>
      </c>
      <c r="Y367" s="8">
        <f>IF(COUNT(D367:V367)=0,"",MAX(D367:V367))</f>
        <v/>
      </c>
      <c r="Z367" s="9">
        <f>IF(OR(W367="",W367=0),"",(Y367-W367)/W367)</f>
        <v/>
      </c>
      <c r="AA367" s="7">
        <f>IF(COUNT(D367:V367)=0,"",INDEX($D$1:$V$1,MATCH(MIN(D367:V367),D367:V367,0)))</f>
        <v/>
      </c>
      <c r="AB367" s="8" t="n">
        <v>3834.91</v>
      </c>
      <c r="AC367" s="10" t="n">
        <v>1</v>
      </c>
    </row>
    <row r="368">
      <c r="A368" s="7" t="inlineStr">
        <is>
          <t>MAT-08-152</t>
        </is>
      </c>
      <c r="B368" s="4" t="inlineStr">
        <is>
          <t>Porcelanato de piso, 45 x 45 cm</t>
        </is>
      </c>
      <c r="C368" s="7" t="inlineStr">
        <is>
          <t>m²</t>
        </is>
      </c>
      <c r="D368" s="8" t="n">
        <v>581.79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>
        <f>IF(COUNT(D368:V368)=0,"",MIN(D368:V368))</f>
        <v/>
      </c>
      <c r="X368" s="8">
        <f>IF(COUNT(D368:V368)=0,"",MEDIAN(D368:V368))</f>
        <v/>
      </c>
      <c r="Y368" s="8">
        <f>IF(COUNT(D368:V368)=0,"",MAX(D368:V368))</f>
        <v/>
      </c>
      <c r="Z368" s="9">
        <f>IF(OR(W368="",W368=0),"",(Y368-W368)/W368)</f>
        <v/>
      </c>
      <c r="AA368" s="7">
        <f>IF(COUNT(D368:V368)=0,"",INDEX($D$1:$V$1,MATCH(MIN(D368:V368),D368:V368,0)))</f>
        <v/>
      </c>
      <c r="AB368" s="8" t="n">
        <v>760.16</v>
      </c>
      <c r="AC368" s="10" t="n">
        <v>1</v>
      </c>
    </row>
    <row r="369">
      <c r="A369" s="7" t="inlineStr">
        <is>
          <t>MAT-08-153</t>
        </is>
      </c>
      <c r="B369" s="4" t="inlineStr">
        <is>
          <t>Porcelanato de piso, 50 x 50 cm</t>
        </is>
      </c>
      <c r="C369" s="7" t="inlineStr">
        <is>
          <t>m²</t>
        </is>
      </c>
      <c r="D369" s="8" t="n">
        <v>1035.48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>
        <f>IF(COUNT(D369:V369)=0,"",MIN(D369:V369))</f>
        <v/>
      </c>
      <c r="X369" s="8">
        <f>IF(COUNT(D369:V369)=0,"",MEDIAN(D369:V369))</f>
        <v/>
      </c>
      <c r="Y369" s="8">
        <f>IF(COUNT(D369:V369)=0,"",MAX(D369:V369))</f>
        <v/>
      </c>
      <c r="Z369" s="9">
        <f>IF(OR(W369="",W369=0),"",(Y369-W369)/W369)</f>
        <v/>
      </c>
      <c r="AA369" s="7">
        <f>IF(COUNT(D369:V369)=0,"",INDEX($D$1:$V$1,MATCH(MIN(D369:V369),D369:V369,0)))</f>
        <v/>
      </c>
      <c r="AB369" s="8" t="n">
        <v>1035.48</v>
      </c>
      <c r="AC369" s="10" t="n">
        <v>1</v>
      </c>
    </row>
    <row r="370">
      <c r="A370" s="7" t="inlineStr">
        <is>
          <t>MAT-08-154</t>
        </is>
      </c>
      <c r="B370" s="4" t="inlineStr">
        <is>
          <t>Porcelanato de piso, 58 x 19 cm</t>
        </is>
      </c>
      <c r="C370" s="7" t="inlineStr">
        <is>
          <t>m²</t>
        </is>
      </c>
      <c r="D370" s="8" t="n">
        <v>772.01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>
        <f>IF(COUNT(D370:V370)=0,"",MIN(D370:V370))</f>
        <v/>
      </c>
      <c r="X370" s="8">
        <f>IF(COUNT(D370:V370)=0,"",MEDIAN(D370:V370))</f>
        <v/>
      </c>
      <c r="Y370" s="8">
        <f>IF(COUNT(D370:V370)=0,"",MAX(D370:V370))</f>
        <v/>
      </c>
      <c r="Z370" s="9">
        <f>IF(OR(W370="",W370=0),"",(Y370-W370)/W370)</f>
        <v/>
      </c>
      <c r="AA370" s="7">
        <f>IF(COUNT(D370:V370)=0,"",INDEX($D$1:$V$1,MATCH(MIN(D370:V370),D370:V370,0)))</f>
        <v/>
      </c>
      <c r="AB370" s="8" t="n">
        <v>777.65</v>
      </c>
      <c r="AC370" s="10" t="n">
        <v>1</v>
      </c>
    </row>
    <row r="371">
      <c r="A371" s="7" t="inlineStr">
        <is>
          <t>MAT-08-155</t>
        </is>
      </c>
      <c r="B371" s="4" t="inlineStr">
        <is>
          <t>Porcelanato de piso, 58 x 58 cm</t>
        </is>
      </c>
      <c r="C371" s="7" t="inlineStr">
        <is>
          <t>m²</t>
        </is>
      </c>
      <c r="D371" s="8" t="n">
        <v>998.99</v>
      </c>
      <c r="E371" s="8" t="n"/>
      <c r="F371" s="8" t="n"/>
      <c r="G371" s="8" t="n"/>
      <c r="H371" s="8" t="n">
        <v>1689.98</v>
      </c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>
        <f>IF(COUNT(D371:V371)=0,"",MIN(D371:V371))</f>
        <v/>
      </c>
      <c r="X371" s="8">
        <f>IF(COUNT(D371:V371)=0,"",MEDIAN(D371:V371))</f>
        <v/>
      </c>
      <c r="Y371" s="8">
        <f>IF(COUNT(D371:V371)=0,"",MAX(D371:V371))</f>
        <v/>
      </c>
      <c r="Z371" s="9">
        <f>IF(OR(W371="",W371=0),"",(Y371-W371)/W371)</f>
        <v/>
      </c>
      <c r="AA371" s="7">
        <f>IF(COUNT(D371:V371)=0,"",INDEX($D$1:$V$1,MATCH(MIN(D371:V371),D371:V371,0)))</f>
        <v/>
      </c>
      <c r="AB371" s="8" t="n">
        <v>1344.49</v>
      </c>
      <c r="AC371" s="10" t="n">
        <v>2</v>
      </c>
    </row>
    <row r="372">
      <c r="A372" s="7" t="inlineStr">
        <is>
          <t>MAT-08-156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>
        <f>IF(COUNT(D372:V372)=0,"",MIN(D372:V372))</f>
        <v/>
      </c>
      <c r="X372" s="8">
        <f>IF(COUNT(D372:V372)=0,"",MEDIAN(D372:V372))</f>
        <v/>
      </c>
      <c r="Y372" s="8">
        <f>IF(COUNT(D372:V372)=0,"",MAX(D372:V372))</f>
        <v/>
      </c>
      <c r="Z372" s="9">
        <f>IF(OR(W372="",W372=0),"",(Y372-W372)/W372)</f>
        <v/>
      </c>
      <c r="AA372" s="7">
        <f>IF(COUNT(D372:V372)=0,"",INDEX($D$1:$V$1,MATCH(MIN(D372:V372),D372:V372,0)))</f>
        <v/>
      </c>
      <c r="AB372" s="8" t="n">
        <v>1349.62</v>
      </c>
      <c r="AC372" s="10" t="n">
        <v>3</v>
      </c>
    </row>
    <row r="373">
      <c r="A373" s="7" t="inlineStr">
        <is>
          <t>MAT-08-157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>
        <f>IF(COUNT(D373:V373)=0,"",MIN(D373:V373))</f>
        <v/>
      </c>
      <c r="X373" s="8">
        <f>IF(COUNT(D373:V373)=0,"",MEDIAN(D373:V373))</f>
        <v/>
      </c>
      <c r="Y373" s="8">
        <f>IF(COUNT(D373:V373)=0,"",MAX(D373:V373))</f>
        <v/>
      </c>
      <c r="Z373" s="9">
        <f>IF(OR(W373="",W373=0),"",(Y373-W373)/W373)</f>
        <v/>
      </c>
      <c r="AA373" s="7">
        <f>IF(COUNT(D373:V373)=0,"",INDEX($D$1:$V$1,MATCH(MIN(D373:V373),D373:V373,0)))</f>
        <v/>
      </c>
      <c r="AB373" s="8" t="n">
        <v>1190</v>
      </c>
      <c r="AC373" s="10" t="n">
        <v>2</v>
      </c>
    </row>
    <row r="374">
      <c r="A374" s="7" t="inlineStr">
        <is>
          <t>MAT-08-158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>
        <f>IF(COUNT(D374:V374)=0,"",MIN(D374:V374))</f>
        <v/>
      </c>
      <c r="X374" s="8">
        <f>IF(COUNT(D374:V374)=0,"",MEDIAN(D374:V374))</f>
        <v/>
      </c>
      <c r="Y374" s="8">
        <f>IF(COUNT(D374:V374)=0,"",MAX(D374:V374))</f>
        <v/>
      </c>
      <c r="Z374" s="9">
        <f>IF(OR(W374="",W374=0),"",(Y374-W374)/W374)</f>
        <v/>
      </c>
      <c r="AA374" s="7">
        <f>IF(COUNT(D374:V374)=0,"",INDEX($D$1:$V$1,MATCH(MIN(D374:V374),D374:V374,0)))</f>
        <v/>
      </c>
      <c r="AB374" s="8" t="n">
        <v>983.85</v>
      </c>
      <c r="AC374" s="10" t="n">
        <v>1</v>
      </c>
    </row>
    <row r="375">
      <c r="A375" s="7" t="inlineStr">
        <is>
          <t>MAT-08-159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877.6900000000001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>
        <f>IF(COUNT(D375:V375)=0,"",MIN(D375:V375))</f>
        <v/>
      </c>
      <c r="X375" s="8">
        <f>IF(COUNT(D375:V375)=0,"",MEDIAN(D375:V375))</f>
        <v/>
      </c>
      <c r="Y375" s="8">
        <f>IF(COUNT(D375:V375)=0,"",MAX(D375:V375))</f>
        <v/>
      </c>
      <c r="Z375" s="9">
        <f>IF(OR(W375="",W375=0),"",(Y375-W375)/W375)</f>
        <v/>
      </c>
      <c r="AA375" s="7">
        <f>IF(COUNT(D375:V375)=0,"",INDEX($D$1:$V$1,MATCH(MIN(D375:V375),D375:V375,0)))</f>
        <v/>
      </c>
      <c r="AB375" s="8" t="n">
        <v>1035.67</v>
      </c>
      <c r="AC375" s="10" t="n">
        <v>1</v>
      </c>
    </row>
    <row r="376">
      <c r="A376" s="7" t="inlineStr">
        <is>
          <t>MAT-08-160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>
        <f>IF(COUNT(D376:V376)=0,"",MIN(D376:V376))</f>
        <v/>
      </c>
      <c r="X376" s="8">
        <f>IF(COUNT(D376:V376)=0,"",MEDIAN(D376:V376))</f>
        <v/>
      </c>
      <c r="Y376" s="8">
        <f>IF(COUNT(D376:V376)=0,"",MAX(D376:V376))</f>
        <v/>
      </c>
      <c r="Z376" s="9">
        <f>IF(OR(W376="",W376=0),"",(Y376-W376)/W376)</f>
        <v/>
      </c>
      <c r="AA376" s="7">
        <f>IF(COUNT(D376:V376)=0,"",INDEX($D$1:$V$1,MATCH(MIN(D376:V376),D376:V376,0)))</f>
        <v/>
      </c>
      <c r="AB376" s="8" t="n">
        <v>2473.17</v>
      </c>
      <c r="AC376" s="10" t="n">
        <v>1</v>
      </c>
    </row>
    <row r="377">
      <c r="A377" s="7" t="inlineStr">
        <is>
          <t>MAT-08-161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>
        <f>IF(COUNT(D377:V377)=0,"",MIN(D377:V377))</f>
        <v/>
      </c>
      <c r="X377" s="8">
        <f>IF(COUNT(D377:V377)=0,"",MEDIAN(D377:V377))</f>
        <v/>
      </c>
      <c r="Y377" s="8">
        <f>IF(COUNT(D377:V377)=0,"",MAX(D377:V377))</f>
        <v/>
      </c>
      <c r="Z377" s="9">
        <f>IF(OR(W377="",W377=0),"",(Y377-W377)/W377)</f>
        <v/>
      </c>
      <c r="AA377" s="7">
        <f>IF(COUNT(D377:V377)=0,"",INDEX($D$1:$V$1,MATCH(MIN(D377:V377),D377:V377,0)))</f>
        <v/>
      </c>
      <c r="AB377" s="8" t="n">
        <v>1187.6</v>
      </c>
      <c r="AC377" s="10" t="n">
        <v>1</v>
      </c>
    </row>
    <row r="378">
      <c r="A378" s="7" t="inlineStr">
        <is>
          <t>MAT-08-162</t>
        </is>
      </c>
      <c r="B378" s="4" t="inlineStr">
        <is>
          <t>Porcelanato de piso, 90 x 22.5 cm</t>
        </is>
      </c>
      <c r="C378" s="7" t="inlineStr">
        <is>
          <t>m²</t>
        </is>
      </c>
      <c r="D378" s="8" t="n"/>
      <c r="E378" s="8" t="n"/>
      <c r="F378" s="8" t="n"/>
      <c r="G378" s="8" t="n"/>
      <c r="H378" s="8" t="n">
        <v>1589.97</v>
      </c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>
        <f>IF(COUNT(D378:V378)=0,"",MIN(D378:V378))</f>
        <v/>
      </c>
      <c r="X378" s="8">
        <f>IF(COUNT(D378:V378)=0,"",MEDIAN(D378:V378))</f>
        <v/>
      </c>
      <c r="Y378" s="8">
        <f>IF(COUNT(D378:V378)=0,"",MAX(D378:V378))</f>
        <v/>
      </c>
      <c r="Z378" s="9">
        <f>IF(OR(W378="",W378=0),"",(Y378-W378)/W378)</f>
        <v/>
      </c>
      <c r="AA378" s="7">
        <f>IF(COUNT(D378:V378)=0,"",INDEX($D$1:$V$1,MATCH(MIN(D378:V378),D378:V378,0)))</f>
        <v/>
      </c>
      <c r="AB378" s="8" t="n">
        <v>1619.97</v>
      </c>
      <c r="AC378" s="10" t="n">
        <v>1</v>
      </c>
    </row>
    <row r="379">
      <c r="A379" s="7" t="inlineStr">
        <is>
          <t>MAT-08-163</t>
        </is>
      </c>
      <c r="B379" s="4" t="inlineStr">
        <is>
          <t>Porcelanato de piso, 90 x 45 cm</t>
        </is>
      </c>
      <c r="C379" s="7" t="inlineStr">
        <is>
          <t>m²</t>
        </is>
      </c>
      <c r="D379" s="8" t="n">
        <v>818.71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>
        <f>IF(COUNT(D379:V379)=0,"",MIN(D379:V379))</f>
        <v/>
      </c>
      <c r="X379" s="8">
        <f>IF(COUNT(D379:V379)=0,"",MEDIAN(D379:V379))</f>
        <v/>
      </c>
      <c r="Y379" s="8">
        <f>IF(COUNT(D379:V379)=0,"",MAX(D379:V379))</f>
        <v/>
      </c>
      <c r="Z379" s="9">
        <f>IF(OR(W379="",W379=0),"",(Y379-W379)/W379)</f>
        <v/>
      </c>
      <c r="AA379" s="7">
        <f>IF(COUNT(D379:V379)=0,"",INDEX($D$1:$V$1,MATCH(MIN(D379:V379),D379:V379,0)))</f>
        <v/>
      </c>
      <c r="AB379" s="8" t="n">
        <v>1636.87</v>
      </c>
      <c r="AC379" s="10" t="n">
        <v>1</v>
      </c>
    </row>
    <row r="380">
      <c r="A380" s="7" t="inlineStr">
        <is>
          <t>MAT-08-164</t>
        </is>
      </c>
      <c r="B380" s="4" t="inlineStr">
        <is>
          <t>Porcelanato de piso, 90 x 90 cm</t>
        </is>
      </c>
      <c r="C380" s="7" t="inlineStr">
        <is>
          <t>m²</t>
        </is>
      </c>
      <c r="D380" s="8" t="n"/>
      <c r="E380" s="8" t="n"/>
      <c r="F380" s="8" t="n">
        <v>1329.83</v>
      </c>
      <c r="G380" s="8" t="n"/>
      <c r="H380" s="8" t="n">
        <v>2950</v>
      </c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>
        <f>IF(COUNT(D380:V380)=0,"",MIN(D380:V380))</f>
        <v/>
      </c>
      <c r="X380" s="8">
        <f>IF(COUNT(D380:V380)=0,"",MEDIAN(D380:V380))</f>
        <v/>
      </c>
      <c r="Y380" s="8">
        <f>IF(COUNT(D380:V380)=0,"",MAX(D380:V380))</f>
        <v/>
      </c>
      <c r="Z380" s="9">
        <f>IF(OR(W380="",W380=0),"",(Y380-W380)/W380)</f>
        <v/>
      </c>
      <c r="AA380" s="7">
        <f>IF(COUNT(D380:V380)=0,"",INDEX($D$1:$V$1,MATCH(MIN(D380:V380),D380:V380,0)))</f>
        <v/>
      </c>
      <c r="AB380" s="8" t="n">
        <v>1935.46</v>
      </c>
      <c r="AC380" s="10" t="n">
        <v>2</v>
      </c>
    </row>
    <row r="381">
      <c r="A381" s="7" t="inlineStr">
        <is>
          <t>MAT-08-165</t>
        </is>
      </c>
      <c r="B381" s="4" t="inlineStr">
        <is>
          <t>Porcelanato de piso y pared, 100 x 30 cm</t>
        </is>
      </c>
      <c r="C381" s="7" t="inlineStr">
        <is>
          <t>m²</t>
        </is>
      </c>
      <c r="D381" s="8" t="n">
        <v>1782.68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>
        <f>IF(COUNT(D381:V381)=0,"",MIN(D381:V381))</f>
        <v/>
      </c>
      <c r="X381" s="8">
        <f>IF(COUNT(D381:V381)=0,"",MEDIAN(D381:V381))</f>
        <v/>
      </c>
      <c r="Y381" s="8">
        <f>IF(COUNT(D381:V381)=0,"",MAX(D381:V381))</f>
        <v/>
      </c>
      <c r="Z381" s="9">
        <f>IF(OR(W381="",W381=0),"",(Y381-W381)/W381)</f>
        <v/>
      </c>
      <c r="AA381" s="7">
        <f>IF(COUNT(D381:V381)=0,"",INDEX($D$1:$V$1,MATCH(MIN(D381:V381),D381:V381,0)))</f>
        <v/>
      </c>
      <c r="AB381" s="8" t="n">
        <v>2196.18</v>
      </c>
      <c r="AC381" s="10" t="n">
        <v>1</v>
      </c>
    </row>
    <row r="382">
      <c r="A382" s="7" t="inlineStr">
        <is>
          <t>MAT-08-166</t>
        </is>
      </c>
      <c r="B382" s="4" t="inlineStr">
        <is>
          <t>Porcelanato de piso y pared, 100 x 33 cm</t>
        </is>
      </c>
      <c r="C382" s="7" t="inlineStr">
        <is>
          <t>m²</t>
        </is>
      </c>
      <c r="D382" s="8" t="n">
        <v>1466.73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>
        <f>IF(COUNT(D382:V382)=0,"",MIN(D382:V382))</f>
        <v/>
      </c>
      <c r="X382" s="8">
        <f>IF(COUNT(D382:V382)=0,"",MEDIAN(D382:V382))</f>
        <v/>
      </c>
      <c r="Y382" s="8">
        <f>IF(COUNT(D382:V382)=0,"",MAX(D382:V382))</f>
        <v/>
      </c>
      <c r="Z382" s="9">
        <f>IF(OR(W382="",W382=0),"",(Y382-W382)/W382)</f>
        <v/>
      </c>
      <c r="AA382" s="7">
        <f>IF(COUNT(D382:V382)=0,"",INDEX($D$1:$V$1,MATCH(MIN(D382:V382),D382:V382,0)))</f>
        <v/>
      </c>
      <c r="AB382" s="8" t="n">
        <v>1493.28</v>
      </c>
      <c r="AC382" s="10" t="n">
        <v>1</v>
      </c>
    </row>
    <row r="383">
      <c r="A383" s="7" t="inlineStr">
        <is>
          <t>MAT-08-167</t>
        </is>
      </c>
      <c r="B383" s="4" t="inlineStr">
        <is>
          <t>Porcelanato de piso y pared, 100 x 50 cm</t>
        </is>
      </c>
      <c r="C383" s="7" t="inlineStr">
        <is>
          <t>m²</t>
        </is>
      </c>
      <c r="D383" s="8" t="n">
        <v>1801.82</v>
      </c>
      <c r="E383" s="8" t="n"/>
      <c r="F383" s="8" t="n">
        <v>1296.43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>
        <f>IF(COUNT(D383:V383)=0,"",MIN(D383:V383))</f>
        <v/>
      </c>
      <c r="X383" s="8">
        <f>IF(COUNT(D383:V383)=0,"",MEDIAN(D383:V383))</f>
        <v/>
      </c>
      <c r="Y383" s="8">
        <f>IF(COUNT(D383:V383)=0,"",MAX(D383:V383))</f>
        <v/>
      </c>
      <c r="Z383" s="9">
        <f>IF(OR(W383="",W383=0),"",(Y383-W383)/W383)</f>
        <v/>
      </c>
      <c r="AA383" s="7">
        <f>IF(COUNT(D383:V383)=0,"",INDEX($D$1:$V$1,MATCH(MIN(D383:V383),D383:V383,0)))</f>
        <v/>
      </c>
      <c r="AB383" s="8" t="n">
        <v>1801.82</v>
      </c>
      <c r="AC383" s="10" t="n">
        <v>2</v>
      </c>
    </row>
    <row r="384">
      <c r="A384" s="7" t="inlineStr">
        <is>
          <t>MAT-08-168</t>
        </is>
      </c>
      <c r="B384" s="4" t="inlineStr">
        <is>
          <t>Porcelanato de piso y pared, 120 x 11 cm</t>
        </is>
      </c>
      <c r="C384" s="7" t="inlineStr">
        <is>
          <t>m²</t>
        </is>
      </c>
      <c r="D384" s="8" t="n"/>
      <c r="E384" s="8" t="n"/>
      <c r="F384" s="8" t="n">
        <v>1900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>
        <f>IF(COUNT(D384:V384)=0,"",MIN(D384:V384))</f>
        <v/>
      </c>
      <c r="X384" s="8">
        <f>IF(COUNT(D384:V384)=0,"",MEDIAN(D384:V384))</f>
        <v/>
      </c>
      <c r="Y384" s="8">
        <f>IF(COUNT(D384:V384)=0,"",MAX(D384:V384))</f>
        <v/>
      </c>
      <c r="Z384" s="9">
        <f>IF(OR(W384="",W384=0),"",(Y384-W384)/W384)</f>
        <v/>
      </c>
      <c r="AA384" s="7">
        <f>IF(COUNT(D384:V384)=0,"",INDEX($D$1:$V$1,MATCH(MIN(D384:V384),D384:V384,0)))</f>
        <v/>
      </c>
      <c r="AB384" s="8" t="n">
        <v>2242</v>
      </c>
      <c r="AC384" s="10" t="n">
        <v>1</v>
      </c>
    </row>
    <row r="385">
      <c r="A385" s="7" t="inlineStr">
        <is>
          <t>MAT-08-169</t>
        </is>
      </c>
      <c r="B385" s="4" t="inlineStr">
        <is>
          <t>Porcelanato de piso y pared, 120 x 120 cm</t>
        </is>
      </c>
      <c r="C385" s="7" t="inlineStr">
        <is>
          <t>m²</t>
        </is>
      </c>
      <c r="D385" s="8" t="n">
        <v>2945.45</v>
      </c>
      <c r="E385" s="8" t="n"/>
      <c r="F385" s="8" t="n">
        <v>2151.08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>
        <f>IF(COUNT(D385:V385)=0,"",MIN(D385:V385))</f>
        <v/>
      </c>
      <c r="X385" s="8">
        <f>IF(COUNT(D385:V385)=0,"",MEDIAN(D385:V385))</f>
        <v/>
      </c>
      <c r="Y385" s="8">
        <f>IF(COUNT(D385:V385)=0,"",MAX(D385:V385))</f>
        <v/>
      </c>
      <c r="Z385" s="9">
        <f>IF(OR(W385="",W385=0),"",(Y385-W385)/W385)</f>
        <v/>
      </c>
      <c r="AA385" s="7">
        <f>IF(COUNT(D385:V385)=0,"",INDEX($D$1:$V$1,MATCH(MIN(D385:V385),D385:V385,0)))</f>
        <v/>
      </c>
      <c r="AB385" s="8" t="n">
        <v>2885.43</v>
      </c>
      <c r="AC385" s="10" t="n">
        <v>2</v>
      </c>
    </row>
    <row r="386">
      <c r="A386" s="7" t="inlineStr">
        <is>
          <t>MAT-08-170</t>
        </is>
      </c>
      <c r="B386" s="4" t="inlineStr">
        <is>
          <t>Porcelanato de piso y pared, 120 x 20 cm</t>
        </is>
      </c>
      <c r="C386" s="7" t="inlineStr">
        <is>
          <t>m²</t>
        </is>
      </c>
      <c r="D386" s="8" t="n">
        <v>1658</v>
      </c>
      <c r="E386" s="8" t="n"/>
      <c r="F386" s="8" t="n">
        <v>1084.19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>
        <f>IF(COUNT(D386:V386)=0,"",MIN(D386:V386))</f>
        <v/>
      </c>
      <c r="X386" s="8">
        <f>IF(COUNT(D386:V386)=0,"",MEDIAN(D386:V386))</f>
        <v/>
      </c>
      <c r="Y386" s="8">
        <f>IF(COUNT(D386:V386)=0,"",MAX(D386:V386))</f>
        <v/>
      </c>
      <c r="Z386" s="9">
        <f>IF(OR(W386="",W386=0),"",(Y386-W386)/W386)</f>
        <v/>
      </c>
      <c r="AA386" s="7">
        <f>IF(COUNT(D386:V386)=0,"",INDEX($D$1:$V$1,MATCH(MIN(D386:V386),D386:V386,0)))</f>
        <v/>
      </c>
      <c r="AB386" s="8" t="n">
        <v>2095.03</v>
      </c>
      <c r="AC386" s="10" t="n">
        <v>2</v>
      </c>
    </row>
    <row r="387">
      <c r="A387" s="7" t="inlineStr">
        <is>
          <t>MAT-08-171</t>
        </is>
      </c>
      <c r="B387" s="4" t="inlineStr">
        <is>
          <t>Porcelanato de piso y pared, 120 x 40 cm</t>
        </is>
      </c>
      <c r="C387" s="7" t="inlineStr">
        <is>
          <t>m²</t>
        </is>
      </c>
      <c r="D387" s="8" t="n">
        <v>3697.64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>
        <f>IF(COUNT(D387:V387)=0,"",MIN(D387:V387))</f>
        <v/>
      </c>
      <c r="X387" s="8">
        <f>IF(COUNT(D387:V387)=0,"",MEDIAN(D387:V387))</f>
        <v/>
      </c>
      <c r="Y387" s="8">
        <f>IF(COUNT(D387:V387)=0,"",MAX(D387:V387))</f>
        <v/>
      </c>
      <c r="Z387" s="9">
        <f>IF(OR(W387="",W387=0),"",(Y387-W387)/W387)</f>
        <v/>
      </c>
      <c r="AA387" s="7">
        <f>IF(COUNT(D387:V387)=0,"",INDEX($D$1:$V$1,MATCH(MIN(D387:V387),D387:V387,0)))</f>
        <v/>
      </c>
      <c r="AB387" s="8" t="n">
        <v>3697.64</v>
      </c>
      <c r="AC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>
        <f>IF(COUNT(D388:V388)=0,"",MIN(D388:V388))</f>
        <v/>
      </c>
      <c r="X388" s="8">
        <f>IF(COUNT(D388:V388)=0,"",MEDIAN(D388:V388))</f>
        <v/>
      </c>
      <c r="Y388" s="8">
        <f>IF(COUNT(D388:V388)=0,"",MAX(D388:V388))</f>
        <v/>
      </c>
      <c r="Z388" s="9">
        <f>IF(OR(W388="",W388=0),"",(Y388-W388)/W388)</f>
        <v/>
      </c>
      <c r="AA388" s="7">
        <f>IF(COUNT(D388:V388)=0,"",INDEX($D$1:$V$1,MATCH(MIN(D388:V388),D388:V388,0)))</f>
        <v/>
      </c>
      <c r="AB388" s="8" t="n">
        <v>2098.99</v>
      </c>
      <c r="AC388" s="10" t="n">
        <v>2</v>
      </c>
    </row>
    <row r="389">
      <c r="A389" s="7" t="inlineStr">
        <is>
          <t>MAT-08-173</t>
        </is>
      </c>
      <c r="B389" s="4" t="inlineStr">
        <is>
          <t>Porcelanato de piso y pared, 15 x 15 cm</t>
        </is>
      </c>
      <c r="C389" s="7" t="inlineStr">
        <is>
          <t>m²</t>
        </is>
      </c>
      <c r="D389" s="8" t="n"/>
      <c r="E389" s="8" t="n"/>
      <c r="F389" s="8" t="n">
        <v>2228.77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>
        <f>IF(COUNT(D389:V389)=0,"",MIN(D389:V389))</f>
        <v/>
      </c>
      <c r="X389" s="8">
        <f>IF(COUNT(D389:V389)=0,"",MEDIAN(D389:V389))</f>
        <v/>
      </c>
      <c r="Y389" s="8">
        <f>IF(COUNT(D389:V389)=0,"",MAX(D389:V389))</f>
        <v/>
      </c>
      <c r="Z389" s="9">
        <f>IF(OR(W389="",W389=0),"",(Y389-W389)/W389)</f>
        <v/>
      </c>
      <c r="AA389" s="7">
        <f>IF(COUNT(D389:V389)=0,"",INDEX($D$1:$V$1,MATCH(MIN(D389:V389),D389:V389,0)))</f>
        <v/>
      </c>
      <c r="AB389" s="8" t="n">
        <v>2629.95</v>
      </c>
      <c r="AC389" s="10" t="n">
        <v>1</v>
      </c>
    </row>
    <row r="390">
      <c r="A390" s="7" t="inlineStr">
        <is>
          <t>MAT-08-174</t>
        </is>
      </c>
      <c r="B390" s="4" t="inlineStr">
        <is>
          <t>Porcelanato de piso y pared, 160 x 80 cm</t>
        </is>
      </c>
      <c r="C390" s="7" t="inlineStr">
        <is>
          <t>m²</t>
        </is>
      </c>
      <c r="D390" s="8" t="n"/>
      <c r="E390" s="8" t="n"/>
      <c r="F390" s="8" t="n">
        <v>2039.29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>
        <f>IF(COUNT(D390:V390)=0,"",MIN(D390:V390))</f>
        <v/>
      </c>
      <c r="X390" s="8">
        <f>IF(COUNT(D390:V390)=0,"",MEDIAN(D390:V390))</f>
        <v/>
      </c>
      <c r="Y390" s="8">
        <f>IF(COUNT(D390:V390)=0,"",MAX(D390:V390))</f>
        <v/>
      </c>
      <c r="Z390" s="9">
        <f>IF(OR(W390="",W390=0),"",(Y390-W390)/W390)</f>
        <v/>
      </c>
      <c r="AA390" s="7">
        <f>IF(COUNT(D390:V390)=0,"",INDEX($D$1:$V$1,MATCH(MIN(D390:V390),D390:V390,0)))</f>
        <v/>
      </c>
      <c r="AB390" s="8" t="n">
        <v>2406.36</v>
      </c>
      <c r="AC390" s="10" t="n">
        <v>1</v>
      </c>
    </row>
    <row r="391">
      <c r="A391" s="7" t="inlineStr">
        <is>
          <t>MAT-08-175</t>
        </is>
      </c>
      <c r="B391" s="4" t="inlineStr">
        <is>
          <t>Porcelanato de piso y pared, 180 x 80 cm</t>
        </is>
      </c>
      <c r="C391" s="7" t="inlineStr">
        <is>
          <t>m²</t>
        </is>
      </c>
      <c r="D391" s="8" t="n"/>
      <c r="E391" s="8" t="n"/>
      <c r="F391" s="8" t="n">
        <v>4724.25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>
        <f>IF(COUNT(D391:V391)=0,"",MIN(D391:V391))</f>
        <v/>
      </c>
      <c r="X391" s="8">
        <f>IF(COUNT(D391:V391)=0,"",MEDIAN(D391:V391))</f>
        <v/>
      </c>
      <c r="Y391" s="8">
        <f>IF(COUNT(D391:V391)=0,"",MAX(D391:V391))</f>
        <v/>
      </c>
      <c r="Z391" s="9">
        <f>IF(OR(W391="",W391=0),"",(Y391-W391)/W391)</f>
        <v/>
      </c>
      <c r="AA391" s="7">
        <f>IF(COUNT(D391:V391)=0,"",INDEX($D$1:$V$1,MATCH(MIN(D391:V391),D391:V391,0)))</f>
        <v/>
      </c>
      <c r="AB391" s="8" t="n">
        <v>5709.64</v>
      </c>
      <c r="AC391" s="10" t="n">
        <v>1</v>
      </c>
    </row>
    <row r="392">
      <c r="A392" s="7" t="inlineStr">
        <is>
          <t>MAT-08-176</t>
        </is>
      </c>
      <c r="B392" s="4" t="inlineStr">
        <is>
          <t>Porcelanato de piso y pared, 180 x 90 cm</t>
        </is>
      </c>
      <c r="C392" s="7" t="inlineStr">
        <is>
          <t>m²</t>
        </is>
      </c>
      <c r="D392" s="8" t="n">
        <v>3376.66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>
        <f>IF(COUNT(D392:V392)=0,"",MIN(D392:V392))</f>
        <v/>
      </c>
      <c r="X392" s="8">
        <f>IF(COUNT(D392:V392)=0,"",MEDIAN(D392:V392))</f>
        <v/>
      </c>
      <c r="Y392" s="8">
        <f>IF(COUNT(D392:V392)=0,"",MAX(D392:V392))</f>
        <v/>
      </c>
      <c r="Z392" s="9">
        <f>IF(OR(W392="",W392=0),"",(Y392-W392)/W392)</f>
        <v/>
      </c>
      <c r="AA392" s="7">
        <f>IF(COUNT(D392:V392)=0,"",INDEX($D$1:$V$1,MATCH(MIN(D392:V392),D392:V392,0)))</f>
        <v/>
      </c>
      <c r="AB392" s="8" t="n">
        <v>3376.66</v>
      </c>
      <c r="AC392" s="10" t="n">
        <v>1</v>
      </c>
    </row>
    <row r="393">
      <c r="A393" s="7" t="inlineStr">
        <is>
          <t>MAT-08-177</t>
        </is>
      </c>
      <c r="B393" s="4" t="inlineStr">
        <is>
          <t>Porcelanato de piso y pared, 23 x 20 cm</t>
        </is>
      </c>
      <c r="C393" s="7" t="inlineStr">
        <is>
          <t>m²</t>
        </is>
      </c>
      <c r="D393" s="8" t="n"/>
      <c r="E393" s="8" t="n"/>
      <c r="F393" s="8" t="n">
        <v>2075.61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>
        <f>IF(COUNT(D393:V393)=0,"",MIN(D393:V393))</f>
        <v/>
      </c>
      <c r="X393" s="8">
        <f>IF(COUNT(D393:V393)=0,"",MEDIAN(D393:V393))</f>
        <v/>
      </c>
      <c r="Y393" s="8">
        <f>IF(COUNT(D393:V393)=0,"",MAX(D393:V393))</f>
        <v/>
      </c>
      <c r="Z393" s="9">
        <f>IF(OR(W393="",W393=0),"",(Y393-W393)/W393)</f>
        <v/>
      </c>
      <c r="AA393" s="7">
        <f>IF(COUNT(D393:V393)=0,"",INDEX($D$1:$V$1,MATCH(MIN(D393:V393),D393:V393,0)))</f>
        <v/>
      </c>
      <c r="AB393" s="8" t="n">
        <v>2449.22</v>
      </c>
      <c r="AC393" s="10" t="n">
        <v>1</v>
      </c>
    </row>
    <row r="394">
      <c r="A394" s="7" t="inlineStr">
        <is>
          <t>MAT-08-178</t>
        </is>
      </c>
      <c r="B394" s="4" t="inlineStr">
        <is>
          <t>Porcelanato de piso y pared, 240 x 120 cm</t>
        </is>
      </c>
      <c r="C394" s="7" t="inlineStr">
        <is>
          <t>m²</t>
        </is>
      </c>
      <c r="D394" s="8" t="n"/>
      <c r="E394" s="8" t="n"/>
      <c r="F394" s="8" t="n">
        <v>5783.22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>
        <f>IF(COUNT(D394:V394)=0,"",MIN(D394:V394))</f>
        <v/>
      </c>
      <c r="X394" s="8">
        <f>IF(COUNT(D394:V394)=0,"",MEDIAN(D394:V394))</f>
        <v/>
      </c>
      <c r="Y394" s="8">
        <f>IF(COUNT(D394:V394)=0,"",MAX(D394:V394))</f>
        <v/>
      </c>
      <c r="Z394" s="9">
        <f>IF(OR(W394="",W394=0),"",(Y394-W394)/W394)</f>
        <v/>
      </c>
      <c r="AA394" s="7">
        <f>IF(COUNT(D394:V394)=0,"",INDEX($D$1:$V$1,MATCH(MIN(D394:V394),D394:V394,0)))</f>
        <v/>
      </c>
      <c r="AB394" s="8" t="n">
        <v>7223.87</v>
      </c>
      <c r="AC394" s="10" t="n">
        <v>1</v>
      </c>
    </row>
    <row r="395">
      <c r="A395" s="7" t="inlineStr">
        <is>
          <t>MAT-08-179</t>
        </is>
      </c>
      <c r="B395" s="4" t="inlineStr">
        <is>
          <t>Porcelanato de piso y pared, 270 x 120 cm</t>
        </is>
      </c>
      <c r="C395" s="7" t="inlineStr">
        <is>
          <t>m²</t>
        </is>
      </c>
      <c r="D395" s="8" t="n"/>
      <c r="E395" s="8" t="n"/>
      <c r="F395" s="8" t="n">
        <v>4879.76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>
        <f>IF(COUNT(D395:V395)=0,"",MIN(D395:V395))</f>
        <v/>
      </c>
      <c r="X395" s="8">
        <f>IF(COUNT(D395:V395)=0,"",MEDIAN(D395:V395))</f>
        <v/>
      </c>
      <c r="Y395" s="8">
        <f>IF(COUNT(D395:V395)=0,"",MAX(D395:V395))</f>
        <v/>
      </c>
      <c r="Z395" s="9">
        <f>IF(OR(W395="",W395=0),"",(Y395-W395)/W395)</f>
        <v/>
      </c>
      <c r="AA395" s="7">
        <f>IF(COUNT(D395:V395)=0,"",INDEX($D$1:$V$1,MATCH(MIN(D395:V395),D395:V395,0)))</f>
        <v/>
      </c>
      <c r="AB395" s="8" t="n">
        <v>5758.12</v>
      </c>
      <c r="AC395" s="10" t="n">
        <v>1</v>
      </c>
    </row>
    <row r="396">
      <c r="A396" s="7" t="inlineStr">
        <is>
          <t>MAT-08-180</t>
        </is>
      </c>
      <c r="B396" s="4" t="inlineStr">
        <is>
          <t>Porcelanato de piso y pared, 280 x 120 cm</t>
        </is>
      </c>
      <c r="C396" s="7" t="inlineStr">
        <is>
          <t>m²</t>
        </is>
      </c>
      <c r="D396" s="8" t="n"/>
      <c r="E396" s="8" t="n"/>
      <c r="F396" s="8" t="n">
        <v>5799.85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>
        <f>IF(COUNT(D396:V396)=0,"",MIN(D396:V396))</f>
        <v/>
      </c>
      <c r="X396" s="8">
        <f>IF(COUNT(D396:V396)=0,"",MEDIAN(D396:V396))</f>
        <v/>
      </c>
      <c r="Y396" s="8">
        <f>IF(COUNT(D396:V396)=0,"",MAX(D396:V396))</f>
        <v/>
      </c>
      <c r="Z396" s="9">
        <f>IF(OR(W396="",W396=0),"",(Y396-W396)/W396)</f>
        <v/>
      </c>
      <c r="AA396" s="7">
        <f>IF(COUNT(D396:V396)=0,"",INDEX($D$1:$V$1,MATCH(MIN(D396:V396),D396:V396,0)))</f>
        <v/>
      </c>
      <c r="AB396" s="8" t="n">
        <v>7278.68</v>
      </c>
      <c r="AC396" s="10" t="n">
        <v>1</v>
      </c>
    </row>
    <row r="397">
      <c r="A397" s="7" t="inlineStr">
        <is>
          <t>MAT-08-181</t>
        </is>
      </c>
      <c r="B397" s="4" t="inlineStr">
        <is>
          <t>Porcelanato de piso y pared, 30 x 10 cm</t>
        </is>
      </c>
      <c r="C397" s="7" t="inlineStr">
        <is>
          <t>m²</t>
        </is>
      </c>
      <c r="D397" s="8" t="n"/>
      <c r="E397" s="8" t="n"/>
      <c r="F397" s="8" t="n">
        <v>2402.66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>
        <f>IF(COUNT(D397:V397)=0,"",MIN(D397:V397))</f>
        <v/>
      </c>
      <c r="X397" s="8">
        <f>IF(COUNT(D397:V397)=0,"",MEDIAN(D397:V397))</f>
        <v/>
      </c>
      <c r="Y397" s="8">
        <f>IF(COUNT(D397:V397)=0,"",MAX(D397:V397))</f>
        <v/>
      </c>
      <c r="Z397" s="9">
        <f>IF(OR(W397="",W397=0),"",(Y397-W397)/W397)</f>
        <v/>
      </c>
      <c r="AA397" s="7">
        <f>IF(COUNT(D397:V397)=0,"",INDEX($D$1:$V$1,MATCH(MIN(D397:V397),D397:V397,0)))</f>
        <v/>
      </c>
      <c r="AB397" s="8" t="n">
        <v>2835.14</v>
      </c>
      <c r="AC397" s="10" t="n">
        <v>1</v>
      </c>
    </row>
    <row r="398">
      <c r="A398" s="7" t="inlineStr">
        <is>
          <t>MAT-08-182</t>
        </is>
      </c>
      <c r="B398" s="4" t="inlineStr">
        <is>
          <t>Porcelanato de piso y pared, 30 x 30 cm</t>
        </is>
      </c>
      <c r="C398" s="7" t="inlineStr">
        <is>
          <t>m²</t>
        </is>
      </c>
      <c r="D398" s="8" t="n">
        <v>812.1</v>
      </c>
      <c r="E398" s="8" t="n"/>
      <c r="F398" s="8" t="n">
        <v>2244.92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>
        <f>IF(COUNT(D398:V398)=0,"",MIN(D398:V398))</f>
        <v/>
      </c>
      <c r="X398" s="8">
        <f>IF(COUNT(D398:V398)=0,"",MEDIAN(D398:V398))</f>
        <v/>
      </c>
      <c r="Y398" s="8">
        <f>IF(COUNT(D398:V398)=0,"",MAX(D398:V398))</f>
        <v/>
      </c>
      <c r="Z398" s="9">
        <f>IF(OR(W398="",W398=0),"",(Y398-W398)/W398)</f>
        <v/>
      </c>
      <c r="AA398" s="7">
        <f>IF(COUNT(D398:V398)=0,"",INDEX($D$1:$V$1,MATCH(MIN(D398:V398),D398:V398,0)))</f>
        <v/>
      </c>
      <c r="AB398" s="8" t="n">
        <v>2649.01</v>
      </c>
      <c r="AC398" s="10" t="n">
        <v>2</v>
      </c>
    </row>
    <row r="399">
      <c r="A399" s="7" t="inlineStr">
        <is>
          <t>MAT-08-183</t>
        </is>
      </c>
      <c r="B399" s="4" t="inlineStr">
        <is>
          <t>Porcelanato de piso y pared, 300 x 100 cm</t>
        </is>
      </c>
      <c r="C399" s="7" t="inlineStr">
        <is>
          <t>m²</t>
        </is>
      </c>
      <c r="D399" s="8" t="n"/>
      <c r="E399" s="8" t="n"/>
      <c r="F399" s="8" t="n">
        <v>6154.42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>
        <f>IF(COUNT(D399:V399)=0,"",MIN(D399:V399))</f>
        <v/>
      </c>
      <c r="X399" s="8">
        <f>IF(COUNT(D399:V399)=0,"",MEDIAN(D399:V399))</f>
        <v/>
      </c>
      <c r="Y399" s="8">
        <f>IF(COUNT(D399:V399)=0,"",MAX(D399:V399))</f>
        <v/>
      </c>
      <c r="Z399" s="9">
        <f>IF(OR(W399="",W399=0),"",(Y399-W399)/W399)</f>
        <v/>
      </c>
      <c r="AA399" s="7">
        <f>IF(COUNT(D399:V399)=0,"",INDEX($D$1:$V$1,MATCH(MIN(D399:V399),D399:V399,0)))</f>
        <v/>
      </c>
      <c r="AB399" s="8" t="n">
        <v>7262.22</v>
      </c>
      <c r="AC399" s="10" t="n">
        <v>1</v>
      </c>
    </row>
    <row r="400">
      <c r="A400" s="7" t="inlineStr">
        <is>
          <t>MAT-08-184</t>
        </is>
      </c>
      <c r="B400" s="4" t="inlineStr">
        <is>
          <t>Porcelanato de piso y pared, 300 x 150 cm</t>
        </is>
      </c>
      <c r="C400" s="7" t="inlineStr">
        <is>
          <t>m²</t>
        </is>
      </c>
      <c r="D400" s="8" t="n"/>
      <c r="E400" s="8" t="n"/>
      <c r="F400" s="8" t="n">
        <v>6081.64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>
        <f>IF(COUNT(D400:V400)=0,"",MIN(D400:V400))</f>
        <v/>
      </c>
      <c r="X400" s="8">
        <f>IF(COUNT(D400:V400)=0,"",MEDIAN(D400:V400))</f>
        <v/>
      </c>
      <c r="Y400" s="8">
        <f>IF(COUNT(D400:V400)=0,"",MAX(D400:V400))</f>
        <v/>
      </c>
      <c r="Z400" s="9">
        <f>IF(OR(W400="",W400=0),"",(Y400-W400)/W400)</f>
        <v/>
      </c>
      <c r="AA400" s="7">
        <f>IF(COUNT(D400:V400)=0,"",INDEX($D$1:$V$1,MATCH(MIN(D400:V400),D400:V400,0)))</f>
        <v/>
      </c>
      <c r="AB400" s="8" t="n">
        <v>9310.93</v>
      </c>
      <c r="AC400" s="10" t="n">
        <v>1</v>
      </c>
    </row>
    <row r="401">
      <c r="A401" s="7" t="inlineStr">
        <is>
          <t>MAT-08-185</t>
        </is>
      </c>
      <c r="B401" s="4" t="inlineStr">
        <is>
          <t>Porcelanato de piso y pared, 324 x 160 cm</t>
        </is>
      </c>
      <c r="C401" s="7" t="inlineStr">
        <is>
          <t>m²</t>
        </is>
      </c>
      <c r="D401" s="8" t="n"/>
      <c r="E401" s="8" t="n"/>
      <c r="F401" s="8" t="n">
        <v>3496.15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>
        <f>IF(COUNT(D401:V401)=0,"",MIN(D401:V401))</f>
        <v/>
      </c>
      <c r="X401" s="8">
        <f>IF(COUNT(D401:V401)=0,"",MEDIAN(D401:V401))</f>
        <v/>
      </c>
      <c r="Y401" s="8">
        <f>IF(COUNT(D401:V401)=0,"",MAX(D401:V401))</f>
        <v/>
      </c>
      <c r="Z401" s="9">
        <f>IF(OR(W401="",W401=0),"",(Y401-W401)/W401)</f>
        <v/>
      </c>
      <c r="AA401" s="7">
        <f>IF(COUNT(D401:V401)=0,"",INDEX($D$1:$V$1,MATCH(MIN(D401:V401),D401:V401,0)))</f>
        <v/>
      </c>
      <c r="AB401" s="8" t="n">
        <v>14792.34</v>
      </c>
      <c r="AC401" s="10" t="n">
        <v>1</v>
      </c>
    </row>
    <row r="402">
      <c r="A402" s="7" t="inlineStr">
        <is>
          <t>MAT-08-186</t>
        </is>
      </c>
      <c r="B402" s="4" t="inlineStr">
        <is>
          <t>Porcelanato de piso y pared, 45 x 45 cm</t>
        </is>
      </c>
      <c r="C402" s="7" t="inlineStr">
        <is>
          <t>m²</t>
        </is>
      </c>
      <c r="D402" s="8" t="n">
        <v>710.61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>
        <f>IF(COUNT(D402:V402)=0,"",MIN(D402:V402))</f>
        <v/>
      </c>
      <c r="X402" s="8">
        <f>IF(COUNT(D402:V402)=0,"",MEDIAN(D402:V402))</f>
        <v/>
      </c>
      <c r="Y402" s="8">
        <f>IF(COUNT(D402:V402)=0,"",MAX(D402:V402))</f>
        <v/>
      </c>
      <c r="Z402" s="9">
        <f>IF(OR(W402="",W402=0),"",(Y402-W402)/W402)</f>
        <v/>
      </c>
      <c r="AA402" s="7">
        <f>IF(COUNT(D402:V402)=0,"",INDEX($D$1:$V$1,MATCH(MIN(D402:V402),D402:V402,0)))</f>
        <v/>
      </c>
      <c r="AB402" s="8" t="n">
        <v>764.38</v>
      </c>
      <c r="AC402" s="10" t="n">
        <v>1</v>
      </c>
    </row>
    <row r="403">
      <c r="A403" s="7" t="inlineStr">
        <is>
          <t>MAT-08-187</t>
        </is>
      </c>
      <c r="B403" s="4" t="inlineStr">
        <is>
          <t>Porcelanato de piso y pared, 55 x 33 cm</t>
        </is>
      </c>
      <c r="C403" s="7" t="inlineStr">
        <is>
          <t>m²</t>
        </is>
      </c>
      <c r="D403" s="8" t="n">
        <v>839.97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>
        <f>IF(COUNT(D403:V403)=0,"",MIN(D403:V403))</f>
        <v/>
      </c>
      <c r="X403" s="8">
        <f>IF(COUNT(D403:V403)=0,"",MEDIAN(D403:V403))</f>
        <v/>
      </c>
      <c r="Y403" s="8">
        <f>IF(COUNT(D403:V403)=0,"",MAX(D403:V403))</f>
        <v/>
      </c>
      <c r="Z403" s="9">
        <f>IF(OR(W403="",W403=0),"",(Y403-W403)/W403)</f>
        <v/>
      </c>
      <c r="AA403" s="7">
        <f>IF(COUNT(D403:V403)=0,"",INDEX($D$1:$V$1,MATCH(MIN(D403:V403),D403:V403,0)))</f>
        <v/>
      </c>
      <c r="AB403" s="8" t="n">
        <v>839.97</v>
      </c>
      <c r="AC403" s="10" t="n">
        <v>1</v>
      </c>
    </row>
    <row r="404">
      <c r="A404" s="7" t="inlineStr">
        <is>
          <t>MAT-08-188</t>
        </is>
      </c>
      <c r="B404" s="4" t="inlineStr">
        <is>
          <t>Porcelanato de piso y pared, 58 x 58 cm</t>
        </is>
      </c>
      <c r="C404" s="7" t="inlineStr">
        <is>
          <t>m²</t>
        </is>
      </c>
      <c r="D404" s="8" t="n">
        <v>2571.44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>
        <f>IF(COUNT(D404:V404)=0,"",MIN(D404:V404))</f>
        <v/>
      </c>
      <c r="X404" s="8">
        <f>IF(COUNT(D404:V404)=0,"",MEDIAN(D404:V404))</f>
        <v/>
      </c>
      <c r="Y404" s="8">
        <f>IF(COUNT(D404:V404)=0,"",MAX(D404:V404))</f>
        <v/>
      </c>
      <c r="Z404" s="9">
        <f>IF(OR(W404="",W404=0),"",(Y404-W404)/W404)</f>
        <v/>
      </c>
      <c r="AA404" s="7">
        <f>IF(COUNT(D404:V404)=0,"",INDEX($D$1:$V$1,MATCH(MIN(D404:V404),D404:V404,0)))</f>
        <v/>
      </c>
      <c r="AB404" s="8" t="n">
        <v>2571.44</v>
      </c>
      <c r="AC404" s="10" t="n">
        <v>1</v>
      </c>
    </row>
    <row r="405">
      <c r="A405" s="7" t="inlineStr">
        <is>
          <t>MAT-08-189</t>
        </is>
      </c>
      <c r="B405" s="4" t="inlineStr">
        <is>
          <t>Porcelanato de piso y pared, 60 x 20 cm</t>
        </is>
      </c>
      <c r="C405" s="7" t="inlineStr">
        <is>
          <t>m²</t>
        </is>
      </c>
      <c r="D405" s="8" t="n">
        <v>482.11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>
        <f>IF(COUNT(D405:V405)=0,"",MIN(D405:V405))</f>
        <v/>
      </c>
      <c r="X405" s="8">
        <f>IF(COUNT(D405:V405)=0,"",MEDIAN(D405:V405))</f>
        <v/>
      </c>
      <c r="Y405" s="8">
        <f>IF(COUNT(D405:V405)=0,"",MAX(D405:V405))</f>
        <v/>
      </c>
      <c r="Z405" s="9">
        <f>IF(OR(W405="",W405=0),"",(Y405-W405)/W405)</f>
        <v/>
      </c>
      <c r="AA405" s="7">
        <f>IF(COUNT(D405:V405)=0,"",INDEX($D$1:$V$1,MATCH(MIN(D405:V405),D405:V405,0)))</f>
        <v/>
      </c>
      <c r="AB405" s="8" t="n">
        <v>482.11</v>
      </c>
      <c r="AC405" s="10" t="n">
        <v>1</v>
      </c>
    </row>
    <row r="406">
      <c r="A406" s="7" t="inlineStr">
        <is>
          <t>MAT-08-190</t>
        </is>
      </c>
      <c r="B406" s="4" t="inlineStr">
        <is>
          <t>Porcelanato de piso y pared, 60 x 30 cm</t>
        </is>
      </c>
      <c r="C406" s="7" t="inlineStr">
        <is>
          <t>m²</t>
        </is>
      </c>
      <c r="D406" s="8" t="n">
        <v>1049.58</v>
      </c>
      <c r="E406" s="8" t="n"/>
      <c r="F406" s="8" t="n">
        <v>660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>
        <f>IF(COUNT(D406:V406)=0,"",MIN(D406:V406))</f>
        <v/>
      </c>
      <c r="X406" s="8">
        <f>IF(COUNT(D406:V406)=0,"",MEDIAN(D406:V406))</f>
        <v/>
      </c>
      <c r="Y406" s="8">
        <f>IF(COUNT(D406:V406)=0,"",MAX(D406:V406))</f>
        <v/>
      </c>
      <c r="Z406" s="9">
        <f>IF(OR(W406="",W406=0),"",(Y406-W406)/W406)</f>
        <v/>
      </c>
      <c r="AA406" s="7">
        <f>IF(COUNT(D406:V406)=0,"",INDEX($D$1:$V$1,MATCH(MIN(D406:V406),D406:V406,0)))</f>
        <v/>
      </c>
      <c r="AB406" s="8" t="n">
        <v>1371.18</v>
      </c>
      <c r="AC406" s="10" t="n">
        <v>2</v>
      </c>
    </row>
    <row r="407">
      <c r="A407" s="7" t="inlineStr">
        <is>
          <t>MAT-08-191</t>
        </is>
      </c>
      <c r="B407" s="4" t="inlineStr">
        <is>
          <t>Porcelanato de piso y pared, 60 x 60 cm</t>
        </is>
      </c>
      <c r="C407" s="7" t="inlineStr">
        <is>
          <t>m²</t>
        </is>
      </c>
      <c r="D407" s="8" t="n">
        <v>518.13</v>
      </c>
      <c r="E407" s="8" t="n"/>
      <c r="F407" s="8" t="n">
        <v>1003.78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>
        <f>IF(COUNT(D407:V407)=0,"",MIN(D407:V407))</f>
        <v/>
      </c>
      <c r="X407" s="8">
        <f>IF(COUNT(D407:V407)=0,"",MEDIAN(D407:V407))</f>
        <v/>
      </c>
      <c r="Y407" s="8">
        <f>IF(COUNT(D407:V407)=0,"",MAX(D407:V407))</f>
        <v/>
      </c>
      <c r="Z407" s="9">
        <f>IF(OR(W407="",W407=0),"",(Y407-W407)/W407)</f>
        <v/>
      </c>
      <c r="AA407" s="7">
        <f>IF(COUNT(D407:V407)=0,"",INDEX($D$1:$V$1,MATCH(MIN(D407:V407),D407:V407,0)))</f>
        <v/>
      </c>
      <c r="AB407" s="8" t="n">
        <v>1318</v>
      </c>
      <c r="AC407" s="10" t="n">
        <v>2</v>
      </c>
    </row>
    <row r="408">
      <c r="A408" s="7" t="inlineStr">
        <is>
          <t>MAT-08-192</t>
        </is>
      </c>
      <c r="B408" s="4" t="inlineStr">
        <is>
          <t>Porcelanato de piso y pared, 75 x 25 cm</t>
        </is>
      </c>
      <c r="C408" s="7" t="inlineStr">
        <is>
          <t>m²</t>
        </is>
      </c>
      <c r="D408" s="8" t="n">
        <v>1146.06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>
        <f>IF(COUNT(D408:V408)=0,"",MIN(D408:V408))</f>
        <v/>
      </c>
      <c r="X408" s="8">
        <f>IF(COUNT(D408:V408)=0,"",MEDIAN(D408:V408))</f>
        <v/>
      </c>
      <c r="Y408" s="8">
        <f>IF(COUNT(D408:V408)=0,"",MAX(D408:V408))</f>
        <v/>
      </c>
      <c r="Z408" s="9">
        <f>IF(OR(W408="",W408=0),"",(Y408-W408)/W408)</f>
        <v/>
      </c>
      <c r="AA408" s="7">
        <f>IF(COUNT(D408:V408)=0,"",INDEX($D$1:$V$1,MATCH(MIN(D408:V408),D408:V408,0)))</f>
        <v/>
      </c>
      <c r="AB408" s="8" t="n">
        <v>1403.05</v>
      </c>
      <c r="AC408" s="10" t="n">
        <v>1</v>
      </c>
    </row>
    <row r="409">
      <c r="A409" s="7" t="inlineStr">
        <is>
          <t>MAT-08-193</t>
        </is>
      </c>
      <c r="B409" s="4" t="inlineStr">
        <is>
          <t>Porcelanato de piso y pared, 75 x 75 cm</t>
        </is>
      </c>
      <c r="C409" s="7" t="inlineStr">
        <is>
          <t>m²</t>
        </is>
      </c>
      <c r="D409" s="8" t="n"/>
      <c r="E409" s="8" t="n"/>
      <c r="F409" s="8" t="n">
        <v>1186.47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>
        <f>IF(COUNT(D409:V409)=0,"",MIN(D409:V409))</f>
        <v/>
      </c>
      <c r="X409" s="8">
        <f>IF(COUNT(D409:V409)=0,"",MEDIAN(D409:V409))</f>
        <v/>
      </c>
      <c r="Y409" s="8">
        <f>IF(COUNT(D409:V409)=0,"",MAX(D409:V409))</f>
        <v/>
      </c>
      <c r="Z409" s="9">
        <f>IF(OR(W409="",W409=0),"",(Y409-W409)/W409)</f>
        <v/>
      </c>
      <c r="AA409" s="7">
        <f>IF(COUNT(D409:V409)=0,"",INDEX($D$1:$V$1,MATCH(MIN(D409:V409),D409:V409,0)))</f>
        <v/>
      </c>
      <c r="AB409" s="8" t="n">
        <v>1400.04</v>
      </c>
      <c r="AC409" s="10" t="n">
        <v>1</v>
      </c>
    </row>
    <row r="410">
      <c r="A410" s="7" t="inlineStr">
        <is>
          <t>MAT-08-194</t>
        </is>
      </c>
      <c r="B410" s="4" t="inlineStr">
        <is>
          <t>Porcelanato de piso y pared, 80 x 80 cm</t>
        </is>
      </c>
      <c r="C410" s="7" t="inlineStr">
        <is>
          <t>m²</t>
        </is>
      </c>
      <c r="D410" s="8" t="n"/>
      <c r="E410" s="8" t="n"/>
      <c r="F410" s="8" t="n">
        <v>1122.23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>
        <f>IF(COUNT(D410:V410)=0,"",MIN(D410:V410))</f>
        <v/>
      </c>
      <c r="X410" s="8">
        <f>IF(COUNT(D410:V410)=0,"",MEDIAN(D410:V410))</f>
        <v/>
      </c>
      <c r="Y410" s="8">
        <f>IF(COUNT(D410:V410)=0,"",MAX(D410:V410))</f>
        <v/>
      </c>
      <c r="Z410" s="9">
        <f>IF(OR(W410="",W410=0),"",(Y410-W410)/W410)</f>
        <v/>
      </c>
      <c r="AA410" s="7">
        <f>IF(COUNT(D410:V410)=0,"",INDEX($D$1:$V$1,MATCH(MIN(D410:V410),D410:V410,0)))</f>
        <v/>
      </c>
      <c r="AB410" s="8" t="n">
        <v>1662.02</v>
      </c>
      <c r="AC410" s="10" t="n">
        <v>1</v>
      </c>
    </row>
    <row r="411">
      <c r="A411" s="7" t="inlineStr">
        <is>
          <t>MAT-08-195</t>
        </is>
      </c>
      <c r="B411" s="4" t="inlineStr">
        <is>
          <t>Porcelanato de piso y pared, 90 x 15 cm</t>
        </is>
      </c>
      <c r="C411" s="7" t="inlineStr">
        <is>
          <t>m²</t>
        </is>
      </c>
      <c r="D411" s="8" t="n">
        <v>1835.57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>
        <f>IF(COUNT(D411:V411)=0,"",MIN(D411:V411))</f>
        <v/>
      </c>
      <c r="X411" s="8">
        <f>IF(COUNT(D411:V411)=0,"",MEDIAN(D411:V411))</f>
        <v/>
      </c>
      <c r="Y411" s="8">
        <f>IF(COUNT(D411:V411)=0,"",MAX(D411:V411))</f>
        <v/>
      </c>
      <c r="Z411" s="9">
        <f>IF(OR(W411="",W411=0),"",(Y411-W411)/W411)</f>
        <v/>
      </c>
      <c r="AA411" s="7">
        <f>IF(COUNT(D411:V411)=0,"",INDEX($D$1:$V$1,MATCH(MIN(D411:V411),D411:V411,0)))</f>
        <v/>
      </c>
      <c r="AB411" s="8" t="n">
        <v>1835.57</v>
      </c>
      <c r="AC411" s="10" t="n">
        <v>1</v>
      </c>
    </row>
    <row r="412">
      <c r="A412" s="7" t="inlineStr">
        <is>
          <t>MAT-08-196</t>
        </is>
      </c>
      <c r="B412" s="4" t="inlineStr">
        <is>
          <t>Porcelanato de piso y pared, 90 x 20 cm</t>
        </is>
      </c>
      <c r="C412" s="7" t="inlineStr">
        <is>
          <t>m²</t>
        </is>
      </c>
      <c r="D412" s="8" t="n"/>
      <c r="E412" s="8" t="n"/>
      <c r="F412" s="8" t="n">
        <v>1398.19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>
        <f>IF(COUNT(D412:V412)=0,"",MIN(D412:V412))</f>
        <v/>
      </c>
      <c r="X412" s="8">
        <f>IF(COUNT(D412:V412)=0,"",MEDIAN(D412:V412))</f>
        <v/>
      </c>
      <c r="Y412" s="8">
        <f>IF(COUNT(D412:V412)=0,"",MAX(D412:V412))</f>
        <v/>
      </c>
      <c r="Z412" s="9">
        <f>IF(OR(W412="",W412=0),"",(Y412-W412)/W412)</f>
        <v/>
      </c>
      <c r="AA412" s="7">
        <f>IF(COUNT(D412:V412)=0,"",INDEX($D$1:$V$1,MATCH(MIN(D412:V412),D412:V412,0)))</f>
        <v/>
      </c>
      <c r="AB412" s="8" t="n">
        <v>1649.86</v>
      </c>
      <c r="AC412" s="10" t="n">
        <v>1</v>
      </c>
    </row>
    <row r="413">
      <c r="A413" s="7" t="inlineStr">
        <is>
          <t>MAT-08-197</t>
        </is>
      </c>
      <c r="B413" s="4" t="inlineStr">
        <is>
          <t>Porcelanato de piso y pared, 90 x 30 cm</t>
        </is>
      </c>
      <c r="C413" s="7" t="inlineStr">
        <is>
          <t>m²</t>
        </is>
      </c>
      <c r="D413" s="8" t="n">
        <v>2210.12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>
        <f>IF(COUNT(D413:V413)=0,"",MIN(D413:V413))</f>
        <v/>
      </c>
      <c r="X413" s="8">
        <f>IF(COUNT(D413:V413)=0,"",MEDIAN(D413:V413))</f>
        <v/>
      </c>
      <c r="Y413" s="8">
        <f>IF(COUNT(D413:V413)=0,"",MAX(D413:V413))</f>
        <v/>
      </c>
      <c r="Z413" s="9">
        <f>IF(OR(W413="",W413=0),"",(Y413-W413)/W413)</f>
        <v/>
      </c>
      <c r="AA413" s="7">
        <f>IF(COUNT(D413:V413)=0,"",INDEX($D$1:$V$1,MATCH(MIN(D413:V413),D413:V413,0)))</f>
        <v/>
      </c>
      <c r="AB413" s="8" t="n">
        <v>2210.12</v>
      </c>
      <c r="AC413" s="10" t="n">
        <v>1</v>
      </c>
    </row>
    <row r="414">
      <c r="A414" s="7" t="inlineStr">
        <is>
          <t>MAT-08-198</t>
        </is>
      </c>
      <c r="B414" s="4" t="inlineStr">
        <is>
          <t>Porcelanato de piso y pared, 90 x 45 cm</t>
        </is>
      </c>
      <c r="C414" s="7" t="inlineStr">
        <is>
          <t>m²</t>
        </is>
      </c>
      <c r="D414" s="8" t="n">
        <v>1630.87</v>
      </c>
      <c r="E414" s="8" t="n"/>
      <c r="F414" s="8" t="n">
        <v>5147.23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>
        <f>IF(COUNT(D414:V414)=0,"",MIN(D414:V414))</f>
        <v/>
      </c>
      <c r="X414" s="8">
        <f>IF(COUNT(D414:V414)=0,"",MEDIAN(D414:V414))</f>
        <v/>
      </c>
      <c r="Y414" s="8">
        <f>IF(COUNT(D414:V414)=0,"",MAX(D414:V414))</f>
        <v/>
      </c>
      <c r="Z414" s="9">
        <f>IF(OR(W414="",W414=0),"",(Y414-W414)/W414)</f>
        <v/>
      </c>
      <c r="AA414" s="7">
        <f>IF(COUNT(D414:V414)=0,"",INDEX($D$1:$V$1,MATCH(MIN(D414:V414),D414:V414,0)))</f>
        <v/>
      </c>
      <c r="AB414" s="8" t="n">
        <v>2022.08</v>
      </c>
      <c r="AC414" s="10" t="n">
        <v>2</v>
      </c>
    </row>
    <row r="415">
      <c r="A415" s="7" t="inlineStr">
        <is>
          <t>MAT-08-199</t>
        </is>
      </c>
      <c r="B415" s="4" t="inlineStr">
        <is>
          <t>Porcelanato de piso y pared, 90 x 90 cm</t>
        </is>
      </c>
      <c r="C415" s="7" t="inlineStr">
        <is>
          <t>m²</t>
        </is>
      </c>
      <c r="D415" s="8" t="n"/>
      <c r="E415" s="8" t="n"/>
      <c r="F415" s="8" t="n">
        <v>1836.68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>
        <f>IF(COUNT(D415:V415)=0,"",MIN(D415:V415))</f>
        <v/>
      </c>
      <c r="X415" s="8">
        <f>IF(COUNT(D415:V415)=0,"",MEDIAN(D415:V415))</f>
        <v/>
      </c>
      <c r="Y415" s="8">
        <f>IF(COUNT(D415:V415)=0,"",MAX(D415:V415))</f>
        <v/>
      </c>
      <c r="Z415" s="9">
        <f>IF(OR(W415="",W415=0),"",(Y415-W415)/W415)</f>
        <v/>
      </c>
      <c r="AA415" s="7">
        <f>IF(COUNT(D415:V415)=0,"",INDEX($D$1:$V$1,MATCH(MIN(D415:V415),D415:V415,0)))</f>
        <v/>
      </c>
      <c r="AB415" s="8" t="n">
        <v>2167.28</v>
      </c>
      <c r="AC415" s="10" t="n">
        <v>1</v>
      </c>
    </row>
    <row r="416">
      <c r="A416" s="7" t="inlineStr">
        <is>
          <t>MAT-08-200</t>
        </is>
      </c>
      <c r="B416" s="4" t="inlineStr">
        <is>
          <t>Mosaico cerámico en malla, 2.5 x 2.5 cm</t>
        </is>
      </c>
      <c r="C416" s="7" t="inlineStr">
        <is>
          <t>m²</t>
        </is>
      </c>
      <c r="D416" s="8" t="n"/>
      <c r="E416" s="8" t="n"/>
      <c r="F416" s="8" t="n"/>
      <c r="G416" s="8" t="n"/>
      <c r="H416" s="8" t="n">
        <v>495</v>
      </c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>
        <f>IF(COUNT(D416:V416)=0,"",MIN(D416:V416))</f>
        <v/>
      </c>
      <c r="X416" s="8">
        <f>IF(COUNT(D416:V416)=0,"",MEDIAN(D416:V416))</f>
        <v/>
      </c>
      <c r="Y416" s="8">
        <f>IF(COUNT(D416:V416)=0,"",MAX(D416:V416))</f>
        <v/>
      </c>
      <c r="Z416" s="9">
        <f>IF(OR(W416="",W416=0),"",(Y416-W416)/W416)</f>
        <v/>
      </c>
      <c r="AA416" s="7">
        <f>IF(COUNT(D416:V416)=0,"",INDEX($D$1:$V$1,MATCH(MIN(D416:V416),D416:V416,0)))</f>
        <v/>
      </c>
      <c r="AB416" s="8" t="n">
        <v>495</v>
      </c>
      <c r="AC416" s="10" t="n">
        <v>1</v>
      </c>
    </row>
    <row r="417">
      <c r="A417" s="7" t="inlineStr">
        <is>
          <t>MAT-08-201</t>
        </is>
      </c>
      <c r="B417" s="4" t="inlineStr">
        <is>
          <t>Mosaico cerámico en malla, 20 x 20 cm</t>
        </is>
      </c>
      <c r="C417" s="7" t="inlineStr">
        <is>
          <t>m²</t>
        </is>
      </c>
      <c r="D417" s="8" t="n"/>
      <c r="E417" s="8" t="n"/>
      <c r="F417" s="8" t="n"/>
      <c r="G417" s="8" t="n"/>
      <c r="H417" s="8" t="n">
        <v>1099.76</v>
      </c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>
        <f>IF(COUNT(D417:V417)=0,"",MIN(D417:V417))</f>
        <v/>
      </c>
      <c r="X417" s="8">
        <f>IF(COUNT(D417:V417)=0,"",MEDIAN(D417:V417))</f>
        <v/>
      </c>
      <c r="Y417" s="8">
        <f>IF(COUNT(D417:V417)=0,"",MAX(D417:V417))</f>
        <v/>
      </c>
      <c r="Z417" s="9">
        <f>IF(OR(W417="",W417=0),"",(Y417-W417)/W417)</f>
        <v/>
      </c>
      <c r="AA417" s="7">
        <f>IF(COUNT(D417:V417)=0,"",INDEX($D$1:$V$1,MATCH(MIN(D417:V417),D417:V417,0)))</f>
        <v/>
      </c>
      <c r="AB417" s="8" t="n">
        <v>1099.76</v>
      </c>
      <c r="AC417" s="10" t="n">
        <v>1</v>
      </c>
    </row>
    <row r="418">
      <c r="A418" s="7" t="inlineStr">
        <is>
          <t>MAT-08-202</t>
        </is>
      </c>
      <c r="B418" s="4" t="inlineStr">
        <is>
          <t>Mosaico cerámico en malla, 30 x 25 cm</t>
        </is>
      </c>
      <c r="C418" s="7" t="inlineStr">
        <is>
          <t>m²</t>
        </is>
      </c>
      <c r="D418" s="8" t="n"/>
      <c r="E418" s="8" t="n"/>
      <c r="F418" s="8" t="n">
        <v>947.36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>
        <f>IF(COUNT(D418:V418)=0,"",MIN(D418:V418))</f>
        <v/>
      </c>
      <c r="X418" s="8">
        <f>IF(COUNT(D418:V418)=0,"",MEDIAN(D418:V418))</f>
        <v/>
      </c>
      <c r="Y418" s="8">
        <f>IF(COUNT(D418:V418)=0,"",MAX(D418:V418))</f>
        <v/>
      </c>
      <c r="Z418" s="9">
        <f>IF(OR(W418="",W418=0),"",(Y418-W418)/W418)</f>
        <v/>
      </c>
      <c r="AA418" s="7">
        <f>IF(COUNT(D418:V418)=0,"",INDEX($D$1:$V$1,MATCH(MIN(D418:V418),D418:V418,0)))</f>
        <v/>
      </c>
      <c r="AB418" s="8" t="n">
        <v>1818.95</v>
      </c>
      <c r="AC418" s="10" t="n">
        <v>1</v>
      </c>
    </row>
    <row r="419">
      <c r="A419" s="7" t="inlineStr">
        <is>
          <t>MAT-08-203</t>
        </is>
      </c>
      <c r="B419" s="4" t="inlineStr">
        <is>
          <t>Mosaico cerámico en malla, 30 x 30 cm</t>
        </is>
      </c>
      <c r="C419" s="7" t="inlineStr">
        <is>
          <t>m²</t>
        </is>
      </c>
      <c r="D419" s="8" t="n">
        <v>1844.8</v>
      </c>
      <c r="E419" s="8" t="n"/>
      <c r="F419" s="8" t="n">
        <v>1414.01</v>
      </c>
      <c r="G419" s="8" t="n"/>
      <c r="H419" s="8" t="n">
        <v>156.94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>
        <f>IF(COUNT(D419:V419)=0,"",MIN(D419:V419))</f>
        <v/>
      </c>
      <c r="X419" s="8">
        <f>IF(COUNT(D419:V419)=0,"",MEDIAN(D419:V419))</f>
        <v/>
      </c>
      <c r="Y419" s="8">
        <f>IF(COUNT(D419:V419)=0,"",MAX(D419:V419))</f>
        <v/>
      </c>
      <c r="Z419" s="9">
        <f>IF(OR(W419="",W419=0),"",(Y419-W419)/W419)</f>
        <v/>
      </c>
      <c r="AA419" s="7">
        <f>IF(COUNT(D419:V419)=0,"",INDEX($D$1:$V$1,MATCH(MIN(D419:V419),D419:V419,0)))</f>
        <v/>
      </c>
      <c r="AB419" s="8" t="n">
        <v>2863.5</v>
      </c>
      <c r="AC419" s="10" t="n">
        <v>3</v>
      </c>
    </row>
    <row r="420">
      <c r="A420" s="7" t="inlineStr">
        <is>
          <t>MAT-08-204</t>
        </is>
      </c>
      <c r="B420" s="4" t="inlineStr">
        <is>
          <t>Mosaico cerámico en malla, 33 x 30 cm</t>
        </is>
      </c>
      <c r="C420" s="7" t="inlineStr">
        <is>
          <t>m²</t>
        </is>
      </c>
      <c r="D420" s="8" t="n">
        <v>4369.31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>
        <f>IF(COUNT(D420:V420)=0,"",MIN(D420:V420))</f>
        <v/>
      </c>
      <c r="X420" s="8">
        <f>IF(COUNT(D420:V420)=0,"",MEDIAN(D420:V420))</f>
        <v/>
      </c>
      <c r="Y420" s="8">
        <f>IF(COUNT(D420:V420)=0,"",MAX(D420:V420))</f>
        <v/>
      </c>
      <c r="Z420" s="9">
        <f>IF(OR(W420="",W420=0),"",(Y420-W420)/W420)</f>
        <v/>
      </c>
      <c r="AA420" s="7">
        <f>IF(COUNT(D420:V420)=0,"",INDEX($D$1:$V$1,MATCH(MIN(D420:V420),D420:V420,0)))</f>
        <v/>
      </c>
      <c r="AB420" s="8" t="n">
        <v>4636.17</v>
      </c>
      <c r="AC420" s="10" t="n">
        <v>1</v>
      </c>
    </row>
    <row r="421">
      <c r="A421" s="7" t="inlineStr">
        <is>
          <t>MAT-08-205</t>
        </is>
      </c>
      <c r="B421" s="4" t="inlineStr">
        <is>
          <t>Mosaico cerámico en malla, 33 x 33 cm</t>
        </is>
      </c>
      <c r="C421" s="7" t="inlineStr">
        <is>
          <t>m²</t>
        </is>
      </c>
      <c r="D421" s="8" t="n">
        <v>1318.5</v>
      </c>
      <c r="E421" s="8" t="n"/>
      <c r="F421" s="8" t="n"/>
      <c r="G421" s="8" t="n"/>
      <c r="H421" s="8" t="n">
        <v>325</v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>
        <f>IF(COUNT(D421:V421)=0,"",MIN(D421:V421))</f>
        <v/>
      </c>
      <c r="X421" s="8">
        <f>IF(COUNT(D421:V421)=0,"",MEDIAN(D421:V421))</f>
        <v/>
      </c>
      <c r="Y421" s="8">
        <f>IF(COUNT(D421:V421)=0,"",MAX(D421:V421))</f>
        <v/>
      </c>
      <c r="Z421" s="9">
        <f>IF(OR(W421="",W421=0),"",(Y421-W421)/W421)</f>
        <v/>
      </c>
      <c r="AA421" s="7">
        <f>IF(COUNT(D421:V421)=0,"",INDEX($D$1:$V$1,MATCH(MIN(D421:V421),D421:V421,0)))</f>
        <v/>
      </c>
      <c r="AB421" s="8" t="n">
        <v>1349.37</v>
      </c>
      <c r="AC421" s="10" t="n">
        <v>2</v>
      </c>
    </row>
    <row r="422">
      <c r="A422" s="7" t="inlineStr">
        <is>
          <t>MAT-08-206</t>
        </is>
      </c>
      <c r="B422" s="4" t="inlineStr">
        <is>
          <t>Mosaico cerámico en malla, 40 x 10 cm</t>
        </is>
      </c>
      <c r="C422" s="7" t="inlineStr">
        <is>
          <t>m²</t>
        </is>
      </c>
      <c r="D422" s="8" t="n"/>
      <c r="E422" s="8" t="n"/>
      <c r="F422" s="8" t="n">
        <v>2176.74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>
        <f>IF(COUNT(D422:V422)=0,"",MIN(D422:V422))</f>
        <v/>
      </c>
      <c r="X422" s="8">
        <f>IF(COUNT(D422:V422)=0,"",MEDIAN(D422:V422))</f>
        <v/>
      </c>
      <c r="Y422" s="8">
        <f>IF(COUNT(D422:V422)=0,"",MAX(D422:V422))</f>
        <v/>
      </c>
      <c r="Z422" s="9">
        <f>IF(OR(W422="",W422=0),"",(Y422-W422)/W422)</f>
        <v/>
      </c>
      <c r="AA422" s="7">
        <f>IF(COUNT(D422:V422)=0,"",INDEX($D$1:$V$1,MATCH(MIN(D422:V422),D422:V422,0)))</f>
        <v/>
      </c>
      <c r="AB422" s="8" t="n">
        <v>2768.79</v>
      </c>
      <c r="AC422" s="10" t="n">
        <v>1</v>
      </c>
    </row>
    <row r="423">
      <c r="A423" s="7" t="inlineStr">
        <is>
          <t>MAT-08-207</t>
        </is>
      </c>
      <c r="B423" s="4" t="inlineStr">
        <is>
          <t>Mosaico cerámico en malla, 45 x 30 cm</t>
        </is>
      </c>
      <c r="C423" s="7" t="inlineStr">
        <is>
          <t>m²</t>
        </is>
      </c>
      <c r="D423" s="8" t="n"/>
      <c r="E423" s="8" t="n"/>
      <c r="F423" s="8" t="n"/>
      <c r="G423" s="8" t="n"/>
      <c r="H423" s="8" t="n">
        <v>650</v>
      </c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>
        <f>IF(COUNT(D423:V423)=0,"",MIN(D423:V423))</f>
        <v/>
      </c>
      <c r="X423" s="8">
        <f>IF(COUNT(D423:V423)=0,"",MEDIAN(D423:V423))</f>
        <v/>
      </c>
      <c r="Y423" s="8">
        <f>IF(COUNT(D423:V423)=0,"",MAX(D423:V423))</f>
        <v/>
      </c>
      <c r="Z423" s="9">
        <f>IF(OR(W423="",W423=0),"",(Y423-W423)/W423)</f>
        <v/>
      </c>
      <c r="AA423" s="7">
        <f>IF(COUNT(D423:V423)=0,"",INDEX($D$1:$V$1,MATCH(MIN(D423:V423),D423:V423,0)))</f>
        <v/>
      </c>
      <c r="AB423" s="8" t="n">
        <v>650</v>
      </c>
      <c r="AC423" s="10" t="n">
        <v>1</v>
      </c>
    </row>
    <row r="424">
      <c r="A424" s="7" t="inlineStr">
        <is>
          <t>MAT-08-208</t>
        </is>
      </c>
      <c r="B424" s="4" t="inlineStr">
        <is>
          <t>Mosaico cerámico en malla, 45 x 45 cm</t>
        </is>
      </c>
      <c r="C424" s="7" t="inlineStr">
        <is>
          <t>m²</t>
        </is>
      </c>
      <c r="D424" s="8" t="n">
        <v>789.64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>
        <f>IF(COUNT(D424:V424)=0,"",MIN(D424:V424))</f>
        <v/>
      </c>
      <c r="X424" s="8">
        <f>IF(COUNT(D424:V424)=0,"",MEDIAN(D424:V424))</f>
        <v/>
      </c>
      <c r="Y424" s="8">
        <f>IF(COUNT(D424:V424)=0,"",MAX(D424:V424))</f>
        <v/>
      </c>
      <c r="Z424" s="9">
        <f>IF(OR(W424="",W424=0),"",(Y424-W424)/W424)</f>
        <v/>
      </c>
      <c r="AA424" s="7">
        <f>IF(COUNT(D424:V424)=0,"",INDEX($D$1:$V$1,MATCH(MIN(D424:V424),D424:V424,0)))</f>
        <v/>
      </c>
      <c r="AB424" s="8" t="n">
        <v>789.64</v>
      </c>
      <c r="AC424" s="10" t="n">
        <v>1</v>
      </c>
    </row>
    <row r="425">
      <c r="A425" s="7" t="inlineStr">
        <is>
          <t>MAT-08-209</t>
        </is>
      </c>
      <c r="B425" s="4" t="inlineStr">
        <is>
          <t>Mosaico cerámico en malla, 5 x 5 cm</t>
        </is>
      </c>
      <c r="C425" s="7" t="inlineStr">
        <is>
          <t>m²</t>
        </is>
      </c>
      <c r="D425" s="8" t="n"/>
      <c r="E425" s="8" t="n"/>
      <c r="F425" s="8" t="n"/>
      <c r="G425" s="8" t="n"/>
      <c r="H425" s="8" t="n">
        <v>590</v>
      </c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>
        <f>IF(COUNT(D425:V425)=0,"",MIN(D425:V425))</f>
        <v/>
      </c>
      <c r="X425" s="8">
        <f>IF(COUNT(D425:V425)=0,"",MEDIAN(D425:V425))</f>
        <v/>
      </c>
      <c r="Y425" s="8">
        <f>IF(COUNT(D425:V425)=0,"",MAX(D425:V425))</f>
        <v/>
      </c>
      <c r="Z425" s="9">
        <f>IF(OR(W425="",W425=0),"",(Y425-W425)/W425)</f>
        <v/>
      </c>
      <c r="AA425" s="7">
        <f>IF(COUNT(D425:V425)=0,"",INDEX($D$1:$V$1,MATCH(MIN(D425:V425),D425:V425,0)))</f>
        <v/>
      </c>
      <c r="AB425" s="8" t="n">
        <v>790</v>
      </c>
      <c r="AC425" s="10" t="n">
        <v>1</v>
      </c>
    </row>
    <row r="426">
      <c r="A426" s="7" t="inlineStr">
        <is>
          <t>MAT-08-210</t>
        </is>
      </c>
      <c r="B426" s="4" t="inlineStr">
        <is>
          <t>Mosaico cerámico en malla, 60 x 15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2290.15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>
        <f>IF(COUNT(D426:V426)=0,"",MIN(D426:V426))</f>
        <v/>
      </c>
      <c r="X426" s="8">
        <f>IF(COUNT(D426:V426)=0,"",MEDIAN(D426:V426))</f>
        <v/>
      </c>
      <c r="Y426" s="8">
        <f>IF(COUNT(D426:V426)=0,"",MAX(D426:V426))</f>
        <v/>
      </c>
      <c r="Z426" s="9">
        <f>IF(OR(W426="",W426=0),"",(Y426-W426)/W426)</f>
        <v/>
      </c>
      <c r="AA426" s="7">
        <f>IF(COUNT(D426:V426)=0,"",INDEX($D$1:$V$1,MATCH(MIN(D426:V426),D426:V426,0)))</f>
        <v/>
      </c>
      <c r="AB426" s="8" t="n">
        <v>3110.82</v>
      </c>
      <c r="AC426" s="10" t="n">
        <v>1</v>
      </c>
    </row>
    <row r="427">
      <c r="A427" s="7" t="inlineStr">
        <is>
          <t>MAT-08-211</t>
        </is>
      </c>
      <c r="B427" s="4" t="inlineStr">
        <is>
          <t>Mosaico cerámico en malla, 60 x 20 cm</t>
        </is>
      </c>
      <c r="C427" s="7" t="inlineStr">
        <is>
          <t>m²</t>
        </is>
      </c>
      <c r="D427" s="8" t="n">
        <v>743.62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>
        <f>IF(COUNT(D427:V427)=0,"",MIN(D427:V427))</f>
        <v/>
      </c>
      <c r="X427" s="8">
        <f>IF(COUNT(D427:V427)=0,"",MEDIAN(D427:V427))</f>
        <v/>
      </c>
      <c r="Y427" s="8">
        <f>IF(COUNT(D427:V427)=0,"",MAX(D427:V427))</f>
        <v/>
      </c>
      <c r="Z427" s="9">
        <f>IF(OR(W427="",W427=0),"",(Y427-W427)/W427)</f>
        <v/>
      </c>
      <c r="AA427" s="7">
        <f>IF(COUNT(D427:V427)=0,"",INDEX($D$1:$V$1,MATCH(MIN(D427:V427),D427:V427,0)))</f>
        <v/>
      </c>
      <c r="AB427" s="8" t="n">
        <v>743.62</v>
      </c>
      <c r="AC427" s="10" t="n">
        <v>1</v>
      </c>
    </row>
    <row r="428">
      <c r="A428" s="7" t="inlineStr">
        <is>
          <t>MAT-08-212</t>
        </is>
      </c>
      <c r="B428" s="4" t="inlineStr">
        <is>
          <t>Mosaico cerámico en malla, 7.5 x 7.5 cm</t>
        </is>
      </c>
      <c r="C428" s="7" t="inlineStr">
        <is>
          <t>m²</t>
        </is>
      </c>
      <c r="D428" s="8" t="n"/>
      <c r="E428" s="8" t="n"/>
      <c r="F428" s="8" t="n">
        <v>1454.78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>
        <f>IF(COUNT(D428:V428)=0,"",MIN(D428:V428))</f>
        <v/>
      </c>
      <c r="X428" s="8">
        <f>IF(COUNT(D428:V428)=0,"",MEDIAN(D428:V428))</f>
        <v/>
      </c>
      <c r="Y428" s="8">
        <f>IF(COUNT(D428:V428)=0,"",MAX(D428:V428))</f>
        <v/>
      </c>
      <c r="Z428" s="9">
        <f>IF(OR(W428="",W428=0),"",(Y428-W428)/W428)</f>
        <v/>
      </c>
      <c r="AA428" s="7">
        <f>IF(COUNT(D428:V428)=0,"",INDEX($D$1:$V$1,MATCH(MIN(D428:V428),D428:V428,0)))</f>
        <v/>
      </c>
      <c r="AB428" s="8" t="n">
        <v>1771.16</v>
      </c>
      <c r="AC428" s="10" t="n">
        <v>1</v>
      </c>
    </row>
    <row r="429">
      <c r="A429" s="7" t="inlineStr">
        <is>
          <t>MAT-08-213</t>
        </is>
      </c>
      <c r="B429" s="4" t="inlineStr">
        <is>
          <t>Peldaño cerámico recto, 120 x 30 cm</t>
        </is>
      </c>
      <c r="C429" s="7" t="inlineStr">
        <is>
          <t>unidad</t>
        </is>
      </c>
      <c r="D429" s="8" t="n">
        <v>1719.56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>
        <f>IF(COUNT(D429:V429)=0,"",MIN(D429:V429))</f>
        <v/>
      </c>
      <c r="X429" s="8">
        <f>IF(COUNT(D429:V429)=0,"",MEDIAN(D429:V429))</f>
        <v/>
      </c>
      <c r="Y429" s="8">
        <f>IF(COUNT(D429:V429)=0,"",MAX(D429:V429))</f>
        <v/>
      </c>
      <c r="Z429" s="9">
        <f>IF(OR(W429="",W429=0),"",(Y429-W429)/W429)</f>
        <v/>
      </c>
      <c r="AA429" s="7">
        <f>IF(COUNT(D429:V429)=0,"",INDEX($D$1:$V$1,MATCH(MIN(D429:V429),D429:V429,0)))</f>
        <v/>
      </c>
      <c r="AB429" s="8" t="n">
        <v>2028.35</v>
      </c>
      <c r="AC429" s="10" t="n">
        <v>1</v>
      </c>
    </row>
    <row r="430">
      <c r="A430" s="7" t="inlineStr">
        <is>
          <t>MAT-08-214</t>
        </is>
      </c>
      <c r="B430" s="4" t="inlineStr">
        <is>
          <t>Peldaño cerámico recto, 120 x 33 cm</t>
        </is>
      </c>
      <c r="C430" s="7" t="inlineStr">
        <is>
          <t>unidad</t>
        </is>
      </c>
      <c r="D430" s="8" t="n">
        <v>3607.11</v>
      </c>
      <c r="E430" s="8" t="n"/>
      <c r="F430" s="8" t="n"/>
      <c r="G430" s="8" t="n"/>
      <c r="H430" s="8" t="n">
        <v>8990</v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>
        <f>IF(COUNT(D430:V430)=0,"",MIN(D430:V430))</f>
        <v/>
      </c>
      <c r="X430" s="8">
        <f>IF(COUNT(D430:V430)=0,"",MEDIAN(D430:V430))</f>
        <v/>
      </c>
      <c r="Y430" s="8">
        <f>IF(COUNT(D430:V430)=0,"",MAX(D430:V430))</f>
        <v/>
      </c>
      <c r="Z430" s="9">
        <f>IF(OR(W430="",W430=0),"",(Y430-W430)/W430)</f>
        <v/>
      </c>
      <c r="AA430" s="7">
        <f>IF(COUNT(D430:V430)=0,"",INDEX($D$1:$V$1,MATCH(MIN(D430:V430),D430:V430,0)))</f>
        <v/>
      </c>
      <c r="AB430" s="8" t="n">
        <v>5478.1</v>
      </c>
      <c r="AC430" s="10" t="n">
        <v>2</v>
      </c>
    </row>
    <row r="431">
      <c r="A431" s="7" t="inlineStr">
        <is>
          <t>MAT-08-215</t>
        </is>
      </c>
      <c r="B431" s="4" t="inlineStr">
        <is>
          <t>Set de huella y contrahuella, 1 cm</t>
        </is>
      </c>
      <c r="C431" s="7" t="inlineStr">
        <is>
          <t>juego</t>
        </is>
      </c>
      <c r="D431" s="8" t="n">
        <v>1266.29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>
        <f>IF(COUNT(D431:V431)=0,"",MIN(D431:V431))</f>
        <v/>
      </c>
      <c r="X431" s="8">
        <f>IF(COUNT(D431:V431)=0,"",MEDIAN(D431:V431))</f>
        <v/>
      </c>
      <c r="Y431" s="8">
        <f>IF(COUNT(D431:V431)=0,"",MAX(D431:V431))</f>
        <v/>
      </c>
      <c r="Z431" s="9">
        <f>IF(OR(W431="",W431=0),"",(Y431-W431)/W431)</f>
        <v/>
      </c>
      <c r="AA431" s="7">
        <f>IF(COUNT(D431:V431)=0,"",INDEX($D$1:$V$1,MATCH(MIN(D431:V431),D431:V431,0)))</f>
        <v/>
      </c>
      <c r="AB431" s="8" t="n">
        <v>1427.79</v>
      </c>
      <c r="AC431" s="10" t="n">
        <v>1</v>
      </c>
    </row>
    <row r="432">
      <c r="A432" s="7" t="inlineStr">
        <is>
          <t>MAT-08-216</t>
        </is>
      </c>
      <c r="B432" s="4" t="inlineStr">
        <is>
          <t>Set de huella y contrahuella, 120 cm</t>
        </is>
      </c>
      <c r="C432" s="7" t="inlineStr">
        <is>
          <t>juego</t>
        </is>
      </c>
      <c r="D432" s="8" t="n">
        <v>1170.21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>
        <f>IF(COUNT(D432:V432)=0,"",MIN(D432:V432))</f>
        <v/>
      </c>
      <c r="X432" s="8">
        <f>IF(COUNT(D432:V432)=0,"",MEDIAN(D432:V432))</f>
        <v/>
      </c>
      <c r="Y432" s="8">
        <f>IF(COUNT(D432:V432)=0,"",MAX(D432:V432))</f>
        <v/>
      </c>
      <c r="Z432" s="9">
        <f>IF(OR(W432="",W432=0),"",(Y432-W432)/W432)</f>
        <v/>
      </c>
      <c r="AA432" s="7">
        <f>IF(COUNT(D432:V432)=0,"",INDEX($D$1:$V$1,MATCH(MIN(D432:V432),D432:V432,0)))</f>
        <v/>
      </c>
      <c r="AB432" s="8" t="n">
        <v>1218.66</v>
      </c>
      <c r="AC432" s="10" t="n">
        <v>1</v>
      </c>
    </row>
    <row r="433">
      <c r="A433" s="7" t="inlineStr">
        <is>
          <t>MAT-08-217</t>
        </is>
      </c>
      <c r="B433" s="4" t="inlineStr">
        <is>
          <t>Borde para peldaño, 70 cm</t>
        </is>
      </c>
      <c r="C433" s="7" t="inlineStr">
        <is>
          <t>unidad</t>
        </is>
      </c>
      <c r="D433" s="8" t="n">
        <v>425.5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>
        <f>IF(COUNT(D433:V433)=0,"",MIN(D433:V433))</f>
        <v/>
      </c>
      <c r="X433" s="8">
        <f>IF(COUNT(D433:V433)=0,"",MEDIAN(D433:V433))</f>
        <v/>
      </c>
      <c r="Y433" s="8">
        <f>IF(COUNT(D433:V433)=0,"",MAX(D433:V433))</f>
        <v/>
      </c>
      <c r="Z433" s="9">
        <f>IF(OR(W433="",W433=0),"",(Y433-W433)/W433)</f>
        <v/>
      </c>
      <c r="AA433" s="7">
        <f>IF(COUNT(D433:V433)=0,"",INDEX($D$1:$V$1,MATCH(MIN(D433:V433),D433:V433,0)))</f>
        <v/>
      </c>
      <c r="AB433" s="8" t="n">
        <v>443.77</v>
      </c>
      <c r="AC433" s="10" t="n">
        <v>1</v>
      </c>
    </row>
    <row r="434">
      <c r="A434" s="7" t="inlineStr">
        <is>
          <t>MAT-08-218</t>
        </is>
      </c>
      <c r="B434" s="4" t="inlineStr">
        <is>
          <t>Rodapié de cerámica</t>
        </is>
      </c>
      <c r="C434" s="7" t="inlineStr">
        <is>
          <t>ml</t>
        </is>
      </c>
      <c r="D434" s="8" t="n"/>
      <c r="E434" s="8" t="n"/>
      <c r="F434" s="8" t="n"/>
      <c r="G434" s="8" t="n"/>
      <c r="H434" s="8" t="n">
        <v>189.99</v>
      </c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>
        <f>IF(COUNT(D434:V434)=0,"",MIN(D434:V434))</f>
        <v/>
      </c>
      <c r="X434" s="8">
        <f>IF(COUNT(D434:V434)=0,"",MEDIAN(D434:V434))</f>
        <v/>
      </c>
      <c r="Y434" s="8">
        <f>IF(COUNT(D434:V434)=0,"",MAX(D434:V434))</f>
        <v/>
      </c>
      <c r="Z434" s="9">
        <f>IF(OR(W434="",W434=0),"",(Y434-W434)/W434)</f>
        <v/>
      </c>
      <c r="AA434" s="7">
        <f>IF(COUNT(D434:V434)=0,"",INDEX($D$1:$V$1,MATCH(MIN(D434:V434),D434:V434,0)))</f>
        <v/>
      </c>
      <c r="AB434" s="8" t="n">
        <v>189.99</v>
      </c>
      <c r="AC434" s="10" t="n">
        <v>1</v>
      </c>
    </row>
    <row r="435">
      <c r="A435" s="7" t="inlineStr">
        <is>
          <t>MAT-08-219</t>
        </is>
      </c>
      <c r="B435" s="4" t="inlineStr">
        <is>
          <t>Rodapié de mármol</t>
        </is>
      </c>
      <c r="C435" s="7" t="inlineStr">
        <is>
          <t>ml</t>
        </is>
      </c>
      <c r="D435" s="8" t="n">
        <v>1395.33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>
        <f>IF(COUNT(D435:V435)=0,"",MIN(D435:V435))</f>
        <v/>
      </c>
      <c r="X435" s="8">
        <f>IF(COUNT(D435:V435)=0,"",MEDIAN(D435:V435))</f>
        <v/>
      </c>
      <c r="Y435" s="8">
        <f>IF(COUNT(D435:V435)=0,"",MAX(D435:V435))</f>
        <v/>
      </c>
      <c r="Z435" s="9">
        <f>IF(OR(W435="",W435=0),"",(Y435-W435)/W435)</f>
        <v/>
      </c>
      <c r="AA435" s="7">
        <f>IF(COUNT(D435:V435)=0,"",INDEX($D$1:$V$1,MATCH(MIN(D435:V435),D435:V435,0)))</f>
        <v/>
      </c>
      <c r="AB435" s="8" t="n">
        <v>1395.33</v>
      </c>
      <c r="AC435" s="10" t="n">
        <v>1</v>
      </c>
    </row>
    <row r="436">
      <c r="A436" s="7" t="inlineStr">
        <is>
          <t>MAT-08-220</t>
        </is>
      </c>
      <c r="B436" s="4" t="inlineStr">
        <is>
          <t>Rodapié de vinil</t>
        </is>
      </c>
      <c r="C436" s="7" t="inlineStr">
        <is>
          <t>ml</t>
        </is>
      </c>
      <c r="D436" s="8" t="n"/>
      <c r="E436" s="8" t="n"/>
      <c r="F436" s="8" t="n">
        <v>375.32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>
        <f>IF(COUNT(D436:V436)=0,"",MIN(D436:V436))</f>
        <v/>
      </c>
      <c r="X436" s="8">
        <f>IF(COUNT(D436:V436)=0,"",MEDIAN(D436:V436))</f>
        <v/>
      </c>
      <c r="Y436" s="8">
        <f>IF(COUNT(D436:V436)=0,"",MAX(D436:V436))</f>
        <v/>
      </c>
      <c r="Z436" s="9">
        <f>IF(OR(W436="",W436=0),"",(Y436-W436)/W436)</f>
        <v/>
      </c>
      <c r="AA436" s="7">
        <f>IF(COUNT(D436:V436)=0,"",INDEX($D$1:$V$1,MATCH(MIN(D436:V436),D436:V436,0)))</f>
        <v/>
      </c>
      <c r="AB436" s="8" t="n">
        <v>552.91</v>
      </c>
      <c r="AC436" s="10" t="n">
        <v>1</v>
      </c>
    </row>
    <row r="437">
      <c r="A437" s="7" t="inlineStr">
        <is>
          <t>MAT-08-221</t>
        </is>
      </c>
      <c r="B437" s="4" t="inlineStr">
        <is>
          <t>Perfil de canto de acero inoxidable, 10 mm</t>
        </is>
      </c>
      <c r="C437" s="7" t="inlineStr">
        <is>
          <t>unidad</t>
        </is>
      </c>
      <c r="D437" s="8" t="n"/>
      <c r="E437" s="8" t="n"/>
      <c r="F437" s="8" t="n">
        <v>2112.54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>
        <f>IF(COUNT(D437:V437)=0,"",MIN(D437:V437))</f>
        <v/>
      </c>
      <c r="X437" s="8">
        <f>IF(COUNT(D437:V437)=0,"",MEDIAN(D437:V437))</f>
        <v/>
      </c>
      <c r="Y437" s="8">
        <f>IF(COUNT(D437:V437)=0,"",MAX(D437:V437))</f>
        <v/>
      </c>
      <c r="Z437" s="9">
        <f>IF(OR(W437="",W437=0),"",(Y437-W437)/W437)</f>
        <v/>
      </c>
      <c r="AA437" s="7">
        <f>IF(COUNT(D437:V437)=0,"",INDEX($D$1:$V$1,MATCH(MIN(D437:V437),D437:V437,0)))</f>
        <v/>
      </c>
      <c r="AB437" s="8" t="n">
        <v>2878.24</v>
      </c>
      <c r="AC437" s="10" t="n">
        <v>1</v>
      </c>
    </row>
    <row r="438">
      <c r="A438" s="7" t="inlineStr">
        <is>
          <t>MAT-08-222</t>
        </is>
      </c>
      <c r="B438" s="4" t="inlineStr">
        <is>
          <t>Perfil de canto de acero inoxidable, 12 mm</t>
        </is>
      </c>
      <c r="C438" s="7" t="inlineStr">
        <is>
          <t>unidad</t>
        </is>
      </c>
      <c r="D438" s="8" t="n">
        <v>832.63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>
        <f>IF(COUNT(D438:V438)=0,"",MIN(D438:V438))</f>
        <v/>
      </c>
      <c r="X438" s="8">
        <f>IF(COUNT(D438:V438)=0,"",MEDIAN(D438:V438))</f>
        <v/>
      </c>
      <c r="Y438" s="8">
        <f>IF(COUNT(D438:V438)=0,"",MAX(D438:V438))</f>
        <v/>
      </c>
      <c r="Z438" s="9">
        <f>IF(OR(W438="",W438=0),"",(Y438-W438)/W438)</f>
        <v/>
      </c>
      <c r="AA438" s="7">
        <f>IF(COUNT(D438:V438)=0,"",INDEX($D$1:$V$1,MATCH(MIN(D438:V438),D438:V438,0)))</f>
        <v/>
      </c>
      <c r="AB438" s="8" t="n">
        <v>844.55</v>
      </c>
      <c r="AC438" s="10" t="n">
        <v>1</v>
      </c>
    </row>
    <row r="439">
      <c r="A439" s="7" t="inlineStr">
        <is>
          <t>MAT-08-223</t>
        </is>
      </c>
      <c r="B439" s="4" t="inlineStr">
        <is>
          <t>Perfil de canto de acero inoxidable, 12.5 mm</t>
        </is>
      </c>
      <c r="C439" s="7" t="inlineStr">
        <is>
          <t>unidad</t>
        </is>
      </c>
      <c r="D439" s="8" t="n"/>
      <c r="E439" s="8" t="n"/>
      <c r="F439" s="8" t="n">
        <v>2897.42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>
        <f>IF(COUNT(D439:V439)=0,"",MIN(D439:V439))</f>
        <v/>
      </c>
      <c r="X439" s="8">
        <f>IF(COUNT(D439:V439)=0,"",MEDIAN(D439:V439))</f>
        <v/>
      </c>
      <c r="Y439" s="8">
        <f>IF(COUNT(D439:V439)=0,"",MAX(D439:V439))</f>
        <v/>
      </c>
      <c r="Z439" s="9">
        <f>IF(OR(W439="",W439=0),"",(Y439-W439)/W439)</f>
        <v/>
      </c>
      <c r="AA439" s="7">
        <f>IF(COUNT(D439:V439)=0,"",INDEX($D$1:$V$1,MATCH(MIN(D439:V439),D439:V439,0)))</f>
        <v/>
      </c>
      <c r="AB439" s="8" t="n">
        <v>3418.96</v>
      </c>
      <c r="AC439" s="10" t="n">
        <v>1</v>
      </c>
    </row>
    <row r="440">
      <c r="A440" s="7" t="inlineStr">
        <is>
          <t>MAT-08-224</t>
        </is>
      </c>
      <c r="B440" s="4" t="inlineStr">
        <is>
          <t>Perfil de canto de aluminio, 10 mm</t>
        </is>
      </c>
      <c r="C440" s="7" t="inlineStr">
        <is>
          <t>unidad</t>
        </is>
      </c>
      <c r="D440" s="8" t="n">
        <v>573.59</v>
      </c>
      <c r="E440" s="8" t="n"/>
      <c r="F440" s="8" t="n">
        <v>942.34</v>
      </c>
      <c r="G440" s="8" t="n"/>
      <c r="H440" s="8" t="n">
        <v>890</v>
      </c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>
        <f>IF(COUNT(D440:V440)=0,"",MIN(D440:V440))</f>
        <v/>
      </c>
      <c r="X440" s="8">
        <f>IF(COUNT(D440:V440)=0,"",MEDIAN(D440:V440))</f>
        <v/>
      </c>
      <c r="Y440" s="8">
        <f>IF(COUNT(D440:V440)=0,"",MAX(D440:V440))</f>
        <v/>
      </c>
      <c r="Z440" s="9">
        <f>IF(OR(W440="",W440=0),"",(Y440-W440)/W440)</f>
        <v/>
      </c>
      <c r="AA440" s="7">
        <f>IF(COUNT(D440:V440)=0,"",INDEX($D$1:$V$1,MATCH(MIN(D440:V440),D440:V440,0)))</f>
        <v/>
      </c>
      <c r="AB440" s="8" t="n">
        <v>1574.47</v>
      </c>
      <c r="AC440" s="10" t="n">
        <v>3</v>
      </c>
    </row>
    <row r="441">
      <c r="A441" s="7" t="inlineStr">
        <is>
          <t>MAT-08-225</t>
        </is>
      </c>
      <c r="B441" s="4" t="inlineStr">
        <is>
          <t>Perfil de canto de aluminio, 12 mm</t>
        </is>
      </c>
      <c r="C441" s="7" t="inlineStr">
        <is>
          <t>unidad</t>
        </is>
      </c>
      <c r="D441" s="8" t="n">
        <v>521.95</v>
      </c>
      <c r="E441" s="8" t="n"/>
      <c r="F441" s="8" t="n"/>
      <c r="G441" s="8" t="n"/>
      <c r="H441" s="8" t="n">
        <v>649.99</v>
      </c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>
        <f>IF(COUNT(D441:V441)=0,"",MIN(D441:V441))</f>
        <v/>
      </c>
      <c r="X441" s="8">
        <f>IF(COUNT(D441:V441)=0,"",MEDIAN(D441:V441))</f>
        <v/>
      </c>
      <c r="Y441" s="8">
        <f>IF(COUNT(D441:V441)=0,"",MAX(D441:V441))</f>
        <v/>
      </c>
      <c r="Z441" s="9">
        <f>IF(OR(W441="",W441=0),"",(Y441-W441)/W441)</f>
        <v/>
      </c>
      <c r="AA441" s="7">
        <f>IF(COUNT(D441:V441)=0,"",INDEX($D$1:$V$1,MATCH(MIN(D441:V441),D441:V441,0)))</f>
        <v/>
      </c>
      <c r="AB441" s="8" t="n">
        <v>2100</v>
      </c>
      <c r="AC441" s="10" t="n">
        <v>2</v>
      </c>
    </row>
    <row r="442">
      <c r="A442" s="7" t="inlineStr">
        <is>
          <t>MAT-08-226</t>
        </is>
      </c>
      <c r="B442" s="4" t="inlineStr">
        <is>
          <t>Perfil de canto de aluminio, 12.5 mm</t>
        </is>
      </c>
      <c r="C442" s="7" t="inlineStr">
        <is>
          <t>unidad</t>
        </is>
      </c>
      <c r="D442" s="8" t="n"/>
      <c r="E442" s="8" t="n"/>
      <c r="F442" s="8" t="n"/>
      <c r="G442" s="8" t="n"/>
      <c r="H442" s="8" t="n">
        <v>2100</v>
      </c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>
        <f>IF(COUNT(D442:V442)=0,"",MIN(D442:V442))</f>
        <v/>
      </c>
      <c r="X442" s="8">
        <f>IF(COUNT(D442:V442)=0,"",MEDIAN(D442:V442))</f>
        <v/>
      </c>
      <c r="Y442" s="8">
        <f>IF(COUNT(D442:V442)=0,"",MAX(D442:V442))</f>
        <v/>
      </c>
      <c r="Z442" s="9">
        <f>IF(OR(W442="",W442=0),"",(Y442-W442)/W442)</f>
        <v/>
      </c>
      <c r="AA442" s="7">
        <f>IF(COUNT(D442:V442)=0,"",INDEX($D$1:$V$1,MATCH(MIN(D442:V442),D442:V442,0)))</f>
        <v/>
      </c>
      <c r="AB442" s="8" t="n">
        <v>2241.28</v>
      </c>
      <c r="AC442" s="10" t="n">
        <v>1</v>
      </c>
    </row>
    <row r="443">
      <c r="A443" s="7" t="inlineStr">
        <is>
          <t>MAT-08-227</t>
        </is>
      </c>
      <c r="B443" s="4" t="inlineStr">
        <is>
          <t>Perfil de canto de aluminio, 13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1699.99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>
        <f>IF(COUNT(D443:V443)=0,"",MIN(D443:V443))</f>
        <v/>
      </c>
      <c r="X443" s="8">
        <f>IF(COUNT(D443:V443)=0,"",MEDIAN(D443:V443))</f>
        <v/>
      </c>
      <c r="Y443" s="8">
        <f>IF(COUNT(D443:V443)=0,"",MAX(D443:V443))</f>
        <v/>
      </c>
      <c r="Z443" s="9">
        <f>IF(OR(W443="",W443=0),"",(Y443-W443)/W443)</f>
        <v/>
      </c>
      <c r="AA443" s="7">
        <f>IF(COUNT(D443:V443)=0,"",INDEX($D$1:$V$1,MATCH(MIN(D443:V443),D443:V443,0)))</f>
        <v/>
      </c>
      <c r="AB443" s="8" t="n">
        <v>1699.99</v>
      </c>
      <c r="AC443" s="10" t="n">
        <v>1</v>
      </c>
    </row>
    <row r="444">
      <c r="A444" s="7" t="inlineStr">
        <is>
          <t>MAT-08-228</t>
        </is>
      </c>
      <c r="B444" s="4" t="inlineStr">
        <is>
          <t>Perfil de canto de aluminio, 2.7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2500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>
        <f>IF(COUNT(D444:V444)=0,"",MIN(D444:V444))</f>
        <v/>
      </c>
      <c r="X444" s="8">
        <f>IF(COUNT(D444:V444)=0,"",MEDIAN(D444:V444))</f>
        <v/>
      </c>
      <c r="Y444" s="8">
        <f>IF(COUNT(D444:V444)=0,"",MAX(D444:V444))</f>
        <v/>
      </c>
      <c r="Z444" s="9">
        <f>IF(OR(W444="",W444=0),"",(Y444-W444)/W444)</f>
        <v/>
      </c>
      <c r="AA444" s="7">
        <f>IF(COUNT(D444:V444)=0,"",INDEX($D$1:$V$1,MATCH(MIN(D444:V444),D444:V444,0)))</f>
        <v/>
      </c>
      <c r="AB444" s="8" t="n">
        <v>2500</v>
      </c>
      <c r="AC444" s="10" t="n">
        <v>1</v>
      </c>
    </row>
    <row r="445">
      <c r="A445" s="7" t="inlineStr">
        <is>
          <t>MAT-08-229</t>
        </is>
      </c>
      <c r="B445" s="4" t="inlineStr">
        <is>
          <t>Perfil de canto de aluminio, 20 mm</t>
        </is>
      </c>
      <c r="C445" s="7" t="inlineStr">
        <is>
          <t>unidad</t>
        </is>
      </c>
      <c r="D445" s="8" t="n">
        <v>775.1900000000001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>
        <f>IF(COUNT(D445:V445)=0,"",MIN(D445:V445))</f>
        <v/>
      </c>
      <c r="X445" s="8">
        <f>IF(COUNT(D445:V445)=0,"",MEDIAN(D445:V445))</f>
        <v/>
      </c>
      <c r="Y445" s="8">
        <f>IF(COUNT(D445:V445)=0,"",MAX(D445:V445))</f>
        <v/>
      </c>
      <c r="Z445" s="9">
        <f>IF(OR(W445="",W445=0),"",(Y445-W445)/W445)</f>
        <v/>
      </c>
      <c r="AA445" s="7">
        <f>IF(COUNT(D445:V445)=0,"",INDEX($D$1:$V$1,MATCH(MIN(D445:V445),D445:V445,0)))</f>
        <v/>
      </c>
      <c r="AB445" s="8" t="n">
        <v>1024.48</v>
      </c>
      <c r="AC445" s="10" t="n">
        <v>1</v>
      </c>
    </row>
    <row r="446">
      <c r="A446" s="7" t="inlineStr">
        <is>
          <t>MAT-08-230</t>
        </is>
      </c>
      <c r="B446" s="4" t="inlineStr">
        <is>
          <t>Perfil de canto de aluminio, 25 mm</t>
        </is>
      </c>
      <c r="C446" s="7" t="inlineStr">
        <is>
          <t>unidad</t>
        </is>
      </c>
      <c r="D446" s="8" t="n">
        <v>627.91</v>
      </c>
      <c r="E446" s="8" t="n"/>
      <c r="F446" s="8" t="n"/>
      <c r="G446" s="8" t="n"/>
      <c r="H446" s="8" t="n">
        <v>1750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>
        <f>IF(COUNT(D446:V446)=0,"",MIN(D446:V446))</f>
        <v/>
      </c>
      <c r="X446" s="8">
        <f>IF(COUNT(D446:V446)=0,"",MEDIAN(D446:V446))</f>
        <v/>
      </c>
      <c r="Y446" s="8">
        <f>IF(COUNT(D446:V446)=0,"",MAX(D446:V446))</f>
        <v/>
      </c>
      <c r="Z446" s="9">
        <f>IF(OR(W446="",W446=0),"",(Y446-W446)/W446)</f>
        <v/>
      </c>
      <c r="AA446" s="7">
        <f>IF(COUNT(D446:V446)=0,"",INDEX($D$1:$V$1,MATCH(MIN(D446:V446),D446:V446,0)))</f>
        <v/>
      </c>
      <c r="AB446" s="8" t="n">
        <v>2161.21</v>
      </c>
      <c r="AC446" s="10" t="n">
        <v>2</v>
      </c>
    </row>
    <row r="447">
      <c r="A447" s="7" t="inlineStr">
        <is>
          <t>MAT-08-231</t>
        </is>
      </c>
      <c r="B447" s="4" t="inlineStr">
        <is>
          <t>Perfil de canto de aluminio, 70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3400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>
        <f>IF(COUNT(D447:V447)=0,"",MIN(D447:V447))</f>
        <v/>
      </c>
      <c r="X447" s="8">
        <f>IF(COUNT(D447:V447)=0,"",MEDIAN(D447:V447))</f>
        <v/>
      </c>
      <c r="Y447" s="8">
        <f>IF(COUNT(D447:V447)=0,"",MAX(D447:V447))</f>
        <v/>
      </c>
      <c r="Z447" s="9">
        <f>IF(OR(W447="",W447=0),"",(Y447-W447)/W447)</f>
        <v/>
      </c>
      <c r="AA447" s="7">
        <f>IF(COUNT(D447:V447)=0,"",INDEX($D$1:$V$1,MATCH(MIN(D447:V447),D447:V447,0)))</f>
        <v/>
      </c>
      <c r="AB447" s="8" t="n">
        <v>4875</v>
      </c>
      <c r="AC447" s="10" t="n">
        <v>1</v>
      </c>
    </row>
    <row r="448">
      <c r="A448" s="7" t="inlineStr">
        <is>
          <t>MAT-08-232</t>
        </is>
      </c>
      <c r="B448" s="4" t="inlineStr">
        <is>
          <t>Perfil de canto de aluminio, 9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1189.99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>
        <f>IF(COUNT(D448:V448)=0,"",MIN(D448:V448))</f>
        <v/>
      </c>
      <c r="X448" s="8">
        <f>IF(COUNT(D448:V448)=0,"",MEDIAN(D448:V448))</f>
        <v/>
      </c>
      <c r="Y448" s="8">
        <f>IF(COUNT(D448:V448)=0,"",MAX(D448:V448))</f>
        <v/>
      </c>
      <c r="Z448" s="9">
        <f>IF(OR(W448="",W448=0),"",(Y448-W448)/W448)</f>
        <v/>
      </c>
      <c r="AA448" s="7">
        <f>IF(COUNT(D448:V448)=0,"",INDEX($D$1:$V$1,MATCH(MIN(D448:V448),D448:V448,0)))</f>
        <v/>
      </c>
      <c r="AB448" s="8" t="n">
        <v>1189.99</v>
      </c>
      <c r="AC448" s="10" t="n">
        <v>1</v>
      </c>
    </row>
    <row r="449">
      <c r="A449" s="7" t="inlineStr">
        <is>
          <t>MAT-08-233</t>
        </is>
      </c>
      <c r="B449" s="4" t="inlineStr">
        <is>
          <t>Perfil de canto de fibra vegetal, 10 mm</t>
        </is>
      </c>
      <c r="C449" s="7" t="inlineStr">
        <is>
          <t>unidad</t>
        </is>
      </c>
      <c r="D449" s="8" t="n">
        <v>365.33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>
        <f>IF(COUNT(D449:V449)=0,"",MIN(D449:V449))</f>
        <v/>
      </c>
      <c r="X449" s="8">
        <f>IF(COUNT(D449:V449)=0,"",MEDIAN(D449:V449))</f>
        <v/>
      </c>
      <c r="Y449" s="8">
        <f>IF(COUNT(D449:V449)=0,"",MAX(D449:V449))</f>
        <v/>
      </c>
      <c r="Z449" s="9">
        <f>IF(OR(W449="",W449=0),"",(Y449-W449)/W449)</f>
        <v/>
      </c>
      <c r="AA449" s="7">
        <f>IF(COUNT(D449:V449)=0,"",INDEX($D$1:$V$1,MATCH(MIN(D449:V449),D449:V449,0)))</f>
        <v/>
      </c>
      <c r="AB449" s="8" t="n">
        <v>396.66</v>
      </c>
      <c r="AC449" s="10" t="n">
        <v>1</v>
      </c>
    </row>
    <row r="450">
      <c r="A450" s="7" t="inlineStr">
        <is>
          <t>MAT-08-234</t>
        </is>
      </c>
      <c r="B450" s="4" t="inlineStr">
        <is>
          <t>Perfil de canto de latón, 10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3254.44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>
        <f>IF(COUNT(D450:V450)=0,"",MIN(D450:V450))</f>
        <v/>
      </c>
      <c r="X450" s="8">
        <f>IF(COUNT(D450:V450)=0,"",MEDIAN(D450:V450))</f>
        <v/>
      </c>
      <c r="Y450" s="8">
        <f>IF(COUNT(D450:V450)=0,"",MAX(D450:V450))</f>
        <v/>
      </c>
      <c r="Z450" s="9">
        <f>IF(OR(W450="",W450=0),"",(Y450-W450)/W450)</f>
        <v/>
      </c>
      <c r="AA450" s="7">
        <f>IF(COUNT(D450:V450)=0,"",INDEX($D$1:$V$1,MATCH(MIN(D450:V450),D450:V450,0)))</f>
        <v/>
      </c>
      <c r="AB450" s="8" t="n">
        <v>3254.44</v>
      </c>
      <c r="AC450" s="10" t="n">
        <v>1</v>
      </c>
    </row>
    <row r="451">
      <c r="A451" s="7" t="inlineStr">
        <is>
          <t>MAT-08-235</t>
        </is>
      </c>
      <c r="B451" s="4" t="inlineStr">
        <is>
          <t>Perfil de canto de PVC, 10 mm</t>
        </is>
      </c>
      <c r="C451" s="7" t="inlineStr">
        <is>
          <t>unidad</t>
        </is>
      </c>
      <c r="D451" s="8" t="n"/>
      <c r="E451" s="8" t="n"/>
      <c r="F451" s="8" t="n">
        <v>291.88</v>
      </c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>
        <f>IF(COUNT(D451:V451)=0,"",MIN(D451:V451))</f>
        <v/>
      </c>
      <c r="X451" s="8">
        <f>IF(COUNT(D451:V451)=0,"",MEDIAN(D451:V451))</f>
        <v/>
      </c>
      <c r="Y451" s="8">
        <f>IF(COUNT(D451:V451)=0,"",MAX(D451:V451))</f>
        <v/>
      </c>
      <c r="Z451" s="9">
        <f>IF(OR(W451="",W451=0),"",(Y451-W451)/W451)</f>
        <v/>
      </c>
      <c r="AA451" s="7">
        <f>IF(COUNT(D451:V451)=0,"",INDEX($D$1:$V$1,MATCH(MIN(D451:V451),D451:V451,0)))</f>
        <v/>
      </c>
      <c r="AB451" s="8" t="n">
        <v>391.85</v>
      </c>
      <c r="AC451" s="10" t="n">
        <v>2</v>
      </c>
    </row>
    <row r="452">
      <c r="A452" s="7" t="inlineStr">
        <is>
          <t>MAT-08-236</t>
        </is>
      </c>
      <c r="B452" s="4" t="inlineStr">
        <is>
          <t>Perfil de canto de PVC, 5 mm</t>
        </is>
      </c>
      <c r="C452" s="7" t="inlineStr">
        <is>
          <t>unidad</t>
        </is>
      </c>
      <c r="D452" s="8" t="n">
        <v>66.68000000000001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>
        <f>IF(COUNT(D452:V452)=0,"",MIN(D452:V452))</f>
        <v/>
      </c>
      <c r="X452" s="8">
        <f>IF(COUNT(D452:V452)=0,"",MEDIAN(D452:V452))</f>
        <v/>
      </c>
      <c r="Y452" s="8">
        <f>IF(COUNT(D452:V452)=0,"",MAX(D452:V452))</f>
        <v/>
      </c>
      <c r="Z452" s="9">
        <f>IF(OR(W452="",W452=0),"",(Y452-W452)/W452)</f>
        <v/>
      </c>
      <c r="AA452" s="7">
        <f>IF(COUNT(D452:V452)=0,"",INDEX($D$1:$V$1,MATCH(MIN(D452:V452),D452:V452,0)))</f>
        <v/>
      </c>
      <c r="AB452" s="8" t="n">
        <v>67.81999999999999</v>
      </c>
      <c r="AC452" s="10" t="n">
        <v>1</v>
      </c>
    </row>
    <row r="453">
      <c r="A453" s="7" t="inlineStr">
        <is>
          <t>MAT-08-237</t>
        </is>
      </c>
      <c r="B453" s="4" t="inlineStr">
        <is>
          <t>Perfil de canto de PVC, 8 mm</t>
        </is>
      </c>
      <c r="C453" s="7" t="inlineStr">
        <is>
          <t>unidad</t>
        </is>
      </c>
      <c r="D453" s="8" t="n"/>
      <c r="E453" s="8" t="n"/>
      <c r="F453" s="8" t="n"/>
      <c r="G453" s="8" t="n">
        <v>248</v>
      </c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>
        <f>IF(COUNT(D453:V453)=0,"",MIN(D453:V453))</f>
        <v/>
      </c>
      <c r="X453" s="8">
        <f>IF(COUNT(D453:V453)=0,"",MEDIAN(D453:V453))</f>
        <v/>
      </c>
      <c r="Y453" s="8">
        <f>IF(COUNT(D453:V453)=0,"",MAX(D453:V453))</f>
        <v/>
      </c>
      <c r="Z453" s="9">
        <f>IF(OR(W453="",W453=0),"",(Y453-W453)/W453)</f>
        <v/>
      </c>
      <c r="AA453" s="7">
        <f>IF(COUNT(D453:V453)=0,"",INDEX($D$1:$V$1,MATCH(MIN(D453:V453),D453:V453,0)))</f>
        <v/>
      </c>
      <c r="AB453" s="8" t="n">
        <v>248</v>
      </c>
      <c r="AC453" s="10" t="n">
        <v>1</v>
      </c>
    </row>
    <row r="454">
      <c r="A454" s="7" t="inlineStr">
        <is>
          <t>MAT-08-238</t>
        </is>
      </c>
      <c r="B454" s="4" t="inlineStr">
        <is>
          <t>Perfil de canto de PVC, 8.5 mm</t>
        </is>
      </c>
      <c r="C454" s="7" t="inlineStr">
        <is>
          <t>unidad</t>
        </is>
      </c>
      <c r="D454" s="8" t="n">
        <v>66.61</v>
      </c>
      <c r="E454" s="8" t="n"/>
      <c r="F454" s="8" t="n"/>
      <c r="G454" s="8" t="n"/>
      <c r="H454" s="8" t="n">
        <v>224.99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>
        <f>IF(COUNT(D454:V454)=0,"",MIN(D454:V454))</f>
        <v/>
      </c>
      <c r="X454" s="8">
        <f>IF(COUNT(D454:V454)=0,"",MEDIAN(D454:V454))</f>
        <v/>
      </c>
      <c r="Y454" s="8">
        <f>IF(COUNT(D454:V454)=0,"",MAX(D454:V454))</f>
        <v/>
      </c>
      <c r="Z454" s="9">
        <f>IF(OR(W454="",W454=0),"",(Y454-W454)/W454)</f>
        <v/>
      </c>
      <c r="AA454" s="7">
        <f>IF(COUNT(D454:V454)=0,"",INDEX($D$1:$V$1,MATCH(MIN(D454:V454),D454:V454,0)))</f>
        <v/>
      </c>
      <c r="AB454" s="8" t="n">
        <v>68.95</v>
      </c>
      <c r="AC454" s="10" t="n">
        <v>2</v>
      </c>
    </row>
    <row r="455">
      <c r="A455" s="7" t="inlineStr">
        <is>
          <t>MAT-08-239</t>
        </is>
      </c>
      <c r="B455" s="4" t="inlineStr">
        <is>
          <t>Junta de dilatación de aluminio, 12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5822.12</v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>
        <f>IF(COUNT(D455:V455)=0,"",MIN(D455:V455))</f>
        <v/>
      </c>
      <c r="X455" s="8">
        <f>IF(COUNT(D455:V455)=0,"",MEDIAN(D455:V455))</f>
        <v/>
      </c>
      <c r="Y455" s="8">
        <f>IF(COUNT(D455:V455)=0,"",MAX(D455:V455))</f>
        <v/>
      </c>
      <c r="Z455" s="9">
        <f>IF(OR(W455="",W455=0),"",(Y455-W455)/W455)</f>
        <v/>
      </c>
      <c r="AA455" s="7">
        <f>IF(COUNT(D455:V455)=0,"",INDEX($D$1:$V$1,MATCH(MIN(D455:V455),D455:V455,0)))</f>
        <v/>
      </c>
      <c r="AB455" s="8" t="n">
        <v>7649.35</v>
      </c>
      <c r="AC455" s="10" t="n">
        <v>1</v>
      </c>
    </row>
    <row r="456">
      <c r="A456" s="7" t="inlineStr">
        <is>
          <t>MAT-08-240</t>
        </is>
      </c>
      <c r="B456" s="4" t="inlineStr">
        <is>
          <t>Junta de dilatación de aluminio, 14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1589.99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>
        <f>IF(COUNT(D456:V456)=0,"",MIN(D456:V456))</f>
        <v/>
      </c>
      <c r="X456" s="8">
        <f>IF(COUNT(D456:V456)=0,"",MEDIAN(D456:V456))</f>
        <v/>
      </c>
      <c r="Y456" s="8">
        <f>IF(COUNT(D456:V456)=0,"",MAX(D456:V456))</f>
        <v/>
      </c>
      <c r="Z456" s="9">
        <f>IF(OR(W456="",W456=0),"",(Y456-W456)/W456)</f>
        <v/>
      </c>
      <c r="AA456" s="7">
        <f>IF(COUNT(D456:V456)=0,"",INDEX($D$1:$V$1,MATCH(MIN(D456:V456),D456:V456,0)))</f>
        <v/>
      </c>
      <c r="AB456" s="8" t="n">
        <v>1589.99</v>
      </c>
      <c r="AC456" s="10" t="n">
        <v>1</v>
      </c>
    </row>
    <row r="457">
      <c r="A457" s="7" t="inlineStr">
        <is>
          <t>MAT-08-241</t>
        </is>
      </c>
      <c r="B457" s="4" t="inlineStr">
        <is>
          <t>Junta de dilatación de aluminio, 26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6400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>
        <f>IF(COUNT(D457:V457)=0,"",MIN(D457:V457))</f>
        <v/>
      </c>
      <c r="X457" s="8">
        <f>IF(COUNT(D457:V457)=0,"",MEDIAN(D457:V457))</f>
        <v/>
      </c>
      <c r="Y457" s="8">
        <f>IF(COUNT(D457:V457)=0,"",MAX(D457:V457))</f>
        <v/>
      </c>
      <c r="Z457" s="9">
        <f>IF(OR(W457="",W457=0),"",(Y457-W457)/W457)</f>
        <v/>
      </c>
      <c r="AA457" s="7">
        <f>IF(COUNT(D457:V457)=0,"",INDEX($D$1:$V$1,MATCH(MIN(D457:V457),D457:V457,0)))</f>
        <v/>
      </c>
      <c r="AB457" s="8" t="n">
        <v>6400</v>
      </c>
      <c r="AC457" s="10" t="n">
        <v>1</v>
      </c>
    </row>
    <row r="458">
      <c r="A458" s="7" t="inlineStr">
        <is>
          <t>MAT-08-242</t>
        </is>
      </c>
      <c r="B458" s="4" t="inlineStr">
        <is>
          <t>Junta de dilatación de PVC, 25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1100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>
        <f>IF(COUNT(D458:V458)=0,"",MIN(D458:V458))</f>
        <v/>
      </c>
      <c r="X458" s="8">
        <f>IF(COUNT(D458:V458)=0,"",MEDIAN(D458:V458))</f>
        <v/>
      </c>
      <c r="Y458" s="8">
        <f>IF(COUNT(D458:V458)=0,"",MAX(D458:V458))</f>
        <v/>
      </c>
      <c r="Z458" s="9">
        <f>IF(OR(W458="",W458=0),"",(Y458-W458)/W458)</f>
        <v/>
      </c>
      <c r="AA458" s="7">
        <f>IF(COUNT(D458:V458)=0,"",INDEX($D$1:$V$1,MATCH(MIN(D458:V458),D458:V458,0)))</f>
        <v/>
      </c>
      <c r="AB458" s="8" t="n">
        <v>1100</v>
      </c>
      <c r="AC458" s="10" t="n">
        <v>1</v>
      </c>
    </row>
    <row r="459">
      <c r="A459" s="7" t="inlineStr">
        <is>
          <t>MAT-08-243</t>
        </is>
      </c>
      <c r="B459" s="4" t="inlineStr">
        <is>
          <t>Junta de dilatación de PVC, 8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490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>
        <f>IF(COUNT(D459:V459)=0,"",MIN(D459:V459))</f>
        <v/>
      </c>
      <c r="X459" s="8">
        <f>IF(COUNT(D459:V459)=0,"",MEDIAN(D459:V459))</f>
        <v/>
      </c>
      <c r="Y459" s="8">
        <f>IF(COUNT(D459:V459)=0,"",MAX(D459:V459))</f>
        <v/>
      </c>
      <c r="Z459" s="9">
        <f>IF(OR(W459="",W459=0),"",(Y459-W459)/W459)</f>
        <v/>
      </c>
      <c r="AA459" s="7">
        <f>IF(COUNT(D459:V459)=0,"",INDEX($D$1:$V$1,MATCH(MIN(D459:V459),D459:V459,0)))</f>
        <v/>
      </c>
      <c r="AB459" s="8" t="n">
        <v>720</v>
      </c>
      <c r="AC459" s="10" t="n">
        <v>1</v>
      </c>
    </row>
    <row r="460">
      <c r="A460" s="7" t="inlineStr">
        <is>
          <t>MAT-08-244</t>
        </is>
      </c>
      <c r="B460" s="4" t="inlineStr">
        <is>
          <t>Perfil de peldaño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2190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>
        <f>IF(COUNT(D460:V460)=0,"",MIN(D460:V460))</f>
        <v/>
      </c>
      <c r="X460" s="8">
        <f>IF(COUNT(D460:V460)=0,"",MEDIAN(D460:V460))</f>
        <v/>
      </c>
      <c r="Y460" s="8">
        <f>IF(COUNT(D460:V460)=0,"",MAX(D460:V460))</f>
        <v/>
      </c>
      <c r="Z460" s="9">
        <f>IF(OR(W460="",W460=0),"",(Y460-W460)/W460)</f>
        <v/>
      </c>
      <c r="AA460" s="7">
        <f>IF(COUNT(D460:V460)=0,"",INDEX($D$1:$V$1,MATCH(MIN(D460:V460),D460:V460,0)))</f>
        <v/>
      </c>
      <c r="AB460" s="8" t="n">
        <v>3592.5</v>
      </c>
      <c r="AC460" s="10" t="n">
        <v>1</v>
      </c>
    </row>
    <row r="461">
      <c r="A461" s="7" t="inlineStr">
        <is>
          <t>MAT-08-245</t>
        </is>
      </c>
      <c r="B461" s="4" t="inlineStr">
        <is>
          <t>Perfil de peldaño de aluminio, 48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6525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>
        <f>IF(COUNT(D461:V461)=0,"",MIN(D461:V461))</f>
        <v/>
      </c>
      <c r="X461" s="8">
        <f>IF(COUNT(D461:V461)=0,"",MEDIAN(D461:V461))</f>
        <v/>
      </c>
      <c r="Y461" s="8">
        <f>IF(COUNT(D461:V461)=0,"",MAX(D461:V461))</f>
        <v/>
      </c>
      <c r="Z461" s="9">
        <f>IF(OR(W461="",W461=0),"",(Y461-W461)/W461)</f>
        <v/>
      </c>
      <c r="AA461" s="7">
        <f>IF(COUNT(D461:V461)=0,"",INDEX($D$1:$V$1,MATCH(MIN(D461:V461),D461:V461,0)))</f>
        <v/>
      </c>
      <c r="AB461" s="8" t="n">
        <v>6525</v>
      </c>
      <c r="AC461" s="10" t="n">
        <v>1</v>
      </c>
    </row>
    <row r="462">
      <c r="A462" s="7" t="inlineStr">
        <is>
          <t>MAT-08-246</t>
        </is>
      </c>
      <c r="B462" s="4" t="inlineStr">
        <is>
          <t>Perfil de peldaño de aluminio, 65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4893.46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>
        <f>IF(COUNT(D462:V462)=0,"",MIN(D462:V462))</f>
        <v/>
      </c>
      <c r="X462" s="8">
        <f>IF(COUNT(D462:V462)=0,"",MEDIAN(D462:V462))</f>
        <v/>
      </c>
      <c r="Y462" s="8">
        <f>IF(COUNT(D462:V462)=0,"",MAX(D462:V462))</f>
        <v/>
      </c>
      <c r="Z462" s="9">
        <f>IF(OR(W462="",W462=0),"",(Y462-W462)/W462)</f>
        <v/>
      </c>
      <c r="AA462" s="7">
        <f>IF(COUNT(D462:V462)=0,"",INDEX($D$1:$V$1,MATCH(MIN(D462:V462),D462:V462,0)))</f>
        <v/>
      </c>
      <c r="AB462" s="8" t="n">
        <v>4893.46</v>
      </c>
      <c r="AC462" s="10" t="n">
        <v>1</v>
      </c>
    </row>
    <row r="463">
      <c r="A463" s="7" t="inlineStr">
        <is>
          <t>MAT-08-247</t>
        </is>
      </c>
      <c r="B463" s="4" t="inlineStr">
        <is>
          <t>Cruceta para cerámica 1.5 mm, funda de 100</t>
        </is>
      </c>
      <c r="C463" s="7" t="inlineStr">
        <is>
          <t>funda</t>
        </is>
      </c>
      <c r="D463" s="8" t="n">
        <v>47.83</v>
      </c>
      <c r="E463" s="8" t="n"/>
      <c r="F463" s="8" t="n"/>
      <c r="G463" s="8" t="n"/>
      <c r="H463" s="8" t="n">
        <v>100.01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>
        <f>IF(COUNT(D463:V463)=0,"",MIN(D463:V463))</f>
        <v/>
      </c>
      <c r="X463" s="8">
        <f>IF(COUNT(D463:V463)=0,"",MEDIAN(D463:V463))</f>
        <v/>
      </c>
      <c r="Y463" s="8">
        <f>IF(COUNT(D463:V463)=0,"",MAX(D463:V463))</f>
        <v/>
      </c>
      <c r="Z463" s="9">
        <f>IF(OR(W463="",W463=0),"",(Y463-W463)/W463)</f>
        <v/>
      </c>
      <c r="AA463" s="7">
        <f>IF(COUNT(D463:V463)=0,"",INDEX($D$1:$V$1,MATCH(MIN(D463:V463),D463:V463,0)))</f>
        <v/>
      </c>
      <c r="AB463" s="8" t="n">
        <v>73.92</v>
      </c>
      <c r="AC463" s="10" t="n">
        <v>2</v>
      </c>
    </row>
    <row r="464">
      <c r="A464" s="7" t="inlineStr">
        <is>
          <t>MAT-08-248</t>
        </is>
      </c>
      <c r="B464" s="4" t="inlineStr">
        <is>
          <t>Cruceta para cerámica 1.5 mm, funda de 250</t>
        </is>
      </c>
      <c r="C464" s="7" t="inlineStr">
        <is>
          <t>funda</t>
        </is>
      </c>
      <c r="D464" s="8" t="n"/>
      <c r="E464" s="8" t="n"/>
      <c r="F464" s="8" t="n"/>
      <c r="G464" s="8" t="n"/>
      <c r="H464" s="8" t="n">
        <v>114.99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>
        <f>IF(COUNT(D464:V464)=0,"",MIN(D464:V464))</f>
        <v/>
      </c>
      <c r="X464" s="8">
        <f>IF(COUNT(D464:V464)=0,"",MEDIAN(D464:V464))</f>
        <v/>
      </c>
      <c r="Y464" s="8">
        <f>IF(COUNT(D464:V464)=0,"",MAX(D464:V464))</f>
        <v/>
      </c>
      <c r="Z464" s="9">
        <f>IF(OR(W464="",W464=0),"",(Y464-W464)/W464)</f>
        <v/>
      </c>
      <c r="AA464" s="7">
        <f>IF(COUNT(D464:V464)=0,"",INDEX($D$1:$V$1,MATCH(MIN(D464:V464),D464:V464,0)))</f>
        <v/>
      </c>
      <c r="AB464" s="8" t="n">
        <v>114.99</v>
      </c>
      <c r="AC464" s="10" t="n">
        <v>1</v>
      </c>
    </row>
    <row r="465">
      <c r="A465" s="7" t="inlineStr">
        <is>
          <t>MAT-08-249</t>
        </is>
      </c>
      <c r="B465" s="4" t="inlineStr">
        <is>
          <t>Cruceta para cerámica 1.5 mm, funda de 300</t>
        </is>
      </c>
      <c r="C465" s="7" t="inlineStr">
        <is>
          <t>funda</t>
        </is>
      </c>
      <c r="D465" s="8" t="n">
        <v>233.76</v>
      </c>
      <c r="E465" s="8" t="n"/>
      <c r="F465" s="8" t="n"/>
      <c r="G465" s="8" t="n">
        <v>165</v>
      </c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>
        <f>IF(COUNT(D465:V465)=0,"",MIN(D465:V465))</f>
        <v/>
      </c>
      <c r="X465" s="8">
        <f>IF(COUNT(D465:V465)=0,"",MEDIAN(D465:V465))</f>
        <v/>
      </c>
      <c r="Y465" s="8">
        <f>IF(COUNT(D465:V465)=0,"",MAX(D465:V465))</f>
        <v/>
      </c>
      <c r="Z465" s="9">
        <f>IF(OR(W465="",W465=0),"",(Y465-W465)/W465)</f>
        <v/>
      </c>
      <c r="AA465" s="7">
        <f>IF(COUNT(D465:V465)=0,"",INDEX($D$1:$V$1,MATCH(MIN(D465:V465),D465:V465,0)))</f>
        <v/>
      </c>
      <c r="AB465" s="8" t="n">
        <v>281.88</v>
      </c>
      <c r="AC465" s="10" t="n">
        <v>2</v>
      </c>
    </row>
    <row r="466">
      <c r="A466" s="7" t="inlineStr">
        <is>
          <t>MAT-08-250</t>
        </is>
      </c>
      <c r="B466" s="4" t="inlineStr">
        <is>
          <t>Cruceta para cerámica 1 mm, funda de 100</t>
        </is>
      </c>
      <c r="C466" s="7" t="inlineStr">
        <is>
          <t>funda</t>
        </is>
      </c>
      <c r="D466" s="8" t="n">
        <v>42.56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>
        <f>IF(COUNT(D466:V466)=0,"",MIN(D466:V466))</f>
        <v/>
      </c>
      <c r="X466" s="8">
        <f>IF(COUNT(D466:V466)=0,"",MEDIAN(D466:V466))</f>
        <v/>
      </c>
      <c r="Y466" s="8">
        <f>IF(COUNT(D466:V466)=0,"",MAX(D466:V466))</f>
        <v/>
      </c>
      <c r="Z466" s="9">
        <f>IF(OR(W466="",W466=0),"",(Y466-W466)/W466)</f>
        <v/>
      </c>
      <c r="AA466" s="7">
        <f>IF(COUNT(D466:V466)=0,"",INDEX($D$1:$V$1,MATCH(MIN(D466:V466),D466:V466,0)))</f>
        <v/>
      </c>
      <c r="AB466" s="8" t="n">
        <v>42.56</v>
      </c>
      <c r="AC466" s="10" t="n">
        <v>1</v>
      </c>
    </row>
    <row r="467">
      <c r="A467" s="7" t="inlineStr">
        <is>
          <t>MAT-08-251</t>
        </is>
      </c>
      <c r="B467" s="4" t="inlineStr">
        <is>
          <t>Cruceta para cerámica 1 mm, funda de 300</t>
        </is>
      </c>
      <c r="C467" s="7" t="inlineStr">
        <is>
          <t>funda</t>
        </is>
      </c>
      <c r="D467" s="8" t="n">
        <v>10608.65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>
        <f>IF(COUNT(D467:V467)=0,"",MIN(D467:V467))</f>
        <v/>
      </c>
      <c r="X467" s="8">
        <f>IF(COUNT(D467:V467)=0,"",MEDIAN(D467:V467))</f>
        <v/>
      </c>
      <c r="Y467" s="8">
        <f>IF(COUNT(D467:V467)=0,"",MAX(D467:V467))</f>
        <v/>
      </c>
      <c r="Z467" s="9">
        <f>IF(OR(W467="",W467=0),"",(Y467-W467)/W467)</f>
        <v/>
      </c>
      <c r="AA467" s="7">
        <f>IF(COUNT(D467:V467)=0,"",INDEX($D$1:$V$1,MATCH(MIN(D467:V467),D467:V467,0)))</f>
        <v/>
      </c>
      <c r="AB467" s="8" t="n">
        <v>10608.65</v>
      </c>
      <c r="AC467" s="10" t="n">
        <v>1</v>
      </c>
    </row>
    <row r="468">
      <c r="A468" s="7" t="inlineStr">
        <is>
          <t>MAT-08-252</t>
        </is>
      </c>
      <c r="B468" s="4" t="inlineStr">
        <is>
          <t>Cruceta para cerámica 2 mm, funda de 100</t>
        </is>
      </c>
      <c r="C468" s="7" t="inlineStr">
        <is>
          <t>funda</t>
        </is>
      </c>
      <c r="D468" s="8" t="n">
        <v>52.3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>
        <f>IF(COUNT(D468:V468)=0,"",MIN(D468:V468))</f>
        <v/>
      </c>
      <c r="X468" s="8">
        <f>IF(COUNT(D468:V468)=0,"",MEDIAN(D468:V468))</f>
        <v/>
      </c>
      <c r="Y468" s="8">
        <f>IF(COUNT(D468:V468)=0,"",MAX(D468:V468))</f>
        <v/>
      </c>
      <c r="Z468" s="9">
        <f>IF(OR(W468="",W468=0),"",(Y468-W468)/W468)</f>
        <v/>
      </c>
      <c r="AA468" s="7">
        <f>IF(COUNT(D468:V468)=0,"",INDEX($D$1:$V$1,MATCH(MIN(D468:V468),D468:V468,0)))</f>
        <v/>
      </c>
      <c r="AB468" s="8" t="n">
        <v>76.16</v>
      </c>
      <c r="AC468" s="10" t="n">
        <v>2</v>
      </c>
    </row>
    <row r="469">
      <c r="A469" s="7" t="inlineStr">
        <is>
          <t>MAT-08-253</t>
        </is>
      </c>
      <c r="B469" s="4" t="inlineStr">
        <is>
          <t>Cruceta para cerámica 2 mm, funda de 300</t>
        </is>
      </c>
      <c r="C469" s="7" t="inlineStr">
        <is>
          <t>funda</t>
        </is>
      </c>
      <c r="D469" s="8" t="n">
        <v>12274.78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>
        <f>IF(COUNT(D469:V469)=0,"",MIN(D469:V469))</f>
        <v/>
      </c>
      <c r="X469" s="8">
        <f>IF(COUNT(D469:V469)=0,"",MEDIAN(D469:V469))</f>
        <v/>
      </c>
      <c r="Y469" s="8">
        <f>IF(COUNT(D469:V469)=0,"",MAX(D469:V469))</f>
        <v/>
      </c>
      <c r="Z469" s="9">
        <f>IF(OR(W469="",W469=0),"",(Y469-W469)/W469)</f>
        <v/>
      </c>
      <c r="AA469" s="7">
        <f>IF(COUNT(D469:V469)=0,"",INDEX($D$1:$V$1,MATCH(MIN(D469:V469),D469:V469,0)))</f>
        <v/>
      </c>
      <c r="AB469" s="8" t="n">
        <v>12274.78</v>
      </c>
      <c r="AC469" s="10" t="n">
        <v>1</v>
      </c>
    </row>
    <row r="470">
      <c r="A470" s="7" t="inlineStr">
        <is>
          <t>MAT-08-254</t>
        </is>
      </c>
      <c r="B470" s="4" t="inlineStr">
        <is>
          <t>Cruceta para cerámica 2 mm, funda de 500</t>
        </is>
      </c>
      <c r="C470" s="7" t="inlineStr">
        <is>
          <t>funda</t>
        </is>
      </c>
      <c r="D470" s="8" t="n"/>
      <c r="E470" s="8" t="n"/>
      <c r="F470" s="8" t="n">
        <v>315.32</v>
      </c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>
        <f>IF(COUNT(D470:V470)=0,"",MIN(D470:V470))</f>
        <v/>
      </c>
      <c r="X470" s="8">
        <f>IF(COUNT(D470:V470)=0,"",MEDIAN(D470:V470))</f>
        <v/>
      </c>
      <c r="Y470" s="8">
        <f>IF(COUNT(D470:V470)=0,"",MAX(D470:V470))</f>
        <v/>
      </c>
      <c r="Z470" s="9">
        <f>IF(OR(W470="",W470=0),"",(Y470-W470)/W470)</f>
        <v/>
      </c>
      <c r="AA470" s="7">
        <f>IF(COUNT(D470:V470)=0,"",INDEX($D$1:$V$1,MATCH(MIN(D470:V470),D470:V470,0)))</f>
        <v/>
      </c>
      <c r="AB470" s="8" t="n">
        <v>374.71</v>
      </c>
      <c r="AC470" s="10" t="n">
        <v>1</v>
      </c>
    </row>
    <row r="471">
      <c r="A471" s="7" t="inlineStr">
        <is>
          <t>MAT-08-255</t>
        </is>
      </c>
      <c r="B471" s="4" t="inlineStr">
        <is>
          <t>Cruceta para cerámica 3 mm, funda de 100</t>
        </is>
      </c>
      <c r="C471" s="7" t="inlineStr">
        <is>
          <t>funda</t>
        </is>
      </c>
      <c r="D471" s="8" t="n">
        <v>61.54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>
        <f>IF(COUNT(D471:V471)=0,"",MIN(D471:V471))</f>
        <v/>
      </c>
      <c r="X471" s="8">
        <f>IF(COUNT(D471:V471)=0,"",MEDIAN(D471:V471))</f>
        <v/>
      </c>
      <c r="Y471" s="8">
        <f>IF(COUNT(D471:V471)=0,"",MAX(D471:V471))</f>
        <v/>
      </c>
      <c r="Z471" s="9">
        <f>IF(OR(W471="",W471=0),"",(Y471-W471)/W471)</f>
        <v/>
      </c>
      <c r="AA471" s="7">
        <f>IF(COUNT(D471:V471)=0,"",INDEX($D$1:$V$1,MATCH(MIN(D471:V471),D471:V471,0)))</f>
        <v/>
      </c>
      <c r="AB471" s="8" t="n">
        <v>61.54</v>
      </c>
      <c r="AC471" s="10" t="n">
        <v>1</v>
      </c>
    </row>
    <row r="472">
      <c r="A472" s="7" t="inlineStr">
        <is>
          <t>MAT-08-256</t>
        </is>
      </c>
      <c r="B472" s="4" t="inlineStr">
        <is>
          <t>Cruceta para cerámica 3 mm, funda de 200</t>
        </is>
      </c>
      <c r="C472" s="7" t="inlineStr">
        <is>
          <t>funda</t>
        </is>
      </c>
      <c r="D472" s="8" t="n">
        <v>252.59</v>
      </c>
      <c r="E472" s="8" t="n"/>
      <c r="F472" s="8" t="n"/>
      <c r="G472" s="8" t="n">
        <v>340</v>
      </c>
      <c r="H472" s="8" t="n">
        <v>249.99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>
        <f>IF(COUNT(D472:V472)=0,"",MIN(D472:V472))</f>
        <v/>
      </c>
      <c r="X472" s="8">
        <f>IF(COUNT(D472:V472)=0,"",MEDIAN(D472:V472))</f>
        <v/>
      </c>
      <c r="Y472" s="8">
        <f>IF(COUNT(D472:V472)=0,"",MAX(D472:V472))</f>
        <v/>
      </c>
      <c r="Z472" s="9">
        <f>IF(OR(W472="",W472=0),"",(Y472-W472)/W472)</f>
        <v/>
      </c>
      <c r="AA472" s="7">
        <f>IF(COUNT(D472:V472)=0,"",INDEX($D$1:$V$1,MATCH(MIN(D472:V472),D472:V472,0)))</f>
        <v/>
      </c>
      <c r="AB472" s="8" t="n">
        <v>252.59</v>
      </c>
      <c r="AC472" s="10" t="n">
        <v>3</v>
      </c>
    </row>
    <row r="473">
      <c r="A473" s="7" t="inlineStr">
        <is>
          <t>MAT-08-257</t>
        </is>
      </c>
      <c r="B473" s="4" t="inlineStr">
        <is>
          <t>Cruceta para cerámica 4 mm, funda de 100</t>
        </is>
      </c>
      <c r="C473" s="7" t="inlineStr">
        <is>
          <t>funda</t>
        </is>
      </c>
      <c r="D473" s="8" t="n">
        <v>72.83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>
        <f>IF(COUNT(D473:V473)=0,"",MIN(D473:V473))</f>
        <v/>
      </c>
      <c r="X473" s="8">
        <f>IF(COUNT(D473:V473)=0,"",MEDIAN(D473:V473))</f>
        <v/>
      </c>
      <c r="Y473" s="8">
        <f>IF(COUNT(D473:V473)=0,"",MAX(D473:V473))</f>
        <v/>
      </c>
      <c r="Z473" s="9">
        <f>IF(OR(W473="",W473=0),"",(Y473-W473)/W473)</f>
        <v/>
      </c>
      <c r="AA473" s="7">
        <f>IF(COUNT(D473:V473)=0,"",INDEX($D$1:$V$1,MATCH(MIN(D473:V473),D473:V473,0)))</f>
        <v/>
      </c>
      <c r="AB473" s="8" t="n">
        <v>72.83</v>
      </c>
      <c r="AC473" s="10" t="n">
        <v>1</v>
      </c>
    </row>
    <row r="474">
      <c r="A474" s="7" t="inlineStr">
        <is>
          <t>MAT-08-258</t>
        </is>
      </c>
      <c r="B474" s="4" t="inlineStr">
        <is>
          <t>Cruceta para cerámica 4 mm, funda de 200</t>
        </is>
      </c>
      <c r="C474" s="7" t="inlineStr">
        <is>
          <t>funda</t>
        </is>
      </c>
      <c r="D474" s="8" t="n">
        <v>7235.96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>
        <f>IF(COUNT(D474:V474)=0,"",MIN(D474:V474))</f>
        <v/>
      </c>
      <c r="X474" s="8">
        <f>IF(COUNT(D474:V474)=0,"",MEDIAN(D474:V474))</f>
        <v/>
      </c>
      <c r="Y474" s="8">
        <f>IF(COUNT(D474:V474)=0,"",MAX(D474:V474))</f>
        <v/>
      </c>
      <c r="Z474" s="9">
        <f>IF(OR(W474="",W474=0),"",(Y474-W474)/W474)</f>
        <v/>
      </c>
      <c r="AA474" s="7">
        <f>IF(COUNT(D474:V474)=0,"",INDEX($D$1:$V$1,MATCH(MIN(D474:V474),D474:V474,0)))</f>
        <v/>
      </c>
      <c r="AB474" s="8" t="n">
        <v>7235.96</v>
      </c>
      <c r="AC474" s="10" t="n">
        <v>1</v>
      </c>
    </row>
    <row r="475">
      <c r="A475" s="7" t="inlineStr">
        <is>
          <t>MAT-08-259</t>
        </is>
      </c>
      <c r="B475" s="4" t="inlineStr">
        <is>
          <t>Cruceta para cerámica 5 mm, funda de 100</t>
        </is>
      </c>
      <c r="C475" s="7" t="inlineStr">
        <is>
          <t>funda</t>
        </is>
      </c>
      <c r="D475" s="8" t="n">
        <v>81.06999999999999</v>
      </c>
      <c r="E475" s="8" t="n"/>
      <c r="F475" s="8" t="n"/>
      <c r="G475" s="8" t="n">
        <v>390</v>
      </c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>
        <f>IF(COUNT(D475:V475)=0,"",MIN(D475:V475))</f>
        <v/>
      </c>
      <c r="X475" s="8">
        <f>IF(COUNT(D475:V475)=0,"",MEDIAN(D475:V475))</f>
        <v/>
      </c>
      <c r="Y475" s="8">
        <f>IF(COUNT(D475:V475)=0,"",MAX(D475:V475))</f>
        <v/>
      </c>
      <c r="Z475" s="9">
        <f>IF(OR(W475="",W475=0),"",(Y475-W475)/W475)</f>
        <v/>
      </c>
      <c r="AA475" s="7">
        <f>IF(COUNT(D475:V475)=0,"",INDEX($D$1:$V$1,MATCH(MIN(D475:V475),D475:V475,0)))</f>
        <v/>
      </c>
      <c r="AB475" s="8" t="n">
        <v>235.54</v>
      </c>
      <c r="AC475" s="10" t="n">
        <v>2</v>
      </c>
    </row>
    <row r="476">
      <c r="A476" s="7" t="inlineStr">
        <is>
          <t>MAT-08-260</t>
        </is>
      </c>
      <c r="B476" s="4" t="inlineStr">
        <is>
          <t>Cruceta para cerámica 6 mm, funda de 100</t>
        </is>
      </c>
      <c r="C476" s="7" t="inlineStr">
        <is>
          <t>funda</t>
        </is>
      </c>
      <c r="D476" s="8" t="n">
        <v>78.89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>
        <f>IF(COUNT(D476:V476)=0,"",MIN(D476:V476))</f>
        <v/>
      </c>
      <c r="X476" s="8">
        <f>IF(COUNT(D476:V476)=0,"",MEDIAN(D476:V476))</f>
        <v/>
      </c>
      <c r="Y476" s="8">
        <f>IF(COUNT(D476:V476)=0,"",MAX(D476:V476))</f>
        <v/>
      </c>
      <c r="Z476" s="9">
        <f>IF(OR(W476="",W476=0),"",(Y476-W476)/W476)</f>
        <v/>
      </c>
      <c r="AA476" s="7">
        <f>IF(COUNT(D476:V476)=0,"",INDEX($D$1:$V$1,MATCH(MIN(D476:V476),D476:V476,0)))</f>
        <v/>
      </c>
      <c r="AB476" s="8" t="n">
        <v>78.89</v>
      </c>
      <c r="AC476" s="10" t="n">
        <v>1</v>
      </c>
    </row>
    <row r="477">
      <c r="A477" s="7" t="inlineStr">
        <is>
          <t>MAT-08-261</t>
        </is>
      </c>
      <c r="B477" s="4" t="inlineStr">
        <is>
          <t>Calzo de nivelación para cerámica 0.5 mm</t>
        </is>
      </c>
      <c r="C477" s="7" t="inlineStr">
        <is>
          <t>funda</t>
        </is>
      </c>
      <c r="D477" s="8" t="n">
        <v>919.9400000000001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>
        <f>IF(COUNT(D477:V477)=0,"",MIN(D477:V477))</f>
        <v/>
      </c>
      <c r="X477" s="8">
        <f>IF(COUNT(D477:V477)=0,"",MEDIAN(D477:V477))</f>
        <v/>
      </c>
      <c r="Y477" s="8">
        <f>IF(COUNT(D477:V477)=0,"",MAX(D477:V477))</f>
        <v/>
      </c>
      <c r="Z477" s="9">
        <f>IF(OR(W477="",W477=0),"",(Y477-W477)/W477)</f>
        <v/>
      </c>
      <c r="AA477" s="7">
        <f>IF(COUNT(D477:V477)=0,"",INDEX($D$1:$V$1,MATCH(MIN(D477:V477),D477:V477,0)))</f>
        <v/>
      </c>
      <c r="AB477" s="8" t="n">
        <v>919.9400000000001</v>
      </c>
      <c r="AC477" s="10" t="n">
        <v>1</v>
      </c>
    </row>
    <row r="478">
      <c r="A478" s="7" t="inlineStr">
        <is>
          <t>MAT-08-262</t>
        </is>
      </c>
      <c r="B478" s="4" t="inlineStr">
        <is>
          <t>Calzo de nivelación para cerámica 1 mm</t>
        </is>
      </c>
      <c r="C478" s="7" t="inlineStr">
        <is>
          <t>funda</t>
        </is>
      </c>
      <c r="D478" s="8" t="n">
        <v>767.39</v>
      </c>
      <c r="E478" s="8" t="n"/>
      <c r="F478" s="8" t="n">
        <v>404.16</v>
      </c>
      <c r="G478" s="8" t="n"/>
      <c r="H478" s="8" t="n">
        <v>1490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>
        <f>IF(COUNT(D478:V478)=0,"",MIN(D478:V478))</f>
        <v/>
      </c>
      <c r="X478" s="8">
        <f>IF(COUNT(D478:V478)=0,"",MEDIAN(D478:V478))</f>
        <v/>
      </c>
      <c r="Y478" s="8">
        <f>IF(COUNT(D478:V478)=0,"",MAX(D478:V478))</f>
        <v/>
      </c>
      <c r="Z478" s="9">
        <f>IF(OR(W478="",W478=0),"",(Y478-W478)/W478)</f>
        <v/>
      </c>
      <c r="AA478" s="7">
        <f>IF(COUNT(D478:V478)=0,"",INDEX($D$1:$V$1,MATCH(MIN(D478:V478),D478:V478,0)))</f>
        <v/>
      </c>
      <c r="AB478" s="8" t="n">
        <v>767.39</v>
      </c>
      <c r="AC478" s="10" t="n">
        <v>3</v>
      </c>
    </row>
    <row r="479">
      <c r="A479" s="7" t="inlineStr">
        <is>
          <t>MAT-08-263</t>
        </is>
      </c>
      <c r="B479" s="4" t="inlineStr">
        <is>
          <t>Calzo de nivelación para cerámica 1.5 mm</t>
        </is>
      </c>
      <c r="C479" s="7" t="inlineStr">
        <is>
          <t>funda</t>
        </is>
      </c>
      <c r="D479" s="8" t="n">
        <v>487.49</v>
      </c>
      <c r="E479" s="8" t="n"/>
      <c r="F479" s="8" t="n">
        <v>387.97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>
        <f>IF(COUNT(D479:V479)=0,"",MIN(D479:V479))</f>
        <v/>
      </c>
      <c r="X479" s="8">
        <f>IF(COUNT(D479:V479)=0,"",MEDIAN(D479:V479))</f>
        <v/>
      </c>
      <c r="Y479" s="8">
        <f>IF(COUNT(D479:V479)=0,"",MAX(D479:V479))</f>
        <v/>
      </c>
      <c r="Z479" s="9">
        <f>IF(OR(W479="",W479=0),"",(Y479-W479)/W479)</f>
        <v/>
      </c>
      <c r="AA479" s="7">
        <f>IF(COUNT(D479:V479)=0,"",INDEX($D$1:$V$1,MATCH(MIN(D479:V479),D479:V479,0)))</f>
        <v/>
      </c>
      <c r="AB479" s="8" t="n">
        <v>487.49</v>
      </c>
      <c r="AC479" s="10" t="n">
        <v>3</v>
      </c>
    </row>
    <row r="480">
      <c r="A480" s="7" t="inlineStr">
        <is>
          <t>MAT-08-264</t>
        </is>
      </c>
      <c r="B480" s="4" t="inlineStr">
        <is>
          <t>Calzo de nivelación para cerámica 2 mm</t>
        </is>
      </c>
      <c r="C480" s="7" t="inlineStr">
        <is>
          <t>funda</t>
        </is>
      </c>
      <c r="D480" s="8" t="n">
        <v>767.39</v>
      </c>
      <c r="E480" s="8" t="n"/>
      <c r="F480" s="8" t="n">
        <v>404.16</v>
      </c>
      <c r="G480" s="8" t="n"/>
      <c r="H480" s="8" t="n">
        <v>1350</v>
      </c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>
        <f>IF(COUNT(D480:V480)=0,"",MIN(D480:V480))</f>
        <v/>
      </c>
      <c r="X480" s="8">
        <f>IF(COUNT(D480:V480)=0,"",MEDIAN(D480:V480))</f>
        <v/>
      </c>
      <c r="Y480" s="8">
        <f>IF(COUNT(D480:V480)=0,"",MAX(D480:V480))</f>
        <v/>
      </c>
      <c r="Z480" s="9">
        <f>IF(OR(W480="",W480=0),"",(Y480-W480)/W480)</f>
        <v/>
      </c>
      <c r="AA480" s="7">
        <f>IF(COUNT(D480:V480)=0,"",INDEX($D$1:$V$1,MATCH(MIN(D480:V480),D480:V480,0)))</f>
        <v/>
      </c>
      <c r="AB480" s="8" t="n">
        <v>1058.7</v>
      </c>
      <c r="AC480" s="10" t="n">
        <v>3</v>
      </c>
    </row>
    <row r="481">
      <c r="A481" s="7" t="inlineStr">
        <is>
          <t>MAT-08-265</t>
        </is>
      </c>
      <c r="B481" s="4" t="inlineStr">
        <is>
          <t>Calzo de nivelación para cerámica 3 mm</t>
        </is>
      </c>
      <c r="C481" s="7" t="inlineStr">
        <is>
          <t>funda</t>
        </is>
      </c>
      <c r="D481" s="8" t="n">
        <v>873.47</v>
      </c>
      <c r="E481" s="8" t="n"/>
      <c r="F481" s="8" t="n">
        <v>370.76</v>
      </c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>
        <f>IF(COUNT(D481:V481)=0,"",MIN(D481:V481))</f>
        <v/>
      </c>
      <c r="X481" s="8">
        <f>IF(COUNT(D481:V481)=0,"",MEDIAN(D481:V481))</f>
        <v/>
      </c>
      <c r="Y481" s="8">
        <f>IF(COUNT(D481:V481)=0,"",MAX(D481:V481))</f>
        <v/>
      </c>
      <c r="Z481" s="9">
        <f>IF(OR(W481="",W481=0),"",(Y481-W481)/W481)</f>
        <v/>
      </c>
      <c r="AA481" s="7">
        <f>IF(COUNT(D481:V481)=0,"",INDEX($D$1:$V$1,MATCH(MIN(D481:V481),D481:V481,0)))</f>
        <v/>
      </c>
      <c r="AB481" s="8" t="n">
        <v>655.48</v>
      </c>
      <c r="AC481" s="10" t="n">
        <v>2</v>
      </c>
    </row>
    <row r="482">
      <c r="A482" s="7" t="inlineStr">
        <is>
          <t>MAT-08-266</t>
        </is>
      </c>
      <c r="B482" s="4" t="inlineStr">
        <is>
          <t>Clip de nivelación para cerámica 1 mm</t>
        </is>
      </c>
      <c r="C482" s="7" t="inlineStr">
        <is>
          <t>funda</t>
        </is>
      </c>
      <c r="D482" s="8" t="n">
        <v>144.94</v>
      </c>
      <c r="E482" s="8" t="n"/>
      <c r="F482" s="8" t="n">
        <v>422.52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>
        <f>IF(COUNT(D482:V482)=0,"",MIN(D482:V482))</f>
        <v/>
      </c>
      <c r="X482" s="8">
        <f>IF(COUNT(D482:V482)=0,"",MEDIAN(D482:V482))</f>
        <v/>
      </c>
      <c r="Y482" s="8">
        <f>IF(COUNT(D482:V482)=0,"",MAX(D482:V482))</f>
        <v/>
      </c>
      <c r="Z482" s="9">
        <f>IF(OR(W482="",W482=0),"",(Y482-W482)/W482)</f>
        <v/>
      </c>
      <c r="AA482" s="7">
        <f>IF(COUNT(D482:V482)=0,"",INDEX($D$1:$V$1,MATCH(MIN(D482:V482),D482:V482,0)))</f>
        <v/>
      </c>
      <c r="AB482" s="8" t="n">
        <v>1094.69</v>
      </c>
      <c r="AC482" s="10" t="n">
        <v>2</v>
      </c>
    </row>
    <row r="483">
      <c r="A483" s="7" t="inlineStr">
        <is>
          <t>MAT-08-267</t>
        </is>
      </c>
      <c r="B483" s="4" t="inlineStr">
        <is>
          <t>Clip de nivelación para cerámica 1.5 mm</t>
        </is>
      </c>
      <c r="C483" s="7" t="inlineStr">
        <is>
          <t>funda</t>
        </is>
      </c>
      <c r="D483" s="8" t="n">
        <v>144.94</v>
      </c>
      <c r="E483" s="8" t="n"/>
      <c r="F483" s="8" t="n"/>
      <c r="G483" s="8" t="n"/>
      <c r="H483" s="8" t="n">
        <v>295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>
        <f>IF(COUNT(D483:V483)=0,"",MIN(D483:V483))</f>
        <v/>
      </c>
      <c r="X483" s="8">
        <f>IF(COUNT(D483:V483)=0,"",MEDIAN(D483:V483))</f>
        <v/>
      </c>
      <c r="Y483" s="8">
        <f>IF(COUNT(D483:V483)=0,"",MAX(D483:V483))</f>
        <v/>
      </c>
      <c r="Z483" s="9">
        <f>IF(OR(W483="",W483=0),"",(Y483-W483)/W483)</f>
        <v/>
      </c>
      <c r="AA483" s="7">
        <f>IF(COUNT(D483:V483)=0,"",INDEX($D$1:$V$1,MATCH(MIN(D483:V483),D483:V483,0)))</f>
        <v/>
      </c>
      <c r="AB483" s="8" t="n">
        <v>219.97</v>
      </c>
      <c r="AC483" s="10" t="n">
        <v>2</v>
      </c>
    </row>
    <row r="484">
      <c r="A484" s="7" t="inlineStr">
        <is>
          <t>MAT-08-268</t>
        </is>
      </c>
      <c r="B484" s="4" t="inlineStr">
        <is>
          <t>Clip de nivelación para cerámica 2 mm</t>
        </is>
      </c>
      <c r="C484" s="7" t="inlineStr">
        <is>
          <t>funda</t>
        </is>
      </c>
      <c r="D484" s="8" t="n">
        <v>144.94</v>
      </c>
      <c r="E484" s="8" t="n"/>
      <c r="F484" s="8" t="n">
        <v>422.52</v>
      </c>
      <c r="G484" s="8" t="n"/>
      <c r="H484" s="8" t="n">
        <v>249.99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>
        <f>IF(COUNT(D484:V484)=0,"",MIN(D484:V484))</f>
        <v/>
      </c>
      <c r="X484" s="8">
        <f>IF(COUNT(D484:V484)=0,"",MEDIAN(D484:V484))</f>
        <v/>
      </c>
      <c r="Y484" s="8">
        <f>IF(COUNT(D484:V484)=0,"",MAX(D484:V484))</f>
        <v/>
      </c>
      <c r="Z484" s="9">
        <f>IF(OR(W484="",W484=0),"",(Y484-W484)/W484)</f>
        <v/>
      </c>
      <c r="AA484" s="7">
        <f>IF(COUNT(D484:V484)=0,"",INDEX($D$1:$V$1,MATCH(MIN(D484:V484),D484:V484,0)))</f>
        <v/>
      </c>
      <c r="AB484" s="8" t="n">
        <v>1768.33</v>
      </c>
      <c r="AC484" s="10" t="n">
        <v>3</v>
      </c>
    </row>
    <row r="485">
      <c r="A485" s="7" t="inlineStr">
        <is>
          <t>MAT-08-269</t>
        </is>
      </c>
      <c r="B485" s="4" t="inlineStr">
        <is>
          <t>Clip de nivelación para cerámica 3 mm</t>
        </is>
      </c>
      <c r="C485" s="7" t="inlineStr">
        <is>
          <t>funda</t>
        </is>
      </c>
      <c r="D485" s="8" t="n"/>
      <c r="E485" s="8" t="n"/>
      <c r="F485" s="8" t="n">
        <v>405.61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>
        <f>IF(COUNT(D485:V485)=0,"",MIN(D485:V485))</f>
        <v/>
      </c>
      <c r="X485" s="8">
        <f>IF(COUNT(D485:V485)=0,"",MEDIAN(D485:V485))</f>
        <v/>
      </c>
      <c r="Y485" s="8">
        <f>IF(COUNT(D485:V485)=0,"",MAX(D485:V485))</f>
        <v/>
      </c>
      <c r="Z485" s="9">
        <f>IF(OR(W485="",W485=0),"",(Y485-W485)/W485)</f>
        <v/>
      </c>
      <c r="AA485" s="7">
        <f>IF(COUNT(D485:V485)=0,"",INDEX($D$1:$V$1,MATCH(MIN(D485:V485),D485:V485,0)))</f>
        <v/>
      </c>
      <c r="AB485" s="8" t="n">
        <v>1758.39</v>
      </c>
      <c r="AC485" s="10" t="n">
        <v>1</v>
      </c>
    </row>
    <row r="486">
      <c r="A486" s="7" t="inlineStr">
        <is>
          <t>MAT-08-270</t>
        </is>
      </c>
      <c r="B486" s="4" t="inlineStr">
        <is>
          <t>Cuña de nivelación para cerámica</t>
        </is>
      </c>
      <c r="C486" s="7" t="inlineStr">
        <is>
          <t>funda</t>
        </is>
      </c>
      <c r="D486" s="8" t="n">
        <v>358.87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>
        <f>IF(COUNT(D486:V486)=0,"",MIN(D486:V486))</f>
        <v/>
      </c>
      <c r="X486" s="8">
        <f>IF(COUNT(D486:V486)=0,"",MEDIAN(D486:V486))</f>
        <v/>
      </c>
      <c r="Y486" s="8">
        <f>IF(COUNT(D486:V486)=0,"",MAX(D486:V486))</f>
        <v/>
      </c>
      <c r="Z486" s="9">
        <f>IF(OR(W486="",W486=0),"",(Y486-W486)/W486)</f>
        <v/>
      </c>
      <c r="AA486" s="7">
        <f>IF(COUNT(D486:V486)=0,"",INDEX($D$1:$V$1,MATCH(MIN(D486:V486),D486:V486,0)))</f>
        <v/>
      </c>
      <c r="AB486" s="8" t="n">
        <v>602.14</v>
      </c>
      <c r="AC486" s="10" t="n">
        <v>1</v>
      </c>
    </row>
    <row r="487">
      <c r="A487" s="7" t="inlineStr">
        <is>
          <t>MAT-08-271</t>
        </is>
      </c>
      <c r="B487" s="4" t="inlineStr">
        <is>
          <t>Deck de WPC para exterior, 25 mm</t>
        </is>
      </c>
      <c r="C487" s="7" t="inlineStr">
        <is>
          <t>m²</t>
        </is>
      </c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>
        <v>3201.97</v>
      </c>
      <c r="R487" s="8" t="n"/>
      <c r="S487" s="8" t="n"/>
      <c r="T487" s="8" t="n"/>
      <c r="U487" s="8" t="n"/>
      <c r="V487" s="8" t="n"/>
      <c r="W487" s="8">
        <f>IF(COUNT(D487:V487)=0,"",MIN(D487:V487))</f>
        <v/>
      </c>
      <c r="X487" s="8">
        <f>IF(COUNT(D487:V487)=0,"",MEDIAN(D487:V487))</f>
        <v/>
      </c>
      <c r="Y487" s="8">
        <f>IF(COUNT(D487:V487)=0,"",MAX(D487:V487))</f>
        <v/>
      </c>
      <c r="Z487" s="9">
        <f>IF(OR(W487="",W487=0),"",(Y487-W487)/W487)</f>
        <v/>
      </c>
      <c r="AA487" s="7">
        <f>IF(COUNT(D487:V487)=0,"",INDEX($D$1:$V$1,MATCH(MIN(D487:V487),D487:V487,0)))</f>
        <v/>
      </c>
      <c r="AB487" s="8" t="n">
        <v>3201.97</v>
      </c>
      <c r="AC487" s="10" t="n">
        <v>1</v>
      </c>
    </row>
    <row r="488">
      <c r="A488" s="7" t="inlineStr">
        <is>
          <t>MAT-08-272</t>
        </is>
      </c>
      <c r="B488" s="4" t="inlineStr">
        <is>
          <t>Piso vinílico, 5.2 mm</t>
        </is>
      </c>
      <c r="C488" s="7" t="inlineStr">
        <is>
          <t>m²</t>
        </is>
      </c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>
        <v>1411.66</v>
      </c>
      <c r="R488" s="8" t="n"/>
      <c r="S488" s="8" t="n"/>
      <c r="T488" s="8" t="n"/>
      <c r="U488" s="8" t="n"/>
      <c r="V488" s="8" t="n"/>
      <c r="W488" s="8">
        <f>IF(COUNT(D488:V488)=0,"",MIN(D488:V488))</f>
        <v/>
      </c>
      <c r="X488" s="8">
        <f>IF(COUNT(D488:V488)=0,"",MEDIAN(D488:V488))</f>
        <v/>
      </c>
      <c r="Y488" s="8">
        <f>IF(COUNT(D488:V488)=0,"",MAX(D488:V488))</f>
        <v/>
      </c>
      <c r="Z488" s="9">
        <f>IF(OR(W488="",W488=0),"",(Y488-W488)/W488)</f>
        <v/>
      </c>
      <c r="AA488" s="7">
        <f>IF(COUNT(D488:V488)=0,"",INDEX($D$1:$V$1,MATCH(MIN(D488:V488),D488:V488,0)))</f>
        <v/>
      </c>
      <c r="AB488" s="8" t="n">
        <v>1411.66</v>
      </c>
      <c r="AC488" s="10" t="n">
        <v>1</v>
      </c>
    </row>
    <row r="489">
      <c r="A489" s="7" t="inlineStr">
        <is>
          <t>MAT-08-273</t>
        </is>
      </c>
      <c r="B489" s="4" t="inlineStr">
        <is>
          <t>Piso vinílico, 6 mm</t>
        </is>
      </c>
      <c r="C489" s="7" t="inlineStr">
        <is>
          <t>m²</t>
        </is>
      </c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>
        <v>1411.66</v>
      </c>
      <c r="R489" s="8" t="n"/>
      <c r="S489" s="8" t="n"/>
      <c r="T489" s="8" t="n"/>
      <c r="U489" s="8" t="n"/>
      <c r="V489" s="8" t="n"/>
      <c r="W489" s="8">
        <f>IF(COUNT(D489:V489)=0,"",MIN(D489:V489))</f>
        <v/>
      </c>
      <c r="X489" s="8">
        <f>IF(COUNT(D489:V489)=0,"",MEDIAN(D489:V489))</f>
        <v/>
      </c>
      <c r="Y489" s="8">
        <f>IF(COUNT(D489:V489)=0,"",MAX(D489:V489))</f>
        <v/>
      </c>
      <c r="Z489" s="9">
        <f>IF(OR(W489="",W489=0),"",(Y489-W489)/W489)</f>
        <v/>
      </c>
      <c r="AA489" s="7">
        <f>IF(COUNT(D489:V489)=0,"",INDEX($D$1:$V$1,MATCH(MIN(D489:V489),D489:V489,0)))</f>
        <v/>
      </c>
      <c r="AB489" s="8" t="n">
        <v>1411.66</v>
      </c>
      <c r="AC489" s="10" t="n">
        <v>1</v>
      </c>
    </row>
    <row r="490">
      <c r="A490" s="7" t="inlineStr">
        <is>
          <t>MAT-08-274</t>
        </is>
      </c>
      <c r="B490" s="4" t="inlineStr">
        <is>
          <t>Panel de vinil para pared, 4.5 mm</t>
        </is>
      </c>
      <c r="C490" s="7" t="inlineStr">
        <is>
          <t>m²</t>
        </is>
      </c>
      <c r="D490" s="8" t="n"/>
      <c r="E490" s="8" t="n"/>
      <c r="F490" s="8" t="n">
        <v>857.6799999999999</v>
      </c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>
        <f>IF(COUNT(D490:V490)=0,"",MIN(D490:V490))</f>
        <v/>
      </c>
      <c r="X490" s="8">
        <f>IF(COUNT(D490:V490)=0,"",MEDIAN(D490:V490))</f>
        <v/>
      </c>
      <c r="Y490" s="8">
        <f>IF(COUNT(D490:V490)=0,"",MAX(D490:V490))</f>
        <v/>
      </c>
      <c r="Z490" s="9">
        <f>IF(OR(W490="",W490=0),"",(Y490-W490)/W490)</f>
        <v/>
      </c>
      <c r="AA490" s="7">
        <f>IF(COUNT(D490:V490)=0,"",INDEX($D$1:$V$1,MATCH(MIN(D490:V490),D490:V490,0)))</f>
        <v/>
      </c>
      <c r="AB490" s="8" t="n">
        <v>1537.07</v>
      </c>
      <c r="AC490" s="10" t="n">
        <v>1</v>
      </c>
    </row>
    <row r="491">
      <c r="A491" s="7" t="inlineStr">
        <is>
          <t>MAT-08-275</t>
        </is>
      </c>
      <c r="B491" s="4" t="inlineStr">
        <is>
          <t>Adoquín de hormigón tipo cuadrado</t>
        </is>
      </c>
      <c r="C491" s="7" t="inlineStr">
        <is>
          <t>m²</t>
        </is>
      </c>
      <c r="D491" s="8" t="n">
        <v>874.38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>
        <f>IF(COUNT(D491:V491)=0,"",MIN(D491:V491))</f>
        <v/>
      </c>
      <c r="X491" s="8">
        <f>IF(COUNT(D491:V491)=0,"",MEDIAN(D491:V491))</f>
        <v/>
      </c>
      <c r="Y491" s="8">
        <f>IF(COUNT(D491:V491)=0,"",MAX(D491:V491))</f>
        <v/>
      </c>
      <c r="Z491" s="9">
        <f>IF(OR(W491="",W491=0),"",(Y491-W491)/W491)</f>
        <v/>
      </c>
      <c r="AA491" s="7">
        <f>IF(COUNT(D491:V491)=0,"",INDEX($D$1:$V$1,MATCH(MIN(D491:V491),D491:V491,0)))</f>
        <v/>
      </c>
      <c r="AB491" s="8" t="n">
        <v>874.38</v>
      </c>
      <c r="AC491" s="10" t="n">
        <v>1</v>
      </c>
    </row>
    <row r="492">
      <c r="A492" s="7" t="inlineStr">
        <is>
          <t>MAT-08-276</t>
        </is>
      </c>
      <c r="B492" s="4" t="inlineStr">
        <is>
          <t>Adoquín de hormigón tipo flecha</t>
        </is>
      </c>
      <c r="C492" s="7" t="inlineStr">
        <is>
          <t>m²</t>
        </is>
      </c>
      <c r="D492" s="8" t="n">
        <v>812.28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>
        <f>IF(COUNT(D492:V492)=0,"",MIN(D492:V492))</f>
        <v/>
      </c>
      <c r="X492" s="8">
        <f>IF(COUNT(D492:V492)=0,"",MEDIAN(D492:V492))</f>
        <v/>
      </c>
      <c r="Y492" s="8">
        <f>IF(COUNT(D492:V492)=0,"",MAX(D492:V492))</f>
        <v/>
      </c>
      <c r="Z492" s="9">
        <f>IF(OR(W492="",W492=0),"",(Y492-W492)/W492)</f>
        <v/>
      </c>
      <c r="AA492" s="7">
        <f>IF(COUNT(D492:V492)=0,"",INDEX($D$1:$V$1,MATCH(MIN(D492:V492),D492:V492,0)))</f>
        <v/>
      </c>
      <c r="AB492" s="8" t="n">
        <v>812.28</v>
      </c>
      <c r="AC492" s="10" t="n">
        <v>1</v>
      </c>
    </row>
    <row r="493">
      <c r="A493" s="7" t="inlineStr">
        <is>
          <t>MAT-08-277</t>
        </is>
      </c>
      <c r="B493" s="4" t="inlineStr">
        <is>
          <t>Adoquín de hormigón tipo ladrillo</t>
        </is>
      </c>
      <c r="C493" s="7" t="inlineStr">
        <is>
          <t>m²</t>
        </is>
      </c>
      <c r="D493" s="8" t="n">
        <v>850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>
        <f>IF(COUNT(D493:V493)=0,"",MIN(D493:V493))</f>
        <v/>
      </c>
      <c r="X493" s="8">
        <f>IF(COUNT(D493:V493)=0,"",MEDIAN(D493:V493))</f>
        <v/>
      </c>
      <c r="Y493" s="8">
        <f>IF(COUNT(D493:V493)=0,"",MAX(D493:V493))</f>
        <v/>
      </c>
      <c r="Z493" s="9">
        <f>IF(OR(W493="",W493=0),"",(Y493-W493)/W493)</f>
        <v/>
      </c>
      <c r="AA493" s="7">
        <f>IF(COUNT(D493:V493)=0,"",INDEX($D$1:$V$1,MATCH(MIN(D493:V493),D493:V493,0)))</f>
        <v/>
      </c>
      <c r="AB493" s="8" t="n">
        <v>850</v>
      </c>
      <c r="AC493" s="10" t="n">
        <v>1</v>
      </c>
    </row>
    <row r="494">
      <c r="A494" s="7" t="inlineStr">
        <is>
          <t>MAT-08-278</t>
        </is>
      </c>
      <c r="B494" s="4" t="inlineStr">
        <is>
          <t>Adoquín de hormigón tipo raqueta</t>
        </is>
      </c>
      <c r="C494" s="7" t="inlineStr">
        <is>
          <t>m²</t>
        </is>
      </c>
      <c r="D494" s="8" t="n">
        <v>872.87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>
        <f>IF(COUNT(D494:V494)=0,"",MIN(D494:V494))</f>
        <v/>
      </c>
      <c r="X494" s="8">
        <f>IF(COUNT(D494:V494)=0,"",MEDIAN(D494:V494))</f>
        <v/>
      </c>
      <c r="Y494" s="8">
        <f>IF(COUNT(D494:V494)=0,"",MAX(D494:V494))</f>
        <v/>
      </c>
      <c r="Z494" s="9">
        <f>IF(OR(W494="",W494=0),"",(Y494-W494)/W494)</f>
        <v/>
      </c>
      <c r="AA494" s="7">
        <f>IF(COUNT(D494:V494)=0,"",INDEX($D$1:$V$1,MATCH(MIN(D494:V494),D494:V494,0)))</f>
        <v/>
      </c>
      <c r="AB494" s="8" t="n">
        <v>872.87</v>
      </c>
      <c r="AC494" s="10" t="n">
        <v>1</v>
      </c>
    </row>
    <row r="495">
      <c r="A495" s="7" t="inlineStr">
        <is>
          <t>MAT-08-279</t>
        </is>
      </c>
      <c r="B495" s="4" t="inlineStr">
        <is>
          <t>Polvo de color para mosaico amarillo comercial, 1 lb</t>
        </is>
      </c>
      <c r="C495" s="7" t="inlineStr">
        <is>
          <t>unidad</t>
        </is>
      </c>
      <c r="D495" s="8" t="n">
        <v>55.94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>
        <f>IF(COUNT(D495:V495)=0,"",MIN(D495:V495))</f>
        <v/>
      </c>
      <c r="X495" s="8">
        <f>IF(COUNT(D495:V495)=0,"",MEDIAN(D495:V495))</f>
        <v/>
      </c>
      <c r="Y495" s="8">
        <f>IF(COUNT(D495:V495)=0,"",MAX(D495:V495))</f>
        <v/>
      </c>
      <c r="Z495" s="9">
        <f>IF(OR(W495="",W495=0),"",(Y495-W495)/W495)</f>
        <v/>
      </c>
      <c r="AA495" s="7">
        <f>IF(COUNT(D495:V495)=0,"",INDEX($D$1:$V$1,MATCH(MIN(D495:V495),D495:V495,0)))</f>
        <v/>
      </c>
      <c r="AB495" s="8" t="n">
        <v>55.94</v>
      </c>
      <c r="AC495" s="10" t="n">
        <v>1</v>
      </c>
    </row>
    <row r="496">
      <c r="A496" s="7" t="inlineStr">
        <is>
          <t>MAT-08-280</t>
        </is>
      </c>
      <c r="B496" s="4" t="inlineStr">
        <is>
          <t>Polvo de color para mosaico amarillo industrial, 1 lb</t>
        </is>
      </c>
      <c r="C496" s="7" t="inlineStr">
        <is>
          <t>unidad</t>
        </is>
      </c>
      <c r="D496" s="8" t="n">
        <v>153.81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>
        <f>IF(COUNT(D496:V496)=0,"",MIN(D496:V496))</f>
        <v/>
      </c>
      <c r="X496" s="8">
        <f>IF(COUNT(D496:V496)=0,"",MEDIAN(D496:V496))</f>
        <v/>
      </c>
      <c r="Y496" s="8">
        <f>IF(COUNT(D496:V496)=0,"",MAX(D496:V496))</f>
        <v/>
      </c>
      <c r="Z496" s="9">
        <f>IF(OR(W496="",W496=0),"",(Y496-W496)/W496)</f>
        <v/>
      </c>
      <c r="AA496" s="7">
        <f>IF(COUNT(D496:V496)=0,"",INDEX($D$1:$V$1,MATCH(MIN(D496:V496),D496:V496,0)))</f>
        <v/>
      </c>
      <c r="AB496" s="8" t="n">
        <v>153.81</v>
      </c>
      <c r="AC496" s="10" t="n">
        <v>1</v>
      </c>
    </row>
    <row r="497">
      <c r="A497" s="7" t="inlineStr">
        <is>
          <t>MAT-08-281</t>
        </is>
      </c>
      <c r="B497" s="4" t="inlineStr">
        <is>
          <t>Polvo de color para mosaico azul comercial, 1 lb</t>
        </is>
      </c>
      <c r="C497" s="7" t="inlineStr">
        <is>
          <t>unidad</t>
        </is>
      </c>
      <c r="D497" s="8" t="n">
        <v>82.72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>
        <f>IF(COUNT(D497:V497)=0,"",MIN(D497:V497))</f>
        <v/>
      </c>
      <c r="X497" s="8">
        <f>IF(COUNT(D497:V497)=0,"",MEDIAN(D497:V497))</f>
        <v/>
      </c>
      <c r="Y497" s="8">
        <f>IF(COUNT(D497:V497)=0,"",MAX(D497:V497))</f>
        <v/>
      </c>
      <c r="Z497" s="9">
        <f>IF(OR(W497="",W497=0),"",(Y497-W497)/W497)</f>
        <v/>
      </c>
      <c r="AA497" s="7">
        <f>IF(COUNT(D497:V497)=0,"",INDEX($D$1:$V$1,MATCH(MIN(D497:V497),D497:V497,0)))</f>
        <v/>
      </c>
      <c r="AB497" s="8" t="n">
        <v>82.72</v>
      </c>
      <c r="AC497" s="10" t="n">
        <v>1</v>
      </c>
    </row>
    <row r="498">
      <c r="A498" s="7" t="inlineStr">
        <is>
          <t>MAT-08-282</t>
        </is>
      </c>
      <c r="B498" s="4" t="inlineStr">
        <is>
          <t>Polvo de color para mosaico azul industrial, 1 lb</t>
        </is>
      </c>
      <c r="C498" s="7" t="inlineStr">
        <is>
          <t>unidad</t>
        </is>
      </c>
      <c r="D498" s="8" t="n">
        <v>162.49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>
        <f>IF(COUNT(D498:V498)=0,"",MIN(D498:V498))</f>
        <v/>
      </c>
      <c r="X498" s="8">
        <f>IF(COUNT(D498:V498)=0,"",MEDIAN(D498:V498))</f>
        <v/>
      </c>
      <c r="Y498" s="8">
        <f>IF(COUNT(D498:V498)=0,"",MAX(D498:V498))</f>
        <v/>
      </c>
      <c r="Z498" s="9">
        <f>IF(OR(W498="",W498=0),"",(Y498-W498)/W498)</f>
        <v/>
      </c>
      <c r="AA498" s="7">
        <f>IF(COUNT(D498:V498)=0,"",INDEX($D$1:$V$1,MATCH(MIN(D498:V498),D498:V498,0)))</f>
        <v/>
      </c>
      <c r="AB498" s="8" t="n">
        <v>162.49</v>
      </c>
      <c r="AC498" s="10" t="n">
        <v>1</v>
      </c>
    </row>
    <row r="499">
      <c r="A499" s="7" t="inlineStr">
        <is>
          <t>MAT-08-283</t>
        </is>
      </c>
      <c r="B499" s="4" t="inlineStr">
        <is>
          <t>Polvo de color para mosaico negro comercial, 1 lb</t>
        </is>
      </c>
      <c r="C499" s="7" t="inlineStr">
        <is>
          <t>unidad</t>
        </is>
      </c>
      <c r="D499" s="8" t="n">
        <v>90.79000000000001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>
        <f>IF(COUNT(D499:V499)=0,"",MIN(D499:V499))</f>
        <v/>
      </c>
      <c r="X499" s="8">
        <f>IF(COUNT(D499:V499)=0,"",MEDIAN(D499:V499))</f>
        <v/>
      </c>
      <c r="Y499" s="8">
        <f>IF(COUNT(D499:V499)=0,"",MAX(D499:V499))</f>
        <v/>
      </c>
      <c r="Z499" s="9">
        <f>IF(OR(W499="",W499=0),"",(Y499-W499)/W499)</f>
        <v/>
      </c>
      <c r="AA499" s="7">
        <f>IF(COUNT(D499:V499)=0,"",INDEX($D$1:$V$1,MATCH(MIN(D499:V499),D499:V499,0)))</f>
        <v/>
      </c>
      <c r="AB499" s="8" t="n">
        <v>90.79000000000001</v>
      </c>
      <c r="AC499" s="10" t="n">
        <v>1</v>
      </c>
    </row>
    <row r="500">
      <c r="A500" s="7" t="inlineStr">
        <is>
          <t>MAT-08-284</t>
        </is>
      </c>
      <c r="B500" s="4" t="inlineStr">
        <is>
          <t>Polvo de color para mosaico negro industrial, 1 lb</t>
        </is>
      </c>
      <c r="C500" s="7" t="inlineStr">
        <is>
          <t>unidad</t>
        </is>
      </c>
      <c r="D500" s="8" t="n">
        <v>129.29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>
        <f>IF(COUNT(D500:V500)=0,"",MIN(D500:V500))</f>
        <v/>
      </c>
      <c r="X500" s="8">
        <f>IF(COUNT(D500:V500)=0,"",MEDIAN(D500:V500))</f>
        <v/>
      </c>
      <c r="Y500" s="8">
        <f>IF(COUNT(D500:V500)=0,"",MAX(D500:V500))</f>
        <v/>
      </c>
      <c r="Z500" s="9">
        <f>IF(OR(W500="",W500=0),"",(Y500-W500)/W500)</f>
        <v/>
      </c>
      <c r="AA500" s="7">
        <f>IF(COUNT(D500:V500)=0,"",INDEX($D$1:$V$1,MATCH(MIN(D500:V500),D500:V500,0)))</f>
        <v/>
      </c>
      <c r="AB500" s="8" t="n">
        <v>129.29</v>
      </c>
      <c r="AC500" s="10" t="n">
        <v>1</v>
      </c>
    </row>
    <row r="501">
      <c r="A501" s="7" t="inlineStr">
        <is>
          <t>MAT-08-285</t>
        </is>
      </c>
      <c r="B501" s="4" t="inlineStr">
        <is>
          <t>Polvo de color para mosaico rojo comercial, 1 lb</t>
        </is>
      </c>
      <c r="C501" s="7" t="inlineStr">
        <is>
          <t>unidad</t>
        </is>
      </c>
      <c r="D501" s="8" t="n">
        <v>66.5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>
        <f>IF(COUNT(D501:V501)=0,"",MIN(D501:V501))</f>
        <v/>
      </c>
      <c r="X501" s="8">
        <f>IF(COUNT(D501:V501)=0,"",MEDIAN(D501:V501))</f>
        <v/>
      </c>
      <c r="Y501" s="8">
        <f>IF(COUNT(D501:V501)=0,"",MAX(D501:V501))</f>
        <v/>
      </c>
      <c r="Z501" s="9">
        <f>IF(OR(W501="",W501=0),"",(Y501-W501)/W501)</f>
        <v/>
      </c>
      <c r="AA501" s="7">
        <f>IF(COUNT(D501:V501)=0,"",INDEX($D$1:$V$1,MATCH(MIN(D501:V501),D501:V501,0)))</f>
        <v/>
      </c>
      <c r="AB501" s="8" t="n">
        <v>66.5</v>
      </c>
      <c r="AC501" s="10" t="n">
        <v>1</v>
      </c>
    </row>
    <row r="502">
      <c r="A502" s="7" t="inlineStr">
        <is>
          <t>MAT-08-286</t>
        </is>
      </c>
      <c r="B502" s="4" t="inlineStr">
        <is>
          <t>Polvo de color para mosaico rojo industrial, 1 lb</t>
        </is>
      </c>
      <c r="C502" s="7" t="inlineStr">
        <is>
          <t>unidad</t>
        </is>
      </c>
      <c r="D502" s="8" t="n">
        <v>106.37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>
        <f>IF(COUNT(D502:V502)=0,"",MIN(D502:V502))</f>
        <v/>
      </c>
      <c r="X502" s="8">
        <f>IF(COUNT(D502:V502)=0,"",MEDIAN(D502:V502))</f>
        <v/>
      </c>
      <c r="Y502" s="8">
        <f>IF(COUNT(D502:V502)=0,"",MAX(D502:V502))</f>
        <v/>
      </c>
      <c r="Z502" s="9">
        <f>IF(OR(W502="",W502=0),"",(Y502-W502)/W502)</f>
        <v/>
      </c>
      <c r="AA502" s="7">
        <f>IF(COUNT(D502:V502)=0,"",INDEX($D$1:$V$1,MATCH(MIN(D502:V502),D502:V502,0)))</f>
        <v/>
      </c>
      <c r="AB502" s="8" t="n">
        <v>106.37</v>
      </c>
      <c r="AC502" s="10" t="n">
        <v>1</v>
      </c>
    </row>
    <row r="503">
      <c r="A503" s="7" t="inlineStr">
        <is>
          <t>MAT-08-287</t>
        </is>
      </c>
      <c r="B503" s="4" t="inlineStr">
        <is>
          <t>Polvo de color para mosaico verde comercial, 1 lb</t>
        </is>
      </c>
      <c r="C503" s="7" t="inlineStr">
        <is>
          <t>unidad</t>
        </is>
      </c>
      <c r="D503" s="8" t="n">
        <v>78.84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>
        <f>IF(COUNT(D503:V503)=0,"",MIN(D503:V503))</f>
        <v/>
      </c>
      <c r="X503" s="8">
        <f>IF(COUNT(D503:V503)=0,"",MEDIAN(D503:V503))</f>
        <v/>
      </c>
      <c r="Y503" s="8">
        <f>IF(COUNT(D503:V503)=0,"",MAX(D503:V503))</f>
        <v/>
      </c>
      <c r="Z503" s="9">
        <f>IF(OR(W503="",W503=0),"",(Y503-W503)/W503)</f>
        <v/>
      </c>
      <c r="AA503" s="7">
        <f>IF(COUNT(D503:V503)=0,"",INDEX($D$1:$V$1,MATCH(MIN(D503:V503),D503:V503,0)))</f>
        <v/>
      </c>
      <c r="AB503" s="8" t="n">
        <v>78.84</v>
      </c>
      <c r="AC503" s="10" t="n">
        <v>1</v>
      </c>
    </row>
    <row r="504">
      <c r="A504" s="7" t="inlineStr">
        <is>
          <t>MAT-08-288</t>
        </is>
      </c>
      <c r="B504" s="4" t="inlineStr">
        <is>
          <t>Polvo de color para mosaico verde industrial, 1 lb</t>
        </is>
      </c>
      <c r="C504" s="7" t="inlineStr">
        <is>
          <t>unidad</t>
        </is>
      </c>
      <c r="D504" s="8" t="n">
        <v>180.39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>
        <f>IF(COUNT(D504:V504)=0,"",MIN(D504:V504))</f>
        <v/>
      </c>
      <c r="X504" s="8">
        <f>IF(COUNT(D504:V504)=0,"",MEDIAN(D504:V504))</f>
        <v/>
      </c>
      <c r="Y504" s="8">
        <f>IF(COUNT(D504:V504)=0,"",MAX(D504:V504))</f>
        <v/>
      </c>
      <c r="Z504" s="9">
        <f>IF(OR(W504="",W504=0),"",(Y504-W504)/W504)</f>
        <v/>
      </c>
      <c r="AA504" s="7">
        <f>IF(COUNT(D504:V504)=0,"",INDEX($D$1:$V$1,MATCH(MIN(D504:V504),D504:V504,0)))</f>
        <v/>
      </c>
      <c r="AB504" s="8" t="n">
        <v>180.39</v>
      </c>
      <c r="AC504" s="10" t="n">
        <v>1</v>
      </c>
    </row>
    <row r="505">
      <c r="A505" s="7" t="inlineStr">
        <is>
          <t>MAT-08-289</t>
        </is>
      </c>
      <c r="B505" s="4" t="inlineStr">
        <is>
          <t>Polvo de color para mosaico amarillo industrial, 3 lb</t>
        </is>
      </c>
      <c r="C505" s="7" t="inlineStr">
        <is>
          <t>unidad</t>
        </is>
      </c>
      <c r="D505" s="8" t="n">
        <v>460.92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>
        <f>IF(COUNT(D505:V505)=0,"",MIN(D505:V505))</f>
        <v/>
      </c>
      <c r="X505" s="8">
        <f>IF(COUNT(D505:V505)=0,"",MEDIAN(D505:V505))</f>
        <v/>
      </c>
      <c r="Y505" s="8">
        <f>IF(COUNT(D505:V505)=0,"",MAX(D505:V505))</f>
        <v/>
      </c>
      <c r="Z505" s="9">
        <f>IF(OR(W505="",W505=0),"",(Y505-W505)/W505)</f>
        <v/>
      </c>
      <c r="AA505" s="7">
        <f>IF(COUNT(D505:V505)=0,"",INDEX($D$1:$V$1,MATCH(MIN(D505:V505),D505:V505,0)))</f>
        <v/>
      </c>
      <c r="AB505" s="8" t="n">
        <v>460.92</v>
      </c>
      <c r="AC505" s="10" t="n">
        <v>1</v>
      </c>
    </row>
    <row r="506">
      <c r="A506" s="7" t="inlineStr">
        <is>
          <t>MAT-08-290</t>
        </is>
      </c>
      <c r="B506" s="4" t="inlineStr">
        <is>
          <t>Polvo de color para mosaico amarillo comercial, 5 lb</t>
        </is>
      </c>
      <c r="C506" s="7" t="inlineStr">
        <is>
          <t>unidad</t>
        </is>
      </c>
      <c r="D506" s="8" t="n">
        <v>280.64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>
        <f>IF(COUNT(D506:V506)=0,"",MIN(D506:V506))</f>
        <v/>
      </c>
      <c r="X506" s="8">
        <f>IF(COUNT(D506:V506)=0,"",MEDIAN(D506:V506))</f>
        <v/>
      </c>
      <c r="Y506" s="8">
        <f>IF(COUNT(D506:V506)=0,"",MAX(D506:V506))</f>
        <v/>
      </c>
      <c r="Z506" s="9">
        <f>IF(OR(W506="",W506=0),"",(Y506-W506)/W506)</f>
        <v/>
      </c>
      <c r="AA506" s="7">
        <f>IF(COUNT(D506:V506)=0,"",INDEX($D$1:$V$1,MATCH(MIN(D506:V506),D506:V506,0)))</f>
        <v/>
      </c>
      <c r="AB506" s="8" t="n">
        <v>280.64</v>
      </c>
      <c r="AC506" s="10" t="n">
        <v>1</v>
      </c>
    </row>
    <row r="507">
      <c r="A507" s="7" t="inlineStr">
        <is>
          <t>MAT-08-291</t>
        </is>
      </c>
      <c r="B507" s="4" t="inlineStr">
        <is>
          <t>Polvo de color para mosaico azul comercial, 5 lb</t>
        </is>
      </c>
      <c r="C507" s="7" t="inlineStr">
        <is>
          <t>unidad</t>
        </is>
      </c>
      <c r="D507" s="8" t="n">
        <v>367.96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>
        <f>IF(COUNT(D507:V507)=0,"",MIN(D507:V507))</f>
        <v/>
      </c>
      <c r="X507" s="8">
        <f>IF(COUNT(D507:V507)=0,"",MEDIAN(D507:V507))</f>
        <v/>
      </c>
      <c r="Y507" s="8">
        <f>IF(COUNT(D507:V507)=0,"",MAX(D507:V507))</f>
        <v/>
      </c>
      <c r="Z507" s="9">
        <f>IF(OR(W507="",W507=0),"",(Y507-W507)/W507)</f>
        <v/>
      </c>
      <c r="AA507" s="7">
        <f>IF(COUNT(D507:V507)=0,"",INDEX($D$1:$V$1,MATCH(MIN(D507:V507),D507:V507,0)))</f>
        <v/>
      </c>
      <c r="AB507" s="8" t="n">
        <v>367.96</v>
      </c>
      <c r="AC507" s="10" t="n">
        <v>1</v>
      </c>
    </row>
    <row r="508">
      <c r="A508" s="7" t="inlineStr">
        <is>
          <t>MAT-08-292</t>
        </is>
      </c>
      <c r="B508" s="4" t="inlineStr">
        <is>
          <t>Polvo de color para mosaico azul industrial, 5 lb</t>
        </is>
      </c>
      <c r="C508" s="7" t="inlineStr">
        <is>
          <t>unidad</t>
        </is>
      </c>
      <c r="D508" s="8" t="n">
        <v>813.47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>
        <f>IF(COUNT(D508:V508)=0,"",MIN(D508:V508))</f>
        <v/>
      </c>
      <c r="X508" s="8">
        <f>IF(COUNT(D508:V508)=0,"",MEDIAN(D508:V508))</f>
        <v/>
      </c>
      <c r="Y508" s="8">
        <f>IF(COUNT(D508:V508)=0,"",MAX(D508:V508))</f>
        <v/>
      </c>
      <c r="Z508" s="9">
        <f>IF(OR(W508="",W508=0),"",(Y508-W508)/W508)</f>
        <v/>
      </c>
      <c r="AA508" s="7">
        <f>IF(COUNT(D508:V508)=0,"",INDEX($D$1:$V$1,MATCH(MIN(D508:V508),D508:V508,0)))</f>
        <v/>
      </c>
      <c r="AB508" s="8" t="n">
        <v>813.47</v>
      </c>
      <c r="AC508" s="10" t="n">
        <v>1</v>
      </c>
    </row>
    <row r="509">
      <c r="A509" s="7" t="inlineStr">
        <is>
          <t>MAT-08-293</t>
        </is>
      </c>
      <c r="B509" s="4" t="inlineStr">
        <is>
          <t>Polvo de color para mosaico negro comercial, 5 lb</t>
        </is>
      </c>
      <c r="C509" s="7" t="inlineStr">
        <is>
          <t>unidad</t>
        </is>
      </c>
      <c r="D509" s="8" t="n">
        <v>406.73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>
        <f>IF(COUNT(D509:V509)=0,"",MIN(D509:V509))</f>
        <v/>
      </c>
      <c r="X509" s="8">
        <f>IF(COUNT(D509:V509)=0,"",MEDIAN(D509:V509))</f>
        <v/>
      </c>
      <c r="Y509" s="8">
        <f>IF(COUNT(D509:V509)=0,"",MAX(D509:V509))</f>
        <v/>
      </c>
      <c r="Z509" s="9">
        <f>IF(OR(W509="",W509=0),"",(Y509-W509)/W509)</f>
        <v/>
      </c>
      <c r="AA509" s="7">
        <f>IF(COUNT(D509:V509)=0,"",INDEX($D$1:$V$1,MATCH(MIN(D509:V509),D509:V509,0)))</f>
        <v/>
      </c>
      <c r="AB509" s="8" t="n">
        <v>406.73</v>
      </c>
      <c r="AC509" s="10" t="n">
        <v>1</v>
      </c>
    </row>
    <row r="510">
      <c r="A510" s="7" t="inlineStr">
        <is>
          <t>MAT-08-294</t>
        </is>
      </c>
      <c r="B510" s="4" t="inlineStr">
        <is>
          <t>Polvo de color para mosaico negro industrial, 5 lb</t>
        </is>
      </c>
      <c r="C510" s="7" t="inlineStr">
        <is>
          <t>unidad</t>
        </is>
      </c>
      <c r="D510" s="8" t="n">
        <v>647.51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>
        <f>IF(COUNT(D510:V510)=0,"",MIN(D510:V510))</f>
        <v/>
      </c>
      <c r="X510" s="8">
        <f>IF(COUNT(D510:V510)=0,"",MEDIAN(D510:V510))</f>
        <v/>
      </c>
      <c r="Y510" s="8">
        <f>IF(COUNT(D510:V510)=0,"",MAX(D510:V510))</f>
        <v/>
      </c>
      <c r="Z510" s="9">
        <f>IF(OR(W510="",W510=0),"",(Y510-W510)/W510)</f>
        <v/>
      </c>
      <c r="AA510" s="7">
        <f>IF(COUNT(D510:V510)=0,"",INDEX($D$1:$V$1,MATCH(MIN(D510:V510),D510:V510,0)))</f>
        <v/>
      </c>
      <c r="AB510" s="8" t="n">
        <v>647.51</v>
      </c>
      <c r="AC510" s="10" t="n">
        <v>1</v>
      </c>
    </row>
    <row r="511">
      <c r="A511" s="7" t="inlineStr">
        <is>
          <t>MAT-08-295</t>
        </is>
      </c>
      <c r="B511" s="4" t="inlineStr">
        <is>
          <t>Polvo de color para mosaico rojo comercial, 5 lb</t>
        </is>
      </c>
      <c r="C511" s="7" t="inlineStr">
        <is>
          <t>unidad</t>
        </is>
      </c>
      <c r="D511" s="8" t="n">
        <v>333.56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>
        <f>IF(COUNT(D511:V511)=0,"",MIN(D511:V511))</f>
        <v/>
      </c>
      <c r="X511" s="8">
        <f>IF(COUNT(D511:V511)=0,"",MEDIAN(D511:V511))</f>
        <v/>
      </c>
      <c r="Y511" s="8">
        <f>IF(COUNT(D511:V511)=0,"",MAX(D511:V511))</f>
        <v/>
      </c>
      <c r="Z511" s="9">
        <f>IF(OR(W511="",W511=0),"",(Y511-W511)/W511)</f>
        <v/>
      </c>
      <c r="AA511" s="7">
        <f>IF(COUNT(D511:V511)=0,"",INDEX($D$1:$V$1,MATCH(MIN(D511:V511),D511:V511,0)))</f>
        <v/>
      </c>
      <c r="AB511" s="8" t="n">
        <v>333.56</v>
      </c>
      <c r="AC511" s="10" t="n">
        <v>1</v>
      </c>
    </row>
    <row r="512">
      <c r="A512" s="7" t="inlineStr">
        <is>
          <t>MAT-08-296</t>
        </is>
      </c>
      <c r="B512" s="4" t="inlineStr">
        <is>
          <t>Polvo de color para mosaico rojo industrial, 5 lb</t>
        </is>
      </c>
      <c r="C512" s="7" t="inlineStr">
        <is>
          <t>unidad</t>
        </is>
      </c>
      <c r="D512" s="8" t="n">
        <v>472.9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>
        <f>IF(COUNT(D512:V512)=0,"",MIN(D512:V512))</f>
        <v/>
      </c>
      <c r="X512" s="8">
        <f>IF(COUNT(D512:V512)=0,"",MEDIAN(D512:V512))</f>
        <v/>
      </c>
      <c r="Y512" s="8">
        <f>IF(COUNT(D512:V512)=0,"",MAX(D512:V512))</f>
        <v/>
      </c>
      <c r="Z512" s="9">
        <f>IF(OR(W512="",W512=0),"",(Y512-W512)/W512)</f>
        <v/>
      </c>
      <c r="AA512" s="7">
        <f>IF(COUNT(D512:V512)=0,"",INDEX($D$1:$V$1,MATCH(MIN(D512:V512),D512:V512,0)))</f>
        <v/>
      </c>
      <c r="AB512" s="8" t="n">
        <v>472.9</v>
      </c>
      <c r="AC512" s="10" t="n">
        <v>1</v>
      </c>
    </row>
    <row r="513">
      <c r="A513" s="7" t="inlineStr">
        <is>
          <t>MAT-08-297</t>
        </is>
      </c>
      <c r="B513" s="4" t="inlineStr">
        <is>
          <t>Polvo de color para mosaico verde comercial, 5 lb</t>
        </is>
      </c>
      <c r="C513" s="7" t="inlineStr">
        <is>
          <t>unidad</t>
        </is>
      </c>
      <c r="D513" s="8" t="n">
        <v>350.7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>
        <f>IF(COUNT(D513:V513)=0,"",MIN(D513:V513))</f>
        <v/>
      </c>
      <c r="X513" s="8">
        <f>IF(COUNT(D513:V513)=0,"",MEDIAN(D513:V513))</f>
        <v/>
      </c>
      <c r="Y513" s="8">
        <f>IF(COUNT(D513:V513)=0,"",MAX(D513:V513))</f>
        <v/>
      </c>
      <c r="Z513" s="9">
        <f>IF(OR(W513="",W513=0),"",(Y513-W513)/W513)</f>
        <v/>
      </c>
      <c r="AA513" s="7">
        <f>IF(COUNT(D513:V513)=0,"",INDEX($D$1:$V$1,MATCH(MIN(D513:V513),D513:V513,0)))</f>
        <v/>
      </c>
      <c r="AB513" s="8" t="n">
        <v>350.7</v>
      </c>
      <c r="AC513" s="10" t="n">
        <v>1</v>
      </c>
    </row>
    <row r="514">
      <c r="A514" s="7" t="inlineStr">
        <is>
          <t>MAT-08-298</t>
        </is>
      </c>
      <c r="B514" s="4" t="inlineStr">
        <is>
          <t>Polvo de color para mosaico verde industrial, 5 lb</t>
        </is>
      </c>
      <c r="C514" s="7" t="inlineStr">
        <is>
          <t>unidad</t>
        </is>
      </c>
      <c r="D514" s="8" t="n">
        <v>902.88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>
        <f>IF(COUNT(D514:V514)=0,"",MIN(D514:V514))</f>
        <v/>
      </c>
      <c r="X514" s="8">
        <f>IF(COUNT(D514:V514)=0,"",MEDIAN(D514:V514))</f>
        <v/>
      </c>
      <c r="Y514" s="8">
        <f>IF(COUNT(D514:V514)=0,"",MAX(D514:V514))</f>
        <v/>
      </c>
      <c r="Z514" s="9">
        <f>IF(OR(W514="",W514=0),"",(Y514-W514)/W514)</f>
        <v/>
      </c>
      <c r="AA514" s="7">
        <f>IF(COUNT(D514:V514)=0,"",INDEX($D$1:$V$1,MATCH(MIN(D514:V514),D514:V514,0)))</f>
        <v/>
      </c>
      <c r="AB514" s="8" t="n">
        <v>902.88</v>
      </c>
      <c r="AC514" s="10" t="n">
        <v>1</v>
      </c>
    </row>
    <row r="515">
      <c r="A515" s="7" t="inlineStr">
        <is>
          <t>MAT-08-299</t>
        </is>
      </c>
      <c r="B515" s="4" t="inlineStr">
        <is>
          <t>Polvo de color para mosaico amarillo comercial, 55 lb</t>
        </is>
      </c>
      <c r="C515" s="7" t="inlineStr">
        <is>
          <t>funda</t>
        </is>
      </c>
      <c r="D515" s="8" t="n">
        <v>3195.68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>
        <f>IF(COUNT(D515:V515)=0,"",MIN(D515:V515))</f>
        <v/>
      </c>
      <c r="X515" s="8">
        <f>IF(COUNT(D515:V515)=0,"",MEDIAN(D515:V515))</f>
        <v/>
      </c>
      <c r="Y515" s="8">
        <f>IF(COUNT(D515:V515)=0,"",MAX(D515:V515))</f>
        <v/>
      </c>
      <c r="Z515" s="9">
        <f>IF(OR(W515="",W515=0),"",(Y515-W515)/W515)</f>
        <v/>
      </c>
      <c r="AA515" s="7">
        <f>IF(COUNT(D515:V515)=0,"",INDEX($D$1:$V$1,MATCH(MIN(D515:V515),D515:V515,0)))</f>
        <v/>
      </c>
      <c r="AB515" s="8" t="n">
        <v>3195.68</v>
      </c>
      <c r="AC515" s="10" t="n">
        <v>1</v>
      </c>
    </row>
    <row r="516">
      <c r="A516" s="7" t="inlineStr">
        <is>
          <t>MAT-08-300</t>
        </is>
      </c>
      <c r="B516" s="4" t="inlineStr">
        <is>
          <t>Polvo de color para mosaico amarillo industrial, 55 lb</t>
        </is>
      </c>
      <c r="C516" s="7" t="inlineStr">
        <is>
          <t>funda</t>
        </is>
      </c>
      <c r="D516" s="8" t="n">
        <v>7742.13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>
        <f>IF(COUNT(D516:V516)=0,"",MIN(D516:V516))</f>
        <v/>
      </c>
      <c r="X516" s="8">
        <f>IF(COUNT(D516:V516)=0,"",MEDIAN(D516:V516))</f>
        <v/>
      </c>
      <c r="Y516" s="8">
        <f>IF(COUNT(D516:V516)=0,"",MAX(D516:V516))</f>
        <v/>
      </c>
      <c r="Z516" s="9">
        <f>IF(OR(W516="",W516=0),"",(Y516-W516)/W516)</f>
        <v/>
      </c>
      <c r="AA516" s="7">
        <f>IF(COUNT(D516:V516)=0,"",INDEX($D$1:$V$1,MATCH(MIN(D516:V516),D516:V516,0)))</f>
        <v/>
      </c>
      <c r="AB516" s="8" t="n">
        <v>7742.13</v>
      </c>
      <c r="AC516" s="10" t="n">
        <v>1</v>
      </c>
    </row>
    <row r="517">
      <c r="A517" s="7" t="inlineStr">
        <is>
          <t>MAT-08-301</t>
        </is>
      </c>
      <c r="B517" s="4" t="inlineStr">
        <is>
          <t>Polvo de color para mosaico azul comercial, 55 lb</t>
        </is>
      </c>
      <c r="C517" s="7" t="inlineStr">
        <is>
          <t>funda</t>
        </is>
      </c>
      <c r="D517" s="8" t="n">
        <v>4220.23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>
        <f>IF(COUNT(D517:V517)=0,"",MIN(D517:V517))</f>
        <v/>
      </c>
      <c r="X517" s="8">
        <f>IF(COUNT(D517:V517)=0,"",MEDIAN(D517:V517))</f>
        <v/>
      </c>
      <c r="Y517" s="8">
        <f>IF(COUNT(D517:V517)=0,"",MAX(D517:V517))</f>
        <v/>
      </c>
      <c r="Z517" s="9">
        <f>IF(OR(W517="",W517=0),"",(Y517-W517)/W517)</f>
        <v/>
      </c>
      <c r="AA517" s="7">
        <f>IF(COUNT(D517:V517)=0,"",INDEX($D$1:$V$1,MATCH(MIN(D517:V517),D517:V517,0)))</f>
        <v/>
      </c>
      <c r="AB517" s="8" t="n">
        <v>4220.23</v>
      </c>
      <c r="AC517" s="10" t="n">
        <v>1</v>
      </c>
    </row>
    <row r="518">
      <c r="A518" s="7" t="inlineStr">
        <is>
          <t>MAT-08-302</t>
        </is>
      </c>
      <c r="B518" s="4" t="inlineStr">
        <is>
          <t>Polvo de color para mosaico azul industrial, 55 lb</t>
        </is>
      </c>
      <c r="C518" s="7" t="inlineStr">
        <is>
          <t>funda</t>
        </is>
      </c>
      <c r="D518" s="8" t="n">
        <v>8183.45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>
        <f>IF(COUNT(D518:V518)=0,"",MIN(D518:V518))</f>
        <v/>
      </c>
      <c r="X518" s="8">
        <f>IF(COUNT(D518:V518)=0,"",MEDIAN(D518:V518))</f>
        <v/>
      </c>
      <c r="Y518" s="8">
        <f>IF(COUNT(D518:V518)=0,"",MAX(D518:V518))</f>
        <v/>
      </c>
      <c r="Z518" s="9">
        <f>IF(OR(W518="",W518=0),"",(Y518-W518)/W518)</f>
        <v/>
      </c>
      <c r="AA518" s="7">
        <f>IF(COUNT(D518:V518)=0,"",INDEX($D$1:$V$1,MATCH(MIN(D518:V518),D518:V518,0)))</f>
        <v/>
      </c>
      <c r="AB518" s="8" t="n">
        <v>8183.45</v>
      </c>
      <c r="AC518" s="10" t="n">
        <v>1</v>
      </c>
    </row>
    <row r="519">
      <c r="A519" s="7" t="inlineStr">
        <is>
          <t>MAT-08-303</t>
        </is>
      </c>
      <c r="B519" s="4" t="inlineStr">
        <is>
          <t>Polvo de color para mosaico negro comercial, 55 lb</t>
        </is>
      </c>
      <c r="C519" s="7" t="inlineStr">
        <is>
          <t>funda</t>
        </is>
      </c>
      <c r="D519" s="8" t="n">
        <v>4640.79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>
        <f>IF(COUNT(D519:V519)=0,"",MIN(D519:V519))</f>
        <v/>
      </c>
      <c r="X519" s="8">
        <f>IF(COUNT(D519:V519)=0,"",MEDIAN(D519:V519))</f>
        <v/>
      </c>
      <c r="Y519" s="8">
        <f>IF(COUNT(D519:V519)=0,"",MAX(D519:V519))</f>
        <v/>
      </c>
      <c r="Z519" s="9">
        <f>IF(OR(W519="",W519=0),"",(Y519-W519)/W519)</f>
        <v/>
      </c>
      <c r="AA519" s="7">
        <f>IF(COUNT(D519:V519)=0,"",INDEX($D$1:$V$1,MATCH(MIN(D519:V519),D519:V519,0)))</f>
        <v/>
      </c>
      <c r="AB519" s="8" t="n">
        <v>4640.79</v>
      </c>
      <c r="AC519" s="10" t="n">
        <v>1</v>
      </c>
    </row>
    <row r="520">
      <c r="A520" s="7" t="inlineStr">
        <is>
          <t>MAT-08-304</t>
        </is>
      </c>
      <c r="B520" s="4" t="inlineStr">
        <is>
          <t>Polvo de color para mosaico negro industrial, 55 lb</t>
        </is>
      </c>
      <c r="C520" s="7" t="inlineStr">
        <is>
          <t>funda</t>
        </is>
      </c>
      <c r="D520" s="8" t="n">
        <v>6521.15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>
        <f>IF(COUNT(D520:V520)=0,"",MIN(D520:V520))</f>
        <v/>
      </c>
      <c r="X520" s="8">
        <f>IF(COUNT(D520:V520)=0,"",MEDIAN(D520:V520))</f>
        <v/>
      </c>
      <c r="Y520" s="8">
        <f>IF(COUNT(D520:V520)=0,"",MAX(D520:V520))</f>
        <v/>
      </c>
      <c r="Z520" s="9">
        <f>IF(OR(W520="",W520=0),"",(Y520-W520)/W520)</f>
        <v/>
      </c>
      <c r="AA520" s="7">
        <f>IF(COUNT(D520:V520)=0,"",INDEX($D$1:$V$1,MATCH(MIN(D520:V520),D520:V520,0)))</f>
        <v/>
      </c>
      <c r="AB520" s="8" t="n">
        <v>6521.15</v>
      </c>
      <c r="AC520" s="10" t="n">
        <v>1</v>
      </c>
    </row>
    <row r="521">
      <c r="A521" s="7" t="inlineStr">
        <is>
          <t>MAT-08-305</t>
        </is>
      </c>
      <c r="B521" s="4" t="inlineStr">
        <is>
          <t>Polvo de color para mosaico rojo comercial, 55 lb</t>
        </is>
      </c>
      <c r="C521" s="7" t="inlineStr">
        <is>
          <t>funda</t>
        </is>
      </c>
      <c r="D521" s="8" t="n">
        <v>3350.57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>
        <f>IF(COUNT(D521:V521)=0,"",MIN(D521:V521))</f>
        <v/>
      </c>
      <c r="X521" s="8">
        <f>IF(COUNT(D521:V521)=0,"",MEDIAN(D521:V521))</f>
        <v/>
      </c>
      <c r="Y521" s="8">
        <f>IF(COUNT(D521:V521)=0,"",MAX(D521:V521))</f>
        <v/>
      </c>
      <c r="Z521" s="9">
        <f>IF(OR(W521="",W521=0),"",(Y521-W521)/W521)</f>
        <v/>
      </c>
      <c r="AA521" s="7">
        <f>IF(COUNT(D521:V521)=0,"",INDEX($D$1:$V$1,MATCH(MIN(D521:V521),D521:V521,0)))</f>
        <v/>
      </c>
      <c r="AB521" s="8" t="n">
        <v>3350.57</v>
      </c>
      <c r="AC521" s="10" t="n">
        <v>1</v>
      </c>
    </row>
    <row r="522">
      <c r="A522" s="7" t="inlineStr">
        <is>
          <t>MAT-08-306</t>
        </is>
      </c>
      <c r="B522" s="4" t="inlineStr">
        <is>
          <t>Polvo de color para mosaico rojo industrial, 55 lb</t>
        </is>
      </c>
      <c r="C522" s="7" t="inlineStr">
        <is>
          <t>funda</t>
        </is>
      </c>
      <c r="D522" s="8" t="n">
        <v>5451.6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>
        <f>IF(COUNT(D522:V522)=0,"",MIN(D522:V522))</f>
        <v/>
      </c>
      <c r="X522" s="8">
        <f>IF(COUNT(D522:V522)=0,"",MEDIAN(D522:V522))</f>
        <v/>
      </c>
      <c r="Y522" s="8">
        <f>IF(COUNT(D522:V522)=0,"",MAX(D522:V522))</f>
        <v/>
      </c>
      <c r="Z522" s="9">
        <f>IF(OR(W522="",W522=0),"",(Y522-W522)/W522)</f>
        <v/>
      </c>
      <c r="AA522" s="7">
        <f>IF(COUNT(D522:V522)=0,"",INDEX($D$1:$V$1,MATCH(MIN(D522:V522),D522:V522,0)))</f>
        <v/>
      </c>
      <c r="AB522" s="8" t="n">
        <v>5451.6</v>
      </c>
      <c r="AC522" s="10" t="n">
        <v>1</v>
      </c>
    </row>
    <row r="523">
      <c r="A523" s="7" t="inlineStr">
        <is>
          <t>MAT-08-307</t>
        </is>
      </c>
      <c r="B523" s="4" t="inlineStr">
        <is>
          <t>Polvo de color para mosaico verde comercial, 55 lb</t>
        </is>
      </c>
      <c r="C523" s="7" t="inlineStr">
        <is>
          <t>funda</t>
        </is>
      </c>
      <c r="D523" s="8" t="n">
        <v>4017.75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>
        <f>IF(COUNT(D523:V523)=0,"",MIN(D523:V523))</f>
        <v/>
      </c>
      <c r="X523" s="8">
        <f>IF(COUNT(D523:V523)=0,"",MEDIAN(D523:V523))</f>
        <v/>
      </c>
      <c r="Y523" s="8">
        <f>IF(COUNT(D523:V523)=0,"",MAX(D523:V523))</f>
        <v/>
      </c>
      <c r="Z523" s="9">
        <f>IF(OR(W523="",W523=0),"",(Y523-W523)/W523)</f>
        <v/>
      </c>
      <c r="AA523" s="7">
        <f>IF(COUNT(D523:V523)=0,"",INDEX($D$1:$V$1,MATCH(MIN(D523:V523),D523:V523,0)))</f>
        <v/>
      </c>
      <c r="AB523" s="8" t="n">
        <v>4017.75</v>
      </c>
      <c r="AC523" s="10" t="n">
        <v>1</v>
      </c>
    </row>
    <row r="524">
      <c r="A524" s="7" t="inlineStr">
        <is>
          <t>MAT-08-308</t>
        </is>
      </c>
      <c r="B524" s="4" t="inlineStr">
        <is>
          <t>Polvo de color para mosaico verde industrial, 55 lb</t>
        </is>
      </c>
      <c r="C524" s="7" t="inlineStr">
        <is>
          <t>funda</t>
        </is>
      </c>
      <c r="D524" s="8" t="n">
        <v>9092.93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>
        <f>IF(COUNT(D524:V524)=0,"",MIN(D524:V524))</f>
        <v/>
      </c>
      <c r="X524" s="8">
        <f>IF(COUNT(D524:V524)=0,"",MEDIAN(D524:V524))</f>
        <v/>
      </c>
      <c r="Y524" s="8">
        <f>IF(COUNT(D524:V524)=0,"",MAX(D524:V524))</f>
        <v/>
      </c>
      <c r="Z524" s="9">
        <f>IF(OR(W524="",W524=0),"",(Y524-W524)/W524)</f>
        <v/>
      </c>
      <c r="AA524" s="7">
        <f>IF(COUNT(D524:V524)=0,"",INDEX($D$1:$V$1,MATCH(MIN(D524:V524),D524:V524,0)))</f>
        <v/>
      </c>
      <c r="AB524" s="8" t="n">
        <v>9092.93</v>
      </c>
      <c r="AC524" s="10" t="n">
        <v>1</v>
      </c>
    </row>
    <row r="525">
      <c r="A525" s="7" t="inlineStr">
        <is>
          <t>MAT-09-009</t>
        </is>
      </c>
      <c r="B525" s="4" t="inlineStr">
        <is>
          <t>Cabezal de ducha</t>
        </is>
      </c>
      <c r="C525" s="7" t="inlineStr">
        <is>
          <t>unidad</t>
        </is>
      </c>
      <c r="D525" s="8" t="n">
        <v>195.95</v>
      </c>
      <c r="E525" s="8" t="n"/>
      <c r="F525" s="8" t="n">
        <v>2758.62</v>
      </c>
      <c r="G525" s="8" t="n">
        <v>322</v>
      </c>
      <c r="H525" s="8" t="n">
        <v>2924.04</v>
      </c>
      <c r="I525" s="8" t="n">
        <v>150</v>
      </c>
      <c r="J525" s="8" t="n"/>
      <c r="K525" s="8" t="n"/>
      <c r="L525" s="8" t="n"/>
      <c r="M525" s="8" t="n"/>
      <c r="N525" s="8" t="n">
        <v>31100</v>
      </c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>
        <f>IF(COUNT(D525:V525)=0,"",MIN(D525:V525))</f>
        <v/>
      </c>
      <c r="X525" s="8">
        <f>IF(COUNT(D525:V525)=0,"",MEDIAN(D525:V525))</f>
        <v/>
      </c>
      <c r="Y525" s="8">
        <f>IF(COUNT(D525:V525)=0,"",MAX(D525:V525))</f>
        <v/>
      </c>
      <c r="Z525" s="9">
        <f>IF(OR(W525="",W525=0),"",(Y525-W525)/W525)</f>
        <v/>
      </c>
      <c r="AA525" s="7">
        <f>IF(COUNT(D525:V525)=0,"",INDEX($D$1:$V$1,MATCH(MIN(D525:V525),D525:V525,0)))</f>
        <v/>
      </c>
      <c r="AB525" s="8" t="n">
        <v>1642.45</v>
      </c>
      <c r="AC525" s="10" t="n">
        <v>6</v>
      </c>
    </row>
    <row r="526">
      <c r="A526" s="7" t="inlineStr">
        <is>
          <t>MAT-09-010</t>
        </is>
      </c>
      <c r="B526" s="4" t="inlineStr">
        <is>
          <t>Ducha teléfono</t>
        </is>
      </c>
      <c r="C526" s="7" t="inlineStr">
        <is>
          <t>unidad</t>
        </is>
      </c>
      <c r="D526" s="8" t="n">
        <v>267.91</v>
      </c>
      <c r="E526" s="8" t="n">
        <v>238.61</v>
      </c>
      <c r="F526" s="8" t="n">
        <v>3361.49</v>
      </c>
      <c r="G526" s="8" t="n">
        <v>494</v>
      </c>
      <c r="H526" s="8" t="n"/>
      <c r="I526" s="8" t="n">
        <v>450</v>
      </c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>
        <f>IF(COUNT(D526:V526)=0,"",MIN(D526:V526))</f>
        <v/>
      </c>
      <c r="X526" s="8">
        <f>IF(COUNT(D526:V526)=0,"",MEDIAN(D526:V526))</f>
        <v/>
      </c>
      <c r="Y526" s="8">
        <f>IF(COUNT(D526:V526)=0,"",MAX(D526:V526))</f>
        <v/>
      </c>
      <c r="Z526" s="9">
        <f>IF(OR(W526="",W526=0),"",(Y526-W526)/W526)</f>
        <v/>
      </c>
      <c r="AA526" s="7">
        <f>IF(COUNT(D526:V526)=0,"",INDEX($D$1:$V$1,MATCH(MIN(D526:V526),D526:V526,0)))</f>
        <v/>
      </c>
      <c r="AB526" s="8" t="n">
        <v>685</v>
      </c>
      <c r="AC526" s="10" t="n">
        <v>5</v>
      </c>
    </row>
    <row r="527">
      <c r="A527" s="7" t="inlineStr">
        <is>
          <t>MAT-09-011</t>
        </is>
      </c>
      <c r="B527" s="4" t="inlineStr">
        <is>
          <t>Columna de ducha</t>
        </is>
      </c>
      <c r="C527" s="7" t="inlineStr">
        <is>
          <t>unidad</t>
        </is>
      </c>
      <c r="D527" s="8" t="n">
        <v>11281.28</v>
      </c>
      <c r="E527" s="8" t="n"/>
      <c r="F527" s="8" t="n">
        <v>2894.96</v>
      </c>
      <c r="G527" s="8" t="n">
        <v>6343</v>
      </c>
      <c r="H527" s="8" t="n">
        <v>900</v>
      </c>
      <c r="I527" s="8" t="n"/>
      <c r="J527" s="8" t="n"/>
      <c r="K527" s="8" t="n"/>
      <c r="L527" s="8" t="n"/>
      <c r="M527" s="8" t="n"/>
      <c r="N527" s="8" t="n">
        <v>31800</v>
      </c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>
        <f>IF(COUNT(D527:V527)=0,"",MIN(D527:V527))</f>
        <v/>
      </c>
      <c r="X527" s="8">
        <f>IF(COUNT(D527:V527)=0,"",MEDIAN(D527:V527))</f>
        <v/>
      </c>
      <c r="Y527" s="8">
        <f>IF(COUNT(D527:V527)=0,"",MAX(D527:V527))</f>
        <v/>
      </c>
      <c r="Z527" s="9">
        <f>IF(OR(W527="",W527=0),"",(Y527-W527)/W527)</f>
        <v/>
      </c>
      <c r="AA527" s="7">
        <f>IF(COUNT(D527:V527)=0,"",INDEX($D$1:$V$1,MATCH(MIN(D527:V527),D527:V527,0)))</f>
        <v/>
      </c>
      <c r="AB527" s="8" t="n">
        <v>20267.28</v>
      </c>
      <c r="AC527" s="10" t="n">
        <v>5</v>
      </c>
    </row>
    <row r="528">
      <c r="A528" s="7" t="inlineStr">
        <is>
          <t>MAT-09-012</t>
        </is>
      </c>
      <c r="B528" s="4" t="inlineStr">
        <is>
          <t>Columna de ducha</t>
        </is>
      </c>
      <c r="C528" s="7" t="inlineStr">
        <is>
          <t>unidad</t>
        </is>
      </c>
      <c r="D528" s="8" t="n">
        <v>553.61</v>
      </c>
      <c r="E528" s="8" t="n"/>
      <c r="F528" s="8" t="n">
        <v>2847.67</v>
      </c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>
        <f>IF(COUNT(D528:V528)=0,"",MIN(D528:V528))</f>
        <v/>
      </c>
      <c r="X528" s="8">
        <f>IF(COUNT(D528:V528)=0,"",MEDIAN(D528:V528))</f>
        <v/>
      </c>
      <c r="Y528" s="8">
        <f>IF(COUNT(D528:V528)=0,"",MAX(D528:V528))</f>
        <v/>
      </c>
      <c r="Z528" s="9">
        <f>IF(OR(W528="",W528=0),"",(Y528-W528)/W528)</f>
        <v/>
      </c>
      <c r="AA528" s="7">
        <f>IF(COUNT(D528:V528)=0,"",INDEX($D$1:$V$1,MATCH(MIN(D528:V528),D528:V528,0)))</f>
        <v/>
      </c>
      <c r="AB528" s="8" t="n">
        <v>10189.3</v>
      </c>
      <c r="AC528" s="10" t="n">
        <v>2</v>
      </c>
    </row>
    <row r="529">
      <c r="A529" s="7" t="inlineStr">
        <is>
          <t>MAT-09-013</t>
        </is>
      </c>
      <c r="B529" s="4" t="inlineStr">
        <is>
          <t>Brazo de ducha</t>
        </is>
      </c>
      <c r="C529" s="7" t="inlineStr">
        <is>
          <t>unidad</t>
        </is>
      </c>
      <c r="D529" s="8" t="n">
        <v>108.23</v>
      </c>
      <c r="E529" s="8" t="n"/>
      <c r="F529" s="8" t="n">
        <v>868.64</v>
      </c>
      <c r="G529" s="8" t="n">
        <v>247</v>
      </c>
      <c r="H529" s="8" t="n">
        <v>1390</v>
      </c>
      <c r="I529" s="8" t="n">
        <v>349</v>
      </c>
      <c r="J529" s="8" t="n"/>
      <c r="K529" s="8" t="n"/>
      <c r="L529" s="8" t="n"/>
      <c r="M529" s="8" t="n"/>
      <c r="N529" s="8" t="n">
        <v>1895</v>
      </c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>
        <f>IF(COUNT(D529:V529)=0,"",MIN(D529:V529))</f>
        <v/>
      </c>
      <c r="X529" s="8">
        <f>IF(COUNT(D529:V529)=0,"",MEDIAN(D529:V529))</f>
        <v/>
      </c>
      <c r="Y529" s="8">
        <f>IF(COUNT(D529:V529)=0,"",MAX(D529:V529))</f>
        <v/>
      </c>
      <c r="Z529" s="9">
        <f>IF(OR(W529="",W529=0),"",(Y529-W529)/W529)</f>
        <v/>
      </c>
      <c r="AA529" s="7">
        <f>IF(COUNT(D529:V529)=0,"",INDEX($D$1:$V$1,MATCH(MIN(D529:V529),D529:V529,0)))</f>
        <v/>
      </c>
      <c r="AB529" s="8" t="n">
        <v>1557.65</v>
      </c>
      <c r="AC529" s="10" t="n">
        <v>6</v>
      </c>
    </row>
    <row r="530">
      <c r="A530" s="7" t="inlineStr">
        <is>
          <t>MAT-09-014</t>
        </is>
      </c>
      <c r="B530" s="4" t="inlineStr">
        <is>
          <t>Mezcladora, de baño</t>
        </is>
      </c>
      <c r="C530" s="7" t="inlineStr">
        <is>
          <t>unidad</t>
        </is>
      </c>
      <c r="D530" s="8" t="n"/>
      <c r="E530" s="8" t="n">
        <v>580</v>
      </c>
      <c r="F530" s="8" t="n">
        <v>1168.86</v>
      </c>
      <c r="G530" s="8" t="n">
        <v>486</v>
      </c>
      <c r="H530" s="8" t="n">
        <v>1070</v>
      </c>
      <c r="I530" s="8" t="n">
        <v>340</v>
      </c>
      <c r="J530" s="8" t="n"/>
      <c r="K530" s="8" t="n"/>
      <c r="L530" s="8" t="n"/>
      <c r="M530" s="8" t="n"/>
      <c r="N530" s="8" t="n">
        <v>4300</v>
      </c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>
        <f>IF(COUNT(D530:V530)=0,"",MIN(D530:V530))</f>
        <v/>
      </c>
      <c r="X530" s="8">
        <f>IF(COUNT(D530:V530)=0,"",MEDIAN(D530:V530))</f>
        <v/>
      </c>
      <c r="Y530" s="8">
        <f>IF(COUNT(D530:V530)=0,"",MAX(D530:V530))</f>
        <v/>
      </c>
      <c r="Z530" s="9">
        <f>IF(OR(W530="",W530=0),"",(Y530-W530)/W530)</f>
        <v/>
      </c>
      <c r="AA530" s="7">
        <f>IF(COUNT(D530:V530)=0,"",INDEX($D$1:$V$1,MATCH(MIN(D530:V530),D530:V530,0)))</f>
        <v/>
      </c>
      <c r="AB530" s="8" t="n">
        <v>7635.64</v>
      </c>
      <c r="AC530" s="10" t="n">
        <v>6</v>
      </c>
    </row>
    <row r="531">
      <c r="A531" s="7" t="inlineStr">
        <is>
          <t>MAT-09-015</t>
        </is>
      </c>
      <c r="B531" s="4" t="inlineStr">
        <is>
          <t>Mezcladora, de baño, con sensor</t>
        </is>
      </c>
      <c r="C531" s="7" t="inlineStr">
        <is>
          <t>unidad</t>
        </is>
      </c>
      <c r="D531" s="8" t="n"/>
      <c r="E531" s="8" t="n">
        <v>1225</v>
      </c>
      <c r="F531" s="8" t="n">
        <v>2660.81</v>
      </c>
      <c r="G531" s="8" t="n"/>
      <c r="H531" s="8" t="n">
        <v>3832.64</v>
      </c>
      <c r="I531" s="8" t="n">
        <v>740</v>
      </c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>
        <f>IF(COUNT(D531:V531)=0,"",MIN(D531:V531))</f>
        <v/>
      </c>
      <c r="X531" s="8">
        <f>IF(COUNT(D531:V531)=0,"",MEDIAN(D531:V531))</f>
        <v/>
      </c>
      <c r="Y531" s="8">
        <f>IF(COUNT(D531:V531)=0,"",MAX(D531:V531))</f>
        <v/>
      </c>
      <c r="Z531" s="9">
        <f>IF(OR(W531="",W531=0),"",(Y531-W531)/W531)</f>
        <v/>
      </c>
      <c r="AA531" s="7">
        <f>IF(COUNT(D531:V531)=0,"",INDEX($D$1:$V$1,MATCH(MIN(D531:V531),D531:V531,0)))</f>
        <v/>
      </c>
      <c r="AB531" s="8" t="n">
        <v>6437.22</v>
      </c>
      <c r="AC531" s="10" t="n">
        <v>4</v>
      </c>
    </row>
    <row r="532">
      <c r="A532" s="7" t="inlineStr">
        <is>
          <t>MAT-09-016</t>
        </is>
      </c>
      <c r="B532" s="4" t="inlineStr">
        <is>
          <t>Mezcladora, de fregadero</t>
        </is>
      </c>
      <c r="C532" s="7" t="inlineStr">
        <is>
          <t>unidad</t>
        </is>
      </c>
      <c r="D532" s="8" t="n"/>
      <c r="E532" s="8" t="n">
        <v>805</v>
      </c>
      <c r="F532" s="8" t="n">
        <v>1633.85</v>
      </c>
      <c r="G532" s="8" t="n">
        <v>695</v>
      </c>
      <c r="H532" s="8" t="n">
        <v>1199.99</v>
      </c>
      <c r="I532" s="8" t="n">
        <v>230</v>
      </c>
      <c r="J532" s="8" t="n"/>
      <c r="K532" s="8" t="n"/>
      <c r="L532" s="8" t="n"/>
      <c r="M532" s="8" t="n"/>
      <c r="N532" s="8" t="n">
        <v>3900</v>
      </c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>
        <f>IF(COUNT(D532:V532)=0,"",MIN(D532:V532))</f>
        <v/>
      </c>
      <c r="X532" s="8">
        <f>IF(COUNT(D532:V532)=0,"",MEDIAN(D532:V532))</f>
        <v/>
      </c>
      <c r="Y532" s="8">
        <f>IF(COUNT(D532:V532)=0,"",MAX(D532:V532))</f>
        <v/>
      </c>
      <c r="Z532" s="9">
        <f>IF(OR(W532="",W532=0),"",(Y532-W532)/W532)</f>
        <v/>
      </c>
      <c r="AA532" s="7">
        <f>IF(COUNT(D532:V532)=0,"",INDEX($D$1:$V$1,MATCH(MIN(D532:V532),D532:V532,0)))</f>
        <v/>
      </c>
      <c r="AB532" s="8" t="n">
        <v>3921.51</v>
      </c>
      <c r="AC532" s="10" t="n">
        <v>6</v>
      </c>
    </row>
    <row r="533">
      <c r="A533" s="7" t="inlineStr">
        <is>
          <t>MAT-09-017</t>
        </is>
      </c>
      <c r="B533" s="4" t="inlineStr">
        <is>
          <t>Mezcladora de ducha</t>
        </is>
      </c>
      <c r="C533" s="7" t="inlineStr">
        <is>
          <t>unidad</t>
        </is>
      </c>
      <c r="D533" s="8" t="n">
        <v>2603.89</v>
      </c>
      <c r="E533" s="8" t="n">
        <v>1295</v>
      </c>
      <c r="F533" s="8" t="n">
        <v>2347.43</v>
      </c>
      <c r="G533" s="8" t="n">
        <v>945</v>
      </c>
      <c r="H533" s="8" t="n">
        <v>2200</v>
      </c>
      <c r="I533" s="8" t="n">
        <v>1215</v>
      </c>
      <c r="J533" s="8" t="n"/>
      <c r="K533" s="8" t="n"/>
      <c r="L533" s="8" t="n"/>
      <c r="M533" s="8" t="n"/>
      <c r="N533" s="8" t="n">
        <v>1000</v>
      </c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>
        <f>IF(COUNT(D533:V533)=0,"",MIN(D533:V533))</f>
        <v/>
      </c>
      <c r="X533" s="8">
        <f>IF(COUNT(D533:V533)=0,"",MEDIAN(D533:V533))</f>
        <v/>
      </c>
      <c r="Y533" s="8">
        <f>IF(COUNT(D533:V533)=0,"",MAX(D533:V533))</f>
        <v/>
      </c>
      <c r="Z533" s="9">
        <f>IF(OR(W533="",W533=0),"",(Y533-W533)/W533)</f>
        <v/>
      </c>
      <c r="AA533" s="7">
        <f>IF(COUNT(D533:V533)=0,"",INDEX($D$1:$V$1,MATCH(MIN(D533:V533),D533:V533,0)))</f>
        <v/>
      </c>
      <c r="AB533" s="8" t="n">
        <v>10458.36</v>
      </c>
      <c r="AC533" s="10" t="n">
        <v>7</v>
      </c>
    </row>
    <row r="534">
      <c r="A534" s="7" t="inlineStr">
        <is>
          <t>MAT-09-018</t>
        </is>
      </c>
      <c r="B534" s="4" t="inlineStr">
        <is>
          <t>Manguera para ducha teléfono</t>
        </is>
      </c>
      <c r="C534" s="7" t="inlineStr">
        <is>
          <t>unidad</t>
        </is>
      </c>
      <c r="D534" s="8" t="n">
        <v>256.18</v>
      </c>
      <c r="E534" s="8" t="n"/>
      <c r="F534" s="8" t="n">
        <v>269.5</v>
      </c>
      <c r="G534" s="8" t="n">
        <v>525</v>
      </c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>
        <f>IF(COUNT(D534:V534)=0,"",MIN(D534:V534))</f>
        <v/>
      </c>
      <c r="X534" s="8">
        <f>IF(COUNT(D534:V534)=0,"",MEDIAN(D534:V534))</f>
        <v/>
      </c>
      <c r="Y534" s="8">
        <f>IF(COUNT(D534:V534)=0,"",MAX(D534:V534))</f>
        <v/>
      </c>
      <c r="Z534" s="9">
        <f>IF(OR(W534="",W534=0),"",(Y534-W534)/W534)</f>
        <v/>
      </c>
      <c r="AA534" s="7">
        <f>IF(COUNT(D534:V534)=0,"",INDEX($D$1:$V$1,MATCH(MIN(D534:V534),D534:V534,0)))</f>
        <v/>
      </c>
      <c r="AB534" s="8" t="n">
        <v>747.45</v>
      </c>
      <c r="AC534" s="10" t="n">
        <v>3</v>
      </c>
    </row>
    <row r="535">
      <c r="A535" s="7" t="inlineStr">
        <is>
          <t>MAT-09-019</t>
        </is>
      </c>
      <c r="B535" s="4" t="inlineStr">
        <is>
          <t>Regulador de gas de doble tanque</t>
        </is>
      </c>
      <c r="C535" s="7" t="inlineStr">
        <is>
          <t>unidad</t>
        </is>
      </c>
      <c r="D535" s="8" t="n"/>
      <c r="E535" s="8" t="n"/>
      <c r="F535" s="8" t="n"/>
      <c r="G535" s="8" t="n">
        <v>1139</v>
      </c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>
        <f>IF(COUNT(D535:V535)=0,"",MIN(D535:V535))</f>
        <v/>
      </c>
      <c r="X535" s="8">
        <f>IF(COUNT(D535:V535)=0,"",MEDIAN(D535:V535))</f>
        <v/>
      </c>
      <c r="Y535" s="8">
        <f>IF(COUNT(D535:V535)=0,"",MAX(D535:V535))</f>
        <v/>
      </c>
      <c r="Z535" s="9">
        <f>IF(OR(W535="",W535=0),"",(Y535-W535)/W535)</f>
        <v/>
      </c>
      <c r="AA535" s="7">
        <f>IF(COUNT(D535:V535)=0,"",INDEX($D$1:$V$1,MATCH(MIN(D535:V535),D535:V535,0)))</f>
        <v/>
      </c>
      <c r="AB535" s="8" t="n">
        <v>1139</v>
      </c>
      <c r="AC535" s="10" t="n">
        <v>1</v>
      </c>
    </row>
    <row r="536">
      <c r="A536" s="7" t="inlineStr">
        <is>
          <t>MAT-09-020</t>
        </is>
      </c>
      <c r="B536" s="4" t="inlineStr">
        <is>
          <t>Regulador de gas grande</t>
        </is>
      </c>
      <c r="C536" s="7" t="inlineStr">
        <is>
          <t>unidad</t>
        </is>
      </c>
      <c r="D536" s="8" t="n"/>
      <c r="E536" s="8" t="n"/>
      <c r="F536" s="8" t="n"/>
      <c r="G536" s="8" t="n">
        <v>326</v>
      </c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>
        <f>IF(COUNT(D536:V536)=0,"",MIN(D536:V536))</f>
        <v/>
      </c>
      <c r="X536" s="8">
        <f>IF(COUNT(D536:V536)=0,"",MEDIAN(D536:V536))</f>
        <v/>
      </c>
      <c r="Y536" s="8">
        <f>IF(COUNT(D536:V536)=0,"",MAX(D536:V536))</f>
        <v/>
      </c>
      <c r="Z536" s="9">
        <f>IF(OR(W536="",W536=0),"",(Y536-W536)/W536)</f>
        <v/>
      </c>
      <c r="AA536" s="7">
        <f>IF(COUNT(D536:V536)=0,"",INDEX($D$1:$V$1,MATCH(MIN(D536:V536),D536:V536,0)))</f>
        <v/>
      </c>
      <c r="AB536" s="8" t="n">
        <v>656</v>
      </c>
      <c r="AC536" s="10" t="n">
        <v>1</v>
      </c>
    </row>
    <row r="537">
      <c r="A537" s="7" t="inlineStr">
        <is>
          <t>MAT-09-021</t>
        </is>
      </c>
      <c r="B537" s="4" t="inlineStr">
        <is>
          <t>Regulador de gas pequeño</t>
        </is>
      </c>
      <c r="C537" s="7" t="inlineStr">
        <is>
          <t>unidad</t>
        </is>
      </c>
      <c r="D537" s="8" t="n"/>
      <c r="E537" s="8" t="n"/>
      <c r="F537" s="8" t="n"/>
      <c r="G537" s="8" t="n">
        <v>259</v>
      </c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>
        <f>IF(COUNT(D537:V537)=0,"",MIN(D537:V537))</f>
        <v/>
      </c>
      <c r="X537" s="8">
        <f>IF(COUNT(D537:V537)=0,"",MEDIAN(D537:V537))</f>
        <v/>
      </c>
      <c r="Y537" s="8">
        <f>IF(COUNT(D537:V537)=0,"",MAX(D537:V537))</f>
        <v/>
      </c>
      <c r="Z537" s="9">
        <f>IF(OR(W537="",W537=0),"",(Y537-W537)/W537)</f>
        <v/>
      </c>
      <c r="AA537" s="7">
        <f>IF(COUNT(D537:V537)=0,"",INDEX($D$1:$V$1,MATCH(MIN(D537:V537),D537:V537,0)))</f>
        <v/>
      </c>
      <c r="AB537" s="8" t="n">
        <v>509.5</v>
      </c>
      <c r="AC537" s="10" t="n">
        <v>1</v>
      </c>
    </row>
    <row r="538">
      <c r="A538" s="7" t="inlineStr">
        <is>
          <t>MAT-09-022</t>
        </is>
      </c>
      <c r="B538" s="4" t="inlineStr">
        <is>
          <t>Pig tail para conexión de gas</t>
        </is>
      </c>
      <c r="C538" s="7" t="inlineStr">
        <is>
          <t>unidad</t>
        </is>
      </c>
      <c r="D538" s="8" t="n"/>
      <c r="E538" s="8" t="n"/>
      <c r="F538" s="8" t="n"/>
      <c r="G538" s="8" t="n">
        <v>299</v>
      </c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>
        <f>IF(COUNT(D538:V538)=0,"",MIN(D538:V538))</f>
        <v/>
      </c>
      <c r="X538" s="8">
        <f>IF(COUNT(D538:V538)=0,"",MEDIAN(D538:V538))</f>
        <v/>
      </c>
      <c r="Y538" s="8">
        <f>IF(COUNT(D538:V538)=0,"",MAX(D538:V538))</f>
        <v/>
      </c>
      <c r="Z538" s="9">
        <f>IF(OR(W538="",W538=0),"",(Y538-W538)/W538)</f>
        <v/>
      </c>
      <c r="AA538" s="7">
        <f>IF(COUNT(D538:V538)=0,"",INDEX($D$1:$V$1,MATCH(MIN(D538:V538),D538:V538,0)))</f>
        <v/>
      </c>
      <c r="AB538" s="8" t="n">
        <v>489.5</v>
      </c>
      <c r="AC538" s="10" t="n">
        <v>1</v>
      </c>
    </row>
    <row r="539">
      <c r="A539" s="7" t="inlineStr">
        <is>
          <t>MAT-09-023</t>
        </is>
      </c>
      <c r="B539" s="4" t="inlineStr">
        <is>
          <t>Llave para tanque de gas 7/8"</t>
        </is>
      </c>
      <c r="C539" s="7" t="inlineStr">
        <is>
          <t>unidad</t>
        </is>
      </c>
      <c r="D539" s="8" t="n"/>
      <c r="E539" s="8" t="n"/>
      <c r="F539" s="8" t="n"/>
      <c r="G539" s="8" t="n">
        <v>377</v>
      </c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>
        <f>IF(COUNT(D539:V539)=0,"",MIN(D539:V539))</f>
        <v/>
      </c>
      <c r="X539" s="8">
        <f>IF(COUNT(D539:V539)=0,"",MEDIAN(D539:V539))</f>
        <v/>
      </c>
      <c r="Y539" s="8">
        <f>IF(COUNT(D539:V539)=0,"",MAX(D539:V539))</f>
        <v/>
      </c>
      <c r="Z539" s="9">
        <f>IF(OR(W539="",W539=0),"",(Y539-W539)/W539)</f>
        <v/>
      </c>
      <c r="AA539" s="7">
        <f>IF(COUNT(D539:V539)=0,"",INDEX($D$1:$V$1,MATCH(MIN(D539:V539),D539:V539,0)))</f>
        <v/>
      </c>
      <c r="AB539" s="8" t="n">
        <v>377</v>
      </c>
      <c r="AC539" s="10" t="n">
        <v>1</v>
      </c>
    </row>
    <row r="540">
      <c r="A540" s="7" t="inlineStr">
        <is>
          <t>MAT-09-024</t>
        </is>
      </c>
      <c r="B540" s="4" t="inlineStr">
        <is>
          <t>Bomba centrífuga de 1 HP</t>
        </is>
      </c>
      <c r="C540" s="7" t="inlineStr">
        <is>
          <t>unidad</t>
        </is>
      </c>
      <c r="D540" s="8" t="n"/>
      <c r="E540" s="8" t="n">
        <v>6802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>
        <f>IF(COUNT(D540:V540)=0,"",MIN(D540:V540))</f>
        <v/>
      </c>
      <c r="X540" s="8">
        <f>IF(COUNT(D540:V540)=0,"",MEDIAN(D540:V540))</f>
        <v/>
      </c>
      <c r="Y540" s="8">
        <f>IF(COUNT(D540:V540)=0,"",MAX(D540:V540))</f>
        <v/>
      </c>
      <c r="Z540" s="9">
        <f>IF(OR(W540="",W540=0),"",(Y540-W540)/W540)</f>
        <v/>
      </c>
      <c r="AA540" s="7">
        <f>IF(COUNT(D540:V540)=0,"",INDEX($D$1:$V$1,MATCH(MIN(D540:V540),D540:V540,0)))</f>
        <v/>
      </c>
      <c r="AB540" s="8" t="n">
        <v>8923.5</v>
      </c>
      <c r="AC540" s="10" t="n">
        <v>1</v>
      </c>
    </row>
    <row r="541">
      <c r="A541" s="7" t="inlineStr">
        <is>
          <t>MAT-09-025</t>
        </is>
      </c>
      <c r="B541" s="4" t="inlineStr">
        <is>
          <t>Bomba centrífuga de 1 1/3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11205</v>
      </c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>
        <f>IF(COUNT(D541:V541)=0,"",MIN(D541:V541))</f>
        <v/>
      </c>
      <c r="X541" s="8">
        <f>IF(COUNT(D541:V541)=0,"",MEDIAN(D541:V541))</f>
        <v/>
      </c>
      <c r="Y541" s="8">
        <f>IF(COUNT(D541:V541)=0,"",MAX(D541:V541))</f>
        <v/>
      </c>
      <c r="Z541" s="9">
        <f>IF(OR(W541="",W541=0),"",(Y541-W541)/W541)</f>
        <v/>
      </c>
      <c r="AA541" s="7">
        <f>IF(COUNT(D541:V541)=0,"",INDEX($D$1:$V$1,MATCH(MIN(D541:V541),D541:V541,0)))</f>
        <v/>
      </c>
      <c r="AB541" s="8" t="n">
        <v>11205</v>
      </c>
      <c r="AC541" s="10" t="n">
        <v>1</v>
      </c>
    </row>
    <row r="542">
      <c r="A542" s="7" t="inlineStr">
        <is>
          <t>MAT-09-026</t>
        </is>
      </c>
      <c r="B542" s="4" t="inlineStr">
        <is>
          <t>Bomba centrífuga de 1/2 HP</t>
        </is>
      </c>
      <c r="C542" s="7" t="inlineStr">
        <is>
          <t>unidad</t>
        </is>
      </c>
      <c r="D542" s="8" t="n"/>
      <c r="E542" s="8" t="n">
        <v>4732</v>
      </c>
      <c r="F542" s="8" t="n"/>
      <c r="G542" s="8" t="n"/>
      <c r="H542" s="8" t="n"/>
      <c r="I542" s="8" t="n">
        <v>7989</v>
      </c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>
        <f>IF(COUNT(D542:V542)=0,"",MIN(D542:V542))</f>
        <v/>
      </c>
      <c r="X542" s="8">
        <f>IF(COUNT(D542:V542)=0,"",MEDIAN(D542:V542))</f>
        <v/>
      </c>
      <c r="Y542" s="8">
        <f>IF(COUNT(D542:V542)=0,"",MAX(D542:V542))</f>
        <v/>
      </c>
      <c r="Z542" s="9">
        <f>IF(OR(W542="",W542=0),"",(Y542-W542)/W542)</f>
        <v/>
      </c>
      <c r="AA542" s="7">
        <f>IF(COUNT(D542:V542)=0,"",INDEX($D$1:$V$1,MATCH(MIN(D542:V542),D542:V542,0)))</f>
        <v/>
      </c>
      <c r="AB542" s="8" t="n">
        <v>7989</v>
      </c>
      <c r="AC542" s="10" t="n">
        <v>2</v>
      </c>
    </row>
    <row r="543">
      <c r="A543" s="7" t="inlineStr">
        <is>
          <t>MAT-09-027</t>
        </is>
      </c>
      <c r="B543" s="4" t="inlineStr">
        <is>
          <t>Bomba centrífuga de 1.5 HP</t>
        </is>
      </c>
      <c r="C543" s="7" t="inlineStr">
        <is>
          <t>unidad</t>
        </is>
      </c>
      <c r="D543" s="8" t="n"/>
      <c r="E543" s="8" t="n">
        <v>8100</v>
      </c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>
        <f>IF(COUNT(D543:V543)=0,"",MIN(D543:V543))</f>
        <v/>
      </c>
      <c r="X543" s="8">
        <f>IF(COUNT(D543:V543)=0,"",MEDIAN(D543:V543))</f>
        <v/>
      </c>
      <c r="Y543" s="8">
        <f>IF(COUNT(D543:V543)=0,"",MAX(D543:V543))</f>
        <v/>
      </c>
      <c r="Z543" s="9">
        <f>IF(OR(W543="",W543=0),"",(Y543-W543)/W543)</f>
        <v/>
      </c>
      <c r="AA543" s="7">
        <f>IF(COUNT(D543:V543)=0,"",INDEX($D$1:$V$1,MATCH(MIN(D543:V543),D543:V543,0)))</f>
        <v/>
      </c>
      <c r="AB543" s="8" t="n">
        <v>13164.5</v>
      </c>
      <c r="AC543" s="10" t="n">
        <v>1</v>
      </c>
    </row>
    <row r="544">
      <c r="A544" s="7" t="inlineStr">
        <is>
          <t>MAT-09-028</t>
        </is>
      </c>
      <c r="B544" s="4" t="inlineStr">
        <is>
          <t>Bomba centrífuga de 15 HP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30539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>
        <f>IF(COUNT(D544:V544)=0,"",MIN(D544:V544))</f>
        <v/>
      </c>
      <c r="X544" s="8">
        <f>IF(COUNT(D544:V544)=0,"",MEDIAN(D544:V544))</f>
        <v/>
      </c>
      <c r="Y544" s="8">
        <f>IF(COUNT(D544:V544)=0,"",MAX(D544:V544))</f>
        <v/>
      </c>
      <c r="Z544" s="9">
        <f>IF(OR(W544="",W544=0),"",(Y544-W544)/W544)</f>
        <v/>
      </c>
      <c r="AA544" s="7">
        <f>IF(COUNT(D544:V544)=0,"",INDEX($D$1:$V$1,MATCH(MIN(D544:V544),D544:V544,0)))</f>
        <v/>
      </c>
      <c r="AB544" s="8" t="n">
        <v>30539</v>
      </c>
      <c r="AC544" s="10" t="n">
        <v>1</v>
      </c>
    </row>
    <row r="545">
      <c r="A545" s="7" t="inlineStr">
        <is>
          <t>MAT-09-029</t>
        </is>
      </c>
      <c r="B545" s="4" t="inlineStr">
        <is>
          <t>Bomba centrífuga de 2 HP</t>
        </is>
      </c>
      <c r="C545" s="7" t="inlineStr">
        <is>
          <t>unidad</t>
        </is>
      </c>
      <c r="D545" s="8" t="n"/>
      <c r="E545" s="8" t="n">
        <v>20409</v>
      </c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>
        <f>IF(COUNT(D545:V545)=0,"",MIN(D545:V545))</f>
        <v/>
      </c>
      <c r="X545" s="8">
        <f>IF(COUNT(D545:V545)=0,"",MEDIAN(D545:V545))</f>
        <v/>
      </c>
      <c r="Y545" s="8">
        <f>IF(COUNT(D545:V545)=0,"",MAX(D545:V545))</f>
        <v/>
      </c>
      <c r="Z545" s="9">
        <f>IF(OR(W545="",W545=0),"",(Y545-W545)/W545)</f>
        <v/>
      </c>
      <c r="AA545" s="7">
        <f>IF(COUNT(D545:V545)=0,"",INDEX($D$1:$V$1,MATCH(MIN(D545:V545),D545:V545,0)))</f>
        <v/>
      </c>
      <c r="AB545" s="8" t="n">
        <v>23097</v>
      </c>
      <c r="AC545" s="10" t="n">
        <v>1</v>
      </c>
    </row>
    <row r="546">
      <c r="A546" s="7" t="inlineStr">
        <is>
          <t>MAT-09-030</t>
        </is>
      </c>
      <c r="B546" s="4" t="inlineStr">
        <is>
          <t>Bomba centrífuga de 3 HP</t>
        </is>
      </c>
      <c r="C546" s="7" t="inlineStr">
        <is>
          <t>unidad</t>
        </is>
      </c>
      <c r="D546" s="8" t="n"/>
      <c r="E546" s="8" t="n">
        <v>23699</v>
      </c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>
        <f>IF(COUNT(D546:V546)=0,"",MIN(D546:V546))</f>
        <v/>
      </c>
      <c r="X546" s="8">
        <f>IF(COUNT(D546:V546)=0,"",MEDIAN(D546:V546))</f>
        <v/>
      </c>
      <c r="Y546" s="8">
        <f>IF(COUNT(D546:V546)=0,"",MAX(D546:V546))</f>
        <v/>
      </c>
      <c r="Z546" s="9">
        <f>IF(OR(W546="",W546=0),"",(Y546-W546)/W546)</f>
        <v/>
      </c>
      <c r="AA546" s="7">
        <f>IF(COUNT(D546:V546)=0,"",INDEX($D$1:$V$1,MATCH(MIN(D546:V546),D546:V546,0)))</f>
        <v/>
      </c>
      <c r="AB546" s="8" t="n">
        <v>23699</v>
      </c>
      <c r="AC546" s="10" t="n">
        <v>1</v>
      </c>
    </row>
    <row r="547">
      <c r="A547" s="7" t="inlineStr">
        <is>
          <t>MAT-09-031</t>
        </is>
      </c>
      <c r="B547" s="4" t="inlineStr">
        <is>
          <t>Bomba centrífuga de 3/4 HP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>
        <v>7849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>
        <f>IF(COUNT(D547:V547)=0,"",MIN(D547:V547))</f>
        <v/>
      </c>
      <c r="X547" s="8">
        <f>IF(COUNT(D547:V547)=0,"",MEDIAN(D547:V547))</f>
        <v/>
      </c>
      <c r="Y547" s="8">
        <f>IF(COUNT(D547:V547)=0,"",MAX(D547:V547))</f>
        <v/>
      </c>
      <c r="Z547" s="9">
        <f>IF(OR(W547="",W547=0),"",(Y547-W547)/W547)</f>
        <v/>
      </c>
      <c r="AA547" s="7">
        <f>IF(COUNT(D547:V547)=0,"",INDEX($D$1:$V$1,MATCH(MIN(D547:V547),D547:V547,0)))</f>
        <v/>
      </c>
      <c r="AB547" s="8" t="n">
        <v>8672</v>
      </c>
      <c r="AC547" s="10" t="n">
        <v>1</v>
      </c>
    </row>
    <row r="548">
      <c r="A548" s="7" t="inlineStr">
        <is>
          <t>MAT-09-032</t>
        </is>
      </c>
      <c r="B548" s="4" t="inlineStr">
        <is>
          <t>Bomba centrífuga de 6 1/2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13189</v>
      </c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>
        <f>IF(COUNT(D548:V548)=0,"",MIN(D548:V548))</f>
        <v/>
      </c>
      <c r="X548" s="8">
        <f>IF(COUNT(D548:V548)=0,"",MEDIAN(D548:V548))</f>
        <v/>
      </c>
      <c r="Y548" s="8">
        <f>IF(COUNT(D548:V548)=0,"",MAX(D548:V548))</f>
        <v/>
      </c>
      <c r="Z548" s="9">
        <f>IF(OR(W548="",W548=0),"",(Y548-W548)/W548)</f>
        <v/>
      </c>
      <c r="AA548" s="7">
        <f>IF(COUNT(D548:V548)=0,"",INDEX($D$1:$V$1,MATCH(MIN(D548:V548),D548:V548,0)))</f>
        <v/>
      </c>
      <c r="AB548" s="8" t="n">
        <v>13189</v>
      </c>
      <c r="AC548" s="10" t="n">
        <v>1</v>
      </c>
    </row>
    <row r="549">
      <c r="A549" s="7" t="inlineStr">
        <is>
          <t>MAT-09-033</t>
        </is>
      </c>
      <c r="B549" s="4" t="inlineStr">
        <is>
          <t>Bomba de cisterna de 1/2 HP</t>
        </is>
      </c>
      <c r="C549" s="7" t="inlineStr">
        <is>
          <t>unidad</t>
        </is>
      </c>
      <c r="D549" s="8" t="n"/>
      <c r="E549" s="8" t="n"/>
      <c r="F549" s="8" t="n"/>
      <c r="G549" s="8" t="n">
        <v>7106</v>
      </c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>
        <f>IF(COUNT(D549:V549)=0,"",MIN(D549:V549))</f>
        <v/>
      </c>
      <c r="X549" s="8">
        <f>IF(COUNT(D549:V549)=0,"",MEDIAN(D549:V549))</f>
        <v/>
      </c>
      <c r="Y549" s="8">
        <f>IF(COUNT(D549:V549)=0,"",MAX(D549:V549))</f>
        <v/>
      </c>
      <c r="Z549" s="9">
        <f>IF(OR(W549="",W549=0),"",(Y549-W549)/W549)</f>
        <v/>
      </c>
      <c r="AA549" s="7">
        <f>IF(COUNT(D549:V549)=0,"",INDEX($D$1:$V$1,MATCH(MIN(D549:V549),D549:V549,0)))</f>
        <v/>
      </c>
      <c r="AB549" s="8" t="n">
        <v>7106</v>
      </c>
      <c r="AC549" s="10" t="n">
        <v>1</v>
      </c>
    </row>
    <row r="550">
      <c r="A550" s="7" t="inlineStr">
        <is>
          <t>MAT-09-034</t>
        </is>
      </c>
      <c r="B550" s="4" t="inlineStr">
        <is>
          <t>Bomba ladrona de 1/2 HP</t>
        </is>
      </c>
      <c r="C550" s="7" t="inlineStr">
        <is>
          <t>unidad</t>
        </is>
      </c>
      <c r="D550" s="8" t="n"/>
      <c r="E550" s="8" t="n"/>
      <c r="F550" s="8" t="n"/>
      <c r="G550" s="8" t="n">
        <v>2670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>
        <f>IF(COUNT(D550:V550)=0,"",MIN(D550:V550))</f>
        <v/>
      </c>
      <c r="X550" s="8">
        <f>IF(COUNT(D550:V550)=0,"",MEDIAN(D550:V550))</f>
        <v/>
      </c>
      <c r="Y550" s="8">
        <f>IF(COUNT(D550:V550)=0,"",MAX(D550:V550))</f>
        <v/>
      </c>
      <c r="Z550" s="9">
        <f>IF(OR(W550="",W550=0),"",(Y550-W550)/W550)</f>
        <v/>
      </c>
      <c r="AA550" s="7">
        <f>IF(COUNT(D550:V550)=0,"",INDEX($D$1:$V$1,MATCH(MIN(D550:V550),D550:V550,0)))</f>
        <v/>
      </c>
      <c r="AB550" s="8" t="n">
        <v>3957</v>
      </c>
      <c r="AC550" s="10" t="n">
        <v>1</v>
      </c>
    </row>
    <row r="551">
      <c r="A551" s="7" t="inlineStr">
        <is>
          <t>MAT-09-035</t>
        </is>
      </c>
      <c r="B551" s="4" t="inlineStr">
        <is>
          <t>Bomba periférica de 1 HP</t>
        </is>
      </c>
      <c r="C551" s="7" t="inlineStr">
        <is>
          <t>unidad</t>
        </is>
      </c>
      <c r="D551" s="8" t="n"/>
      <c r="E551" s="8" t="n"/>
      <c r="F551" s="8" t="n"/>
      <c r="G551" s="8" t="n"/>
      <c r="H551" s="8" t="n"/>
      <c r="I551" s="8" t="n">
        <v>5719</v>
      </c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>
        <f>IF(COUNT(D551:V551)=0,"",MIN(D551:V551))</f>
        <v/>
      </c>
      <c r="X551" s="8">
        <f>IF(COUNT(D551:V551)=0,"",MEDIAN(D551:V551))</f>
        <v/>
      </c>
      <c r="Y551" s="8">
        <f>IF(COUNT(D551:V551)=0,"",MAX(D551:V551))</f>
        <v/>
      </c>
      <c r="Z551" s="9">
        <f>IF(OR(W551="",W551=0),"",(Y551-W551)/W551)</f>
        <v/>
      </c>
      <c r="AA551" s="7">
        <f>IF(COUNT(D551:V551)=0,"",INDEX($D$1:$V$1,MATCH(MIN(D551:V551),D551:V551,0)))</f>
        <v/>
      </c>
      <c r="AB551" s="8" t="n">
        <v>5719</v>
      </c>
      <c r="AC551" s="10" t="n">
        <v>1</v>
      </c>
    </row>
    <row r="552">
      <c r="A552" s="7" t="inlineStr">
        <is>
          <t>MAT-09-036</t>
        </is>
      </c>
      <c r="B552" s="4" t="inlineStr">
        <is>
          <t>Bomba periférica de 1/2 HP</t>
        </is>
      </c>
      <c r="C552" s="7" t="inlineStr">
        <is>
          <t>unidad</t>
        </is>
      </c>
      <c r="D552" s="8" t="n"/>
      <c r="E552" s="8" t="n"/>
      <c r="F552" s="8" t="n"/>
      <c r="G552" s="8" t="n"/>
      <c r="H552" s="8" t="n"/>
      <c r="I552" s="8" t="n">
        <v>1995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>
        <f>IF(COUNT(D552:V552)=0,"",MIN(D552:V552))</f>
        <v/>
      </c>
      <c r="X552" s="8">
        <f>IF(COUNT(D552:V552)=0,"",MEDIAN(D552:V552))</f>
        <v/>
      </c>
      <c r="Y552" s="8">
        <f>IF(COUNT(D552:V552)=0,"",MAX(D552:V552))</f>
        <v/>
      </c>
      <c r="Z552" s="9">
        <f>IF(OR(W552="",W552=0),"",(Y552-W552)/W552)</f>
        <v/>
      </c>
      <c r="AA552" s="7">
        <f>IF(COUNT(D552:V552)=0,"",INDEX($D$1:$V$1,MATCH(MIN(D552:V552),D552:V552,0)))</f>
        <v/>
      </c>
      <c r="AB552" s="8" t="n">
        <v>1995</v>
      </c>
      <c r="AC552" s="10" t="n">
        <v>1</v>
      </c>
    </row>
    <row r="553">
      <c r="A553" s="7" t="inlineStr">
        <is>
          <t>MAT-09-037</t>
        </is>
      </c>
      <c r="B553" s="4" t="inlineStr">
        <is>
          <t>Bomba periférica de 3/4 HP</t>
        </is>
      </c>
      <c r="C553" s="7" t="inlineStr">
        <is>
          <t>unidad</t>
        </is>
      </c>
      <c r="D553" s="8" t="n"/>
      <c r="E553" s="8" t="n"/>
      <c r="F553" s="8" t="n"/>
      <c r="G553" s="8" t="n"/>
      <c r="H553" s="8" t="n"/>
      <c r="I553" s="8" t="n">
        <v>5079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>
        <f>IF(COUNT(D553:V553)=0,"",MIN(D553:V553))</f>
        <v/>
      </c>
      <c r="X553" s="8">
        <f>IF(COUNT(D553:V553)=0,"",MEDIAN(D553:V553))</f>
        <v/>
      </c>
      <c r="Y553" s="8">
        <f>IF(COUNT(D553:V553)=0,"",MAX(D553:V553))</f>
        <v/>
      </c>
      <c r="Z553" s="9">
        <f>IF(OR(W553="",W553=0),"",(Y553-W553)/W553)</f>
        <v/>
      </c>
      <c r="AA553" s="7">
        <f>IF(COUNT(D553:V553)=0,"",INDEX($D$1:$V$1,MATCH(MIN(D553:V553),D553:V553,0)))</f>
        <v/>
      </c>
      <c r="AB553" s="8" t="n">
        <v>5079</v>
      </c>
      <c r="AC553" s="10" t="n">
        <v>1</v>
      </c>
    </row>
    <row r="554">
      <c r="A554" s="7" t="inlineStr">
        <is>
          <t>MAT-09-038</t>
        </is>
      </c>
      <c r="B554" s="4" t="inlineStr">
        <is>
          <t>Bomba presurizadora de 1/2 HP</t>
        </is>
      </c>
      <c r="C554" s="7" t="inlineStr">
        <is>
          <t>unidad</t>
        </is>
      </c>
      <c r="D554" s="8" t="n"/>
      <c r="E554" s="8" t="n"/>
      <c r="F554" s="8" t="n"/>
      <c r="G554" s="8" t="n">
        <v>5075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>
        <f>IF(COUNT(D554:V554)=0,"",MIN(D554:V554))</f>
        <v/>
      </c>
      <c r="X554" s="8">
        <f>IF(COUNT(D554:V554)=0,"",MEDIAN(D554:V554))</f>
        <v/>
      </c>
      <c r="Y554" s="8">
        <f>IF(COUNT(D554:V554)=0,"",MAX(D554:V554))</f>
        <v/>
      </c>
      <c r="Z554" s="9">
        <f>IF(OR(W554="",W554=0),"",(Y554-W554)/W554)</f>
        <v/>
      </c>
      <c r="AA554" s="7">
        <f>IF(COUNT(D554:V554)=0,"",INDEX($D$1:$V$1,MATCH(MIN(D554:V554),D554:V554,0)))</f>
        <v/>
      </c>
      <c r="AB554" s="8" t="n">
        <v>5075</v>
      </c>
      <c r="AC554" s="10" t="n">
        <v>1</v>
      </c>
    </row>
    <row r="555">
      <c r="A555" s="7" t="inlineStr">
        <is>
          <t>MAT-09-039</t>
        </is>
      </c>
      <c r="B555" s="4" t="inlineStr">
        <is>
          <t>Bomba presurizadora de 1/3 HP</t>
        </is>
      </c>
      <c r="C555" s="7" t="inlineStr">
        <is>
          <t>unidad</t>
        </is>
      </c>
      <c r="D555" s="8" t="n"/>
      <c r="E555" s="8" t="n"/>
      <c r="F555" s="8" t="n"/>
      <c r="G555" s="8" t="n">
        <v>4914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>
        <f>IF(COUNT(D555:V555)=0,"",MIN(D555:V555))</f>
        <v/>
      </c>
      <c r="X555" s="8">
        <f>IF(COUNT(D555:V555)=0,"",MEDIAN(D555:V555))</f>
        <v/>
      </c>
      <c r="Y555" s="8">
        <f>IF(COUNT(D555:V555)=0,"",MAX(D555:V555))</f>
        <v/>
      </c>
      <c r="Z555" s="9">
        <f>IF(OR(W555="",W555=0),"",(Y555-W555)/W555)</f>
        <v/>
      </c>
      <c r="AA555" s="7">
        <f>IF(COUNT(D555:V555)=0,"",INDEX($D$1:$V$1,MATCH(MIN(D555:V555),D555:V555,0)))</f>
        <v/>
      </c>
      <c r="AB555" s="8" t="n">
        <v>4914</v>
      </c>
      <c r="AC555" s="10" t="n">
        <v>1</v>
      </c>
    </row>
    <row r="556">
      <c r="A556" s="7" t="inlineStr">
        <is>
          <t>MAT-09-040</t>
        </is>
      </c>
      <c r="B556" s="4" t="inlineStr">
        <is>
          <t>Bomba presurizadora de 1/6 HP</t>
        </is>
      </c>
      <c r="C556" s="7" t="inlineStr">
        <is>
          <t>unidad</t>
        </is>
      </c>
      <c r="D556" s="8" t="n"/>
      <c r="E556" s="8" t="n"/>
      <c r="F556" s="8" t="n"/>
      <c r="G556" s="8" t="n">
        <v>2911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>
        <f>IF(COUNT(D556:V556)=0,"",MIN(D556:V556))</f>
        <v/>
      </c>
      <c r="X556" s="8">
        <f>IF(COUNT(D556:V556)=0,"",MEDIAN(D556:V556))</f>
        <v/>
      </c>
      <c r="Y556" s="8">
        <f>IF(COUNT(D556:V556)=0,"",MAX(D556:V556))</f>
        <v/>
      </c>
      <c r="Z556" s="9">
        <f>IF(OR(W556="",W556=0),"",(Y556-W556)/W556)</f>
        <v/>
      </c>
      <c r="AA556" s="7">
        <f>IF(COUNT(D556:V556)=0,"",INDEX($D$1:$V$1,MATCH(MIN(D556:V556),D556:V556,0)))</f>
        <v/>
      </c>
      <c r="AB556" s="8" t="n">
        <v>2911</v>
      </c>
      <c r="AC556" s="10" t="n">
        <v>1</v>
      </c>
    </row>
    <row r="557">
      <c r="A557" s="7" t="inlineStr">
        <is>
          <t>MAT-09-041</t>
        </is>
      </c>
      <c r="B557" s="4" t="inlineStr">
        <is>
          <t>Bomba sumergible de 1 HP</t>
        </is>
      </c>
      <c r="C557" s="7" t="inlineStr">
        <is>
          <t>unidad</t>
        </is>
      </c>
      <c r="D557" s="8" t="n"/>
      <c r="E557" s="8" t="n">
        <v>5512</v>
      </c>
      <c r="F557" s="8" t="n"/>
      <c r="G557" s="8" t="n"/>
      <c r="H557" s="8" t="n"/>
      <c r="I557" s="8" t="n">
        <v>1920</v>
      </c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>
        <f>IF(COUNT(D557:V557)=0,"",MIN(D557:V557))</f>
        <v/>
      </c>
      <c r="X557" s="8">
        <f>IF(COUNT(D557:V557)=0,"",MEDIAN(D557:V557))</f>
        <v/>
      </c>
      <c r="Y557" s="8">
        <f>IF(COUNT(D557:V557)=0,"",MAX(D557:V557))</f>
        <v/>
      </c>
      <c r="Z557" s="9">
        <f>IF(OR(W557="",W557=0),"",(Y557-W557)/W557)</f>
        <v/>
      </c>
      <c r="AA557" s="7">
        <f>IF(COUNT(D557:V557)=0,"",INDEX($D$1:$V$1,MATCH(MIN(D557:V557),D557:V557,0)))</f>
        <v/>
      </c>
      <c r="AB557" s="8" t="n">
        <v>7860</v>
      </c>
      <c r="AC557" s="10" t="n">
        <v>2</v>
      </c>
    </row>
    <row r="558">
      <c r="A558" s="7" t="inlineStr">
        <is>
          <t>MAT-09-042</t>
        </is>
      </c>
      <c r="B558" s="4" t="inlineStr">
        <is>
          <t>Bomba sumergible de 1 1/2 HP</t>
        </is>
      </c>
      <c r="C558" s="7" t="inlineStr">
        <is>
          <t>unidad</t>
        </is>
      </c>
      <c r="D558" s="8" t="n"/>
      <c r="E558" s="8" t="n">
        <v>6623</v>
      </c>
      <c r="F558" s="8" t="n"/>
      <c r="G558" s="8" t="n"/>
      <c r="H558" s="8" t="n"/>
      <c r="I558" s="8" t="n">
        <v>14569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>
        <f>IF(COUNT(D558:V558)=0,"",MIN(D558:V558))</f>
        <v/>
      </c>
      <c r="X558" s="8">
        <f>IF(COUNT(D558:V558)=0,"",MEDIAN(D558:V558))</f>
        <v/>
      </c>
      <c r="Y558" s="8">
        <f>IF(COUNT(D558:V558)=0,"",MAX(D558:V558))</f>
        <v/>
      </c>
      <c r="Z558" s="9">
        <f>IF(OR(W558="",W558=0),"",(Y558-W558)/W558)</f>
        <v/>
      </c>
      <c r="AA558" s="7">
        <f>IF(COUNT(D558:V558)=0,"",INDEX($D$1:$V$1,MATCH(MIN(D558:V558),D558:V558,0)))</f>
        <v/>
      </c>
      <c r="AB558" s="8" t="n">
        <v>13484</v>
      </c>
      <c r="AC558" s="10" t="n">
        <v>2</v>
      </c>
    </row>
    <row r="559">
      <c r="A559" s="7" t="inlineStr">
        <is>
          <t>MAT-09-043</t>
        </is>
      </c>
      <c r="B559" s="4" t="inlineStr">
        <is>
          <t>Bomba sumergible de 1/2 HP</t>
        </is>
      </c>
      <c r="C559" s="7" t="inlineStr">
        <is>
          <t>unidad</t>
        </is>
      </c>
      <c r="D559" s="8" t="n"/>
      <c r="E559" s="8" t="n">
        <v>5881</v>
      </c>
      <c r="F559" s="8" t="n"/>
      <c r="G559" s="8" t="n"/>
      <c r="H559" s="8" t="n"/>
      <c r="I559" s="8" t="n">
        <v>2835</v>
      </c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>
        <f>IF(COUNT(D559:V559)=0,"",MIN(D559:V559))</f>
        <v/>
      </c>
      <c r="X559" s="8">
        <f>IF(COUNT(D559:V559)=0,"",MEDIAN(D559:V559))</f>
        <v/>
      </c>
      <c r="Y559" s="8">
        <f>IF(COUNT(D559:V559)=0,"",MAX(D559:V559))</f>
        <v/>
      </c>
      <c r="Z559" s="9">
        <f>IF(OR(W559="",W559=0),"",(Y559-W559)/W559)</f>
        <v/>
      </c>
      <c r="AA559" s="7">
        <f>IF(COUNT(D559:V559)=0,"",INDEX($D$1:$V$1,MATCH(MIN(D559:V559),D559:V559,0)))</f>
        <v/>
      </c>
      <c r="AB559" s="8" t="n">
        <v>8167.5</v>
      </c>
      <c r="AC559" s="10" t="n">
        <v>2</v>
      </c>
    </row>
    <row r="560">
      <c r="A560" s="7" t="inlineStr">
        <is>
          <t>MAT-09-044</t>
        </is>
      </c>
      <c r="B560" s="4" t="inlineStr">
        <is>
          <t>Bomba sumergible de 1.5 HP</t>
        </is>
      </c>
      <c r="C560" s="7" t="inlineStr">
        <is>
          <t>unidad</t>
        </is>
      </c>
      <c r="D560" s="8" t="n"/>
      <c r="E560" s="8" t="n">
        <v>77553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>
        <f>IF(COUNT(D560:V560)=0,"",MIN(D560:V560))</f>
        <v/>
      </c>
      <c r="X560" s="8">
        <f>IF(COUNT(D560:V560)=0,"",MEDIAN(D560:V560))</f>
        <v/>
      </c>
      <c r="Y560" s="8">
        <f>IF(COUNT(D560:V560)=0,"",MAX(D560:V560))</f>
        <v/>
      </c>
      <c r="Z560" s="9">
        <f>IF(OR(W560="",W560=0),"",(Y560-W560)/W560)</f>
        <v/>
      </c>
      <c r="AA560" s="7">
        <f>IF(COUNT(D560:V560)=0,"",INDEX($D$1:$V$1,MATCH(MIN(D560:V560),D560:V560,0)))</f>
        <v/>
      </c>
      <c r="AB560" s="8" t="n">
        <v>77553</v>
      </c>
      <c r="AC560" s="10" t="n">
        <v>1</v>
      </c>
    </row>
    <row r="561">
      <c r="A561" s="7" t="inlineStr">
        <is>
          <t>MAT-09-045</t>
        </is>
      </c>
      <c r="B561" s="4" t="inlineStr">
        <is>
          <t>Bomba sumergible de 1/6 HP</t>
        </is>
      </c>
      <c r="C561" s="7" t="inlineStr">
        <is>
          <t>unidad</t>
        </is>
      </c>
      <c r="D561" s="8" t="n"/>
      <c r="E561" s="8" t="n">
        <v>21812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>
        <f>IF(COUNT(D561:V561)=0,"",MIN(D561:V561))</f>
        <v/>
      </c>
      <c r="X561" s="8">
        <f>IF(COUNT(D561:V561)=0,"",MEDIAN(D561:V561))</f>
        <v/>
      </c>
      <c r="Y561" s="8">
        <f>IF(COUNT(D561:V561)=0,"",MAX(D561:V561))</f>
        <v/>
      </c>
      <c r="Z561" s="9">
        <f>IF(OR(W561="",W561=0),"",(Y561-W561)/W561)</f>
        <v/>
      </c>
      <c r="AA561" s="7">
        <f>IF(COUNT(D561:V561)=0,"",INDEX($D$1:$V$1,MATCH(MIN(D561:V561),D561:V561,0)))</f>
        <v/>
      </c>
      <c r="AB561" s="8" t="n">
        <v>21812</v>
      </c>
      <c r="AC561" s="10" t="n">
        <v>1</v>
      </c>
    </row>
    <row r="562">
      <c r="A562" s="7" t="inlineStr">
        <is>
          <t>MAT-09-046</t>
        </is>
      </c>
      <c r="B562" s="4" t="inlineStr">
        <is>
          <t>Bomba sumergible de 10 HP</t>
        </is>
      </c>
      <c r="C562" s="7" t="inlineStr">
        <is>
          <t>unidad</t>
        </is>
      </c>
      <c r="D562" s="8" t="n"/>
      <c r="E562" s="8" t="n">
        <v>56995</v>
      </c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>
        <f>IF(COUNT(D562:V562)=0,"",MIN(D562:V562))</f>
        <v/>
      </c>
      <c r="X562" s="8">
        <f>IF(COUNT(D562:V562)=0,"",MEDIAN(D562:V562))</f>
        <v/>
      </c>
      <c r="Y562" s="8">
        <f>IF(COUNT(D562:V562)=0,"",MAX(D562:V562))</f>
        <v/>
      </c>
      <c r="Z562" s="9">
        <f>IF(OR(W562="",W562=0),"",(Y562-W562)/W562)</f>
        <v/>
      </c>
      <c r="AA562" s="7">
        <f>IF(COUNT(D562:V562)=0,"",INDEX($D$1:$V$1,MATCH(MIN(D562:V562),D562:V562,0)))</f>
        <v/>
      </c>
      <c r="AB562" s="8" t="n">
        <v>56995</v>
      </c>
      <c r="AC562" s="10" t="n">
        <v>1</v>
      </c>
    </row>
    <row r="563">
      <c r="A563" s="7" t="inlineStr">
        <is>
          <t>MAT-09-047</t>
        </is>
      </c>
      <c r="B563" s="4" t="inlineStr">
        <is>
          <t>Bomba sumergible de 2 HP</t>
        </is>
      </c>
      <c r="C563" s="7" t="inlineStr">
        <is>
          <t>unidad</t>
        </is>
      </c>
      <c r="D563" s="8" t="n"/>
      <c r="E563" s="8" t="n">
        <v>12859</v>
      </c>
      <c r="F563" s="8" t="n"/>
      <c r="G563" s="8" t="n"/>
      <c r="H563" s="8" t="n"/>
      <c r="I563" s="8" t="n">
        <v>16615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>
        <f>IF(COUNT(D563:V563)=0,"",MIN(D563:V563))</f>
        <v/>
      </c>
      <c r="X563" s="8">
        <f>IF(COUNT(D563:V563)=0,"",MEDIAN(D563:V563))</f>
        <v/>
      </c>
      <c r="Y563" s="8">
        <f>IF(COUNT(D563:V563)=0,"",MAX(D563:V563))</f>
        <v/>
      </c>
      <c r="Z563" s="9">
        <f>IF(OR(W563="",W563=0),"",(Y563-W563)/W563)</f>
        <v/>
      </c>
      <c r="AA563" s="7">
        <f>IF(COUNT(D563:V563)=0,"",INDEX($D$1:$V$1,MATCH(MIN(D563:V563),D563:V563,0)))</f>
        <v/>
      </c>
      <c r="AB563" s="8" t="n">
        <v>20127</v>
      </c>
      <c r="AC563" s="10" t="n">
        <v>2</v>
      </c>
    </row>
    <row r="564">
      <c r="A564" s="7" t="inlineStr">
        <is>
          <t>MAT-09-048</t>
        </is>
      </c>
      <c r="B564" s="4" t="inlineStr">
        <is>
          <t>Bomba sumergible de 3 HP</t>
        </is>
      </c>
      <c r="C564" s="7" t="inlineStr">
        <is>
          <t>unidad</t>
        </is>
      </c>
      <c r="D564" s="8" t="n"/>
      <c r="E564" s="8" t="n">
        <v>17345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>
        <f>IF(COUNT(D564:V564)=0,"",MIN(D564:V564))</f>
        <v/>
      </c>
      <c r="X564" s="8">
        <f>IF(COUNT(D564:V564)=0,"",MEDIAN(D564:V564))</f>
        <v/>
      </c>
      <c r="Y564" s="8">
        <f>IF(COUNT(D564:V564)=0,"",MAX(D564:V564))</f>
        <v/>
      </c>
      <c r="Z564" s="9">
        <f>IF(OR(W564="",W564=0),"",(Y564-W564)/W564)</f>
        <v/>
      </c>
      <c r="AA564" s="7">
        <f>IF(COUNT(D564:V564)=0,"",INDEX($D$1:$V$1,MATCH(MIN(D564:V564),D564:V564,0)))</f>
        <v/>
      </c>
      <c r="AB564" s="8" t="n">
        <v>23492.5</v>
      </c>
      <c r="AC564" s="10" t="n">
        <v>1</v>
      </c>
    </row>
    <row r="565">
      <c r="A565" s="7" t="inlineStr">
        <is>
          <t>MAT-09-049</t>
        </is>
      </c>
      <c r="B565" s="4" t="inlineStr">
        <is>
          <t>Bomba sumergible de 3/4 HP</t>
        </is>
      </c>
      <c r="C565" s="7" t="inlineStr">
        <is>
          <t>unidad</t>
        </is>
      </c>
      <c r="D565" s="8" t="n"/>
      <c r="E565" s="8" t="n">
        <v>5215</v>
      </c>
      <c r="F565" s="8" t="n"/>
      <c r="G565" s="8" t="n"/>
      <c r="H565" s="8" t="n"/>
      <c r="I565" s="8" t="n">
        <v>2999</v>
      </c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>
        <f>IF(COUNT(D565:V565)=0,"",MIN(D565:V565))</f>
        <v/>
      </c>
      <c r="X565" s="8">
        <f>IF(COUNT(D565:V565)=0,"",MEDIAN(D565:V565))</f>
        <v/>
      </c>
      <c r="Y565" s="8">
        <f>IF(COUNT(D565:V565)=0,"",MAX(D565:V565))</f>
        <v/>
      </c>
      <c r="Z565" s="9">
        <f>IF(OR(W565="",W565=0),"",(Y565-W565)/W565)</f>
        <v/>
      </c>
      <c r="AA565" s="7">
        <f>IF(COUNT(D565:V565)=0,"",INDEX($D$1:$V$1,MATCH(MIN(D565:V565),D565:V565,0)))</f>
        <v/>
      </c>
      <c r="AB565" s="8" t="n">
        <v>8599</v>
      </c>
      <c r="AC565" s="10" t="n">
        <v>2</v>
      </c>
    </row>
    <row r="566">
      <c r="A566" s="7" t="inlineStr">
        <is>
          <t>MAT-09-050</t>
        </is>
      </c>
      <c r="B566" s="4" t="inlineStr">
        <is>
          <t>Bomba sumergible de 5.5 HP</t>
        </is>
      </c>
      <c r="C566" s="7" t="inlineStr">
        <is>
          <t>unidad</t>
        </is>
      </c>
      <c r="D566" s="8" t="n"/>
      <c r="E566" s="8" t="n">
        <v>27049</v>
      </c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>
        <f>IF(COUNT(D566:V566)=0,"",MIN(D566:V566))</f>
        <v/>
      </c>
      <c r="X566" s="8">
        <f>IF(COUNT(D566:V566)=0,"",MEDIAN(D566:V566))</f>
        <v/>
      </c>
      <c r="Y566" s="8">
        <f>IF(COUNT(D566:V566)=0,"",MAX(D566:V566))</f>
        <v/>
      </c>
      <c r="Z566" s="9">
        <f>IF(OR(W566="",W566=0),"",(Y566-W566)/W566)</f>
        <v/>
      </c>
      <c r="AA566" s="7">
        <f>IF(COUNT(D566:V566)=0,"",INDEX($D$1:$V$1,MATCH(MIN(D566:V566),D566:V566,0)))</f>
        <v/>
      </c>
      <c r="AB566" s="8" t="n">
        <v>27049</v>
      </c>
      <c r="AC566" s="10" t="n">
        <v>1</v>
      </c>
    </row>
    <row r="567">
      <c r="A567" s="7" t="inlineStr">
        <is>
          <t>MAT-09-051</t>
        </is>
      </c>
      <c r="B567" s="4" t="inlineStr">
        <is>
          <t>Tanque presurizado de 24 litros</t>
        </is>
      </c>
      <c r="C567" s="7" t="inlineStr">
        <is>
          <t>unidad</t>
        </is>
      </c>
      <c r="D567" s="8" t="n"/>
      <c r="E567" s="8" t="n"/>
      <c r="F567" s="8" t="n"/>
      <c r="G567" s="8" t="n">
        <v>1825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>
        <f>IF(COUNT(D567:V567)=0,"",MIN(D567:V567))</f>
        <v/>
      </c>
      <c r="X567" s="8">
        <f>IF(COUNT(D567:V567)=0,"",MEDIAN(D567:V567))</f>
        <v/>
      </c>
      <c r="Y567" s="8">
        <f>IF(COUNT(D567:V567)=0,"",MAX(D567:V567))</f>
        <v/>
      </c>
      <c r="Z567" s="9">
        <f>IF(OR(W567="",W567=0),"",(Y567-W567)/W567)</f>
        <v/>
      </c>
      <c r="AA567" s="7">
        <f>IF(COUNT(D567:V567)=0,"",INDEX($D$1:$V$1,MATCH(MIN(D567:V567),D567:V567,0)))</f>
        <v/>
      </c>
      <c r="AB567" s="8" t="n">
        <v>1825</v>
      </c>
      <c r="AC567" s="10" t="n">
        <v>1</v>
      </c>
    </row>
    <row r="568">
      <c r="A568" s="7" t="inlineStr">
        <is>
          <t>MAT-09-052</t>
        </is>
      </c>
      <c r="B568" s="4" t="inlineStr">
        <is>
          <t>Interruptor automático de presión 20–40 PSI</t>
        </is>
      </c>
      <c r="C568" s="7" t="inlineStr">
        <is>
          <t>unidad</t>
        </is>
      </c>
      <c r="D568" s="8" t="n"/>
      <c r="E568" s="8" t="n"/>
      <c r="F568" s="8" t="n"/>
      <c r="G568" s="8" t="n">
        <v>1666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>
        <f>IF(COUNT(D568:V568)=0,"",MIN(D568:V568))</f>
        <v/>
      </c>
      <c r="X568" s="8">
        <f>IF(COUNT(D568:V568)=0,"",MEDIAN(D568:V568))</f>
        <v/>
      </c>
      <c r="Y568" s="8">
        <f>IF(COUNT(D568:V568)=0,"",MAX(D568:V568))</f>
        <v/>
      </c>
      <c r="Z568" s="9">
        <f>IF(OR(W568="",W568=0),"",(Y568-W568)/W568)</f>
        <v/>
      </c>
      <c r="AA568" s="7">
        <f>IF(COUNT(D568:V568)=0,"",INDEX($D$1:$V$1,MATCH(MIN(D568:V568),D568:V568,0)))</f>
        <v/>
      </c>
      <c r="AB568" s="8" t="n">
        <v>1666</v>
      </c>
      <c r="AC568" s="10" t="n">
        <v>1</v>
      </c>
    </row>
    <row r="569">
      <c r="A569" s="7" t="inlineStr">
        <is>
          <t>MAT-09-053</t>
        </is>
      </c>
      <c r="B569" s="4" t="inlineStr">
        <is>
          <t>Interruptor automático de presión 30–50 PSI</t>
        </is>
      </c>
      <c r="C569" s="7" t="inlineStr">
        <is>
          <t>unidad</t>
        </is>
      </c>
      <c r="D569" s="8" t="n"/>
      <c r="E569" s="8" t="n"/>
      <c r="F569" s="8" t="n"/>
      <c r="G569" s="8" t="n">
        <v>1631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>
        <f>IF(COUNT(D569:V569)=0,"",MIN(D569:V569))</f>
        <v/>
      </c>
      <c r="X569" s="8">
        <f>IF(COUNT(D569:V569)=0,"",MEDIAN(D569:V569))</f>
        <v/>
      </c>
      <c r="Y569" s="8">
        <f>IF(COUNT(D569:V569)=0,"",MAX(D569:V569))</f>
        <v/>
      </c>
      <c r="Z569" s="9">
        <f>IF(OR(W569="",W569=0),"",(Y569-W569)/W569)</f>
        <v/>
      </c>
      <c r="AA569" s="7">
        <f>IF(COUNT(D569:V569)=0,"",INDEX($D$1:$V$1,MATCH(MIN(D569:V569),D569:V569,0)))</f>
        <v/>
      </c>
      <c r="AB569" s="8" t="n">
        <v>1631</v>
      </c>
      <c r="AC569" s="10" t="n">
        <v>1</v>
      </c>
    </row>
    <row r="570">
      <c r="A570" s="7" t="inlineStr">
        <is>
          <t>MAT-09-054</t>
        </is>
      </c>
      <c r="B570" s="4" t="inlineStr">
        <is>
          <t>Interruptor automático de presión 40–60 PSI</t>
        </is>
      </c>
      <c r="C570" s="7" t="inlineStr">
        <is>
          <t>unidad</t>
        </is>
      </c>
      <c r="D570" s="8" t="n"/>
      <c r="E570" s="8" t="n"/>
      <c r="F570" s="8" t="n"/>
      <c r="G570" s="8" t="n">
        <v>1688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>
        <f>IF(COUNT(D570:V570)=0,"",MIN(D570:V570))</f>
        <v/>
      </c>
      <c r="X570" s="8">
        <f>IF(COUNT(D570:V570)=0,"",MEDIAN(D570:V570))</f>
        <v/>
      </c>
      <c r="Y570" s="8">
        <f>IF(COUNT(D570:V570)=0,"",MAX(D570:V570))</f>
        <v/>
      </c>
      <c r="Z570" s="9">
        <f>IF(OR(W570="",W570=0),"",(Y570-W570)/W570)</f>
        <v/>
      </c>
      <c r="AA570" s="7">
        <f>IF(COUNT(D570:V570)=0,"",INDEX($D$1:$V$1,MATCH(MIN(D570:V570),D570:V570,0)))</f>
        <v/>
      </c>
      <c r="AB570" s="8" t="n">
        <v>1688</v>
      </c>
      <c r="AC570" s="10" t="n">
        <v>1</v>
      </c>
    </row>
    <row r="571">
      <c r="A571" s="7" t="inlineStr">
        <is>
          <t>MAT-09-055</t>
        </is>
      </c>
      <c r="B571" s="4" t="inlineStr">
        <is>
          <t>Interruptor de flotante eléctrico</t>
        </is>
      </c>
      <c r="C571" s="7" t="inlineStr">
        <is>
          <t>unidad</t>
        </is>
      </c>
      <c r="D571" s="8" t="n"/>
      <c r="E571" s="8" t="n"/>
      <c r="F571" s="8" t="n"/>
      <c r="G571" s="8" t="n">
        <v>690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>
        <f>IF(COUNT(D571:V571)=0,"",MIN(D571:V571))</f>
        <v/>
      </c>
      <c r="X571" s="8">
        <f>IF(COUNT(D571:V571)=0,"",MEDIAN(D571:V571))</f>
        <v/>
      </c>
      <c r="Y571" s="8">
        <f>IF(COUNT(D571:V571)=0,"",MAX(D571:V571))</f>
        <v/>
      </c>
      <c r="Z571" s="9">
        <f>IF(OR(W571="",W571=0),"",(Y571-W571)/W571)</f>
        <v/>
      </c>
      <c r="AA571" s="7">
        <f>IF(COUNT(D571:V571)=0,"",INDEX($D$1:$V$1,MATCH(MIN(D571:V571),D571:V571,0)))</f>
        <v/>
      </c>
      <c r="AB571" s="8" t="n">
        <v>1072</v>
      </c>
      <c r="AC571" s="10" t="n">
        <v>1</v>
      </c>
    </row>
    <row r="572">
      <c r="A572" s="7" t="inlineStr">
        <is>
          <t>MAT-09-056</t>
        </is>
      </c>
      <c r="B572" s="4" t="inlineStr">
        <is>
          <t>Control automático de bomba 1"</t>
        </is>
      </c>
      <c r="C572" s="7" t="inlineStr">
        <is>
          <t>unidad</t>
        </is>
      </c>
      <c r="D572" s="8" t="n"/>
      <c r="E572" s="8" t="n"/>
      <c r="F572" s="8" t="n"/>
      <c r="G572" s="8" t="n">
        <v>3178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>
        <f>IF(COUNT(D572:V572)=0,"",MIN(D572:V572))</f>
        <v/>
      </c>
      <c r="X572" s="8">
        <f>IF(COUNT(D572:V572)=0,"",MEDIAN(D572:V572))</f>
        <v/>
      </c>
      <c r="Y572" s="8">
        <f>IF(COUNT(D572:V572)=0,"",MAX(D572:V572))</f>
        <v/>
      </c>
      <c r="Z572" s="9">
        <f>IF(OR(W572="",W572=0),"",(Y572-W572)/W572)</f>
        <v/>
      </c>
      <c r="AA572" s="7">
        <f>IF(COUNT(D572:V572)=0,"",INDEX($D$1:$V$1,MATCH(MIN(D572:V572),D572:V572,0)))</f>
        <v/>
      </c>
      <c r="AB572" s="8" t="n">
        <v>3178</v>
      </c>
      <c r="AC572" s="10" t="n">
        <v>1</v>
      </c>
    </row>
    <row r="573">
      <c r="A573" s="7" t="inlineStr">
        <is>
          <t>MAT-09-057</t>
        </is>
      </c>
      <c r="B573" s="4" t="inlineStr">
        <is>
          <t>Manómetro de glicerina de 150 PSI</t>
        </is>
      </c>
      <c r="C573" s="7" t="inlineStr">
        <is>
          <t>unidad</t>
        </is>
      </c>
      <c r="D573" s="8" t="n"/>
      <c r="E573" s="8" t="n"/>
      <c r="F573" s="8" t="n"/>
      <c r="G573" s="8" t="n">
        <v>990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>
        <f>IF(COUNT(D573:V573)=0,"",MIN(D573:V573))</f>
        <v/>
      </c>
      <c r="X573" s="8">
        <f>IF(COUNT(D573:V573)=0,"",MEDIAN(D573:V573))</f>
        <v/>
      </c>
      <c r="Y573" s="8">
        <f>IF(COUNT(D573:V573)=0,"",MAX(D573:V573))</f>
        <v/>
      </c>
      <c r="Z573" s="9">
        <f>IF(OR(W573="",W573=0),"",(Y573-W573)/W573)</f>
        <v/>
      </c>
      <c r="AA573" s="7">
        <f>IF(COUNT(D573:V573)=0,"",INDEX($D$1:$V$1,MATCH(MIN(D573:V573),D573:V573,0)))</f>
        <v/>
      </c>
      <c r="AB573" s="8" t="n">
        <v>990</v>
      </c>
      <c r="AC573" s="10" t="n">
        <v>1</v>
      </c>
    </row>
    <row r="574">
      <c r="A574" s="7" t="inlineStr">
        <is>
          <t>MAT-09-058</t>
        </is>
      </c>
      <c r="B574" s="4" t="inlineStr">
        <is>
          <t>Manómetro de glicerina de 90 PSI</t>
        </is>
      </c>
      <c r="C574" s="7" t="inlineStr">
        <is>
          <t>unidad</t>
        </is>
      </c>
      <c r="D574" s="8" t="n"/>
      <c r="E574" s="8" t="n"/>
      <c r="F574" s="8" t="n"/>
      <c r="G574" s="8" t="n">
        <v>905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>
        <f>IF(COUNT(D574:V574)=0,"",MIN(D574:V574))</f>
        <v/>
      </c>
      <c r="X574" s="8">
        <f>IF(COUNT(D574:V574)=0,"",MEDIAN(D574:V574))</f>
        <v/>
      </c>
      <c r="Y574" s="8">
        <f>IF(COUNT(D574:V574)=0,"",MAX(D574:V574))</f>
        <v/>
      </c>
      <c r="Z574" s="9">
        <f>IF(OR(W574="",W574=0),"",(Y574-W574)/W574)</f>
        <v/>
      </c>
      <c r="AA574" s="7">
        <f>IF(COUNT(D574:V574)=0,"",INDEX($D$1:$V$1,MATCH(MIN(D574:V574),D574:V574,0)))</f>
        <v/>
      </c>
      <c r="AB574" s="8" t="n">
        <v>905</v>
      </c>
      <c r="AC574" s="10" t="n">
        <v>1</v>
      </c>
    </row>
    <row r="575">
      <c r="A575" s="7" t="inlineStr">
        <is>
          <t>MAT-09-059</t>
        </is>
      </c>
      <c r="B575" s="4" t="inlineStr">
        <is>
          <t>Manómetro seco de 90 PSI</t>
        </is>
      </c>
      <c r="C575" s="7" t="inlineStr">
        <is>
          <t>unidad</t>
        </is>
      </c>
      <c r="D575" s="8" t="n"/>
      <c r="E575" s="8" t="n"/>
      <c r="F575" s="8" t="n"/>
      <c r="G575" s="8" t="n">
        <v>407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>
        <f>IF(COUNT(D575:V575)=0,"",MIN(D575:V575))</f>
        <v/>
      </c>
      <c r="X575" s="8">
        <f>IF(COUNT(D575:V575)=0,"",MEDIAN(D575:V575))</f>
        <v/>
      </c>
      <c r="Y575" s="8">
        <f>IF(COUNT(D575:V575)=0,"",MAX(D575:V575))</f>
        <v/>
      </c>
      <c r="Z575" s="9">
        <f>IF(OR(W575="",W575=0),"",(Y575-W575)/W575)</f>
        <v/>
      </c>
      <c r="AA575" s="7">
        <f>IF(COUNT(D575:V575)=0,"",INDEX($D$1:$V$1,MATCH(MIN(D575:V575),D575:V575,0)))</f>
        <v/>
      </c>
      <c r="AB575" s="8" t="n">
        <v>407</v>
      </c>
      <c r="AC575" s="10" t="n">
        <v>1</v>
      </c>
    </row>
    <row r="576">
      <c r="A576" s="7" t="inlineStr">
        <is>
          <t>MAT-09-060</t>
        </is>
      </c>
      <c r="B576" s="4" t="inlineStr">
        <is>
          <t>Calentador de agua a gas de 8 litros por minuto</t>
        </is>
      </c>
      <c r="C576" s="7" t="inlineStr">
        <is>
          <t>unidad</t>
        </is>
      </c>
      <c r="D576" s="8" t="n"/>
      <c r="E576" s="8" t="n"/>
      <c r="F576" s="8" t="n"/>
      <c r="G576" s="8" t="n">
        <v>5395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>
        <f>IF(COUNT(D576:V576)=0,"",MIN(D576:V576))</f>
        <v/>
      </c>
      <c r="X576" s="8">
        <f>IF(COUNT(D576:V576)=0,"",MEDIAN(D576:V576))</f>
        <v/>
      </c>
      <c r="Y576" s="8">
        <f>IF(COUNT(D576:V576)=0,"",MAX(D576:V576))</f>
        <v/>
      </c>
      <c r="Z576" s="9">
        <f>IF(OR(W576="",W576=0),"",(Y576-W576)/W576)</f>
        <v/>
      </c>
      <c r="AA576" s="7">
        <f>IF(COUNT(D576:V576)=0,"",INDEX($D$1:$V$1,MATCH(MIN(D576:V576),D576:V576,0)))</f>
        <v/>
      </c>
      <c r="AB576" s="8" t="n">
        <v>10670</v>
      </c>
      <c r="AC576" s="10" t="n">
        <v>1</v>
      </c>
    </row>
    <row r="577">
      <c r="A577" s="7" t="inlineStr">
        <is>
          <t>MAT-09-061</t>
        </is>
      </c>
      <c r="B577" s="4" t="inlineStr">
        <is>
          <t>Calentador de agua eléctrico de 6 galones</t>
        </is>
      </c>
      <c r="C577" s="7" t="inlineStr">
        <is>
          <t>unidad</t>
        </is>
      </c>
      <c r="D577" s="8" t="n"/>
      <c r="E577" s="8" t="n"/>
      <c r="F577" s="8" t="n"/>
      <c r="G577" s="8" t="n">
        <v>10291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>
        <f>IF(COUNT(D577:V577)=0,"",MIN(D577:V577))</f>
        <v/>
      </c>
      <c r="X577" s="8">
        <f>IF(COUNT(D577:V577)=0,"",MEDIAN(D577:V577))</f>
        <v/>
      </c>
      <c r="Y577" s="8">
        <f>IF(COUNT(D577:V577)=0,"",MAX(D577:V577))</f>
        <v/>
      </c>
      <c r="Z577" s="9">
        <f>IF(OR(W577="",W577=0),"",(Y577-W577)/W577)</f>
        <v/>
      </c>
      <c r="AA577" s="7">
        <f>IF(COUNT(D577:V577)=0,"",INDEX($D$1:$V$1,MATCH(MIN(D577:V577),D577:V577,0)))</f>
        <v/>
      </c>
      <c r="AB577" s="8" t="n">
        <v>10291</v>
      </c>
      <c r="AC577" s="10" t="n">
        <v>1</v>
      </c>
    </row>
    <row r="578">
      <c r="A578" s="7" t="inlineStr">
        <is>
          <t>MAT-09-062</t>
        </is>
      </c>
      <c r="B578" s="4" t="inlineStr">
        <is>
          <t>Calentador de agua eléctrico de 7 kW</t>
        </is>
      </c>
      <c r="C578" s="7" t="inlineStr">
        <is>
          <t>unidad</t>
        </is>
      </c>
      <c r="D578" s="8" t="n"/>
      <c r="E578" s="8" t="n"/>
      <c r="F578" s="8" t="n"/>
      <c r="G578" s="8" t="n">
        <v>20503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>
        <f>IF(COUNT(D578:V578)=0,"",MIN(D578:V578))</f>
        <v/>
      </c>
      <c r="X578" s="8">
        <f>IF(COUNT(D578:V578)=0,"",MEDIAN(D578:V578))</f>
        <v/>
      </c>
      <c r="Y578" s="8">
        <f>IF(COUNT(D578:V578)=0,"",MAX(D578:V578))</f>
        <v/>
      </c>
      <c r="Z578" s="9">
        <f>IF(OR(W578="",W578=0),"",(Y578-W578)/W578)</f>
        <v/>
      </c>
      <c r="AA578" s="7">
        <f>IF(COUNT(D578:V578)=0,"",INDEX($D$1:$V$1,MATCH(MIN(D578:V578),D578:V578,0)))</f>
        <v/>
      </c>
      <c r="AB578" s="8" t="n">
        <v>20503</v>
      </c>
      <c r="AC578" s="10" t="n">
        <v>1</v>
      </c>
    </row>
    <row r="579">
      <c r="A579" s="7" t="inlineStr">
        <is>
          <t>MAT-09-063</t>
        </is>
      </c>
      <c r="B579" s="4" t="inlineStr">
        <is>
          <t>Calentador de agua eléctrico de 8 galones</t>
        </is>
      </c>
      <c r="C579" s="7" t="inlineStr">
        <is>
          <t>unidad</t>
        </is>
      </c>
      <c r="D579" s="8" t="n"/>
      <c r="E579" s="8" t="n"/>
      <c r="F579" s="8" t="n"/>
      <c r="G579" s="8" t="n">
        <v>11717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>
        <f>IF(COUNT(D579:V579)=0,"",MIN(D579:V579))</f>
        <v/>
      </c>
      <c r="X579" s="8">
        <f>IF(COUNT(D579:V579)=0,"",MEDIAN(D579:V579))</f>
        <v/>
      </c>
      <c r="Y579" s="8">
        <f>IF(COUNT(D579:V579)=0,"",MAX(D579:V579))</f>
        <v/>
      </c>
      <c r="Z579" s="9">
        <f>IF(OR(W579="",W579=0),"",(Y579-W579)/W579)</f>
        <v/>
      </c>
      <c r="AA579" s="7">
        <f>IF(COUNT(D579:V579)=0,"",INDEX($D$1:$V$1,MATCH(MIN(D579:V579),D579:V579,0)))</f>
        <v/>
      </c>
      <c r="AB579" s="8" t="n">
        <v>11717</v>
      </c>
      <c r="AC579" s="10" t="n">
        <v>1</v>
      </c>
    </row>
    <row r="580">
      <c r="A580" s="7" t="inlineStr">
        <is>
          <t>MAT-09-064</t>
        </is>
      </c>
      <c r="B580" s="4" t="inlineStr">
        <is>
          <t>Cisterna de fibra de vidrio de 120 galones</t>
        </is>
      </c>
      <c r="C580" s="7" t="inlineStr">
        <is>
          <t>unidad</t>
        </is>
      </c>
      <c r="D580" s="8" t="n"/>
      <c r="E580" s="8" t="n"/>
      <c r="F580" s="8" t="n"/>
      <c r="G580" s="8" t="n">
        <v>17755</v>
      </c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>
        <f>IF(COUNT(D580:V580)=0,"",MIN(D580:V580))</f>
        <v/>
      </c>
      <c r="X580" s="8">
        <f>IF(COUNT(D580:V580)=0,"",MEDIAN(D580:V580))</f>
        <v/>
      </c>
      <c r="Y580" s="8">
        <f>IF(COUNT(D580:V580)=0,"",MAX(D580:V580))</f>
        <v/>
      </c>
      <c r="Z580" s="9">
        <f>IF(OR(W580="",W580=0),"",(Y580-W580)/W580)</f>
        <v/>
      </c>
      <c r="AA580" s="7">
        <f>IF(COUNT(D580:V580)=0,"",INDEX($D$1:$V$1,MATCH(MIN(D580:V580),D580:V580,0)))</f>
        <v/>
      </c>
      <c r="AB580" s="8" t="n">
        <v>17755</v>
      </c>
      <c r="AC580" s="10" t="n">
        <v>1</v>
      </c>
    </row>
    <row r="581">
      <c r="A581" s="7" t="inlineStr">
        <is>
          <t>MAT-09-065</t>
        </is>
      </c>
      <c r="B581" s="4" t="inlineStr">
        <is>
          <t>Cisterna de fibra de vidrio de 30 galones</t>
        </is>
      </c>
      <c r="C581" s="7" t="inlineStr">
        <is>
          <t>unidad</t>
        </is>
      </c>
      <c r="D581" s="8" t="n"/>
      <c r="E581" s="8" t="n"/>
      <c r="F581" s="8" t="n"/>
      <c r="G581" s="8" t="n">
        <v>5101</v>
      </c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>
        <f>IF(COUNT(D581:V581)=0,"",MIN(D581:V581))</f>
        <v/>
      </c>
      <c r="X581" s="8">
        <f>IF(COUNT(D581:V581)=0,"",MEDIAN(D581:V581))</f>
        <v/>
      </c>
      <c r="Y581" s="8">
        <f>IF(COUNT(D581:V581)=0,"",MAX(D581:V581))</f>
        <v/>
      </c>
      <c r="Z581" s="9">
        <f>IF(OR(W581="",W581=0),"",(Y581-W581)/W581)</f>
        <v/>
      </c>
      <c r="AA581" s="7">
        <f>IF(COUNT(D581:V581)=0,"",INDEX($D$1:$V$1,MATCH(MIN(D581:V581),D581:V581,0)))</f>
        <v/>
      </c>
      <c r="AB581" s="8" t="n">
        <v>5101</v>
      </c>
      <c r="AC581" s="10" t="n">
        <v>1</v>
      </c>
    </row>
    <row r="582">
      <c r="A582" s="7" t="inlineStr">
        <is>
          <t>MAT-09-066</t>
        </is>
      </c>
      <c r="B582" s="4" t="inlineStr">
        <is>
          <t>Cisterna de fibra de vidrio de 42 galones</t>
        </is>
      </c>
      <c r="C582" s="7" t="inlineStr">
        <is>
          <t>unidad</t>
        </is>
      </c>
      <c r="D582" s="8" t="n"/>
      <c r="E582" s="8" t="n"/>
      <c r="F582" s="8" t="n"/>
      <c r="G582" s="8" t="n">
        <v>7487</v>
      </c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>
        <f>IF(COUNT(D582:V582)=0,"",MIN(D582:V582))</f>
        <v/>
      </c>
      <c r="X582" s="8">
        <f>IF(COUNT(D582:V582)=0,"",MEDIAN(D582:V582))</f>
        <v/>
      </c>
      <c r="Y582" s="8">
        <f>IF(COUNT(D582:V582)=0,"",MAX(D582:V582))</f>
        <v/>
      </c>
      <c r="Z582" s="9">
        <f>IF(OR(W582="",W582=0),"",(Y582-W582)/W582)</f>
        <v/>
      </c>
      <c r="AA582" s="7">
        <f>IF(COUNT(D582:V582)=0,"",INDEX($D$1:$V$1,MATCH(MIN(D582:V582),D582:V582,0)))</f>
        <v/>
      </c>
      <c r="AB582" s="8" t="n">
        <v>10852</v>
      </c>
      <c r="AC582" s="10" t="n">
        <v>1</v>
      </c>
    </row>
    <row r="583">
      <c r="A583" s="7" t="inlineStr">
        <is>
          <t>MAT-09-067</t>
        </is>
      </c>
      <c r="B583" s="4" t="inlineStr">
        <is>
          <t>Cisterna de fibra de vidrio de 60 galones</t>
        </is>
      </c>
      <c r="C583" s="7" t="inlineStr">
        <is>
          <t>unidad</t>
        </is>
      </c>
      <c r="D583" s="8" t="n"/>
      <c r="E583" s="8" t="n"/>
      <c r="F583" s="8" t="n"/>
      <c r="G583" s="8" t="n">
        <v>10496</v>
      </c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>
        <f>IF(COUNT(D583:V583)=0,"",MIN(D583:V583))</f>
        <v/>
      </c>
      <c r="X583" s="8">
        <f>IF(COUNT(D583:V583)=0,"",MEDIAN(D583:V583))</f>
        <v/>
      </c>
      <c r="Y583" s="8">
        <f>IF(COUNT(D583:V583)=0,"",MAX(D583:V583))</f>
        <v/>
      </c>
      <c r="Z583" s="9">
        <f>IF(OR(W583="",W583=0),"",(Y583-W583)/W583)</f>
        <v/>
      </c>
      <c r="AA583" s="7">
        <f>IF(COUNT(D583:V583)=0,"",INDEX($D$1:$V$1,MATCH(MIN(D583:V583),D583:V583,0)))</f>
        <v/>
      </c>
      <c r="AB583" s="8" t="n">
        <v>12989</v>
      </c>
      <c r="AC583" s="10" t="n">
        <v>1</v>
      </c>
    </row>
    <row r="584">
      <c r="A584" s="7" t="inlineStr">
        <is>
          <t>MAT-09-068</t>
        </is>
      </c>
      <c r="B584" s="4" t="inlineStr">
        <is>
          <t>Cisterna de fibra de vidrio de 82 galones</t>
        </is>
      </c>
      <c r="C584" s="7" t="inlineStr">
        <is>
          <t>unidad</t>
        </is>
      </c>
      <c r="D584" s="8" t="n"/>
      <c r="E584" s="8" t="n"/>
      <c r="F584" s="8" t="n"/>
      <c r="G584" s="8" t="n">
        <v>9895</v>
      </c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>
        <f>IF(COUNT(D584:V584)=0,"",MIN(D584:V584))</f>
        <v/>
      </c>
      <c r="X584" s="8">
        <f>IF(COUNT(D584:V584)=0,"",MEDIAN(D584:V584))</f>
        <v/>
      </c>
      <c r="Y584" s="8">
        <f>IF(COUNT(D584:V584)=0,"",MAX(D584:V584))</f>
        <v/>
      </c>
      <c r="Z584" s="9">
        <f>IF(OR(W584="",W584=0),"",(Y584-W584)/W584)</f>
        <v/>
      </c>
      <c r="AA584" s="7">
        <f>IF(COUNT(D584:V584)=0,"",INDEX($D$1:$V$1,MATCH(MIN(D584:V584),D584:V584,0)))</f>
        <v/>
      </c>
      <c r="AB584" s="8" t="n">
        <v>9895</v>
      </c>
      <c r="AC584" s="10" t="n">
        <v>1</v>
      </c>
    </row>
    <row r="585">
      <c r="A585" s="7" t="inlineStr">
        <is>
          <t>MAT-09-069</t>
        </is>
      </c>
      <c r="B585" s="4" t="inlineStr">
        <is>
          <t>Tinaco de 1000 galones</t>
        </is>
      </c>
      <c r="C585" s="7" t="inlineStr">
        <is>
          <t>unidad</t>
        </is>
      </c>
      <c r="D585" s="8" t="n"/>
      <c r="E585" s="8" t="n">
        <v>35835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>
        <f>IF(COUNT(D585:V585)=0,"",MIN(D585:V585))</f>
        <v/>
      </c>
      <c r="X585" s="8">
        <f>IF(COUNT(D585:V585)=0,"",MEDIAN(D585:V585))</f>
        <v/>
      </c>
      <c r="Y585" s="8">
        <f>IF(COUNT(D585:V585)=0,"",MAX(D585:V585))</f>
        <v/>
      </c>
      <c r="Z585" s="9">
        <f>IF(OR(W585="",W585=0),"",(Y585-W585)/W585)</f>
        <v/>
      </c>
      <c r="AA585" s="7">
        <f>IF(COUNT(D585:V585)=0,"",INDEX($D$1:$V$1,MATCH(MIN(D585:V585),D585:V585,0)))</f>
        <v/>
      </c>
      <c r="AB585" s="8" t="n">
        <v>35835</v>
      </c>
      <c r="AC585" s="10" t="n">
        <v>1</v>
      </c>
    </row>
    <row r="586">
      <c r="A586" s="7" t="inlineStr">
        <is>
          <t>MAT-09-070</t>
        </is>
      </c>
      <c r="B586" s="4" t="inlineStr">
        <is>
          <t>Tinaco de 1100 galones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>
        <v>41115</v>
      </c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>
        <f>IF(COUNT(D586:V586)=0,"",MIN(D586:V586))</f>
        <v/>
      </c>
      <c r="X586" s="8">
        <f>IF(COUNT(D586:V586)=0,"",MEDIAN(D586:V586))</f>
        <v/>
      </c>
      <c r="Y586" s="8">
        <f>IF(COUNT(D586:V586)=0,"",MAX(D586:V586))</f>
        <v/>
      </c>
      <c r="Z586" s="9">
        <f>IF(OR(W586="",W586=0),"",(Y586-W586)/W586)</f>
        <v/>
      </c>
      <c r="AA586" s="7">
        <f>IF(COUNT(D586:V586)=0,"",INDEX($D$1:$V$1,MATCH(MIN(D586:V586),D586:V586,0)))</f>
        <v/>
      </c>
      <c r="AB586" s="8" t="n">
        <v>41115</v>
      </c>
      <c r="AC586" s="10" t="n">
        <v>1</v>
      </c>
    </row>
    <row r="587">
      <c r="A587" s="7" t="inlineStr">
        <is>
          <t>MAT-09-071</t>
        </is>
      </c>
      <c r="B587" s="4" t="inlineStr">
        <is>
          <t>Tinaco de 145 galones</t>
        </is>
      </c>
      <c r="C587" s="7" t="inlineStr">
        <is>
          <t>unidad</t>
        </is>
      </c>
      <c r="D587" s="8" t="n"/>
      <c r="E587" s="8" t="n">
        <v>4990</v>
      </c>
      <c r="F587" s="8" t="n"/>
      <c r="G587" s="8" t="n"/>
      <c r="H587" s="8" t="n"/>
      <c r="I587" s="8" t="n"/>
      <c r="J587" s="8" t="n"/>
      <c r="K587" s="8" t="n"/>
      <c r="L587" s="8" t="n">
        <v>5385</v>
      </c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>
        <f>IF(COUNT(D587:V587)=0,"",MIN(D587:V587))</f>
        <v/>
      </c>
      <c r="X587" s="8">
        <f>IF(COUNT(D587:V587)=0,"",MEDIAN(D587:V587))</f>
        <v/>
      </c>
      <c r="Y587" s="8">
        <f>IF(COUNT(D587:V587)=0,"",MAX(D587:V587))</f>
        <v/>
      </c>
      <c r="Z587" s="9">
        <f>IF(OR(W587="",W587=0),"",(Y587-W587)/W587)</f>
        <v/>
      </c>
      <c r="AA587" s="7">
        <f>IF(COUNT(D587:V587)=0,"",INDEX($D$1:$V$1,MATCH(MIN(D587:V587),D587:V587,0)))</f>
        <v/>
      </c>
      <c r="AB587" s="8" t="n">
        <v>5385</v>
      </c>
      <c r="AC587" s="10" t="n">
        <v>2</v>
      </c>
    </row>
    <row r="588">
      <c r="A588" s="7" t="inlineStr">
        <is>
          <t>MAT-09-072</t>
        </is>
      </c>
      <c r="B588" s="4" t="inlineStr">
        <is>
          <t>Tinaco de 200 galones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>
        <v>10469.3</v>
      </c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>
        <f>IF(COUNT(D588:V588)=0,"",MIN(D588:V588))</f>
        <v/>
      </c>
      <c r="X588" s="8">
        <f>IF(COUNT(D588:V588)=0,"",MEDIAN(D588:V588))</f>
        <v/>
      </c>
      <c r="Y588" s="8">
        <f>IF(COUNT(D588:V588)=0,"",MAX(D588:V588))</f>
        <v/>
      </c>
      <c r="Z588" s="9">
        <f>IF(OR(W588="",W588=0),"",(Y588-W588)/W588)</f>
        <v/>
      </c>
      <c r="AA588" s="7">
        <f>IF(COUNT(D588:V588)=0,"",INDEX($D$1:$V$1,MATCH(MIN(D588:V588),D588:V588,0)))</f>
        <v/>
      </c>
      <c r="AB588" s="8" t="n">
        <v>10469.3</v>
      </c>
      <c r="AC588" s="10" t="n">
        <v>1</v>
      </c>
    </row>
    <row r="589">
      <c r="A589" s="7" t="inlineStr">
        <is>
          <t>MAT-09-073</t>
        </is>
      </c>
      <c r="B589" s="4" t="inlineStr">
        <is>
          <t>Tinaco de 215 galones</t>
        </is>
      </c>
      <c r="C589" s="7" t="inlineStr">
        <is>
          <t>unidad</t>
        </is>
      </c>
      <c r="D589" s="8" t="n"/>
      <c r="E589" s="8" t="n">
        <v>6325</v>
      </c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>
        <f>IF(COUNT(D589:V589)=0,"",MIN(D589:V589))</f>
        <v/>
      </c>
      <c r="X589" s="8">
        <f>IF(COUNT(D589:V589)=0,"",MEDIAN(D589:V589))</f>
        <v/>
      </c>
      <c r="Y589" s="8">
        <f>IF(COUNT(D589:V589)=0,"",MAX(D589:V589))</f>
        <v/>
      </c>
      <c r="Z589" s="9">
        <f>IF(OR(W589="",W589=0),"",(Y589-W589)/W589)</f>
        <v/>
      </c>
      <c r="AA589" s="7">
        <f>IF(COUNT(D589:V589)=0,"",INDEX($D$1:$V$1,MATCH(MIN(D589:V589),D589:V589,0)))</f>
        <v/>
      </c>
      <c r="AB589" s="8" t="n">
        <v>6325</v>
      </c>
      <c r="AC589" s="10" t="n">
        <v>1</v>
      </c>
    </row>
    <row r="590">
      <c r="A590" s="7" t="inlineStr">
        <is>
          <t>MAT-09-074</t>
        </is>
      </c>
      <c r="B590" s="4" t="inlineStr">
        <is>
          <t>Tinaco de 250 galones</t>
        </is>
      </c>
      <c r="C590" s="7" t="inlineStr">
        <is>
          <t>unidad</t>
        </is>
      </c>
      <c r="D590" s="8" t="n"/>
      <c r="E590" s="8" t="n">
        <v>7125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>
        <f>IF(COUNT(D590:V590)=0,"",MIN(D590:V590))</f>
        <v/>
      </c>
      <c r="X590" s="8">
        <f>IF(COUNT(D590:V590)=0,"",MEDIAN(D590:V590))</f>
        <v/>
      </c>
      <c r="Y590" s="8">
        <f>IF(COUNT(D590:V590)=0,"",MAX(D590:V590))</f>
        <v/>
      </c>
      <c r="Z590" s="9">
        <f>IF(OR(W590="",W590=0),"",(Y590-W590)/W590)</f>
        <v/>
      </c>
      <c r="AA590" s="7">
        <f>IF(COUNT(D590:V590)=0,"",INDEX($D$1:$V$1,MATCH(MIN(D590:V590),D590:V590,0)))</f>
        <v/>
      </c>
      <c r="AB590" s="8" t="n">
        <v>7125</v>
      </c>
      <c r="AC590" s="10" t="n">
        <v>1</v>
      </c>
    </row>
    <row r="591">
      <c r="A591" s="7" t="inlineStr">
        <is>
          <t>MAT-09-075</t>
        </is>
      </c>
      <c r="B591" s="4" t="inlineStr">
        <is>
          <t>Tinaco de 255 galones</t>
        </is>
      </c>
      <c r="C591" s="7" t="inlineStr">
        <is>
          <t>unidad</t>
        </is>
      </c>
      <c r="D591" s="8" t="n"/>
      <c r="E591" s="8" t="n">
        <v>7664</v>
      </c>
      <c r="F591" s="8" t="n"/>
      <c r="G591" s="8" t="n"/>
      <c r="H591" s="8" t="n"/>
      <c r="I591" s="8" t="n">
        <v>8375</v>
      </c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>
        <f>IF(COUNT(D591:V591)=0,"",MIN(D591:V591))</f>
        <v/>
      </c>
      <c r="X591" s="8">
        <f>IF(COUNT(D591:V591)=0,"",MEDIAN(D591:V591))</f>
        <v/>
      </c>
      <c r="Y591" s="8">
        <f>IF(COUNT(D591:V591)=0,"",MAX(D591:V591))</f>
        <v/>
      </c>
      <c r="Z591" s="9">
        <f>IF(OR(W591="",W591=0),"",(Y591-W591)/W591)</f>
        <v/>
      </c>
      <c r="AA591" s="7">
        <f>IF(COUNT(D591:V591)=0,"",INDEX($D$1:$V$1,MATCH(MIN(D591:V591),D591:V591,0)))</f>
        <v/>
      </c>
      <c r="AB591" s="8" t="n">
        <v>8019.5</v>
      </c>
      <c r="AC591" s="10" t="n">
        <v>2</v>
      </c>
    </row>
    <row r="592">
      <c r="A592" s="7" t="inlineStr">
        <is>
          <t>MAT-09-076</t>
        </is>
      </c>
      <c r="B592" s="4" t="inlineStr">
        <is>
          <t>Tinaco de 265 galones</t>
        </is>
      </c>
      <c r="C592" s="7" t="inlineStr">
        <is>
          <t>unidad</t>
        </is>
      </c>
      <c r="D592" s="8" t="n"/>
      <c r="E592" s="8" t="n">
        <v>8050</v>
      </c>
      <c r="F592" s="8" t="n"/>
      <c r="G592" s="8" t="n">
        <v>9555</v>
      </c>
      <c r="H592" s="8" t="n"/>
      <c r="I592" s="8" t="n"/>
      <c r="J592" s="8" t="n"/>
      <c r="K592" s="8" t="n"/>
      <c r="L592" s="8" t="n">
        <v>8585</v>
      </c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>
        <f>IF(COUNT(D592:V592)=0,"",MIN(D592:V592))</f>
        <v/>
      </c>
      <c r="X592" s="8">
        <f>IF(COUNT(D592:V592)=0,"",MEDIAN(D592:V592))</f>
        <v/>
      </c>
      <c r="Y592" s="8">
        <f>IF(COUNT(D592:V592)=0,"",MAX(D592:V592))</f>
        <v/>
      </c>
      <c r="Z592" s="9">
        <f>IF(OR(W592="",W592=0),"",(Y592-W592)/W592)</f>
        <v/>
      </c>
      <c r="AA592" s="7">
        <f>IF(COUNT(D592:V592)=0,"",INDEX($D$1:$V$1,MATCH(MIN(D592:V592),D592:V592,0)))</f>
        <v/>
      </c>
      <c r="AB592" s="8" t="n">
        <v>8585</v>
      </c>
      <c r="AC592" s="10" t="n">
        <v>3</v>
      </c>
    </row>
    <row r="593">
      <c r="A593" s="7" t="inlineStr">
        <is>
          <t>MAT-09-077</t>
        </is>
      </c>
      <c r="B593" s="4" t="inlineStr">
        <is>
          <t>Tinaco de 295 galones</t>
        </is>
      </c>
      <c r="C593" s="7" t="inlineStr">
        <is>
          <t>unidad</t>
        </is>
      </c>
      <c r="D593" s="8" t="n"/>
      <c r="E593" s="8" t="n">
        <v>8105</v>
      </c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>
        <f>IF(COUNT(D593:V593)=0,"",MIN(D593:V593))</f>
        <v/>
      </c>
      <c r="X593" s="8">
        <f>IF(COUNT(D593:V593)=0,"",MEDIAN(D593:V593))</f>
        <v/>
      </c>
      <c r="Y593" s="8">
        <f>IF(COUNT(D593:V593)=0,"",MAX(D593:V593))</f>
        <v/>
      </c>
      <c r="Z593" s="9">
        <f>IF(OR(W593="",W593=0),"",(Y593-W593)/W593)</f>
        <v/>
      </c>
      <c r="AA593" s="7">
        <f>IF(COUNT(D593:V593)=0,"",INDEX($D$1:$V$1,MATCH(MIN(D593:V593),D593:V593,0)))</f>
        <v/>
      </c>
      <c r="AB593" s="8" t="n">
        <v>8105</v>
      </c>
      <c r="AC593" s="10" t="n">
        <v>1</v>
      </c>
    </row>
    <row r="594">
      <c r="A594" s="7" t="inlineStr">
        <is>
          <t>MAT-09-078</t>
        </is>
      </c>
      <c r="B594" s="4" t="inlineStr">
        <is>
          <t>Tinaco de 300 galones</t>
        </is>
      </c>
      <c r="C594" s="7" t="inlineStr">
        <is>
          <t>unidad</t>
        </is>
      </c>
      <c r="D594" s="8" t="n"/>
      <c r="E594" s="8" t="n">
        <v>7995</v>
      </c>
      <c r="F594" s="8" t="n"/>
      <c r="G594" s="8" t="n"/>
      <c r="H594" s="8" t="n"/>
      <c r="I594" s="8" t="n"/>
      <c r="J594" s="8" t="n"/>
      <c r="K594" s="8" t="n"/>
      <c r="L594" s="8" t="n">
        <v>9660</v>
      </c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>
        <f>IF(COUNT(D594:V594)=0,"",MIN(D594:V594))</f>
        <v/>
      </c>
      <c r="X594" s="8">
        <f>IF(COUNT(D594:V594)=0,"",MEDIAN(D594:V594))</f>
        <v/>
      </c>
      <c r="Y594" s="8">
        <f>IF(COUNT(D594:V594)=0,"",MAX(D594:V594))</f>
        <v/>
      </c>
      <c r="Z594" s="9">
        <f>IF(OR(W594="",W594=0),"",(Y594-W594)/W594)</f>
        <v/>
      </c>
      <c r="AA594" s="7">
        <f>IF(COUNT(D594:V594)=0,"",INDEX($D$1:$V$1,MATCH(MIN(D594:V594),D594:V594,0)))</f>
        <v/>
      </c>
      <c r="AB594" s="8" t="n">
        <v>9660</v>
      </c>
      <c r="AC594" s="10" t="n">
        <v>2</v>
      </c>
    </row>
    <row r="595">
      <c r="A595" s="7" t="inlineStr">
        <is>
          <t>MAT-09-079</t>
        </is>
      </c>
      <c r="B595" s="4" t="inlineStr">
        <is>
          <t>Tinaco de 350 galones</t>
        </is>
      </c>
      <c r="C595" s="7" t="inlineStr">
        <is>
          <t>unidad</t>
        </is>
      </c>
      <c r="D595" s="8" t="n"/>
      <c r="E595" s="8" t="n">
        <v>9335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>
        <f>IF(COUNT(D595:V595)=0,"",MIN(D595:V595))</f>
        <v/>
      </c>
      <c r="X595" s="8">
        <f>IF(COUNT(D595:V595)=0,"",MEDIAN(D595:V595))</f>
        <v/>
      </c>
      <c r="Y595" s="8">
        <f>IF(COUNT(D595:V595)=0,"",MAX(D595:V595))</f>
        <v/>
      </c>
      <c r="Z595" s="9">
        <f>IF(OR(W595="",W595=0),"",(Y595-W595)/W595)</f>
        <v/>
      </c>
      <c r="AA595" s="7">
        <f>IF(COUNT(D595:V595)=0,"",INDEX($D$1:$V$1,MATCH(MIN(D595:V595),D595:V595,0)))</f>
        <v/>
      </c>
      <c r="AB595" s="8" t="n">
        <v>9335</v>
      </c>
      <c r="AC595" s="10" t="n">
        <v>1</v>
      </c>
    </row>
    <row r="596">
      <c r="A596" s="7" t="inlineStr">
        <is>
          <t>MAT-09-080</t>
        </is>
      </c>
      <c r="B596" s="4" t="inlineStr">
        <is>
          <t>Tinaco de 400 galones</t>
        </is>
      </c>
      <c r="C596" s="7" t="inlineStr">
        <is>
          <t>unidad</t>
        </is>
      </c>
      <c r="D596" s="8" t="n"/>
      <c r="E596" s="8" t="n">
        <v>13140</v>
      </c>
      <c r="F596" s="8" t="n"/>
      <c r="G596" s="8" t="n"/>
      <c r="H596" s="8" t="n"/>
      <c r="I596" s="8" t="n"/>
      <c r="J596" s="8" t="n"/>
      <c r="K596" s="8" t="n"/>
      <c r="L596" s="8" t="n">
        <v>12125</v>
      </c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>
        <f>IF(COUNT(D596:V596)=0,"",MIN(D596:V596))</f>
        <v/>
      </c>
      <c r="X596" s="8">
        <f>IF(COUNT(D596:V596)=0,"",MEDIAN(D596:V596))</f>
        <v/>
      </c>
      <c r="Y596" s="8">
        <f>IF(COUNT(D596:V596)=0,"",MAX(D596:V596))</f>
        <v/>
      </c>
      <c r="Z596" s="9">
        <f>IF(OR(W596="",W596=0),"",(Y596-W596)/W596)</f>
        <v/>
      </c>
      <c r="AA596" s="7">
        <f>IF(COUNT(D596:V596)=0,"",INDEX($D$1:$V$1,MATCH(MIN(D596:V596),D596:V596,0)))</f>
        <v/>
      </c>
      <c r="AB596" s="8" t="n">
        <v>13140</v>
      </c>
      <c r="AC596" s="10" t="n">
        <v>2</v>
      </c>
    </row>
    <row r="597">
      <c r="A597" s="7" t="inlineStr">
        <is>
          <t>MAT-09-081</t>
        </is>
      </c>
      <c r="B597" s="4" t="inlineStr">
        <is>
          <t>Tinaco de 500 galones</t>
        </is>
      </c>
      <c r="C597" s="7" t="inlineStr">
        <is>
          <t>unidad</t>
        </is>
      </c>
      <c r="D597" s="8" t="n"/>
      <c r="E597" s="8" t="n">
        <v>12940</v>
      </c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>
        <f>IF(COUNT(D597:V597)=0,"",MIN(D597:V597))</f>
        <v/>
      </c>
      <c r="X597" s="8">
        <f>IF(COUNT(D597:V597)=0,"",MEDIAN(D597:V597))</f>
        <v/>
      </c>
      <c r="Y597" s="8">
        <f>IF(COUNT(D597:V597)=0,"",MAX(D597:V597))</f>
        <v/>
      </c>
      <c r="Z597" s="9">
        <f>IF(OR(W597="",W597=0),"",(Y597-W597)/W597)</f>
        <v/>
      </c>
      <c r="AA597" s="7">
        <f>IF(COUNT(D597:V597)=0,"",INDEX($D$1:$V$1,MATCH(MIN(D597:V597),D597:V597,0)))</f>
        <v/>
      </c>
      <c r="AB597" s="8" t="n">
        <v>12940</v>
      </c>
      <c r="AC597" s="10" t="n">
        <v>1</v>
      </c>
    </row>
    <row r="598">
      <c r="A598" s="7" t="inlineStr">
        <is>
          <t>MAT-09-082</t>
        </is>
      </c>
      <c r="B598" s="4" t="inlineStr">
        <is>
          <t>Tinaco de 5000 galones</t>
        </is>
      </c>
      <c r="C598" s="7" t="inlineStr">
        <is>
          <t>unidad</t>
        </is>
      </c>
      <c r="D598" s="8" t="n"/>
      <c r="E598" s="8" t="n">
        <v>292790</v>
      </c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>
        <f>IF(COUNT(D598:V598)=0,"",MIN(D598:V598))</f>
        <v/>
      </c>
      <c r="X598" s="8">
        <f>IF(COUNT(D598:V598)=0,"",MEDIAN(D598:V598))</f>
        <v/>
      </c>
      <c r="Y598" s="8">
        <f>IF(COUNT(D598:V598)=0,"",MAX(D598:V598))</f>
        <v/>
      </c>
      <c r="Z598" s="9">
        <f>IF(OR(W598="",W598=0),"",(Y598-W598)/W598)</f>
        <v/>
      </c>
      <c r="AA598" s="7">
        <f>IF(COUNT(D598:V598)=0,"",INDEX($D$1:$V$1,MATCH(MIN(D598:V598),D598:V598,0)))</f>
        <v/>
      </c>
      <c r="AB598" s="8" t="n">
        <v>292790</v>
      </c>
      <c r="AC598" s="10" t="n">
        <v>1</v>
      </c>
    </row>
    <row r="599">
      <c r="A599" s="7" t="inlineStr">
        <is>
          <t>MAT-09-083</t>
        </is>
      </c>
      <c r="B599" s="4" t="inlineStr">
        <is>
          <t>Tinaco de 530 galones</t>
        </is>
      </c>
      <c r="C599" s="7" t="inlineStr">
        <is>
          <t>unidad</t>
        </is>
      </c>
      <c r="D599" s="8" t="n"/>
      <c r="E599" s="8" t="n">
        <v>14980</v>
      </c>
      <c r="F599" s="8" t="n"/>
      <c r="G599" s="8" t="n">
        <v>18535</v>
      </c>
      <c r="H599" s="8" t="n"/>
      <c r="I599" s="8" t="n"/>
      <c r="J599" s="8" t="n"/>
      <c r="K599" s="8" t="n"/>
      <c r="L599" s="8" t="n">
        <v>15331.46</v>
      </c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>
        <f>IF(COUNT(D599:V599)=0,"",MIN(D599:V599))</f>
        <v/>
      </c>
      <c r="X599" s="8">
        <f>IF(COUNT(D599:V599)=0,"",MEDIAN(D599:V599))</f>
        <v/>
      </c>
      <c r="Y599" s="8">
        <f>IF(COUNT(D599:V599)=0,"",MAX(D599:V599))</f>
        <v/>
      </c>
      <c r="Z599" s="9">
        <f>IF(OR(W599="",W599=0),"",(Y599-W599)/W599)</f>
        <v/>
      </c>
      <c r="AA599" s="7">
        <f>IF(COUNT(D599:V599)=0,"",INDEX($D$1:$V$1,MATCH(MIN(D599:V599),D599:V599,0)))</f>
        <v/>
      </c>
      <c r="AB599" s="8" t="n">
        <v>15223.23</v>
      </c>
      <c r="AC599" s="10" t="n">
        <v>3</v>
      </c>
    </row>
    <row r="600">
      <c r="A600" s="7" t="inlineStr">
        <is>
          <t>MAT-09-085</t>
        </is>
      </c>
      <c r="B600" s="4" t="inlineStr">
        <is>
          <t>Tapa de cisterna de aluminio 24 x 24 pulgadas</t>
        </is>
      </c>
      <c r="C600" s="7" t="inlineStr">
        <is>
          <t>unidad</t>
        </is>
      </c>
      <c r="D600" s="8" t="n"/>
      <c r="E600" s="8" t="n"/>
      <c r="F600" s="8" t="n"/>
      <c r="G600" s="8" t="n">
        <v>3313</v>
      </c>
      <c r="H600" s="8" t="n"/>
      <c r="I600" s="8" t="n"/>
      <c r="J600" s="8" t="n"/>
      <c r="K600" s="8" t="n"/>
      <c r="L600" s="8" t="n">
        <v>3795</v>
      </c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>
        <f>IF(COUNT(D600:V600)=0,"",MIN(D600:V600))</f>
        <v/>
      </c>
      <c r="X600" s="8">
        <f>IF(COUNT(D600:V600)=0,"",MEDIAN(D600:V600))</f>
        <v/>
      </c>
      <c r="Y600" s="8">
        <f>IF(COUNT(D600:V600)=0,"",MAX(D600:V600))</f>
        <v/>
      </c>
      <c r="Z600" s="9">
        <f>IF(OR(W600="",W600=0),"",(Y600-W600)/W600)</f>
        <v/>
      </c>
      <c r="AA600" s="7">
        <f>IF(COUNT(D600:V600)=0,"",INDEX($D$1:$V$1,MATCH(MIN(D600:V600),D600:V600,0)))</f>
        <v/>
      </c>
      <c r="AB600" s="8" t="n">
        <v>3554</v>
      </c>
      <c r="AC600" s="10" t="n">
        <v>2</v>
      </c>
    </row>
    <row r="601">
      <c r="A601" s="7" t="inlineStr">
        <is>
          <t>MAT-09-086</t>
        </is>
      </c>
      <c r="B601" s="4" t="inlineStr">
        <is>
          <t>Tapa de cisterna de aluminio 30 x 30 pulgadas</t>
        </is>
      </c>
      <c r="C601" s="7" t="inlineStr">
        <is>
          <t>unidad</t>
        </is>
      </c>
      <c r="D601" s="8" t="n"/>
      <c r="E601" s="8" t="n"/>
      <c r="F601" s="8" t="n"/>
      <c r="G601" s="8" t="n">
        <v>4503</v>
      </c>
      <c r="H601" s="8" t="n"/>
      <c r="I601" s="8" t="n"/>
      <c r="J601" s="8" t="n"/>
      <c r="K601" s="8" t="n"/>
      <c r="L601" s="8" t="n">
        <v>4745</v>
      </c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>
        <f>IF(COUNT(D601:V601)=0,"",MIN(D601:V601))</f>
        <v/>
      </c>
      <c r="X601" s="8">
        <f>IF(COUNT(D601:V601)=0,"",MEDIAN(D601:V601))</f>
        <v/>
      </c>
      <c r="Y601" s="8">
        <f>IF(COUNT(D601:V601)=0,"",MAX(D601:V601))</f>
        <v/>
      </c>
      <c r="Z601" s="9">
        <f>IF(OR(W601="",W601=0),"",(Y601-W601)/W601)</f>
        <v/>
      </c>
      <c r="AA601" s="7">
        <f>IF(COUNT(D601:V601)=0,"",INDEX($D$1:$V$1,MATCH(MIN(D601:V601),D601:V601,0)))</f>
        <v/>
      </c>
      <c r="AB601" s="8" t="n">
        <v>4624</v>
      </c>
      <c r="AC601" s="10" t="n">
        <v>2</v>
      </c>
    </row>
    <row r="602">
      <c r="A602" s="7" t="inlineStr">
        <is>
          <t>MAT-09-087</t>
        </is>
      </c>
      <c r="B602" s="4" t="inlineStr">
        <is>
          <t>Tapa de cisterna de aluminio 33 x 33 pulgadas</t>
        </is>
      </c>
      <c r="C602" s="7" t="inlineStr">
        <is>
          <t>unidad</t>
        </is>
      </c>
      <c r="D602" s="8" t="n"/>
      <c r="E602" s="8" t="n"/>
      <c r="F602" s="8" t="n"/>
      <c r="G602" s="8" t="n">
        <v>3995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>
        <f>IF(COUNT(D602:V602)=0,"",MIN(D602:V602))</f>
        <v/>
      </c>
      <c r="X602" s="8">
        <f>IF(COUNT(D602:V602)=0,"",MEDIAN(D602:V602))</f>
        <v/>
      </c>
      <c r="Y602" s="8">
        <f>IF(COUNT(D602:V602)=0,"",MAX(D602:V602))</f>
        <v/>
      </c>
      <c r="Z602" s="9">
        <f>IF(OR(W602="",W602=0),"",(Y602-W602)/W602)</f>
        <v/>
      </c>
      <c r="AA602" s="7">
        <f>IF(COUNT(D602:V602)=0,"",INDEX($D$1:$V$1,MATCH(MIN(D602:V602),D602:V602,0)))</f>
        <v/>
      </c>
      <c r="AB602" s="8" t="n">
        <v>3995</v>
      </c>
      <c r="AC602" s="10" t="n">
        <v>1</v>
      </c>
    </row>
    <row r="603">
      <c r="A603" s="7" t="inlineStr">
        <is>
          <t>MAT-09-088</t>
        </is>
      </c>
      <c r="B603" s="4" t="inlineStr">
        <is>
          <t>Boya para válvula de cisterna, 120 mm</t>
        </is>
      </c>
      <c r="C603" s="7" t="inlineStr">
        <is>
          <t>unidad</t>
        </is>
      </c>
      <c r="D603" s="8" t="n"/>
      <c r="E603" s="8" t="n"/>
      <c r="F603" s="8" t="n"/>
      <c r="G603" s="8" t="n">
        <v>295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>
        <f>IF(COUNT(D603:V603)=0,"",MIN(D603:V603))</f>
        <v/>
      </c>
      <c r="X603" s="8">
        <f>IF(COUNT(D603:V603)=0,"",MEDIAN(D603:V603))</f>
        <v/>
      </c>
      <c r="Y603" s="8">
        <f>IF(COUNT(D603:V603)=0,"",MAX(D603:V603))</f>
        <v/>
      </c>
      <c r="Z603" s="9">
        <f>IF(OR(W603="",W603=0),"",(Y603-W603)/W603)</f>
        <v/>
      </c>
      <c r="AA603" s="7">
        <f>IF(COUNT(D603:V603)=0,"",INDEX($D$1:$V$1,MATCH(MIN(D603:V603),D603:V603,0)))</f>
        <v/>
      </c>
      <c r="AB603" s="8" t="n">
        <v>295</v>
      </c>
      <c r="AC603" s="10" t="n">
        <v>1</v>
      </c>
    </row>
    <row r="604">
      <c r="A604" s="7" t="inlineStr">
        <is>
          <t>MAT-09-089</t>
        </is>
      </c>
      <c r="B604" s="4" t="inlineStr">
        <is>
          <t>Boya para válvula de cisterna, 150 mm</t>
        </is>
      </c>
      <c r="C604" s="7" t="inlineStr">
        <is>
          <t>unidad</t>
        </is>
      </c>
      <c r="D604" s="8" t="n"/>
      <c r="E604" s="8" t="n"/>
      <c r="F604" s="8" t="n"/>
      <c r="G604" s="8" t="n">
        <v>375</v>
      </c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>
        <f>IF(COUNT(D604:V604)=0,"",MIN(D604:V604))</f>
        <v/>
      </c>
      <c r="X604" s="8">
        <f>IF(COUNT(D604:V604)=0,"",MEDIAN(D604:V604))</f>
        <v/>
      </c>
      <c r="Y604" s="8">
        <f>IF(COUNT(D604:V604)=0,"",MAX(D604:V604))</f>
        <v/>
      </c>
      <c r="Z604" s="9">
        <f>IF(OR(W604="",W604=0),"",(Y604-W604)/W604)</f>
        <v/>
      </c>
      <c r="AA604" s="7">
        <f>IF(COUNT(D604:V604)=0,"",INDEX($D$1:$V$1,MATCH(MIN(D604:V604),D604:V604,0)))</f>
        <v/>
      </c>
      <c r="AB604" s="8" t="n">
        <v>375</v>
      </c>
      <c r="AC604" s="10" t="n">
        <v>1</v>
      </c>
    </row>
    <row r="605">
      <c r="A605" s="7" t="inlineStr">
        <is>
          <t>MAT-09-090</t>
        </is>
      </c>
      <c r="B605" s="4" t="inlineStr">
        <is>
          <t>Boya para válvula de cisterna, 90 mm</t>
        </is>
      </c>
      <c r="C605" s="7" t="inlineStr">
        <is>
          <t>unidad</t>
        </is>
      </c>
      <c r="D605" s="8" t="n"/>
      <c r="E605" s="8" t="n"/>
      <c r="F605" s="8" t="n"/>
      <c r="G605" s="8" t="n">
        <v>160</v>
      </c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>
        <f>IF(COUNT(D605:V605)=0,"",MIN(D605:V605))</f>
        <v/>
      </c>
      <c r="X605" s="8">
        <f>IF(COUNT(D605:V605)=0,"",MEDIAN(D605:V605))</f>
        <v/>
      </c>
      <c r="Y605" s="8">
        <f>IF(COUNT(D605:V605)=0,"",MAX(D605:V605))</f>
        <v/>
      </c>
      <c r="Z605" s="9">
        <f>IF(OR(W605="",W605=0),"",(Y605-W605)/W605)</f>
        <v/>
      </c>
      <c r="AA605" s="7">
        <f>IF(COUNT(D605:V605)=0,"",INDEX($D$1:$V$1,MATCH(MIN(D605:V605),D605:V605,0)))</f>
        <v/>
      </c>
      <c r="AB605" s="8" t="n">
        <v>160</v>
      </c>
      <c r="AC605" s="10" t="n">
        <v>1</v>
      </c>
    </row>
    <row r="606">
      <c r="A606" s="7" t="inlineStr">
        <is>
          <t>MAT-09-091</t>
        </is>
      </c>
      <c r="B606" s="4" t="inlineStr">
        <is>
          <t>Fregadero de un pozo, 10 x 9 pulgadas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>
        <v>4000</v>
      </c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>
        <f>IF(COUNT(D606:V606)=0,"",MIN(D606:V606))</f>
        <v/>
      </c>
      <c r="X606" s="8">
        <f>IF(COUNT(D606:V606)=0,"",MEDIAN(D606:V606))</f>
        <v/>
      </c>
      <c r="Y606" s="8">
        <f>IF(COUNT(D606:V606)=0,"",MAX(D606:V606))</f>
        <v/>
      </c>
      <c r="Z606" s="9">
        <f>IF(OR(W606="",W606=0),"",(Y606-W606)/W606)</f>
        <v/>
      </c>
      <c r="AA606" s="7">
        <f>IF(COUNT(D606:V606)=0,"",INDEX($D$1:$V$1,MATCH(MIN(D606:V606),D606:V606,0)))</f>
        <v/>
      </c>
      <c r="AB606" s="8" t="n">
        <v>4000</v>
      </c>
      <c r="AC606" s="10" t="n">
        <v>1</v>
      </c>
    </row>
    <row r="607">
      <c r="A607" s="7" t="inlineStr">
        <is>
          <t>MAT-09-092</t>
        </is>
      </c>
      <c r="B607" s="4" t="inlineStr">
        <is>
          <t>Fregadero de un pozo, 15 x 15 pulgadas</t>
        </is>
      </c>
      <c r="C607" s="7" t="inlineStr">
        <is>
          <t>unidad</t>
        </is>
      </c>
      <c r="D607" s="8" t="n"/>
      <c r="E607" s="8" t="n"/>
      <c r="F607" s="8" t="n"/>
      <c r="G607" s="8" t="n">
        <v>1425</v>
      </c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>
        <f>IF(COUNT(D607:V607)=0,"",MIN(D607:V607))</f>
        <v/>
      </c>
      <c r="X607" s="8">
        <f>IF(COUNT(D607:V607)=0,"",MEDIAN(D607:V607))</f>
        <v/>
      </c>
      <c r="Y607" s="8">
        <f>IF(COUNT(D607:V607)=0,"",MAX(D607:V607))</f>
        <v/>
      </c>
      <c r="Z607" s="9">
        <f>IF(OR(W607="",W607=0),"",(Y607-W607)/W607)</f>
        <v/>
      </c>
      <c r="AA607" s="7">
        <f>IF(COUNT(D607:V607)=0,"",INDEX($D$1:$V$1,MATCH(MIN(D607:V607),D607:V607,0)))</f>
        <v/>
      </c>
      <c r="AB607" s="8" t="n">
        <v>1425</v>
      </c>
      <c r="AC607" s="10" t="n">
        <v>1</v>
      </c>
    </row>
    <row r="608">
      <c r="A608" s="7" t="inlineStr">
        <is>
          <t>MAT-09-093</t>
        </is>
      </c>
      <c r="B608" s="4" t="inlineStr">
        <is>
          <t>Fregadero de un pozo, 16 x 13 pulgadas</t>
        </is>
      </c>
      <c r="C608" s="7" t="inlineStr">
        <is>
          <t>unidad</t>
        </is>
      </c>
      <c r="D608" s="8" t="n"/>
      <c r="E608" s="8" t="n"/>
      <c r="F608" s="8" t="n">
        <v>2764.6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>
        <f>IF(COUNT(D608:V608)=0,"",MIN(D608:V608))</f>
        <v/>
      </c>
      <c r="X608" s="8">
        <f>IF(COUNT(D608:V608)=0,"",MEDIAN(D608:V608))</f>
        <v/>
      </c>
      <c r="Y608" s="8">
        <f>IF(COUNT(D608:V608)=0,"",MAX(D608:V608))</f>
        <v/>
      </c>
      <c r="Z608" s="9">
        <f>IF(OR(W608="",W608=0),"",(Y608-W608)/W608)</f>
        <v/>
      </c>
      <c r="AA608" s="7">
        <f>IF(COUNT(D608:V608)=0,"",INDEX($D$1:$V$1,MATCH(MIN(D608:V608),D608:V608,0)))</f>
        <v/>
      </c>
      <c r="AB608" s="8" t="n">
        <v>3262.23</v>
      </c>
      <c r="AC608" s="10" t="n">
        <v>1</v>
      </c>
    </row>
    <row r="609">
      <c r="A609" s="7" t="inlineStr">
        <is>
          <t>MAT-09-094</t>
        </is>
      </c>
      <c r="B609" s="4" t="inlineStr">
        <is>
          <t>Fregadero de un pozo, 19 x 13 pulgadas</t>
        </is>
      </c>
      <c r="C609" s="7" t="inlineStr">
        <is>
          <t>unidad</t>
        </is>
      </c>
      <c r="D609" s="8" t="n"/>
      <c r="E609" s="8" t="n"/>
      <c r="F609" s="8" t="n">
        <v>2753.38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>
        <f>IF(COUNT(D609:V609)=0,"",MIN(D609:V609))</f>
        <v/>
      </c>
      <c r="X609" s="8">
        <f>IF(COUNT(D609:V609)=0,"",MEDIAN(D609:V609))</f>
        <v/>
      </c>
      <c r="Y609" s="8">
        <f>IF(COUNT(D609:V609)=0,"",MAX(D609:V609))</f>
        <v/>
      </c>
      <c r="Z609" s="9">
        <f>IF(OR(W609="",W609=0),"",(Y609-W609)/W609)</f>
        <v/>
      </c>
      <c r="AA609" s="7">
        <f>IF(COUNT(D609:V609)=0,"",INDEX($D$1:$V$1,MATCH(MIN(D609:V609),D609:V609,0)))</f>
        <v/>
      </c>
      <c r="AB609" s="8" t="n">
        <v>3248.99</v>
      </c>
      <c r="AC609" s="10" t="n">
        <v>1</v>
      </c>
    </row>
    <row r="610">
      <c r="A610" s="7" t="inlineStr">
        <is>
          <t>MAT-09-095</t>
        </is>
      </c>
      <c r="B610" s="4" t="inlineStr">
        <is>
          <t>Fregadero de un pozo, 20 x 16 pulgadas</t>
        </is>
      </c>
      <c r="C610" s="7" t="inlineStr">
        <is>
          <t>unidad</t>
        </is>
      </c>
      <c r="D610" s="8" t="n"/>
      <c r="E610" s="8" t="n"/>
      <c r="F610" s="8" t="n">
        <v>16794.81</v>
      </c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>
        <f>IF(COUNT(D610:V610)=0,"",MIN(D610:V610))</f>
        <v/>
      </c>
      <c r="X610" s="8">
        <f>IF(COUNT(D610:V610)=0,"",MEDIAN(D610:V610))</f>
        <v/>
      </c>
      <c r="Y610" s="8">
        <f>IF(COUNT(D610:V610)=0,"",MAX(D610:V610))</f>
        <v/>
      </c>
      <c r="Z610" s="9">
        <f>IF(OR(W610="",W610=0),"",(Y610-W610)/W610)</f>
        <v/>
      </c>
      <c r="AA610" s="7">
        <f>IF(COUNT(D610:V610)=0,"",INDEX($D$1:$V$1,MATCH(MIN(D610:V610),D610:V610,0)))</f>
        <v/>
      </c>
      <c r="AB610" s="8" t="n">
        <v>19817.88</v>
      </c>
      <c r="AC610" s="10" t="n">
        <v>1</v>
      </c>
    </row>
    <row r="611">
      <c r="A611" s="7" t="inlineStr">
        <is>
          <t>MAT-09-096</t>
        </is>
      </c>
      <c r="B611" s="4" t="inlineStr">
        <is>
          <t>Fregadero de un pozo, 22 x 13 pulgadas</t>
        </is>
      </c>
      <c r="C611" s="7" t="inlineStr">
        <is>
          <t>unidad</t>
        </is>
      </c>
      <c r="D611" s="8" t="n"/>
      <c r="E611" s="8" t="n"/>
      <c r="F611" s="8" t="n">
        <v>4600.63</v>
      </c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>
        <f>IF(COUNT(D611:V611)=0,"",MIN(D611:V611))</f>
        <v/>
      </c>
      <c r="X611" s="8">
        <f>IF(COUNT(D611:V611)=0,"",MEDIAN(D611:V611))</f>
        <v/>
      </c>
      <c r="Y611" s="8">
        <f>IF(COUNT(D611:V611)=0,"",MAX(D611:V611))</f>
        <v/>
      </c>
      <c r="Z611" s="9">
        <f>IF(OR(W611="",W611=0),"",(Y611-W611)/W611)</f>
        <v/>
      </c>
      <c r="AA611" s="7">
        <f>IF(COUNT(D611:V611)=0,"",INDEX($D$1:$V$1,MATCH(MIN(D611:V611),D611:V611,0)))</f>
        <v/>
      </c>
      <c r="AB611" s="8" t="n">
        <v>5428.74</v>
      </c>
      <c r="AC611" s="10" t="n">
        <v>1</v>
      </c>
    </row>
    <row r="612">
      <c r="A612" s="7" t="inlineStr">
        <is>
          <t>MAT-09-097</t>
        </is>
      </c>
      <c r="B612" s="4" t="inlineStr">
        <is>
          <t>Fregadero de un pozo, 24 x 19 pulgadas</t>
        </is>
      </c>
      <c r="C612" s="7" t="inlineStr">
        <is>
          <t>unidad</t>
        </is>
      </c>
      <c r="D612" s="8" t="n"/>
      <c r="E612" s="8" t="n"/>
      <c r="F612" s="8" t="n">
        <v>15492.89</v>
      </c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>
        <f>IF(COUNT(D612:V612)=0,"",MIN(D612:V612))</f>
        <v/>
      </c>
      <c r="X612" s="8">
        <f>IF(COUNT(D612:V612)=0,"",MEDIAN(D612:V612))</f>
        <v/>
      </c>
      <c r="Y612" s="8">
        <f>IF(COUNT(D612:V612)=0,"",MAX(D612:V612))</f>
        <v/>
      </c>
      <c r="Z612" s="9">
        <f>IF(OR(W612="",W612=0),"",(Y612-W612)/W612)</f>
        <v/>
      </c>
      <c r="AA612" s="7">
        <f>IF(COUNT(D612:V612)=0,"",INDEX($D$1:$V$1,MATCH(MIN(D612:V612),D612:V612,0)))</f>
        <v/>
      </c>
      <c r="AB612" s="8" t="n">
        <v>18281.61</v>
      </c>
      <c r="AC612" s="10" t="n">
        <v>1</v>
      </c>
    </row>
    <row r="613">
      <c r="A613" s="7" t="inlineStr">
        <is>
          <t>MAT-09-098</t>
        </is>
      </c>
      <c r="B613" s="4" t="inlineStr">
        <is>
          <t>Fregadero de un pozo, 28 x 16 pulgadas</t>
        </is>
      </c>
      <c r="C613" s="7" t="inlineStr">
        <is>
          <t>unidad</t>
        </is>
      </c>
      <c r="D613" s="8" t="n"/>
      <c r="E613" s="8" t="n"/>
      <c r="F613" s="8" t="n">
        <v>18365.37</v>
      </c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>
        <f>IF(COUNT(D613:V613)=0,"",MIN(D613:V613))</f>
        <v/>
      </c>
      <c r="X613" s="8">
        <f>IF(COUNT(D613:V613)=0,"",MEDIAN(D613:V613))</f>
        <v/>
      </c>
      <c r="Y613" s="8">
        <f>IF(COUNT(D613:V613)=0,"",MAX(D613:V613))</f>
        <v/>
      </c>
      <c r="Z613" s="9">
        <f>IF(OR(W613="",W613=0),"",(Y613-W613)/W613)</f>
        <v/>
      </c>
      <c r="AA613" s="7">
        <f>IF(COUNT(D613:V613)=0,"",INDEX($D$1:$V$1,MATCH(MIN(D613:V613),D613:V613,0)))</f>
        <v/>
      </c>
      <c r="AB613" s="8" t="n">
        <v>21671.14</v>
      </c>
      <c r="AC613" s="10" t="n">
        <v>1</v>
      </c>
    </row>
    <row r="614">
      <c r="A614" s="7" t="inlineStr">
        <is>
          <t>MAT-09-099</t>
        </is>
      </c>
      <c r="B614" s="4" t="inlineStr">
        <is>
          <t>Fregadero de un pozo, 29 x 16 pulgadas</t>
        </is>
      </c>
      <c r="C614" s="7" t="inlineStr">
        <is>
          <t>unidad</t>
        </is>
      </c>
      <c r="D614" s="8" t="n"/>
      <c r="E614" s="8" t="n"/>
      <c r="F614" s="8" t="n">
        <v>23956.99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>
        <f>IF(COUNT(D614:V614)=0,"",MIN(D614:V614))</f>
        <v/>
      </c>
      <c r="X614" s="8">
        <f>IF(COUNT(D614:V614)=0,"",MEDIAN(D614:V614))</f>
        <v/>
      </c>
      <c r="Y614" s="8">
        <f>IF(COUNT(D614:V614)=0,"",MAX(D614:V614))</f>
        <v/>
      </c>
      <c r="Z614" s="9">
        <f>IF(OR(W614="",W614=0),"",(Y614-W614)/W614)</f>
        <v/>
      </c>
      <c r="AA614" s="7">
        <f>IF(COUNT(D614:V614)=0,"",INDEX($D$1:$V$1,MATCH(MIN(D614:V614),D614:V614,0)))</f>
        <v/>
      </c>
      <c r="AB614" s="8" t="n">
        <v>28269.25</v>
      </c>
      <c r="AC614" s="10" t="n">
        <v>1</v>
      </c>
    </row>
    <row r="615">
      <c r="A615" s="7" t="inlineStr">
        <is>
          <t>MAT-09-100</t>
        </is>
      </c>
      <c r="B615" s="4" t="inlineStr">
        <is>
          <t>Fregadero de un pozo, 31 x 20 pulgadas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>
        <v>1635</v>
      </c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>
        <f>IF(COUNT(D615:V615)=0,"",MIN(D615:V615))</f>
        <v/>
      </c>
      <c r="X615" s="8">
        <f>IF(COUNT(D615:V615)=0,"",MEDIAN(D615:V615))</f>
        <v/>
      </c>
      <c r="Y615" s="8">
        <f>IF(COUNT(D615:V615)=0,"",MAX(D615:V615))</f>
        <v/>
      </c>
      <c r="Z615" s="9">
        <f>IF(OR(W615="",W615=0),"",(Y615-W615)/W615)</f>
        <v/>
      </c>
      <c r="AA615" s="7">
        <f>IF(COUNT(D615:V615)=0,"",INDEX($D$1:$V$1,MATCH(MIN(D615:V615),D615:V615,0)))</f>
        <v/>
      </c>
      <c r="AB615" s="8" t="n">
        <v>1635</v>
      </c>
      <c r="AC615" s="10" t="n">
        <v>1</v>
      </c>
    </row>
    <row r="616">
      <c r="A616" s="7" t="inlineStr">
        <is>
          <t>MAT-09-101</t>
        </is>
      </c>
      <c r="B616" s="4" t="inlineStr">
        <is>
          <t>Fregadero de un pozo, 8 x 8 pulgadas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>
        <v>74.84999999999999</v>
      </c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>
        <f>IF(COUNT(D616:V616)=0,"",MIN(D616:V616))</f>
        <v/>
      </c>
      <c r="X616" s="8">
        <f>IF(COUNT(D616:V616)=0,"",MEDIAN(D616:V616))</f>
        <v/>
      </c>
      <c r="Y616" s="8">
        <f>IF(COUNT(D616:V616)=0,"",MAX(D616:V616))</f>
        <v/>
      </c>
      <c r="Z616" s="9">
        <f>IF(OR(W616="",W616=0),"",(Y616-W616)/W616)</f>
        <v/>
      </c>
      <c r="AA616" s="7">
        <f>IF(COUNT(D616:V616)=0,"",INDEX($D$1:$V$1,MATCH(MIN(D616:V616),D616:V616,0)))</f>
        <v/>
      </c>
      <c r="AB616" s="8" t="n">
        <v>74.84999999999999</v>
      </c>
      <c r="AC616" s="10" t="n">
        <v>1</v>
      </c>
    </row>
    <row r="617">
      <c r="A617" s="7" t="inlineStr">
        <is>
          <t>MAT-09-102</t>
        </is>
      </c>
      <c r="B617" s="4" t="inlineStr">
        <is>
          <t>Fregadero de un pozo, 9 x 7 pulgadas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5265.16</v>
      </c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>
        <f>IF(COUNT(D617:V617)=0,"",MIN(D617:V617))</f>
        <v/>
      </c>
      <c r="X617" s="8">
        <f>IF(COUNT(D617:V617)=0,"",MEDIAN(D617:V617))</f>
        <v/>
      </c>
      <c r="Y617" s="8">
        <f>IF(COUNT(D617:V617)=0,"",MAX(D617:V617))</f>
        <v/>
      </c>
      <c r="Z617" s="9">
        <f>IF(OR(W617="",W617=0),"",(Y617-W617)/W617)</f>
        <v/>
      </c>
      <c r="AA617" s="7">
        <f>IF(COUNT(D617:V617)=0,"",INDEX($D$1:$V$1,MATCH(MIN(D617:V617),D617:V617,0)))</f>
        <v/>
      </c>
      <c r="AB617" s="8" t="n">
        <v>5265.16</v>
      </c>
      <c r="AC617" s="10" t="n">
        <v>1</v>
      </c>
    </row>
    <row r="618">
      <c r="A618" s="7" t="inlineStr">
        <is>
          <t>MAT-09-103</t>
        </is>
      </c>
      <c r="B618" s="4" t="inlineStr">
        <is>
          <t>Fregadero de un pozo, medida estándar</t>
        </is>
      </c>
      <c r="C618" s="7" t="inlineStr">
        <is>
          <t>unidad</t>
        </is>
      </c>
      <c r="D618" s="8" t="n"/>
      <c r="E618" s="8" t="n"/>
      <c r="F618" s="8" t="n"/>
      <c r="G618" s="8" t="n">
        <v>3040</v>
      </c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>
        <f>IF(COUNT(D618:V618)=0,"",MIN(D618:V618))</f>
        <v/>
      </c>
      <c r="X618" s="8">
        <f>IF(COUNT(D618:V618)=0,"",MEDIAN(D618:V618))</f>
        <v/>
      </c>
      <c r="Y618" s="8">
        <f>IF(COUNT(D618:V618)=0,"",MAX(D618:V618))</f>
        <v/>
      </c>
      <c r="Z618" s="9">
        <f>IF(OR(W618="",W618=0),"",(Y618-W618)/W618)</f>
        <v/>
      </c>
      <c r="AA618" s="7">
        <f>IF(COUNT(D618:V618)=0,"",INDEX($D$1:$V$1,MATCH(MIN(D618:V618),D618:V618,0)))</f>
        <v/>
      </c>
      <c r="AB618" s="8" t="n">
        <v>3040</v>
      </c>
      <c r="AC618" s="10" t="n">
        <v>1</v>
      </c>
    </row>
    <row r="619">
      <c r="A619" s="7" t="inlineStr">
        <is>
          <t>MAT-09-104</t>
        </is>
      </c>
      <c r="B619" s="4" t="inlineStr">
        <is>
          <t>Fregadero de 2 pozos, 28 x 16 pulgadas</t>
        </is>
      </c>
      <c r="C619" s="7" t="inlineStr">
        <is>
          <t>unidad</t>
        </is>
      </c>
      <c r="D619" s="8" t="n"/>
      <c r="E619" s="8" t="n"/>
      <c r="F619" s="8" t="n">
        <v>11376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>
        <f>IF(COUNT(D619:V619)=0,"",MIN(D619:V619))</f>
        <v/>
      </c>
      <c r="X619" s="8">
        <f>IF(COUNT(D619:V619)=0,"",MEDIAN(D619:V619))</f>
        <v/>
      </c>
      <c r="Y619" s="8">
        <f>IF(COUNT(D619:V619)=0,"",MAX(D619:V619))</f>
        <v/>
      </c>
      <c r="Z619" s="9">
        <f>IF(OR(W619="",W619=0),"",(Y619-W619)/W619)</f>
        <v/>
      </c>
      <c r="AA619" s="7">
        <f>IF(COUNT(D619:V619)=0,"",INDEX($D$1:$V$1,MATCH(MIN(D619:V619),D619:V619,0)))</f>
        <v/>
      </c>
      <c r="AB619" s="8" t="n">
        <v>13423.68</v>
      </c>
      <c r="AC619" s="10" t="n">
        <v>1</v>
      </c>
    </row>
    <row r="620">
      <c r="A620" s="7" t="inlineStr">
        <is>
          <t>MAT-09-105</t>
        </is>
      </c>
      <c r="B620" s="4" t="inlineStr">
        <is>
          <t>Fregadero de 2 pozos, 31 x 18 pulgadas</t>
        </is>
      </c>
      <c r="C620" s="7" t="inlineStr">
        <is>
          <t>unidad</t>
        </is>
      </c>
      <c r="D620" s="8" t="n"/>
      <c r="E620" s="8" t="n"/>
      <c r="F620" s="8" t="n">
        <v>18165.28</v>
      </c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>
        <f>IF(COUNT(D620:V620)=0,"",MIN(D620:V620))</f>
        <v/>
      </c>
      <c r="X620" s="8">
        <f>IF(COUNT(D620:V620)=0,"",MEDIAN(D620:V620))</f>
        <v/>
      </c>
      <c r="Y620" s="8">
        <f>IF(COUNT(D620:V620)=0,"",MAX(D620:V620))</f>
        <v/>
      </c>
      <c r="Z620" s="9">
        <f>IF(OR(W620="",W620=0),"",(Y620-W620)/W620)</f>
        <v/>
      </c>
      <c r="AA620" s="7">
        <f>IF(COUNT(D620:V620)=0,"",INDEX($D$1:$V$1,MATCH(MIN(D620:V620),D620:V620,0)))</f>
        <v/>
      </c>
      <c r="AB620" s="8" t="n">
        <v>37416.26</v>
      </c>
      <c r="AC620" s="10" t="n">
        <v>1</v>
      </c>
    </row>
    <row r="621">
      <c r="A621" s="7" t="inlineStr">
        <is>
          <t>MAT-09-106</t>
        </is>
      </c>
      <c r="B621" s="4" t="inlineStr">
        <is>
          <t>Fregadero de 2 pozos, 31 x 19 pulgadas</t>
        </is>
      </c>
      <c r="C621" s="7" t="inlineStr">
        <is>
          <t>unidad</t>
        </is>
      </c>
      <c r="D621" s="8" t="n"/>
      <c r="E621" s="8" t="n"/>
      <c r="F621" s="8" t="n">
        <v>17852.79</v>
      </c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>
        <f>IF(COUNT(D621:V621)=0,"",MIN(D621:V621))</f>
        <v/>
      </c>
      <c r="X621" s="8">
        <f>IF(COUNT(D621:V621)=0,"",MEDIAN(D621:V621))</f>
        <v/>
      </c>
      <c r="Y621" s="8">
        <f>IF(COUNT(D621:V621)=0,"",MAX(D621:V621))</f>
        <v/>
      </c>
      <c r="Z621" s="9">
        <f>IF(OR(W621="",W621=0),"",(Y621-W621)/W621)</f>
        <v/>
      </c>
      <c r="AA621" s="7">
        <f>IF(COUNT(D621:V621)=0,"",INDEX($D$1:$V$1,MATCH(MIN(D621:V621),D621:V621,0)))</f>
        <v/>
      </c>
      <c r="AB621" s="8" t="n">
        <v>21066.29</v>
      </c>
      <c r="AC621" s="10" t="n">
        <v>1</v>
      </c>
    </row>
    <row r="622">
      <c r="A622" s="7" t="inlineStr">
        <is>
          <t>MAT-09-107</t>
        </is>
      </c>
      <c r="B622" s="4" t="inlineStr">
        <is>
          <t>Fregadero de 2 pozos, 31 x 20 pulgadas</t>
        </is>
      </c>
      <c r="C622" s="7" t="inlineStr">
        <is>
          <t>unidad</t>
        </is>
      </c>
      <c r="D622" s="8" t="n"/>
      <c r="E622" s="8" t="n"/>
      <c r="F622" s="8" t="n">
        <v>5594.18</v>
      </c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>
        <f>IF(COUNT(D622:V622)=0,"",MIN(D622:V622))</f>
        <v/>
      </c>
      <c r="X622" s="8">
        <f>IF(COUNT(D622:V622)=0,"",MEDIAN(D622:V622))</f>
        <v/>
      </c>
      <c r="Y622" s="8">
        <f>IF(COUNT(D622:V622)=0,"",MAX(D622:V622))</f>
        <v/>
      </c>
      <c r="Z622" s="9">
        <f>IF(OR(W622="",W622=0),"",(Y622-W622)/W622)</f>
        <v/>
      </c>
      <c r="AA622" s="7">
        <f>IF(COUNT(D622:V622)=0,"",INDEX($D$1:$V$1,MATCH(MIN(D622:V622),D622:V622,0)))</f>
        <v/>
      </c>
      <c r="AB622" s="8" t="n">
        <v>13464.3</v>
      </c>
      <c r="AC622" s="10" t="n">
        <v>1</v>
      </c>
    </row>
    <row r="623">
      <c r="A623" s="7" t="inlineStr">
        <is>
          <t>MAT-09-108</t>
        </is>
      </c>
      <c r="B623" s="4" t="inlineStr">
        <is>
          <t>Fregadero de 2 pozos, 33 x 14 pulgadas</t>
        </is>
      </c>
      <c r="C623" s="7" t="inlineStr">
        <is>
          <t>unidad</t>
        </is>
      </c>
      <c r="D623" s="8" t="n"/>
      <c r="E623" s="8" t="n"/>
      <c r="F623" s="8" t="n">
        <v>11166.49</v>
      </c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>
        <f>IF(COUNT(D623:V623)=0,"",MIN(D623:V623))</f>
        <v/>
      </c>
      <c r="X623" s="8">
        <f>IF(COUNT(D623:V623)=0,"",MEDIAN(D623:V623))</f>
        <v/>
      </c>
      <c r="Y623" s="8">
        <f>IF(COUNT(D623:V623)=0,"",MAX(D623:V623))</f>
        <v/>
      </c>
      <c r="Z623" s="9">
        <f>IF(OR(W623="",W623=0),"",(Y623-W623)/W623)</f>
        <v/>
      </c>
      <c r="AA623" s="7">
        <f>IF(COUNT(D623:V623)=0,"",INDEX($D$1:$V$1,MATCH(MIN(D623:V623),D623:V623,0)))</f>
        <v/>
      </c>
      <c r="AB623" s="8" t="n">
        <v>13176.46</v>
      </c>
      <c r="AC623" s="10" t="n">
        <v>1</v>
      </c>
    </row>
    <row r="624">
      <c r="A624" s="7" t="inlineStr">
        <is>
          <t>MAT-09-109</t>
        </is>
      </c>
      <c r="B624" s="4" t="inlineStr">
        <is>
          <t>Fregadero de 2 pozos, 33 x 19 pulgadas</t>
        </is>
      </c>
      <c r="C624" s="7" t="inlineStr">
        <is>
          <t>unidad</t>
        </is>
      </c>
      <c r="D624" s="8" t="n"/>
      <c r="E624" s="8" t="n"/>
      <c r="F624" s="8" t="n"/>
      <c r="G624" s="8" t="n">
        <v>3285</v>
      </c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>
        <f>IF(COUNT(D624:V624)=0,"",MIN(D624:V624))</f>
        <v/>
      </c>
      <c r="X624" s="8">
        <f>IF(COUNT(D624:V624)=0,"",MEDIAN(D624:V624))</f>
        <v/>
      </c>
      <c r="Y624" s="8">
        <f>IF(COUNT(D624:V624)=0,"",MAX(D624:V624))</f>
        <v/>
      </c>
      <c r="Z624" s="9">
        <f>IF(OR(W624="",W624=0),"",(Y624-W624)/W624)</f>
        <v/>
      </c>
      <c r="AA624" s="7">
        <f>IF(COUNT(D624:V624)=0,"",INDEX($D$1:$V$1,MATCH(MIN(D624:V624),D624:V624,0)))</f>
        <v/>
      </c>
      <c r="AB624" s="8" t="n">
        <v>3285</v>
      </c>
      <c r="AC624" s="10" t="n">
        <v>1</v>
      </c>
    </row>
    <row r="625">
      <c r="A625" s="7" t="inlineStr">
        <is>
          <t>MAT-09-110</t>
        </is>
      </c>
      <c r="B625" s="4" t="inlineStr">
        <is>
          <t>Fregadero de 2 pozos, 33 x 22 pulgadas</t>
        </is>
      </c>
      <c r="C625" s="7" t="inlineStr">
        <is>
          <t>unidad</t>
        </is>
      </c>
      <c r="D625" s="8" t="n"/>
      <c r="E625" s="8" t="n"/>
      <c r="F625" s="8" t="n"/>
      <c r="G625" s="8" t="n">
        <v>6540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>
        <f>IF(COUNT(D625:V625)=0,"",MIN(D625:V625))</f>
        <v/>
      </c>
      <c r="X625" s="8">
        <f>IF(COUNT(D625:V625)=0,"",MEDIAN(D625:V625))</f>
        <v/>
      </c>
      <c r="Y625" s="8">
        <f>IF(COUNT(D625:V625)=0,"",MAX(D625:V625))</f>
        <v/>
      </c>
      <c r="Z625" s="9">
        <f>IF(OR(W625="",W625=0),"",(Y625-W625)/W625)</f>
        <v/>
      </c>
      <c r="AA625" s="7">
        <f>IF(COUNT(D625:V625)=0,"",INDEX($D$1:$V$1,MATCH(MIN(D625:V625),D625:V625,0)))</f>
        <v/>
      </c>
      <c r="AB625" s="8" t="n">
        <v>6540</v>
      </c>
      <c r="AC625" s="10" t="n">
        <v>1</v>
      </c>
    </row>
    <row r="626">
      <c r="A626" s="7" t="inlineStr">
        <is>
          <t>MAT-09-111</t>
        </is>
      </c>
      <c r="B626" s="4" t="inlineStr">
        <is>
          <t>Fregadero de 2 pozos, 34 x 17 pulgadas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>
        <v>45860</v>
      </c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>
        <f>IF(COUNT(D626:V626)=0,"",MIN(D626:V626))</f>
        <v/>
      </c>
      <c r="X626" s="8">
        <f>IF(COUNT(D626:V626)=0,"",MEDIAN(D626:V626))</f>
        <v/>
      </c>
      <c r="Y626" s="8">
        <f>IF(COUNT(D626:V626)=0,"",MAX(D626:V626))</f>
        <v/>
      </c>
      <c r="Z626" s="9">
        <f>IF(OR(W626="",W626=0),"",(Y626-W626)/W626)</f>
        <v/>
      </c>
      <c r="AA626" s="7">
        <f>IF(COUNT(D626:V626)=0,"",INDEX($D$1:$V$1,MATCH(MIN(D626:V626),D626:V626,0)))</f>
        <v/>
      </c>
      <c r="AB626" s="8" t="n">
        <v>45860</v>
      </c>
      <c r="AC626" s="10" t="n">
        <v>1</v>
      </c>
    </row>
    <row r="627">
      <c r="A627" s="7" t="inlineStr">
        <is>
          <t>MAT-09-112</t>
        </is>
      </c>
      <c r="B627" s="4" t="inlineStr">
        <is>
          <t>Fregadero de 2 pozos, 34 x 18 pulgadas</t>
        </is>
      </c>
      <c r="C627" s="7" t="inlineStr">
        <is>
          <t>unidad</t>
        </is>
      </c>
      <c r="D627" s="8" t="n"/>
      <c r="E627" s="8" t="n"/>
      <c r="F627" s="8" t="n">
        <v>17194.13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>
        <f>IF(COUNT(D627:V627)=0,"",MIN(D627:V627))</f>
        <v/>
      </c>
      <c r="X627" s="8">
        <f>IF(COUNT(D627:V627)=0,"",MEDIAN(D627:V627))</f>
        <v/>
      </c>
      <c r="Y627" s="8">
        <f>IF(COUNT(D627:V627)=0,"",MAX(D627:V627))</f>
        <v/>
      </c>
      <c r="Z627" s="9">
        <f>IF(OR(W627="",W627=0),"",(Y627-W627)/W627)</f>
        <v/>
      </c>
      <c r="AA627" s="7">
        <f>IF(COUNT(D627:V627)=0,"",INDEX($D$1:$V$1,MATCH(MIN(D627:V627),D627:V627,0)))</f>
        <v/>
      </c>
      <c r="AB627" s="8" t="n">
        <v>20289.07</v>
      </c>
      <c r="AC627" s="10" t="n">
        <v>1</v>
      </c>
    </row>
    <row r="628">
      <c r="A628" s="7" t="inlineStr">
        <is>
          <t>MAT-09-113</t>
        </is>
      </c>
      <c r="B628" s="4" t="inlineStr">
        <is>
          <t>Fregadero de 2 pozos, 35 x 15 pulgadas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>
        <v>18400</v>
      </c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>
        <f>IF(COUNT(D628:V628)=0,"",MIN(D628:V628))</f>
        <v/>
      </c>
      <c r="X628" s="8">
        <f>IF(COUNT(D628:V628)=0,"",MEDIAN(D628:V628))</f>
        <v/>
      </c>
      <c r="Y628" s="8">
        <f>IF(COUNT(D628:V628)=0,"",MAX(D628:V628))</f>
        <v/>
      </c>
      <c r="Z628" s="9">
        <f>IF(OR(W628="",W628=0),"",(Y628-W628)/W628)</f>
        <v/>
      </c>
      <c r="AA628" s="7">
        <f>IF(COUNT(D628:V628)=0,"",INDEX($D$1:$V$1,MATCH(MIN(D628:V628),D628:V628,0)))</f>
        <v/>
      </c>
      <c r="AB628" s="8" t="n">
        <v>18400</v>
      </c>
      <c r="AC628" s="10" t="n">
        <v>1</v>
      </c>
    </row>
    <row r="629">
      <c r="A629" s="7" t="inlineStr">
        <is>
          <t>MAT-09-114</t>
        </is>
      </c>
      <c r="B629" s="4" t="inlineStr">
        <is>
          <t>Fregadero de 2 pozos, 47 x 20 pulgadas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>
        <v>6665</v>
      </c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>
        <f>IF(COUNT(D629:V629)=0,"",MIN(D629:V629))</f>
        <v/>
      </c>
      <c r="X629" s="8">
        <f>IF(COUNT(D629:V629)=0,"",MEDIAN(D629:V629))</f>
        <v/>
      </c>
      <c r="Y629" s="8">
        <f>IF(COUNT(D629:V629)=0,"",MAX(D629:V629))</f>
        <v/>
      </c>
      <c r="Z629" s="9">
        <f>IF(OR(W629="",W629=0),"",(Y629-W629)/W629)</f>
        <v/>
      </c>
      <c r="AA629" s="7">
        <f>IF(COUNT(D629:V629)=0,"",INDEX($D$1:$V$1,MATCH(MIN(D629:V629),D629:V629,0)))</f>
        <v/>
      </c>
      <c r="AB629" s="8" t="n">
        <v>6672.5</v>
      </c>
      <c r="AC629" s="10" t="n">
        <v>1</v>
      </c>
    </row>
    <row r="630">
      <c r="A630" s="7" t="inlineStr">
        <is>
          <t>MAT-09-115</t>
        </is>
      </c>
      <c r="B630" s="4" t="inlineStr">
        <is>
          <t>Llave de bebedero</t>
        </is>
      </c>
      <c r="C630" s="7" t="inlineStr">
        <is>
          <t>unidad</t>
        </is>
      </c>
      <c r="D630" s="8" t="n"/>
      <c r="E630" s="8" t="n"/>
      <c r="F630" s="8" t="n"/>
      <c r="G630" s="8" t="n">
        <v>205</v>
      </c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>
        <f>IF(COUNT(D630:V630)=0,"",MIN(D630:V630))</f>
        <v/>
      </c>
      <c r="X630" s="8">
        <f>IF(COUNT(D630:V630)=0,"",MEDIAN(D630:V630))</f>
        <v/>
      </c>
      <c r="Y630" s="8">
        <f>IF(COUNT(D630:V630)=0,"",MAX(D630:V630))</f>
        <v/>
      </c>
      <c r="Z630" s="9">
        <f>IF(OR(W630="",W630=0),"",(Y630-W630)/W630)</f>
        <v/>
      </c>
      <c r="AA630" s="7">
        <f>IF(COUNT(D630:V630)=0,"",INDEX($D$1:$V$1,MATCH(MIN(D630:V630),D630:V630,0)))</f>
        <v/>
      </c>
      <c r="AB630" s="8" t="n">
        <v>217.5</v>
      </c>
      <c r="AC630" s="10" t="n">
        <v>1</v>
      </c>
    </row>
    <row r="631">
      <c r="A631" s="7" t="inlineStr">
        <is>
          <t>MAT-10-017</t>
        </is>
      </c>
      <c r="B631" s="4" t="inlineStr">
        <is>
          <t>Bombillo ahorrador de 105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785</v>
      </c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>
        <f>IF(COUNT(D631:V631)=0,"",MIN(D631:V631))</f>
        <v/>
      </c>
      <c r="X631" s="8">
        <f>IF(COUNT(D631:V631)=0,"",MEDIAN(D631:V631))</f>
        <v/>
      </c>
      <c r="Y631" s="8">
        <f>IF(COUNT(D631:V631)=0,"",MAX(D631:V631))</f>
        <v/>
      </c>
      <c r="Z631" s="9">
        <f>IF(OR(W631="",W631=0),"",(Y631-W631)/W631)</f>
        <v/>
      </c>
      <c r="AA631" s="7">
        <f>IF(COUNT(D631:V631)=0,"",INDEX($D$1:$V$1,MATCH(MIN(D631:V631),D631:V631,0)))</f>
        <v/>
      </c>
      <c r="AB631" s="8" t="n">
        <v>785</v>
      </c>
      <c r="AC631" s="10" t="n">
        <v>1</v>
      </c>
    </row>
    <row r="632">
      <c r="A632" s="7" t="inlineStr">
        <is>
          <t>MAT-10-018</t>
        </is>
      </c>
      <c r="B632" s="4" t="inlineStr">
        <is>
          <t>Bombillo ahorrador de 11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>
        <v>100</v>
      </c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>
        <f>IF(COUNT(D632:V632)=0,"",MIN(D632:V632))</f>
        <v/>
      </c>
      <c r="X632" s="8">
        <f>IF(COUNT(D632:V632)=0,"",MEDIAN(D632:V632))</f>
        <v/>
      </c>
      <c r="Y632" s="8">
        <f>IF(COUNT(D632:V632)=0,"",MAX(D632:V632))</f>
        <v/>
      </c>
      <c r="Z632" s="9">
        <f>IF(OR(W632="",W632=0),"",(Y632-W632)/W632)</f>
        <v/>
      </c>
      <c r="AA632" s="7">
        <f>IF(COUNT(D632:V632)=0,"",INDEX($D$1:$V$1,MATCH(MIN(D632:V632),D632:V632,0)))</f>
        <v/>
      </c>
      <c r="AB632" s="8" t="n">
        <v>100</v>
      </c>
      <c r="AC632" s="10" t="n">
        <v>1</v>
      </c>
    </row>
    <row r="633">
      <c r="A633" s="7" t="inlineStr">
        <is>
          <t>MAT-10-019</t>
        </is>
      </c>
      <c r="B633" s="4" t="inlineStr">
        <is>
          <t>Bombillo ahorrador de 15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>
        <v>100</v>
      </c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>
        <f>IF(COUNT(D633:V633)=0,"",MIN(D633:V633))</f>
        <v/>
      </c>
      <c r="X633" s="8">
        <f>IF(COUNT(D633:V633)=0,"",MEDIAN(D633:V633))</f>
        <v/>
      </c>
      <c r="Y633" s="8">
        <f>IF(COUNT(D633:V633)=0,"",MAX(D633:V633))</f>
        <v/>
      </c>
      <c r="Z633" s="9">
        <f>IF(OR(W633="",W633=0),"",(Y633-W633)/W633)</f>
        <v/>
      </c>
      <c r="AA633" s="7">
        <f>IF(COUNT(D633:V633)=0,"",INDEX($D$1:$V$1,MATCH(MIN(D633:V633),D633:V633,0)))</f>
        <v/>
      </c>
      <c r="AB633" s="8" t="n">
        <v>100</v>
      </c>
      <c r="AC633" s="10" t="n">
        <v>1</v>
      </c>
    </row>
    <row r="634">
      <c r="A634" s="7" t="inlineStr">
        <is>
          <t>MAT-10-020</t>
        </is>
      </c>
      <c r="B634" s="4" t="inlineStr">
        <is>
          <t>Bombillo ahorrador de 25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>
        <v>100</v>
      </c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>
        <f>IF(COUNT(D634:V634)=0,"",MIN(D634:V634))</f>
        <v/>
      </c>
      <c r="X634" s="8">
        <f>IF(COUNT(D634:V634)=0,"",MEDIAN(D634:V634))</f>
        <v/>
      </c>
      <c r="Y634" s="8">
        <f>IF(COUNT(D634:V634)=0,"",MAX(D634:V634))</f>
        <v/>
      </c>
      <c r="Z634" s="9">
        <f>IF(OR(W634="",W634=0),"",(Y634-W634)/W634)</f>
        <v/>
      </c>
      <c r="AA634" s="7">
        <f>IF(COUNT(D634:V634)=0,"",INDEX($D$1:$V$1,MATCH(MIN(D634:V634),D634:V634,0)))</f>
        <v/>
      </c>
      <c r="AB634" s="8" t="n">
        <v>100</v>
      </c>
      <c r="AC634" s="10" t="n">
        <v>1</v>
      </c>
    </row>
    <row r="635">
      <c r="A635" s="7" t="inlineStr">
        <is>
          <t>MAT-10-021</t>
        </is>
      </c>
      <c r="B635" s="4" t="inlineStr">
        <is>
          <t>Bombillo ahorrador de 45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>
        <v>313.56</v>
      </c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>
        <f>IF(COUNT(D635:V635)=0,"",MIN(D635:V635))</f>
        <v/>
      </c>
      <c r="X635" s="8">
        <f>IF(COUNT(D635:V635)=0,"",MEDIAN(D635:V635))</f>
        <v/>
      </c>
      <c r="Y635" s="8">
        <f>IF(COUNT(D635:V635)=0,"",MAX(D635:V635))</f>
        <v/>
      </c>
      <c r="Z635" s="9">
        <f>IF(OR(W635="",W635=0),"",(Y635-W635)/W635)</f>
        <v/>
      </c>
      <c r="AA635" s="7">
        <f>IF(COUNT(D635:V635)=0,"",INDEX($D$1:$V$1,MATCH(MIN(D635:V635),D635:V635,0)))</f>
        <v/>
      </c>
      <c r="AB635" s="8" t="n">
        <v>313.56</v>
      </c>
      <c r="AC635" s="10" t="n">
        <v>1</v>
      </c>
    </row>
    <row r="636">
      <c r="A636" s="7" t="inlineStr">
        <is>
          <t>MAT-10-022</t>
        </is>
      </c>
      <c r="B636" s="4" t="inlineStr">
        <is>
          <t>Bombillo ahorrador de 7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>
        <v>100</v>
      </c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>
        <f>IF(COUNT(D636:V636)=0,"",MIN(D636:V636))</f>
        <v/>
      </c>
      <c r="X636" s="8">
        <f>IF(COUNT(D636:V636)=0,"",MEDIAN(D636:V636))</f>
        <v/>
      </c>
      <c r="Y636" s="8">
        <f>IF(COUNT(D636:V636)=0,"",MAX(D636:V636))</f>
        <v/>
      </c>
      <c r="Z636" s="9">
        <f>IF(OR(W636="",W636=0),"",(Y636-W636)/W636)</f>
        <v/>
      </c>
      <c r="AA636" s="7">
        <f>IF(COUNT(D636:V636)=0,"",INDEX($D$1:$V$1,MATCH(MIN(D636:V636),D636:V636,0)))</f>
        <v/>
      </c>
      <c r="AB636" s="8" t="n">
        <v>100</v>
      </c>
      <c r="AC636" s="10" t="n">
        <v>1</v>
      </c>
    </row>
    <row r="637">
      <c r="A637" s="7" t="inlineStr">
        <is>
          <t>MAT-10-023</t>
        </is>
      </c>
      <c r="B637" s="4" t="inlineStr">
        <is>
          <t>Bombillo ahorrador de 85 W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>
        <v>795</v>
      </c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>
        <f>IF(COUNT(D637:V637)=0,"",MIN(D637:V637))</f>
        <v/>
      </c>
      <c r="X637" s="8">
        <f>IF(COUNT(D637:V637)=0,"",MEDIAN(D637:V637))</f>
        <v/>
      </c>
      <c r="Y637" s="8">
        <f>IF(COUNT(D637:V637)=0,"",MAX(D637:V637))</f>
        <v/>
      </c>
      <c r="Z637" s="9">
        <f>IF(OR(W637="",W637=0),"",(Y637-W637)/W637)</f>
        <v/>
      </c>
      <c r="AA637" s="7">
        <f>IF(COUNT(D637:V637)=0,"",INDEX($D$1:$V$1,MATCH(MIN(D637:V637),D637:V637,0)))</f>
        <v/>
      </c>
      <c r="AB637" s="8" t="n">
        <v>795</v>
      </c>
      <c r="AC637" s="10" t="n">
        <v>1</v>
      </c>
    </row>
    <row r="638">
      <c r="A638" s="7" t="inlineStr">
        <is>
          <t>MAT-10-024</t>
        </is>
      </c>
      <c r="B638" s="4" t="inlineStr">
        <is>
          <t>Bombillo bajo consumo de 11 W</t>
        </is>
      </c>
      <c r="C638" s="7" t="inlineStr">
        <is>
          <t>unidad</t>
        </is>
      </c>
      <c r="D638" s="8" t="n"/>
      <c r="E638" s="8" t="n">
        <v>95</v>
      </c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>
        <f>IF(COUNT(D638:V638)=0,"",MIN(D638:V638))</f>
        <v/>
      </c>
      <c r="X638" s="8">
        <f>IF(COUNT(D638:V638)=0,"",MEDIAN(D638:V638))</f>
        <v/>
      </c>
      <c r="Y638" s="8">
        <f>IF(COUNT(D638:V638)=0,"",MAX(D638:V638))</f>
        <v/>
      </c>
      <c r="Z638" s="9">
        <f>IF(OR(W638="",W638=0),"",(Y638-W638)/W638)</f>
        <v/>
      </c>
      <c r="AA638" s="7">
        <f>IF(COUNT(D638:V638)=0,"",INDEX($D$1:$V$1,MATCH(MIN(D638:V638),D638:V638,0)))</f>
        <v/>
      </c>
      <c r="AB638" s="8" t="n">
        <v>95</v>
      </c>
      <c r="AC638" s="10" t="n">
        <v>1</v>
      </c>
    </row>
    <row r="639">
      <c r="A639" s="7" t="inlineStr">
        <is>
          <t>MAT-10-025</t>
        </is>
      </c>
      <c r="B639" s="4" t="inlineStr">
        <is>
          <t>Bombillo bajo consumo de 13 W</t>
        </is>
      </c>
      <c r="C639" s="7" t="inlineStr">
        <is>
          <t>unidad</t>
        </is>
      </c>
      <c r="D639" s="8" t="n"/>
      <c r="E639" s="8" t="n">
        <v>102</v>
      </c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>
        <f>IF(COUNT(D639:V639)=0,"",MIN(D639:V639))</f>
        <v/>
      </c>
      <c r="X639" s="8">
        <f>IF(COUNT(D639:V639)=0,"",MEDIAN(D639:V639))</f>
        <v/>
      </c>
      <c r="Y639" s="8">
        <f>IF(COUNT(D639:V639)=0,"",MAX(D639:V639))</f>
        <v/>
      </c>
      <c r="Z639" s="9">
        <f>IF(OR(W639="",W639=0),"",(Y639-W639)/W639)</f>
        <v/>
      </c>
      <c r="AA639" s="7">
        <f>IF(COUNT(D639:V639)=0,"",INDEX($D$1:$V$1,MATCH(MIN(D639:V639),D639:V639,0)))</f>
        <v/>
      </c>
      <c r="AB639" s="8" t="n">
        <v>102</v>
      </c>
      <c r="AC639" s="10" t="n">
        <v>1</v>
      </c>
    </row>
    <row r="640">
      <c r="A640" s="7" t="inlineStr">
        <is>
          <t>MAT-10-026</t>
        </is>
      </c>
      <c r="B640" s="4" t="inlineStr">
        <is>
          <t>Bombillo bajo consumo de 15 W</t>
        </is>
      </c>
      <c r="C640" s="7" t="inlineStr">
        <is>
          <t>unidad</t>
        </is>
      </c>
      <c r="D640" s="8" t="n"/>
      <c r="E640" s="8" t="n">
        <v>106</v>
      </c>
      <c r="F640" s="8" t="n"/>
      <c r="G640" s="8" t="n"/>
      <c r="H640" s="8" t="n"/>
      <c r="I640" s="8" t="n">
        <v>85</v>
      </c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>
        <f>IF(COUNT(D640:V640)=0,"",MIN(D640:V640))</f>
        <v/>
      </c>
      <c r="X640" s="8">
        <f>IF(COUNT(D640:V640)=0,"",MEDIAN(D640:V640))</f>
        <v/>
      </c>
      <c r="Y640" s="8">
        <f>IF(COUNT(D640:V640)=0,"",MAX(D640:V640))</f>
        <v/>
      </c>
      <c r="Z640" s="9">
        <f>IF(OR(W640="",W640=0),"",(Y640-W640)/W640)</f>
        <v/>
      </c>
      <c r="AA640" s="7">
        <f>IF(COUNT(D640:V640)=0,"",INDEX($D$1:$V$1,MATCH(MIN(D640:V640),D640:V640,0)))</f>
        <v/>
      </c>
      <c r="AB640" s="8" t="n">
        <v>115.5</v>
      </c>
      <c r="AC640" s="10" t="n">
        <v>2</v>
      </c>
    </row>
    <row r="641">
      <c r="A641" s="7" t="inlineStr">
        <is>
          <t>MAT-10-027</t>
        </is>
      </c>
      <c r="B641" s="4" t="inlineStr">
        <is>
          <t>Bombillo bajo consumo de 20 W</t>
        </is>
      </c>
      <c r="C641" s="7" t="inlineStr">
        <is>
          <t>unidad</t>
        </is>
      </c>
      <c r="D641" s="8" t="n"/>
      <c r="E641" s="8" t="n">
        <v>110</v>
      </c>
      <c r="F641" s="8" t="n"/>
      <c r="G641" s="8" t="n"/>
      <c r="H641" s="8" t="n"/>
      <c r="I641" s="8" t="n">
        <v>135</v>
      </c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>
        <f>IF(COUNT(D641:V641)=0,"",MIN(D641:V641))</f>
        <v/>
      </c>
      <c r="X641" s="8">
        <f>IF(COUNT(D641:V641)=0,"",MEDIAN(D641:V641))</f>
        <v/>
      </c>
      <c r="Y641" s="8">
        <f>IF(COUNT(D641:V641)=0,"",MAX(D641:V641))</f>
        <v/>
      </c>
      <c r="Z641" s="9">
        <f>IF(OR(W641="",W641=0),"",(Y641-W641)/W641)</f>
        <v/>
      </c>
      <c r="AA641" s="7">
        <f>IF(COUNT(D641:V641)=0,"",INDEX($D$1:$V$1,MATCH(MIN(D641:V641),D641:V641,0)))</f>
        <v/>
      </c>
      <c r="AB641" s="8" t="n">
        <v>135</v>
      </c>
      <c r="AC641" s="10" t="n">
        <v>2</v>
      </c>
    </row>
    <row r="642">
      <c r="A642" s="7" t="inlineStr">
        <is>
          <t>MAT-10-028</t>
        </is>
      </c>
      <c r="B642" s="4" t="inlineStr">
        <is>
          <t>Bombillo bajo consumo de 24 W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/>
      <c r="I642" s="8" t="n">
        <v>145</v>
      </c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>
        <f>IF(COUNT(D642:V642)=0,"",MIN(D642:V642))</f>
        <v/>
      </c>
      <c r="X642" s="8">
        <f>IF(COUNT(D642:V642)=0,"",MEDIAN(D642:V642))</f>
        <v/>
      </c>
      <c r="Y642" s="8">
        <f>IF(COUNT(D642:V642)=0,"",MAX(D642:V642))</f>
        <v/>
      </c>
      <c r="Z642" s="9">
        <f>IF(OR(W642="",W642=0),"",(Y642-W642)/W642)</f>
        <v/>
      </c>
      <c r="AA642" s="7">
        <f>IF(COUNT(D642:V642)=0,"",INDEX($D$1:$V$1,MATCH(MIN(D642:V642),D642:V642,0)))</f>
        <v/>
      </c>
      <c r="AB642" s="8" t="n">
        <v>145</v>
      </c>
      <c r="AC642" s="10" t="n">
        <v>1</v>
      </c>
    </row>
    <row r="643">
      <c r="A643" s="7" t="inlineStr">
        <is>
          <t>MAT-10-029</t>
        </is>
      </c>
      <c r="B643" s="4" t="inlineStr">
        <is>
          <t>Bombillo bajo consumo de 45 W</t>
        </is>
      </c>
      <c r="C643" s="7" t="inlineStr">
        <is>
          <t>unidad</t>
        </is>
      </c>
      <c r="D643" s="8" t="n"/>
      <c r="E643" s="8" t="n">
        <v>595</v>
      </c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>
        <f>IF(COUNT(D643:V643)=0,"",MIN(D643:V643))</f>
        <v/>
      </c>
      <c r="X643" s="8">
        <f>IF(COUNT(D643:V643)=0,"",MEDIAN(D643:V643))</f>
        <v/>
      </c>
      <c r="Y643" s="8">
        <f>IF(COUNT(D643:V643)=0,"",MAX(D643:V643))</f>
        <v/>
      </c>
      <c r="Z643" s="9">
        <f>IF(OR(W643="",W643=0),"",(Y643-W643)/W643)</f>
        <v/>
      </c>
      <c r="AA643" s="7">
        <f>IF(COUNT(D643:V643)=0,"",INDEX($D$1:$V$1,MATCH(MIN(D643:V643),D643:V643,0)))</f>
        <v/>
      </c>
      <c r="AB643" s="8" t="n">
        <v>595</v>
      </c>
      <c r="AC643" s="10" t="n">
        <v>1</v>
      </c>
    </row>
    <row r="644">
      <c r="A644" s="7" t="inlineStr">
        <is>
          <t>MAT-10-030</t>
        </is>
      </c>
      <c r="B644" s="4" t="inlineStr">
        <is>
          <t>Bombillo halógeno de 50 W</t>
        </is>
      </c>
      <c r="C644" s="7" t="inlineStr">
        <is>
          <t>unidad</t>
        </is>
      </c>
      <c r="D644" s="8" t="n"/>
      <c r="E644" s="8" t="n">
        <v>122</v>
      </c>
      <c r="F644" s="8" t="n"/>
      <c r="G644" s="8" t="n"/>
      <c r="H644" s="8" t="n"/>
      <c r="I644" s="8" t="n">
        <v>59</v>
      </c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>
        <f>IF(COUNT(D644:V644)=0,"",MIN(D644:V644))</f>
        <v/>
      </c>
      <c r="X644" s="8">
        <f>IF(COUNT(D644:V644)=0,"",MEDIAN(D644:V644))</f>
        <v/>
      </c>
      <c r="Y644" s="8">
        <f>IF(COUNT(D644:V644)=0,"",MAX(D644:V644))</f>
        <v/>
      </c>
      <c r="Z644" s="9">
        <f>IF(OR(W644="",W644=0),"",(Y644-W644)/W644)</f>
        <v/>
      </c>
      <c r="AA644" s="7">
        <f>IF(COUNT(D644:V644)=0,"",INDEX($D$1:$V$1,MATCH(MIN(D644:V644),D644:V644,0)))</f>
        <v/>
      </c>
      <c r="AB644" s="8" t="n">
        <v>70</v>
      </c>
      <c r="AC644" s="10" t="n">
        <v>2</v>
      </c>
    </row>
    <row r="645">
      <c r="A645" s="7" t="inlineStr">
        <is>
          <t>MAT-10-031</t>
        </is>
      </c>
      <c r="B645" s="4" t="inlineStr">
        <is>
          <t>Bombillo halógeno de 75 W</t>
        </is>
      </c>
      <c r="C645" s="7" t="inlineStr">
        <is>
          <t>unidad</t>
        </is>
      </c>
      <c r="D645" s="8" t="n"/>
      <c r="E645" s="8" t="n">
        <v>234</v>
      </c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>
        <f>IF(COUNT(D645:V645)=0,"",MIN(D645:V645))</f>
        <v/>
      </c>
      <c r="X645" s="8">
        <f>IF(COUNT(D645:V645)=0,"",MEDIAN(D645:V645))</f>
        <v/>
      </c>
      <c r="Y645" s="8">
        <f>IF(COUNT(D645:V645)=0,"",MAX(D645:V645))</f>
        <v/>
      </c>
      <c r="Z645" s="9">
        <f>IF(OR(W645="",W645=0),"",(Y645-W645)/W645)</f>
        <v/>
      </c>
      <c r="AA645" s="7">
        <f>IF(COUNT(D645:V645)=0,"",INDEX($D$1:$V$1,MATCH(MIN(D645:V645),D645:V645,0)))</f>
        <v/>
      </c>
      <c r="AB645" s="8" t="n">
        <v>234</v>
      </c>
      <c r="AC645" s="10" t="n">
        <v>1</v>
      </c>
    </row>
    <row r="646">
      <c r="A646" s="7" t="inlineStr">
        <is>
          <t>MAT-10-032</t>
        </is>
      </c>
      <c r="B646" s="4" t="inlineStr">
        <is>
          <t>Bombillo incandescente de 100 W</t>
        </is>
      </c>
      <c r="C646" s="7" t="inlineStr">
        <is>
          <t>unidad</t>
        </is>
      </c>
      <c r="D646" s="8" t="n"/>
      <c r="E646" s="8" t="n">
        <v>41</v>
      </c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>
        <f>IF(COUNT(D646:V646)=0,"",MIN(D646:V646))</f>
        <v/>
      </c>
      <c r="X646" s="8">
        <f>IF(COUNT(D646:V646)=0,"",MEDIAN(D646:V646))</f>
        <v/>
      </c>
      <c r="Y646" s="8">
        <f>IF(COUNT(D646:V646)=0,"",MAX(D646:V646))</f>
        <v/>
      </c>
      <c r="Z646" s="9">
        <f>IF(OR(W646="",W646=0),"",(Y646-W646)/W646)</f>
        <v/>
      </c>
      <c r="AA646" s="7">
        <f>IF(COUNT(D646:V646)=0,"",INDEX($D$1:$V$1,MATCH(MIN(D646:V646),D646:V646,0)))</f>
        <v/>
      </c>
      <c r="AB646" s="8" t="n">
        <v>41</v>
      </c>
      <c r="AC646" s="10" t="n">
        <v>1</v>
      </c>
    </row>
    <row r="647">
      <c r="A647" s="7" t="inlineStr">
        <is>
          <t>MAT-10-033</t>
        </is>
      </c>
      <c r="B647" s="4" t="inlineStr">
        <is>
          <t>Bombillo incandescente de 11 W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>
        <v>50</v>
      </c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>
        <f>IF(COUNT(D647:V647)=0,"",MIN(D647:V647))</f>
        <v/>
      </c>
      <c r="X647" s="8">
        <f>IF(COUNT(D647:V647)=0,"",MEDIAN(D647:V647))</f>
        <v/>
      </c>
      <c r="Y647" s="8">
        <f>IF(COUNT(D647:V647)=0,"",MAX(D647:V647))</f>
        <v/>
      </c>
      <c r="Z647" s="9">
        <f>IF(OR(W647="",W647=0),"",(Y647-W647)/W647)</f>
        <v/>
      </c>
      <c r="AA647" s="7">
        <f>IF(COUNT(D647:V647)=0,"",INDEX($D$1:$V$1,MATCH(MIN(D647:V647),D647:V647,0)))</f>
        <v/>
      </c>
      <c r="AB647" s="8" t="n">
        <v>50</v>
      </c>
      <c r="AC647" s="10" t="n">
        <v>1</v>
      </c>
    </row>
    <row r="648">
      <c r="A648" s="7" t="inlineStr">
        <is>
          <t>MAT-10-034</t>
        </is>
      </c>
      <c r="B648" s="4" t="inlineStr">
        <is>
          <t>Bombillo incandescente de 15 W</t>
        </is>
      </c>
      <c r="C648" s="7" t="inlineStr">
        <is>
          <t>unidad</t>
        </is>
      </c>
      <c r="D648" s="8" t="n"/>
      <c r="E648" s="8" t="n">
        <v>148</v>
      </c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>
        <f>IF(COUNT(D648:V648)=0,"",MIN(D648:V648))</f>
        <v/>
      </c>
      <c r="X648" s="8">
        <f>IF(COUNT(D648:V648)=0,"",MEDIAN(D648:V648))</f>
        <v/>
      </c>
      <c r="Y648" s="8">
        <f>IF(COUNT(D648:V648)=0,"",MAX(D648:V648))</f>
        <v/>
      </c>
      <c r="Z648" s="9">
        <f>IF(OR(W648="",W648=0),"",(Y648-W648)/W648)</f>
        <v/>
      </c>
      <c r="AA648" s="7">
        <f>IF(COUNT(D648:V648)=0,"",INDEX($D$1:$V$1,MATCH(MIN(D648:V648),D648:V648,0)))</f>
        <v/>
      </c>
      <c r="AB648" s="8" t="n">
        <v>148</v>
      </c>
      <c r="AC648" s="10" t="n">
        <v>1</v>
      </c>
    </row>
    <row r="649">
      <c r="A649" s="7" t="inlineStr">
        <is>
          <t>MAT-10-035</t>
        </is>
      </c>
      <c r="B649" s="4" t="inlineStr">
        <is>
          <t>Bombillo incandescente de 25 W</t>
        </is>
      </c>
      <c r="C649" s="7" t="inlineStr">
        <is>
          <t>unidad</t>
        </is>
      </c>
      <c r="D649" s="8" t="n"/>
      <c r="E649" s="8" t="n">
        <v>98</v>
      </c>
      <c r="F649" s="8" t="n"/>
      <c r="G649" s="8" t="n"/>
      <c r="H649" s="8" t="n"/>
      <c r="I649" s="8" t="n"/>
      <c r="J649" s="8" t="n"/>
      <c r="K649" s="8" t="n"/>
      <c r="L649" s="8" t="n">
        <v>85</v>
      </c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>
        <f>IF(COUNT(D649:V649)=0,"",MIN(D649:V649))</f>
        <v/>
      </c>
      <c r="X649" s="8">
        <f>IF(COUNT(D649:V649)=0,"",MEDIAN(D649:V649))</f>
        <v/>
      </c>
      <c r="Y649" s="8">
        <f>IF(COUNT(D649:V649)=0,"",MAX(D649:V649))</f>
        <v/>
      </c>
      <c r="Z649" s="9">
        <f>IF(OR(W649="",W649=0),"",(Y649-W649)/W649)</f>
        <v/>
      </c>
      <c r="AA649" s="7">
        <f>IF(COUNT(D649:V649)=0,"",INDEX($D$1:$V$1,MATCH(MIN(D649:V649),D649:V649,0)))</f>
        <v/>
      </c>
      <c r="AB649" s="8" t="n">
        <v>106.5</v>
      </c>
      <c r="AC649" s="10" t="n">
        <v>2</v>
      </c>
    </row>
    <row r="650">
      <c r="A650" s="7" t="inlineStr">
        <is>
          <t>MAT-10-036</t>
        </is>
      </c>
      <c r="B650" s="4" t="inlineStr">
        <is>
          <t>Bombillo incandescente de 250 W</t>
        </is>
      </c>
      <c r="C650" s="7" t="inlineStr">
        <is>
          <t>unidad</t>
        </is>
      </c>
      <c r="D650" s="8" t="n"/>
      <c r="E650" s="8" t="n">
        <v>628</v>
      </c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>
        <f>IF(COUNT(D650:V650)=0,"",MIN(D650:V650))</f>
        <v/>
      </c>
      <c r="X650" s="8">
        <f>IF(COUNT(D650:V650)=0,"",MEDIAN(D650:V650))</f>
        <v/>
      </c>
      <c r="Y650" s="8">
        <f>IF(COUNT(D650:V650)=0,"",MAX(D650:V650))</f>
        <v/>
      </c>
      <c r="Z650" s="9">
        <f>IF(OR(W650="",W650=0),"",(Y650-W650)/W650)</f>
        <v/>
      </c>
      <c r="AA650" s="7">
        <f>IF(COUNT(D650:V650)=0,"",INDEX($D$1:$V$1,MATCH(MIN(D650:V650),D650:V650,0)))</f>
        <v/>
      </c>
      <c r="AB650" s="8" t="n">
        <v>628</v>
      </c>
      <c r="AC650" s="10" t="n">
        <v>1</v>
      </c>
    </row>
    <row r="651">
      <c r="A651" s="7" t="inlineStr">
        <is>
          <t>MAT-10-037</t>
        </is>
      </c>
      <c r="B651" s="4" t="inlineStr">
        <is>
          <t>Bombillo incandescente de 40 W</t>
        </is>
      </c>
      <c r="C651" s="7" t="inlineStr">
        <is>
          <t>unidad</t>
        </is>
      </c>
      <c r="D651" s="8" t="n"/>
      <c r="E651" s="8" t="n">
        <v>97</v>
      </c>
      <c r="F651" s="8" t="n"/>
      <c r="G651" s="8" t="n"/>
      <c r="H651" s="8" t="n"/>
      <c r="I651" s="8" t="n">
        <v>120</v>
      </c>
      <c r="J651" s="8" t="n"/>
      <c r="K651" s="8" t="n"/>
      <c r="L651" s="8" t="n">
        <v>80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>
        <f>IF(COUNT(D651:V651)=0,"",MIN(D651:V651))</f>
        <v/>
      </c>
      <c r="X651" s="8">
        <f>IF(COUNT(D651:V651)=0,"",MEDIAN(D651:V651))</f>
        <v/>
      </c>
      <c r="Y651" s="8">
        <f>IF(COUNT(D651:V651)=0,"",MAX(D651:V651))</f>
        <v/>
      </c>
      <c r="Z651" s="9">
        <f>IF(OR(W651="",W651=0),"",(Y651-W651)/W651)</f>
        <v/>
      </c>
      <c r="AA651" s="7">
        <f>IF(COUNT(D651:V651)=0,"",INDEX($D$1:$V$1,MATCH(MIN(D651:V651),D651:V651,0)))</f>
        <v/>
      </c>
      <c r="AB651" s="8" t="n">
        <v>122</v>
      </c>
      <c r="AC651" s="10" t="n">
        <v>3</v>
      </c>
    </row>
    <row r="652">
      <c r="A652" s="7" t="inlineStr">
        <is>
          <t>MAT-10-038</t>
        </is>
      </c>
      <c r="B652" s="4" t="inlineStr">
        <is>
          <t>Bombillo incandescente de 50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235.06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>
        <f>IF(COUNT(D652:V652)=0,"",MIN(D652:V652))</f>
        <v/>
      </c>
      <c r="X652" s="8">
        <f>IF(COUNT(D652:V652)=0,"",MEDIAN(D652:V652))</f>
        <v/>
      </c>
      <c r="Y652" s="8">
        <f>IF(COUNT(D652:V652)=0,"",MAX(D652:V652))</f>
        <v/>
      </c>
      <c r="Z652" s="9">
        <f>IF(OR(W652="",W652=0),"",(Y652-W652)/W652)</f>
        <v/>
      </c>
      <c r="AA652" s="7">
        <f>IF(COUNT(D652:V652)=0,"",INDEX($D$1:$V$1,MATCH(MIN(D652:V652),D652:V652,0)))</f>
        <v/>
      </c>
      <c r="AB652" s="8" t="n">
        <v>235.06</v>
      </c>
      <c r="AC652" s="10" t="n">
        <v>1</v>
      </c>
    </row>
    <row r="653">
      <c r="A653" s="7" t="inlineStr">
        <is>
          <t>MAT-10-039</t>
        </is>
      </c>
      <c r="B653" s="4" t="inlineStr">
        <is>
          <t>Bombillo incandescente de 75 W</t>
        </is>
      </c>
      <c r="C653" s="7" t="inlineStr">
        <is>
          <t>unidad</t>
        </is>
      </c>
      <c r="D653" s="8" t="n"/>
      <c r="E653" s="8" t="n">
        <v>42</v>
      </c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>
        <f>IF(COUNT(D653:V653)=0,"",MIN(D653:V653))</f>
        <v/>
      </c>
      <c r="X653" s="8">
        <f>IF(COUNT(D653:V653)=0,"",MEDIAN(D653:V653))</f>
        <v/>
      </c>
      <c r="Y653" s="8">
        <f>IF(COUNT(D653:V653)=0,"",MAX(D653:V653))</f>
        <v/>
      </c>
      <c r="Z653" s="9">
        <f>IF(OR(W653="",W653=0),"",(Y653-W653)/W653)</f>
        <v/>
      </c>
      <c r="AA653" s="7">
        <f>IF(COUNT(D653:V653)=0,"",INDEX($D$1:$V$1,MATCH(MIN(D653:V653),D653:V653,0)))</f>
        <v/>
      </c>
      <c r="AB653" s="8" t="n">
        <v>42</v>
      </c>
      <c r="AC653" s="10" t="n">
        <v>1</v>
      </c>
    </row>
    <row r="654">
      <c r="A654" s="7" t="inlineStr">
        <is>
          <t>MAT-10-041</t>
        </is>
      </c>
      <c r="B654" s="4" t="inlineStr">
        <is>
          <t>Bombillo LED de 1.2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40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>
        <f>IF(COUNT(D654:V654)=0,"",MIN(D654:V654))</f>
        <v/>
      </c>
      <c r="X654" s="8">
        <f>IF(COUNT(D654:V654)=0,"",MEDIAN(D654:V654))</f>
        <v/>
      </c>
      <c r="Y654" s="8">
        <f>IF(COUNT(D654:V654)=0,"",MAX(D654:V654))</f>
        <v/>
      </c>
      <c r="Z654" s="9">
        <f>IF(OR(W654="",W654=0),"",(Y654-W654)/W654)</f>
        <v/>
      </c>
      <c r="AA654" s="7">
        <f>IF(COUNT(D654:V654)=0,"",INDEX($D$1:$V$1,MATCH(MIN(D654:V654),D654:V654,0)))</f>
        <v/>
      </c>
      <c r="AB654" s="8" t="n">
        <v>40</v>
      </c>
      <c r="AC654" s="10" t="n">
        <v>1</v>
      </c>
    </row>
    <row r="655">
      <c r="A655" s="7" t="inlineStr">
        <is>
          <t>MAT-10-042</t>
        </is>
      </c>
      <c r="B655" s="4" t="inlineStr">
        <is>
          <t>Bombillo led de 1.6 W</t>
        </is>
      </c>
      <c r="C655" s="7" t="inlineStr">
        <is>
          <t>unidad</t>
        </is>
      </c>
      <c r="D655" s="8" t="n"/>
      <c r="E655" s="8" t="n">
        <v>530</v>
      </c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>
        <f>IF(COUNT(D655:V655)=0,"",MIN(D655:V655))</f>
        <v/>
      </c>
      <c r="X655" s="8">
        <f>IF(COUNT(D655:V655)=0,"",MEDIAN(D655:V655))</f>
        <v/>
      </c>
      <c r="Y655" s="8">
        <f>IF(COUNT(D655:V655)=0,"",MAX(D655:V655))</f>
        <v/>
      </c>
      <c r="Z655" s="9">
        <f>IF(OR(W655="",W655=0),"",(Y655-W655)/W655)</f>
        <v/>
      </c>
      <c r="AA655" s="7">
        <f>IF(COUNT(D655:V655)=0,"",INDEX($D$1:$V$1,MATCH(MIN(D655:V655),D655:V655,0)))</f>
        <v/>
      </c>
      <c r="AB655" s="8" t="n">
        <v>648.5</v>
      </c>
      <c r="AC655" s="10" t="n">
        <v>1</v>
      </c>
    </row>
    <row r="656">
      <c r="A656" s="7" t="inlineStr">
        <is>
          <t>MAT-10-043</t>
        </is>
      </c>
      <c r="B656" s="4" t="inlineStr">
        <is>
          <t>Bombillo LED de 10 W</t>
        </is>
      </c>
      <c r="C656" s="7" t="inlineStr">
        <is>
          <t>unidad</t>
        </is>
      </c>
      <c r="D656" s="8" t="n"/>
      <c r="E656" s="8" t="n">
        <v>159</v>
      </c>
      <c r="F656" s="8" t="n"/>
      <c r="G656" s="8" t="n"/>
      <c r="H656" s="8" t="n"/>
      <c r="I656" s="8" t="n">
        <v>215</v>
      </c>
      <c r="J656" s="8" t="n"/>
      <c r="K656" s="8" t="n"/>
      <c r="L656" s="8" t="n">
        <v>170</v>
      </c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>
        <f>IF(COUNT(D656:V656)=0,"",MIN(D656:V656))</f>
        <v/>
      </c>
      <c r="X656" s="8">
        <f>IF(COUNT(D656:V656)=0,"",MEDIAN(D656:V656))</f>
        <v/>
      </c>
      <c r="Y656" s="8">
        <f>IF(COUNT(D656:V656)=0,"",MAX(D656:V656))</f>
        <v/>
      </c>
      <c r="Z656" s="9">
        <f>IF(OR(W656="",W656=0),"",(Y656-W656)/W656)</f>
        <v/>
      </c>
      <c r="AA656" s="7">
        <f>IF(COUNT(D656:V656)=0,"",INDEX($D$1:$V$1,MATCH(MIN(D656:V656),D656:V656,0)))</f>
        <v/>
      </c>
      <c r="AB656" s="8" t="n">
        <v>215</v>
      </c>
      <c r="AC656" s="10" t="n">
        <v>3</v>
      </c>
    </row>
    <row r="657">
      <c r="A657" s="7" t="inlineStr">
        <is>
          <t>MAT-10-044</t>
        </is>
      </c>
      <c r="B657" s="4" t="inlineStr">
        <is>
          <t>Bombillo led de 100 W</t>
        </is>
      </c>
      <c r="C657" s="7" t="inlineStr">
        <is>
          <t>unidad</t>
        </is>
      </c>
      <c r="D657" s="8" t="n"/>
      <c r="E657" s="8" t="n">
        <v>1825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>
        <f>IF(COUNT(D657:V657)=0,"",MIN(D657:V657))</f>
        <v/>
      </c>
      <c r="X657" s="8">
        <f>IF(COUNT(D657:V657)=0,"",MEDIAN(D657:V657))</f>
        <v/>
      </c>
      <c r="Y657" s="8">
        <f>IF(COUNT(D657:V657)=0,"",MAX(D657:V657))</f>
        <v/>
      </c>
      <c r="Z657" s="9">
        <f>IF(OR(W657="",W657=0),"",(Y657-W657)/W657)</f>
        <v/>
      </c>
      <c r="AA657" s="7">
        <f>IF(COUNT(D657:V657)=0,"",INDEX($D$1:$V$1,MATCH(MIN(D657:V657),D657:V657,0)))</f>
        <v/>
      </c>
      <c r="AB657" s="8" t="n">
        <v>1825</v>
      </c>
      <c r="AC657" s="10" t="n">
        <v>1</v>
      </c>
    </row>
    <row r="658">
      <c r="A658" s="7" t="inlineStr">
        <is>
          <t>MAT-10-045</t>
        </is>
      </c>
      <c r="B658" s="4" t="inlineStr">
        <is>
          <t>Bombillo LED de 11 W</t>
        </is>
      </c>
      <c r="C658" s="7" t="inlineStr">
        <is>
          <t>unidad</t>
        </is>
      </c>
      <c r="D658" s="8" t="n"/>
      <c r="E658" s="8" t="n">
        <v>515</v>
      </c>
      <c r="F658" s="8" t="n"/>
      <c r="G658" s="8" t="n"/>
      <c r="H658" s="8" t="n"/>
      <c r="I658" s="8" t="n"/>
      <c r="J658" s="8" t="n"/>
      <c r="K658" s="8" t="n"/>
      <c r="L658" s="8" t="n">
        <v>190</v>
      </c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>
        <f>IF(COUNT(D658:V658)=0,"",MIN(D658:V658))</f>
        <v/>
      </c>
      <c r="X658" s="8">
        <f>IF(COUNT(D658:V658)=0,"",MEDIAN(D658:V658))</f>
        <v/>
      </c>
      <c r="Y658" s="8">
        <f>IF(COUNT(D658:V658)=0,"",MAX(D658:V658))</f>
        <v/>
      </c>
      <c r="Z658" s="9">
        <f>IF(OR(W658="",W658=0),"",(Y658-W658)/W658)</f>
        <v/>
      </c>
      <c r="AA658" s="7">
        <f>IF(COUNT(D658:V658)=0,"",INDEX($D$1:$V$1,MATCH(MIN(D658:V658),D658:V658,0)))</f>
        <v/>
      </c>
      <c r="AB658" s="8" t="n">
        <v>515</v>
      </c>
      <c r="AC658" s="10" t="n">
        <v>2</v>
      </c>
    </row>
    <row r="659">
      <c r="A659" s="7" t="inlineStr">
        <is>
          <t>MAT-10-046</t>
        </is>
      </c>
      <c r="B659" s="4" t="inlineStr">
        <is>
          <t>Bombillo LED de 12 W</t>
        </is>
      </c>
      <c r="C659" s="7" t="inlineStr">
        <is>
          <t>unidad</t>
        </is>
      </c>
      <c r="D659" s="8" t="n"/>
      <c r="E659" s="8" t="n">
        <v>75</v>
      </c>
      <c r="F659" s="8" t="n"/>
      <c r="G659" s="8" t="n"/>
      <c r="H659" s="8" t="n"/>
      <c r="I659" s="8" t="n">
        <v>220</v>
      </c>
      <c r="J659" s="8" t="n">
        <v>106</v>
      </c>
      <c r="K659" s="8" t="n"/>
      <c r="L659" s="8" t="n">
        <v>60</v>
      </c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>
        <f>IF(COUNT(D659:V659)=0,"",MIN(D659:V659))</f>
        <v/>
      </c>
      <c r="X659" s="8">
        <f>IF(COUNT(D659:V659)=0,"",MEDIAN(D659:V659))</f>
        <v/>
      </c>
      <c r="Y659" s="8">
        <f>IF(COUNT(D659:V659)=0,"",MAX(D659:V659))</f>
        <v/>
      </c>
      <c r="Z659" s="9">
        <f>IF(OR(W659="",W659=0),"",(Y659-W659)/W659)</f>
        <v/>
      </c>
      <c r="AA659" s="7">
        <f>IF(COUNT(D659:V659)=0,"",INDEX($D$1:$V$1,MATCH(MIN(D659:V659),D659:V659,0)))</f>
        <v/>
      </c>
      <c r="AB659" s="8" t="n">
        <v>202</v>
      </c>
      <c r="AC659" s="10" t="n">
        <v>4</v>
      </c>
    </row>
    <row r="660">
      <c r="A660" s="7" t="inlineStr">
        <is>
          <t>MAT-10-047</t>
        </is>
      </c>
      <c r="B660" s="4" t="inlineStr">
        <is>
          <t>Bombillo led de 125 W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/>
      <c r="I660" s="8" t="n">
        <v>295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>
        <f>IF(COUNT(D660:V660)=0,"",MIN(D660:V660))</f>
        <v/>
      </c>
      <c r="X660" s="8">
        <f>IF(COUNT(D660:V660)=0,"",MEDIAN(D660:V660))</f>
        <v/>
      </c>
      <c r="Y660" s="8">
        <f>IF(COUNT(D660:V660)=0,"",MAX(D660:V660))</f>
        <v/>
      </c>
      <c r="Z660" s="9">
        <f>IF(OR(W660="",W660=0),"",(Y660-W660)/W660)</f>
        <v/>
      </c>
      <c r="AA660" s="7">
        <f>IF(COUNT(D660:V660)=0,"",INDEX($D$1:$V$1,MATCH(MIN(D660:V660),D660:V660,0)))</f>
        <v/>
      </c>
      <c r="AB660" s="8" t="n">
        <v>295</v>
      </c>
      <c r="AC660" s="10" t="n">
        <v>1</v>
      </c>
    </row>
    <row r="661">
      <c r="A661" s="7" t="inlineStr">
        <is>
          <t>MAT-10-048</t>
        </is>
      </c>
      <c r="B661" s="4" t="inlineStr">
        <is>
          <t>Bombillo led de 13 W</t>
        </is>
      </c>
      <c r="C661" s="7" t="inlineStr">
        <is>
          <t>unidad</t>
        </is>
      </c>
      <c r="D661" s="8" t="n"/>
      <c r="E661" s="8" t="n">
        <v>245</v>
      </c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>
        <f>IF(COUNT(D661:V661)=0,"",MIN(D661:V661))</f>
        <v/>
      </c>
      <c r="X661" s="8">
        <f>IF(COUNT(D661:V661)=0,"",MEDIAN(D661:V661))</f>
        <v/>
      </c>
      <c r="Y661" s="8">
        <f>IF(COUNT(D661:V661)=0,"",MAX(D661:V661))</f>
        <v/>
      </c>
      <c r="Z661" s="9">
        <f>IF(OR(W661="",W661=0),"",(Y661-W661)/W661)</f>
        <v/>
      </c>
      <c r="AA661" s="7">
        <f>IF(COUNT(D661:V661)=0,"",INDEX($D$1:$V$1,MATCH(MIN(D661:V661),D661:V661,0)))</f>
        <v/>
      </c>
      <c r="AB661" s="8" t="n">
        <v>245</v>
      </c>
      <c r="AC661" s="10" t="n">
        <v>1</v>
      </c>
    </row>
    <row r="662">
      <c r="A662" s="7" t="inlineStr">
        <is>
          <t>MAT-10-049</t>
        </is>
      </c>
      <c r="B662" s="4" t="inlineStr">
        <is>
          <t>Bombillo LED de 14 W</t>
        </is>
      </c>
      <c r="C662" s="7" t="inlineStr">
        <is>
          <t>unidad</t>
        </is>
      </c>
      <c r="D662" s="8" t="n"/>
      <c r="E662" s="8" t="n">
        <v>218</v>
      </c>
      <c r="F662" s="8" t="n"/>
      <c r="G662" s="8" t="n"/>
      <c r="H662" s="8" t="n"/>
      <c r="I662" s="8" t="n">
        <v>69</v>
      </c>
      <c r="J662" s="8" t="n"/>
      <c r="K662" s="8" t="n"/>
      <c r="L662" s="8" t="n">
        <v>240</v>
      </c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>
        <f>IF(COUNT(D662:V662)=0,"",MIN(D662:V662))</f>
        <v/>
      </c>
      <c r="X662" s="8">
        <f>IF(COUNT(D662:V662)=0,"",MEDIAN(D662:V662))</f>
        <v/>
      </c>
      <c r="Y662" s="8">
        <f>IF(COUNT(D662:V662)=0,"",MAX(D662:V662))</f>
        <v/>
      </c>
      <c r="Z662" s="9">
        <f>IF(OR(W662="",W662=0),"",(Y662-W662)/W662)</f>
        <v/>
      </c>
      <c r="AA662" s="7">
        <f>IF(COUNT(D662:V662)=0,"",INDEX($D$1:$V$1,MATCH(MIN(D662:V662),D662:V662,0)))</f>
        <v/>
      </c>
      <c r="AB662" s="8" t="n">
        <v>240</v>
      </c>
      <c r="AC662" s="10" t="n">
        <v>3</v>
      </c>
    </row>
    <row r="663">
      <c r="A663" s="7" t="inlineStr">
        <is>
          <t>MAT-10-050</t>
        </is>
      </c>
      <c r="B663" s="4" t="inlineStr">
        <is>
          <t>Bombillo LED de 15 W</t>
        </is>
      </c>
      <c r="C663" s="7" t="inlineStr">
        <is>
          <t>unidad</t>
        </is>
      </c>
      <c r="D663" s="8" t="n"/>
      <c r="E663" s="8" t="n">
        <v>35</v>
      </c>
      <c r="F663" s="8" t="n"/>
      <c r="G663" s="8" t="n"/>
      <c r="H663" s="8" t="n"/>
      <c r="I663" s="8" t="n"/>
      <c r="J663" s="8" t="n">
        <v>142</v>
      </c>
      <c r="K663" s="8" t="n"/>
      <c r="L663" s="8" t="n">
        <v>130</v>
      </c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>
        <f>IF(COUNT(D663:V663)=0,"",MIN(D663:V663))</f>
        <v/>
      </c>
      <c r="X663" s="8">
        <f>IF(COUNT(D663:V663)=0,"",MEDIAN(D663:V663))</f>
        <v/>
      </c>
      <c r="Y663" s="8">
        <f>IF(COUNT(D663:V663)=0,"",MAX(D663:V663))</f>
        <v/>
      </c>
      <c r="Z663" s="9">
        <f>IF(OR(W663="",W663=0),"",(Y663-W663)/W663)</f>
        <v/>
      </c>
      <c r="AA663" s="7">
        <f>IF(COUNT(D663:V663)=0,"",INDEX($D$1:$V$1,MATCH(MIN(D663:V663),D663:V663,0)))</f>
        <v/>
      </c>
      <c r="AB663" s="8" t="n">
        <v>140</v>
      </c>
      <c r="AC663" s="10" t="n">
        <v>3</v>
      </c>
    </row>
    <row r="664">
      <c r="A664" s="7" t="inlineStr">
        <is>
          <t>MAT-10-051</t>
        </is>
      </c>
      <c r="B664" s="4" t="inlineStr">
        <is>
          <t>Bombillo LED de 18 W</t>
        </is>
      </c>
      <c r="C664" s="7" t="inlineStr">
        <is>
          <t>unidad</t>
        </is>
      </c>
      <c r="D664" s="8" t="n"/>
      <c r="E664" s="8" t="n">
        <v>95</v>
      </c>
      <c r="F664" s="8" t="n"/>
      <c r="G664" s="8" t="n"/>
      <c r="H664" s="8" t="n"/>
      <c r="I664" s="8" t="n">
        <v>129</v>
      </c>
      <c r="J664" s="8" t="n"/>
      <c r="K664" s="8" t="n"/>
      <c r="L664" s="8" t="n">
        <v>260</v>
      </c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>
        <f>IF(COUNT(D664:V664)=0,"",MIN(D664:V664))</f>
        <v/>
      </c>
      <c r="X664" s="8">
        <f>IF(COUNT(D664:V664)=0,"",MEDIAN(D664:V664))</f>
        <v/>
      </c>
      <c r="Y664" s="8">
        <f>IF(COUNT(D664:V664)=0,"",MAX(D664:V664))</f>
        <v/>
      </c>
      <c r="Z664" s="9">
        <f>IF(OR(W664="",W664=0),"",(Y664-W664)/W664)</f>
        <v/>
      </c>
      <c r="AA664" s="7">
        <f>IF(COUNT(D664:V664)=0,"",INDEX($D$1:$V$1,MATCH(MIN(D664:V664),D664:V664,0)))</f>
        <v/>
      </c>
      <c r="AB664" s="8" t="n">
        <v>132</v>
      </c>
      <c r="AC664" s="10" t="n">
        <v>3</v>
      </c>
    </row>
    <row r="665">
      <c r="A665" s="7" t="inlineStr">
        <is>
          <t>MAT-10-052</t>
        </is>
      </c>
      <c r="B665" s="4" t="inlineStr">
        <is>
          <t>Bombillo led de 2 W</t>
        </is>
      </c>
      <c r="C665" s="7" t="inlineStr">
        <is>
          <t>unidad</t>
        </is>
      </c>
      <c r="D665" s="8" t="n"/>
      <c r="E665" s="8" t="n">
        <v>265</v>
      </c>
      <c r="F665" s="8" t="n"/>
      <c r="G665" s="8" t="n"/>
      <c r="H665" s="8" t="n"/>
      <c r="I665" s="8" t="n">
        <v>250</v>
      </c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>
        <f>IF(COUNT(D665:V665)=0,"",MIN(D665:V665))</f>
        <v/>
      </c>
      <c r="X665" s="8">
        <f>IF(COUNT(D665:V665)=0,"",MEDIAN(D665:V665))</f>
        <v/>
      </c>
      <c r="Y665" s="8">
        <f>IF(COUNT(D665:V665)=0,"",MAX(D665:V665))</f>
        <v/>
      </c>
      <c r="Z665" s="9">
        <f>IF(OR(W665="",W665=0),"",(Y665-W665)/W665)</f>
        <v/>
      </c>
      <c r="AA665" s="7">
        <f>IF(COUNT(D665:V665)=0,"",INDEX($D$1:$V$1,MATCH(MIN(D665:V665),D665:V665,0)))</f>
        <v/>
      </c>
      <c r="AB665" s="8" t="n">
        <v>265</v>
      </c>
      <c r="AC665" s="10" t="n">
        <v>2</v>
      </c>
    </row>
    <row r="666">
      <c r="A666" s="7" t="inlineStr">
        <is>
          <t>MAT-10-053</t>
        </is>
      </c>
      <c r="B666" s="4" t="inlineStr">
        <is>
          <t>Bombillo LED de 2.5 W</t>
        </is>
      </c>
      <c r="C666" s="7" t="inlineStr">
        <is>
          <t>unidad</t>
        </is>
      </c>
      <c r="D666" s="8" t="n"/>
      <c r="E666" s="8" t="n">
        <v>265</v>
      </c>
      <c r="F666" s="8" t="n"/>
      <c r="G666" s="8" t="n"/>
      <c r="H666" s="8" t="n"/>
      <c r="I666" s="8" t="n"/>
      <c r="J666" s="8" t="n"/>
      <c r="K666" s="8" t="n"/>
      <c r="L666" s="8" t="n">
        <v>310</v>
      </c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>
        <f>IF(COUNT(D666:V666)=0,"",MIN(D666:V666))</f>
        <v/>
      </c>
      <c r="X666" s="8">
        <f>IF(COUNT(D666:V666)=0,"",MEDIAN(D666:V666))</f>
        <v/>
      </c>
      <c r="Y666" s="8">
        <f>IF(COUNT(D666:V666)=0,"",MAX(D666:V666))</f>
        <v/>
      </c>
      <c r="Z666" s="9">
        <f>IF(OR(W666="",W666=0),"",(Y666-W666)/W666)</f>
        <v/>
      </c>
      <c r="AA666" s="7">
        <f>IF(COUNT(D666:V666)=0,"",INDEX($D$1:$V$1,MATCH(MIN(D666:V666),D666:V666,0)))</f>
        <v/>
      </c>
      <c r="AB666" s="8" t="n">
        <v>265</v>
      </c>
      <c r="AC666" s="10" t="n">
        <v>2</v>
      </c>
    </row>
    <row r="667">
      <c r="A667" s="7" t="inlineStr">
        <is>
          <t>MAT-10-054</t>
        </is>
      </c>
      <c r="B667" s="4" t="inlineStr">
        <is>
          <t>Bombillo led de 20 W</t>
        </is>
      </c>
      <c r="C667" s="7" t="inlineStr">
        <is>
          <t>unidad</t>
        </is>
      </c>
      <c r="D667" s="8" t="n"/>
      <c r="E667" s="8" t="n">
        <v>215</v>
      </c>
      <c r="F667" s="8" t="n"/>
      <c r="G667" s="8" t="n"/>
      <c r="H667" s="8" t="n"/>
      <c r="I667" s="8" t="n">
        <v>149</v>
      </c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>
        <f>IF(COUNT(D667:V667)=0,"",MIN(D667:V667))</f>
        <v/>
      </c>
      <c r="X667" s="8">
        <f>IF(COUNT(D667:V667)=0,"",MEDIAN(D667:V667))</f>
        <v/>
      </c>
      <c r="Y667" s="8">
        <f>IF(COUNT(D667:V667)=0,"",MAX(D667:V667))</f>
        <v/>
      </c>
      <c r="Z667" s="9">
        <f>IF(OR(W667="",W667=0),"",(Y667-W667)/W667)</f>
        <v/>
      </c>
      <c r="AA667" s="7">
        <f>IF(COUNT(D667:V667)=0,"",INDEX($D$1:$V$1,MATCH(MIN(D667:V667),D667:V667,0)))</f>
        <v/>
      </c>
      <c r="AB667" s="8" t="n">
        <v>222.5</v>
      </c>
      <c r="AC667" s="10" t="n">
        <v>2</v>
      </c>
    </row>
    <row r="668">
      <c r="A668" s="7" t="inlineStr">
        <is>
          <t>MAT-10-055</t>
        </is>
      </c>
      <c r="B668" s="4" t="inlineStr">
        <is>
          <t>Bombillo led de 25 W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/>
      <c r="I668" s="8" t="n">
        <v>199</v>
      </c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>
        <f>IF(COUNT(D668:V668)=0,"",MIN(D668:V668))</f>
        <v/>
      </c>
      <c r="X668" s="8">
        <f>IF(COUNT(D668:V668)=0,"",MEDIAN(D668:V668))</f>
        <v/>
      </c>
      <c r="Y668" s="8">
        <f>IF(COUNT(D668:V668)=0,"",MAX(D668:V668))</f>
        <v/>
      </c>
      <c r="Z668" s="9">
        <f>IF(OR(W668="",W668=0),"",(Y668-W668)/W668)</f>
        <v/>
      </c>
      <c r="AA668" s="7">
        <f>IF(COUNT(D668:V668)=0,"",INDEX($D$1:$V$1,MATCH(MIN(D668:V668),D668:V668,0)))</f>
        <v/>
      </c>
      <c r="AB668" s="8" t="n">
        <v>214</v>
      </c>
      <c r="AC668" s="10" t="n">
        <v>1</v>
      </c>
    </row>
    <row r="669">
      <c r="A669" s="7" t="inlineStr">
        <is>
          <t>MAT-10-056</t>
        </is>
      </c>
      <c r="B669" s="4" t="inlineStr">
        <is>
          <t>Bombillo led de 28 W</t>
        </is>
      </c>
      <c r="C669" s="7" t="inlineStr">
        <is>
          <t>unidad</t>
        </is>
      </c>
      <c r="D669" s="8" t="n"/>
      <c r="E669" s="8" t="n">
        <v>455</v>
      </c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>
        <f>IF(COUNT(D669:V669)=0,"",MIN(D669:V669))</f>
        <v/>
      </c>
      <c r="X669" s="8">
        <f>IF(COUNT(D669:V669)=0,"",MEDIAN(D669:V669))</f>
        <v/>
      </c>
      <c r="Y669" s="8">
        <f>IF(COUNT(D669:V669)=0,"",MAX(D669:V669))</f>
        <v/>
      </c>
      <c r="Z669" s="9">
        <f>IF(OR(W669="",W669=0),"",(Y669-W669)/W669)</f>
        <v/>
      </c>
      <c r="AA669" s="7">
        <f>IF(COUNT(D669:V669)=0,"",INDEX($D$1:$V$1,MATCH(MIN(D669:V669),D669:V669,0)))</f>
        <v/>
      </c>
      <c r="AB669" s="8" t="n">
        <v>455</v>
      </c>
      <c r="AC669" s="10" t="n">
        <v>1</v>
      </c>
    </row>
    <row r="670">
      <c r="A670" s="7" t="inlineStr">
        <is>
          <t>MAT-10-057</t>
        </is>
      </c>
      <c r="B670" s="4" t="inlineStr">
        <is>
          <t>Bombillo LED de 3 W</t>
        </is>
      </c>
      <c r="C670" s="7" t="inlineStr">
        <is>
          <t>unidad</t>
        </is>
      </c>
      <c r="D670" s="8" t="n"/>
      <c r="E670" s="8" t="n">
        <v>195</v>
      </c>
      <c r="F670" s="8" t="n"/>
      <c r="G670" s="8" t="n"/>
      <c r="H670" s="8" t="n"/>
      <c r="I670" s="8" t="n">
        <v>50</v>
      </c>
      <c r="J670" s="8" t="n">
        <v>140</v>
      </c>
      <c r="K670" s="8" t="n"/>
      <c r="L670" s="8" t="n">
        <v>150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>
        <f>IF(COUNT(D670:V670)=0,"",MIN(D670:V670))</f>
        <v/>
      </c>
      <c r="X670" s="8">
        <f>IF(COUNT(D670:V670)=0,"",MEDIAN(D670:V670))</f>
        <v/>
      </c>
      <c r="Y670" s="8">
        <f>IF(COUNT(D670:V670)=0,"",MAX(D670:V670))</f>
        <v/>
      </c>
      <c r="Z670" s="9">
        <f>IF(OR(W670="",W670=0),"",(Y670-W670)/W670)</f>
        <v/>
      </c>
      <c r="AA670" s="7">
        <f>IF(COUNT(D670:V670)=0,"",INDEX($D$1:$V$1,MATCH(MIN(D670:V670),D670:V670,0)))</f>
        <v/>
      </c>
      <c r="AB670" s="8" t="n">
        <v>150</v>
      </c>
      <c r="AC670" s="10" t="n">
        <v>4</v>
      </c>
    </row>
    <row r="671">
      <c r="A671" s="7" t="inlineStr">
        <is>
          <t>MAT-10-058</t>
        </is>
      </c>
      <c r="B671" s="4" t="inlineStr">
        <is>
          <t>Bombillo led de 3.5 W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>
        <v>474.36</v>
      </c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>
        <f>IF(COUNT(D671:V671)=0,"",MIN(D671:V671))</f>
        <v/>
      </c>
      <c r="X671" s="8">
        <f>IF(COUNT(D671:V671)=0,"",MEDIAN(D671:V671))</f>
        <v/>
      </c>
      <c r="Y671" s="8">
        <f>IF(COUNT(D671:V671)=0,"",MAX(D671:V671))</f>
        <v/>
      </c>
      <c r="Z671" s="9">
        <f>IF(OR(W671="",W671=0),"",(Y671-W671)/W671)</f>
        <v/>
      </c>
      <c r="AA671" s="7">
        <f>IF(COUNT(D671:V671)=0,"",INDEX($D$1:$V$1,MATCH(MIN(D671:V671),D671:V671,0)))</f>
        <v/>
      </c>
      <c r="AB671" s="8" t="n">
        <v>474.36</v>
      </c>
      <c r="AC671" s="10" t="n">
        <v>1</v>
      </c>
    </row>
    <row r="672">
      <c r="A672" s="7" t="inlineStr">
        <is>
          <t>MAT-10-059</t>
        </is>
      </c>
      <c r="B672" s="4" t="inlineStr">
        <is>
          <t>Bombillo LED de 30 W</t>
        </is>
      </c>
      <c r="C672" s="7" t="inlineStr">
        <is>
          <t>unidad</t>
        </is>
      </c>
      <c r="D672" s="8" t="n"/>
      <c r="E672" s="8" t="n">
        <v>123</v>
      </c>
      <c r="F672" s="8" t="n"/>
      <c r="G672" s="8" t="n"/>
      <c r="H672" s="8" t="n"/>
      <c r="I672" s="8" t="n"/>
      <c r="J672" s="8" t="n"/>
      <c r="K672" s="8" t="n"/>
      <c r="L672" s="8" t="n">
        <v>595</v>
      </c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>
        <f>IF(COUNT(D672:V672)=0,"",MIN(D672:V672))</f>
        <v/>
      </c>
      <c r="X672" s="8">
        <f>IF(COUNT(D672:V672)=0,"",MEDIAN(D672:V672))</f>
        <v/>
      </c>
      <c r="Y672" s="8">
        <f>IF(COUNT(D672:V672)=0,"",MAX(D672:V672))</f>
        <v/>
      </c>
      <c r="Z672" s="9">
        <f>IF(OR(W672="",W672=0),"",(Y672-W672)/W672)</f>
        <v/>
      </c>
      <c r="AA672" s="7">
        <f>IF(COUNT(D672:V672)=0,"",INDEX($D$1:$V$1,MATCH(MIN(D672:V672),D672:V672,0)))</f>
        <v/>
      </c>
      <c r="AB672" s="8" t="n">
        <v>385</v>
      </c>
      <c r="AC672" s="10" t="n">
        <v>2</v>
      </c>
    </row>
    <row r="673">
      <c r="A673" s="7" t="inlineStr">
        <is>
          <t>MAT-10-060</t>
        </is>
      </c>
      <c r="B673" s="4" t="inlineStr">
        <is>
          <t>Bombillo LED de 35 W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/>
      <c r="I673" s="8" t="n">
        <v>339</v>
      </c>
      <c r="J673" s="8" t="n"/>
      <c r="K673" s="8" t="n"/>
      <c r="L673" s="8" t="n">
        <v>1195</v>
      </c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>
        <f>IF(COUNT(D673:V673)=0,"",MIN(D673:V673))</f>
        <v/>
      </c>
      <c r="X673" s="8">
        <f>IF(COUNT(D673:V673)=0,"",MEDIAN(D673:V673))</f>
        <v/>
      </c>
      <c r="Y673" s="8">
        <f>IF(COUNT(D673:V673)=0,"",MAX(D673:V673))</f>
        <v/>
      </c>
      <c r="Z673" s="9">
        <f>IF(OR(W673="",W673=0),"",(Y673-W673)/W673)</f>
        <v/>
      </c>
      <c r="AA673" s="7">
        <f>IF(COUNT(D673:V673)=0,"",INDEX($D$1:$V$1,MATCH(MIN(D673:V673),D673:V673,0)))</f>
        <v/>
      </c>
      <c r="AB673" s="8" t="n">
        <v>767</v>
      </c>
      <c r="AC673" s="10" t="n">
        <v>2</v>
      </c>
    </row>
    <row r="674">
      <c r="A674" s="7" t="inlineStr">
        <is>
          <t>MAT-10-061</t>
        </is>
      </c>
      <c r="B674" s="4" t="inlineStr">
        <is>
          <t>Bombillo LED de 4 W</t>
        </is>
      </c>
      <c r="C674" s="7" t="inlineStr">
        <is>
          <t>unidad</t>
        </is>
      </c>
      <c r="D674" s="8" t="n"/>
      <c r="E674" s="8" t="n">
        <v>186</v>
      </c>
      <c r="F674" s="8" t="n"/>
      <c r="G674" s="8" t="n"/>
      <c r="H674" s="8" t="n"/>
      <c r="I674" s="8" t="n"/>
      <c r="J674" s="8" t="n">
        <v>130</v>
      </c>
      <c r="K674" s="8" t="n"/>
      <c r="L674" s="8" t="n">
        <v>64.98999999999999</v>
      </c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>
        <f>IF(COUNT(D674:V674)=0,"",MIN(D674:V674))</f>
        <v/>
      </c>
      <c r="X674" s="8">
        <f>IF(COUNT(D674:V674)=0,"",MEDIAN(D674:V674))</f>
        <v/>
      </c>
      <c r="Y674" s="8">
        <f>IF(COUNT(D674:V674)=0,"",MAX(D674:V674))</f>
        <v/>
      </c>
      <c r="Z674" s="9">
        <f>IF(OR(W674="",W674=0),"",(Y674-W674)/W674)</f>
        <v/>
      </c>
      <c r="AA674" s="7">
        <f>IF(COUNT(D674:V674)=0,"",INDEX($D$1:$V$1,MATCH(MIN(D674:V674),D674:V674,0)))</f>
        <v/>
      </c>
      <c r="AB674" s="8" t="n">
        <v>180</v>
      </c>
      <c r="AC674" s="10" t="n">
        <v>3</v>
      </c>
    </row>
    <row r="675">
      <c r="A675" s="7" t="inlineStr">
        <is>
          <t>MAT-10-062</t>
        </is>
      </c>
      <c r="B675" s="4" t="inlineStr">
        <is>
          <t>Bombillo LED de 4.9 W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>
        <v>105</v>
      </c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>
        <f>IF(COUNT(D675:V675)=0,"",MIN(D675:V675))</f>
        <v/>
      </c>
      <c r="X675" s="8">
        <f>IF(COUNT(D675:V675)=0,"",MEDIAN(D675:V675))</f>
        <v/>
      </c>
      <c r="Y675" s="8">
        <f>IF(COUNT(D675:V675)=0,"",MAX(D675:V675))</f>
        <v/>
      </c>
      <c r="Z675" s="9">
        <f>IF(OR(W675="",W675=0),"",(Y675-W675)/W675)</f>
        <v/>
      </c>
      <c r="AA675" s="7">
        <f>IF(COUNT(D675:V675)=0,"",INDEX($D$1:$V$1,MATCH(MIN(D675:V675),D675:V675,0)))</f>
        <v/>
      </c>
      <c r="AB675" s="8" t="n">
        <v>105</v>
      </c>
      <c r="AC675" s="10" t="n">
        <v>1</v>
      </c>
    </row>
    <row r="676">
      <c r="A676" s="7" t="inlineStr">
        <is>
          <t>MAT-10-063</t>
        </is>
      </c>
      <c r="B676" s="4" t="inlineStr">
        <is>
          <t>Bombillo LED de 40 W</t>
        </is>
      </c>
      <c r="C676" s="7" t="inlineStr">
        <is>
          <t>unidad</t>
        </is>
      </c>
      <c r="D676" s="8" t="n"/>
      <c r="E676" s="8" t="n">
        <v>490</v>
      </c>
      <c r="F676" s="8" t="n"/>
      <c r="G676" s="8" t="n"/>
      <c r="H676" s="8" t="n"/>
      <c r="I676" s="8" t="n">
        <v>470</v>
      </c>
      <c r="J676" s="8" t="n"/>
      <c r="K676" s="8" t="n"/>
      <c r="L676" s="8" t="n">
        <v>709.99</v>
      </c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>
        <f>IF(COUNT(D676:V676)=0,"",MIN(D676:V676))</f>
        <v/>
      </c>
      <c r="X676" s="8">
        <f>IF(COUNT(D676:V676)=0,"",MEDIAN(D676:V676))</f>
        <v/>
      </c>
      <c r="Y676" s="8">
        <f>IF(COUNT(D676:V676)=0,"",MAX(D676:V676))</f>
        <v/>
      </c>
      <c r="Z676" s="9">
        <f>IF(OR(W676="",W676=0),"",(Y676-W676)/W676)</f>
        <v/>
      </c>
      <c r="AA676" s="7">
        <f>IF(COUNT(D676:V676)=0,"",INDEX($D$1:$V$1,MATCH(MIN(D676:V676),D676:V676,0)))</f>
        <v/>
      </c>
      <c r="AB676" s="8" t="n">
        <v>500</v>
      </c>
      <c r="AC676" s="10" t="n">
        <v>3</v>
      </c>
    </row>
    <row r="677">
      <c r="A677" s="7" t="inlineStr">
        <is>
          <t>MAT-10-064</t>
        </is>
      </c>
      <c r="B677" s="4" t="inlineStr">
        <is>
          <t>Bombillo LED de 5 W</t>
        </is>
      </c>
      <c r="C677" s="7" t="inlineStr">
        <is>
          <t>unidad</t>
        </is>
      </c>
      <c r="D677" s="8" t="n"/>
      <c r="E677" s="8" t="n">
        <v>47.45</v>
      </c>
      <c r="F677" s="8" t="n"/>
      <c r="G677" s="8" t="n"/>
      <c r="H677" s="8" t="n"/>
      <c r="I677" s="8" t="n">
        <v>123</v>
      </c>
      <c r="J677" s="8" t="n">
        <v>58</v>
      </c>
      <c r="K677" s="8" t="n"/>
      <c r="L677" s="8" t="n">
        <v>272.01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>
        <f>IF(COUNT(D677:V677)=0,"",MIN(D677:V677))</f>
        <v/>
      </c>
      <c r="X677" s="8">
        <f>IF(COUNT(D677:V677)=0,"",MEDIAN(D677:V677))</f>
        <v/>
      </c>
      <c r="Y677" s="8">
        <f>IF(COUNT(D677:V677)=0,"",MAX(D677:V677))</f>
        <v/>
      </c>
      <c r="Z677" s="9">
        <f>IF(OR(W677="",W677=0),"",(Y677-W677)/W677)</f>
        <v/>
      </c>
      <c r="AA677" s="7">
        <f>IF(COUNT(D677:V677)=0,"",INDEX($D$1:$V$1,MATCH(MIN(D677:V677),D677:V677,0)))</f>
        <v/>
      </c>
      <c r="AB677" s="8" t="n">
        <v>180</v>
      </c>
      <c r="AC677" s="10" t="n">
        <v>4</v>
      </c>
    </row>
    <row r="678">
      <c r="A678" s="7" t="inlineStr">
        <is>
          <t>MAT-10-065</t>
        </is>
      </c>
      <c r="B678" s="4" t="inlineStr">
        <is>
          <t>Bombillo LED de 50 W</t>
        </is>
      </c>
      <c r="C678" s="7" t="inlineStr">
        <is>
          <t>unidad</t>
        </is>
      </c>
      <c r="D678" s="8" t="n"/>
      <c r="E678" s="8" t="n">
        <v>166</v>
      </c>
      <c r="F678" s="8" t="n"/>
      <c r="G678" s="8" t="n"/>
      <c r="H678" s="8" t="n"/>
      <c r="I678" s="8" t="n"/>
      <c r="J678" s="8" t="n"/>
      <c r="K678" s="8" t="n"/>
      <c r="L678" s="8" t="n">
        <v>990</v>
      </c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>
        <f>IF(COUNT(D678:V678)=0,"",MIN(D678:V678))</f>
        <v/>
      </c>
      <c r="X678" s="8">
        <f>IF(COUNT(D678:V678)=0,"",MEDIAN(D678:V678))</f>
        <v/>
      </c>
      <c r="Y678" s="8">
        <f>IF(COUNT(D678:V678)=0,"",MAX(D678:V678))</f>
        <v/>
      </c>
      <c r="Z678" s="9">
        <f>IF(OR(W678="",W678=0),"",(Y678-W678)/W678)</f>
        <v/>
      </c>
      <c r="AA678" s="7">
        <f>IF(COUNT(D678:V678)=0,"",INDEX($D$1:$V$1,MATCH(MIN(D678:V678),D678:V678,0)))</f>
        <v/>
      </c>
      <c r="AB678" s="8" t="n">
        <v>492.5</v>
      </c>
      <c r="AC678" s="10" t="n">
        <v>2</v>
      </c>
    </row>
    <row r="679">
      <c r="A679" s="7" t="inlineStr">
        <is>
          <t>MAT-10-066</t>
        </is>
      </c>
      <c r="B679" s="4" t="inlineStr">
        <is>
          <t>Bombillo LED de 55 W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>
        <v>1724.99</v>
      </c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>
        <f>IF(COUNT(D679:V679)=0,"",MIN(D679:V679))</f>
        <v/>
      </c>
      <c r="X679" s="8">
        <f>IF(COUNT(D679:V679)=0,"",MEDIAN(D679:V679))</f>
        <v/>
      </c>
      <c r="Y679" s="8">
        <f>IF(COUNT(D679:V679)=0,"",MAX(D679:V679))</f>
        <v/>
      </c>
      <c r="Z679" s="9">
        <f>IF(OR(W679="",W679=0),"",(Y679-W679)/W679)</f>
        <v/>
      </c>
      <c r="AA679" s="7">
        <f>IF(COUNT(D679:V679)=0,"",INDEX($D$1:$V$1,MATCH(MIN(D679:V679),D679:V679,0)))</f>
        <v/>
      </c>
      <c r="AB679" s="8" t="n">
        <v>1724.99</v>
      </c>
      <c r="AC679" s="10" t="n">
        <v>1</v>
      </c>
    </row>
    <row r="680">
      <c r="A680" s="7" t="inlineStr">
        <is>
          <t>MAT-10-067</t>
        </is>
      </c>
      <c r="B680" s="4" t="inlineStr">
        <is>
          <t>Bombillo LED de 6 W</t>
        </is>
      </c>
      <c r="C680" s="7" t="inlineStr">
        <is>
          <t>unidad</t>
        </is>
      </c>
      <c r="D680" s="8" t="n"/>
      <c r="E680" s="8" t="n">
        <v>65</v>
      </c>
      <c r="F680" s="8" t="n"/>
      <c r="G680" s="8" t="n"/>
      <c r="H680" s="8" t="n"/>
      <c r="I680" s="8" t="n">
        <v>65</v>
      </c>
      <c r="J680" s="8" t="n">
        <v>130</v>
      </c>
      <c r="K680" s="8" t="n"/>
      <c r="L680" s="8" t="n">
        <v>70</v>
      </c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>
        <f>IF(COUNT(D680:V680)=0,"",MIN(D680:V680))</f>
        <v/>
      </c>
      <c r="X680" s="8">
        <f>IF(COUNT(D680:V680)=0,"",MEDIAN(D680:V680))</f>
        <v/>
      </c>
      <c r="Y680" s="8">
        <f>IF(COUNT(D680:V680)=0,"",MAX(D680:V680))</f>
        <v/>
      </c>
      <c r="Z680" s="9">
        <f>IF(OR(W680="",W680=0),"",(Y680-W680)/W680)</f>
        <v/>
      </c>
      <c r="AA680" s="7">
        <f>IF(COUNT(D680:V680)=0,"",INDEX($D$1:$V$1,MATCH(MIN(D680:V680),D680:V680,0)))</f>
        <v/>
      </c>
      <c r="AB680" s="8" t="n">
        <v>185</v>
      </c>
      <c r="AC680" s="10" t="n">
        <v>4</v>
      </c>
    </row>
    <row r="681">
      <c r="A681" s="7" t="inlineStr">
        <is>
          <t>MAT-10-068</t>
        </is>
      </c>
      <c r="B681" s="4" t="inlineStr">
        <is>
          <t>Bombillo led de 6.5 W</t>
        </is>
      </c>
      <c r="C681" s="7" t="inlineStr">
        <is>
          <t>unidad</t>
        </is>
      </c>
      <c r="D681" s="8" t="n"/>
      <c r="E681" s="8" t="n">
        <v>370</v>
      </c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>
        <f>IF(COUNT(D681:V681)=0,"",MIN(D681:V681))</f>
        <v/>
      </c>
      <c r="X681" s="8">
        <f>IF(COUNT(D681:V681)=0,"",MEDIAN(D681:V681))</f>
        <v/>
      </c>
      <c r="Y681" s="8">
        <f>IF(COUNT(D681:V681)=0,"",MAX(D681:V681))</f>
        <v/>
      </c>
      <c r="Z681" s="9">
        <f>IF(OR(W681="",W681=0),"",(Y681-W681)/W681)</f>
        <v/>
      </c>
      <c r="AA681" s="7">
        <f>IF(COUNT(D681:V681)=0,"",INDEX($D$1:$V$1,MATCH(MIN(D681:V681),D681:V681,0)))</f>
        <v/>
      </c>
      <c r="AB681" s="8" t="n">
        <v>370</v>
      </c>
      <c r="AC681" s="10" t="n">
        <v>1</v>
      </c>
    </row>
    <row r="682">
      <c r="A682" s="7" t="inlineStr">
        <is>
          <t>MAT-10-069</t>
        </is>
      </c>
      <c r="B682" s="4" t="inlineStr">
        <is>
          <t>Bombillo led de 65 W</t>
        </is>
      </c>
      <c r="C682" s="7" t="inlineStr">
        <is>
          <t>unidad</t>
        </is>
      </c>
      <c r="D682" s="8" t="n"/>
      <c r="E682" s="8" t="n">
        <v>341</v>
      </c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>
        <f>IF(COUNT(D682:V682)=0,"",MIN(D682:V682))</f>
        <v/>
      </c>
      <c r="X682" s="8">
        <f>IF(COUNT(D682:V682)=0,"",MEDIAN(D682:V682))</f>
        <v/>
      </c>
      <c r="Y682" s="8">
        <f>IF(COUNT(D682:V682)=0,"",MAX(D682:V682))</f>
        <v/>
      </c>
      <c r="Z682" s="9">
        <f>IF(OR(W682="",W682=0),"",(Y682-W682)/W682)</f>
        <v/>
      </c>
      <c r="AA682" s="7">
        <f>IF(COUNT(D682:V682)=0,"",INDEX($D$1:$V$1,MATCH(MIN(D682:V682),D682:V682,0)))</f>
        <v/>
      </c>
      <c r="AB682" s="8" t="n">
        <v>341</v>
      </c>
      <c r="AC682" s="10" t="n">
        <v>1</v>
      </c>
    </row>
    <row r="683">
      <c r="A683" s="7" t="inlineStr">
        <is>
          <t>MAT-10-070</t>
        </is>
      </c>
      <c r="B683" s="4" t="inlineStr">
        <is>
          <t>Bombillo LED de 7 W</t>
        </is>
      </c>
      <c r="C683" s="7" t="inlineStr">
        <is>
          <t>unidad</t>
        </is>
      </c>
      <c r="D683" s="8" t="n"/>
      <c r="E683" s="8" t="n">
        <v>101</v>
      </c>
      <c r="F683" s="8" t="n"/>
      <c r="G683" s="8" t="n"/>
      <c r="H683" s="8" t="n"/>
      <c r="I683" s="8" t="n"/>
      <c r="J683" s="8" t="n">
        <v>77</v>
      </c>
      <c r="K683" s="8" t="n"/>
      <c r="L683" s="8" t="n">
        <v>105</v>
      </c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>
        <f>IF(COUNT(D683:V683)=0,"",MIN(D683:V683))</f>
        <v/>
      </c>
      <c r="X683" s="8">
        <f>IF(COUNT(D683:V683)=0,"",MEDIAN(D683:V683))</f>
        <v/>
      </c>
      <c r="Y683" s="8">
        <f>IF(COUNT(D683:V683)=0,"",MAX(D683:V683))</f>
        <v/>
      </c>
      <c r="Z683" s="9">
        <f>IF(OR(W683="",W683=0),"",(Y683-W683)/W683)</f>
        <v/>
      </c>
      <c r="AA683" s="7">
        <f>IF(COUNT(D683:V683)=0,"",INDEX($D$1:$V$1,MATCH(MIN(D683:V683),D683:V683,0)))</f>
        <v/>
      </c>
      <c r="AB683" s="8" t="n">
        <v>103</v>
      </c>
      <c r="AC683" s="10" t="n">
        <v>3</v>
      </c>
    </row>
    <row r="684">
      <c r="A684" s="7" t="inlineStr">
        <is>
          <t>MAT-10-071</t>
        </is>
      </c>
      <c r="B684" s="4" t="inlineStr">
        <is>
          <t>Bombillo led de 8 W</t>
        </is>
      </c>
      <c r="C684" s="7" t="inlineStr">
        <is>
          <t>unidad</t>
        </is>
      </c>
      <c r="D684" s="8" t="n"/>
      <c r="E684" s="8" t="n">
        <v>75</v>
      </c>
      <c r="F684" s="8" t="n"/>
      <c r="G684" s="8" t="n"/>
      <c r="H684" s="8" t="n"/>
      <c r="I684" s="8" t="n">
        <v>160</v>
      </c>
      <c r="J684" s="8" t="n">
        <v>341</v>
      </c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>
        <f>IF(COUNT(D684:V684)=0,"",MIN(D684:V684))</f>
        <v/>
      </c>
      <c r="X684" s="8">
        <f>IF(COUNT(D684:V684)=0,"",MEDIAN(D684:V684))</f>
        <v/>
      </c>
      <c r="Y684" s="8">
        <f>IF(COUNT(D684:V684)=0,"",MAX(D684:V684))</f>
        <v/>
      </c>
      <c r="Z684" s="9">
        <f>IF(OR(W684="",W684=0),"",(Y684-W684)/W684)</f>
        <v/>
      </c>
      <c r="AA684" s="7">
        <f>IF(COUNT(D684:V684)=0,"",INDEX($D$1:$V$1,MATCH(MIN(D684:V684),D684:V684,0)))</f>
        <v/>
      </c>
      <c r="AB684" s="8" t="n">
        <v>220</v>
      </c>
      <c r="AC684" s="10" t="n">
        <v>3</v>
      </c>
    </row>
    <row r="685">
      <c r="A685" s="7" t="inlineStr">
        <is>
          <t>MAT-10-072</t>
        </is>
      </c>
      <c r="B685" s="4" t="inlineStr">
        <is>
          <t>Bombillo LED de 9 W</t>
        </is>
      </c>
      <c r="C685" s="7" t="inlineStr">
        <is>
          <t>unidad</t>
        </is>
      </c>
      <c r="D685" s="8" t="n"/>
      <c r="E685" s="8" t="n">
        <v>77</v>
      </c>
      <c r="F685" s="8" t="n"/>
      <c r="G685" s="8" t="n"/>
      <c r="H685" s="8" t="n"/>
      <c r="I685" s="8" t="n">
        <v>170</v>
      </c>
      <c r="J685" s="8" t="n">
        <v>83</v>
      </c>
      <c r="K685" s="8" t="n"/>
      <c r="L685" s="8" t="n">
        <v>105</v>
      </c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>
        <f>IF(COUNT(D685:V685)=0,"",MIN(D685:V685))</f>
        <v/>
      </c>
      <c r="X685" s="8">
        <f>IF(COUNT(D685:V685)=0,"",MEDIAN(D685:V685))</f>
        <v/>
      </c>
      <c r="Y685" s="8">
        <f>IF(COUNT(D685:V685)=0,"",MAX(D685:V685))</f>
        <v/>
      </c>
      <c r="Z685" s="9">
        <f>IF(OR(W685="",W685=0),"",(Y685-W685)/W685)</f>
        <v/>
      </c>
      <c r="AA685" s="7">
        <f>IF(COUNT(D685:V685)=0,"",INDEX($D$1:$V$1,MATCH(MIN(D685:V685),D685:V685,0)))</f>
        <v/>
      </c>
      <c r="AB685" s="8" t="n">
        <v>105</v>
      </c>
      <c r="AC685" s="10" t="n">
        <v>4</v>
      </c>
    </row>
    <row r="686">
      <c r="A686" s="7" t="inlineStr">
        <is>
          <t>MAT-10-073</t>
        </is>
      </c>
      <c r="B686" s="4" t="inlineStr">
        <is>
          <t>Bombillo led de 9.5 W</t>
        </is>
      </c>
      <c r="C686" s="7" t="inlineStr">
        <is>
          <t>unidad</t>
        </is>
      </c>
      <c r="D686" s="8" t="n"/>
      <c r="E686" s="8" t="n">
        <v>171</v>
      </c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>
        <f>IF(COUNT(D686:V686)=0,"",MIN(D686:V686))</f>
        <v/>
      </c>
      <c r="X686" s="8">
        <f>IF(COUNT(D686:V686)=0,"",MEDIAN(D686:V686))</f>
        <v/>
      </c>
      <c r="Y686" s="8">
        <f>IF(COUNT(D686:V686)=0,"",MAX(D686:V686))</f>
        <v/>
      </c>
      <c r="Z686" s="9">
        <f>IF(OR(W686="",W686=0),"",(Y686-W686)/W686)</f>
        <v/>
      </c>
      <c r="AA686" s="7">
        <f>IF(COUNT(D686:V686)=0,"",INDEX($D$1:$V$1,MATCH(MIN(D686:V686),D686:V686,0)))</f>
        <v/>
      </c>
      <c r="AB686" s="8" t="n">
        <v>182</v>
      </c>
      <c r="AC686" s="10" t="n">
        <v>1</v>
      </c>
    </row>
    <row r="687">
      <c r="A687" s="7" t="inlineStr">
        <is>
          <t>MAT-10-074</t>
        </is>
      </c>
      <c r="B687" s="4" t="inlineStr">
        <is>
          <t>Panel LED empotrado cuadrado de 18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>
        <v>340.01</v>
      </c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>
        <f>IF(COUNT(D687:V687)=0,"",MIN(D687:V687))</f>
        <v/>
      </c>
      <c r="X687" s="8">
        <f>IF(COUNT(D687:V687)=0,"",MEDIAN(D687:V687))</f>
        <v/>
      </c>
      <c r="Y687" s="8">
        <f>IF(COUNT(D687:V687)=0,"",MAX(D687:V687))</f>
        <v/>
      </c>
      <c r="Z687" s="9">
        <f>IF(OR(W687="",W687=0),"",(Y687-W687)/W687)</f>
        <v/>
      </c>
      <c r="AA687" s="7">
        <f>IF(COUNT(D687:V687)=0,"",INDEX($D$1:$V$1,MATCH(MIN(D687:V687),D687:V687,0)))</f>
        <v/>
      </c>
      <c r="AB687" s="8" t="n">
        <v>340.01</v>
      </c>
      <c r="AC687" s="10" t="n">
        <v>1</v>
      </c>
    </row>
    <row r="688">
      <c r="A688" s="7" t="inlineStr">
        <is>
          <t>MAT-10-075</t>
        </is>
      </c>
      <c r="B688" s="4" t="inlineStr">
        <is>
          <t>Panel LED empotrado cuadrado de 3 W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>
        <v>240</v>
      </c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>
        <f>IF(COUNT(D688:V688)=0,"",MIN(D688:V688))</f>
        <v/>
      </c>
      <c r="X688" s="8">
        <f>IF(COUNT(D688:V688)=0,"",MEDIAN(D688:V688))</f>
        <v/>
      </c>
      <c r="Y688" s="8">
        <f>IF(COUNT(D688:V688)=0,"",MAX(D688:V688))</f>
        <v/>
      </c>
      <c r="Z688" s="9">
        <f>IF(OR(W688="",W688=0),"",(Y688-W688)/W688)</f>
        <v/>
      </c>
      <c r="AA688" s="7">
        <f>IF(COUNT(D688:V688)=0,"",INDEX($D$1:$V$1,MATCH(MIN(D688:V688),D688:V688,0)))</f>
        <v/>
      </c>
      <c r="AB688" s="8" t="n">
        <v>240</v>
      </c>
      <c r="AC688" s="10" t="n">
        <v>1</v>
      </c>
    </row>
    <row r="689">
      <c r="A689" s="7" t="inlineStr">
        <is>
          <t>MAT-10-076</t>
        </is>
      </c>
      <c r="B689" s="4" t="inlineStr">
        <is>
          <t>Panel LED empotrado redondo de 12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>
        <v>304.99</v>
      </c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>
        <f>IF(COUNT(D689:V689)=0,"",MIN(D689:V689))</f>
        <v/>
      </c>
      <c r="X689" s="8">
        <f>IF(COUNT(D689:V689)=0,"",MEDIAN(D689:V689))</f>
        <v/>
      </c>
      <c r="Y689" s="8">
        <f>IF(COUNT(D689:V689)=0,"",MAX(D689:V689))</f>
        <v/>
      </c>
      <c r="Z689" s="9">
        <f>IF(OR(W689="",W689=0),"",(Y689-W689)/W689)</f>
        <v/>
      </c>
      <c r="AA689" s="7">
        <f>IF(COUNT(D689:V689)=0,"",INDEX($D$1:$V$1,MATCH(MIN(D689:V689),D689:V689,0)))</f>
        <v/>
      </c>
      <c r="AB689" s="8" t="n">
        <v>304.99</v>
      </c>
      <c r="AC689" s="10" t="n">
        <v>1</v>
      </c>
    </row>
    <row r="690">
      <c r="A690" s="7" t="inlineStr">
        <is>
          <t>MAT-10-077</t>
        </is>
      </c>
      <c r="B690" s="4" t="inlineStr">
        <is>
          <t>Panel LED empotrado redondo de 18 W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>
        <v>290</v>
      </c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>
        <f>IF(COUNT(D690:V690)=0,"",MIN(D690:V690))</f>
        <v/>
      </c>
      <c r="X690" s="8">
        <f>IF(COUNT(D690:V690)=0,"",MEDIAN(D690:V690))</f>
        <v/>
      </c>
      <c r="Y690" s="8">
        <f>IF(COUNT(D690:V690)=0,"",MAX(D690:V690))</f>
        <v/>
      </c>
      <c r="Z690" s="9">
        <f>IF(OR(W690="",W690=0),"",(Y690-W690)/W690)</f>
        <v/>
      </c>
      <c r="AA690" s="7">
        <f>IF(COUNT(D690:V690)=0,"",INDEX($D$1:$V$1,MATCH(MIN(D690:V690),D690:V690,0)))</f>
        <v/>
      </c>
      <c r="AB690" s="8" t="n">
        <v>290</v>
      </c>
      <c r="AC690" s="10" t="n">
        <v>1</v>
      </c>
    </row>
    <row r="691">
      <c r="A691" s="7" t="inlineStr">
        <is>
          <t>MAT-10-078</t>
        </is>
      </c>
      <c r="B691" s="4" t="inlineStr">
        <is>
          <t>Panel LED empotrado redondo de 24 W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>
        <v>650</v>
      </c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>
        <f>IF(COUNT(D691:V691)=0,"",MIN(D691:V691))</f>
        <v/>
      </c>
      <c r="X691" s="8">
        <f>IF(COUNT(D691:V691)=0,"",MEDIAN(D691:V691))</f>
        <v/>
      </c>
      <c r="Y691" s="8">
        <f>IF(COUNT(D691:V691)=0,"",MAX(D691:V691))</f>
        <v/>
      </c>
      <c r="Z691" s="9">
        <f>IF(OR(W691="",W691=0),"",(Y691-W691)/W691)</f>
        <v/>
      </c>
      <c r="AA691" s="7">
        <f>IF(COUNT(D691:V691)=0,"",INDEX($D$1:$V$1,MATCH(MIN(D691:V691),D691:V691,0)))</f>
        <v/>
      </c>
      <c r="AB691" s="8" t="n">
        <v>650</v>
      </c>
      <c r="AC691" s="10" t="n">
        <v>1</v>
      </c>
    </row>
    <row r="692">
      <c r="A692" s="7" t="inlineStr">
        <is>
          <t>MAT-10-079</t>
        </is>
      </c>
      <c r="B692" s="4" t="inlineStr">
        <is>
          <t>Panel LED empotrar cuadrado de 10 W</t>
        </is>
      </c>
      <c r="C692" s="7" t="inlineStr">
        <is>
          <t>unidad</t>
        </is>
      </c>
      <c r="D692" s="8" t="n"/>
      <c r="E692" s="8" t="n">
        <v>845</v>
      </c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>
        <f>IF(COUNT(D692:V692)=0,"",MIN(D692:V692))</f>
        <v/>
      </c>
      <c r="X692" s="8">
        <f>IF(COUNT(D692:V692)=0,"",MEDIAN(D692:V692))</f>
        <v/>
      </c>
      <c r="Y692" s="8">
        <f>IF(COUNT(D692:V692)=0,"",MAX(D692:V692))</f>
        <v/>
      </c>
      <c r="Z692" s="9">
        <f>IF(OR(W692="",W692=0),"",(Y692-W692)/W692)</f>
        <v/>
      </c>
      <c r="AA692" s="7">
        <f>IF(COUNT(D692:V692)=0,"",INDEX($D$1:$V$1,MATCH(MIN(D692:V692),D692:V692,0)))</f>
        <v/>
      </c>
      <c r="AB692" s="8" t="n">
        <v>845</v>
      </c>
      <c r="AC692" s="10" t="n">
        <v>1</v>
      </c>
    </row>
    <row r="693">
      <c r="A693" s="7" t="inlineStr">
        <is>
          <t>MAT-10-080</t>
        </is>
      </c>
      <c r="B693" s="4" t="inlineStr">
        <is>
          <t>Panel LED empotrar cuadrado de 11.5 W</t>
        </is>
      </c>
      <c r="C693" s="7" t="inlineStr">
        <is>
          <t>unidad</t>
        </is>
      </c>
      <c r="D693" s="8" t="n"/>
      <c r="E693" s="8" t="n">
        <v>465</v>
      </c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>
        <f>IF(COUNT(D693:V693)=0,"",MIN(D693:V693))</f>
        <v/>
      </c>
      <c r="X693" s="8">
        <f>IF(COUNT(D693:V693)=0,"",MEDIAN(D693:V693))</f>
        <v/>
      </c>
      <c r="Y693" s="8">
        <f>IF(COUNT(D693:V693)=0,"",MAX(D693:V693))</f>
        <v/>
      </c>
      <c r="Z693" s="9">
        <f>IF(OR(W693="",W693=0),"",(Y693-W693)/W693)</f>
        <v/>
      </c>
      <c r="AA693" s="7">
        <f>IF(COUNT(D693:V693)=0,"",INDEX($D$1:$V$1,MATCH(MIN(D693:V693),D693:V693,0)))</f>
        <v/>
      </c>
      <c r="AB693" s="8" t="n">
        <v>926</v>
      </c>
      <c r="AC693" s="10" t="n">
        <v>1</v>
      </c>
    </row>
    <row r="694">
      <c r="A694" s="7" t="inlineStr">
        <is>
          <t>MAT-10-081</t>
        </is>
      </c>
      <c r="B694" s="4" t="inlineStr">
        <is>
          <t>Panel LED empotrar cuadrado de 12 W</t>
        </is>
      </c>
      <c r="C694" s="7" t="inlineStr">
        <is>
          <t>unidad</t>
        </is>
      </c>
      <c r="D694" s="8" t="n"/>
      <c r="E694" s="8" t="n">
        <v>170</v>
      </c>
      <c r="F694" s="8" t="n"/>
      <c r="G694" s="8" t="n"/>
      <c r="H694" s="8" t="n"/>
      <c r="I694" s="8" t="n">
        <v>245</v>
      </c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>
        <f>IF(COUNT(D694:V694)=0,"",MIN(D694:V694))</f>
        <v/>
      </c>
      <c r="X694" s="8">
        <f>IF(COUNT(D694:V694)=0,"",MEDIAN(D694:V694))</f>
        <v/>
      </c>
      <c r="Y694" s="8">
        <f>IF(COUNT(D694:V694)=0,"",MAX(D694:V694))</f>
        <v/>
      </c>
      <c r="Z694" s="9">
        <f>IF(OR(W694="",W694=0),"",(Y694-W694)/W694)</f>
        <v/>
      </c>
      <c r="AA694" s="7">
        <f>IF(COUNT(D694:V694)=0,"",INDEX($D$1:$V$1,MATCH(MIN(D694:V694),D694:V694,0)))</f>
        <v/>
      </c>
      <c r="AB694" s="8" t="n">
        <v>245</v>
      </c>
      <c r="AC694" s="10" t="n">
        <v>2</v>
      </c>
    </row>
    <row r="695">
      <c r="A695" s="7" t="inlineStr">
        <is>
          <t>MAT-10-082</t>
        </is>
      </c>
      <c r="B695" s="4" t="inlineStr">
        <is>
          <t>Panel LED empotrar cuadrado de 15 W</t>
        </is>
      </c>
      <c r="C695" s="7" t="inlineStr">
        <is>
          <t>unidad</t>
        </is>
      </c>
      <c r="D695" s="8" t="n"/>
      <c r="E695" s="8" t="n">
        <v>1764</v>
      </c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>
        <f>IF(COUNT(D695:V695)=0,"",MIN(D695:V695))</f>
        <v/>
      </c>
      <c r="X695" s="8">
        <f>IF(COUNT(D695:V695)=0,"",MEDIAN(D695:V695))</f>
        <v/>
      </c>
      <c r="Y695" s="8">
        <f>IF(COUNT(D695:V695)=0,"",MAX(D695:V695))</f>
        <v/>
      </c>
      <c r="Z695" s="9">
        <f>IF(OR(W695="",W695=0),"",(Y695-W695)/W695)</f>
        <v/>
      </c>
      <c r="AA695" s="7">
        <f>IF(COUNT(D695:V695)=0,"",INDEX($D$1:$V$1,MATCH(MIN(D695:V695),D695:V695,0)))</f>
        <v/>
      </c>
      <c r="AB695" s="8" t="n">
        <v>1764</v>
      </c>
      <c r="AC695" s="10" t="n">
        <v>1</v>
      </c>
    </row>
    <row r="696">
      <c r="A696" s="7" t="inlineStr">
        <is>
          <t>MAT-10-083</t>
        </is>
      </c>
      <c r="B696" s="4" t="inlineStr">
        <is>
          <t>Panel LED empotrar cuadrado de 18 W</t>
        </is>
      </c>
      <c r="C696" s="7" t="inlineStr">
        <is>
          <t>unidad</t>
        </is>
      </c>
      <c r="D696" s="8" t="n"/>
      <c r="E696" s="8" t="n">
        <v>390</v>
      </c>
      <c r="F696" s="8" t="n"/>
      <c r="G696" s="8" t="n"/>
      <c r="H696" s="8" t="n"/>
      <c r="I696" s="8" t="n">
        <v>349</v>
      </c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>
        <f>IF(COUNT(D696:V696)=0,"",MIN(D696:V696))</f>
        <v/>
      </c>
      <c r="X696" s="8">
        <f>IF(COUNT(D696:V696)=0,"",MEDIAN(D696:V696))</f>
        <v/>
      </c>
      <c r="Y696" s="8">
        <f>IF(COUNT(D696:V696)=0,"",MAX(D696:V696))</f>
        <v/>
      </c>
      <c r="Z696" s="9">
        <f>IF(OR(W696="",W696=0),"",(Y696-W696)/W696)</f>
        <v/>
      </c>
      <c r="AA696" s="7">
        <f>IF(COUNT(D696:V696)=0,"",INDEX($D$1:$V$1,MATCH(MIN(D696:V696),D696:V696,0)))</f>
        <v/>
      </c>
      <c r="AB696" s="8" t="n">
        <v>439.5</v>
      </c>
      <c r="AC696" s="10" t="n">
        <v>2</v>
      </c>
    </row>
    <row r="697">
      <c r="A697" s="7" t="inlineStr">
        <is>
          <t>MAT-10-084</t>
        </is>
      </c>
      <c r="B697" s="4" t="inlineStr">
        <is>
          <t>Panel LED empotrar cuadrado de 22 W</t>
        </is>
      </c>
      <c r="C697" s="7" t="inlineStr">
        <is>
          <t>unidad</t>
        </is>
      </c>
      <c r="D697" s="8" t="n"/>
      <c r="E697" s="8" t="n">
        <v>665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>
        <f>IF(COUNT(D697:V697)=0,"",MIN(D697:V697))</f>
        <v/>
      </c>
      <c r="X697" s="8">
        <f>IF(COUNT(D697:V697)=0,"",MEDIAN(D697:V697))</f>
        <v/>
      </c>
      <c r="Y697" s="8">
        <f>IF(COUNT(D697:V697)=0,"",MAX(D697:V697))</f>
        <v/>
      </c>
      <c r="Z697" s="9">
        <f>IF(OR(W697="",W697=0),"",(Y697-W697)/W697)</f>
        <v/>
      </c>
      <c r="AA697" s="7">
        <f>IF(COUNT(D697:V697)=0,"",INDEX($D$1:$V$1,MATCH(MIN(D697:V697),D697:V697,0)))</f>
        <v/>
      </c>
      <c r="AB697" s="8" t="n">
        <v>665</v>
      </c>
      <c r="AC697" s="10" t="n">
        <v>1</v>
      </c>
    </row>
    <row r="698">
      <c r="A698" s="7" t="inlineStr">
        <is>
          <t>MAT-10-085</t>
        </is>
      </c>
      <c r="B698" s="4" t="inlineStr">
        <is>
          <t>Panel LED empotrar cuadrado de 24 W</t>
        </is>
      </c>
      <c r="C698" s="7" t="inlineStr">
        <is>
          <t>unidad</t>
        </is>
      </c>
      <c r="D698" s="8" t="n"/>
      <c r="E698" s="8" t="n">
        <v>699</v>
      </c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>
        <f>IF(COUNT(D698:V698)=0,"",MIN(D698:V698))</f>
        <v/>
      </c>
      <c r="X698" s="8">
        <f>IF(COUNT(D698:V698)=0,"",MEDIAN(D698:V698))</f>
        <v/>
      </c>
      <c r="Y698" s="8">
        <f>IF(COUNT(D698:V698)=0,"",MAX(D698:V698))</f>
        <v/>
      </c>
      <c r="Z698" s="9">
        <f>IF(OR(W698="",W698=0),"",(Y698-W698)/W698)</f>
        <v/>
      </c>
      <c r="AA698" s="7">
        <f>IF(COUNT(D698:V698)=0,"",INDEX($D$1:$V$1,MATCH(MIN(D698:V698),D698:V698,0)))</f>
        <v/>
      </c>
      <c r="AB698" s="8" t="n">
        <v>699</v>
      </c>
      <c r="AC698" s="10" t="n">
        <v>1</v>
      </c>
    </row>
    <row r="699">
      <c r="A699" s="7" t="inlineStr">
        <is>
          <t>MAT-10-086</t>
        </is>
      </c>
      <c r="B699" s="4" t="inlineStr">
        <is>
          <t>Panel LED empotrar cuadrado de 3 W</t>
        </is>
      </c>
      <c r="C699" s="7" t="inlineStr">
        <is>
          <t>unidad</t>
        </is>
      </c>
      <c r="D699" s="8" t="n"/>
      <c r="E699" s="8" t="n">
        <v>265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>
        <f>IF(COUNT(D699:V699)=0,"",MIN(D699:V699))</f>
        <v/>
      </c>
      <c r="X699" s="8">
        <f>IF(COUNT(D699:V699)=0,"",MEDIAN(D699:V699))</f>
        <v/>
      </c>
      <c r="Y699" s="8">
        <f>IF(COUNT(D699:V699)=0,"",MAX(D699:V699))</f>
        <v/>
      </c>
      <c r="Z699" s="9">
        <f>IF(OR(W699="",W699=0),"",(Y699-W699)/W699)</f>
        <v/>
      </c>
      <c r="AA699" s="7">
        <f>IF(COUNT(D699:V699)=0,"",INDEX($D$1:$V$1,MATCH(MIN(D699:V699),D699:V699,0)))</f>
        <v/>
      </c>
      <c r="AB699" s="8" t="n">
        <v>265</v>
      </c>
      <c r="AC699" s="10" t="n">
        <v>1</v>
      </c>
    </row>
    <row r="700">
      <c r="A700" s="7" t="inlineStr">
        <is>
          <t>MAT-10-087</t>
        </is>
      </c>
      <c r="B700" s="4" t="inlineStr">
        <is>
          <t>Panel LED empotrar cuadrado de 36 W</t>
        </is>
      </c>
      <c r="C700" s="7" t="inlineStr">
        <is>
          <t>unidad</t>
        </is>
      </c>
      <c r="D700" s="8" t="n"/>
      <c r="E700" s="8" t="n">
        <v>1104</v>
      </c>
      <c r="F700" s="8" t="n"/>
      <c r="G700" s="8" t="n"/>
      <c r="H700" s="8" t="n"/>
      <c r="I700" s="8" t="n"/>
      <c r="J700" s="8" t="n">
        <v>1050</v>
      </c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>
        <f>IF(COUNT(D700:V700)=0,"",MIN(D700:V700))</f>
        <v/>
      </c>
      <c r="X700" s="8">
        <f>IF(COUNT(D700:V700)=0,"",MEDIAN(D700:V700))</f>
        <v/>
      </c>
      <c r="Y700" s="8">
        <f>IF(COUNT(D700:V700)=0,"",MAX(D700:V700))</f>
        <v/>
      </c>
      <c r="Z700" s="9">
        <f>IF(OR(W700="",W700=0),"",(Y700-W700)/W700)</f>
        <v/>
      </c>
      <c r="AA700" s="7">
        <f>IF(COUNT(D700:V700)=0,"",INDEX($D$1:$V$1,MATCH(MIN(D700:V700),D700:V700,0)))</f>
        <v/>
      </c>
      <c r="AB700" s="8" t="n">
        <v>1077</v>
      </c>
      <c r="AC700" s="10" t="n">
        <v>2</v>
      </c>
    </row>
    <row r="701">
      <c r="A701" s="7" t="inlineStr">
        <is>
          <t>MAT-10-088</t>
        </is>
      </c>
      <c r="B701" s="4" t="inlineStr">
        <is>
          <t>Panel LED empotrar cuadrado de 4 W</t>
        </is>
      </c>
      <c r="C701" s="7" t="inlineStr">
        <is>
          <t>unidad</t>
        </is>
      </c>
      <c r="D701" s="8" t="n"/>
      <c r="E701" s="8" t="n">
        <v>245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>
        <f>IF(COUNT(D701:V701)=0,"",MIN(D701:V701))</f>
        <v/>
      </c>
      <c r="X701" s="8">
        <f>IF(COUNT(D701:V701)=0,"",MEDIAN(D701:V701))</f>
        <v/>
      </c>
      <c r="Y701" s="8">
        <f>IF(COUNT(D701:V701)=0,"",MAX(D701:V701))</f>
        <v/>
      </c>
      <c r="Z701" s="9">
        <f>IF(OR(W701="",W701=0),"",(Y701-W701)/W701)</f>
        <v/>
      </c>
      <c r="AA701" s="7">
        <f>IF(COUNT(D701:V701)=0,"",INDEX($D$1:$V$1,MATCH(MIN(D701:V701),D701:V701,0)))</f>
        <v/>
      </c>
      <c r="AB701" s="8" t="n">
        <v>245</v>
      </c>
      <c r="AC701" s="10" t="n">
        <v>1</v>
      </c>
    </row>
    <row r="702">
      <c r="A702" s="7" t="inlineStr">
        <is>
          <t>MAT-10-089</t>
        </is>
      </c>
      <c r="B702" s="4" t="inlineStr">
        <is>
          <t>Panel LED empotrar cuadrado de 40 W</t>
        </is>
      </c>
      <c r="C702" s="7" t="inlineStr">
        <is>
          <t>unidad</t>
        </is>
      </c>
      <c r="D702" s="8" t="n"/>
      <c r="E702" s="8" t="n"/>
      <c r="F702" s="8" t="n"/>
      <c r="G702" s="8" t="n"/>
      <c r="H702" s="8" t="n"/>
      <c r="I702" s="8" t="n"/>
      <c r="J702" s="8" t="n">
        <v>1150</v>
      </c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>
        <f>IF(COUNT(D702:V702)=0,"",MIN(D702:V702))</f>
        <v/>
      </c>
      <c r="X702" s="8">
        <f>IF(COUNT(D702:V702)=0,"",MEDIAN(D702:V702))</f>
        <v/>
      </c>
      <c r="Y702" s="8">
        <f>IF(COUNT(D702:V702)=0,"",MAX(D702:V702))</f>
        <v/>
      </c>
      <c r="Z702" s="9">
        <f>IF(OR(W702="",W702=0),"",(Y702-W702)/W702)</f>
        <v/>
      </c>
      <c r="AA702" s="7">
        <f>IF(COUNT(D702:V702)=0,"",INDEX($D$1:$V$1,MATCH(MIN(D702:V702),D702:V702,0)))</f>
        <v/>
      </c>
      <c r="AB702" s="8" t="n">
        <v>1475</v>
      </c>
      <c r="AC702" s="10" t="n">
        <v>1</v>
      </c>
    </row>
    <row r="703">
      <c r="A703" s="7" t="inlineStr">
        <is>
          <t>MAT-10-090</t>
        </is>
      </c>
      <c r="B703" s="4" t="inlineStr">
        <is>
          <t>Panel LED empotrar cuadrado de 6 W</t>
        </is>
      </c>
      <c r="C703" s="7" t="inlineStr">
        <is>
          <t>unidad</t>
        </is>
      </c>
      <c r="D703" s="8" t="n"/>
      <c r="E703" s="8" t="n">
        <v>241</v>
      </c>
      <c r="F703" s="8" t="n"/>
      <c r="G703" s="8" t="n"/>
      <c r="H703" s="8" t="n"/>
      <c r="I703" s="8" t="n">
        <v>159</v>
      </c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>
        <f>IF(COUNT(D703:V703)=0,"",MIN(D703:V703))</f>
        <v/>
      </c>
      <c r="X703" s="8">
        <f>IF(COUNT(D703:V703)=0,"",MEDIAN(D703:V703))</f>
        <v/>
      </c>
      <c r="Y703" s="8">
        <f>IF(COUNT(D703:V703)=0,"",MAX(D703:V703))</f>
        <v/>
      </c>
      <c r="Z703" s="9">
        <f>IF(OR(W703="",W703=0),"",(Y703-W703)/W703)</f>
        <v/>
      </c>
      <c r="AA703" s="7">
        <f>IF(COUNT(D703:V703)=0,"",INDEX($D$1:$V$1,MATCH(MIN(D703:V703),D703:V703,0)))</f>
        <v/>
      </c>
      <c r="AB703" s="8" t="n">
        <v>241</v>
      </c>
      <c r="AC703" s="10" t="n">
        <v>2</v>
      </c>
    </row>
    <row r="704">
      <c r="A704" s="7" t="inlineStr">
        <is>
          <t>MAT-10-091</t>
        </is>
      </c>
      <c r="B704" s="4" t="inlineStr">
        <is>
          <t>Panel LED empotrar cuadrado de 7 W</t>
        </is>
      </c>
      <c r="C704" s="7" t="inlineStr">
        <is>
          <t>unidad</t>
        </is>
      </c>
      <c r="D704" s="8" t="n"/>
      <c r="E704" s="8" t="n">
        <v>880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>
        <f>IF(COUNT(D704:V704)=0,"",MIN(D704:V704))</f>
        <v/>
      </c>
      <c r="X704" s="8">
        <f>IF(COUNT(D704:V704)=0,"",MEDIAN(D704:V704))</f>
        <v/>
      </c>
      <c r="Y704" s="8">
        <f>IF(COUNT(D704:V704)=0,"",MAX(D704:V704))</f>
        <v/>
      </c>
      <c r="Z704" s="9">
        <f>IF(OR(W704="",W704=0),"",(Y704-W704)/W704)</f>
        <v/>
      </c>
      <c r="AA704" s="7">
        <f>IF(COUNT(D704:V704)=0,"",INDEX($D$1:$V$1,MATCH(MIN(D704:V704),D704:V704,0)))</f>
        <v/>
      </c>
      <c r="AB704" s="8" t="n">
        <v>895.5</v>
      </c>
      <c r="AC704" s="10" t="n">
        <v>1</v>
      </c>
    </row>
    <row r="705">
      <c r="A705" s="7" t="inlineStr">
        <is>
          <t>MAT-10-092</t>
        </is>
      </c>
      <c r="B705" s="4" t="inlineStr">
        <is>
          <t>Panel LED empotrar cuadrado de 7.8 W</t>
        </is>
      </c>
      <c r="C705" s="7" t="inlineStr">
        <is>
          <t>unidad</t>
        </is>
      </c>
      <c r="D705" s="8" t="n"/>
      <c r="E705" s="8" t="n">
        <v>405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>
        <f>IF(COUNT(D705:V705)=0,"",MIN(D705:V705))</f>
        <v/>
      </c>
      <c r="X705" s="8">
        <f>IF(COUNT(D705:V705)=0,"",MEDIAN(D705:V705))</f>
        <v/>
      </c>
      <c r="Y705" s="8">
        <f>IF(COUNT(D705:V705)=0,"",MAX(D705:V705))</f>
        <v/>
      </c>
      <c r="Z705" s="9">
        <f>IF(OR(W705="",W705=0),"",(Y705-W705)/W705)</f>
        <v/>
      </c>
      <c r="AA705" s="7">
        <f>IF(COUNT(D705:V705)=0,"",INDEX($D$1:$V$1,MATCH(MIN(D705:V705),D705:V705,0)))</f>
        <v/>
      </c>
      <c r="AB705" s="8" t="n">
        <v>530.5</v>
      </c>
      <c r="AC705" s="10" t="n">
        <v>1</v>
      </c>
    </row>
    <row r="706">
      <c r="A706" s="7" t="inlineStr">
        <is>
          <t>MAT-10-093</t>
        </is>
      </c>
      <c r="B706" s="4" t="inlineStr">
        <is>
          <t>Panel LED empotrar cuadrado de 9 W</t>
        </is>
      </c>
      <c r="C706" s="7" t="inlineStr">
        <is>
          <t>unidad</t>
        </is>
      </c>
      <c r="D706" s="8" t="n"/>
      <c r="E706" s="8" t="n">
        <v>1044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>
        <f>IF(COUNT(D706:V706)=0,"",MIN(D706:V706))</f>
        <v/>
      </c>
      <c r="X706" s="8">
        <f>IF(COUNT(D706:V706)=0,"",MEDIAN(D706:V706))</f>
        <v/>
      </c>
      <c r="Y706" s="8">
        <f>IF(COUNT(D706:V706)=0,"",MAX(D706:V706))</f>
        <v/>
      </c>
      <c r="Z706" s="9">
        <f>IF(OR(W706="",W706=0),"",(Y706-W706)/W706)</f>
        <v/>
      </c>
      <c r="AA706" s="7">
        <f>IF(COUNT(D706:V706)=0,"",INDEX($D$1:$V$1,MATCH(MIN(D706:V706),D706:V706,0)))</f>
        <v/>
      </c>
      <c r="AB706" s="8" t="n">
        <v>1054</v>
      </c>
      <c r="AC706" s="10" t="n">
        <v>1</v>
      </c>
    </row>
    <row r="707">
      <c r="A707" s="7" t="inlineStr">
        <is>
          <t>MAT-10-094</t>
        </is>
      </c>
      <c r="B707" s="4" t="inlineStr">
        <is>
          <t>Panel LED empotrar redondo de 11.5 W</t>
        </is>
      </c>
      <c r="C707" s="7" t="inlineStr">
        <is>
          <t>unidad</t>
        </is>
      </c>
      <c r="D707" s="8" t="n"/>
      <c r="E707" s="8" t="n">
        <v>465</v>
      </c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>
        <f>IF(COUNT(D707:V707)=0,"",MIN(D707:V707))</f>
        <v/>
      </c>
      <c r="X707" s="8">
        <f>IF(COUNT(D707:V707)=0,"",MEDIAN(D707:V707))</f>
        <v/>
      </c>
      <c r="Y707" s="8">
        <f>IF(COUNT(D707:V707)=0,"",MAX(D707:V707))</f>
        <v/>
      </c>
      <c r="Z707" s="9">
        <f>IF(OR(W707="",W707=0),"",(Y707-W707)/W707)</f>
        <v/>
      </c>
      <c r="AA707" s="7">
        <f>IF(COUNT(D707:V707)=0,"",INDEX($D$1:$V$1,MATCH(MIN(D707:V707),D707:V707,0)))</f>
        <v/>
      </c>
      <c r="AB707" s="8" t="n">
        <v>516.5</v>
      </c>
      <c r="AC707" s="10" t="n">
        <v>1</v>
      </c>
    </row>
    <row r="708">
      <c r="A708" s="7" t="inlineStr">
        <is>
          <t>MAT-10-095</t>
        </is>
      </c>
      <c r="B708" s="4" t="inlineStr">
        <is>
          <t>Panel LED empotrar redondo de 11.6 W</t>
        </is>
      </c>
      <c r="C708" s="7" t="inlineStr">
        <is>
          <t>unidad</t>
        </is>
      </c>
      <c r="D708" s="8" t="n"/>
      <c r="E708" s="8" t="n">
        <v>1552</v>
      </c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>
        <f>IF(COUNT(D708:V708)=0,"",MIN(D708:V708))</f>
        <v/>
      </c>
      <c r="X708" s="8">
        <f>IF(COUNT(D708:V708)=0,"",MEDIAN(D708:V708))</f>
        <v/>
      </c>
      <c r="Y708" s="8">
        <f>IF(COUNT(D708:V708)=0,"",MAX(D708:V708))</f>
        <v/>
      </c>
      <c r="Z708" s="9">
        <f>IF(OR(W708="",W708=0),"",(Y708-W708)/W708)</f>
        <v/>
      </c>
      <c r="AA708" s="7">
        <f>IF(COUNT(D708:V708)=0,"",INDEX($D$1:$V$1,MATCH(MIN(D708:V708),D708:V708,0)))</f>
        <v/>
      </c>
      <c r="AB708" s="8" t="n">
        <v>1552</v>
      </c>
      <c r="AC708" s="10" t="n">
        <v>1</v>
      </c>
    </row>
    <row r="709">
      <c r="A709" s="7" t="inlineStr">
        <is>
          <t>MAT-10-096</t>
        </is>
      </c>
      <c r="B709" s="4" t="inlineStr">
        <is>
          <t>Panel LED empotrar redondo de 12 W</t>
        </is>
      </c>
      <c r="C709" s="7" t="inlineStr">
        <is>
          <t>unidad</t>
        </is>
      </c>
      <c r="D709" s="8" t="n"/>
      <c r="E709" s="8" t="n">
        <v>135</v>
      </c>
      <c r="F709" s="8" t="n"/>
      <c r="G709" s="8" t="n"/>
      <c r="H709" s="8" t="n"/>
      <c r="I709" s="8" t="n">
        <v>219</v>
      </c>
      <c r="J709" s="8" t="n">
        <v>210</v>
      </c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>
        <f>IF(COUNT(D709:V709)=0,"",MIN(D709:V709))</f>
        <v/>
      </c>
      <c r="X709" s="8">
        <f>IF(COUNT(D709:V709)=0,"",MEDIAN(D709:V709))</f>
        <v/>
      </c>
      <c r="Y709" s="8">
        <f>IF(COUNT(D709:V709)=0,"",MAX(D709:V709))</f>
        <v/>
      </c>
      <c r="Z709" s="9">
        <f>IF(OR(W709="",W709=0),"",(Y709-W709)/W709)</f>
        <v/>
      </c>
      <c r="AA709" s="7">
        <f>IF(COUNT(D709:V709)=0,"",INDEX($D$1:$V$1,MATCH(MIN(D709:V709),D709:V709,0)))</f>
        <v/>
      </c>
      <c r="AB709" s="8" t="n">
        <v>350</v>
      </c>
      <c r="AC709" s="10" t="n">
        <v>3</v>
      </c>
    </row>
    <row r="710">
      <c r="A710" s="7" t="inlineStr">
        <is>
          <t>MAT-10-097</t>
        </is>
      </c>
      <c r="B710" s="4" t="inlineStr">
        <is>
          <t>Panel LED empotrar redondo de 15 W</t>
        </is>
      </c>
      <c r="C710" s="7" t="inlineStr">
        <is>
          <t>unidad</t>
        </is>
      </c>
      <c r="D710" s="8" t="n"/>
      <c r="E710" s="8" t="n"/>
      <c r="F710" s="8" t="n"/>
      <c r="G710" s="8" t="n"/>
      <c r="H710" s="8" t="n"/>
      <c r="I710" s="8" t="n"/>
      <c r="J710" s="8" t="n">
        <v>232</v>
      </c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>
        <f>IF(COUNT(D710:V710)=0,"",MIN(D710:V710))</f>
        <v/>
      </c>
      <c r="X710" s="8">
        <f>IF(COUNT(D710:V710)=0,"",MEDIAN(D710:V710))</f>
        <v/>
      </c>
      <c r="Y710" s="8">
        <f>IF(COUNT(D710:V710)=0,"",MAX(D710:V710))</f>
        <v/>
      </c>
      <c r="Z710" s="9">
        <f>IF(OR(W710="",W710=0),"",(Y710-W710)/W710)</f>
        <v/>
      </c>
      <c r="AA710" s="7">
        <f>IF(COUNT(D710:V710)=0,"",INDEX($D$1:$V$1,MATCH(MIN(D710:V710),D710:V710,0)))</f>
        <v/>
      </c>
      <c r="AB710" s="8" t="n">
        <v>232</v>
      </c>
      <c r="AC710" s="10" t="n">
        <v>1</v>
      </c>
    </row>
    <row r="711">
      <c r="A711" s="7" t="inlineStr">
        <is>
          <t>MAT-10-098</t>
        </is>
      </c>
      <c r="B711" s="4" t="inlineStr">
        <is>
          <t>Panel LED empotrar redondo de 18 W</t>
        </is>
      </c>
      <c r="C711" s="7" t="inlineStr">
        <is>
          <t>unidad</t>
        </is>
      </c>
      <c r="D711" s="8" t="n"/>
      <c r="E711" s="8" t="n">
        <v>205</v>
      </c>
      <c r="F711" s="8" t="n"/>
      <c r="G711" s="8" t="n"/>
      <c r="H711" s="8" t="n"/>
      <c r="I711" s="8" t="n">
        <v>325</v>
      </c>
      <c r="J711" s="8" t="n">
        <v>310</v>
      </c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>
        <f>IF(COUNT(D711:V711)=0,"",MIN(D711:V711))</f>
        <v/>
      </c>
      <c r="X711" s="8">
        <f>IF(COUNT(D711:V711)=0,"",MEDIAN(D711:V711))</f>
        <v/>
      </c>
      <c r="Y711" s="8">
        <f>IF(COUNT(D711:V711)=0,"",MAX(D711:V711))</f>
        <v/>
      </c>
      <c r="Z711" s="9">
        <f>IF(OR(W711="",W711=0),"",(Y711-W711)/W711)</f>
        <v/>
      </c>
      <c r="AA711" s="7">
        <f>IF(COUNT(D711:V711)=0,"",INDEX($D$1:$V$1,MATCH(MIN(D711:V711),D711:V711,0)))</f>
        <v/>
      </c>
      <c r="AB711" s="8" t="n">
        <v>381</v>
      </c>
      <c r="AC711" s="10" t="n">
        <v>3</v>
      </c>
    </row>
    <row r="712">
      <c r="A712" s="7" t="inlineStr">
        <is>
          <t>MAT-10-099</t>
        </is>
      </c>
      <c r="B712" s="4" t="inlineStr">
        <is>
          <t>Panel LED empotrar redondo de 22 W</t>
        </is>
      </c>
      <c r="C712" s="7" t="inlineStr">
        <is>
          <t>unidad</t>
        </is>
      </c>
      <c r="D712" s="8" t="n"/>
      <c r="E712" s="8" t="n">
        <v>660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>
        <f>IF(COUNT(D712:V712)=0,"",MIN(D712:V712))</f>
        <v/>
      </c>
      <c r="X712" s="8">
        <f>IF(COUNT(D712:V712)=0,"",MEDIAN(D712:V712))</f>
        <v/>
      </c>
      <c r="Y712" s="8">
        <f>IF(COUNT(D712:V712)=0,"",MAX(D712:V712))</f>
        <v/>
      </c>
      <c r="Z712" s="9">
        <f>IF(OR(W712="",W712=0),"",(Y712-W712)/W712)</f>
        <v/>
      </c>
      <c r="AA712" s="7">
        <f>IF(COUNT(D712:V712)=0,"",INDEX($D$1:$V$1,MATCH(MIN(D712:V712),D712:V712,0)))</f>
        <v/>
      </c>
      <c r="AB712" s="8" t="n">
        <v>786</v>
      </c>
      <c r="AC712" s="10" t="n">
        <v>1</v>
      </c>
    </row>
    <row r="713">
      <c r="A713" s="7" t="inlineStr">
        <is>
          <t>MAT-10-100</t>
        </is>
      </c>
      <c r="B713" s="4" t="inlineStr">
        <is>
          <t>Panel LED empotrar redondo de 24 W</t>
        </is>
      </c>
      <c r="C713" s="7" t="inlineStr">
        <is>
          <t>unidad</t>
        </is>
      </c>
      <c r="D713" s="8" t="n"/>
      <c r="E713" s="8" t="n">
        <v>295</v>
      </c>
      <c r="F713" s="8" t="n"/>
      <c r="G713" s="8" t="n"/>
      <c r="H713" s="8" t="n"/>
      <c r="I713" s="8" t="n"/>
      <c r="J713" s="8" t="n">
        <v>470</v>
      </c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>
        <f>IF(COUNT(D713:V713)=0,"",MIN(D713:V713))</f>
        <v/>
      </c>
      <c r="X713" s="8">
        <f>IF(COUNT(D713:V713)=0,"",MEDIAN(D713:V713))</f>
        <v/>
      </c>
      <c r="Y713" s="8">
        <f>IF(COUNT(D713:V713)=0,"",MAX(D713:V713))</f>
        <v/>
      </c>
      <c r="Z713" s="9">
        <f>IF(OR(W713="",W713=0),"",(Y713-W713)/W713)</f>
        <v/>
      </c>
      <c r="AA713" s="7">
        <f>IF(COUNT(D713:V713)=0,"",INDEX($D$1:$V$1,MATCH(MIN(D713:V713),D713:V713,0)))</f>
        <v/>
      </c>
      <c r="AB713" s="8" t="n">
        <v>514</v>
      </c>
      <c r="AC713" s="10" t="n">
        <v>2</v>
      </c>
    </row>
    <row r="714">
      <c r="A714" s="7" t="inlineStr">
        <is>
          <t>MAT-10-101</t>
        </is>
      </c>
      <c r="B714" s="4" t="inlineStr">
        <is>
          <t>Panel LED empotrar redondo de 25 W</t>
        </is>
      </c>
      <c r="C714" s="7" t="inlineStr">
        <is>
          <t>unidad</t>
        </is>
      </c>
      <c r="D714" s="8" t="n"/>
      <c r="E714" s="8" t="n">
        <v>630</v>
      </c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>
        <f>IF(COUNT(D714:V714)=0,"",MIN(D714:V714))</f>
        <v/>
      </c>
      <c r="X714" s="8">
        <f>IF(COUNT(D714:V714)=0,"",MEDIAN(D714:V714))</f>
        <v/>
      </c>
      <c r="Y714" s="8">
        <f>IF(COUNT(D714:V714)=0,"",MAX(D714:V714))</f>
        <v/>
      </c>
      <c r="Z714" s="9">
        <f>IF(OR(W714="",W714=0),"",(Y714-W714)/W714)</f>
        <v/>
      </c>
      <c r="AA714" s="7">
        <f>IF(COUNT(D714:V714)=0,"",INDEX($D$1:$V$1,MATCH(MIN(D714:V714),D714:V714,0)))</f>
        <v/>
      </c>
      <c r="AB714" s="8" t="n">
        <v>646.5</v>
      </c>
      <c r="AC714" s="10" t="n">
        <v>1</v>
      </c>
    </row>
    <row r="715">
      <c r="A715" s="7" t="inlineStr">
        <is>
          <t>MAT-10-102</t>
        </is>
      </c>
      <c r="B715" s="4" t="inlineStr">
        <is>
          <t>Panel LED empotrar redondo de 3 W</t>
        </is>
      </c>
      <c r="C715" s="7" t="inlineStr">
        <is>
          <t>unidad</t>
        </is>
      </c>
      <c r="D715" s="8" t="n"/>
      <c r="E715" s="8" t="n">
        <v>90</v>
      </c>
      <c r="F715" s="8" t="n"/>
      <c r="G715" s="8" t="n"/>
      <c r="H715" s="8" t="n"/>
      <c r="I715" s="8" t="n"/>
      <c r="J715" s="8" t="n">
        <v>120</v>
      </c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>
        <f>IF(COUNT(D715:V715)=0,"",MIN(D715:V715))</f>
        <v/>
      </c>
      <c r="X715" s="8">
        <f>IF(COUNT(D715:V715)=0,"",MEDIAN(D715:V715))</f>
        <v/>
      </c>
      <c r="Y715" s="8">
        <f>IF(COUNT(D715:V715)=0,"",MAX(D715:V715))</f>
        <v/>
      </c>
      <c r="Z715" s="9">
        <f>IF(OR(W715="",W715=0),"",(Y715-W715)/W715)</f>
        <v/>
      </c>
      <c r="AA715" s="7">
        <f>IF(COUNT(D715:V715)=0,"",INDEX($D$1:$V$1,MATCH(MIN(D715:V715),D715:V715,0)))</f>
        <v/>
      </c>
      <c r="AB715" s="8" t="n">
        <v>142.5</v>
      </c>
      <c r="AC715" s="10" t="n">
        <v>2</v>
      </c>
    </row>
    <row r="716">
      <c r="A716" s="7" t="inlineStr">
        <is>
          <t>MAT-10-103</t>
        </is>
      </c>
      <c r="B716" s="4" t="inlineStr">
        <is>
          <t>Panel LED empotrar redondo de 36 W</t>
        </is>
      </c>
      <c r="C716" s="7" t="inlineStr">
        <is>
          <t>unidad</t>
        </is>
      </c>
      <c r="D716" s="8" t="n"/>
      <c r="E716" s="8" t="n">
        <v>808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>
        <f>IF(COUNT(D716:V716)=0,"",MIN(D716:V716))</f>
        <v/>
      </c>
      <c r="X716" s="8">
        <f>IF(COUNT(D716:V716)=0,"",MEDIAN(D716:V716))</f>
        <v/>
      </c>
      <c r="Y716" s="8">
        <f>IF(COUNT(D716:V716)=0,"",MAX(D716:V716))</f>
        <v/>
      </c>
      <c r="Z716" s="9">
        <f>IF(OR(W716="",W716=0),"",(Y716-W716)/W716)</f>
        <v/>
      </c>
      <c r="AA716" s="7">
        <f>IF(COUNT(D716:V716)=0,"",INDEX($D$1:$V$1,MATCH(MIN(D716:V716),D716:V716,0)))</f>
        <v/>
      </c>
      <c r="AB716" s="8" t="n">
        <v>808</v>
      </c>
      <c r="AC716" s="10" t="n">
        <v>1</v>
      </c>
    </row>
    <row r="717">
      <c r="A717" s="7" t="inlineStr">
        <is>
          <t>MAT-10-104</t>
        </is>
      </c>
      <c r="B717" s="4" t="inlineStr">
        <is>
          <t>Panel LED empotrar redondo de 4 W</t>
        </is>
      </c>
      <c r="C717" s="7" t="inlineStr">
        <is>
          <t>unidad</t>
        </is>
      </c>
      <c r="D717" s="8" t="n"/>
      <c r="E717" s="8" t="n">
        <v>245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>
        <f>IF(COUNT(D717:V717)=0,"",MIN(D717:V717))</f>
        <v/>
      </c>
      <c r="X717" s="8">
        <f>IF(COUNT(D717:V717)=0,"",MEDIAN(D717:V717))</f>
        <v/>
      </c>
      <c r="Y717" s="8">
        <f>IF(COUNT(D717:V717)=0,"",MAX(D717:V717))</f>
        <v/>
      </c>
      <c r="Z717" s="9">
        <f>IF(OR(W717="",W717=0),"",(Y717-W717)/W717)</f>
        <v/>
      </c>
      <c r="AA717" s="7">
        <f>IF(COUNT(D717:V717)=0,"",INDEX($D$1:$V$1,MATCH(MIN(D717:V717),D717:V717,0)))</f>
        <v/>
      </c>
      <c r="AB717" s="8" t="n">
        <v>280</v>
      </c>
      <c r="AC717" s="10" t="n">
        <v>1</v>
      </c>
    </row>
    <row r="718">
      <c r="A718" s="7" t="inlineStr">
        <is>
          <t>MAT-10-105</t>
        </is>
      </c>
      <c r="B718" s="4" t="inlineStr">
        <is>
          <t>Panel LED empotrar redondo de 40 W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/>
      <c r="J718" s="8" t="n">
        <v>1600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>
        <f>IF(COUNT(D718:V718)=0,"",MIN(D718:V718))</f>
        <v/>
      </c>
      <c r="X718" s="8">
        <f>IF(COUNT(D718:V718)=0,"",MEDIAN(D718:V718))</f>
        <v/>
      </c>
      <c r="Y718" s="8">
        <f>IF(COUNT(D718:V718)=0,"",MAX(D718:V718))</f>
        <v/>
      </c>
      <c r="Z718" s="9">
        <f>IF(OR(W718="",W718=0),"",(Y718-W718)/W718)</f>
        <v/>
      </c>
      <c r="AA718" s="7">
        <f>IF(COUNT(D718:V718)=0,"",INDEX($D$1:$V$1,MATCH(MIN(D718:V718),D718:V718,0)))</f>
        <v/>
      </c>
      <c r="AB718" s="8" t="n">
        <v>1600</v>
      </c>
      <c r="AC718" s="10" t="n">
        <v>1</v>
      </c>
    </row>
    <row r="719">
      <c r="A719" s="7" t="inlineStr">
        <is>
          <t>MAT-10-106</t>
        </is>
      </c>
      <c r="B719" s="4" t="inlineStr">
        <is>
          <t>Panel LED empotrar redondo de 5 W</t>
        </is>
      </c>
      <c r="C719" s="7" t="inlineStr">
        <is>
          <t>unidad</t>
        </is>
      </c>
      <c r="D719" s="8" t="n"/>
      <c r="E719" s="8" t="n"/>
      <c r="F719" s="8" t="n"/>
      <c r="G719" s="8" t="n"/>
      <c r="H719" s="8" t="n"/>
      <c r="I719" s="8" t="n">
        <v>159</v>
      </c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>
        <f>IF(COUNT(D719:V719)=0,"",MIN(D719:V719))</f>
        <v/>
      </c>
      <c r="X719" s="8">
        <f>IF(COUNT(D719:V719)=0,"",MEDIAN(D719:V719))</f>
        <v/>
      </c>
      <c r="Y719" s="8">
        <f>IF(COUNT(D719:V719)=0,"",MAX(D719:V719))</f>
        <v/>
      </c>
      <c r="Z719" s="9">
        <f>IF(OR(W719="",W719=0),"",(Y719-W719)/W719)</f>
        <v/>
      </c>
      <c r="AA719" s="7">
        <f>IF(COUNT(D719:V719)=0,"",INDEX($D$1:$V$1,MATCH(MIN(D719:V719),D719:V719,0)))</f>
        <v/>
      </c>
      <c r="AB719" s="8" t="n">
        <v>159</v>
      </c>
      <c r="AC719" s="10" t="n">
        <v>1</v>
      </c>
    </row>
    <row r="720">
      <c r="A720" s="7" t="inlineStr">
        <is>
          <t>MAT-10-107</t>
        </is>
      </c>
      <c r="B720" s="4" t="inlineStr">
        <is>
          <t>Panel LED empotrar redondo de 6 W</t>
        </is>
      </c>
      <c r="C720" s="7" t="inlineStr">
        <is>
          <t>unidad</t>
        </is>
      </c>
      <c r="D720" s="8" t="n"/>
      <c r="E720" s="8" t="n">
        <v>95</v>
      </c>
      <c r="F720" s="8" t="n"/>
      <c r="G720" s="8" t="n"/>
      <c r="H720" s="8" t="n"/>
      <c r="I720" s="8" t="n">
        <v>155</v>
      </c>
      <c r="J720" s="8" t="n">
        <v>185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>
        <f>IF(COUNT(D720:V720)=0,"",MIN(D720:V720))</f>
        <v/>
      </c>
      <c r="X720" s="8">
        <f>IF(COUNT(D720:V720)=0,"",MEDIAN(D720:V720))</f>
        <v/>
      </c>
      <c r="Y720" s="8">
        <f>IF(COUNT(D720:V720)=0,"",MAX(D720:V720))</f>
        <v/>
      </c>
      <c r="Z720" s="9">
        <f>IF(OR(W720="",W720=0),"",(Y720-W720)/W720)</f>
        <v/>
      </c>
      <c r="AA720" s="7">
        <f>IF(COUNT(D720:V720)=0,"",INDEX($D$1:$V$1,MATCH(MIN(D720:V720),D720:V720,0)))</f>
        <v/>
      </c>
      <c r="AB720" s="8" t="n">
        <v>189</v>
      </c>
      <c r="AC720" s="10" t="n">
        <v>3</v>
      </c>
    </row>
    <row r="721">
      <c r="A721" s="7" t="inlineStr">
        <is>
          <t>MAT-10-108</t>
        </is>
      </c>
      <c r="B721" s="4" t="inlineStr">
        <is>
          <t>Panel LED empotrar redondo de 7 W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>
        <v>219</v>
      </c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>
        <f>IF(COUNT(D721:V721)=0,"",MIN(D721:V721))</f>
        <v/>
      </c>
      <c r="X721" s="8">
        <f>IF(COUNT(D721:V721)=0,"",MEDIAN(D721:V721))</f>
        <v/>
      </c>
      <c r="Y721" s="8">
        <f>IF(COUNT(D721:V721)=0,"",MAX(D721:V721))</f>
        <v/>
      </c>
      <c r="Z721" s="9">
        <f>IF(OR(W721="",W721=0),"",(Y721-W721)/W721)</f>
        <v/>
      </c>
      <c r="AA721" s="7">
        <f>IF(COUNT(D721:V721)=0,"",INDEX($D$1:$V$1,MATCH(MIN(D721:V721),D721:V721,0)))</f>
        <v/>
      </c>
      <c r="AB721" s="8" t="n">
        <v>219</v>
      </c>
      <c r="AC721" s="10" t="n">
        <v>1</v>
      </c>
    </row>
    <row r="722">
      <c r="A722" s="7" t="inlineStr">
        <is>
          <t>MAT-10-109</t>
        </is>
      </c>
      <c r="B722" s="4" t="inlineStr">
        <is>
          <t>Panel LED empotrar redondo de 7.8 W</t>
        </is>
      </c>
      <c r="C722" s="7" t="inlineStr">
        <is>
          <t>unidad</t>
        </is>
      </c>
      <c r="D722" s="8" t="n"/>
      <c r="E722" s="8" t="n">
        <v>335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>
        <f>IF(COUNT(D722:V722)=0,"",MIN(D722:V722))</f>
        <v/>
      </c>
      <c r="X722" s="8">
        <f>IF(COUNT(D722:V722)=0,"",MEDIAN(D722:V722))</f>
        <v/>
      </c>
      <c r="Y722" s="8">
        <f>IF(COUNT(D722:V722)=0,"",MAX(D722:V722))</f>
        <v/>
      </c>
      <c r="Z722" s="9">
        <f>IF(OR(W722="",W722=0),"",(Y722-W722)/W722)</f>
        <v/>
      </c>
      <c r="AA722" s="7">
        <f>IF(COUNT(D722:V722)=0,"",INDEX($D$1:$V$1,MATCH(MIN(D722:V722),D722:V722,0)))</f>
        <v/>
      </c>
      <c r="AB722" s="8" t="n">
        <v>385</v>
      </c>
      <c r="AC722" s="10" t="n">
        <v>1</v>
      </c>
    </row>
    <row r="723">
      <c r="A723" s="7" t="inlineStr">
        <is>
          <t>MAT-10-110</t>
        </is>
      </c>
      <c r="B723" s="4" t="inlineStr">
        <is>
          <t>Panel LED empotrar redondo de 8.5 W</t>
        </is>
      </c>
      <c r="C723" s="7" t="inlineStr">
        <is>
          <t>unidad</t>
        </is>
      </c>
      <c r="D723" s="8" t="n"/>
      <c r="E723" s="8" t="n">
        <v>1268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>
        <f>IF(COUNT(D723:V723)=0,"",MIN(D723:V723))</f>
        <v/>
      </c>
      <c r="X723" s="8">
        <f>IF(COUNT(D723:V723)=0,"",MEDIAN(D723:V723))</f>
        <v/>
      </c>
      <c r="Y723" s="8">
        <f>IF(COUNT(D723:V723)=0,"",MAX(D723:V723))</f>
        <v/>
      </c>
      <c r="Z723" s="9">
        <f>IF(OR(W723="",W723=0),"",(Y723-W723)/W723)</f>
        <v/>
      </c>
      <c r="AA723" s="7">
        <f>IF(COUNT(D723:V723)=0,"",INDEX($D$1:$V$1,MATCH(MIN(D723:V723),D723:V723,0)))</f>
        <v/>
      </c>
      <c r="AB723" s="8" t="n">
        <v>1268</v>
      </c>
      <c r="AC723" s="10" t="n">
        <v>1</v>
      </c>
    </row>
    <row r="724">
      <c r="A724" s="7" t="inlineStr">
        <is>
          <t>MAT-10-111</t>
        </is>
      </c>
      <c r="B724" s="4" t="inlineStr">
        <is>
          <t>Panel LED empotrar redondo de 9 W</t>
        </is>
      </c>
      <c r="C724" s="7" t="inlineStr">
        <is>
          <t>unidad</t>
        </is>
      </c>
      <c r="D724" s="8" t="n"/>
      <c r="E724" s="8" t="n">
        <v>120</v>
      </c>
      <c r="F724" s="8" t="n"/>
      <c r="G724" s="8" t="n"/>
      <c r="H724" s="8" t="n"/>
      <c r="I724" s="8" t="n"/>
      <c r="J724" s="8" t="n">
        <v>200</v>
      </c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>
        <f>IF(COUNT(D724:V724)=0,"",MIN(D724:V724))</f>
        <v/>
      </c>
      <c r="X724" s="8">
        <f>IF(COUNT(D724:V724)=0,"",MEDIAN(D724:V724))</f>
        <v/>
      </c>
      <c r="Y724" s="8">
        <f>IF(COUNT(D724:V724)=0,"",MAX(D724:V724))</f>
        <v/>
      </c>
      <c r="Z724" s="9">
        <f>IF(OR(W724="",W724=0),"",(Y724-W724)/W724)</f>
        <v/>
      </c>
      <c r="AA724" s="7">
        <f>IF(COUNT(D724:V724)=0,"",INDEX($D$1:$V$1,MATCH(MIN(D724:V724),D724:V724,0)))</f>
        <v/>
      </c>
      <c r="AB724" s="8" t="n">
        <v>310</v>
      </c>
      <c r="AC724" s="10" t="n">
        <v>2</v>
      </c>
    </row>
    <row r="725">
      <c r="A725" s="7" t="inlineStr">
        <is>
          <t>MAT-10-112</t>
        </is>
      </c>
      <c r="B725" s="4" t="inlineStr">
        <is>
          <t>Panel LED empotrar redondo de 9.8 W</t>
        </is>
      </c>
      <c r="C725" s="7" t="inlineStr">
        <is>
          <t>unidad</t>
        </is>
      </c>
      <c r="D725" s="8" t="n"/>
      <c r="E725" s="8" t="n">
        <v>859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>
        <f>IF(COUNT(D725:V725)=0,"",MIN(D725:V725))</f>
        <v/>
      </c>
      <c r="X725" s="8">
        <f>IF(COUNT(D725:V725)=0,"",MEDIAN(D725:V725))</f>
        <v/>
      </c>
      <c r="Y725" s="8">
        <f>IF(COUNT(D725:V725)=0,"",MAX(D725:V725))</f>
        <v/>
      </c>
      <c r="Z725" s="9">
        <f>IF(OR(W725="",W725=0),"",(Y725-W725)/W725)</f>
        <v/>
      </c>
      <c r="AA725" s="7">
        <f>IF(COUNT(D725:V725)=0,"",INDEX($D$1:$V$1,MATCH(MIN(D725:V725),D725:V725,0)))</f>
        <v/>
      </c>
      <c r="AB725" s="8" t="n">
        <v>859</v>
      </c>
      <c r="AC725" s="10" t="n">
        <v>1</v>
      </c>
    </row>
    <row r="726">
      <c r="A726" s="7" t="inlineStr">
        <is>
          <t>MAT-10-113</t>
        </is>
      </c>
      <c r="B726" s="4" t="inlineStr">
        <is>
          <t>Panel LED sobreponer cuadrado de 10.5 W</t>
        </is>
      </c>
      <c r="C726" s="7" t="inlineStr">
        <is>
          <t>unidad</t>
        </is>
      </c>
      <c r="D726" s="8" t="n"/>
      <c r="E726" s="8" t="n">
        <v>2536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>
        <f>IF(COUNT(D726:V726)=0,"",MIN(D726:V726))</f>
        <v/>
      </c>
      <c r="X726" s="8">
        <f>IF(COUNT(D726:V726)=0,"",MEDIAN(D726:V726))</f>
        <v/>
      </c>
      <c r="Y726" s="8">
        <f>IF(COUNT(D726:V726)=0,"",MAX(D726:V726))</f>
        <v/>
      </c>
      <c r="Z726" s="9">
        <f>IF(OR(W726="",W726=0),"",(Y726-W726)/W726)</f>
        <v/>
      </c>
      <c r="AA726" s="7">
        <f>IF(COUNT(D726:V726)=0,"",INDEX($D$1:$V$1,MATCH(MIN(D726:V726),D726:V726,0)))</f>
        <v/>
      </c>
      <c r="AB726" s="8" t="n">
        <v>2536</v>
      </c>
      <c r="AC726" s="10" t="n">
        <v>1</v>
      </c>
    </row>
    <row r="727">
      <c r="A727" s="7" t="inlineStr">
        <is>
          <t>MAT-10-114</t>
        </is>
      </c>
      <c r="B727" s="4" t="inlineStr">
        <is>
          <t>Panel LED sobreponer cuadrado de 11.5 W</t>
        </is>
      </c>
      <c r="C727" s="7" t="inlineStr">
        <is>
          <t>unidad</t>
        </is>
      </c>
      <c r="D727" s="8" t="n"/>
      <c r="E727" s="8" t="n">
        <v>535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>
        <f>IF(COUNT(D727:V727)=0,"",MIN(D727:V727))</f>
        <v/>
      </c>
      <c r="X727" s="8">
        <f>IF(COUNT(D727:V727)=0,"",MEDIAN(D727:V727))</f>
        <v/>
      </c>
      <c r="Y727" s="8">
        <f>IF(COUNT(D727:V727)=0,"",MAX(D727:V727))</f>
        <v/>
      </c>
      <c r="Z727" s="9">
        <f>IF(OR(W727="",W727=0),"",(Y727-W727)/W727)</f>
        <v/>
      </c>
      <c r="AA727" s="7">
        <f>IF(COUNT(D727:V727)=0,"",INDEX($D$1:$V$1,MATCH(MIN(D727:V727),D727:V727,0)))</f>
        <v/>
      </c>
      <c r="AB727" s="8" t="n">
        <v>535</v>
      </c>
      <c r="AC727" s="10" t="n">
        <v>1</v>
      </c>
    </row>
    <row r="728">
      <c r="A728" s="7" t="inlineStr">
        <is>
          <t>MAT-10-115</t>
        </is>
      </c>
      <c r="B728" s="4" t="inlineStr">
        <is>
          <t>Panel LED sobreponer cuadrado de 12 W</t>
        </is>
      </c>
      <c r="C728" s="7" t="inlineStr">
        <is>
          <t>unidad</t>
        </is>
      </c>
      <c r="D728" s="8" t="n"/>
      <c r="E728" s="8" t="n">
        <v>220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>
        <f>IF(COUNT(D728:V728)=0,"",MIN(D728:V728))</f>
        <v/>
      </c>
      <c r="X728" s="8">
        <f>IF(COUNT(D728:V728)=0,"",MEDIAN(D728:V728))</f>
        <v/>
      </c>
      <c r="Y728" s="8">
        <f>IF(COUNT(D728:V728)=0,"",MAX(D728:V728))</f>
        <v/>
      </c>
      <c r="Z728" s="9">
        <f>IF(OR(W728="",W728=0),"",(Y728-W728)/W728)</f>
        <v/>
      </c>
      <c r="AA728" s="7">
        <f>IF(COUNT(D728:V728)=0,"",INDEX($D$1:$V$1,MATCH(MIN(D728:V728),D728:V728,0)))</f>
        <v/>
      </c>
      <c r="AB728" s="8" t="n">
        <v>390</v>
      </c>
      <c r="AC728" s="10" t="n">
        <v>1</v>
      </c>
    </row>
    <row r="729">
      <c r="A729" s="7" t="inlineStr">
        <is>
          <t>MAT-10-116</t>
        </is>
      </c>
      <c r="B729" s="4" t="inlineStr">
        <is>
          <t>Panel LED sobreponer cuadrado de 18 W</t>
        </is>
      </c>
      <c r="C729" s="7" t="inlineStr">
        <is>
          <t>unidad</t>
        </is>
      </c>
      <c r="D729" s="8" t="n"/>
      <c r="E729" s="8" t="n">
        <v>305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>
        <f>IF(COUNT(D729:V729)=0,"",MIN(D729:V729))</f>
        <v/>
      </c>
      <c r="X729" s="8">
        <f>IF(COUNT(D729:V729)=0,"",MEDIAN(D729:V729))</f>
        <v/>
      </c>
      <c r="Y729" s="8">
        <f>IF(COUNT(D729:V729)=0,"",MAX(D729:V729))</f>
        <v/>
      </c>
      <c r="Z729" s="9">
        <f>IF(OR(W729="",W729=0),"",(Y729-W729)/W729)</f>
        <v/>
      </c>
      <c r="AA729" s="7">
        <f>IF(COUNT(D729:V729)=0,"",INDEX($D$1:$V$1,MATCH(MIN(D729:V729),D729:V729,0)))</f>
        <v/>
      </c>
      <c r="AB729" s="8" t="n">
        <v>390</v>
      </c>
      <c r="AC729" s="10" t="n">
        <v>1</v>
      </c>
    </row>
    <row r="730">
      <c r="A730" s="7" t="inlineStr">
        <is>
          <t>MAT-10-117</t>
        </is>
      </c>
      <c r="B730" s="4" t="inlineStr">
        <is>
          <t>Panel LED sobreponer cuadrado de 22 W</t>
        </is>
      </c>
      <c r="C730" s="7" t="inlineStr">
        <is>
          <t>unidad</t>
        </is>
      </c>
      <c r="D730" s="8" t="n"/>
      <c r="E730" s="8" t="n">
        <v>760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>
        <f>IF(COUNT(D730:V730)=0,"",MIN(D730:V730))</f>
        <v/>
      </c>
      <c r="X730" s="8">
        <f>IF(COUNT(D730:V730)=0,"",MEDIAN(D730:V730))</f>
        <v/>
      </c>
      <c r="Y730" s="8">
        <f>IF(COUNT(D730:V730)=0,"",MAX(D730:V730))</f>
        <v/>
      </c>
      <c r="Z730" s="9">
        <f>IF(OR(W730="",W730=0),"",(Y730-W730)/W730)</f>
        <v/>
      </c>
      <c r="AA730" s="7">
        <f>IF(COUNT(D730:V730)=0,"",INDEX($D$1:$V$1,MATCH(MIN(D730:V730),D730:V730,0)))</f>
        <v/>
      </c>
      <c r="AB730" s="8" t="n">
        <v>760</v>
      </c>
      <c r="AC730" s="10" t="n">
        <v>1</v>
      </c>
    </row>
    <row r="731">
      <c r="A731" s="7" t="inlineStr">
        <is>
          <t>MAT-10-118</t>
        </is>
      </c>
      <c r="B731" s="4" t="inlineStr">
        <is>
          <t>Panel LED sobreponer cuadrado de 24 W</t>
        </is>
      </c>
      <c r="C731" s="7" t="inlineStr">
        <is>
          <t>unidad</t>
        </is>
      </c>
      <c r="D731" s="8" t="n"/>
      <c r="E731" s="8" t="n">
        <v>695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>
        <f>IF(COUNT(D731:V731)=0,"",MIN(D731:V731))</f>
        <v/>
      </c>
      <c r="X731" s="8">
        <f>IF(COUNT(D731:V731)=0,"",MEDIAN(D731:V731))</f>
        <v/>
      </c>
      <c r="Y731" s="8">
        <f>IF(COUNT(D731:V731)=0,"",MAX(D731:V731))</f>
        <v/>
      </c>
      <c r="Z731" s="9">
        <f>IF(OR(W731="",W731=0),"",(Y731-W731)/W731)</f>
        <v/>
      </c>
      <c r="AA731" s="7">
        <f>IF(COUNT(D731:V731)=0,"",INDEX($D$1:$V$1,MATCH(MIN(D731:V731),D731:V731,0)))</f>
        <v/>
      </c>
      <c r="AB731" s="8" t="n">
        <v>695</v>
      </c>
      <c r="AC731" s="10" t="n">
        <v>1</v>
      </c>
    </row>
    <row r="732">
      <c r="A732" s="7" t="inlineStr">
        <is>
          <t>MAT-10-119</t>
        </is>
      </c>
      <c r="B732" s="4" t="inlineStr">
        <is>
          <t>Panel LED sobreponer cuadrado de 36 W</t>
        </is>
      </c>
      <c r="C732" s="7" t="inlineStr">
        <is>
          <t>unidad</t>
        </is>
      </c>
      <c r="D732" s="8" t="n"/>
      <c r="E732" s="8" t="n">
        <v>1242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>
        <f>IF(COUNT(D732:V732)=0,"",MIN(D732:V732))</f>
        <v/>
      </c>
      <c r="X732" s="8">
        <f>IF(COUNT(D732:V732)=0,"",MEDIAN(D732:V732))</f>
        <v/>
      </c>
      <c r="Y732" s="8">
        <f>IF(COUNT(D732:V732)=0,"",MAX(D732:V732))</f>
        <v/>
      </c>
      <c r="Z732" s="9">
        <f>IF(OR(W732="",W732=0),"",(Y732-W732)/W732)</f>
        <v/>
      </c>
      <c r="AA732" s="7">
        <f>IF(COUNT(D732:V732)=0,"",INDEX($D$1:$V$1,MATCH(MIN(D732:V732),D732:V732,0)))</f>
        <v/>
      </c>
      <c r="AB732" s="8" t="n">
        <v>1242</v>
      </c>
      <c r="AC732" s="10" t="n">
        <v>1</v>
      </c>
    </row>
    <row r="733">
      <c r="A733" s="7" t="inlineStr">
        <is>
          <t>MAT-10-120</t>
        </is>
      </c>
      <c r="B733" s="4" t="inlineStr">
        <is>
          <t>Panel LED sobreponer cuadrado de 6 W</t>
        </is>
      </c>
      <c r="C733" s="7" t="inlineStr">
        <is>
          <t>unidad</t>
        </is>
      </c>
      <c r="D733" s="8" t="n"/>
      <c r="E733" s="8" t="n">
        <v>375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>
        <f>IF(COUNT(D733:V733)=0,"",MIN(D733:V733))</f>
        <v/>
      </c>
      <c r="X733" s="8">
        <f>IF(COUNT(D733:V733)=0,"",MEDIAN(D733:V733))</f>
        <v/>
      </c>
      <c r="Y733" s="8">
        <f>IF(COUNT(D733:V733)=0,"",MAX(D733:V733))</f>
        <v/>
      </c>
      <c r="Z733" s="9">
        <f>IF(OR(W733="",W733=0),"",(Y733-W733)/W733)</f>
        <v/>
      </c>
      <c r="AA733" s="7">
        <f>IF(COUNT(D733:V733)=0,"",INDEX($D$1:$V$1,MATCH(MIN(D733:V733),D733:V733,0)))</f>
        <v/>
      </c>
      <c r="AB733" s="8" t="n">
        <v>375</v>
      </c>
      <c r="AC733" s="10" t="n">
        <v>1</v>
      </c>
    </row>
    <row r="734">
      <c r="A734" s="7" t="inlineStr">
        <is>
          <t>MAT-10-121</t>
        </is>
      </c>
      <c r="B734" s="4" t="inlineStr">
        <is>
          <t>Panel LED sobreponer redondo de 10.5 W</t>
        </is>
      </c>
      <c r="C734" s="7" t="inlineStr">
        <is>
          <t>unidad</t>
        </is>
      </c>
      <c r="D734" s="8" t="n"/>
      <c r="E734" s="8" t="n">
        <v>1910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>
        <f>IF(COUNT(D734:V734)=0,"",MIN(D734:V734))</f>
        <v/>
      </c>
      <c r="X734" s="8">
        <f>IF(COUNT(D734:V734)=0,"",MEDIAN(D734:V734))</f>
        <v/>
      </c>
      <c r="Y734" s="8">
        <f>IF(COUNT(D734:V734)=0,"",MAX(D734:V734))</f>
        <v/>
      </c>
      <c r="Z734" s="9">
        <f>IF(OR(W734="",W734=0),"",(Y734-W734)/W734)</f>
        <v/>
      </c>
      <c r="AA734" s="7">
        <f>IF(COUNT(D734:V734)=0,"",INDEX($D$1:$V$1,MATCH(MIN(D734:V734),D734:V734,0)))</f>
        <v/>
      </c>
      <c r="AB734" s="8" t="n">
        <v>2048.5</v>
      </c>
      <c r="AC734" s="10" t="n">
        <v>1</v>
      </c>
    </row>
    <row r="735">
      <c r="A735" s="7" t="inlineStr">
        <is>
          <t>MAT-10-122</t>
        </is>
      </c>
      <c r="B735" s="4" t="inlineStr">
        <is>
          <t>Panel LED sobreponer redondo de 11.5 W</t>
        </is>
      </c>
      <c r="C735" s="7" t="inlineStr">
        <is>
          <t>unidad</t>
        </is>
      </c>
      <c r="D735" s="8" t="n"/>
      <c r="E735" s="8" t="n">
        <v>525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>
        <f>IF(COUNT(D735:V735)=0,"",MIN(D735:V735))</f>
        <v/>
      </c>
      <c r="X735" s="8">
        <f>IF(COUNT(D735:V735)=0,"",MEDIAN(D735:V735))</f>
        <v/>
      </c>
      <c r="Y735" s="8">
        <f>IF(COUNT(D735:V735)=0,"",MAX(D735:V735))</f>
        <v/>
      </c>
      <c r="Z735" s="9">
        <f>IF(OR(W735="",W735=0),"",(Y735-W735)/W735)</f>
        <v/>
      </c>
      <c r="AA735" s="7">
        <f>IF(COUNT(D735:V735)=0,"",INDEX($D$1:$V$1,MATCH(MIN(D735:V735),D735:V735,0)))</f>
        <v/>
      </c>
      <c r="AB735" s="8" t="n">
        <v>525</v>
      </c>
      <c r="AC735" s="10" t="n">
        <v>1</v>
      </c>
    </row>
    <row r="736">
      <c r="A736" s="7" t="inlineStr">
        <is>
          <t>MAT-10-123</t>
        </is>
      </c>
      <c r="B736" s="4" t="inlineStr">
        <is>
          <t>Panel LED sobreponer redondo de 12 W</t>
        </is>
      </c>
      <c r="C736" s="7" t="inlineStr">
        <is>
          <t>unidad</t>
        </is>
      </c>
      <c r="D736" s="8" t="n"/>
      <c r="E736" s="8" t="n">
        <v>175</v>
      </c>
      <c r="F736" s="8" t="n"/>
      <c r="G736" s="8" t="n"/>
      <c r="H736" s="8" t="n"/>
      <c r="I736" s="8" t="n">
        <v>269</v>
      </c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>
        <f>IF(COUNT(D736:V736)=0,"",MIN(D736:V736))</f>
        <v/>
      </c>
      <c r="X736" s="8">
        <f>IF(COUNT(D736:V736)=0,"",MEDIAN(D736:V736))</f>
        <v/>
      </c>
      <c r="Y736" s="8">
        <f>IF(COUNT(D736:V736)=0,"",MAX(D736:V736))</f>
        <v/>
      </c>
      <c r="Z736" s="9">
        <f>IF(OR(W736="",W736=0),"",(Y736-W736)/W736)</f>
        <v/>
      </c>
      <c r="AA736" s="7">
        <f>IF(COUNT(D736:V736)=0,"",INDEX($D$1:$V$1,MATCH(MIN(D736:V736),D736:V736,0)))</f>
        <v/>
      </c>
      <c r="AB736" s="8" t="n">
        <v>343</v>
      </c>
      <c r="AC736" s="10" t="n">
        <v>2</v>
      </c>
    </row>
    <row r="737">
      <c r="A737" s="7" t="inlineStr">
        <is>
          <t>MAT-10-124</t>
        </is>
      </c>
      <c r="B737" s="4" t="inlineStr">
        <is>
          <t>Panel LED sobreponer redondo de 18 W</t>
        </is>
      </c>
      <c r="C737" s="7" t="inlineStr">
        <is>
          <t>unidad</t>
        </is>
      </c>
      <c r="D737" s="8" t="n"/>
      <c r="E737" s="8" t="n">
        <v>235</v>
      </c>
      <c r="F737" s="8" t="n"/>
      <c r="G737" s="8" t="n"/>
      <c r="H737" s="8" t="n"/>
      <c r="I737" s="8" t="n">
        <v>345</v>
      </c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>
        <f>IF(COUNT(D737:V737)=0,"",MIN(D737:V737))</f>
        <v/>
      </c>
      <c r="X737" s="8">
        <f>IF(COUNT(D737:V737)=0,"",MEDIAN(D737:V737))</f>
        <v/>
      </c>
      <c r="Y737" s="8">
        <f>IF(COUNT(D737:V737)=0,"",MAX(D737:V737))</f>
        <v/>
      </c>
      <c r="Z737" s="9">
        <f>IF(OR(W737="",W737=0),"",(Y737-W737)/W737)</f>
        <v/>
      </c>
      <c r="AA737" s="7">
        <f>IF(COUNT(D737:V737)=0,"",INDEX($D$1:$V$1,MATCH(MIN(D737:V737),D737:V737,0)))</f>
        <v/>
      </c>
      <c r="AB737" s="8" t="n">
        <v>464</v>
      </c>
      <c r="AC737" s="10" t="n">
        <v>2</v>
      </c>
    </row>
    <row r="738">
      <c r="A738" s="7" t="inlineStr">
        <is>
          <t>MAT-10-125</t>
        </is>
      </c>
      <c r="B738" s="4" t="inlineStr">
        <is>
          <t>Panel LED sobreponer redondo de 22 W</t>
        </is>
      </c>
      <c r="C738" s="7" t="inlineStr">
        <is>
          <t>unidad</t>
        </is>
      </c>
      <c r="D738" s="8" t="n"/>
      <c r="E738" s="8" t="n">
        <v>735</v>
      </c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>
        <f>IF(COUNT(D738:V738)=0,"",MIN(D738:V738))</f>
        <v/>
      </c>
      <c r="X738" s="8">
        <f>IF(COUNT(D738:V738)=0,"",MEDIAN(D738:V738))</f>
        <v/>
      </c>
      <c r="Y738" s="8">
        <f>IF(COUNT(D738:V738)=0,"",MAX(D738:V738))</f>
        <v/>
      </c>
      <c r="Z738" s="9">
        <f>IF(OR(W738="",W738=0),"",(Y738-W738)/W738)</f>
        <v/>
      </c>
      <c r="AA738" s="7">
        <f>IF(COUNT(D738:V738)=0,"",INDEX($D$1:$V$1,MATCH(MIN(D738:V738),D738:V738,0)))</f>
        <v/>
      </c>
      <c r="AB738" s="8" t="n">
        <v>780</v>
      </c>
      <c r="AC738" s="10" t="n">
        <v>1</v>
      </c>
    </row>
    <row r="739">
      <c r="A739" s="7" t="inlineStr">
        <is>
          <t>MAT-10-126</t>
        </is>
      </c>
      <c r="B739" s="4" t="inlineStr">
        <is>
          <t>Panel LED sobreponer redondo de 24 W</t>
        </is>
      </c>
      <c r="C739" s="7" t="inlineStr">
        <is>
          <t>unidad</t>
        </is>
      </c>
      <c r="D739" s="8" t="n"/>
      <c r="E739" s="8" t="n">
        <v>390</v>
      </c>
      <c r="F739" s="8" t="n"/>
      <c r="G739" s="8" t="n"/>
      <c r="H739" s="8" t="n"/>
      <c r="I739" s="8" t="n">
        <v>519</v>
      </c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>
        <f>IF(COUNT(D739:V739)=0,"",MIN(D739:V739))</f>
        <v/>
      </c>
      <c r="X739" s="8">
        <f>IF(COUNT(D739:V739)=0,"",MEDIAN(D739:V739))</f>
        <v/>
      </c>
      <c r="Y739" s="8">
        <f>IF(COUNT(D739:V739)=0,"",MAX(D739:V739))</f>
        <v/>
      </c>
      <c r="Z739" s="9">
        <f>IF(OR(W739="",W739=0),"",(Y739-W739)/W739)</f>
        <v/>
      </c>
      <c r="AA739" s="7">
        <f>IF(COUNT(D739:V739)=0,"",INDEX($D$1:$V$1,MATCH(MIN(D739:V739),D739:V739,0)))</f>
        <v/>
      </c>
      <c r="AB739" s="8" t="n">
        <v>519</v>
      </c>
      <c r="AC739" s="10" t="n">
        <v>2</v>
      </c>
    </row>
    <row r="740">
      <c r="A740" s="7" t="inlineStr">
        <is>
          <t>MAT-10-127</t>
        </is>
      </c>
      <c r="B740" s="4" t="inlineStr">
        <is>
          <t>Panel LED sobreponer redondo de 25 W</t>
        </is>
      </c>
      <c r="C740" s="7" t="inlineStr">
        <is>
          <t>unidad</t>
        </is>
      </c>
      <c r="D740" s="8" t="n"/>
      <c r="E740" s="8" t="n">
        <v>595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>
        <f>IF(COUNT(D740:V740)=0,"",MIN(D740:V740))</f>
        <v/>
      </c>
      <c r="X740" s="8">
        <f>IF(COUNT(D740:V740)=0,"",MEDIAN(D740:V740))</f>
        <v/>
      </c>
      <c r="Y740" s="8">
        <f>IF(COUNT(D740:V740)=0,"",MAX(D740:V740))</f>
        <v/>
      </c>
      <c r="Z740" s="9">
        <f>IF(OR(W740="",W740=0),"",(Y740-W740)/W740)</f>
        <v/>
      </c>
      <c r="AA740" s="7">
        <f>IF(COUNT(D740:V740)=0,"",INDEX($D$1:$V$1,MATCH(MIN(D740:V740),D740:V740,0)))</f>
        <v/>
      </c>
      <c r="AB740" s="8" t="n">
        <v>595</v>
      </c>
      <c r="AC740" s="10" t="n">
        <v>1</v>
      </c>
    </row>
    <row r="741">
      <c r="A741" s="7" t="inlineStr">
        <is>
          <t>MAT-10-128</t>
        </is>
      </c>
      <c r="B741" s="4" t="inlineStr">
        <is>
          <t>Panel LED sobreponer redondo de 36 W</t>
        </is>
      </c>
      <c r="C741" s="7" t="inlineStr">
        <is>
          <t>unidad</t>
        </is>
      </c>
      <c r="D741" s="8" t="n"/>
      <c r="E741" s="8" t="n">
        <v>1290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>
        <f>IF(COUNT(D741:V741)=0,"",MIN(D741:V741))</f>
        <v/>
      </c>
      <c r="X741" s="8">
        <f>IF(COUNT(D741:V741)=0,"",MEDIAN(D741:V741))</f>
        <v/>
      </c>
      <c r="Y741" s="8">
        <f>IF(COUNT(D741:V741)=0,"",MAX(D741:V741))</f>
        <v/>
      </c>
      <c r="Z741" s="9">
        <f>IF(OR(W741="",W741=0),"",(Y741-W741)/W741)</f>
        <v/>
      </c>
      <c r="AA741" s="7">
        <f>IF(COUNT(D741:V741)=0,"",INDEX($D$1:$V$1,MATCH(MIN(D741:V741),D741:V741,0)))</f>
        <v/>
      </c>
      <c r="AB741" s="8" t="n">
        <v>1290</v>
      </c>
      <c r="AC741" s="10" t="n">
        <v>1</v>
      </c>
    </row>
    <row r="742">
      <c r="A742" s="7" t="inlineStr">
        <is>
          <t>MAT-10-129</t>
        </is>
      </c>
      <c r="B742" s="4" t="inlineStr">
        <is>
          <t>Panel LED sobreponer redondo de 6 W</t>
        </is>
      </c>
      <c r="C742" s="7" t="inlineStr">
        <is>
          <t>unidad</t>
        </is>
      </c>
      <c r="D742" s="8" t="n"/>
      <c r="E742" s="8" t="n">
        <v>276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>
        <f>IF(COUNT(D742:V742)=0,"",MIN(D742:V742))</f>
        <v/>
      </c>
      <c r="X742" s="8">
        <f>IF(COUNT(D742:V742)=0,"",MEDIAN(D742:V742))</f>
        <v/>
      </c>
      <c r="Y742" s="8">
        <f>IF(COUNT(D742:V742)=0,"",MAX(D742:V742))</f>
        <v/>
      </c>
      <c r="Z742" s="9">
        <f>IF(OR(W742="",W742=0),"",(Y742-W742)/W742)</f>
        <v/>
      </c>
      <c r="AA742" s="7">
        <f>IF(COUNT(D742:V742)=0,"",INDEX($D$1:$V$1,MATCH(MIN(D742:V742),D742:V742,0)))</f>
        <v/>
      </c>
      <c r="AB742" s="8" t="n">
        <v>327</v>
      </c>
      <c r="AC742" s="10" t="n">
        <v>1</v>
      </c>
    </row>
    <row r="743">
      <c r="A743" s="7" t="inlineStr">
        <is>
          <t>MAT-10-130</t>
        </is>
      </c>
      <c r="B743" s="4" t="inlineStr">
        <is>
          <t>Panel LED sobreponer redondo de 7.8 W</t>
        </is>
      </c>
      <c r="C743" s="7" t="inlineStr">
        <is>
          <t>unidad</t>
        </is>
      </c>
      <c r="D743" s="8" t="n"/>
      <c r="E743" s="8" t="n">
        <v>395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>
        <f>IF(COUNT(D743:V743)=0,"",MIN(D743:V743))</f>
        <v/>
      </c>
      <c r="X743" s="8">
        <f>IF(COUNT(D743:V743)=0,"",MEDIAN(D743:V743))</f>
        <v/>
      </c>
      <c r="Y743" s="8">
        <f>IF(COUNT(D743:V743)=0,"",MAX(D743:V743))</f>
        <v/>
      </c>
      <c r="Z743" s="9">
        <f>IF(OR(W743="",W743=0),"",(Y743-W743)/W743)</f>
        <v/>
      </c>
      <c r="AA743" s="7">
        <f>IF(COUNT(D743:V743)=0,"",INDEX($D$1:$V$1,MATCH(MIN(D743:V743),D743:V743,0)))</f>
        <v/>
      </c>
      <c r="AB743" s="8" t="n">
        <v>395</v>
      </c>
      <c r="AC743" s="10" t="n">
        <v>1</v>
      </c>
    </row>
    <row r="744">
      <c r="A744" s="7" t="inlineStr">
        <is>
          <t>MAT-10-131</t>
        </is>
      </c>
      <c r="B744" s="4" t="inlineStr">
        <is>
          <t>Luminaria empotrada dirigible cuadrada</t>
        </is>
      </c>
      <c r="C744" s="7" t="inlineStr">
        <is>
          <t>unidad</t>
        </is>
      </c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>
        <v>190</v>
      </c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>
        <f>IF(COUNT(D744:V744)=0,"",MIN(D744:V744))</f>
        <v/>
      </c>
      <c r="X744" s="8">
        <f>IF(COUNT(D744:V744)=0,"",MEDIAN(D744:V744))</f>
        <v/>
      </c>
      <c r="Y744" s="8">
        <f>IF(COUNT(D744:V744)=0,"",MAX(D744:V744))</f>
        <v/>
      </c>
      <c r="Z744" s="9">
        <f>IF(OR(W744="",W744=0),"",(Y744-W744)/W744)</f>
        <v/>
      </c>
      <c r="AA744" s="7">
        <f>IF(COUNT(D744:V744)=0,"",INDEX($D$1:$V$1,MATCH(MIN(D744:V744),D744:V744,0)))</f>
        <v/>
      </c>
      <c r="AB744" s="8" t="n">
        <v>190</v>
      </c>
      <c r="AC744" s="10" t="n">
        <v>1</v>
      </c>
    </row>
    <row r="745">
      <c r="A745" s="7" t="inlineStr">
        <is>
          <t>MAT-10-132</t>
        </is>
      </c>
      <c r="B745" s="4" t="inlineStr">
        <is>
          <t>Luminaria empotrada dirigible redonda</t>
        </is>
      </c>
      <c r="C745" s="7" t="inlineStr">
        <is>
          <t>unidad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>
        <v>190</v>
      </c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>
        <f>IF(COUNT(D745:V745)=0,"",MIN(D745:V745))</f>
        <v/>
      </c>
      <c r="X745" s="8">
        <f>IF(COUNT(D745:V745)=0,"",MEDIAN(D745:V745))</f>
        <v/>
      </c>
      <c r="Y745" s="8">
        <f>IF(COUNT(D745:V745)=0,"",MAX(D745:V745))</f>
        <v/>
      </c>
      <c r="Z745" s="9">
        <f>IF(OR(W745="",W745=0),"",(Y745-W745)/W745)</f>
        <v/>
      </c>
      <c r="AA745" s="7">
        <f>IF(COUNT(D745:V745)=0,"",INDEX($D$1:$V$1,MATCH(MIN(D745:V745),D745:V745,0)))</f>
        <v/>
      </c>
      <c r="AB745" s="8" t="n">
        <v>252.5</v>
      </c>
      <c r="AC745" s="10" t="n">
        <v>1</v>
      </c>
    </row>
    <row r="746">
      <c r="A746" s="7" t="inlineStr">
        <is>
          <t>MAT-10-133</t>
        </is>
      </c>
      <c r="B746" s="4" t="inlineStr">
        <is>
          <t>Lámpara de emergencia recargable</t>
        </is>
      </c>
      <c r="C746" s="7" t="inlineStr">
        <is>
          <t>unidad</t>
        </is>
      </c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>
        <v>1015</v>
      </c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>
        <f>IF(COUNT(D746:V746)=0,"",MIN(D746:V746))</f>
        <v/>
      </c>
      <c r="X746" s="8">
        <f>IF(COUNT(D746:V746)=0,"",MEDIAN(D746:V746))</f>
        <v/>
      </c>
      <c r="Y746" s="8">
        <f>IF(COUNT(D746:V746)=0,"",MAX(D746:V746))</f>
        <v/>
      </c>
      <c r="Z746" s="9">
        <f>IF(OR(W746="",W746=0),"",(Y746-W746)/W746)</f>
        <v/>
      </c>
      <c r="AA746" s="7">
        <f>IF(COUNT(D746:V746)=0,"",INDEX($D$1:$V$1,MATCH(MIN(D746:V746),D746:V746,0)))</f>
        <v/>
      </c>
      <c r="AB746" s="8" t="n">
        <v>1015</v>
      </c>
      <c r="AC746" s="10" t="n">
        <v>1</v>
      </c>
    </row>
    <row r="747">
      <c r="A747" s="7" t="inlineStr">
        <is>
          <t>MAT-10-134</t>
        </is>
      </c>
      <c r="B747" s="4" t="inlineStr">
        <is>
          <t>Reflector LED de 10 W</t>
        </is>
      </c>
      <c r="C747" s="7" t="inlineStr">
        <is>
          <t>unidad</t>
        </is>
      </c>
      <c r="D747" s="8" t="n"/>
      <c r="E747" s="8" t="n">
        <v>487</v>
      </c>
      <c r="F747" s="8" t="n"/>
      <c r="G747" s="8" t="n"/>
      <c r="H747" s="8" t="n"/>
      <c r="I747" s="8" t="n">
        <v>397.34</v>
      </c>
      <c r="J747" s="8" t="n">
        <v>400</v>
      </c>
      <c r="K747" s="8" t="n"/>
      <c r="L747" s="8" t="n">
        <v>475</v>
      </c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>
        <f>IF(COUNT(D747:V747)=0,"",MIN(D747:V747))</f>
        <v/>
      </c>
      <c r="X747" s="8">
        <f>IF(COUNT(D747:V747)=0,"",MEDIAN(D747:V747))</f>
        <v/>
      </c>
      <c r="Y747" s="8">
        <f>IF(COUNT(D747:V747)=0,"",MAX(D747:V747))</f>
        <v/>
      </c>
      <c r="Z747" s="9">
        <f>IF(OR(W747="",W747=0),"",(Y747-W747)/W747)</f>
        <v/>
      </c>
      <c r="AA747" s="7">
        <f>IF(COUNT(D747:V747)=0,"",INDEX($D$1:$V$1,MATCH(MIN(D747:V747),D747:V747,0)))</f>
        <v/>
      </c>
      <c r="AB747" s="8" t="n">
        <v>632</v>
      </c>
      <c r="AC747" s="10" t="n">
        <v>4</v>
      </c>
    </row>
    <row r="748">
      <c r="A748" s="7" t="inlineStr">
        <is>
          <t>MAT-10-135</t>
        </is>
      </c>
      <c r="B748" s="4" t="inlineStr">
        <is>
          <t>Reflector LED de 100 W</t>
        </is>
      </c>
      <c r="C748" s="7" t="inlineStr">
        <is>
          <t>unidad</t>
        </is>
      </c>
      <c r="D748" s="8" t="n"/>
      <c r="E748" s="8" t="n">
        <v>1502</v>
      </c>
      <c r="F748" s="8" t="n"/>
      <c r="G748" s="8" t="n"/>
      <c r="H748" s="8" t="n"/>
      <c r="I748" s="8" t="n"/>
      <c r="J748" s="8" t="n">
        <v>1500</v>
      </c>
      <c r="K748" s="8" t="n"/>
      <c r="L748" s="8" t="n">
        <v>1940</v>
      </c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>
        <f>IF(COUNT(D748:V748)=0,"",MIN(D748:V748))</f>
        <v/>
      </c>
      <c r="X748" s="8">
        <f>IF(COUNT(D748:V748)=0,"",MEDIAN(D748:V748))</f>
        <v/>
      </c>
      <c r="Y748" s="8">
        <f>IF(COUNT(D748:V748)=0,"",MAX(D748:V748))</f>
        <v/>
      </c>
      <c r="Z748" s="9">
        <f>IF(OR(W748="",W748=0),"",(Y748-W748)/W748)</f>
        <v/>
      </c>
      <c r="AA748" s="7">
        <f>IF(COUNT(D748:V748)=0,"",INDEX($D$1:$V$1,MATCH(MIN(D748:V748),D748:V748,0)))</f>
        <v/>
      </c>
      <c r="AB748" s="8" t="n">
        <v>1990</v>
      </c>
      <c r="AC748" s="10" t="n">
        <v>3</v>
      </c>
    </row>
    <row r="749">
      <c r="A749" s="7" t="inlineStr">
        <is>
          <t>MAT-10-136</t>
        </is>
      </c>
      <c r="B749" s="4" t="inlineStr">
        <is>
          <t>Reflector LED de 14 W</t>
        </is>
      </c>
      <c r="C749" s="7" t="inlineStr">
        <is>
          <t>unidad</t>
        </is>
      </c>
      <c r="D749" s="8" t="n"/>
      <c r="E749" s="8" t="n">
        <v>815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>
        <f>IF(COUNT(D749:V749)=0,"",MIN(D749:V749))</f>
        <v/>
      </c>
      <c r="X749" s="8">
        <f>IF(COUNT(D749:V749)=0,"",MEDIAN(D749:V749))</f>
        <v/>
      </c>
      <c r="Y749" s="8">
        <f>IF(COUNT(D749:V749)=0,"",MAX(D749:V749))</f>
        <v/>
      </c>
      <c r="Z749" s="9">
        <f>IF(OR(W749="",W749=0),"",(Y749-W749)/W749)</f>
        <v/>
      </c>
      <c r="AA749" s="7">
        <f>IF(COUNT(D749:V749)=0,"",INDEX($D$1:$V$1,MATCH(MIN(D749:V749),D749:V749,0)))</f>
        <v/>
      </c>
      <c r="AB749" s="8" t="n">
        <v>815</v>
      </c>
      <c r="AC749" s="10" t="n">
        <v>1</v>
      </c>
    </row>
    <row r="750">
      <c r="A750" s="7" t="inlineStr">
        <is>
          <t>MAT-10-137</t>
        </is>
      </c>
      <c r="B750" s="4" t="inlineStr">
        <is>
          <t>Reflector LED de 150 W</t>
        </is>
      </c>
      <c r="C750" s="7" t="inlineStr">
        <is>
          <t>unidad</t>
        </is>
      </c>
      <c r="D750" s="8" t="n"/>
      <c r="E750" s="8" t="n">
        <v>1818</v>
      </c>
      <c r="F750" s="8" t="n"/>
      <c r="G750" s="8" t="n"/>
      <c r="H750" s="8" t="n"/>
      <c r="I750" s="8" t="n"/>
      <c r="J750" s="8" t="n">
        <v>2950</v>
      </c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>
        <f>IF(COUNT(D750:V750)=0,"",MIN(D750:V750))</f>
        <v/>
      </c>
      <c r="X750" s="8">
        <f>IF(COUNT(D750:V750)=0,"",MEDIAN(D750:V750))</f>
        <v/>
      </c>
      <c r="Y750" s="8">
        <f>IF(COUNT(D750:V750)=0,"",MAX(D750:V750))</f>
        <v/>
      </c>
      <c r="Z750" s="9">
        <f>IF(OR(W750="",W750=0),"",(Y750-W750)/W750)</f>
        <v/>
      </c>
      <c r="AA750" s="7">
        <f>IF(COUNT(D750:V750)=0,"",INDEX($D$1:$V$1,MATCH(MIN(D750:V750),D750:V750,0)))</f>
        <v/>
      </c>
      <c r="AB750" s="8" t="n">
        <v>3990</v>
      </c>
      <c r="AC750" s="10" t="n">
        <v>2</v>
      </c>
    </row>
    <row r="751">
      <c r="A751" s="7" t="inlineStr">
        <is>
          <t>MAT-10-138</t>
        </is>
      </c>
      <c r="B751" s="4" t="inlineStr">
        <is>
          <t>Reflector LED de 16 W</t>
        </is>
      </c>
      <c r="C751" s="7" t="inlineStr">
        <is>
          <t>unidad</t>
        </is>
      </c>
      <c r="D751" s="8" t="n"/>
      <c r="E751" s="8" t="n">
        <v>2207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>
        <f>IF(COUNT(D751:V751)=0,"",MIN(D751:V751))</f>
        <v/>
      </c>
      <c r="X751" s="8">
        <f>IF(COUNT(D751:V751)=0,"",MEDIAN(D751:V751))</f>
        <v/>
      </c>
      <c r="Y751" s="8">
        <f>IF(COUNT(D751:V751)=0,"",MAX(D751:V751))</f>
        <v/>
      </c>
      <c r="Z751" s="9">
        <f>IF(OR(W751="",W751=0),"",(Y751-W751)/W751)</f>
        <v/>
      </c>
      <c r="AA751" s="7">
        <f>IF(COUNT(D751:V751)=0,"",INDEX($D$1:$V$1,MATCH(MIN(D751:V751),D751:V751,0)))</f>
        <v/>
      </c>
      <c r="AB751" s="8" t="n">
        <v>2207</v>
      </c>
      <c r="AC751" s="10" t="n">
        <v>1</v>
      </c>
    </row>
    <row r="752">
      <c r="A752" s="7" t="inlineStr">
        <is>
          <t>MAT-10-139</t>
        </is>
      </c>
      <c r="B752" s="4" t="inlineStr">
        <is>
          <t>Reflector LED de 18 W</t>
        </is>
      </c>
      <c r="C752" s="7" t="inlineStr">
        <is>
          <t>unidad</t>
        </is>
      </c>
      <c r="D752" s="8" t="n"/>
      <c r="E752" s="8" t="n">
        <v>1062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>
        <f>IF(COUNT(D752:V752)=0,"",MIN(D752:V752))</f>
        <v/>
      </c>
      <c r="X752" s="8">
        <f>IF(COUNT(D752:V752)=0,"",MEDIAN(D752:V752))</f>
        <v/>
      </c>
      <c r="Y752" s="8">
        <f>IF(COUNT(D752:V752)=0,"",MAX(D752:V752))</f>
        <v/>
      </c>
      <c r="Z752" s="9">
        <f>IF(OR(W752="",W752=0),"",(Y752-W752)/W752)</f>
        <v/>
      </c>
      <c r="AA752" s="7">
        <f>IF(COUNT(D752:V752)=0,"",INDEX($D$1:$V$1,MATCH(MIN(D752:V752),D752:V752,0)))</f>
        <v/>
      </c>
      <c r="AB752" s="8" t="n">
        <v>1062</v>
      </c>
      <c r="AC752" s="10" t="n">
        <v>1</v>
      </c>
    </row>
    <row r="753">
      <c r="A753" s="7" t="inlineStr">
        <is>
          <t>MAT-10-140</t>
        </is>
      </c>
      <c r="B753" s="4" t="inlineStr">
        <is>
          <t>Reflector LED de 20 W</t>
        </is>
      </c>
      <c r="C753" s="7" t="inlineStr">
        <is>
          <t>unidad</t>
        </is>
      </c>
      <c r="D753" s="8" t="n"/>
      <c r="E753" s="8" t="n">
        <v>899</v>
      </c>
      <c r="F753" s="8" t="n"/>
      <c r="G753" s="8" t="n"/>
      <c r="H753" s="8" t="n"/>
      <c r="I753" s="8" t="n">
        <v>462.51</v>
      </c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>
        <f>IF(COUNT(D753:V753)=0,"",MIN(D753:V753))</f>
        <v/>
      </c>
      <c r="X753" s="8">
        <f>IF(COUNT(D753:V753)=0,"",MEDIAN(D753:V753))</f>
        <v/>
      </c>
      <c r="Y753" s="8">
        <f>IF(COUNT(D753:V753)=0,"",MAX(D753:V753))</f>
        <v/>
      </c>
      <c r="Z753" s="9">
        <f>IF(OR(W753="",W753=0),"",(Y753-W753)/W753)</f>
        <v/>
      </c>
      <c r="AA753" s="7">
        <f>IF(COUNT(D753:V753)=0,"",INDEX($D$1:$V$1,MATCH(MIN(D753:V753),D753:V753,0)))</f>
        <v/>
      </c>
      <c r="AB753" s="8" t="n">
        <v>1066.5</v>
      </c>
      <c r="AC753" s="10" t="n">
        <v>2</v>
      </c>
    </row>
    <row r="754">
      <c r="A754" s="7" t="inlineStr">
        <is>
          <t>MAT-10-141</t>
        </is>
      </c>
      <c r="B754" s="4" t="inlineStr">
        <is>
          <t>Reflector LED de 200 W</t>
        </is>
      </c>
      <c r="C754" s="7" t="inlineStr">
        <is>
          <t>unidad</t>
        </is>
      </c>
      <c r="D754" s="8" t="n"/>
      <c r="E754" s="8" t="n">
        <v>5295</v>
      </c>
      <c r="F754" s="8" t="n"/>
      <c r="G754" s="8" t="n"/>
      <c r="H754" s="8" t="n"/>
      <c r="I754" s="8" t="n"/>
      <c r="J754" s="8" t="n">
        <v>3200</v>
      </c>
      <c r="K754" s="8" t="n"/>
      <c r="L754" s="8" t="n">
        <v>2335</v>
      </c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>
        <f>IF(COUNT(D754:V754)=0,"",MIN(D754:V754))</f>
        <v/>
      </c>
      <c r="X754" s="8">
        <f>IF(COUNT(D754:V754)=0,"",MEDIAN(D754:V754))</f>
        <v/>
      </c>
      <c r="Y754" s="8">
        <f>IF(COUNT(D754:V754)=0,"",MAX(D754:V754))</f>
        <v/>
      </c>
      <c r="Z754" s="9">
        <f>IF(OR(W754="",W754=0),"",(Y754-W754)/W754)</f>
        <v/>
      </c>
      <c r="AA754" s="7">
        <f>IF(COUNT(D754:V754)=0,"",INDEX($D$1:$V$1,MATCH(MIN(D754:V754),D754:V754,0)))</f>
        <v/>
      </c>
      <c r="AB754" s="8" t="n">
        <v>6750</v>
      </c>
      <c r="AC754" s="10" t="n">
        <v>3</v>
      </c>
    </row>
    <row r="755">
      <c r="A755" s="7" t="inlineStr">
        <is>
          <t>MAT-10-142</t>
        </is>
      </c>
      <c r="B755" s="4" t="inlineStr">
        <is>
          <t>Reflector LED de 23 W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>
        <v>455</v>
      </c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>
        <f>IF(COUNT(D755:V755)=0,"",MIN(D755:V755))</f>
        <v/>
      </c>
      <c r="X755" s="8">
        <f>IF(COUNT(D755:V755)=0,"",MEDIAN(D755:V755))</f>
        <v/>
      </c>
      <c r="Y755" s="8">
        <f>IF(COUNT(D755:V755)=0,"",MAX(D755:V755))</f>
        <v/>
      </c>
      <c r="Z755" s="9">
        <f>IF(OR(W755="",W755=0),"",(Y755-W755)/W755)</f>
        <v/>
      </c>
      <c r="AA755" s="7">
        <f>IF(COUNT(D755:V755)=0,"",INDEX($D$1:$V$1,MATCH(MIN(D755:V755),D755:V755,0)))</f>
        <v/>
      </c>
      <c r="AB755" s="8" t="n">
        <v>455</v>
      </c>
      <c r="AC755" s="10" t="n">
        <v>1</v>
      </c>
    </row>
    <row r="756">
      <c r="A756" s="7" t="inlineStr">
        <is>
          <t>MAT-10-143</t>
        </is>
      </c>
      <c r="B756" s="4" t="inlineStr">
        <is>
          <t>Reflector LED de 250 W</t>
        </is>
      </c>
      <c r="C756" s="7" t="inlineStr">
        <is>
          <t>unidad</t>
        </is>
      </c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>
        <v>280</v>
      </c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>
        <f>IF(COUNT(D756:V756)=0,"",MIN(D756:V756))</f>
        <v/>
      </c>
      <c r="X756" s="8">
        <f>IF(COUNT(D756:V756)=0,"",MEDIAN(D756:V756))</f>
        <v/>
      </c>
      <c r="Y756" s="8">
        <f>IF(COUNT(D756:V756)=0,"",MAX(D756:V756))</f>
        <v/>
      </c>
      <c r="Z756" s="9">
        <f>IF(OR(W756="",W756=0),"",(Y756-W756)/W756)</f>
        <v/>
      </c>
      <c r="AA756" s="7">
        <f>IF(COUNT(D756:V756)=0,"",INDEX($D$1:$V$1,MATCH(MIN(D756:V756),D756:V756,0)))</f>
        <v/>
      </c>
      <c r="AB756" s="8" t="n">
        <v>580</v>
      </c>
      <c r="AC756" s="10" t="n">
        <v>1</v>
      </c>
    </row>
    <row r="757">
      <c r="A757" s="7" t="inlineStr">
        <is>
          <t>MAT-10-144</t>
        </is>
      </c>
      <c r="B757" s="4" t="inlineStr">
        <is>
          <t>Reflector LED de 30 W</t>
        </is>
      </c>
      <c r="C757" s="7" t="inlineStr">
        <is>
          <t>unidad</t>
        </is>
      </c>
      <c r="D757" s="8" t="n"/>
      <c r="E757" s="8" t="n">
        <v>475</v>
      </c>
      <c r="F757" s="8" t="n"/>
      <c r="G757" s="8" t="n"/>
      <c r="H757" s="8" t="n"/>
      <c r="I757" s="8" t="n"/>
      <c r="J757" s="8" t="n">
        <v>650</v>
      </c>
      <c r="K757" s="8" t="n"/>
      <c r="L757" s="8" t="n">
        <v>620</v>
      </c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>
        <f>IF(COUNT(D757:V757)=0,"",MIN(D757:V757))</f>
        <v/>
      </c>
      <c r="X757" s="8">
        <f>IF(COUNT(D757:V757)=0,"",MEDIAN(D757:V757))</f>
        <v/>
      </c>
      <c r="Y757" s="8">
        <f>IF(COUNT(D757:V757)=0,"",MAX(D757:V757))</f>
        <v/>
      </c>
      <c r="Z757" s="9">
        <f>IF(OR(W757="",W757=0),"",(Y757-W757)/W757)</f>
        <v/>
      </c>
      <c r="AA757" s="7">
        <f>IF(COUNT(D757:V757)=0,"",INDEX($D$1:$V$1,MATCH(MIN(D757:V757),D757:V757,0)))</f>
        <v/>
      </c>
      <c r="AB757" s="8" t="n">
        <v>1145</v>
      </c>
      <c r="AC757" s="10" t="n">
        <v>3</v>
      </c>
    </row>
    <row r="758">
      <c r="A758" s="7" t="inlineStr">
        <is>
          <t>MAT-10-145</t>
        </is>
      </c>
      <c r="B758" s="4" t="inlineStr">
        <is>
          <t>Reflector LED de 300 W</t>
        </is>
      </c>
      <c r="C758" s="7" t="inlineStr">
        <is>
          <t>unidad</t>
        </is>
      </c>
      <c r="D758" s="8" t="n"/>
      <c r="E758" s="8" t="n"/>
      <c r="F758" s="8" t="n"/>
      <c r="G758" s="8" t="n"/>
      <c r="H758" s="8" t="n"/>
      <c r="I758" s="8" t="n"/>
      <c r="J758" s="8" t="n">
        <v>5100</v>
      </c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>
        <f>IF(COUNT(D758:V758)=0,"",MIN(D758:V758))</f>
        <v/>
      </c>
      <c r="X758" s="8">
        <f>IF(COUNT(D758:V758)=0,"",MEDIAN(D758:V758))</f>
        <v/>
      </c>
      <c r="Y758" s="8">
        <f>IF(COUNT(D758:V758)=0,"",MAX(D758:V758))</f>
        <v/>
      </c>
      <c r="Z758" s="9">
        <f>IF(OR(W758="",W758=0),"",(Y758-W758)/W758)</f>
        <v/>
      </c>
      <c r="AA758" s="7">
        <f>IF(COUNT(D758:V758)=0,"",INDEX($D$1:$V$1,MATCH(MIN(D758:V758),D758:V758,0)))</f>
        <v/>
      </c>
      <c r="AB758" s="8" t="n">
        <v>7800</v>
      </c>
      <c r="AC758" s="10" t="n">
        <v>1</v>
      </c>
    </row>
    <row r="759">
      <c r="A759" s="7" t="inlineStr">
        <is>
          <t>MAT-10-146</t>
        </is>
      </c>
      <c r="B759" s="4" t="inlineStr">
        <is>
          <t>Reflector LED de 4 W</t>
        </is>
      </c>
      <c r="C759" s="7" t="inlineStr">
        <is>
          <t>unidad</t>
        </is>
      </c>
      <c r="D759" s="8" t="n"/>
      <c r="E759" s="8" t="n">
        <v>88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>
        <f>IF(COUNT(D759:V759)=0,"",MIN(D759:V759))</f>
        <v/>
      </c>
      <c r="X759" s="8">
        <f>IF(COUNT(D759:V759)=0,"",MEDIAN(D759:V759))</f>
        <v/>
      </c>
      <c r="Y759" s="8">
        <f>IF(COUNT(D759:V759)=0,"",MAX(D759:V759))</f>
        <v/>
      </c>
      <c r="Z759" s="9">
        <f>IF(OR(W759="",W759=0),"",(Y759-W759)/W759)</f>
        <v/>
      </c>
      <c r="AA759" s="7">
        <f>IF(COUNT(D759:V759)=0,"",INDEX($D$1:$V$1,MATCH(MIN(D759:V759),D759:V759,0)))</f>
        <v/>
      </c>
      <c r="AB759" s="8" t="n">
        <v>221.5</v>
      </c>
      <c r="AC759" s="10" t="n">
        <v>1</v>
      </c>
    </row>
    <row r="760">
      <c r="A760" s="7" t="inlineStr">
        <is>
          <t>MAT-10-147</t>
        </is>
      </c>
      <c r="B760" s="4" t="inlineStr">
        <is>
          <t>Reflector LED de 400 W</t>
        </is>
      </c>
      <c r="C760" s="7" t="inlineStr">
        <is>
          <t>unidad</t>
        </is>
      </c>
      <c r="D760" s="8" t="n"/>
      <c r="E760" s="8" t="n">
        <v>7058</v>
      </c>
      <c r="F760" s="8" t="n"/>
      <c r="G760" s="8" t="n"/>
      <c r="H760" s="8" t="n"/>
      <c r="I760" s="8" t="n"/>
      <c r="J760" s="8" t="n">
        <v>5900</v>
      </c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>
        <f>IF(COUNT(D760:V760)=0,"",MIN(D760:V760))</f>
        <v/>
      </c>
      <c r="X760" s="8">
        <f>IF(COUNT(D760:V760)=0,"",MEDIAN(D760:V760))</f>
        <v/>
      </c>
      <c r="Y760" s="8">
        <f>IF(COUNT(D760:V760)=0,"",MAX(D760:V760))</f>
        <v/>
      </c>
      <c r="Z760" s="9">
        <f>IF(OR(W760="",W760=0),"",(Y760-W760)/W760)</f>
        <v/>
      </c>
      <c r="AA760" s="7">
        <f>IF(COUNT(D760:V760)=0,"",INDEX($D$1:$V$1,MATCH(MIN(D760:V760),D760:V760,0)))</f>
        <v/>
      </c>
      <c r="AB760" s="8" t="n">
        <v>7058</v>
      </c>
      <c r="AC760" s="10" t="n">
        <v>2</v>
      </c>
    </row>
    <row r="761">
      <c r="A761" s="7" t="inlineStr">
        <is>
          <t>MAT-10-148</t>
        </is>
      </c>
      <c r="B761" s="4" t="inlineStr">
        <is>
          <t>Reflector LED de 5 W</t>
        </is>
      </c>
      <c r="C761" s="7" t="inlineStr">
        <is>
          <t>unidad</t>
        </is>
      </c>
      <c r="D761" s="8" t="n"/>
      <c r="E761" s="8" t="n">
        <v>93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>
        <f>IF(COUNT(D761:V761)=0,"",MIN(D761:V761))</f>
        <v/>
      </c>
      <c r="X761" s="8">
        <f>IF(COUNT(D761:V761)=0,"",MEDIAN(D761:V761))</f>
        <v/>
      </c>
      <c r="Y761" s="8">
        <f>IF(COUNT(D761:V761)=0,"",MAX(D761:V761))</f>
        <v/>
      </c>
      <c r="Z761" s="9">
        <f>IF(OR(W761="",W761=0),"",(Y761-W761)/W761)</f>
        <v/>
      </c>
      <c r="AA761" s="7">
        <f>IF(COUNT(D761:V761)=0,"",INDEX($D$1:$V$1,MATCH(MIN(D761:V761),D761:V761,0)))</f>
        <v/>
      </c>
      <c r="AB761" s="8" t="n">
        <v>95</v>
      </c>
      <c r="AC761" s="10" t="n">
        <v>1</v>
      </c>
    </row>
    <row r="762">
      <c r="A762" s="7" t="inlineStr">
        <is>
          <t>MAT-10-149</t>
        </is>
      </c>
      <c r="B762" s="4" t="inlineStr">
        <is>
          <t>Reflector LED de 50 W</t>
        </is>
      </c>
      <c r="C762" s="7" t="inlineStr">
        <is>
          <t>unidad</t>
        </is>
      </c>
      <c r="D762" s="8" t="n"/>
      <c r="E762" s="8" t="n">
        <v>645.63</v>
      </c>
      <c r="F762" s="8" t="n"/>
      <c r="G762" s="8" t="n"/>
      <c r="H762" s="8" t="n"/>
      <c r="I762" s="8" t="n"/>
      <c r="J762" s="8" t="n">
        <v>915</v>
      </c>
      <c r="K762" s="8" t="n"/>
      <c r="L762" s="8" t="n">
        <v>970</v>
      </c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>
        <f>IF(COUNT(D762:V762)=0,"",MIN(D762:V762))</f>
        <v/>
      </c>
      <c r="X762" s="8">
        <f>IF(COUNT(D762:V762)=0,"",MEDIAN(D762:V762))</f>
        <v/>
      </c>
      <c r="Y762" s="8">
        <f>IF(COUNT(D762:V762)=0,"",MAX(D762:V762))</f>
        <v/>
      </c>
      <c r="Z762" s="9">
        <f>IF(OR(W762="",W762=0),"",(Y762-W762)/W762)</f>
        <v/>
      </c>
      <c r="AA762" s="7">
        <f>IF(COUNT(D762:V762)=0,"",INDEX($D$1:$V$1,MATCH(MIN(D762:V762),D762:V762,0)))</f>
        <v/>
      </c>
      <c r="AB762" s="8" t="n">
        <v>1136</v>
      </c>
      <c r="AC762" s="10" t="n">
        <v>3</v>
      </c>
    </row>
    <row r="763">
      <c r="A763" s="7" t="inlineStr">
        <is>
          <t>MAT-10-150</t>
        </is>
      </c>
      <c r="B763" s="4" t="inlineStr">
        <is>
          <t>Reflector LED de 500 W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>
        <v>18000</v>
      </c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>
        <f>IF(COUNT(D763:V763)=0,"",MIN(D763:V763))</f>
        <v/>
      </c>
      <c r="X763" s="8">
        <f>IF(COUNT(D763:V763)=0,"",MEDIAN(D763:V763))</f>
        <v/>
      </c>
      <c r="Y763" s="8">
        <f>IF(COUNT(D763:V763)=0,"",MAX(D763:V763))</f>
        <v/>
      </c>
      <c r="Z763" s="9">
        <f>IF(OR(W763="",W763=0),"",(Y763-W763)/W763)</f>
        <v/>
      </c>
      <c r="AA763" s="7">
        <f>IF(COUNT(D763:V763)=0,"",INDEX($D$1:$V$1,MATCH(MIN(D763:V763),D763:V763,0)))</f>
        <v/>
      </c>
      <c r="AB763" s="8" t="n">
        <v>18000</v>
      </c>
      <c r="AC763" s="10" t="n">
        <v>1</v>
      </c>
    </row>
    <row r="764">
      <c r="A764" s="7" t="inlineStr">
        <is>
          <t>MAT-10-151</t>
        </is>
      </c>
      <c r="B764" s="4" t="inlineStr">
        <is>
          <t>Reflector LED de 55 W</t>
        </is>
      </c>
      <c r="C764" s="7" t="inlineStr">
        <is>
          <t>unidad</t>
        </is>
      </c>
      <c r="D764" s="8" t="n"/>
      <c r="E764" s="8" t="n">
        <v>12101</v>
      </c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>
        <f>IF(COUNT(D764:V764)=0,"",MIN(D764:V764))</f>
        <v/>
      </c>
      <c r="X764" s="8">
        <f>IF(COUNT(D764:V764)=0,"",MEDIAN(D764:V764))</f>
        <v/>
      </c>
      <c r="Y764" s="8">
        <f>IF(COUNT(D764:V764)=0,"",MAX(D764:V764))</f>
        <v/>
      </c>
      <c r="Z764" s="9">
        <f>IF(OR(W764="",W764=0),"",(Y764-W764)/W764)</f>
        <v/>
      </c>
      <c r="AA764" s="7">
        <f>IF(COUNT(D764:V764)=0,"",INDEX($D$1:$V$1,MATCH(MIN(D764:V764),D764:V764,0)))</f>
        <v/>
      </c>
      <c r="AB764" s="8" t="n">
        <v>12101</v>
      </c>
      <c r="AC764" s="10" t="n">
        <v>1</v>
      </c>
    </row>
    <row r="765">
      <c r="A765" s="7" t="inlineStr">
        <is>
          <t>MAT-10-152</t>
        </is>
      </c>
      <c r="B765" s="4" t="inlineStr">
        <is>
          <t>Reflector LED de 6.5 W</t>
        </is>
      </c>
      <c r="C765" s="7" t="inlineStr">
        <is>
          <t>unidad</t>
        </is>
      </c>
      <c r="D765" s="8" t="n"/>
      <c r="E765" s="8" t="n">
        <v>472</v>
      </c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>
        <f>IF(COUNT(D765:V765)=0,"",MIN(D765:V765))</f>
        <v/>
      </c>
      <c r="X765" s="8">
        <f>IF(COUNT(D765:V765)=0,"",MEDIAN(D765:V765))</f>
        <v/>
      </c>
      <c r="Y765" s="8">
        <f>IF(COUNT(D765:V765)=0,"",MAX(D765:V765))</f>
        <v/>
      </c>
      <c r="Z765" s="9">
        <f>IF(OR(W765="",W765=0),"",(Y765-W765)/W765)</f>
        <v/>
      </c>
      <c r="AA765" s="7">
        <f>IF(COUNT(D765:V765)=0,"",INDEX($D$1:$V$1,MATCH(MIN(D765:V765),D765:V765,0)))</f>
        <v/>
      </c>
      <c r="AB765" s="8" t="n">
        <v>472</v>
      </c>
      <c r="AC765" s="10" t="n">
        <v>1</v>
      </c>
    </row>
    <row r="766">
      <c r="A766" s="7" t="inlineStr">
        <is>
          <t>MAT-10-153</t>
        </is>
      </c>
      <c r="B766" s="4" t="inlineStr">
        <is>
          <t>Reflector LED de 8 W</t>
        </is>
      </c>
      <c r="C766" s="7" t="inlineStr">
        <is>
          <t>unidad</t>
        </is>
      </c>
      <c r="D766" s="8" t="n"/>
      <c r="E766" s="8" t="n">
        <v>120</v>
      </c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>
        <f>IF(COUNT(D766:V766)=0,"",MIN(D766:V766))</f>
        <v/>
      </c>
      <c r="X766" s="8">
        <f>IF(COUNT(D766:V766)=0,"",MEDIAN(D766:V766))</f>
        <v/>
      </c>
      <c r="Y766" s="8">
        <f>IF(COUNT(D766:V766)=0,"",MAX(D766:V766))</f>
        <v/>
      </c>
      <c r="Z766" s="9">
        <f>IF(OR(W766="",W766=0),"",(Y766-W766)/W766)</f>
        <v/>
      </c>
      <c r="AA766" s="7">
        <f>IF(COUNT(D766:V766)=0,"",INDEX($D$1:$V$1,MATCH(MIN(D766:V766),D766:V766,0)))</f>
        <v/>
      </c>
      <c r="AB766" s="8" t="n">
        <v>280</v>
      </c>
      <c r="AC766" s="10" t="n">
        <v>1</v>
      </c>
    </row>
    <row r="767">
      <c r="A767" s="7" t="inlineStr">
        <is>
          <t>MAT-10-154</t>
        </is>
      </c>
      <c r="B767" s="4" t="inlineStr">
        <is>
          <t>Reflector LED de 8.5 W</t>
        </is>
      </c>
      <c r="C767" s="7" t="inlineStr">
        <is>
          <t>unidad</t>
        </is>
      </c>
      <c r="D767" s="8" t="n"/>
      <c r="E767" s="8" t="n">
        <v>319</v>
      </c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>
        <f>IF(COUNT(D767:V767)=0,"",MIN(D767:V767))</f>
        <v/>
      </c>
      <c r="X767" s="8">
        <f>IF(COUNT(D767:V767)=0,"",MEDIAN(D767:V767))</f>
        <v/>
      </c>
      <c r="Y767" s="8">
        <f>IF(COUNT(D767:V767)=0,"",MAX(D767:V767))</f>
        <v/>
      </c>
      <c r="Z767" s="9">
        <f>IF(OR(W767="",W767=0),"",(Y767-W767)/W767)</f>
        <v/>
      </c>
      <c r="AA767" s="7">
        <f>IF(COUNT(D767:V767)=0,"",INDEX($D$1:$V$1,MATCH(MIN(D767:V767),D767:V767,0)))</f>
        <v/>
      </c>
      <c r="AB767" s="8" t="n">
        <v>319</v>
      </c>
      <c r="AC767" s="10" t="n">
        <v>1</v>
      </c>
    </row>
    <row r="768">
      <c r="A768" s="7" t="inlineStr">
        <is>
          <t>MAT-10-156</t>
        </is>
      </c>
      <c r="B768" s="4" t="inlineStr">
        <is>
          <t>Tubo LED de 11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>
        <v>699</v>
      </c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>
        <f>IF(COUNT(D768:V768)=0,"",MIN(D768:V768))</f>
        <v/>
      </c>
      <c r="X768" s="8">
        <f>IF(COUNT(D768:V768)=0,"",MEDIAN(D768:V768))</f>
        <v/>
      </c>
      <c r="Y768" s="8">
        <f>IF(COUNT(D768:V768)=0,"",MAX(D768:V768))</f>
        <v/>
      </c>
      <c r="Z768" s="9">
        <f>IF(OR(W768="",W768=0),"",(Y768-W768)/W768)</f>
        <v/>
      </c>
      <c r="AA768" s="7">
        <f>IF(COUNT(D768:V768)=0,"",INDEX($D$1:$V$1,MATCH(MIN(D768:V768),D768:V768,0)))</f>
        <v/>
      </c>
      <c r="AB768" s="8" t="n">
        <v>699</v>
      </c>
      <c r="AC768" s="10" t="n">
        <v>1</v>
      </c>
    </row>
    <row r="769">
      <c r="A769" s="7" t="inlineStr">
        <is>
          <t>MAT-10-157</t>
        </is>
      </c>
      <c r="B769" s="4" t="inlineStr">
        <is>
          <t>Tubo LED de 12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>
        <v>142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>
        <f>IF(COUNT(D769:V769)=0,"",MIN(D769:V769))</f>
        <v/>
      </c>
      <c r="X769" s="8">
        <f>IF(COUNT(D769:V769)=0,"",MEDIAN(D769:V769))</f>
        <v/>
      </c>
      <c r="Y769" s="8">
        <f>IF(COUNT(D769:V769)=0,"",MAX(D769:V769))</f>
        <v/>
      </c>
      <c r="Z769" s="9">
        <f>IF(OR(W769="",W769=0),"",(Y769-W769)/W769)</f>
        <v/>
      </c>
      <c r="AA769" s="7">
        <f>IF(COUNT(D769:V769)=0,"",INDEX($D$1:$V$1,MATCH(MIN(D769:V769),D769:V769,0)))</f>
        <v/>
      </c>
      <c r="AB769" s="8" t="n">
        <v>142</v>
      </c>
      <c r="AC769" s="10" t="n">
        <v>1</v>
      </c>
    </row>
    <row r="770">
      <c r="A770" s="7" t="inlineStr">
        <is>
          <t>MAT-10-158</t>
        </is>
      </c>
      <c r="B770" s="4" t="inlineStr">
        <is>
          <t>Tubo LED de 16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>
        <v>249.99</v>
      </c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>
        <f>IF(COUNT(D770:V770)=0,"",MIN(D770:V770))</f>
        <v/>
      </c>
      <c r="X770" s="8">
        <f>IF(COUNT(D770:V770)=0,"",MEDIAN(D770:V770))</f>
        <v/>
      </c>
      <c r="Y770" s="8">
        <f>IF(COUNT(D770:V770)=0,"",MAX(D770:V770))</f>
        <v/>
      </c>
      <c r="Z770" s="9">
        <f>IF(OR(W770="",W770=0),"",(Y770-W770)/W770)</f>
        <v/>
      </c>
      <c r="AA770" s="7">
        <f>IF(COUNT(D770:V770)=0,"",INDEX($D$1:$V$1,MATCH(MIN(D770:V770),D770:V770,0)))</f>
        <v/>
      </c>
      <c r="AB770" s="8" t="n">
        <v>249.99</v>
      </c>
      <c r="AC770" s="10" t="n">
        <v>1</v>
      </c>
    </row>
    <row r="771">
      <c r="A771" s="7" t="inlineStr">
        <is>
          <t>MAT-10-159</t>
        </is>
      </c>
      <c r="B771" s="4" t="inlineStr">
        <is>
          <t>Tubo LED de 18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/>
      <c r="J771" s="8" t="n">
        <v>170</v>
      </c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>
        <f>IF(COUNT(D771:V771)=0,"",MIN(D771:V771))</f>
        <v/>
      </c>
      <c r="X771" s="8">
        <f>IF(COUNT(D771:V771)=0,"",MEDIAN(D771:V771))</f>
        <v/>
      </c>
      <c r="Y771" s="8">
        <f>IF(COUNT(D771:V771)=0,"",MAX(D771:V771))</f>
        <v/>
      </c>
      <c r="Z771" s="9">
        <f>IF(OR(W771="",W771=0),"",(Y771-W771)/W771)</f>
        <v/>
      </c>
      <c r="AA771" s="7">
        <f>IF(COUNT(D771:V771)=0,"",INDEX($D$1:$V$1,MATCH(MIN(D771:V771),D771:V771,0)))</f>
        <v/>
      </c>
      <c r="AB771" s="8" t="n">
        <v>177</v>
      </c>
      <c r="AC771" s="10" t="n">
        <v>1</v>
      </c>
    </row>
    <row r="772">
      <c r="A772" s="7" t="inlineStr">
        <is>
          <t>MAT-10-160</t>
        </is>
      </c>
      <c r="B772" s="4" t="inlineStr">
        <is>
          <t>Tubo LED de 19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>
        <v>785</v>
      </c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>
        <f>IF(COUNT(D772:V772)=0,"",MIN(D772:V772))</f>
        <v/>
      </c>
      <c r="X772" s="8">
        <f>IF(COUNT(D772:V772)=0,"",MEDIAN(D772:V772))</f>
        <v/>
      </c>
      <c r="Y772" s="8">
        <f>IF(COUNT(D772:V772)=0,"",MAX(D772:V772))</f>
        <v/>
      </c>
      <c r="Z772" s="9">
        <f>IF(OR(W772="",W772=0),"",(Y772-W772)/W772)</f>
        <v/>
      </c>
      <c r="AA772" s="7">
        <f>IF(COUNT(D772:V772)=0,"",INDEX($D$1:$V$1,MATCH(MIN(D772:V772),D772:V772,0)))</f>
        <v/>
      </c>
      <c r="AB772" s="8" t="n">
        <v>785</v>
      </c>
      <c r="AC772" s="10" t="n">
        <v>1</v>
      </c>
    </row>
    <row r="773">
      <c r="A773" s="7" t="inlineStr">
        <is>
          <t>MAT-10-161</t>
        </is>
      </c>
      <c r="B773" s="4" t="inlineStr">
        <is>
          <t>Tubo LED de 20.5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264.99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>
        <f>IF(COUNT(D773:V773)=0,"",MIN(D773:V773))</f>
        <v/>
      </c>
      <c r="X773" s="8">
        <f>IF(COUNT(D773:V773)=0,"",MEDIAN(D773:V773))</f>
        <v/>
      </c>
      <c r="Y773" s="8">
        <f>IF(COUNT(D773:V773)=0,"",MAX(D773:V773))</f>
        <v/>
      </c>
      <c r="Z773" s="9">
        <f>IF(OR(W773="",W773=0),"",(Y773-W773)/W773)</f>
        <v/>
      </c>
      <c r="AA773" s="7">
        <f>IF(COUNT(D773:V773)=0,"",INDEX($D$1:$V$1,MATCH(MIN(D773:V773),D773:V773,0)))</f>
        <v/>
      </c>
      <c r="AB773" s="8" t="n">
        <v>264.99</v>
      </c>
      <c r="AC773" s="10" t="n">
        <v>1</v>
      </c>
    </row>
    <row r="774">
      <c r="A774" s="7" t="inlineStr">
        <is>
          <t>MAT-10-162</t>
        </is>
      </c>
      <c r="B774" s="4" t="inlineStr">
        <is>
          <t>Tubo LED de 22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>
        <v>404</v>
      </c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>
        <f>IF(COUNT(D774:V774)=0,"",MIN(D774:V774))</f>
        <v/>
      </c>
      <c r="X774" s="8">
        <f>IF(COUNT(D774:V774)=0,"",MEDIAN(D774:V774))</f>
        <v/>
      </c>
      <c r="Y774" s="8">
        <f>IF(COUNT(D774:V774)=0,"",MAX(D774:V774))</f>
        <v/>
      </c>
      <c r="Z774" s="9">
        <f>IF(OR(W774="",W774=0),"",(Y774-W774)/W774)</f>
        <v/>
      </c>
      <c r="AA774" s="7">
        <f>IF(COUNT(D774:V774)=0,"",INDEX($D$1:$V$1,MATCH(MIN(D774:V774),D774:V774,0)))</f>
        <v/>
      </c>
      <c r="AB774" s="8" t="n">
        <v>404</v>
      </c>
      <c r="AC774" s="10" t="n">
        <v>1</v>
      </c>
    </row>
    <row r="775">
      <c r="A775" s="7" t="inlineStr">
        <is>
          <t>MAT-10-163</t>
        </is>
      </c>
      <c r="B775" s="4" t="inlineStr">
        <is>
          <t>Tubo LED de 24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>
        <v>889</v>
      </c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>
        <f>IF(COUNT(D775:V775)=0,"",MIN(D775:V775))</f>
        <v/>
      </c>
      <c r="X775" s="8">
        <f>IF(COUNT(D775:V775)=0,"",MEDIAN(D775:V775))</f>
        <v/>
      </c>
      <c r="Y775" s="8">
        <f>IF(COUNT(D775:V775)=0,"",MAX(D775:V775))</f>
        <v/>
      </c>
      <c r="Z775" s="9">
        <f>IF(OR(W775="",W775=0),"",(Y775-W775)/W775)</f>
        <v/>
      </c>
      <c r="AA775" s="7">
        <f>IF(COUNT(D775:V775)=0,"",INDEX($D$1:$V$1,MATCH(MIN(D775:V775),D775:V775,0)))</f>
        <v/>
      </c>
      <c r="AB775" s="8" t="n">
        <v>889</v>
      </c>
      <c r="AC775" s="10" t="n">
        <v>1</v>
      </c>
    </row>
    <row r="776">
      <c r="A776" s="7" t="inlineStr">
        <is>
          <t>MAT-10-164</t>
        </is>
      </c>
      <c r="B776" s="4" t="inlineStr">
        <is>
          <t>Tubo LED de 30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>
        <v>3000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>
        <f>IF(COUNT(D776:V776)=0,"",MIN(D776:V776))</f>
        <v/>
      </c>
      <c r="X776" s="8">
        <f>IF(COUNT(D776:V776)=0,"",MEDIAN(D776:V776))</f>
        <v/>
      </c>
      <c r="Y776" s="8">
        <f>IF(COUNT(D776:V776)=0,"",MAX(D776:V776))</f>
        <v/>
      </c>
      <c r="Z776" s="9">
        <f>IF(OR(W776="",W776=0),"",(Y776-W776)/W776)</f>
        <v/>
      </c>
      <c r="AA776" s="7">
        <f>IF(COUNT(D776:V776)=0,"",INDEX($D$1:$V$1,MATCH(MIN(D776:V776),D776:V776,0)))</f>
        <v/>
      </c>
      <c r="AB776" s="8" t="n">
        <v>3000</v>
      </c>
      <c r="AC776" s="10" t="n">
        <v>1</v>
      </c>
    </row>
    <row r="777">
      <c r="A777" s="7" t="inlineStr">
        <is>
          <t>MAT-10-165</t>
        </is>
      </c>
      <c r="B777" s="4" t="inlineStr">
        <is>
          <t>Tubo LED de 36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>
        <v>875</v>
      </c>
      <c r="J777" s="8" t="n">
        <v>650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>
        <f>IF(COUNT(D777:V777)=0,"",MIN(D777:V777))</f>
        <v/>
      </c>
      <c r="X777" s="8">
        <f>IF(COUNT(D777:V777)=0,"",MEDIAN(D777:V777))</f>
        <v/>
      </c>
      <c r="Y777" s="8">
        <f>IF(COUNT(D777:V777)=0,"",MAX(D777:V777))</f>
        <v/>
      </c>
      <c r="Z777" s="9">
        <f>IF(OR(W777="",W777=0),"",(Y777-W777)/W777)</f>
        <v/>
      </c>
      <c r="AA777" s="7">
        <f>IF(COUNT(D777:V777)=0,"",INDEX($D$1:$V$1,MATCH(MIN(D777:V777),D777:V777,0)))</f>
        <v/>
      </c>
      <c r="AB777" s="8" t="n">
        <v>875</v>
      </c>
      <c r="AC777" s="10" t="n">
        <v>2</v>
      </c>
    </row>
    <row r="778">
      <c r="A778" s="7" t="inlineStr">
        <is>
          <t>MAT-10-166</t>
        </is>
      </c>
      <c r="B778" s="4" t="inlineStr">
        <is>
          <t>Tubo LED de 6 W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>
        <v>505</v>
      </c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>
        <f>IF(COUNT(D778:V778)=0,"",MIN(D778:V778))</f>
        <v/>
      </c>
      <c r="X778" s="8">
        <f>IF(COUNT(D778:V778)=0,"",MEDIAN(D778:V778))</f>
        <v/>
      </c>
      <c r="Y778" s="8">
        <f>IF(COUNT(D778:V778)=0,"",MAX(D778:V778))</f>
        <v/>
      </c>
      <c r="Z778" s="9">
        <f>IF(OR(W778="",W778=0),"",(Y778-W778)/W778)</f>
        <v/>
      </c>
      <c r="AA778" s="7">
        <f>IF(COUNT(D778:V778)=0,"",INDEX($D$1:$V$1,MATCH(MIN(D778:V778),D778:V778,0)))</f>
        <v/>
      </c>
      <c r="AB778" s="8" t="n">
        <v>505</v>
      </c>
      <c r="AC778" s="10" t="n">
        <v>1</v>
      </c>
    </row>
    <row r="779">
      <c r="A779" s="7" t="inlineStr">
        <is>
          <t>MAT-10-167</t>
        </is>
      </c>
      <c r="B779" s="4" t="inlineStr">
        <is>
          <t>Tubo LED de 9 W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>
        <v>145</v>
      </c>
      <c r="J779" s="8" t="n">
        <v>120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>
        <f>IF(COUNT(D779:V779)=0,"",MIN(D779:V779))</f>
        <v/>
      </c>
      <c r="X779" s="8">
        <f>IF(COUNT(D779:V779)=0,"",MEDIAN(D779:V779))</f>
        <v/>
      </c>
      <c r="Y779" s="8">
        <f>IF(COUNT(D779:V779)=0,"",MAX(D779:V779))</f>
        <v/>
      </c>
      <c r="Z779" s="9">
        <f>IF(OR(W779="",W779=0),"",(Y779-W779)/W779)</f>
        <v/>
      </c>
      <c r="AA779" s="7">
        <f>IF(COUNT(D779:V779)=0,"",INDEX($D$1:$V$1,MATCH(MIN(D779:V779),D779:V779,0)))</f>
        <v/>
      </c>
      <c r="AB779" s="8" t="n">
        <v>147.5</v>
      </c>
      <c r="AC779" s="10" t="n">
        <v>2</v>
      </c>
    </row>
    <row r="780">
      <c r="A780" s="7" t="inlineStr">
        <is>
          <t>MAT-10-168</t>
        </is>
      </c>
      <c r="B780" s="4" t="inlineStr">
        <is>
          <t>Tubo LED de 9.9 W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>
        <v>210</v>
      </c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>
        <f>IF(COUNT(D780:V780)=0,"",MIN(D780:V780))</f>
        <v/>
      </c>
      <c r="X780" s="8">
        <f>IF(COUNT(D780:V780)=0,"",MEDIAN(D780:V780))</f>
        <v/>
      </c>
      <c r="Y780" s="8">
        <f>IF(COUNT(D780:V780)=0,"",MAX(D780:V780))</f>
        <v/>
      </c>
      <c r="Z780" s="9">
        <f>IF(OR(W780="",W780=0),"",(Y780-W780)/W780)</f>
        <v/>
      </c>
      <c r="AA780" s="7">
        <f>IF(COUNT(D780:V780)=0,"",INDEX($D$1:$V$1,MATCH(MIN(D780:V780),D780:V780,0)))</f>
        <v/>
      </c>
      <c r="AB780" s="8" t="n">
        <v>210</v>
      </c>
      <c r="AC780" s="10" t="n">
        <v>1</v>
      </c>
    </row>
    <row r="781">
      <c r="A781" s="7" t="inlineStr">
        <is>
          <t>MAT-10-169</t>
        </is>
      </c>
      <c r="B781" s="4" t="inlineStr">
        <is>
          <t>Fotocelda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>
        <v>150</v>
      </c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>
        <f>IF(COUNT(D781:V781)=0,"",MIN(D781:V781))</f>
        <v/>
      </c>
      <c r="X781" s="8">
        <f>IF(COUNT(D781:V781)=0,"",MEDIAN(D781:V781))</f>
        <v/>
      </c>
      <c r="Y781" s="8">
        <f>IF(COUNT(D781:V781)=0,"",MAX(D781:V781))</f>
        <v/>
      </c>
      <c r="Z781" s="9">
        <f>IF(OR(W781="",W781=0),"",(Y781-W781)/W781)</f>
        <v/>
      </c>
      <c r="AA781" s="7">
        <f>IF(COUNT(D781:V781)=0,"",INDEX($D$1:$V$1,MATCH(MIN(D781:V781),D781:V781,0)))</f>
        <v/>
      </c>
      <c r="AB781" s="8" t="n">
        <v>235</v>
      </c>
      <c r="AC781" s="10" t="n">
        <v>1</v>
      </c>
    </row>
    <row r="782">
      <c r="A782" s="7" t="inlineStr">
        <is>
          <t>MAT-10-170</t>
        </is>
      </c>
      <c r="B782" s="4" t="inlineStr">
        <is>
          <t>Portalámparas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>
        <v>35</v>
      </c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>
        <f>IF(COUNT(D782:V782)=0,"",MIN(D782:V782))</f>
        <v/>
      </c>
      <c r="X782" s="8">
        <f>IF(COUNT(D782:V782)=0,"",MEDIAN(D782:V782))</f>
        <v/>
      </c>
      <c r="Y782" s="8">
        <f>IF(COUNT(D782:V782)=0,"",MAX(D782:V782))</f>
        <v/>
      </c>
      <c r="Z782" s="9">
        <f>IF(OR(W782="",W782=0),"",(Y782-W782)/W782)</f>
        <v/>
      </c>
      <c r="AA782" s="7">
        <f>IF(COUNT(D782:V782)=0,"",INDEX($D$1:$V$1,MATCH(MIN(D782:V782),D782:V782,0)))</f>
        <v/>
      </c>
      <c r="AB782" s="8" t="n">
        <v>52</v>
      </c>
      <c r="AC782" s="10" t="n">
        <v>1</v>
      </c>
    </row>
    <row r="783">
      <c r="A783" s="7" t="inlineStr">
        <is>
          <t>MAT-10-171</t>
        </is>
      </c>
      <c r="B783" s="4" t="inlineStr">
        <is>
          <t>Portalámparas</t>
        </is>
      </c>
      <c r="C783" s="7" t="inlineStr">
        <is>
          <t>unidad</t>
        </is>
      </c>
      <c r="D783" s="8" t="n"/>
      <c r="E783" s="8" t="n"/>
      <c r="F783" s="8" t="n"/>
      <c r="G783" s="8" t="n"/>
      <c r="H783" s="8" t="n"/>
      <c r="I783" s="8" t="n">
        <v>29</v>
      </c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>
        <f>IF(COUNT(D783:V783)=0,"",MIN(D783:V783))</f>
        <v/>
      </c>
      <c r="X783" s="8">
        <f>IF(COUNT(D783:V783)=0,"",MEDIAN(D783:V783))</f>
        <v/>
      </c>
      <c r="Y783" s="8">
        <f>IF(COUNT(D783:V783)=0,"",MAX(D783:V783))</f>
        <v/>
      </c>
      <c r="Z783" s="9">
        <f>IF(OR(W783="",W783=0),"",(Y783-W783)/W783)</f>
        <v/>
      </c>
      <c r="AA783" s="7">
        <f>IF(COUNT(D783:V783)=0,"",INDEX($D$1:$V$1,MATCH(MIN(D783:V783),D783:V783,0)))</f>
        <v/>
      </c>
      <c r="AB783" s="8" t="n">
        <v>45</v>
      </c>
      <c r="AC783" s="10" t="n">
        <v>1</v>
      </c>
    </row>
    <row r="784">
      <c r="A784" s="7" t="inlineStr">
        <is>
          <t>MAT-10-172</t>
        </is>
      </c>
      <c r="B784" s="4" t="inlineStr">
        <is>
          <t>Roseta de techo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>
        <v>115</v>
      </c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>
        <f>IF(COUNT(D784:V784)=0,"",MIN(D784:V784))</f>
        <v/>
      </c>
      <c r="X784" s="8">
        <f>IF(COUNT(D784:V784)=0,"",MEDIAN(D784:V784))</f>
        <v/>
      </c>
      <c r="Y784" s="8">
        <f>IF(COUNT(D784:V784)=0,"",MAX(D784:V784))</f>
        <v/>
      </c>
      <c r="Z784" s="9">
        <f>IF(OR(W784="",W784=0),"",(Y784-W784)/W784)</f>
        <v/>
      </c>
      <c r="AA784" s="7">
        <f>IF(COUNT(D784:V784)=0,"",INDEX($D$1:$V$1,MATCH(MIN(D784:V784),D784:V784,0)))</f>
        <v/>
      </c>
      <c r="AB784" s="8" t="n">
        <v>115</v>
      </c>
      <c r="AC784" s="10" t="n">
        <v>1</v>
      </c>
    </row>
    <row r="785">
      <c r="A785" s="7" t="inlineStr">
        <is>
          <t>MAT-10-174</t>
        </is>
      </c>
      <c r="B785" s="4" t="inlineStr">
        <is>
          <t>Ojo de buey fijo de 10 W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/>
      <c r="J785" s="8" t="n">
        <v>1000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>
        <f>IF(COUNT(D785:V785)=0,"",MIN(D785:V785))</f>
        <v/>
      </c>
      <c r="X785" s="8">
        <f>IF(COUNT(D785:V785)=0,"",MEDIAN(D785:V785))</f>
        <v/>
      </c>
      <c r="Y785" s="8">
        <f>IF(COUNT(D785:V785)=0,"",MAX(D785:V785))</f>
        <v/>
      </c>
      <c r="Z785" s="9">
        <f>IF(OR(W785="",W785=0),"",(Y785-W785)/W785)</f>
        <v/>
      </c>
      <c r="AA785" s="7">
        <f>IF(COUNT(D785:V785)=0,"",INDEX($D$1:$V$1,MATCH(MIN(D785:V785),D785:V785,0)))</f>
        <v/>
      </c>
      <c r="AB785" s="8" t="n">
        <v>1000</v>
      </c>
      <c r="AC785" s="10" t="n">
        <v>1</v>
      </c>
    </row>
    <row r="786">
      <c r="A786" s="7" t="inlineStr">
        <is>
          <t>MAT-10-175</t>
        </is>
      </c>
      <c r="B786" s="4" t="inlineStr">
        <is>
          <t>Ojo de buey fijo de 20 W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/>
      <c r="J786" s="8" t="n">
        <v>1800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>
        <f>IF(COUNT(D786:V786)=0,"",MIN(D786:V786))</f>
        <v/>
      </c>
      <c r="X786" s="8">
        <f>IF(COUNT(D786:V786)=0,"",MEDIAN(D786:V786))</f>
        <v/>
      </c>
      <c r="Y786" s="8">
        <f>IF(COUNT(D786:V786)=0,"",MAX(D786:V786))</f>
        <v/>
      </c>
      <c r="Z786" s="9">
        <f>IF(OR(W786="",W786=0),"",(Y786-W786)/W786)</f>
        <v/>
      </c>
      <c r="AA786" s="7">
        <f>IF(COUNT(D786:V786)=0,"",INDEX($D$1:$V$1,MATCH(MIN(D786:V786),D786:V786,0)))</f>
        <v/>
      </c>
      <c r="AB786" s="8" t="n">
        <v>1800</v>
      </c>
      <c r="AC786" s="10" t="n">
        <v>1</v>
      </c>
    </row>
    <row r="787">
      <c r="A787" s="7" t="inlineStr">
        <is>
          <t>MAT-10-176</t>
        </is>
      </c>
      <c r="B787" s="4" t="inlineStr">
        <is>
          <t>Cinta LED blanca, rollo de 100 m</t>
        </is>
      </c>
      <c r="C787" s="7" t="inlineStr">
        <is>
          <t>rollo</t>
        </is>
      </c>
      <c r="D787" s="8" t="n"/>
      <c r="E787" s="8" t="n"/>
      <c r="F787" s="8" t="n"/>
      <c r="G787" s="8" t="n"/>
      <c r="H787" s="8" t="n"/>
      <c r="I787" s="8" t="n"/>
      <c r="J787" s="8" t="n">
        <v>110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>
        <f>IF(COUNT(D787:V787)=0,"",MIN(D787:V787))</f>
        <v/>
      </c>
      <c r="X787" s="8">
        <f>IF(COUNT(D787:V787)=0,"",MEDIAN(D787:V787))</f>
        <v/>
      </c>
      <c r="Y787" s="8">
        <f>IF(COUNT(D787:V787)=0,"",MAX(D787:V787))</f>
        <v/>
      </c>
      <c r="Z787" s="9">
        <f>IF(OR(W787="",W787=0),"",(Y787-W787)/W787)</f>
        <v/>
      </c>
      <c r="AA787" s="7">
        <f>IF(COUNT(D787:V787)=0,"",INDEX($D$1:$V$1,MATCH(MIN(D787:V787),D787:V787,0)))</f>
        <v/>
      </c>
      <c r="AB787" s="8" t="n">
        <v>110</v>
      </c>
      <c r="AC787" s="10" t="n">
        <v>1</v>
      </c>
    </row>
    <row r="788">
      <c r="A788" s="7" t="inlineStr">
        <is>
          <t>MAT-10-177</t>
        </is>
      </c>
      <c r="B788" s="4" t="inlineStr">
        <is>
          <t>Cinta LED blanca, rollo de 5 m</t>
        </is>
      </c>
      <c r="C788" s="7" t="inlineStr">
        <is>
          <t>rollo</t>
        </is>
      </c>
      <c r="D788" s="8" t="n"/>
      <c r="E788" s="8" t="n"/>
      <c r="F788" s="8" t="n"/>
      <c r="G788" s="8" t="n"/>
      <c r="H788" s="8" t="n"/>
      <c r="I788" s="8" t="n"/>
      <c r="J788" s="8" t="n">
        <v>900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>
        <f>IF(COUNT(D788:V788)=0,"",MIN(D788:V788))</f>
        <v/>
      </c>
      <c r="X788" s="8">
        <f>IF(COUNT(D788:V788)=0,"",MEDIAN(D788:V788))</f>
        <v/>
      </c>
      <c r="Y788" s="8">
        <f>IF(COUNT(D788:V788)=0,"",MAX(D788:V788))</f>
        <v/>
      </c>
      <c r="Z788" s="9">
        <f>IF(OR(W788="",W788=0),"",(Y788-W788)/W788)</f>
        <v/>
      </c>
      <c r="AA788" s="7">
        <f>IF(COUNT(D788:V788)=0,"",INDEX($D$1:$V$1,MATCH(MIN(D788:V788),D788:V788,0)))</f>
        <v/>
      </c>
      <c r="AB788" s="8" t="n">
        <v>900</v>
      </c>
      <c r="AC788" s="10" t="n">
        <v>1</v>
      </c>
    </row>
    <row r="789">
      <c r="A789" s="7" t="inlineStr">
        <is>
          <t>MAT-10-178</t>
        </is>
      </c>
      <c r="B789" s="4" t="inlineStr">
        <is>
          <t>Cinta LED neón, rollo de 100 m</t>
        </is>
      </c>
      <c r="C789" s="7" t="inlineStr">
        <is>
          <t>rollo</t>
        </is>
      </c>
      <c r="D789" s="8" t="n"/>
      <c r="E789" s="8" t="n"/>
      <c r="F789" s="8" t="n"/>
      <c r="G789" s="8" t="n"/>
      <c r="H789" s="8" t="n"/>
      <c r="I789" s="8" t="n"/>
      <c r="J789" s="8" t="n">
        <v>110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>
        <f>IF(COUNT(D789:V789)=0,"",MIN(D789:V789))</f>
        <v/>
      </c>
      <c r="X789" s="8">
        <f>IF(COUNT(D789:V789)=0,"",MEDIAN(D789:V789))</f>
        <v/>
      </c>
      <c r="Y789" s="8">
        <f>IF(COUNT(D789:V789)=0,"",MAX(D789:V789))</f>
        <v/>
      </c>
      <c r="Z789" s="9">
        <f>IF(OR(W789="",W789=0),"",(Y789-W789)/W789)</f>
        <v/>
      </c>
      <c r="AA789" s="7">
        <f>IF(COUNT(D789:V789)=0,"",INDEX($D$1:$V$1,MATCH(MIN(D789:V789),D789:V789,0)))</f>
        <v/>
      </c>
      <c r="AB789" s="8" t="n">
        <v>142.5</v>
      </c>
      <c r="AC789" s="10" t="n">
        <v>1</v>
      </c>
    </row>
    <row r="790">
      <c r="A790" s="7" t="inlineStr">
        <is>
          <t>MAT-10-179</t>
        </is>
      </c>
      <c r="B790" s="4" t="inlineStr">
        <is>
          <t>Cinta LED neón, rollo de 5 m</t>
        </is>
      </c>
      <c r="C790" s="7" t="inlineStr">
        <is>
          <t>rollo</t>
        </is>
      </c>
      <c r="D790" s="8" t="n"/>
      <c r="E790" s="8" t="n"/>
      <c r="F790" s="8" t="n"/>
      <c r="G790" s="8" t="n"/>
      <c r="H790" s="8" t="n"/>
      <c r="I790" s="8" t="n"/>
      <c r="J790" s="8" t="n">
        <v>1151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>
        <f>IF(COUNT(D790:V790)=0,"",MIN(D790:V790))</f>
        <v/>
      </c>
      <c r="X790" s="8">
        <f>IF(COUNT(D790:V790)=0,"",MEDIAN(D790:V790))</f>
        <v/>
      </c>
      <c r="Y790" s="8">
        <f>IF(COUNT(D790:V790)=0,"",MAX(D790:V790))</f>
        <v/>
      </c>
      <c r="Z790" s="9">
        <f>IF(OR(W790="",W790=0),"",(Y790-W790)/W790)</f>
        <v/>
      </c>
      <c r="AA790" s="7">
        <f>IF(COUNT(D790:V790)=0,"",INDEX($D$1:$V$1,MATCH(MIN(D790:V790),D790:V790,0)))</f>
        <v/>
      </c>
      <c r="AB790" s="8" t="n">
        <v>1175.5</v>
      </c>
      <c r="AC790" s="10" t="n">
        <v>1</v>
      </c>
    </row>
    <row r="791">
      <c r="A791" s="7" t="inlineStr">
        <is>
          <t>MAT-10-180</t>
        </is>
      </c>
      <c r="B791" s="4" t="inlineStr">
        <is>
          <t>Perfil de aluminio para cinta LED, esquinero, 2.5 m</t>
        </is>
      </c>
      <c r="C791" s="7" t="inlineStr">
        <is>
          <t>tramo</t>
        </is>
      </c>
      <c r="D791" s="8" t="n"/>
      <c r="E791" s="8" t="n"/>
      <c r="F791" s="8" t="n"/>
      <c r="G791" s="8" t="n"/>
      <c r="H791" s="8" t="n"/>
      <c r="I791" s="8" t="n"/>
      <c r="J791" s="8" t="n">
        <v>1500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>
        <f>IF(COUNT(D791:V791)=0,"",MIN(D791:V791))</f>
        <v/>
      </c>
      <c r="X791" s="8">
        <f>IF(COUNT(D791:V791)=0,"",MEDIAN(D791:V791))</f>
        <v/>
      </c>
      <c r="Y791" s="8">
        <f>IF(COUNT(D791:V791)=0,"",MAX(D791:V791))</f>
        <v/>
      </c>
      <c r="Z791" s="9">
        <f>IF(OR(W791="",W791=0),"",(Y791-W791)/W791)</f>
        <v/>
      </c>
      <c r="AA791" s="7">
        <f>IF(COUNT(D791:V791)=0,"",INDEX($D$1:$V$1,MATCH(MIN(D791:V791),D791:V791,0)))</f>
        <v/>
      </c>
      <c r="AB791" s="8" t="n">
        <v>1500</v>
      </c>
      <c r="AC791" s="10" t="n">
        <v>1</v>
      </c>
    </row>
    <row r="792">
      <c r="A792" s="7" t="inlineStr">
        <is>
          <t>MAT-10-182</t>
        </is>
      </c>
      <c r="B792" s="4" t="inlineStr">
        <is>
          <t>Fuente de poder para LED de 100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1000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>
        <f>IF(COUNT(D792:V792)=0,"",MIN(D792:V792))</f>
        <v/>
      </c>
      <c r="X792" s="8">
        <f>IF(COUNT(D792:V792)=0,"",MEDIAN(D792:V792))</f>
        <v/>
      </c>
      <c r="Y792" s="8">
        <f>IF(COUNT(D792:V792)=0,"",MAX(D792:V792))</f>
        <v/>
      </c>
      <c r="Z792" s="9">
        <f>IF(OR(W792="",W792=0),"",(Y792-W792)/W792)</f>
        <v/>
      </c>
      <c r="AA792" s="7">
        <f>IF(COUNT(D792:V792)=0,"",INDEX($D$1:$V$1,MATCH(MIN(D792:V792),D792:V792,0)))</f>
        <v/>
      </c>
      <c r="AB792" s="8" t="n">
        <v>1365</v>
      </c>
      <c r="AC792" s="10" t="n">
        <v>1</v>
      </c>
    </row>
    <row r="793">
      <c r="A793" s="7" t="inlineStr">
        <is>
          <t>MAT-10-183</t>
        </is>
      </c>
      <c r="B793" s="4" t="inlineStr">
        <is>
          <t>Fuente de poder para LED de 150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1263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>
        <f>IF(COUNT(D793:V793)=0,"",MIN(D793:V793))</f>
        <v/>
      </c>
      <c r="X793" s="8">
        <f>IF(COUNT(D793:V793)=0,"",MEDIAN(D793:V793))</f>
        <v/>
      </c>
      <c r="Y793" s="8">
        <f>IF(COUNT(D793:V793)=0,"",MAX(D793:V793))</f>
        <v/>
      </c>
      <c r="Z793" s="9">
        <f>IF(OR(W793="",W793=0),"",(Y793-W793)/W793)</f>
        <v/>
      </c>
      <c r="AA793" s="7">
        <f>IF(COUNT(D793:V793)=0,"",INDEX($D$1:$V$1,MATCH(MIN(D793:V793),D793:V793,0)))</f>
        <v/>
      </c>
      <c r="AB793" s="8" t="n">
        <v>1551.5</v>
      </c>
      <c r="AC793" s="10" t="n">
        <v>1</v>
      </c>
    </row>
    <row r="794">
      <c r="A794" s="7" t="inlineStr">
        <is>
          <t>MAT-10-184</t>
        </is>
      </c>
      <c r="B794" s="4" t="inlineStr">
        <is>
          <t>Fuente de poder para LED de 200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1723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>
        <f>IF(COUNT(D794:V794)=0,"",MIN(D794:V794))</f>
        <v/>
      </c>
      <c r="X794" s="8">
        <f>IF(COUNT(D794:V794)=0,"",MEDIAN(D794:V794))</f>
        <v/>
      </c>
      <c r="Y794" s="8">
        <f>IF(COUNT(D794:V794)=0,"",MAX(D794:V794))</f>
        <v/>
      </c>
      <c r="Z794" s="9">
        <f>IF(OR(W794="",W794=0),"",(Y794-W794)/W794)</f>
        <v/>
      </c>
      <c r="AA794" s="7">
        <f>IF(COUNT(D794:V794)=0,"",INDEX($D$1:$V$1,MATCH(MIN(D794:V794),D794:V794,0)))</f>
        <v/>
      </c>
      <c r="AB794" s="8" t="n">
        <v>2006</v>
      </c>
      <c r="AC794" s="10" t="n">
        <v>1</v>
      </c>
    </row>
    <row r="795">
      <c r="A795" s="7" t="inlineStr">
        <is>
          <t>MAT-10-185</t>
        </is>
      </c>
      <c r="B795" s="4" t="inlineStr">
        <is>
          <t>Fuente de poder para LED de 250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2006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>
        <f>IF(COUNT(D795:V795)=0,"",MIN(D795:V795))</f>
        <v/>
      </c>
      <c r="X795" s="8">
        <f>IF(COUNT(D795:V795)=0,"",MEDIAN(D795:V795))</f>
        <v/>
      </c>
      <c r="Y795" s="8">
        <f>IF(COUNT(D795:V795)=0,"",MAX(D795:V795))</f>
        <v/>
      </c>
      <c r="Z795" s="9">
        <f>IF(OR(W795="",W795=0),"",(Y795-W795)/W795)</f>
        <v/>
      </c>
      <c r="AA795" s="7">
        <f>IF(COUNT(D795:V795)=0,"",INDEX($D$1:$V$1,MATCH(MIN(D795:V795),D795:V795,0)))</f>
        <v/>
      </c>
      <c r="AB795" s="8" t="n">
        <v>2006</v>
      </c>
      <c r="AC795" s="10" t="n">
        <v>1</v>
      </c>
    </row>
    <row r="796">
      <c r="A796" s="7" t="inlineStr">
        <is>
          <t>MAT-10-186</t>
        </is>
      </c>
      <c r="B796" s="4" t="inlineStr">
        <is>
          <t>Fuente de poder para LED de 300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2071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>
        <f>IF(COUNT(D796:V796)=0,"",MIN(D796:V796))</f>
        <v/>
      </c>
      <c r="X796" s="8">
        <f>IF(COUNT(D796:V796)=0,"",MEDIAN(D796:V796))</f>
        <v/>
      </c>
      <c r="Y796" s="8">
        <f>IF(COUNT(D796:V796)=0,"",MAX(D796:V796))</f>
        <v/>
      </c>
      <c r="Z796" s="9">
        <f>IF(OR(W796="",W796=0),"",(Y796-W796)/W796)</f>
        <v/>
      </c>
      <c r="AA796" s="7">
        <f>IF(COUNT(D796:V796)=0,"",INDEX($D$1:$V$1,MATCH(MIN(D796:V796),D796:V796,0)))</f>
        <v/>
      </c>
      <c r="AB796" s="8" t="n">
        <v>2071</v>
      </c>
      <c r="AC796" s="10" t="n">
        <v>1</v>
      </c>
    </row>
    <row r="797">
      <c r="A797" s="7" t="inlineStr">
        <is>
          <t>MAT-10-187</t>
        </is>
      </c>
      <c r="B797" s="4" t="inlineStr">
        <is>
          <t>Fuente de poder para LED de 400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2431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>
        <f>IF(COUNT(D797:V797)=0,"",MIN(D797:V797))</f>
        <v/>
      </c>
      <c r="X797" s="8">
        <f>IF(COUNT(D797:V797)=0,"",MEDIAN(D797:V797))</f>
        <v/>
      </c>
      <c r="Y797" s="8">
        <f>IF(COUNT(D797:V797)=0,"",MAX(D797:V797))</f>
        <v/>
      </c>
      <c r="Z797" s="9">
        <f>IF(OR(W797="",W797=0),"",(Y797-W797)/W797)</f>
        <v/>
      </c>
      <c r="AA797" s="7">
        <f>IF(COUNT(D797:V797)=0,"",INDEX($D$1:$V$1,MATCH(MIN(D797:V797),D797:V797,0)))</f>
        <v/>
      </c>
      <c r="AB797" s="8" t="n">
        <v>2431</v>
      </c>
      <c r="AC797" s="10" t="n">
        <v>1</v>
      </c>
    </row>
    <row r="798">
      <c r="A798" s="7" t="inlineStr">
        <is>
          <t>MAT-10-188</t>
        </is>
      </c>
      <c r="B798" s="4" t="inlineStr">
        <is>
          <t>Fuente de poder para LED de 60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770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>
        <f>IF(COUNT(D798:V798)=0,"",MIN(D798:V798))</f>
        <v/>
      </c>
      <c r="X798" s="8">
        <f>IF(COUNT(D798:V798)=0,"",MEDIAN(D798:V798))</f>
        <v/>
      </c>
      <c r="Y798" s="8">
        <f>IF(COUNT(D798:V798)=0,"",MAX(D798:V798))</f>
        <v/>
      </c>
      <c r="Z798" s="9">
        <f>IF(OR(W798="",W798=0),"",(Y798-W798)/W798)</f>
        <v/>
      </c>
      <c r="AA798" s="7">
        <f>IF(COUNT(D798:V798)=0,"",INDEX($D$1:$V$1,MATCH(MIN(D798:V798),D798:V798,0)))</f>
        <v/>
      </c>
      <c r="AB798" s="8" t="n">
        <v>770</v>
      </c>
      <c r="AC798" s="10" t="n">
        <v>1</v>
      </c>
    </row>
    <row r="799">
      <c r="A799" s="7" t="inlineStr">
        <is>
          <t>MAT-10-189</t>
        </is>
      </c>
      <c r="B799" s="4" t="inlineStr">
        <is>
          <t>Campana LED industrial de 100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>
        <v>1500</v>
      </c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>
        <f>IF(COUNT(D799:V799)=0,"",MIN(D799:V799))</f>
        <v/>
      </c>
      <c r="X799" s="8">
        <f>IF(COUNT(D799:V799)=0,"",MEDIAN(D799:V799))</f>
        <v/>
      </c>
      <c r="Y799" s="8">
        <f>IF(COUNT(D799:V799)=0,"",MAX(D799:V799))</f>
        <v/>
      </c>
      <c r="Z799" s="9">
        <f>IF(OR(W799="",W799=0),"",(Y799-W799)/W799)</f>
        <v/>
      </c>
      <c r="AA799" s="7">
        <f>IF(COUNT(D799:V799)=0,"",INDEX($D$1:$V$1,MATCH(MIN(D799:V799),D799:V799,0)))</f>
        <v/>
      </c>
      <c r="AB799" s="8" t="n">
        <v>4162.5</v>
      </c>
      <c r="AC799" s="10" t="n">
        <v>1</v>
      </c>
    </row>
    <row r="800">
      <c r="A800" s="7" t="inlineStr">
        <is>
          <t>MAT-10-190</t>
        </is>
      </c>
      <c r="B800" s="4" t="inlineStr">
        <is>
          <t>Campana LED industrial de 150 W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>
        <v>5830</v>
      </c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>
        <f>IF(COUNT(D800:V800)=0,"",MIN(D800:V800))</f>
        <v/>
      </c>
      <c r="X800" s="8">
        <f>IF(COUNT(D800:V800)=0,"",MEDIAN(D800:V800))</f>
        <v/>
      </c>
      <c r="Y800" s="8">
        <f>IF(COUNT(D800:V800)=0,"",MAX(D800:V800))</f>
        <v/>
      </c>
      <c r="Z800" s="9">
        <f>IF(OR(W800="",W800=0),"",(Y800-W800)/W800)</f>
        <v/>
      </c>
      <c r="AA800" s="7">
        <f>IF(COUNT(D800:V800)=0,"",INDEX($D$1:$V$1,MATCH(MIN(D800:V800),D800:V800,0)))</f>
        <v/>
      </c>
      <c r="AB800" s="8" t="n">
        <v>6365</v>
      </c>
      <c r="AC800" s="10" t="n">
        <v>1</v>
      </c>
    </row>
    <row r="801">
      <c r="A801" s="7" t="inlineStr">
        <is>
          <t>MAT-10-191</t>
        </is>
      </c>
      <c r="B801" s="4" t="inlineStr">
        <is>
          <t>Campana LED industrial de 200 W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/>
      <c r="J801" s="8" t="n">
        <v>2500</v>
      </c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>
        <f>IF(COUNT(D801:V801)=0,"",MIN(D801:V801))</f>
        <v/>
      </c>
      <c r="X801" s="8">
        <f>IF(COUNT(D801:V801)=0,"",MEDIAN(D801:V801))</f>
        <v/>
      </c>
      <c r="Y801" s="8">
        <f>IF(COUNT(D801:V801)=0,"",MAX(D801:V801))</f>
        <v/>
      </c>
      <c r="Z801" s="9">
        <f>IF(OR(W801="",W801=0),"",(Y801-W801)/W801)</f>
        <v/>
      </c>
      <c r="AA801" s="7">
        <f>IF(COUNT(D801:V801)=0,"",INDEX($D$1:$V$1,MATCH(MIN(D801:V801),D801:V801,0)))</f>
        <v/>
      </c>
      <c r="AB801" s="8" t="n">
        <v>2500</v>
      </c>
      <c r="AC801" s="10" t="n">
        <v>1</v>
      </c>
    </row>
    <row r="802">
      <c r="A802" s="7" t="inlineStr">
        <is>
          <t>MAT-10-192</t>
        </is>
      </c>
      <c r="B802" s="4" t="inlineStr">
        <is>
          <t>Campana LED industrial de 50 W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>
        <v>4000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>
        <f>IF(COUNT(D802:V802)=0,"",MIN(D802:V802))</f>
        <v/>
      </c>
      <c r="X802" s="8">
        <f>IF(COUNT(D802:V802)=0,"",MEDIAN(D802:V802))</f>
        <v/>
      </c>
      <c r="Y802" s="8">
        <f>IF(COUNT(D802:V802)=0,"",MAX(D802:V802))</f>
        <v/>
      </c>
      <c r="Z802" s="9">
        <f>IF(OR(W802="",W802=0),"",(Y802-W802)/W802)</f>
        <v/>
      </c>
      <c r="AA802" s="7">
        <f>IF(COUNT(D802:V802)=0,"",INDEX($D$1:$V$1,MATCH(MIN(D802:V802),D802:V802,0)))</f>
        <v/>
      </c>
      <c r="AB802" s="8" t="n">
        <v>4045</v>
      </c>
      <c r="AC802" s="10" t="n">
        <v>1</v>
      </c>
    </row>
    <row r="803">
      <c r="A803" s="7" t="inlineStr">
        <is>
          <t>MAT-10-193</t>
        </is>
      </c>
      <c r="B803" s="4" t="inlineStr">
        <is>
          <t>Campana LED industrial de 60 W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>
        <v>4500</v>
      </c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>
        <f>IF(COUNT(D803:V803)=0,"",MIN(D803:V803))</f>
        <v/>
      </c>
      <c r="X803" s="8">
        <f>IF(COUNT(D803:V803)=0,"",MEDIAN(D803:V803))</f>
        <v/>
      </c>
      <c r="Y803" s="8">
        <f>IF(COUNT(D803:V803)=0,"",MAX(D803:V803))</f>
        <v/>
      </c>
      <c r="Z803" s="9">
        <f>IF(OR(W803="",W803=0),"",(Y803-W803)/W803)</f>
        <v/>
      </c>
      <c r="AA803" s="7">
        <f>IF(COUNT(D803:V803)=0,"",INDEX($D$1:$V$1,MATCH(MIN(D803:V803),D803:V803,0)))</f>
        <v/>
      </c>
      <c r="AB803" s="8" t="n">
        <v>4500</v>
      </c>
      <c r="AC803" s="10" t="n">
        <v>1</v>
      </c>
    </row>
    <row r="804">
      <c r="A804" s="7" t="inlineStr">
        <is>
          <t>MAT-10-194</t>
        </is>
      </c>
      <c r="B804" s="4" t="inlineStr">
        <is>
          <t>Interruptor con tomacorriente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>
        <v>465</v>
      </c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>
        <f>IF(COUNT(D804:V804)=0,"",MIN(D804:V804))</f>
        <v/>
      </c>
      <c r="X804" s="8">
        <f>IF(COUNT(D804:V804)=0,"",MEDIAN(D804:V804))</f>
        <v/>
      </c>
      <c r="Y804" s="8">
        <f>IF(COUNT(D804:V804)=0,"",MAX(D804:V804))</f>
        <v/>
      </c>
      <c r="Z804" s="9">
        <f>IF(OR(W804="",W804=0),"",(Y804-W804)/W804)</f>
        <v/>
      </c>
      <c r="AA804" s="7">
        <f>IF(COUNT(D804:V804)=0,"",INDEX($D$1:$V$1,MATCH(MIN(D804:V804),D804:V804,0)))</f>
        <v/>
      </c>
      <c r="AB804" s="8" t="n">
        <v>500</v>
      </c>
      <c r="AC804" s="10" t="n">
        <v>1</v>
      </c>
    </row>
    <row r="805">
      <c r="A805" s="7" t="inlineStr">
        <is>
          <t>MAT-10-195</t>
        </is>
      </c>
      <c r="B805" s="4" t="inlineStr">
        <is>
          <t>Interruptor conmutador</t>
        </is>
      </c>
      <c r="C805" s="7" t="inlineStr">
        <is>
          <t>unidad</t>
        </is>
      </c>
      <c r="D805" s="8" t="n"/>
      <c r="E805" s="8" t="n">
        <v>14.74</v>
      </c>
      <c r="F805" s="8" t="n"/>
      <c r="G805" s="8" t="n"/>
      <c r="H805" s="8" t="n"/>
      <c r="I805" s="8" t="n">
        <v>45</v>
      </c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>
        <f>IF(COUNT(D805:V805)=0,"",MIN(D805:V805))</f>
        <v/>
      </c>
      <c r="X805" s="8">
        <f>IF(COUNT(D805:V805)=0,"",MEDIAN(D805:V805))</f>
        <v/>
      </c>
      <c r="Y805" s="8">
        <f>IF(COUNT(D805:V805)=0,"",MAX(D805:V805))</f>
        <v/>
      </c>
      <c r="Z805" s="9">
        <f>IF(OR(W805="",W805=0),"",(Y805-W805)/W805)</f>
        <v/>
      </c>
      <c r="AA805" s="7">
        <f>IF(COUNT(D805:V805)=0,"",INDEX($D$1:$V$1,MATCH(MIN(D805:V805),D805:V805,0)))</f>
        <v/>
      </c>
      <c r="AB805" s="8" t="n">
        <v>191.22</v>
      </c>
      <c r="AC805" s="10" t="n">
        <v>2</v>
      </c>
    </row>
    <row r="806">
      <c r="A806" s="7" t="inlineStr">
        <is>
          <t>MAT-10-196</t>
        </is>
      </c>
      <c r="B806" s="4" t="inlineStr">
        <is>
          <t>Interruptor de 3 vías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>
        <v>395</v>
      </c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>
        <f>IF(COUNT(D806:V806)=0,"",MIN(D806:V806))</f>
        <v/>
      </c>
      <c r="X806" s="8">
        <f>IF(COUNT(D806:V806)=0,"",MEDIAN(D806:V806))</f>
        <v/>
      </c>
      <c r="Y806" s="8">
        <f>IF(COUNT(D806:V806)=0,"",MAX(D806:V806))</f>
        <v/>
      </c>
      <c r="Z806" s="9">
        <f>IF(OR(W806="",W806=0),"",(Y806-W806)/W806)</f>
        <v/>
      </c>
      <c r="AA806" s="7">
        <f>IF(COUNT(D806:V806)=0,"",INDEX($D$1:$V$1,MATCH(MIN(D806:V806),D806:V806,0)))</f>
        <v/>
      </c>
      <c r="AB806" s="8" t="n">
        <v>542.5</v>
      </c>
      <c r="AC806" s="10" t="n">
        <v>1</v>
      </c>
    </row>
    <row r="807">
      <c r="A807" s="7" t="inlineStr">
        <is>
          <t>MAT-10-197</t>
        </is>
      </c>
      <c r="B807" s="4" t="inlineStr">
        <is>
          <t>Interruptor de 4 vías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>
        <v>390</v>
      </c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>
        <f>IF(COUNT(D807:V807)=0,"",MIN(D807:V807))</f>
        <v/>
      </c>
      <c r="X807" s="8">
        <f>IF(COUNT(D807:V807)=0,"",MEDIAN(D807:V807))</f>
        <v/>
      </c>
      <c r="Y807" s="8">
        <f>IF(COUNT(D807:V807)=0,"",MAX(D807:V807))</f>
        <v/>
      </c>
      <c r="Z807" s="9">
        <f>IF(OR(W807="",W807=0),"",(Y807-W807)/W807)</f>
        <v/>
      </c>
      <c r="AA807" s="7">
        <f>IF(COUNT(D807:V807)=0,"",INDEX($D$1:$V$1,MATCH(MIN(D807:V807),D807:V807,0)))</f>
        <v/>
      </c>
      <c r="AB807" s="8" t="n">
        <v>467.5</v>
      </c>
      <c r="AC807" s="10" t="n">
        <v>1</v>
      </c>
    </row>
    <row r="808">
      <c r="A808" s="7" t="inlineStr">
        <is>
          <t>MAT-10-198</t>
        </is>
      </c>
      <c r="B808" s="4" t="inlineStr">
        <is>
          <t>Interruptor dimmer</t>
        </is>
      </c>
      <c r="C808" s="7" t="inlineStr">
        <is>
          <t>unidad</t>
        </is>
      </c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>
        <v>960</v>
      </c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>
        <f>IF(COUNT(D808:V808)=0,"",MIN(D808:V808))</f>
        <v/>
      </c>
      <c r="X808" s="8">
        <f>IF(COUNT(D808:V808)=0,"",MEDIAN(D808:V808))</f>
        <v/>
      </c>
      <c r="Y808" s="8">
        <f>IF(COUNT(D808:V808)=0,"",MAX(D808:V808))</f>
        <v/>
      </c>
      <c r="Z808" s="9">
        <f>IF(OR(W808="",W808=0),"",(Y808-W808)/W808)</f>
        <v/>
      </c>
      <c r="AA808" s="7">
        <f>IF(COUNT(D808:V808)=0,"",INDEX($D$1:$V$1,MATCH(MIN(D808:V808),D808:V808,0)))</f>
        <v/>
      </c>
      <c r="AB808" s="8" t="n">
        <v>1112.5</v>
      </c>
      <c r="AC808" s="10" t="n">
        <v>1</v>
      </c>
    </row>
    <row r="809">
      <c r="A809" s="7" t="inlineStr">
        <is>
          <t>MAT-10-199</t>
        </is>
      </c>
      <c r="B809" s="4" t="inlineStr">
        <is>
          <t>Interruptor doble</t>
        </is>
      </c>
      <c r="C809" s="7" t="inlineStr">
        <is>
          <t>unidad</t>
        </is>
      </c>
      <c r="D809" s="8" t="n"/>
      <c r="E809" s="8" t="n">
        <v>86</v>
      </c>
      <c r="F809" s="8" t="n"/>
      <c r="G809" s="8" t="n"/>
      <c r="H809" s="8" t="n"/>
      <c r="I809" s="8" t="n">
        <v>45</v>
      </c>
      <c r="J809" s="8" t="n"/>
      <c r="K809" s="8" t="n"/>
      <c r="L809" s="8" t="n">
        <v>145</v>
      </c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>
        <f>IF(COUNT(D809:V809)=0,"",MIN(D809:V809))</f>
        <v/>
      </c>
      <c r="X809" s="8">
        <f>IF(COUNT(D809:V809)=0,"",MEDIAN(D809:V809))</f>
        <v/>
      </c>
      <c r="Y809" s="8">
        <f>IF(COUNT(D809:V809)=0,"",MAX(D809:V809))</f>
        <v/>
      </c>
      <c r="Z809" s="9">
        <f>IF(OR(W809="",W809=0),"",(Y809-W809)/W809)</f>
        <v/>
      </c>
      <c r="AA809" s="7">
        <f>IF(COUNT(D809:V809)=0,"",INDEX($D$1:$V$1,MATCH(MIN(D809:V809),D809:V809,0)))</f>
        <v/>
      </c>
      <c r="AB809" s="8" t="n">
        <v>225</v>
      </c>
      <c r="AC809" s="10" t="n">
        <v>3</v>
      </c>
    </row>
    <row r="810">
      <c r="A810" s="7" t="inlineStr">
        <is>
          <t>MAT-10-200</t>
        </is>
      </c>
      <c r="B810" s="4" t="inlineStr">
        <is>
          <t>Interruptor sencillo</t>
        </is>
      </c>
      <c r="C810" s="7" t="inlineStr">
        <is>
          <t>unidad</t>
        </is>
      </c>
      <c r="D810" s="8" t="n"/>
      <c r="E810" s="8" t="n">
        <v>49.48</v>
      </c>
      <c r="F810" s="8" t="n"/>
      <c r="G810" s="8" t="n"/>
      <c r="H810" s="8" t="n"/>
      <c r="I810" s="8" t="n">
        <v>30</v>
      </c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>
        <f>IF(COUNT(D810:V810)=0,"",MIN(D810:V810))</f>
        <v/>
      </c>
      <c r="X810" s="8">
        <f>IF(COUNT(D810:V810)=0,"",MEDIAN(D810:V810))</f>
        <v/>
      </c>
      <c r="Y810" s="8">
        <f>IF(COUNT(D810:V810)=0,"",MAX(D810:V810))</f>
        <v/>
      </c>
      <c r="Z810" s="9">
        <f>IF(OR(W810="",W810=0),"",(Y810-W810)/W810)</f>
        <v/>
      </c>
      <c r="AA810" s="7">
        <f>IF(COUNT(D810:V810)=0,"",INDEX($D$1:$V$1,MATCH(MIN(D810:V810),D810:V810,0)))</f>
        <v/>
      </c>
      <c r="AB810" s="8" t="n">
        <v>99</v>
      </c>
      <c r="AC810" s="10" t="n">
        <v>2</v>
      </c>
    </row>
    <row r="811">
      <c r="A811" s="7" t="inlineStr">
        <is>
          <t>MAT-10-201</t>
        </is>
      </c>
      <c r="B811" s="4" t="inlineStr">
        <is>
          <t>Interruptor triple</t>
        </is>
      </c>
      <c r="C811" s="7" t="inlineStr">
        <is>
          <t>unidad</t>
        </is>
      </c>
      <c r="D811" s="8" t="n"/>
      <c r="E811" s="8" t="n">
        <v>92</v>
      </c>
      <c r="F811" s="8" t="n"/>
      <c r="G811" s="8" t="n"/>
      <c r="H811" s="8" t="n"/>
      <c r="I811" s="8" t="n">
        <v>60</v>
      </c>
      <c r="J811" s="8" t="n"/>
      <c r="K811" s="8" t="n"/>
      <c r="L811" s="8" t="n">
        <v>325</v>
      </c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>
        <f>IF(COUNT(D811:V811)=0,"",MIN(D811:V811))</f>
        <v/>
      </c>
      <c r="X811" s="8">
        <f>IF(COUNT(D811:V811)=0,"",MEDIAN(D811:V811))</f>
        <v/>
      </c>
      <c r="Y811" s="8">
        <f>IF(COUNT(D811:V811)=0,"",MAX(D811:V811))</f>
        <v/>
      </c>
      <c r="Z811" s="9">
        <f>IF(OR(W811="",W811=0),"",(Y811-W811)/W811)</f>
        <v/>
      </c>
      <c r="AA811" s="7">
        <f>IF(COUNT(D811:V811)=0,"",INDEX($D$1:$V$1,MATCH(MIN(D811:V811),D811:V811,0)))</f>
        <v/>
      </c>
      <c r="AB811" s="8" t="n">
        <v>235</v>
      </c>
      <c r="AC811" s="10" t="n">
        <v>3</v>
      </c>
    </row>
    <row r="812">
      <c r="A812" s="7" t="inlineStr">
        <is>
          <t>MAT-10-202</t>
        </is>
      </c>
      <c r="B812" s="4" t="inlineStr">
        <is>
          <t>Tomacorriente con USB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>
        <v>460</v>
      </c>
      <c r="J812" s="8" t="n"/>
      <c r="K812" s="8" t="n"/>
      <c r="L812" s="8" t="n">
        <v>1085</v>
      </c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>
        <f>IF(COUNT(D812:V812)=0,"",MIN(D812:V812))</f>
        <v/>
      </c>
      <c r="X812" s="8">
        <f>IF(COUNT(D812:V812)=0,"",MEDIAN(D812:V812))</f>
        <v/>
      </c>
      <c r="Y812" s="8">
        <f>IF(COUNT(D812:V812)=0,"",MAX(D812:V812))</f>
        <v/>
      </c>
      <c r="Z812" s="9">
        <f>IF(OR(W812="",W812=0),"",(Y812-W812)/W812)</f>
        <v/>
      </c>
      <c r="AA812" s="7">
        <f>IF(COUNT(D812:V812)=0,"",INDEX($D$1:$V$1,MATCH(MIN(D812:V812),D812:V812,0)))</f>
        <v/>
      </c>
      <c r="AB812" s="8" t="n">
        <v>550</v>
      </c>
      <c r="AC812" s="10" t="n">
        <v>2</v>
      </c>
    </row>
    <row r="813">
      <c r="A813" s="7" t="inlineStr">
        <is>
          <t>MAT-10-203</t>
        </is>
      </c>
      <c r="B813" s="4" t="inlineStr">
        <is>
          <t>Tomacorriente doble</t>
        </is>
      </c>
      <c r="C813" s="7" t="inlineStr">
        <is>
          <t>unidad</t>
        </is>
      </c>
      <c r="D813" s="8" t="n"/>
      <c r="E813" s="8" t="n">
        <v>75</v>
      </c>
      <c r="F813" s="8" t="n"/>
      <c r="G813" s="8" t="n"/>
      <c r="H813" s="8" t="n"/>
      <c r="I813" s="8" t="n">
        <v>34</v>
      </c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>
        <f>IF(COUNT(D813:V813)=0,"",MIN(D813:V813))</f>
        <v/>
      </c>
      <c r="X813" s="8">
        <f>IF(COUNT(D813:V813)=0,"",MEDIAN(D813:V813))</f>
        <v/>
      </c>
      <c r="Y813" s="8">
        <f>IF(COUNT(D813:V813)=0,"",MAX(D813:V813))</f>
        <v/>
      </c>
      <c r="Z813" s="9">
        <f>IF(OR(W813="",W813=0),"",(Y813-W813)/W813)</f>
        <v/>
      </c>
      <c r="AA813" s="7">
        <f>IF(COUNT(D813:V813)=0,"",INDEX($D$1:$V$1,MATCH(MIN(D813:V813),D813:V813,0)))</f>
        <v/>
      </c>
      <c r="AB813" s="8" t="n">
        <v>197</v>
      </c>
      <c r="AC813" s="10" t="n">
        <v>2</v>
      </c>
    </row>
    <row r="814">
      <c r="A814" s="7" t="inlineStr">
        <is>
          <t>MAT-10-204</t>
        </is>
      </c>
      <c r="B814" s="4" t="inlineStr">
        <is>
          <t>Tomacorriente gfci</t>
        </is>
      </c>
      <c r="C814" s="7" t="inlineStr">
        <is>
          <t>unidad</t>
        </is>
      </c>
      <c r="D814" s="8" t="n"/>
      <c r="E814" s="8" t="n">
        <v>1467.04</v>
      </c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>
        <f>IF(COUNT(D814:V814)=0,"",MIN(D814:V814))</f>
        <v/>
      </c>
      <c r="X814" s="8">
        <f>IF(COUNT(D814:V814)=0,"",MEDIAN(D814:V814))</f>
        <v/>
      </c>
      <c r="Y814" s="8">
        <f>IF(COUNT(D814:V814)=0,"",MAX(D814:V814))</f>
        <v/>
      </c>
      <c r="Z814" s="9">
        <f>IF(OR(W814="",W814=0),"",(Y814-W814)/W814)</f>
        <v/>
      </c>
      <c r="AA814" s="7">
        <f>IF(COUNT(D814:V814)=0,"",INDEX($D$1:$V$1,MATCH(MIN(D814:V814),D814:V814,0)))</f>
        <v/>
      </c>
      <c r="AB814" s="8" t="n">
        <v>2121.5</v>
      </c>
      <c r="AC814" s="10" t="n">
        <v>1</v>
      </c>
    </row>
    <row r="815">
      <c r="A815" s="7" t="inlineStr">
        <is>
          <t>MAT-10-205</t>
        </is>
      </c>
      <c r="B815" s="4" t="inlineStr">
        <is>
          <t>Tomacorriente sencillo</t>
        </is>
      </c>
      <c r="C815" s="7" t="inlineStr">
        <is>
          <t>unidad</t>
        </is>
      </c>
      <c r="D815" s="8" t="n"/>
      <c r="E815" s="8" t="n">
        <v>210.98</v>
      </c>
      <c r="F815" s="8" t="n"/>
      <c r="G815" s="8" t="n"/>
      <c r="H815" s="8" t="n"/>
      <c r="I815" s="8" t="n">
        <v>39</v>
      </c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>
        <f>IF(COUNT(D815:V815)=0,"",MIN(D815:V815))</f>
        <v/>
      </c>
      <c r="X815" s="8">
        <f>IF(COUNT(D815:V815)=0,"",MEDIAN(D815:V815))</f>
        <v/>
      </c>
      <c r="Y815" s="8">
        <f>IF(COUNT(D815:V815)=0,"",MAX(D815:V815))</f>
        <v/>
      </c>
      <c r="Z815" s="9">
        <f>IF(OR(W815="",W815=0),"",(Y815-W815)/W815)</f>
        <v/>
      </c>
      <c r="AA815" s="7">
        <f>IF(COUNT(D815:V815)=0,"",INDEX($D$1:$V$1,MATCH(MIN(D815:V815),D815:V815,0)))</f>
        <v/>
      </c>
      <c r="AB815" s="8" t="n">
        <v>70</v>
      </c>
      <c r="AC815" s="10" t="n">
        <v>2</v>
      </c>
    </row>
    <row r="816">
      <c r="A816" s="7" t="inlineStr">
        <is>
          <t>MAT-10-206</t>
        </is>
      </c>
      <c r="B816" s="4" t="inlineStr">
        <is>
          <t>ciega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>
        <v>11</v>
      </c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>
        <f>IF(COUNT(D816:V816)=0,"",MIN(D816:V816))</f>
        <v/>
      </c>
      <c r="X816" s="8">
        <f>IF(COUNT(D816:V816)=0,"",MEDIAN(D816:V816))</f>
        <v/>
      </c>
      <c r="Y816" s="8">
        <f>IF(COUNT(D816:V816)=0,"",MAX(D816:V816))</f>
        <v/>
      </c>
      <c r="Z816" s="9">
        <f>IF(OR(W816="",W816=0),"",(Y816-W816)/W816)</f>
        <v/>
      </c>
      <c r="AA816" s="7">
        <f>IF(COUNT(D816:V816)=0,"",INDEX($D$1:$V$1,MATCH(MIN(D816:V816),D816:V816,0)))</f>
        <v/>
      </c>
      <c r="AB816" s="8" t="n">
        <v>49</v>
      </c>
      <c r="AC816" s="10" t="n">
        <v>1</v>
      </c>
    </row>
    <row r="817">
      <c r="A817" s="7" t="inlineStr">
        <is>
          <t>MAT-10-207</t>
        </is>
      </c>
      <c r="B817" s="4" t="inlineStr">
        <is>
          <t>doble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>
        <v>15</v>
      </c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>
        <f>IF(COUNT(D817:V817)=0,"",MIN(D817:V817))</f>
        <v/>
      </c>
      <c r="X817" s="8">
        <f>IF(COUNT(D817:V817)=0,"",MEDIAN(D817:V817))</f>
        <v/>
      </c>
      <c r="Y817" s="8">
        <f>IF(COUNT(D817:V817)=0,"",MAX(D817:V817))</f>
        <v/>
      </c>
      <c r="Z817" s="9">
        <f>IF(OR(W817="",W817=0),"",(Y817-W817)/W817)</f>
        <v/>
      </c>
      <c r="AA817" s="7">
        <f>IF(COUNT(D817:V817)=0,"",INDEX($D$1:$V$1,MATCH(MIN(D817:V817),D817:V817,0)))</f>
        <v/>
      </c>
      <c r="AB817" s="8" t="n">
        <v>132.5</v>
      </c>
      <c r="AC817" s="10" t="n">
        <v>1</v>
      </c>
    </row>
    <row r="818">
      <c r="A818" s="7" t="inlineStr">
        <is>
          <t>MAT-10-208</t>
        </is>
      </c>
      <c r="B818" s="4" t="inlineStr">
        <is>
          <t>Placa de 3 módulos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>
        <v>85</v>
      </c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>
        <f>IF(COUNT(D818:V818)=0,"",MIN(D818:V818))</f>
        <v/>
      </c>
      <c r="X818" s="8">
        <f>IF(COUNT(D818:V818)=0,"",MEDIAN(D818:V818))</f>
        <v/>
      </c>
      <c r="Y818" s="8">
        <f>IF(COUNT(D818:V818)=0,"",MAX(D818:V818))</f>
        <v/>
      </c>
      <c r="Z818" s="9">
        <f>IF(OR(W818="",W818=0),"",(Y818-W818)/W818)</f>
        <v/>
      </c>
      <c r="AA818" s="7">
        <f>IF(COUNT(D818:V818)=0,"",INDEX($D$1:$V$1,MATCH(MIN(D818:V818),D818:V818,0)))</f>
        <v/>
      </c>
      <c r="AB818" s="8" t="n">
        <v>85</v>
      </c>
      <c r="AC818" s="10" t="n">
        <v>1</v>
      </c>
    </row>
    <row r="819">
      <c r="A819" s="7" t="inlineStr">
        <is>
          <t>MAT-10-209</t>
        </is>
      </c>
      <c r="B819" s="4" t="inlineStr">
        <is>
          <t>Placa de 7 módulos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>
        <v>1620</v>
      </c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>
        <f>IF(COUNT(D819:V819)=0,"",MIN(D819:V819))</f>
        <v/>
      </c>
      <c r="X819" s="8">
        <f>IF(COUNT(D819:V819)=0,"",MEDIAN(D819:V819))</f>
        <v/>
      </c>
      <c r="Y819" s="8">
        <f>IF(COUNT(D819:V819)=0,"",MAX(D819:V819))</f>
        <v/>
      </c>
      <c r="Z819" s="9">
        <f>IF(OR(W819="",W819=0),"",(Y819-W819)/W819)</f>
        <v/>
      </c>
      <c r="AA819" s="7">
        <f>IF(COUNT(D819:V819)=0,"",INDEX($D$1:$V$1,MATCH(MIN(D819:V819),D819:V819,0)))</f>
        <v/>
      </c>
      <c r="AB819" s="8" t="n">
        <v>1620</v>
      </c>
      <c r="AC819" s="10" t="n">
        <v>1</v>
      </c>
    </row>
    <row r="820">
      <c r="A820" s="7" t="inlineStr">
        <is>
          <t>MAT-10-210</t>
        </is>
      </c>
      <c r="B820" s="4" t="inlineStr">
        <is>
          <t>Placa de pared de 2 huecos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>
        <v>9.99</v>
      </c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>
        <f>IF(COUNT(D820:V820)=0,"",MIN(D820:V820))</f>
        <v/>
      </c>
      <c r="X820" s="8">
        <f>IF(COUNT(D820:V820)=0,"",MEDIAN(D820:V820))</f>
        <v/>
      </c>
      <c r="Y820" s="8">
        <f>IF(COUNT(D820:V820)=0,"",MAX(D820:V820))</f>
        <v/>
      </c>
      <c r="Z820" s="9">
        <f>IF(OR(W820="",W820=0),"",(Y820-W820)/W820)</f>
        <v/>
      </c>
      <c r="AA820" s="7">
        <f>IF(COUNT(D820:V820)=0,"",INDEX($D$1:$V$1,MATCH(MIN(D820:V820),D820:V820,0)))</f>
        <v/>
      </c>
      <c r="AB820" s="8" t="n">
        <v>9.99</v>
      </c>
      <c r="AC820" s="10" t="n">
        <v>1</v>
      </c>
    </row>
    <row r="821">
      <c r="A821" s="7" t="inlineStr">
        <is>
          <t>MAT-10-211</t>
        </is>
      </c>
      <c r="B821" s="4" t="inlineStr">
        <is>
          <t>sencilla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>
        <v>45</v>
      </c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>
        <f>IF(COUNT(D821:V821)=0,"",MIN(D821:V821))</f>
        <v/>
      </c>
      <c r="X821" s="8">
        <f>IF(COUNT(D821:V821)=0,"",MEDIAN(D821:V821))</f>
        <v/>
      </c>
      <c r="Y821" s="8">
        <f>IF(COUNT(D821:V821)=0,"",MAX(D821:V821))</f>
        <v/>
      </c>
      <c r="Z821" s="9">
        <f>IF(OR(W821="",W821=0),"",(Y821-W821)/W821)</f>
        <v/>
      </c>
      <c r="AA821" s="7">
        <f>IF(COUNT(D821:V821)=0,"",INDEX($D$1:$V$1,MATCH(MIN(D821:V821),D821:V821,0)))</f>
        <v/>
      </c>
      <c r="AB821" s="8" t="n">
        <v>49</v>
      </c>
      <c r="AC821" s="10" t="n">
        <v>1</v>
      </c>
    </row>
    <row r="822">
      <c r="A822" s="7" t="inlineStr">
        <is>
          <t>MAT-10-212</t>
        </is>
      </c>
      <c r="B822" s="4" t="inlineStr">
        <is>
          <t>Tapa ciega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115</v>
      </c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>
        <f>IF(COUNT(D822:V822)=0,"",MIN(D822:V822))</f>
        <v/>
      </c>
      <c r="X822" s="8">
        <f>IF(COUNT(D822:V822)=0,"",MEDIAN(D822:V822))</f>
        <v/>
      </c>
      <c r="Y822" s="8">
        <f>IF(COUNT(D822:V822)=0,"",MAX(D822:V822))</f>
        <v/>
      </c>
      <c r="Z822" s="9">
        <f>IF(OR(W822="",W822=0),"",(Y822-W822)/W822)</f>
        <v/>
      </c>
      <c r="AA822" s="7">
        <f>IF(COUNT(D822:V822)=0,"",INDEX($D$1:$V$1,MATCH(MIN(D822:V822),D822:V822,0)))</f>
        <v/>
      </c>
      <c r="AB822" s="8" t="n">
        <v>200</v>
      </c>
      <c r="AC822" s="10" t="n">
        <v>1</v>
      </c>
    </row>
    <row r="823">
      <c r="A823" s="7" t="inlineStr">
        <is>
          <t>MAT-10-213</t>
        </is>
      </c>
      <c r="B823" s="4" t="inlineStr">
        <is>
          <t>Tapa para tomacorriente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>
        <v>25</v>
      </c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>
        <f>IF(COUNT(D823:V823)=0,"",MIN(D823:V823))</f>
        <v/>
      </c>
      <c r="X823" s="8">
        <f>IF(COUNT(D823:V823)=0,"",MEDIAN(D823:V823))</f>
        <v/>
      </c>
      <c r="Y823" s="8">
        <f>IF(COUNT(D823:V823)=0,"",MAX(D823:V823))</f>
        <v/>
      </c>
      <c r="Z823" s="9">
        <f>IF(OR(W823="",W823=0),"",(Y823-W823)/W823)</f>
        <v/>
      </c>
      <c r="AA823" s="7">
        <f>IF(COUNT(D823:V823)=0,"",INDEX($D$1:$V$1,MATCH(MIN(D823:V823),D823:V823,0)))</f>
        <v/>
      </c>
      <c r="AB823" s="8" t="n">
        <v>95</v>
      </c>
      <c r="AC823" s="10" t="n">
        <v>1</v>
      </c>
    </row>
    <row r="824">
      <c r="A824" s="7" t="inlineStr">
        <is>
          <t>MAT-10-214</t>
        </is>
      </c>
      <c r="B824" s="4" t="inlineStr">
        <is>
          <t>triple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>
        <v>40</v>
      </c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>
        <f>IF(COUNT(D824:V824)=0,"",MIN(D824:V824))</f>
        <v/>
      </c>
      <c r="X824" s="8">
        <f>IF(COUNT(D824:V824)=0,"",MEDIAN(D824:V824))</f>
        <v/>
      </c>
      <c r="Y824" s="8">
        <f>IF(COUNT(D824:V824)=0,"",MAX(D824:V824))</f>
        <v/>
      </c>
      <c r="Z824" s="9">
        <f>IF(OR(W824="",W824=0),"",(Y824-W824)/W824)</f>
        <v/>
      </c>
      <c r="AA824" s="7">
        <f>IF(COUNT(D824:V824)=0,"",INDEX($D$1:$V$1,MATCH(MIN(D824:V824),D824:V824,0)))</f>
        <v/>
      </c>
      <c r="AB824" s="8" t="n">
        <v>99</v>
      </c>
      <c r="AC824" s="10" t="n">
        <v>1</v>
      </c>
    </row>
    <row r="825">
      <c r="A825" s="7" t="inlineStr">
        <is>
          <t>MAT-10-215</t>
        </is>
      </c>
      <c r="B825" s="4" t="inlineStr">
        <is>
          <t>Adaptador de enchufe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45.01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>
        <f>IF(COUNT(D825:V825)=0,"",MIN(D825:V825))</f>
        <v/>
      </c>
      <c r="X825" s="8">
        <f>IF(COUNT(D825:V825)=0,"",MEDIAN(D825:V825))</f>
        <v/>
      </c>
      <c r="Y825" s="8">
        <f>IF(COUNT(D825:V825)=0,"",MAX(D825:V825))</f>
        <v/>
      </c>
      <c r="Z825" s="9">
        <f>IF(OR(W825="",W825=0),"",(Y825-W825)/W825)</f>
        <v/>
      </c>
      <c r="AA825" s="7">
        <f>IF(COUNT(D825:V825)=0,"",INDEX($D$1:$V$1,MATCH(MIN(D825:V825),D825:V825,0)))</f>
        <v/>
      </c>
      <c r="AB825" s="8" t="n">
        <v>112.5</v>
      </c>
      <c r="AC825" s="10" t="n">
        <v>1</v>
      </c>
    </row>
    <row r="826">
      <c r="A826" s="7" t="inlineStr">
        <is>
          <t>MAT-10-216</t>
        </is>
      </c>
      <c r="B826" s="4" t="inlineStr">
        <is>
          <t>Enchufe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50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>
        <f>IF(COUNT(D826:V826)=0,"",MIN(D826:V826))</f>
        <v/>
      </c>
      <c r="X826" s="8">
        <f>IF(COUNT(D826:V826)=0,"",MEDIAN(D826:V826))</f>
        <v/>
      </c>
      <c r="Y826" s="8">
        <f>IF(COUNT(D826:V826)=0,"",MAX(D826:V826))</f>
        <v/>
      </c>
      <c r="Z826" s="9">
        <f>IF(OR(W826="",W826=0),"",(Y826-W826)/W826)</f>
        <v/>
      </c>
      <c r="AA826" s="7">
        <f>IF(COUNT(D826:V826)=0,"",INDEX($D$1:$V$1,MATCH(MIN(D826:V826),D826:V826,0)))</f>
        <v/>
      </c>
      <c r="AB826" s="8" t="n">
        <v>57.5</v>
      </c>
      <c r="AC826" s="10" t="n">
        <v>1</v>
      </c>
    </row>
    <row r="827">
      <c r="A827" s="7" t="inlineStr">
        <is>
          <t>MAT-10-217</t>
        </is>
      </c>
      <c r="B827" s="4" t="inlineStr">
        <is>
          <t>Breaker enchufable 1P de 15 A</t>
        </is>
      </c>
      <c r="C827" s="7" t="inlineStr">
        <is>
          <t>unidad</t>
        </is>
      </c>
      <c r="D827" s="8" t="n"/>
      <c r="E827" s="8" t="n">
        <v>430.24</v>
      </c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>
        <f>IF(COUNT(D827:V827)=0,"",MIN(D827:V827))</f>
        <v/>
      </c>
      <c r="X827" s="8">
        <f>IF(COUNT(D827:V827)=0,"",MEDIAN(D827:V827))</f>
        <v/>
      </c>
      <c r="Y827" s="8">
        <f>IF(COUNT(D827:V827)=0,"",MAX(D827:V827))</f>
        <v/>
      </c>
      <c r="Z827" s="9">
        <f>IF(OR(W827="",W827=0),"",(Y827-W827)/W827)</f>
        <v/>
      </c>
      <c r="AA827" s="7">
        <f>IF(COUNT(D827:V827)=0,"",INDEX($D$1:$V$1,MATCH(MIN(D827:V827),D827:V827,0)))</f>
        <v/>
      </c>
      <c r="AB827" s="8" t="n">
        <v>447.27</v>
      </c>
      <c r="AC827" s="10" t="n">
        <v>1</v>
      </c>
    </row>
    <row r="828">
      <c r="A828" s="7" t="inlineStr">
        <is>
          <t>MAT-10-218</t>
        </is>
      </c>
      <c r="B828" s="4" t="inlineStr">
        <is>
          <t>Breaker enchufable 1P de 15 A, formato fino</t>
        </is>
      </c>
      <c r="C828" s="7" t="inlineStr">
        <is>
          <t>unidad</t>
        </is>
      </c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>
        <v>485</v>
      </c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>
        <f>IF(COUNT(D828:V828)=0,"",MIN(D828:V828))</f>
        <v/>
      </c>
      <c r="X828" s="8">
        <f>IF(COUNT(D828:V828)=0,"",MEDIAN(D828:V828))</f>
        <v/>
      </c>
      <c r="Y828" s="8">
        <f>IF(COUNT(D828:V828)=0,"",MAX(D828:V828))</f>
        <v/>
      </c>
      <c r="Z828" s="9">
        <f>IF(OR(W828="",W828=0),"",(Y828-W828)/W828)</f>
        <v/>
      </c>
      <c r="AA828" s="7">
        <f>IF(COUNT(D828:V828)=0,"",INDEX($D$1:$V$1,MATCH(MIN(D828:V828),D828:V828,0)))</f>
        <v/>
      </c>
      <c r="AB828" s="8" t="n">
        <v>485</v>
      </c>
      <c r="AC828" s="10" t="n">
        <v>1</v>
      </c>
    </row>
    <row r="829">
      <c r="A829" s="7" t="inlineStr">
        <is>
          <t>MAT-10-219</t>
        </is>
      </c>
      <c r="B829" s="4" t="inlineStr">
        <is>
          <t>Breaker enchufable 1P de 20 A</t>
        </is>
      </c>
      <c r="C829" s="7" t="inlineStr">
        <is>
          <t>unidad</t>
        </is>
      </c>
      <c r="D829" s="8" t="n"/>
      <c r="E829" s="8" t="n">
        <v>374.13</v>
      </c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>
        <f>IF(COUNT(D829:V829)=0,"",MIN(D829:V829))</f>
        <v/>
      </c>
      <c r="X829" s="8">
        <f>IF(COUNT(D829:V829)=0,"",MEDIAN(D829:V829))</f>
        <v/>
      </c>
      <c r="Y829" s="8">
        <f>IF(COUNT(D829:V829)=0,"",MAX(D829:V829))</f>
        <v/>
      </c>
      <c r="Z829" s="9">
        <f>IF(OR(W829="",W829=0),"",(Y829-W829)/W829)</f>
        <v/>
      </c>
      <c r="AA829" s="7">
        <f>IF(COUNT(D829:V829)=0,"",INDEX($D$1:$V$1,MATCH(MIN(D829:V829),D829:V829,0)))</f>
        <v/>
      </c>
      <c r="AB829" s="8" t="n">
        <v>447.27</v>
      </c>
      <c r="AC829" s="10" t="n">
        <v>1</v>
      </c>
    </row>
    <row r="830">
      <c r="A830" s="7" t="inlineStr">
        <is>
          <t>MAT-10-220</t>
        </is>
      </c>
      <c r="B830" s="4" t="inlineStr">
        <is>
          <t>Breaker enchufable 1P de 20 A, formato fino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>
        <v>500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>
        <f>IF(COUNT(D830:V830)=0,"",MIN(D830:V830))</f>
        <v/>
      </c>
      <c r="X830" s="8">
        <f>IF(COUNT(D830:V830)=0,"",MEDIAN(D830:V830))</f>
        <v/>
      </c>
      <c r="Y830" s="8">
        <f>IF(COUNT(D830:V830)=0,"",MAX(D830:V830))</f>
        <v/>
      </c>
      <c r="Z830" s="9">
        <f>IF(OR(W830="",W830=0),"",(Y830-W830)/W830)</f>
        <v/>
      </c>
      <c r="AA830" s="7">
        <f>IF(COUNT(D830:V830)=0,"",INDEX($D$1:$V$1,MATCH(MIN(D830:V830),D830:V830,0)))</f>
        <v/>
      </c>
      <c r="AB830" s="8" t="n">
        <v>500</v>
      </c>
      <c r="AC830" s="10" t="n">
        <v>1</v>
      </c>
    </row>
    <row r="831">
      <c r="A831" s="7" t="inlineStr">
        <is>
          <t>MAT-10-221</t>
        </is>
      </c>
      <c r="B831" s="4" t="inlineStr">
        <is>
          <t>Breaker enchufable 1P de 30 A</t>
        </is>
      </c>
      <c r="C831" s="7" t="inlineStr">
        <is>
          <t>unidad</t>
        </is>
      </c>
      <c r="D831" s="8" t="n"/>
      <c r="E831" s="8" t="n">
        <v>374.1</v>
      </c>
      <c r="F831" s="8" t="n"/>
      <c r="G831" s="8" t="n"/>
      <c r="H831" s="8" t="n"/>
      <c r="I831" s="8" t="n"/>
      <c r="J831" s="8" t="n"/>
      <c r="K831" s="8" t="n"/>
      <c r="L831" s="8" t="n">
        <v>470.01</v>
      </c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>
        <f>IF(COUNT(D831:V831)=0,"",MIN(D831:V831))</f>
        <v/>
      </c>
      <c r="X831" s="8">
        <f>IF(COUNT(D831:V831)=0,"",MEDIAN(D831:V831))</f>
        <v/>
      </c>
      <c r="Y831" s="8">
        <f>IF(COUNT(D831:V831)=0,"",MAX(D831:V831))</f>
        <v/>
      </c>
      <c r="Z831" s="9">
        <f>IF(OR(W831="",W831=0),"",(Y831-W831)/W831)</f>
        <v/>
      </c>
      <c r="AA831" s="7">
        <f>IF(COUNT(D831:V831)=0,"",INDEX($D$1:$V$1,MATCH(MIN(D831:V831),D831:V831,0)))</f>
        <v/>
      </c>
      <c r="AB831" s="8" t="n">
        <v>447.28</v>
      </c>
      <c r="AC831" s="10" t="n">
        <v>2</v>
      </c>
    </row>
    <row r="832">
      <c r="A832" s="7" t="inlineStr">
        <is>
          <t>MAT-10-222</t>
        </is>
      </c>
      <c r="B832" s="4" t="inlineStr">
        <is>
          <t>Breaker enchufable 1P de 30 A, formato fino</t>
        </is>
      </c>
      <c r="C832" s="7" t="inlineStr">
        <is>
          <t>unidad</t>
        </is>
      </c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>
        <v>505</v>
      </c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>
        <f>IF(COUNT(D832:V832)=0,"",MIN(D832:V832))</f>
        <v/>
      </c>
      <c r="X832" s="8">
        <f>IF(COUNT(D832:V832)=0,"",MEDIAN(D832:V832))</f>
        <v/>
      </c>
      <c r="Y832" s="8">
        <f>IF(COUNT(D832:V832)=0,"",MAX(D832:V832))</f>
        <v/>
      </c>
      <c r="Z832" s="9">
        <f>IF(OR(W832="",W832=0),"",(Y832-W832)/W832)</f>
        <v/>
      </c>
      <c r="AA832" s="7">
        <f>IF(COUNT(D832:V832)=0,"",INDEX($D$1:$V$1,MATCH(MIN(D832:V832),D832:V832,0)))</f>
        <v/>
      </c>
      <c r="AB832" s="8" t="n">
        <v>505</v>
      </c>
      <c r="AC832" s="10" t="n">
        <v>1</v>
      </c>
    </row>
    <row r="833">
      <c r="A833" s="7" t="inlineStr">
        <is>
          <t>MAT-10-223</t>
        </is>
      </c>
      <c r="B833" s="4" t="inlineStr">
        <is>
          <t>Breaker enchufable 1P de 40 A</t>
        </is>
      </c>
      <c r="C833" s="7" t="inlineStr">
        <is>
          <t>unidad</t>
        </is>
      </c>
      <c r="D833" s="8" t="n"/>
      <c r="E833" s="8" t="n">
        <v>481.33</v>
      </c>
      <c r="F833" s="8" t="n"/>
      <c r="G833" s="8" t="n"/>
      <c r="H833" s="8" t="n"/>
      <c r="I833" s="8" t="n">
        <v>170</v>
      </c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>
        <f>IF(COUNT(D833:V833)=0,"",MIN(D833:V833))</f>
        <v/>
      </c>
      <c r="X833" s="8">
        <f>IF(COUNT(D833:V833)=0,"",MEDIAN(D833:V833))</f>
        <v/>
      </c>
      <c r="Y833" s="8">
        <f>IF(COUNT(D833:V833)=0,"",MAX(D833:V833))</f>
        <v/>
      </c>
      <c r="Z833" s="9">
        <f>IF(OR(W833="",W833=0),"",(Y833-W833)/W833)</f>
        <v/>
      </c>
      <c r="AA833" s="7">
        <f>IF(COUNT(D833:V833)=0,"",INDEX($D$1:$V$1,MATCH(MIN(D833:V833),D833:V833,0)))</f>
        <v/>
      </c>
      <c r="AB833" s="8" t="n">
        <v>488.17</v>
      </c>
      <c r="AC833" s="10" t="n">
        <v>2</v>
      </c>
    </row>
    <row r="834">
      <c r="A834" s="7" t="inlineStr">
        <is>
          <t>MAT-10-224</t>
        </is>
      </c>
      <c r="B834" s="4" t="inlineStr">
        <is>
          <t>Breaker enchufable 1P de 50 A</t>
        </is>
      </c>
      <c r="C834" s="7" t="inlineStr">
        <is>
          <t>unidad</t>
        </is>
      </c>
      <c r="D834" s="8" t="n"/>
      <c r="E834" s="8" t="n">
        <v>495</v>
      </c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>
        <f>IF(COUNT(D834:V834)=0,"",MIN(D834:V834))</f>
        <v/>
      </c>
      <c r="X834" s="8">
        <f>IF(COUNT(D834:V834)=0,"",MEDIAN(D834:V834))</f>
        <v/>
      </c>
      <c r="Y834" s="8">
        <f>IF(COUNT(D834:V834)=0,"",MAX(D834:V834))</f>
        <v/>
      </c>
      <c r="Z834" s="9">
        <f>IF(OR(W834="",W834=0),"",(Y834-W834)/W834)</f>
        <v/>
      </c>
      <c r="AA834" s="7">
        <f>IF(COUNT(D834:V834)=0,"",INDEX($D$1:$V$1,MATCH(MIN(D834:V834),D834:V834,0)))</f>
        <v/>
      </c>
      <c r="AB834" s="8" t="n">
        <v>505</v>
      </c>
      <c r="AC834" s="10" t="n">
        <v>1</v>
      </c>
    </row>
    <row r="835">
      <c r="A835" s="7" t="inlineStr">
        <is>
          <t>MAT-10-225</t>
        </is>
      </c>
      <c r="B835" s="4" t="inlineStr">
        <is>
          <t>Breaker enchufable 1P de 60 A</t>
        </is>
      </c>
      <c r="C835" s="7" t="inlineStr">
        <is>
          <t>unidad</t>
        </is>
      </c>
      <c r="D835" s="8" t="n"/>
      <c r="E835" s="8" t="n">
        <v>717.63</v>
      </c>
      <c r="F835" s="8" t="n"/>
      <c r="G835" s="8" t="n"/>
      <c r="H835" s="8" t="n"/>
      <c r="I835" s="8" t="n"/>
      <c r="J835" s="8" t="n"/>
      <c r="K835" s="8" t="n"/>
      <c r="L835" s="8" t="n">
        <v>815</v>
      </c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>
        <f>IF(COUNT(D835:V835)=0,"",MIN(D835:V835))</f>
        <v/>
      </c>
      <c r="X835" s="8">
        <f>IF(COUNT(D835:V835)=0,"",MEDIAN(D835:V835))</f>
        <v/>
      </c>
      <c r="Y835" s="8">
        <f>IF(COUNT(D835:V835)=0,"",MAX(D835:V835))</f>
        <v/>
      </c>
      <c r="Z835" s="9">
        <f>IF(OR(W835="",W835=0),"",(Y835-W835)/W835)</f>
        <v/>
      </c>
      <c r="AA835" s="7">
        <f>IF(COUNT(D835:V835)=0,"",INDEX($D$1:$V$1,MATCH(MIN(D835:V835),D835:V835,0)))</f>
        <v/>
      </c>
      <c r="AB835" s="8" t="n">
        <v>766.3200000000001</v>
      </c>
      <c r="AC835" s="10" t="n">
        <v>2</v>
      </c>
    </row>
    <row r="836">
      <c r="A836" s="7" t="inlineStr">
        <is>
          <t>MAT-10-226</t>
        </is>
      </c>
      <c r="B836" s="4" t="inlineStr">
        <is>
          <t>Breaker enchufable 2P de 100 A</t>
        </is>
      </c>
      <c r="C836" s="7" t="inlineStr">
        <is>
          <t>unidad</t>
        </is>
      </c>
      <c r="D836" s="8" t="n"/>
      <c r="E836" s="8" t="n">
        <v>2820</v>
      </c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>
        <f>IF(COUNT(D836:V836)=0,"",MIN(D836:V836))</f>
        <v/>
      </c>
      <c r="X836" s="8">
        <f>IF(COUNT(D836:V836)=0,"",MEDIAN(D836:V836))</f>
        <v/>
      </c>
      <c r="Y836" s="8">
        <f>IF(COUNT(D836:V836)=0,"",MAX(D836:V836))</f>
        <v/>
      </c>
      <c r="Z836" s="9">
        <f>IF(OR(W836="",W836=0),"",(Y836-W836)/W836)</f>
        <v/>
      </c>
      <c r="AA836" s="7">
        <f>IF(COUNT(D836:V836)=0,"",INDEX($D$1:$V$1,MATCH(MIN(D836:V836),D836:V836,0)))</f>
        <v/>
      </c>
      <c r="AB836" s="8" t="n">
        <v>3203</v>
      </c>
      <c r="AC836" s="10" t="n">
        <v>1</v>
      </c>
    </row>
    <row r="837">
      <c r="A837" s="7" t="inlineStr">
        <is>
          <t>MAT-10-227</t>
        </is>
      </c>
      <c r="B837" s="4" t="inlineStr">
        <is>
          <t>Breaker enchufable 2P de 15 A</t>
        </is>
      </c>
      <c r="C837" s="7" t="inlineStr">
        <is>
          <t>unidad</t>
        </is>
      </c>
      <c r="D837" s="8" t="n"/>
      <c r="E837" s="8" t="n">
        <v>969.78</v>
      </c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>
        <f>IF(COUNT(D837:V837)=0,"",MIN(D837:V837))</f>
        <v/>
      </c>
      <c r="X837" s="8">
        <f>IF(COUNT(D837:V837)=0,"",MEDIAN(D837:V837))</f>
        <v/>
      </c>
      <c r="Y837" s="8">
        <f>IF(COUNT(D837:V837)=0,"",MAX(D837:V837))</f>
        <v/>
      </c>
      <c r="Z837" s="9">
        <f>IF(OR(W837="",W837=0),"",(Y837-W837)/W837)</f>
        <v/>
      </c>
      <c r="AA837" s="7">
        <f>IF(COUNT(D837:V837)=0,"",INDEX($D$1:$V$1,MATCH(MIN(D837:V837),D837:V837,0)))</f>
        <v/>
      </c>
      <c r="AB837" s="8" t="n">
        <v>1061.42</v>
      </c>
      <c r="AC837" s="10" t="n">
        <v>1</v>
      </c>
    </row>
    <row r="838">
      <c r="A838" s="7" t="inlineStr">
        <is>
          <t>MAT-10-228</t>
        </is>
      </c>
      <c r="B838" s="4" t="inlineStr">
        <is>
          <t>Breaker enchufable 2P de 20 A</t>
        </is>
      </c>
      <c r="C838" s="7" t="inlineStr">
        <is>
          <t>unidad</t>
        </is>
      </c>
      <c r="D838" s="8" t="n"/>
      <c r="E838" s="8" t="n">
        <v>1135</v>
      </c>
      <c r="F838" s="8" t="n"/>
      <c r="G838" s="8" t="n"/>
      <c r="H838" s="8" t="n"/>
      <c r="I838" s="8" t="n"/>
      <c r="J838" s="8" t="n"/>
      <c r="K838" s="8" t="n"/>
      <c r="L838" s="8" t="n">
        <v>1134.99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>
        <f>IF(COUNT(D838:V838)=0,"",MIN(D838:V838))</f>
        <v/>
      </c>
      <c r="X838" s="8">
        <f>IF(COUNT(D838:V838)=0,"",MEDIAN(D838:V838))</f>
        <v/>
      </c>
      <c r="Y838" s="8">
        <f>IF(COUNT(D838:V838)=0,"",MAX(D838:V838))</f>
        <v/>
      </c>
      <c r="Z838" s="9">
        <f>IF(OR(W838="",W838=0),"",(Y838-W838)/W838)</f>
        <v/>
      </c>
      <c r="AA838" s="7">
        <f>IF(COUNT(D838:V838)=0,"",INDEX($D$1:$V$1,MATCH(MIN(D838:V838),D838:V838,0)))</f>
        <v/>
      </c>
      <c r="AB838" s="8" t="n">
        <v>1157.5</v>
      </c>
      <c r="AC838" s="10" t="n">
        <v>2</v>
      </c>
    </row>
    <row r="839">
      <c r="A839" s="7" t="inlineStr">
        <is>
          <t>MAT-10-229</t>
        </is>
      </c>
      <c r="B839" s="4" t="inlineStr">
        <is>
          <t>Breaker enchufable 2P de 20 A, formato fino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>
        <v>1195</v>
      </c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>
        <f>IF(COUNT(D839:V839)=0,"",MIN(D839:V839))</f>
        <v/>
      </c>
      <c r="X839" s="8">
        <f>IF(COUNT(D839:V839)=0,"",MEDIAN(D839:V839))</f>
        <v/>
      </c>
      <c r="Y839" s="8">
        <f>IF(COUNT(D839:V839)=0,"",MAX(D839:V839))</f>
        <v/>
      </c>
      <c r="Z839" s="9">
        <f>IF(OR(W839="",W839=0),"",(Y839-W839)/W839)</f>
        <v/>
      </c>
      <c r="AA839" s="7">
        <f>IF(COUNT(D839:V839)=0,"",INDEX($D$1:$V$1,MATCH(MIN(D839:V839),D839:V839,0)))</f>
        <v/>
      </c>
      <c r="AB839" s="8" t="n">
        <v>1195</v>
      </c>
      <c r="AC839" s="10" t="n">
        <v>1</v>
      </c>
    </row>
    <row r="840">
      <c r="A840" s="7" t="inlineStr">
        <is>
          <t>MAT-10-230</t>
        </is>
      </c>
      <c r="B840" s="4" t="inlineStr">
        <is>
          <t>Breaker enchufable 2P de 30 A</t>
        </is>
      </c>
      <c r="C840" s="7" t="inlineStr">
        <is>
          <t>unidad</t>
        </is>
      </c>
      <c r="D840" s="8" t="n"/>
      <c r="E840" s="8" t="n">
        <v>896</v>
      </c>
      <c r="F840" s="8" t="n"/>
      <c r="G840" s="8" t="n"/>
      <c r="H840" s="8" t="n"/>
      <c r="I840" s="8" t="n"/>
      <c r="J840" s="8" t="n"/>
      <c r="K840" s="8" t="n"/>
      <c r="L840" s="8" t="n">
        <v>1134.99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>
        <f>IF(COUNT(D840:V840)=0,"",MIN(D840:V840))</f>
        <v/>
      </c>
      <c r="X840" s="8">
        <f>IF(COUNT(D840:V840)=0,"",MEDIAN(D840:V840))</f>
        <v/>
      </c>
      <c r="Y840" s="8">
        <f>IF(COUNT(D840:V840)=0,"",MAX(D840:V840))</f>
        <v/>
      </c>
      <c r="Z840" s="9">
        <f>IF(OR(W840="",W840=0),"",(Y840-W840)/W840)</f>
        <v/>
      </c>
      <c r="AA840" s="7">
        <f>IF(COUNT(D840:V840)=0,"",INDEX($D$1:$V$1,MATCH(MIN(D840:V840),D840:V840,0)))</f>
        <v/>
      </c>
      <c r="AB840" s="8" t="n">
        <v>1079.99</v>
      </c>
      <c r="AC840" s="10" t="n">
        <v>2</v>
      </c>
    </row>
    <row r="841">
      <c r="A841" s="7" t="inlineStr">
        <is>
          <t>MAT-10-231</t>
        </is>
      </c>
      <c r="B841" s="4" t="inlineStr">
        <is>
          <t>Breaker enchufable 2P de 30 A, formato fino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>
        <v>1165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>
        <f>IF(COUNT(D841:V841)=0,"",MIN(D841:V841))</f>
        <v/>
      </c>
      <c r="X841" s="8">
        <f>IF(COUNT(D841:V841)=0,"",MEDIAN(D841:V841))</f>
        <v/>
      </c>
      <c r="Y841" s="8">
        <f>IF(COUNT(D841:V841)=0,"",MAX(D841:V841))</f>
        <v/>
      </c>
      <c r="Z841" s="9">
        <f>IF(OR(W841="",W841=0),"",(Y841-W841)/W841)</f>
        <v/>
      </c>
      <c r="AA841" s="7">
        <f>IF(COUNT(D841:V841)=0,"",INDEX($D$1:$V$1,MATCH(MIN(D841:V841),D841:V841,0)))</f>
        <v/>
      </c>
      <c r="AB841" s="8" t="n">
        <v>1165</v>
      </c>
      <c r="AC841" s="10" t="n">
        <v>1</v>
      </c>
    </row>
    <row r="842">
      <c r="A842" s="7" t="inlineStr">
        <is>
          <t>MAT-10-232</t>
        </is>
      </c>
      <c r="B842" s="4" t="inlineStr">
        <is>
          <t>Breaker enchufable 2P de 40 A</t>
        </is>
      </c>
      <c r="C842" s="7" t="inlineStr">
        <is>
          <t>unidad</t>
        </is>
      </c>
      <c r="D842" s="8" t="n"/>
      <c r="E842" s="8" t="n">
        <v>976.05</v>
      </c>
      <c r="F842" s="8" t="n"/>
      <c r="G842" s="8" t="n"/>
      <c r="H842" s="8" t="n"/>
      <c r="I842" s="8" t="n"/>
      <c r="J842" s="8" t="n"/>
      <c r="K842" s="8" t="n"/>
      <c r="L842" s="8" t="n">
        <v>1134.99</v>
      </c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>
        <f>IF(COUNT(D842:V842)=0,"",MIN(D842:V842))</f>
        <v/>
      </c>
      <c r="X842" s="8">
        <f>IF(COUNT(D842:V842)=0,"",MEDIAN(D842:V842))</f>
        <v/>
      </c>
      <c r="Y842" s="8">
        <f>IF(COUNT(D842:V842)=0,"",MAX(D842:V842))</f>
        <v/>
      </c>
      <c r="Z842" s="9">
        <f>IF(OR(W842="",W842=0),"",(Y842-W842)/W842)</f>
        <v/>
      </c>
      <c r="AA842" s="7">
        <f>IF(COUNT(D842:V842)=0,"",INDEX($D$1:$V$1,MATCH(MIN(D842:V842),D842:V842,0)))</f>
        <v/>
      </c>
      <c r="AB842" s="8" t="n">
        <v>1034</v>
      </c>
      <c r="AC842" s="10" t="n">
        <v>2</v>
      </c>
    </row>
    <row r="843">
      <c r="A843" s="7" t="inlineStr">
        <is>
          <t>MAT-10-233</t>
        </is>
      </c>
      <c r="B843" s="4" t="inlineStr">
        <is>
          <t>Breaker enchufable 2P de 50 A</t>
        </is>
      </c>
      <c r="C843" s="7" t="inlineStr">
        <is>
          <t>unidad</t>
        </is>
      </c>
      <c r="D843" s="8" t="n"/>
      <c r="E843" s="8" t="n">
        <v>999.95</v>
      </c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>
        <f>IF(COUNT(D843:V843)=0,"",MIN(D843:V843))</f>
        <v/>
      </c>
      <c r="X843" s="8">
        <f>IF(COUNT(D843:V843)=0,"",MEDIAN(D843:V843))</f>
        <v/>
      </c>
      <c r="Y843" s="8">
        <f>IF(COUNT(D843:V843)=0,"",MAX(D843:V843))</f>
        <v/>
      </c>
      <c r="Z843" s="9">
        <f>IF(OR(W843="",W843=0),"",(Y843-W843)/W843)</f>
        <v/>
      </c>
      <c r="AA843" s="7">
        <f>IF(COUNT(D843:V843)=0,"",INDEX($D$1:$V$1,MATCH(MIN(D843:V843),D843:V843,0)))</f>
        <v/>
      </c>
      <c r="AB843" s="8" t="n">
        <v>1215</v>
      </c>
      <c r="AC843" s="10" t="n">
        <v>1</v>
      </c>
    </row>
    <row r="844">
      <c r="A844" s="7" t="inlineStr">
        <is>
          <t>MAT-10-234</t>
        </is>
      </c>
      <c r="B844" s="4" t="inlineStr">
        <is>
          <t>Breaker enchufable 2P de 60 A</t>
        </is>
      </c>
      <c r="C844" s="7" t="inlineStr">
        <is>
          <t>unidad</t>
        </is>
      </c>
      <c r="D844" s="8" t="n"/>
      <c r="E844" s="8" t="n">
        <v>1100</v>
      </c>
      <c r="F844" s="8" t="n"/>
      <c r="G844" s="8" t="n"/>
      <c r="H844" s="8" t="n"/>
      <c r="I844" s="8" t="n"/>
      <c r="J844" s="8" t="n"/>
      <c r="K844" s="8" t="n"/>
      <c r="L844" s="8" t="n">
        <v>1189.99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>
        <f>IF(COUNT(D844:V844)=0,"",MIN(D844:V844))</f>
        <v/>
      </c>
      <c r="X844" s="8">
        <f>IF(COUNT(D844:V844)=0,"",MEDIAN(D844:V844))</f>
        <v/>
      </c>
      <c r="Y844" s="8">
        <f>IF(COUNT(D844:V844)=0,"",MAX(D844:V844))</f>
        <v/>
      </c>
      <c r="Z844" s="9">
        <f>IF(OR(W844="",W844=0),"",(Y844-W844)/W844)</f>
        <v/>
      </c>
      <c r="AA844" s="7">
        <f>IF(COUNT(D844:V844)=0,"",INDEX($D$1:$V$1,MATCH(MIN(D844:V844),D844:V844,0)))</f>
        <v/>
      </c>
      <c r="AB844" s="8" t="n">
        <v>1189.99</v>
      </c>
      <c r="AC844" s="10" t="n">
        <v>2</v>
      </c>
    </row>
    <row r="845">
      <c r="A845" s="7" t="inlineStr">
        <is>
          <t>MAT-10-235</t>
        </is>
      </c>
      <c r="B845" s="4" t="inlineStr">
        <is>
          <t>Breaker enchufable 2P de 70 A</t>
        </is>
      </c>
      <c r="C845" s="7" t="inlineStr">
        <is>
          <t>unidad</t>
        </is>
      </c>
      <c r="D845" s="8" t="n"/>
      <c r="E845" s="8" t="n">
        <v>2720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>
        <f>IF(COUNT(D845:V845)=0,"",MIN(D845:V845))</f>
        <v/>
      </c>
      <c r="X845" s="8">
        <f>IF(COUNT(D845:V845)=0,"",MEDIAN(D845:V845))</f>
        <v/>
      </c>
      <c r="Y845" s="8">
        <f>IF(COUNT(D845:V845)=0,"",MAX(D845:V845))</f>
        <v/>
      </c>
      <c r="Z845" s="9">
        <f>IF(OR(W845="",W845=0),"",(Y845-W845)/W845)</f>
        <v/>
      </c>
      <c r="AA845" s="7">
        <f>IF(COUNT(D845:V845)=0,"",INDEX($D$1:$V$1,MATCH(MIN(D845:V845),D845:V845,0)))</f>
        <v/>
      </c>
      <c r="AB845" s="8" t="n">
        <v>2959.5</v>
      </c>
      <c r="AC845" s="10" t="n">
        <v>1</v>
      </c>
    </row>
    <row r="846">
      <c r="A846" s="7" t="inlineStr">
        <is>
          <t>MAT-10-236</t>
        </is>
      </c>
      <c r="B846" s="4" t="inlineStr">
        <is>
          <t>Breaker enchufable 2P de 80 A</t>
        </is>
      </c>
      <c r="C846" s="7" t="inlineStr">
        <is>
          <t>unidad</t>
        </is>
      </c>
      <c r="D846" s="8" t="n"/>
      <c r="E846" s="8" t="n">
        <v>2547.97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>
        <f>IF(COUNT(D846:V846)=0,"",MIN(D846:V846))</f>
        <v/>
      </c>
      <c r="X846" s="8">
        <f>IF(COUNT(D846:V846)=0,"",MEDIAN(D846:V846))</f>
        <v/>
      </c>
      <c r="Y846" s="8">
        <f>IF(COUNT(D846:V846)=0,"",MAX(D846:V846))</f>
        <v/>
      </c>
      <c r="Z846" s="9">
        <f>IF(OR(W846="",W846=0),"",(Y846-W846)/W846)</f>
        <v/>
      </c>
      <c r="AA846" s="7">
        <f>IF(COUNT(D846:V846)=0,"",INDEX($D$1:$V$1,MATCH(MIN(D846:V846),D846:V846,0)))</f>
        <v/>
      </c>
      <c r="AB846" s="8" t="n">
        <v>2810.48</v>
      </c>
      <c r="AC846" s="10" t="n">
        <v>1</v>
      </c>
    </row>
    <row r="847">
      <c r="A847" s="7" t="inlineStr">
        <is>
          <t>MAT-10-237</t>
        </is>
      </c>
      <c r="B847" s="4" t="inlineStr">
        <is>
          <t>Breaker enchufable 2P de 90 A</t>
        </is>
      </c>
      <c r="C847" s="7" t="inlineStr">
        <is>
          <t>unidad</t>
        </is>
      </c>
      <c r="D847" s="8" t="n"/>
      <c r="E847" s="8" t="n">
        <v>2968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>
        <f>IF(COUNT(D847:V847)=0,"",MIN(D847:V847))</f>
        <v/>
      </c>
      <c r="X847" s="8">
        <f>IF(COUNT(D847:V847)=0,"",MEDIAN(D847:V847))</f>
        <v/>
      </c>
      <c r="Y847" s="8">
        <f>IF(COUNT(D847:V847)=0,"",MAX(D847:V847))</f>
        <v/>
      </c>
      <c r="Z847" s="9">
        <f>IF(OR(W847="",W847=0),"",(Y847-W847)/W847)</f>
        <v/>
      </c>
      <c r="AA847" s="7">
        <f>IF(COUNT(D847:V847)=0,"",INDEX($D$1:$V$1,MATCH(MIN(D847:V847),D847:V847,0)))</f>
        <v/>
      </c>
      <c r="AB847" s="8" t="n">
        <v>2968</v>
      </c>
      <c r="AC847" s="10" t="n">
        <v>1</v>
      </c>
    </row>
    <row r="848">
      <c r="A848" s="7" t="inlineStr">
        <is>
          <t>MAT-10-238</t>
        </is>
      </c>
      <c r="B848" s="4" t="inlineStr">
        <is>
          <t>Breaker enchufable 3P de 100 A</t>
        </is>
      </c>
      <c r="C848" s="7" t="inlineStr">
        <is>
          <t>unidad</t>
        </is>
      </c>
      <c r="D848" s="8" t="n"/>
      <c r="E848" s="8" t="n">
        <v>6940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>
        <f>IF(COUNT(D848:V848)=0,"",MIN(D848:V848))</f>
        <v/>
      </c>
      <c r="X848" s="8">
        <f>IF(COUNT(D848:V848)=0,"",MEDIAN(D848:V848))</f>
        <v/>
      </c>
      <c r="Y848" s="8">
        <f>IF(COUNT(D848:V848)=0,"",MAX(D848:V848))</f>
        <v/>
      </c>
      <c r="Z848" s="9">
        <f>IF(OR(W848="",W848=0),"",(Y848-W848)/W848)</f>
        <v/>
      </c>
      <c r="AA848" s="7">
        <f>IF(COUNT(D848:V848)=0,"",INDEX($D$1:$V$1,MATCH(MIN(D848:V848),D848:V848,0)))</f>
        <v/>
      </c>
      <c r="AB848" s="8" t="n">
        <v>6940</v>
      </c>
      <c r="AC848" s="10" t="n">
        <v>1</v>
      </c>
    </row>
    <row r="849">
      <c r="A849" s="7" t="inlineStr">
        <is>
          <t>MAT-10-239</t>
        </is>
      </c>
      <c r="B849" s="4" t="inlineStr">
        <is>
          <t>Breaker enchufable 3P de 15 A</t>
        </is>
      </c>
      <c r="C849" s="7" t="inlineStr">
        <is>
          <t>unidad</t>
        </is>
      </c>
      <c r="D849" s="8" t="n"/>
      <c r="E849" s="8" t="n">
        <v>2309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>
        <f>IF(COUNT(D849:V849)=0,"",MIN(D849:V849))</f>
        <v/>
      </c>
      <c r="X849" s="8">
        <f>IF(COUNT(D849:V849)=0,"",MEDIAN(D849:V849))</f>
        <v/>
      </c>
      <c r="Y849" s="8">
        <f>IF(COUNT(D849:V849)=0,"",MAX(D849:V849))</f>
        <v/>
      </c>
      <c r="Z849" s="9">
        <f>IF(OR(W849="",W849=0),"",(Y849-W849)/W849)</f>
        <v/>
      </c>
      <c r="AA849" s="7">
        <f>IF(COUNT(D849:V849)=0,"",INDEX($D$1:$V$1,MATCH(MIN(D849:V849),D849:V849,0)))</f>
        <v/>
      </c>
      <c r="AB849" s="8" t="n">
        <v>3062</v>
      </c>
      <c r="AC849" s="10" t="n">
        <v>1</v>
      </c>
    </row>
    <row r="850">
      <c r="A850" s="7" t="inlineStr">
        <is>
          <t>MAT-10-240</t>
        </is>
      </c>
      <c r="B850" s="4" t="inlineStr">
        <is>
          <t>Breaker enchufable 3P de 20 A</t>
        </is>
      </c>
      <c r="C850" s="7" t="inlineStr">
        <is>
          <t>unidad</t>
        </is>
      </c>
      <c r="D850" s="8" t="n"/>
      <c r="E850" s="8" t="n">
        <v>3815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>
        <f>IF(COUNT(D850:V850)=0,"",MIN(D850:V850))</f>
        <v/>
      </c>
      <c r="X850" s="8">
        <f>IF(COUNT(D850:V850)=0,"",MEDIAN(D850:V850))</f>
        <v/>
      </c>
      <c r="Y850" s="8">
        <f>IF(COUNT(D850:V850)=0,"",MAX(D850:V850))</f>
        <v/>
      </c>
      <c r="Z850" s="9">
        <f>IF(OR(W850="",W850=0),"",(Y850-W850)/W850)</f>
        <v/>
      </c>
      <c r="AA850" s="7">
        <f>IF(COUNT(D850:V850)=0,"",INDEX($D$1:$V$1,MATCH(MIN(D850:V850),D850:V850,0)))</f>
        <v/>
      </c>
      <c r="AB850" s="8" t="n">
        <v>4801</v>
      </c>
      <c r="AC850" s="10" t="n">
        <v>1</v>
      </c>
    </row>
    <row r="851">
      <c r="A851" s="7" t="inlineStr">
        <is>
          <t>MAT-10-241</t>
        </is>
      </c>
      <c r="B851" s="4" t="inlineStr">
        <is>
          <t>Breaker enchufable 3P de 40 A</t>
        </is>
      </c>
      <c r="C851" s="7" t="inlineStr">
        <is>
          <t>unidad</t>
        </is>
      </c>
      <c r="D851" s="8" t="n"/>
      <c r="E851" s="8" t="n">
        <v>4310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>
        <f>IF(COUNT(D851:V851)=0,"",MIN(D851:V851))</f>
        <v/>
      </c>
      <c r="X851" s="8">
        <f>IF(COUNT(D851:V851)=0,"",MEDIAN(D851:V851))</f>
        <v/>
      </c>
      <c r="Y851" s="8">
        <f>IF(COUNT(D851:V851)=0,"",MAX(D851:V851))</f>
        <v/>
      </c>
      <c r="Z851" s="9">
        <f>IF(OR(W851="",W851=0),"",(Y851-W851)/W851)</f>
        <v/>
      </c>
      <c r="AA851" s="7">
        <f>IF(COUNT(D851:V851)=0,"",INDEX($D$1:$V$1,MATCH(MIN(D851:V851),D851:V851,0)))</f>
        <v/>
      </c>
      <c r="AB851" s="8" t="n">
        <v>4357.5</v>
      </c>
      <c r="AC851" s="10" t="n">
        <v>1</v>
      </c>
    </row>
    <row r="852">
      <c r="A852" s="7" t="inlineStr">
        <is>
          <t>MAT-10-242</t>
        </is>
      </c>
      <c r="B852" s="4" t="inlineStr">
        <is>
          <t>Breaker enchufable 3P de 50 A</t>
        </is>
      </c>
      <c r="C852" s="7" t="inlineStr">
        <is>
          <t>unidad</t>
        </is>
      </c>
      <c r="D852" s="8" t="n"/>
      <c r="E852" s="8" t="n">
        <v>4310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>
        <f>IF(COUNT(D852:V852)=0,"",MIN(D852:V852))</f>
        <v/>
      </c>
      <c r="X852" s="8">
        <f>IF(COUNT(D852:V852)=0,"",MEDIAN(D852:V852))</f>
        <v/>
      </c>
      <c r="Y852" s="8">
        <f>IF(COUNT(D852:V852)=0,"",MAX(D852:V852))</f>
        <v/>
      </c>
      <c r="Z852" s="9">
        <f>IF(OR(W852="",W852=0),"",(Y852-W852)/W852)</f>
        <v/>
      </c>
      <c r="AA852" s="7">
        <f>IF(COUNT(D852:V852)=0,"",INDEX($D$1:$V$1,MATCH(MIN(D852:V852),D852:V852,0)))</f>
        <v/>
      </c>
      <c r="AB852" s="8" t="n">
        <v>5048.5</v>
      </c>
      <c r="AC852" s="10" t="n">
        <v>1</v>
      </c>
    </row>
    <row r="853">
      <c r="A853" s="7" t="inlineStr">
        <is>
          <t>MAT-10-243</t>
        </is>
      </c>
      <c r="B853" s="4" t="inlineStr">
        <is>
          <t>Breaker enchufable 3P de 60 A</t>
        </is>
      </c>
      <c r="C853" s="7" t="inlineStr">
        <is>
          <t>unidad</t>
        </is>
      </c>
      <c r="D853" s="8" t="n"/>
      <c r="E853" s="8" t="n">
        <v>3933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>
        <f>IF(COUNT(D853:V853)=0,"",MIN(D853:V853))</f>
        <v/>
      </c>
      <c r="X853" s="8">
        <f>IF(COUNT(D853:V853)=0,"",MEDIAN(D853:V853))</f>
        <v/>
      </c>
      <c r="Y853" s="8">
        <f>IF(COUNT(D853:V853)=0,"",MAX(D853:V853))</f>
        <v/>
      </c>
      <c r="Z853" s="9">
        <f>IF(OR(W853="",W853=0),"",(Y853-W853)/W853)</f>
        <v/>
      </c>
      <c r="AA853" s="7">
        <f>IF(COUNT(D853:V853)=0,"",INDEX($D$1:$V$1,MATCH(MIN(D853:V853),D853:V853,0)))</f>
        <v/>
      </c>
      <c r="AB853" s="8" t="n">
        <v>4121.5</v>
      </c>
      <c r="AC853" s="10" t="n">
        <v>1</v>
      </c>
    </row>
    <row r="854">
      <c r="A854" s="7" t="inlineStr">
        <is>
          <t>MAT-10-244</t>
        </is>
      </c>
      <c r="B854" s="4" t="inlineStr">
        <is>
          <t>Breaker enchufable 3P de 70 A</t>
        </is>
      </c>
      <c r="C854" s="7" t="inlineStr">
        <is>
          <t>unidad</t>
        </is>
      </c>
      <c r="D854" s="8" t="n"/>
      <c r="E854" s="8" t="n">
        <v>5328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>
        <f>IF(COUNT(D854:V854)=0,"",MIN(D854:V854))</f>
        <v/>
      </c>
      <c r="X854" s="8">
        <f>IF(COUNT(D854:V854)=0,"",MEDIAN(D854:V854))</f>
        <v/>
      </c>
      <c r="Y854" s="8">
        <f>IF(COUNT(D854:V854)=0,"",MAX(D854:V854))</f>
        <v/>
      </c>
      <c r="Z854" s="9">
        <f>IF(OR(W854="",W854=0),"",(Y854-W854)/W854)</f>
        <v/>
      </c>
      <c r="AA854" s="7">
        <f>IF(COUNT(D854:V854)=0,"",INDEX($D$1:$V$1,MATCH(MIN(D854:V854),D854:V854,0)))</f>
        <v/>
      </c>
      <c r="AB854" s="8" t="n">
        <v>5519</v>
      </c>
      <c r="AC854" s="10" t="n">
        <v>1</v>
      </c>
    </row>
    <row r="855">
      <c r="A855" s="7" t="inlineStr">
        <is>
          <t>MAT-10-245</t>
        </is>
      </c>
      <c r="B855" s="4" t="inlineStr">
        <is>
          <t>Breaker enchufable 3P de 80 A</t>
        </is>
      </c>
      <c r="C855" s="7" t="inlineStr">
        <is>
          <t>unidad</t>
        </is>
      </c>
      <c r="D855" s="8" t="n"/>
      <c r="E855" s="8" t="n">
        <v>5739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>
        <f>IF(COUNT(D855:V855)=0,"",MIN(D855:V855))</f>
        <v/>
      </c>
      <c r="X855" s="8">
        <f>IF(COUNT(D855:V855)=0,"",MEDIAN(D855:V855))</f>
        <v/>
      </c>
      <c r="Y855" s="8">
        <f>IF(COUNT(D855:V855)=0,"",MAX(D855:V855))</f>
        <v/>
      </c>
      <c r="Z855" s="9">
        <f>IF(OR(W855="",W855=0),"",(Y855-W855)/W855)</f>
        <v/>
      </c>
      <c r="AA855" s="7">
        <f>IF(COUNT(D855:V855)=0,"",INDEX($D$1:$V$1,MATCH(MIN(D855:V855),D855:V855,0)))</f>
        <v/>
      </c>
      <c r="AB855" s="8" t="n">
        <v>6059.5</v>
      </c>
      <c r="AC855" s="10" t="n">
        <v>1</v>
      </c>
    </row>
    <row r="856">
      <c r="A856" s="7" t="inlineStr">
        <is>
          <t>MAT-10-246</t>
        </is>
      </c>
      <c r="B856" s="4" t="inlineStr">
        <is>
          <t>Breaker enchufable 3P de 90 A</t>
        </is>
      </c>
      <c r="C856" s="7" t="inlineStr">
        <is>
          <t>unidad</t>
        </is>
      </c>
      <c r="D856" s="8" t="n"/>
      <c r="E856" s="8" t="n">
        <v>4647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>
        <f>IF(COUNT(D856:V856)=0,"",MIN(D856:V856))</f>
        <v/>
      </c>
      <c r="X856" s="8">
        <f>IF(COUNT(D856:V856)=0,"",MEDIAN(D856:V856))</f>
        <v/>
      </c>
      <c r="Y856" s="8">
        <f>IF(COUNT(D856:V856)=0,"",MAX(D856:V856))</f>
        <v/>
      </c>
      <c r="Z856" s="9">
        <f>IF(OR(W856="",W856=0),"",(Y856-W856)/W856)</f>
        <v/>
      </c>
      <c r="AA856" s="7">
        <f>IF(COUNT(D856:V856)=0,"",INDEX($D$1:$V$1,MATCH(MIN(D856:V856),D856:V856,0)))</f>
        <v/>
      </c>
      <c r="AB856" s="8" t="n">
        <v>4887.62</v>
      </c>
      <c r="AC856" s="10" t="n">
        <v>1</v>
      </c>
    </row>
    <row r="857">
      <c r="A857" s="7" t="inlineStr">
        <is>
          <t>MAT-10-247</t>
        </is>
      </c>
      <c r="B857" s="4" t="inlineStr">
        <is>
          <t>Panel de breakers de 1 espacios</t>
        </is>
      </c>
      <c r="C857" s="7" t="inlineStr">
        <is>
          <t>unidad</t>
        </is>
      </c>
      <c r="D857" s="8" t="n"/>
      <c r="E857" s="8" t="n">
        <v>9622.41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>
        <f>IF(COUNT(D857:V857)=0,"",MIN(D857:V857))</f>
        <v/>
      </c>
      <c r="X857" s="8">
        <f>IF(COUNT(D857:V857)=0,"",MEDIAN(D857:V857))</f>
        <v/>
      </c>
      <c r="Y857" s="8">
        <f>IF(COUNT(D857:V857)=0,"",MAX(D857:V857))</f>
        <v/>
      </c>
      <c r="Z857" s="9">
        <f>IF(OR(W857="",W857=0),"",(Y857-W857)/W857)</f>
        <v/>
      </c>
      <c r="AA857" s="7">
        <f>IF(COUNT(D857:V857)=0,"",INDEX($D$1:$V$1,MATCH(MIN(D857:V857),D857:V857,0)))</f>
        <v/>
      </c>
      <c r="AB857" s="8" t="n">
        <v>9622.41</v>
      </c>
      <c r="AC857" s="10" t="n">
        <v>1</v>
      </c>
    </row>
    <row r="858">
      <c r="A858" s="7" t="inlineStr">
        <is>
          <t>MAT-10-248</t>
        </is>
      </c>
      <c r="B858" s="4" t="inlineStr">
        <is>
          <t>Panel de breakers de 12 espacios</t>
        </is>
      </c>
      <c r="C858" s="7" t="inlineStr">
        <is>
          <t>unidad</t>
        </is>
      </c>
      <c r="D858" s="8" t="n"/>
      <c r="E858" s="8" t="n">
        <v>3829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>
        <f>IF(COUNT(D858:V858)=0,"",MIN(D858:V858))</f>
        <v/>
      </c>
      <c r="X858" s="8">
        <f>IF(COUNT(D858:V858)=0,"",MEDIAN(D858:V858))</f>
        <v/>
      </c>
      <c r="Y858" s="8">
        <f>IF(COUNT(D858:V858)=0,"",MAX(D858:V858))</f>
        <v/>
      </c>
      <c r="Z858" s="9">
        <f>IF(OR(W858="",W858=0),"",(Y858-W858)/W858)</f>
        <v/>
      </c>
      <c r="AA858" s="7">
        <f>IF(COUNT(D858:V858)=0,"",INDEX($D$1:$V$1,MATCH(MIN(D858:V858),D858:V858,0)))</f>
        <v/>
      </c>
      <c r="AB858" s="8" t="n">
        <v>3920</v>
      </c>
      <c r="AC858" s="10" t="n">
        <v>1</v>
      </c>
    </row>
    <row r="859">
      <c r="A859" s="7" t="inlineStr">
        <is>
          <t>MAT-10-249</t>
        </is>
      </c>
      <c r="B859" s="4" t="inlineStr">
        <is>
          <t>Panel de breakers de 16 espacios</t>
        </is>
      </c>
      <c r="C859" s="7" t="inlineStr">
        <is>
          <t>unidad</t>
        </is>
      </c>
      <c r="D859" s="8" t="n"/>
      <c r="E859" s="8" t="n">
        <v>1522</v>
      </c>
      <c r="F859" s="8" t="n"/>
      <c r="G859" s="8" t="n"/>
      <c r="H859" s="8" t="n"/>
      <c r="I859" s="8" t="n"/>
      <c r="J859" s="8" t="n"/>
      <c r="K859" s="8" t="n"/>
      <c r="L859" s="8" t="n">
        <v>4755</v>
      </c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>
        <f>IF(COUNT(D859:V859)=0,"",MIN(D859:V859))</f>
        <v/>
      </c>
      <c r="X859" s="8">
        <f>IF(COUNT(D859:V859)=0,"",MEDIAN(D859:V859))</f>
        <v/>
      </c>
      <c r="Y859" s="8">
        <f>IF(COUNT(D859:V859)=0,"",MAX(D859:V859))</f>
        <v/>
      </c>
      <c r="Z859" s="9">
        <f>IF(OR(W859="",W859=0),"",(Y859-W859)/W859)</f>
        <v/>
      </c>
      <c r="AA859" s="7">
        <f>IF(COUNT(D859:V859)=0,"",INDEX($D$1:$V$1,MATCH(MIN(D859:V859),D859:V859,0)))</f>
        <v/>
      </c>
      <c r="AB859" s="8" t="n">
        <v>4044</v>
      </c>
      <c r="AC859" s="10" t="n">
        <v>2</v>
      </c>
    </row>
    <row r="860">
      <c r="A860" s="7" t="inlineStr">
        <is>
          <t>MAT-10-250</t>
        </is>
      </c>
      <c r="B860" s="4" t="inlineStr">
        <is>
          <t>Panel de breakers de 18 espacios</t>
        </is>
      </c>
      <c r="C860" s="7" t="inlineStr">
        <is>
          <t>unidad</t>
        </is>
      </c>
      <c r="D860" s="8" t="n"/>
      <c r="E860" s="8" t="n">
        <v>14240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>
        <f>IF(COUNT(D860:V860)=0,"",MIN(D860:V860))</f>
        <v/>
      </c>
      <c r="X860" s="8">
        <f>IF(COUNT(D860:V860)=0,"",MEDIAN(D860:V860))</f>
        <v/>
      </c>
      <c r="Y860" s="8">
        <f>IF(COUNT(D860:V860)=0,"",MAX(D860:V860))</f>
        <v/>
      </c>
      <c r="Z860" s="9">
        <f>IF(OR(W860="",W860=0),"",(Y860-W860)/W860)</f>
        <v/>
      </c>
      <c r="AA860" s="7">
        <f>IF(COUNT(D860:V860)=0,"",INDEX($D$1:$V$1,MATCH(MIN(D860:V860),D860:V860,0)))</f>
        <v/>
      </c>
      <c r="AB860" s="8" t="n">
        <v>14240</v>
      </c>
      <c r="AC860" s="10" t="n">
        <v>1</v>
      </c>
    </row>
    <row r="861">
      <c r="A861" s="7" t="inlineStr">
        <is>
          <t>MAT-10-251</t>
        </is>
      </c>
      <c r="B861" s="4" t="inlineStr">
        <is>
          <t>Panel de breakers de 2 espacios</t>
        </is>
      </c>
      <c r="C861" s="7" t="inlineStr">
        <is>
          <t>unidad</t>
        </is>
      </c>
      <c r="D861" s="8" t="n"/>
      <c r="E861" s="8" t="n">
        <v>180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>
        <f>IF(COUNT(D861:V861)=0,"",MIN(D861:V861))</f>
        <v/>
      </c>
      <c r="X861" s="8">
        <f>IF(COUNT(D861:V861)=0,"",MEDIAN(D861:V861))</f>
        <v/>
      </c>
      <c r="Y861" s="8">
        <f>IF(COUNT(D861:V861)=0,"",MAX(D861:V861))</f>
        <v/>
      </c>
      <c r="Z861" s="9">
        <f>IF(OR(W861="",W861=0),"",(Y861-W861)/W861)</f>
        <v/>
      </c>
      <c r="AA861" s="7">
        <f>IF(COUNT(D861:V861)=0,"",INDEX($D$1:$V$1,MATCH(MIN(D861:V861),D861:V861,0)))</f>
        <v/>
      </c>
      <c r="AB861" s="8" t="n">
        <v>180</v>
      </c>
      <c r="AC861" s="10" t="n">
        <v>1</v>
      </c>
    </row>
    <row r="862">
      <c r="A862" s="7" t="inlineStr">
        <is>
          <t>MAT-10-252</t>
        </is>
      </c>
      <c r="B862" s="4" t="inlineStr">
        <is>
          <t>Panel de breakers de 24 espacios</t>
        </is>
      </c>
      <c r="C862" s="7" t="inlineStr">
        <is>
          <t>unidad</t>
        </is>
      </c>
      <c r="D862" s="8" t="n"/>
      <c r="E862" s="8" t="n">
        <v>4431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>
        <f>IF(COUNT(D862:V862)=0,"",MIN(D862:V862))</f>
        <v/>
      </c>
      <c r="X862" s="8">
        <f>IF(COUNT(D862:V862)=0,"",MEDIAN(D862:V862))</f>
        <v/>
      </c>
      <c r="Y862" s="8">
        <f>IF(COUNT(D862:V862)=0,"",MAX(D862:V862))</f>
        <v/>
      </c>
      <c r="Z862" s="9">
        <f>IF(OR(W862="",W862=0),"",(Y862-W862)/W862)</f>
        <v/>
      </c>
      <c r="AA862" s="7">
        <f>IF(COUNT(D862:V862)=0,"",INDEX($D$1:$V$1,MATCH(MIN(D862:V862),D862:V862,0)))</f>
        <v/>
      </c>
      <c r="AB862" s="8" t="n">
        <v>11419.5</v>
      </c>
      <c r="AC862" s="10" t="n">
        <v>1</v>
      </c>
    </row>
    <row r="863">
      <c r="A863" s="7" t="inlineStr">
        <is>
          <t>MAT-10-253</t>
        </is>
      </c>
      <c r="B863" s="4" t="inlineStr">
        <is>
          <t>Panel de breakers de 3 espacios</t>
        </is>
      </c>
      <c r="C863" s="7" t="inlineStr">
        <is>
          <t>unidad</t>
        </is>
      </c>
      <c r="D863" s="8" t="n"/>
      <c r="E863" s="8" t="n">
        <v>5730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>
        <f>IF(COUNT(D863:V863)=0,"",MIN(D863:V863))</f>
        <v/>
      </c>
      <c r="X863" s="8">
        <f>IF(COUNT(D863:V863)=0,"",MEDIAN(D863:V863))</f>
        <v/>
      </c>
      <c r="Y863" s="8">
        <f>IF(COUNT(D863:V863)=0,"",MAX(D863:V863))</f>
        <v/>
      </c>
      <c r="Z863" s="9">
        <f>IF(OR(W863="",W863=0),"",(Y863-W863)/W863)</f>
        <v/>
      </c>
      <c r="AA863" s="7">
        <f>IF(COUNT(D863:V863)=0,"",INDEX($D$1:$V$1,MATCH(MIN(D863:V863),D863:V863,0)))</f>
        <v/>
      </c>
      <c r="AB863" s="8" t="n">
        <v>5730</v>
      </c>
      <c r="AC863" s="10" t="n">
        <v>1</v>
      </c>
    </row>
    <row r="864">
      <c r="A864" s="7" t="inlineStr">
        <is>
          <t>MAT-10-254</t>
        </is>
      </c>
      <c r="B864" s="4" t="inlineStr">
        <is>
          <t>Panel de breakers de 30 espacios</t>
        </is>
      </c>
      <c r="C864" s="7" t="inlineStr">
        <is>
          <t>unidad</t>
        </is>
      </c>
      <c r="D864" s="8" t="n"/>
      <c r="E864" s="8" t="n">
        <v>14169.46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>
        <f>IF(COUNT(D864:V864)=0,"",MIN(D864:V864))</f>
        <v/>
      </c>
      <c r="X864" s="8">
        <f>IF(COUNT(D864:V864)=0,"",MEDIAN(D864:V864))</f>
        <v/>
      </c>
      <c r="Y864" s="8">
        <f>IF(COUNT(D864:V864)=0,"",MAX(D864:V864))</f>
        <v/>
      </c>
      <c r="Z864" s="9">
        <f>IF(OR(W864="",W864=0),"",(Y864-W864)/W864)</f>
        <v/>
      </c>
      <c r="AA864" s="7">
        <f>IF(COUNT(D864:V864)=0,"",INDEX($D$1:$V$1,MATCH(MIN(D864:V864),D864:V864,0)))</f>
        <v/>
      </c>
      <c r="AB864" s="8" t="n">
        <v>14169.46</v>
      </c>
      <c r="AC864" s="10" t="n">
        <v>1</v>
      </c>
    </row>
    <row r="865">
      <c r="A865" s="7" t="inlineStr">
        <is>
          <t>MAT-10-255</t>
        </is>
      </c>
      <c r="B865" s="4" t="inlineStr">
        <is>
          <t>Panel de breakers de 32 espacios</t>
        </is>
      </c>
      <c r="C865" s="7" t="inlineStr">
        <is>
          <t>unidad</t>
        </is>
      </c>
      <c r="D865" s="8" t="n"/>
      <c r="E865" s="8" t="n">
        <v>8136.48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>
        <f>IF(COUNT(D865:V865)=0,"",MIN(D865:V865))</f>
        <v/>
      </c>
      <c r="X865" s="8">
        <f>IF(COUNT(D865:V865)=0,"",MEDIAN(D865:V865))</f>
        <v/>
      </c>
      <c r="Y865" s="8">
        <f>IF(COUNT(D865:V865)=0,"",MAX(D865:V865))</f>
        <v/>
      </c>
      <c r="Z865" s="9">
        <f>IF(OR(W865="",W865=0),"",(Y865-W865)/W865)</f>
        <v/>
      </c>
      <c r="AA865" s="7">
        <f>IF(COUNT(D865:V865)=0,"",INDEX($D$1:$V$1,MATCH(MIN(D865:V865),D865:V865,0)))</f>
        <v/>
      </c>
      <c r="AB865" s="8" t="n">
        <v>8136.48</v>
      </c>
      <c r="AC865" s="10" t="n">
        <v>1</v>
      </c>
    </row>
    <row r="866">
      <c r="A866" s="7" t="inlineStr">
        <is>
          <t>MAT-10-256</t>
        </is>
      </c>
      <c r="B866" s="4" t="inlineStr">
        <is>
          <t>Panel de breakers de 36 espacios</t>
        </is>
      </c>
      <c r="C866" s="7" t="inlineStr">
        <is>
          <t>unidad</t>
        </is>
      </c>
      <c r="D866" s="8" t="n"/>
      <c r="E866" s="8" t="n">
        <v>16369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>
        <f>IF(COUNT(D866:V866)=0,"",MIN(D866:V866))</f>
        <v/>
      </c>
      <c r="X866" s="8">
        <f>IF(COUNT(D866:V866)=0,"",MEDIAN(D866:V866))</f>
        <v/>
      </c>
      <c r="Y866" s="8">
        <f>IF(COUNT(D866:V866)=0,"",MAX(D866:V866))</f>
        <v/>
      </c>
      <c r="Z866" s="9">
        <f>IF(OR(W866="",W866=0),"",(Y866-W866)/W866)</f>
        <v/>
      </c>
      <c r="AA866" s="7">
        <f>IF(COUNT(D866:V866)=0,"",INDEX($D$1:$V$1,MATCH(MIN(D866:V866),D866:V866,0)))</f>
        <v/>
      </c>
      <c r="AB866" s="8" t="n">
        <v>16369</v>
      </c>
      <c r="AC866" s="10" t="n">
        <v>1</v>
      </c>
    </row>
    <row r="867">
      <c r="A867" s="7" t="inlineStr">
        <is>
          <t>MAT-10-257</t>
        </is>
      </c>
      <c r="B867" s="4" t="inlineStr">
        <is>
          <t>Panel de breakers de 4 espacios</t>
        </is>
      </c>
      <c r="C867" s="7" t="inlineStr">
        <is>
          <t>unidad</t>
        </is>
      </c>
      <c r="D867" s="8" t="n"/>
      <c r="E867" s="8" t="n">
        <v>629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>
        <f>IF(COUNT(D867:V867)=0,"",MIN(D867:V867))</f>
        <v/>
      </c>
      <c r="X867" s="8">
        <f>IF(COUNT(D867:V867)=0,"",MEDIAN(D867:V867))</f>
        <v/>
      </c>
      <c r="Y867" s="8">
        <f>IF(COUNT(D867:V867)=0,"",MAX(D867:V867))</f>
        <v/>
      </c>
      <c r="Z867" s="9">
        <f>IF(OR(W867="",W867=0),"",(Y867-W867)/W867)</f>
        <v/>
      </c>
      <c r="AA867" s="7">
        <f>IF(COUNT(D867:V867)=0,"",INDEX($D$1:$V$1,MATCH(MIN(D867:V867),D867:V867,0)))</f>
        <v/>
      </c>
      <c r="AB867" s="8" t="n">
        <v>1855</v>
      </c>
      <c r="AC867" s="10" t="n">
        <v>1</v>
      </c>
    </row>
    <row r="868">
      <c r="A868" s="7" t="inlineStr">
        <is>
          <t>MAT-10-258</t>
        </is>
      </c>
      <c r="B868" s="4" t="inlineStr">
        <is>
          <t>Panel de breakers de 40 espacios</t>
        </is>
      </c>
      <c r="C868" s="7" t="inlineStr">
        <is>
          <t>unidad</t>
        </is>
      </c>
      <c r="D868" s="8" t="n"/>
      <c r="E868" s="8" t="n">
        <v>9743.09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>
        <f>IF(COUNT(D868:V868)=0,"",MIN(D868:V868))</f>
        <v/>
      </c>
      <c r="X868" s="8">
        <f>IF(COUNT(D868:V868)=0,"",MEDIAN(D868:V868))</f>
        <v/>
      </c>
      <c r="Y868" s="8">
        <f>IF(COUNT(D868:V868)=0,"",MAX(D868:V868))</f>
        <v/>
      </c>
      <c r="Z868" s="9">
        <f>IF(OR(W868="",W868=0),"",(Y868-W868)/W868)</f>
        <v/>
      </c>
      <c r="AA868" s="7">
        <f>IF(COUNT(D868:V868)=0,"",INDEX($D$1:$V$1,MATCH(MIN(D868:V868),D868:V868,0)))</f>
        <v/>
      </c>
      <c r="AB868" s="8" t="n">
        <v>9743.09</v>
      </c>
      <c r="AC868" s="10" t="n">
        <v>1</v>
      </c>
    </row>
    <row r="869">
      <c r="A869" s="7" t="inlineStr">
        <is>
          <t>MAT-10-259</t>
        </is>
      </c>
      <c r="B869" s="4" t="inlineStr">
        <is>
          <t>Panel de breakers de 42 espacios</t>
        </is>
      </c>
      <c r="C869" s="7" t="inlineStr">
        <is>
          <t>unidad</t>
        </is>
      </c>
      <c r="D869" s="8" t="n"/>
      <c r="E869" s="8" t="n">
        <v>11250.61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>
        <f>IF(COUNT(D869:V869)=0,"",MIN(D869:V869))</f>
        <v/>
      </c>
      <c r="X869" s="8">
        <f>IF(COUNT(D869:V869)=0,"",MEDIAN(D869:V869))</f>
        <v/>
      </c>
      <c r="Y869" s="8">
        <f>IF(COUNT(D869:V869)=0,"",MAX(D869:V869))</f>
        <v/>
      </c>
      <c r="Z869" s="9">
        <f>IF(OR(W869="",W869=0),"",(Y869-W869)/W869)</f>
        <v/>
      </c>
      <c r="AA869" s="7">
        <f>IF(COUNT(D869:V869)=0,"",INDEX($D$1:$V$1,MATCH(MIN(D869:V869),D869:V869,0)))</f>
        <v/>
      </c>
      <c r="AB869" s="8" t="n">
        <v>20121.46</v>
      </c>
      <c r="AC869" s="10" t="n">
        <v>1</v>
      </c>
    </row>
    <row r="870">
      <c r="A870" s="7" t="inlineStr">
        <is>
          <t>MAT-10-260</t>
        </is>
      </c>
      <c r="B870" s="4" t="inlineStr">
        <is>
          <t>Panel de breakers de 48 espacios</t>
        </is>
      </c>
      <c r="C870" s="7" t="inlineStr">
        <is>
          <t>unidad</t>
        </is>
      </c>
      <c r="D870" s="8" t="n"/>
      <c r="E870" s="8" t="n">
        <v>11883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>
        <f>IF(COUNT(D870:V870)=0,"",MIN(D870:V870))</f>
        <v/>
      </c>
      <c r="X870" s="8">
        <f>IF(COUNT(D870:V870)=0,"",MEDIAN(D870:V870))</f>
        <v/>
      </c>
      <c r="Y870" s="8">
        <f>IF(COUNT(D870:V870)=0,"",MAX(D870:V870))</f>
        <v/>
      </c>
      <c r="Z870" s="9">
        <f>IF(OR(W870="",W870=0),"",(Y870-W870)/W870)</f>
        <v/>
      </c>
      <c r="AA870" s="7">
        <f>IF(COUNT(D870:V870)=0,"",INDEX($D$1:$V$1,MATCH(MIN(D870:V870),D870:V870,0)))</f>
        <v/>
      </c>
      <c r="AB870" s="8" t="n">
        <v>11883</v>
      </c>
      <c r="AC870" s="10" t="n">
        <v>1</v>
      </c>
    </row>
    <row r="871">
      <c r="A871" s="7" t="inlineStr">
        <is>
          <t>MAT-10-261</t>
        </is>
      </c>
      <c r="B871" s="4" t="inlineStr">
        <is>
          <t>Panel de breakers de 60 espacios</t>
        </is>
      </c>
      <c r="C871" s="7" t="inlineStr">
        <is>
          <t>unidad</t>
        </is>
      </c>
      <c r="D871" s="8" t="n"/>
      <c r="E871" s="8" t="n">
        <v>10527.54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>
        <f>IF(COUNT(D871:V871)=0,"",MIN(D871:V871))</f>
        <v/>
      </c>
      <c r="X871" s="8">
        <f>IF(COUNT(D871:V871)=0,"",MEDIAN(D871:V871))</f>
        <v/>
      </c>
      <c r="Y871" s="8">
        <f>IF(COUNT(D871:V871)=0,"",MAX(D871:V871))</f>
        <v/>
      </c>
      <c r="Z871" s="9">
        <f>IF(OR(W871="",W871=0),"",(Y871-W871)/W871)</f>
        <v/>
      </c>
      <c r="AA871" s="7">
        <f>IF(COUNT(D871:V871)=0,"",INDEX($D$1:$V$1,MATCH(MIN(D871:V871),D871:V871,0)))</f>
        <v/>
      </c>
      <c r="AB871" s="8" t="n">
        <v>10527.54</v>
      </c>
      <c r="AC871" s="10" t="n">
        <v>1</v>
      </c>
    </row>
    <row r="872">
      <c r="A872" s="7" t="inlineStr">
        <is>
          <t>MAT-10-262</t>
        </is>
      </c>
      <c r="B872" s="4" t="inlineStr">
        <is>
          <t>Panel de breakers de 8 espacios</t>
        </is>
      </c>
      <c r="C872" s="7" t="inlineStr">
        <is>
          <t>unidad</t>
        </is>
      </c>
      <c r="D872" s="8" t="n"/>
      <c r="E872" s="8" t="n">
        <v>1145</v>
      </c>
      <c r="F872" s="8" t="n"/>
      <c r="G872" s="8" t="n"/>
      <c r="H872" s="8" t="n"/>
      <c r="I872" s="8" t="n"/>
      <c r="J872" s="8" t="n"/>
      <c r="K872" s="8" t="n"/>
      <c r="L872" s="8" t="n">
        <v>566</v>
      </c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>
        <f>IF(COUNT(D872:V872)=0,"",MIN(D872:V872))</f>
        <v/>
      </c>
      <c r="X872" s="8">
        <f>IF(COUNT(D872:V872)=0,"",MEDIAN(D872:V872))</f>
        <v/>
      </c>
      <c r="Y872" s="8">
        <f>IF(COUNT(D872:V872)=0,"",MAX(D872:V872))</f>
        <v/>
      </c>
      <c r="Z872" s="9">
        <f>IF(OR(W872="",W872=0),"",(Y872-W872)/W872)</f>
        <v/>
      </c>
      <c r="AA872" s="7">
        <f>IF(COUNT(D872:V872)=0,"",INDEX($D$1:$V$1,MATCH(MIN(D872:V872),D872:V872,0)))</f>
        <v/>
      </c>
      <c r="AB872" s="8" t="n">
        <v>1929.79</v>
      </c>
      <c r="AC872" s="10" t="n">
        <v>2</v>
      </c>
    </row>
    <row r="873">
      <c r="A873" s="7" t="inlineStr">
        <is>
          <t>MAT-10-263</t>
        </is>
      </c>
      <c r="B873" s="4" t="inlineStr">
        <is>
          <t>Caja de breaker principal de 125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6160</v>
      </c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>
        <f>IF(COUNT(D873:V873)=0,"",MIN(D873:V873))</f>
        <v/>
      </c>
      <c r="X873" s="8">
        <f>IF(COUNT(D873:V873)=0,"",MEDIAN(D873:V873))</f>
        <v/>
      </c>
      <c r="Y873" s="8">
        <f>IF(COUNT(D873:V873)=0,"",MAX(D873:V873))</f>
        <v/>
      </c>
      <c r="Z873" s="9">
        <f>IF(OR(W873="",W873=0),"",(Y873-W873)/W873)</f>
        <v/>
      </c>
      <c r="AA873" s="7">
        <f>IF(COUNT(D873:V873)=0,"",INDEX($D$1:$V$1,MATCH(MIN(D873:V873),D873:V873,0)))</f>
        <v/>
      </c>
      <c r="AB873" s="8" t="n">
        <v>6160</v>
      </c>
      <c r="AC873" s="10" t="n">
        <v>1</v>
      </c>
    </row>
    <row r="874">
      <c r="A874" s="7" t="inlineStr">
        <is>
          <t>MAT-10-264</t>
        </is>
      </c>
      <c r="B874" s="4" t="inlineStr">
        <is>
          <t>Caja de breaker principal de 25 A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815</v>
      </c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>
        <f>IF(COUNT(D874:V874)=0,"",MIN(D874:V874))</f>
        <v/>
      </c>
      <c r="X874" s="8">
        <f>IF(COUNT(D874:V874)=0,"",MEDIAN(D874:V874))</f>
        <v/>
      </c>
      <c r="Y874" s="8">
        <f>IF(COUNT(D874:V874)=0,"",MAX(D874:V874))</f>
        <v/>
      </c>
      <c r="Z874" s="9">
        <f>IF(OR(W874="",W874=0),"",(Y874-W874)/W874)</f>
        <v/>
      </c>
      <c r="AA874" s="7">
        <f>IF(COUNT(D874:V874)=0,"",INDEX($D$1:$V$1,MATCH(MIN(D874:V874),D874:V874,0)))</f>
        <v/>
      </c>
      <c r="AB874" s="8" t="n">
        <v>815</v>
      </c>
      <c r="AC874" s="10" t="n">
        <v>1</v>
      </c>
    </row>
    <row r="875">
      <c r="A875" s="7" t="inlineStr">
        <is>
          <t>MAT-10-265</t>
        </is>
      </c>
      <c r="B875" s="4" t="inlineStr">
        <is>
          <t>Caja de breaker principal de 32 A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700</v>
      </c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>
        <f>IF(COUNT(D875:V875)=0,"",MIN(D875:V875))</f>
        <v/>
      </c>
      <c r="X875" s="8">
        <f>IF(COUNT(D875:V875)=0,"",MEDIAN(D875:V875))</f>
        <v/>
      </c>
      <c r="Y875" s="8">
        <f>IF(COUNT(D875:V875)=0,"",MAX(D875:V875))</f>
        <v/>
      </c>
      <c r="Z875" s="9">
        <f>IF(OR(W875="",W875=0),"",(Y875-W875)/W875)</f>
        <v/>
      </c>
      <c r="AA875" s="7">
        <f>IF(COUNT(D875:V875)=0,"",INDEX($D$1:$V$1,MATCH(MIN(D875:V875),D875:V875,0)))</f>
        <v/>
      </c>
      <c r="AB875" s="8" t="n">
        <v>700</v>
      </c>
      <c r="AC875" s="10" t="n">
        <v>1</v>
      </c>
    </row>
    <row r="876">
      <c r="A876" s="7" t="inlineStr">
        <is>
          <t>MAT-10-266</t>
        </is>
      </c>
      <c r="B876" s="4" t="inlineStr">
        <is>
          <t>Switch de doble tiro 2P de 30 A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675</v>
      </c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>
        <f>IF(COUNT(D876:V876)=0,"",MIN(D876:V876))</f>
        <v/>
      </c>
      <c r="X876" s="8">
        <f>IF(COUNT(D876:V876)=0,"",MEDIAN(D876:V876))</f>
        <v/>
      </c>
      <c r="Y876" s="8">
        <f>IF(COUNT(D876:V876)=0,"",MAX(D876:V876))</f>
        <v/>
      </c>
      <c r="Z876" s="9">
        <f>IF(OR(W876="",W876=0),"",(Y876-W876)/W876)</f>
        <v/>
      </c>
      <c r="AA876" s="7">
        <f>IF(COUNT(D876:V876)=0,"",INDEX($D$1:$V$1,MATCH(MIN(D876:V876),D876:V876,0)))</f>
        <v/>
      </c>
      <c r="AB876" s="8" t="n">
        <v>675</v>
      </c>
      <c r="AC876" s="10" t="n">
        <v>1</v>
      </c>
    </row>
    <row r="877">
      <c r="A877" s="7" t="inlineStr">
        <is>
          <t>MAT-10-267</t>
        </is>
      </c>
      <c r="B877" s="4" t="inlineStr">
        <is>
          <t>Switch de doble tiro 2P de 60 A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1805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>
        <f>IF(COUNT(D877:V877)=0,"",MIN(D877:V877))</f>
        <v/>
      </c>
      <c r="X877" s="8">
        <f>IF(COUNT(D877:V877)=0,"",MEDIAN(D877:V877))</f>
        <v/>
      </c>
      <c r="Y877" s="8">
        <f>IF(COUNT(D877:V877)=0,"",MAX(D877:V877))</f>
        <v/>
      </c>
      <c r="Z877" s="9">
        <f>IF(OR(W877="",W877=0),"",(Y877-W877)/W877)</f>
        <v/>
      </c>
      <c r="AA877" s="7">
        <f>IF(COUNT(D877:V877)=0,"",INDEX($D$1:$V$1,MATCH(MIN(D877:V877),D877:V877,0)))</f>
        <v/>
      </c>
      <c r="AB877" s="8" t="n">
        <v>1805</v>
      </c>
      <c r="AC877" s="10" t="n">
        <v>1</v>
      </c>
    </row>
    <row r="878">
      <c r="A878" s="7" t="inlineStr">
        <is>
          <t>MAT-10-268</t>
        </is>
      </c>
      <c r="B878" s="4" t="inlineStr">
        <is>
          <t>Fusible de 30 A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50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>
        <f>IF(COUNT(D878:V878)=0,"",MIN(D878:V878))</f>
        <v/>
      </c>
      <c r="X878" s="8">
        <f>IF(COUNT(D878:V878)=0,"",MEDIAN(D878:V878))</f>
        <v/>
      </c>
      <c r="Y878" s="8">
        <f>IF(COUNT(D878:V878)=0,"",MAX(D878:V878))</f>
        <v/>
      </c>
      <c r="Z878" s="9">
        <f>IF(OR(W878="",W878=0),"",(Y878-W878)/W878)</f>
        <v/>
      </c>
      <c r="AA878" s="7">
        <f>IF(COUNT(D878:V878)=0,"",INDEX($D$1:$V$1,MATCH(MIN(D878:V878),D878:V878,0)))</f>
        <v/>
      </c>
      <c r="AB878" s="8" t="n">
        <v>50</v>
      </c>
      <c r="AC878" s="10" t="n">
        <v>1</v>
      </c>
    </row>
    <row r="879">
      <c r="A879" s="7" t="inlineStr">
        <is>
          <t>MAT-10-269</t>
        </is>
      </c>
      <c r="B879" s="4" t="inlineStr">
        <is>
          <t>Fusible de 60 A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140</v>
      </c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>
        <f>IF(COUNT(D879:V879)=0,"",MIN(D879:V879))</f>
        <v/>
      </c>
      <c r="X879" s="8">
        <f>IF(COUNT(D879:V879)=0,"",MEDIAN(D879:V879))</f>
        <v/>
      </c>
      <c r="Y879" s="8">
        <f>IF(COUNT(D879:V879)=0,"",MAX(D879:V879))</f>
        <v/>
      </c>
      <c r="Z879" s="9">
        <f>IF(OR(W879="",W879=0),"",(Y879-W879)/W879)</f>
        <v/>
      </c>
      <c r="AA879" s="7">
        <f>IF(COUNT(D879:V879)=0,"",INDEX($D$1:$V$1,MATCH(MIN(D879:V879),D879:V879,0)))</f>
        <v/>
      </c>
      <c r="AB879" s="8" t="n">
        <v>140</v>
      </c>
      <c r="AC879" s="10" t="n">
        <v>1</v>
      </c>
    </row>
    <row r="880">
      <c r="A880" s="7" t="inlineStr">
        <is>
          <t>MAT-10-270</t>
        </is>
      </c>
      <c r="B880" s="4" t="inlineStr">
        <is>
          <t>Protector de voltaje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745</v>
      </c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>
        <f>IF(COUNT(D880:V880)=0,"",MIN(D880:V880))</f>
        <v/>
      </c>
      <c r="X880" s="8">
        <f>IF(COUNT(D880:V880)=0,"",MEDIAN(D880:V880))</f>
        <v/>
      </c>
      <c r="Y880" s="8">
        <f>IF(COUNT(D880:V880)=0,"",MAX(D880:V880))</f>
        <v/>
      </c>
      <c r="Z880" s="9">
        <f>IF(OR(W880="",W880=0),"",(Y880-W880)/W880)</f>
        <v/>
      </c>
      <c r="AA880" s="7">
        <f>IF(COUNT(D880:V880)=0,"",INDEX($D$1:$V$1,MATCH(MIN(D880:V880),D880:V880,0)))</f>
        <v/>
      </c>
      <c r="AB880" s="8" t="n">
        <v>950.01</v>
      </c>
      <c r="AC880" s="10" t="n">
        <v>1</v>
      </c>
    </row>
    <row r="881">
      <c r="A881" s="7" t="inlineStr">
        <is>
          <t>MAT-10-271</t>
        </is>
      </c>
      <c r="B881" s="4" t="inlineStr">
        <is>
          <t>Regulador de voltaje</t>
        </is>
      </c>
      <c r="C881" s="7" t="inlineStr">
        <is>
          <t>unidad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1395</v>
      </c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>
        <f>IF(COUNT(D881:V881)=0,"",MIN(D881:V881))</f>
        <v/>
      </c>
      <c r="X881" s="8">
        <f>IF(COUNT(D881:V881)=0,"",MEDIAN(D881:V881))</f>
        <v/>
      </c>
      <c r="Y881" s="8">
        <f>IF(COUNT(D881:V881)=0,"",MAX(D881:V881))</f>
        <v/>
      </c>
      <c r="Z881" s="9">
        <f>IF(OR(W881="",W881=0),"",(Y881-W881)/W881)</f>
        <v/>
      </c>
      <c r="AA881" s="7">
        <f>IF(COUNT(D881:V881)=0,"",INDEX($D$1:$V$1,MATCH(MIN(D881:V881),D881:V881,0)))</f>
        <v/>
      </c>
      <c r="AB881" s="8" t="n">
        <v>1395</v>
      </c>
      <c r="AC881" s="10" t="n">
        <v>1</v>
      </c>
    </row>
    <row r="882">
      <c r="A882" s="7" t="inlineStr">
        <is>
          <t>MAT-10-272</t>
        </is>
      </c>
      <c r="B882" s="4" t="inlineStr">
        <is>
          <t>Tubo eléctrico EMT 1 1/2" x 10 pies</t>
        </is>
      </c>
      <c r="C882" s="7" t="inlineStr">
        <is>
          <t>tubo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725</v>
      </c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>
        <f>IF(COUNT(D882:V882)=0,"",MIN(D882:V882))</f>
        <v/>
      </c>
      <c r="X882" s="8">
        <f>IF(COUNT(D882:V882)=0,"",MEDIAN(D882:V882))</f>
        <v/>
      </c>
      <c r="Y882" s="8">
        <f>IF(COUNT(D882:V882)=0,"",MAX(D882:V882))</f>
        <v/>
      </c>
      <c r="Z882" s="9">
        <f>IF(OR(W882="",W882=0),"",(Y882-W882)/W882)</f>
        <v/>
      </c>
      <c r="AA882" s="7">
        <f>IF(COUNT(D882:V882)=0,"",INDEX($D$1:$V$1,MATCH(MIN(D882:V882),D882:V882,0)))</f>
        <v/>
      </c>
      <c r="AB882" s="8" t="n">
        <v>725</v>
      </c>
      <c r="AC882" s="10" t="n">
        <v>1</v>
      </c>
    </row>
    <row r="883">
      <c r="A883" s="7" t="inlineStr">
        <is>
          <t>MAT-10-273</t>
        </is>
      </c>
      <c r="B883" s="4" t="inlineStr">
        <is>
          <t>Tubo eléctrico EMT 1" x 10 pies</t>
        </is>
      </c>
      <c r="C883" s="7" t="inlineStr">
        <is>
          <t>tubo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375</v>
      </c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>
        <f>IF(COUNT(D883:V883)=0,"",MIN(D883:V883))</f>
        <v/>
      </c>
      <c r="X883" s="8">
        <f>IF(COUNT(D883:V883)=0,"",MEDIAN(D883:V883))</f>
        <v/>
      </c>
      <c r="Y883" s="8">
        <f>IF(COUNT(D883:V883)=0,"",MAX(D883:V883))</f>
        <v/>
      </c>
      <c r="Z883" s="9">
        <f>IF(OR(W883="",W883=0),"",(Y883-W883)/W883)</f>
        <v/>
      </c>
      <c r="AA883" s="7">
        <f>IF(COUNT(D883:V883)=0,"",INDEX($D$1:$V$1,MATCH(MIN(D883:V883),D883:V883,0)))</f>
        <v/>
      </c>
      <c r="AB883" s="8" t="n">
        <v>375</v>
      </c>
      <c r="AC883" s="10" t="n">
        <v>1</v>
      </c>
    </row>
    <row r="884">
      <c r="A884" s="7" t="inlineStr">
        <is>
          <t>MAT-10-274</t>
        </is>
      </c>
      <c r="B884" s="4" t="inlineStr">
        <is>
          <t>Tubo eléctrico EMT 3/4" x 10 pies</t>
        </is>
      </c>
      <c r="C884" s="7" t="inlineStr">
        <is>
          <t>tubo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310</v>
      </c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>
        <f>IF(COUNT(D884:V884)=0,"",MIN(D884:V884))</f>
        <v/>
      </c>
      <c r="X884" s="8">
        <f>IF(COUNT(D884:V884)=0,"",MEDIAN(D884:V884))</f>
        <v/>
      </c>
      <c r="Y884" s="8">
        <f>IF(COUNT(D884:V884)=0,"",MAX(D884:V884))</f>
        <v/>
      </c>
      <c r="Z884" s="9">
        <f>IF(OR(W884="",W884=0),"",(Y884-W884)/W884)</f>
        <v/>
      </c>
      <c r="AA884" s="7">
        <f>IF(COUNT(D884:V884)=0,"",INDEX($D$1:$V$1,MATCH(MIN(D884:V884),D884:V884,0)))</f>
        <v/>
      </c>
      <c r="AB884" s="8" t="n">
        <v>310</v>
      </c>
      <c r="AC884" s="10" t="n">
        <v>1</v>
      </c>
    </row>
    <row r="885">
      <c r="A885" s="7" t="inlineStr">
        <is>
          <t>MAT-10-275</t>
        </is>
      </c>
      <c r="B885" s="4" t="inlineStr">
        <is>
          <t>Tubería flexible BX 1/2"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25</v>
      </c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>
        <f>IF(COUNT(D885:V885)=0,"",MIN(D885:V885))</f>
        <v/>
      </c>
      <c r="X885" s="8">
        <f>IF(COUNT(D885:V885)=0,"",MEDIAN(D885:V885))</f>
        <v/>
      </c>
      <c r="Y885" s="8">
        <f>IF(COUNT(D885:V885)=0,"",MAX(D885:V885))</f>
        <v/>
      </c>
      <c r="Z885" s="9">
        <f>IF(OR(W885="",W885=0),"",(Y885-W885)/W885)</f>
        <v/>
      </c>
      <c r="AA885" s="7">
        <f>IF(COUNT(D885:V885)=0,"",INDEX($D$1:$V$1,MATCH(MIN(D885:V885),D885:V885,0)))</f>
        <v/>
      </c>
      <c r="AB885" s="8" t="n">
        <v>25</v>
      </c>
      <c r="AC885" s="10" t="n">
        <v>1</v>
      </c>
    </row>
    <row r="886">
      <c r="A886" s="7" t="inlineStr">
        <is>
          <t>MAT-10-276</t>
        </is>
      </c>
      <c r="B886" s="4" t="inlineStr">
        <is>
          <t>Tubería flexible BX 3/4"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35</v>
      </c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>
        <f>IF(COUNT(D886:V886)=0,"",MIN(D886:V886))</f>
        <v/>
      </c>
      <c r="X886" s="8">
        <f>IF(COUNT(D886:V886)=0,"",MEDIAN(D886:V886))</f>
        <v/>
      </c>
      <c r="Y886" s="8">
        <f>IF(COUNT(D886:V886)=0,"",MAX(D886:V886))</f>
        <v/>
      </c>
      <c r="Z886" s="9">
        <f>IF(OR(W886="",W886=0),"",(Y886-W886)/W886)</f>
        <v/>
      </c>
      <c r="AA886" s="7">
        <f>IF(COUNT(D886:V886)=0,"",INDEX($D$1:$V$1,MATCH(MIN(D886:V886),D886:V886,0)))</f>
        <v/>
      </c>
      <c r="AB886" s="8" t="n">
        <v>35</v>
      </c>
      <c r="AC886" s="10" t="n">
        <v>1</v>
      </c>
    </row>
    <row r="887">
      <c r="A887" s="7" t="inlineStr">
        <is>
          <t>MAT-10-277</t>
        </is>
      </c>
      <c r="B887" s="4" t="inlineStr">
        <is>
          <t>Tubería flexible liquid tight 3/4"</t>
        </is>
      </c>
      <c r="C887" s="7" t="inlineStr">
        <is>
          <t>unidad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45.01</v>
      </c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>
        <f>IF(COUNT(D887:V887)=0,"",MIN(D887:V887))</f>
        <v/>
      </c>
      <c r="X887" s="8">
        <f>IF(COUNT(D887:V887)=0,"",MEDIAN(D887:V887))</f>
        <v/>
      </c>
      <c r="Y887" s="8">
        <f>IF(COUNT(D887:V887)=0,"",MAX(D887:V887))</f>
        <v/>
      </c>
      <c r="Z887" s="9">
        <f>IF(OR(W887="",W887=0),"",(Y887-W887)/W887)</f>
        <v/>
      </c>
      <c r="AA887" s="7">
        <f>IF(COUNT(D887:V887)=0,"",INDEX($D$1:$V$1,MATCH(MIN(D887:V887),D887:V887,0)))</f>
        <v/>
      </c>
      <c r="AB887" s="8" t="n">
        <v>77.51000000000001</v>
      </c>
      <c r="AC887" s="10" t="n">
        <v>1</v>
      </c>
    </row>
    <row r="888">
      <c r="A888" s="7" t="inlineStr">
        <is>
          <t>MAT-10-278</t>
        </is>
      </c>
      <c r="B888" s="4" t="inlineStr">
        <is>
          <t>Canaleta plástica 11 x 10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115</v>
      </c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>
        <f>IF(COUNT(D888:V888)=0,"",MIN(D888:V888))</f>
        <v/>
      </c>
      <c r="X888" s="8">
        <f>IF(COUNT(D888:V888)=0,"",MEDIAN(D888:V888))</f>
        <v/>
      </c>
      <c r="Y888" s="8">
        <f>IF(COUNT(D888:V888)=0,"",MAX(D888:V888))</f>
        <v/>
      </c>
      <c r="Z888" s="9">
        <f>IF(OR(W888="",W888=0),"",(Y888-W888)/W888)</f>
        <v/>
      </c>
      <c r="AA888" s="7">
        <f>IF(COUNT(D888:V888)=0,"",INDEX($D$1:$V$1,MATCH(MIN(D888:V888),D888:V888,0)))</f>
        <v/>
      </c>
      <c r="AB888" s="8" t="n">
        <v>115</v>
      </c>
      <c r="AC888" s="10" t="n">
        <v>1</v>
      </c>
    </row>
    <row r="889">
      <c r="A889" s="7" t="inlineStr">
        <is>
          <t>MAT-10-279</t>
        </is>
      </c>
      <c r="B889" s="4" t="inlineStr">
        <is>
          <t>Canaleta plástica 15 x 10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119.99</v>
      </c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>
        <f>IF(COUNT(D889:V889)=0,"",MIN(D889:V889))</f>
        <v/>
      </c>
      <c r="X889" s="8">
        <f>IF(COUNT(D889:V889)=0,"",MEDIAN(D889:V889))</f>
        <v/>
      </c>
      <c r="Y889" s="8">
        <f>IF(COUNT(D889:V889)=0,"",MAX(D889:V889))</f>
        <v/>
      </c>
      <c r="Z889" s="9">
        <f>IF(OR(W889="",W889=0),"",(Y889-W889)/W889)</f>
        <v/>
      </c>
      <c r="AA889" s="7">
        <f>IF(COUNT(D889:V889)=0,"",INDEX($D$1:$V$1,MATCH(MIN(D889:V889),D889:V889,0)))</f>
        <v/>
      </c>
      <c r="AB889" s="8" t="n">
        <v>119.99</v>
      </c>
      <c r="AC889" s="10" t="n">
        <v>1</v>
      </c>
    </row>
    <row r="890">
      <c r="A890" s="7" t="inlineStr">
        <is>
          <t>MAT-10-280</t>
        </is>
      </c>
      <c r="B890" s="4" t="inlineStr">
        <is>
          <t>Canaleta plástica 15 x 12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135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>
        <f>IF(COUNT(D890:V890)=0,"",MIN(D890:V890))</f>
        <v/>
      </c>
      <c r="X890" s="8">
        <f>IF(COUNT(D890:V890)=0,"",MEDIAN(D890:V890))</f>
        <v/>
      </c>
      <c r="Y890" s="8">
        <f>IF(COUNT(D890:V890)=0,"",MAX(D890:V890))</f>
        <v/>
      </c>
      <c r="Z890" s="9">
        <f>IF(OR(W890="",W890=0),"",(Y890-W890)/W890)</f>
        <v/>
      </c>
      <c r="AA890" s="7">
        <f>IF(COUNT(D890:V890)=0,"",INDEX($D$1:$V$1,MATCH(MIN(D890:V890),D890:V890,0)))</f>
        <v/>
      </c>
      <c r="AB890" s="8" t="n">
        <v>135</v>
      </c>
      <c r="AC890" s="10" t="n">
        <v>1</v>
      </c>
    </row>
    <row r="891">
      <c r="A891" s="7" t="inlineStr">
        <is>
          <t>MAT-10-281</t>
        </is>
      </c>
      <c r="B891" s="4" t="inlineStr">
        <is>
          <t>Canaleta plástica 20 x 10 mm</t>
        </is>
      </c>
      <c r="C891" s="7" t="inlineStr">
        <is>
          <t>tramo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150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>
        <f>IF(COUNT(D891:V891)=0,"",MIN(D891:V891))</f>
        <v/>
      </c>
      <c r="X891" s="8">
        <f>IF(COUNT(D891:V891)=0,"",MEDIAN(D891:V891))</f>
        <v/>
      </c>
      <c r="Y891" s="8">
        <f>IF(COUNT(D891:V891)=0,"",MAX(D891:V891))</f>
        <v/>
      </c>
      <c r="Z891" s="9">
        <f>IF(OR(W891="",W891=0),"",(Y891-W891)/W891)</f>
        <v/>
      </c>
      <c r="AA891" s="7">
        <f>IF(COUNT(D891:V891)=0,"",INDEX($D$1:$V$1,MATCH(MIN(D891:V891),D891:V891,0)))</f>
        <v/>
      </c>
      <c r="AB891" s="8" t="n">
        <v>150</v>
      </c>
      <c r="AC891" s="10" t="n">
        <v>1</v>
      </c>
    </row>
    <row r="892">
      <c r="A892" s="7" t="inlineStr">
        <is>
          <t>MAT-10-282</t>
        </is>
      </c>
      <c r="B892" s="4" t="inlineStr">
        <is>
          <t>Canaleta plástica 25 x 15 mm</t>
        </is>
      </c>
      <c r="C892" s="7" t="inlineStr">
        <is>
          <t>tramo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200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>
        <f>IF(COUNT(D892:V892)=0,"",MIN(D892:V892))</f>
        <v/>
      </c>
      <c r="X892" s="8">
        <f>IF(COUNT(D892:V892)=0,"",MEDIAN(D892:V892))</f>
        <v/>
      </c>
      <c r="Y892" s="8">
        <f>IF(COUNT(D892:V892)=0,"",MAX(D892:V892))</f>
        <v/>
      </c>
      <c r="Z892" s="9">
        <f>IF(OR(W892="",W892=0),"",(Y892-W892)/W892)</f>
        <v/>
      </c>
      <c r="AA892" s="7">
        <f>IF(COUNT(D892:V892)=0,"",INDEX($D$1:$V$1,MATCH(MIN(D892:V892),D892:V892,0)))</f>
        <v/>
      </c>
      <c r="AB892" s="8" t="n">
        <v>200</v>
      </c>
      <c r="AC892" s="10" t="n">
        <v>1</v>
      </c>
    </row>
    <row r="893">
      <c r="A893" s="7" t="inlineStr">
        <is>
          <t>MAT-10-283</t>
        </is>
      </c>
      <c r="B893" s="4" t="inlineStr">
        <is>
          <t>Canaleta plástica 32 x 15 mm</t>
        </is>
      </c>
      <c r="C893" s="7" t="inlineStr">
        <is>
          <t>tramo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215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>
        <f>IF(COUNT(D893:V893)=0,"",MIN(D893:V893))</f>
        <v/>
      </c>
      <c r="X893" s="8">
        <f>IF(COUNT(D893:V893)=0,"",MEDIAN(D893:V893))</f>
        <v/>
      </c>
      <c r="Y893" s="8">
        <f>IF(COUNT(D893:V893)=0,"",MAX(D893:V893))</f>
        <v/>
      </c>
      <c r="Z893" s="9">
        <f>IF(OR(W893="",W893=0),"",(Y893-W893)/W893)</f>
        <v/>
      </c>
      <c r="AA893" s="7">
        <f>IF(COUNT(D893:V893)=0,"",INDEX($D$1:$V$1,MATCH(MIN(D893:V893),D893:V893,0)))</f>
        <v/>
      </c>
      <c r="AB893" s="8" t="n">
        <v>215</v>
      </c>
      <c r="AC893" s="10" t="n">
        <v>1</v>
      </c>
    </row>
    <row r="894">
      <c r="A894" s="7" t="inlineStr">
        <is>
          <t>MAT-10-284</t>
        </is>
      </c>
      <c r="B894" s="4" t="inlineStr">
        <is>
          <t>Canaleta plástica 40 x 15 mm</t>
        </is>
      </c>
      <c r="C894" s="7" t="inlineStr">
        <is>
          <t>tramo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320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>
        <f>IF(COUNT(D894:V894)=0,"",MIN(D894:V894))</f>
        <v/>
      </c>
      <c r="X894" s="8">
        <f>IF(COUNT(D894:V894)=0,"",MEDIAN(D894:V894))</f>
        <v/>
      </c>
      <c r="Y894" s="8">
        <f>IF(COUNT(D894:V894)=0,"",MAX(D894:V894))</f>
        <v/>
      </c>
      <c r="Z894" s="9">
        <f>IF(OR(W894="",W894=0),"",(Y894-W894)/W894)</f>
        <v/>
      </c>
      <c r="AA894" s="7">
        <f>IF(COUNT(D894:V894)=0,"",INDEX($D$1:$V$1,MATCH(MIN(D894:V894),D894:V894,0)))</f>
        <v/>
      </c>
      <c r="AB894" s="8" t="n">
        <v>320</v>
      </c>
      <c r="AC894" s="10" t="n">
        <v>1</v>
      </c>
    </row>
    <row r="895">
      <c r="A895" s="7" t="inlineStr">
        <is>
          <t>MAT-10-285</t>
        </is>
      </c>
      <c r="B895" s="4" t="inlineStr">
        <is>
          <t>Canaleta plástica 60 x 40 mm</t>
        </is>
      </c>
      <c r="C895" s="7" t="inlineStr">
        <is>
          <t>tramo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550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>
        <f>IF(COUNT(D895:V895)=0,"",MIN(D895:V895))</f>
        <v/>
      </c>
      <c r="X895" s="8">
        <f>IF(COUNT(D895:V895)=0,"",MEDIAN(D895:V895))</f>
        <v/>
      </c>
      <c r="Y895" s="8">
        <f>IF(COUNT(D895:V895)=0,"",MAX(D895:V895))</f>
        <v/>
      </c>
      <c r="Z895" s="9">
        <f>IF(OR(W895="",W895=0),"",(Y895-W895)/W895)</f>
        <v/>
      </c>
      <c r="AA895" s="7">
        <f>IF(COUNT(D895:V895)=0,"",INDEX($D$1:$V$1,MATCH(MIN(D895:V895),D895:V895,0)))</f>
        <v/>
      </c>
      <c r="AB895" s="8" t="n">
        <v>550</v>
      </c>
      <c r="AC895" s="10" t="n">
        <v>1</v>
      </c>
    </row>
    <row r="896">
      <c r="A896" s="7" t="inlineStr">
        <is>
          <t>MAT-10-286</t>
        </is>
      </c>
      <c r="B896" s="4" t="inlineStr">
        <is>
          <t>Canaleta plástica 80 x 40 mm</t>
        </is>
      </c>
      <c r="C896" s="7" t="inlineStr">
        <is>
          <t>tramo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745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>
        <f>IF(COUNT(D896:V896)=0,"",MIN(D896:V896))</f>
        <v/>
      </c>
      <c r="X896" s="8">
        <f>IF(COUNT(D896:V896)=0,"",MEDIAN(D896:V896))</f>
        <v/>
      </c>
      <c r="Y896" s="8">
        <f>IF(COUNT(D896:V896)=0,"",MAX(D896:V896))</f>
        <v/>
      </c>
      <c r="Z896" s="9">
        <f>IF(OR(W896="",W896=0),"",(Y896-W896)/W896)</f>
        <v/>
      </c>
      <c r="AA896" s="7">
        <f>IF(COUNT(D896:V896)=0,"",INDEX($D$1:$V$1,MATCH(MIN(D896:V896),D896:V896,0)))</f>
        <v/>
      </c>
      <c r="AB896" s="8" t="n">
        <v>745</v>
      </c>
      <c r="AC896" s="10" t="n">
        <v>1</v>
      </c>
    </row>
    <row r="897">
      <c r="A897" s="7" t="inlineStr">
        <is>
          <t>MAT-10-287</t>
        </is>
      </c>
      <c r="B897" s="4" t="inlineStr">
        <is>
          <t>Caja eléctrica octagonal de metal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115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>
        <f>IF(COUNT(D897:V897)=0,"",MIN(D897:V897))</f>
        <v/>
      </c>
      <c r="X897" s="8">
        <f>IF(COUNT(D897:V897)=0,"",MEDIAN(D897:V897))</f>
        <v/>
      </c>
      <c r="Y897" s="8">
        <f>IF(COUNT(D897:V897)=0,"",MAX(D897:V897))</f>
        <v/>
      </c>
      <c r="Z897" s="9">
        <f>IF(OR(W897="",W897=0),"",(Y897-W897)/W897)</f>
        <v/>
      </c>
      <c r="AA897" s="7">
        <f>IF(COUNT(D897:V897)=0,"",INDEX($D$1:$V$1,MATCH(MIN(D897:V897),D897:V897,0)))</f>
        <v/>
      </c>
      <c r="AB897" s="8" t="n">
        <v>115</v>
      </c>
      <c r="AC897" s="10" t="n">
        <v>1</v>
      </c>
    </row>
    <row r="898">
      <c r="A898" s="7" t="inlineStr">
        <is>
          <t>MAT-10-288</t>
        </is>
      </c>
      <c r="B898" s="4" t="inlineStr">
        <is>
          <t>Caja eléctrica rectangular de metal 2 x 4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40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>
        <f>IF(COUNT(D898:V898)=0,"",MIN(D898:V898))</f>
        <v/>
      </c>
      <c r="X898" s="8">
        <f>IF(COUNT(D898:V898)=0,"",MEDIAN(D898:V898))</f>
        <v/>
      </c>
      <c r="Y898" s="8">
        <f>IF(COUNT(D898:V898)=0,"",MAX(D898:V898))</f>
        <v/>
      </c>
      <c r="Z898" s="9">
        <f>IF(OR(W898="",W898=0),"",(Y898-W898)/W898)</f>
        <v/>
      </c>
      <c r="AA898" s="7">
        <f>IF(COUNT(D898:V898)=0,"",INDEX($D$1:$V$1,MATCH(MIN(D898:V898),D898:V898,0)))</f>
        <v/>
      </c>
      <c r="AB898" s="8" t="n">
        <v>40.5</v>
      </c>
      <c r="AC898" s="10" t="n">
        <v>1</v>
      </c>
    </row>
    <row r="899">
      <c r="A899" s="7" t="inlineStr">
        <is>
          <t>MAT-10-289</t>
        </is>
      </c>
      <c r="B899" s="4" t="inlineStr">
        <is>
          <t>Caja eléctrica rectangular de PVC 2 x 4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45.01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>
        <f>IF(COUNT(D899:V899)=0,"",MIN(D899:V899))</f>
        <v/>
      </c>
      <c r="X899" s="8">
        <f>IF(COUNT(D899:V899)=0,"",MEDIAN(D899:V899))</f>
        <v/>
      </c>
      <c r="Y899" s="8">
        <f>IF(COUNT(D899:V899)=0,"",MAX(D899:V899))</f>
        <v/>
      </c>
      <c r="Z899" s="9">
        <f>IF(OR(W899="",W899=0),"",(Y899-W899)/W899)</f>
        <v/>
      </c>
      <c r="AA899" s="7">
        <f>IF(COUNT(D899:V899)=0,"",INDEX($D$1:$V$1,MATCH(MIN(D899:V899),D899:V899,0)))</f>
        <v/>
      </c>
      <c r="AB899" s="8" t="n">
        <v>45.01</v>
      </c>
      <c r="AC899" s="10" t="n">
        <v>1</v>
      </c>
    </row>
    <row r="900">
      <c r="A900" s="7" t="inlineStr">
        <is>
          <t>MAT-10-290</t>
        </is>
      </c>
      <c r="B900" s="4" t="inlineStr">
        <is>
          <t>Abrazadera para tubo eléctrico 1/2"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4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>
        <f>IF(COUNT(D900:V900)=0,"",MIN(D900:V900))</f>
        <v/>
      </c>
      <c r="X900" s="8">
        <f>IF(COUNT(D900:V900)=0,"",MEDIAN(D900:V900))</f>
        <v/>
      </c>
      <c r="Y900" s="8">
        <f>IF(COUNT(D900:V900)=0,"",MAX(D900:V900))</f>
        <v/>
      </c>
      <c r="Z900" s="9">
        <f>IF(OR(W900="",W900=0),"",(Y900-W900)/W900)</f>
        <v/>
      </c>
      <c r="AA900" s="7">
        <f>IF(COUNT(D900:V900)=0,"",INDEX($D$1:$V$1,MATCH(MIN(D900:V900),D900:V900,0)))</f>
        <v/>
      </c>
      <c r="AB900" s="8" t="n">
        <v>4</v>
      </c>
      <c r="AC900" s="10" t="n">
        <v>1</v>
      </c>
    </row>
    <row r="901">
      <c r="A901" s="7" t="inlineStr">
        <is>
          <t>MAT-10-291</t>
        </is>
      </c>
      <c r="B901" s="4" t="inlineStr">
        <is>
          <t>Abrazadera para tubo eléctrico 1/2", 2 huecos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>
        <f>IF(COUNT(D901:V901)=0,"",MIN(D901:V901))</f>
        <v/>
      </c>
      <c r="X901" s="8">
        <f>IF(COUNT(D901:V901)=0,"",MEDIAN(D901:V901))</f>
        <v/>
      </c>
      <c r="Y901" s="8">
        <f>IF(COUNT(D901:V901)=0,"",MAX(D901:V901))</f>
        <v/>
      </c>
      <c r="Z901" s="9">
        <f>IF(OR(W901="",W901=0),"",(Y901-W901)/W901)</f>
        <v/>
      </c>
      <c r="AA901" s="7">
        <f>IF(COUNT(D901:V901)=0,"",INDEX($D$1:$V$1,MATCH(MIN(D901:V901),D901:V901,0)))</f>
        <v/>
      </c>
      <c r="AB901" s="8" t="n">
        <v>5</v>
      </c>
      <c r="AC901" s="10" t="n">
        <v>1</v>
      </c>
    </row>
    <row r="902">
      <c r="A902" s="7" t="inlineStr">
        <is>
          <t>MAT-10-292</t>
        </is>
      </c>
      <c r="B902" s="4" t="inlineStr">
        <is>
          <t>Abrazadera para tubo eléctrico 1"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7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>
        <f>IF(COUNT(D902:V902)=0,"",MIN(D902:V902))</f>
        <v/>
      </c>
      <c r="X902" s="8">
        <f>IF(COUNT(D902:V902)=0,"",MEDIAN(D902:V902))</f>
        <v/>
      </c>
      <c r="Y902" s="8">
        <f>IF(COUNT(D902:V902)=0,"",MAX(D902:V902))</f>
        <v/>
      </c>
      <c r="Z902" s="9">
        <f>IF(OR(W902="",W902=0),"",(Y902-W902)/W902)</f>
        <v/>
      </c>
      <c r="AA902" s="7">
        <f>IF(COUNT(D902:V902)=0,"",INDEX($D$1:$V$1,MATCH(MIN(D902:V902),D902:V902,0)))</f>
        <v/>
      </c>
      <c r="AB902" s="8" t="n">
        <v>7</v>
      </c>
      <c r="AC902" s="10" t="n">
        <v>1</v>
      </c>
    </row>
    <row r="903">
      <c r="A903" s="7" t="inlineStr">
        <is>
          <t>MAT-10-293</t>
        </is>
      </c>
      <c r="B903" s="4" t="inlineStr">
        <is>
          <t>Abrazadera para tubo eléctrico 2"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35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>
        <f>IF(COUNT(D903:V903)=0,"",MIN(D903:V903))</f>
        <v/>
      </c>
      <c r="X903" s="8">
        <f>IF(COUNT(D903:V903)=0,"",MEDIAN(D903:V903))</f>
        <v/>
      </c>
      <c r="Y903" s="8">
        <f>IF(COUNT(D903:V903)=0,"",MAX(D903:V903))</f>
        <v/>
      </c>
      <c r="Z903" s="9">
        <f>IF(OR(W903="",W903=0),"",(Y903-W903)/W903)</f>
        <v/>
      </c>
      <c r="AA903" s="7">
        <f>IF(COUNT(D903:V903)=0,"",INDEX($D$1:$V$1,MATCH(MIN(D903:V903),D903:V903,0)))</f>
        <v/>
      </c>
      <c r="AB903" s="8" t="n">
        <v>35</v>
      </c>
      <c r="AC903" s="10" t="n">
        <v>1</v>
      </c>
    </row>
    <row r="904">
      <c r="A904" s="7" t="inlineStr">
        <is>
          <t>MAT-10-294</t>
        </is>
      </c>
      <c r="B904" s="4" t="inlineStr">
        <is>
          <t>Abrazadera para tubo eléctrico 3/4"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4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>
        <f>IF(COUNT(D904:V904)=0,"",MIN(D904:V904))</f>
        <v/>
      </c>
      <c r="X904" s="8">
        <f>IF(COUNT(D904:V904)=0,"",MEDIAN(D904:V904))</f>
        <v/>
      </c>
      <c r="Y904" s="8">
        <f>IF(COUNT(D904:V904)=0,"",MAX(D904:V904))</f>
        <v/>
      </c>
      <c r="Z904" s="9">
        <f>IF(OR(W904="",W904=0),"",(Y904-W904)/W904)</f>
        <v/>
      </c>
      <c r="AA904" s="7">
        <f>IF(COUNT(D904:V904)=0,"",INDEX($D$1:$V$1,MATCH(MIN(D904:V904),D904:V904,0)))</f>
        <v/>
      </c>
      <c r="AB904" s="8" t="n">
        <v>4</v>
      </c>
      <c r="AC904" s="10" t="n">
        <v>1</v>
      </c>
    </row>
    <row r="905">
      <c r="A905" s="7" t="inlineStr">
        <is>
          <t>MAT-10-295</t>
        </is>
      </c>
      <c r="B905" s="4" t="inlineStr">
        <is>
          <t>Abrazadera para tubo eléctrico 3"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64.98999999999999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>
        <f>IF(COUNT(D905:V905)=0,"",MIN(D905:V905))</f>
        <v/>
      </c>
      <c r="X905" s="8">
        <f>IF(COUNT(D905:V905)=0,"",MEDIAN(D905:V905))</f>
        <v/>
      </c>
      <c r="Y905" s="8">
        <f>IF(COUNT(D905:V905)=0,"",MAX(D905:V905))</f>
        <v/>
      </c>
      <c r="Z905" s="9">
        <f>IF(OR(W905="",W905=0),"",(Y905-W905)/W905)</f>
        <v/>
      </c>
      <c r="AA905" s="7">
        <f>IF(COUNT(D905:V905)=0,"",INDEX($D$1:$V$1,MATCH(MIN(D905:V905),D905:V905,0)))</f>
        <v/>
      </c>
      <c r="AB905" s="8" t="n">
        <v>64.98999999999999</v>
      </c>
      <c r="AC905" s="10" t="n">
        <v>1</v>
      </c>
    </row>
    <row r="906">
      <c r="A906" s="7" t="inlineStr">
        <is>
          <t>MAT-10-296</t>
        </is>
      </c>
      <c r="B906" s="4" t="inlineStr">
        <is>
          <t>Codo conduit de PVC 1 1/2"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>
        <v>38.64</v>
      </c>
      <c r="P906" s="8" t="n"/>
      <c r="Q906" s="8" t="n"/>
      <c r="R906" s="8" t="n"/>
      <c r="S906" s="8" t="n"/>
      <c r="T906" s="8" t="n"/>
      <c r="U906" s="8" t="n"/>
      <c r="V906" s="8" t="n"/>
      <c r="W906" s="8">
        <f>IF(COUNT(D906:V906)=0,"",MIN(D906:V906))</f>
        <v/>
      </c>
      <c r="X906" s="8">
        <f>IF(COUNT(D906:V906)=0,"",MEDIAN(D906:V906))</f>
        <v/>
      </c>
      <c r="Y906" s="8">
        <f>IF(COUNT(D906:V906)=0,"",MAX(D906:V906))</f>
        <v/>
      </c>
      <c r="Z906" s="9">
        <f>IF(OR(W906="",W906=0),"",(Y906-W906)/W906)</f>
        <v/>
      </c>
      <c r="AA906" s="7">
        <f>IF(COUNT(D906:V906)=0,"",INDEX($D$1:$V$1,MATCH(MIN(D906:V906),D906:V906,0)))</f>
        <v/>
      </c>
      <c r="AB906" s="8" t="n">
        <v>45.6</v>
      </c>
      <c r="AC906" s="10" t="n">
        <v>1</v>
      </c>
    </row>
    <row r="907">
      <c r="A907" s="7" t="inlineStr">
        <is>
          <t>MAT-10-297</t>
        </is>
      </c>
      <c r="B907" s="4" t="inlineStr">
        <is>
          <t>Codo conduit de PVC 1/2"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>
        <v>7.62</v>
      </c>
      <c r="P907" s="8" t="n"/>
      <c r="Q907" s="8" t="n"/>
      <c r="R907" s="8" t="n"/>
      <c r="S907" s="8" t="n"/>
      <c r="T907" s="8" t="n"/>
      <c r="U907" s="8" t="n"/>
      <c r="V907" s="8" t="n"/>
      <c r="W907" s="8">
        <f>IF(COUNT(D907:V907)=0,"",MIN(D907:V907))</f>
        <v/>
      </c>
      <c r="X907" s="8">
        <f>IF(COUNT(D907:V907)=0,"",MEDIAN(D907:V907))</f>
        <v/>
      </c>
      <c r="Y907" s="8">
        <f>IF(COUNT(D907:V907)=0,"",MAX(D907:V907))</f>
        <v/>
      </c>
      <c r="Z907" s="9">
        <f>IF(OR(W907="",W907=0),"",(Y907-W907)/W907)</f>
        <v/>
      </c>
      <c r="AA907" s="7">
        <f>IF(COUNT(D907:V907)=0,"",INDEX($D$1:$V$1,MATCH(MIN(D907:V907),D907:V907,0)))</f>
        <v/>
      </c>
      <c r="AB907" s="8" t="n">
        <v>8.99</v>
      </c>
      <c r="AC907" s="10" t="n">
        <v>1</v>
      </c>
    </row>
    <row r="908">
      <c r="A908" s="7" t="inlineStr">
        <is>
          <t>MAT-10-298</t>
        </is>
      </c>
      <c r="B908" s="4" t="inlineStr">
        <is>
          <t>Codo conduit de PVC 1"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>
        <v>15.16</v>
      </c>
      <c r="P908" s="8" t="n"/>
      <c r="Q908" s="8" t="n"/>
      <c r="R908" s="8" t="n"/>
      <c r="S908" s="8" t="n"/>
      <c r="T908" s="8" t="n"/>
      <c r="U908" s="8" t="n"/>
      <c r="V908" s="8" t="n"/>
      <c r="W908" s="8">
        <f>IF(COUNT(D908:V908)=0,"",MIN(D908:V908))</f>
        <v/>
      </c>
      <c r="X908" s="8">
        <f>IF(COUNT(D908:V908)=0,"",MEDIAN(D908:V908))</f>
        <v/>
      </c>
      <c r="Y908" s="8">
        <f>IF(COUNT(D908:V908)=0,"",MAX(D908:V908))</f>
        <v/>
      </c>
      <c r="Z908" s="9">
        <f>IF(OR(W908="",W908=0),"",(Y908-W908)/W908)</f>
        <v/>
      </c>
      <c r="AA908" s="7">
        <f>IF(COUNT(D908:V908)=0,"",INDEX($D$1:$V$1,MATCH(MIN(D908:V908),D908:V908,0)))</f>
        <v/>
      </c>
      <c r="AB908" s="8" t="n">
        <v>17.89</v>
      </c>
      <c r="AC908" s="10" t="n">
        <v>1</v>
      </c>
    </row>
    <row r="909">
      <c r="A909" s="7" t="inlineStr">
        <is>
          <t>MAT-10-299</t>
        </is>
      </c>
      <c r="B909" s="4" t="inlineStr">
        <is>
          <t>Codo conduit de PVC 2"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>
        <v>55.83</v>
      </c>
      <c r="P909" s="8" t="n"/>
      <c r="Q909" s="8" t="n"/>
      <c r="R909" s="8" t="n"/>
      <c r="S909" s="8" t="n"/>
      <c r="T909" s="8" t="n"/>
      <c r="U909" s="8" t="n"/>
      <c r="V909" s="8" t="n"/>
      <c r="W909" s="8">
        <f>IF(COUNT(D909:V909)=0,"",MIN(D909:V909))</f>
        <v/>
      </c>
      <c r="X909" s="8">
        <f>IF(COUNT(D909:V909)=0,"",MEDIAN(D909:V909))</f>
        <v/>
      </c>
      <c r="Y909" s="8">
        <f>IF(COUNT(D909:V909)=0,"",MAX(D909:V909))</f>
        <v/>
      </c>
      <c r="Z909" s="9">
        <f>IF(OR(W909="",W909=0),"",(Y909-W909)/W909)</f>
        <v/>
      </c>
      <c r="AA909" s="7">
        <f>IF(COUNT(D909:V909)=0,"",INDEX($D$1:$V$1,MATCH(MIN(D909:V909),D909:V909,0)))</f>
        <v/>
      </c>
      <c r="AB909" s="8" t="n">
        <v>65.88</v>
      </c>
      <c r="AC909" s="10" t="n">
        <v>1</v>
      </c>
    </row>
    <row r="910">
      <c r="A910" s="7" t="inlineStr">
        <is>
          <t>MAT-10-300</t>
        </is>
      </c>
      <c r="B910" s="4" t="inlineStr">
        <is>
          <t>Codo conduit de PVC 3/4"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>
        <v>9.130000000000001</v>
      </c>
      <c r="P910" s="8" t="n"/>
      <c r="Q910" s="8" t="n"/>
      <c r="R910" s="8" t="n"/>
      <c r="S910" s="8" t="n"/>
      <c r="T910" s="8" t="n"/>
      <c r="U910" s="8" t="n"/>
      <c r="V910" s="8" t="n"/>
      <c r="W910" s="8">
        <f>IF(COUNT(D910:V910)=0,"",MIN(D910:V910))</f>
        <v/>
      </c>
      <c r="X910" s="8">
        <f>IF(COUNT(D910:V910)=0,"",MEDIAN(D910:V910))</f>
        <v/>
      </c>
      <c r="Y910" s="8">
        <f>IF(COUNT(D910:V910)=0,"",MAX(D910:V910))</f>
        <v/>
      </c>
      <c r="Z910" s="9">
        <f>IF(OR(W910="",W910=0),"",(Y910-W910)/W910)</f>
        <v/>
      </c>
      <c r="AA910" s="7">
        <f>IF(COUNT(D910:V910)=0,"",INDEX($D$1:$V$1,MATCH(MIN(D910:V910),D910:V910,0)))</f>
        <v/>
      </c>
      <c r="AB910" s="8" t="n">
        <v>10.77</v>
      </c>
      <c r="AC910" s="10" t="n">
        <v>1</v>
      </c>
    </row>
    <row r="911">
      <c r="A911" s="7" t="inlineStr">
        <is>
          <t>MAT-10-301</t>
        </is>
      </c>
      <c r="B911" s="4" t="inlineStr">
        <is>
          <t>Codo conduit de PVC 3"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>
        <v>165.6</v>
      </c>
      <c r="P911" s="8" t="n"/>
      <c r="Q911" s="8" t="n"/>
      <c r="R911" s="8" t="n"/>
      <c r="S911" s="8" t="n"/>
      <c r="T911" s="8" t="n"/>
      <c r="U911" s="8" t="n"/>
      <c r="V911" s="8" t="n"/>
      <c r="W911" s="8">
        <f>IF(COUNT(D911:V911)=0,"",MIN(D911:V911))</f>
        <v/>
      </c>
      <c r="X911" s="8">
        <f>IF(COUNT(D911:V911)=0,"",MEDIAN(D911:V911))</f>
        <v/>
      </c>
      <c r="Y911" s="8">
        <f>IF(COUNT(D911:V911)=0,"",MAX(D911:V911))</f>
        <v/>
      </c>
      <c r="Z911" s="9">
        <f>IF(OR(W911="",W911=0),"",(Y911-W911)/W911)</f>
        <v/>
      </c>
      <c r="AA911" s="7">
        <f>IF(COUNT(D911:V911)=0,"",INDEX($D$1:$V$1,MATCH(MIN(D911:V911),D911:V911,0)))</f>
        <v/>
      </c>
      <c r="AB911" s="8" t="n">
        <v>195.41</v>
      </c>
      <c r="AC911" s="10" t="n">
        <v>1</v>
      </c>
    </row>
    <row r="912">
      <c r="A912" s="7" t="inlineStr">
        <is>
          <t>MAT-10-302</t>
        </is>
      </c>
      <c r="B912" s="4" t="inlineStr">
        <is>
          <t>Codo conduit de PVC 4"</t>
        </is>
      </c>
      <c r="C912" s="7" t="inlineStr">
        <is>
          <t>unidad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>
        <v>311.19</v>
      </c>
      <c r="P912" s="8" t="n"/>
      <c r="Q912" s="8" t="n"/>
      <c r="R912" s="8" t="n"/>
      <c r="S912" s="8" t="n"/>
      <c r="T912" s="8" t="n"/>
      <c r="U912" s="8" t="n"/>
      <c r="V912" s="8" t="n"/>
      <c r="W912" s="8">
        <f>IF(COUNT(D912:V912)=0,"",MIN(D912:V912))</f>
        <v/>
      </c>
      <c r="X912" s="8">
        <f>IF(COUNT(D912:V912)=0,"",MEDIAN(D912:V912))</f>
        <v/>
      </c>
      <c r="Y912" s="8">
        <f>IF(COUNT(D912:V912)=0,"",MAX(D912:V912))</f>
        <v/>
      </c>
      <c r="Z912" s="9">
        <f>IF(OR(W912="",W912=0),"",(Y912-W912)/W912)</f>
        <v/>
      </c>
      <c r="AA912" s="7">
        <f>IF(COUNT(D912:V912)=0,"",INDEX($D$1:$V$1,MATCH(MIN(D912:V912),D912:V912,0)))</f>
        <v/>
      </c>
      <c r="AB912" s="8" t="n">
        <v>367.2</v>
      </c>
      <c r="AC912" s="10" t="n">
        <v>1</v>
      </c>
    </row>
    <row r="913">
      <c r="A913" s="7" t="inlineStr">
        <is>
          <t>MAT-10-303</t>
        </is>
      </c>
      <c r="B913" s="4" t="inlineStr">
        <is>
          <t>Abrazadera plástica de 10"</t>
        </is>
      </c>
      <c r="C913" s="7" t="inlineStr">
        <is>
          <t>paquete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150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>
        <f>IF(COUNT(D913:V913)=0,"",MIN(D913:V913))</f>
        <v/>
      </c>
      <c r="X913" s="8">
        <f>IF(COUNT(D913:V913)=0,"",MEDIAN(D913:V913))</f>
        <v/>
      </c>
      <c r="Y913" s="8">
        <f>IF(COUNT(D913:V913)=0,"",MAX(D913:V913))</f>
        <v/>
      </c>
      <c r="Z913" s="9">
        <f>IF(OR(W913="",W913=0),"",(Y913-W913)/W913)</f>
        <v/>
      </c>
      <c r="AA913" s="7">
        <f>IF(COUNT(D913:V913)=0,"",INDEX($D$1:$V$1,MATCH(MIN(D913:V913),D913:V913,0)))</f>
        <v/>
      </c>
      <c r="AB913" s="8" t="n">
        <v>150</v>
      </c>
      <c r="AC913" s="10" t="n">
        <v>1</v>
      </c>
    </row>
    <row r="914">
      <c r="A914" s="7" t="inlineStr">
        <is>
          <t>MAT-10-304</t>
        </is>
      </c>
      <c r="B914" s="4" t="inlineStr">
        <is>
          <t>Abrazadera plástica de 12"</t>
        </is>
      </c>
      <c r="C914" s="7" t="inlineStr">
        <is>
          <t>paquete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1.99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>
        <f>IF(COUNT(D914:V914)=0,"",MIN(D914:V914))</f>
        <v/>
      </c>
      <c r="X914" s="8">
        <f>IF(COUNT(D914:V914)=0,"",MEDIAN(D914:V914))</f>
        <v/>
      </c>
      <c r="Y914" s="8">
        <f>IF(COUNT(D914:V914)=0,"",MAX(D914:V914))</f>
        <v/>
      </c>
      <c r="Z914" s="9">
        <f>IF(OR(W914="",W914=0),"",(Y914-W914)/W914)</f>
        <v/>
      </c>
      <c r="AA914" s="7">
        <f>IF(COUNT(D914:V914)=0,"",INDEX($D$1:$V$1,MATCH(MIN(D914:V914),D914:V914,0)))</f>
        <v/>
      </c>
      <c r="AB914" s="8" t="n">
        <v>2.42</v>
      </c>
      <c r="AC914" s="10" t="n">
        <v>1</v>
      </c>
    </row>
    <row r="915">
      <c r="A915" s="7" t="inlineStr">
        <is>
          <t>MAT-10-305</t>
        </is>
      </c>
      <c r="B915" s="4" t="inlineStr">
        <is>
          <t>Abrazadera plástica de 8"</t>
        </is>
      </c>
      <c r="C915" s="7" t="inlineStr">
        <is>
          <t>paquete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85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>
        <f>IF(COUNT(D915:V915)=0,"",MIN(D915:V915))</f>
        <v/>
      </c>
      <c r="X915" s="8">
        <f>IF(COUNT(D915:V915)=0,"",MEDIAN(D915:V915))</f>
        <v/>
      </c>
      <c r="Y915" s="8">
        <f>IF(COUNT(D915:V915)=0,"",MAX(D915:V915))</f>
        <v/>
      </c>
      <c r="Z915" s="9">
        <f>IF(OR(W915="",W915=0),"",(Y915-W915)/W915)</f>
        <v/>
      </c>
      <c r="AA915" s="7">
        <f>IF(COUNT(D915:V915)=0,"",INDEX($D$1:$V$1,MATCH(MIN(D915:V915),D915:V915,0)))</f>
        <v/>
      </c>
      <c r="AB915" s="8" t="n">
        <v>95</v>
      </c>
      <c r="AC915" s="10" t="n">
        <v>1</v>
      </c>
    </row>
    <row r="916">
      <c r="A916" s="7" t="inlineStr">
        <is>
          <t>MAT-10-306</t>
        </is>
      </c>
      <c r="B916" s="4" t="inlineStr">
        <is>
          <t>Cinta aislante 15 mts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1125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>
        <f>IF(COUNT(D916:V916)=0,"",MIN(D916:V916))</f>
        <v/>
      </c>
      <c r="X916" s="8">
        <f>IF(COUNT(D916:V916)=0,"",MEDIAN(D916:V916))</f>
        <v/>
      </c>
      <c r="Y916" s="8">
        <f>IF(COUNT(D916:V916)=0,"",MAX(D916:V916))</f>
        <v/>
      </c>
      <c r="Z916" s="9">
        <f>IF(OR(W916="",W916=0),"",(Y916-W916)/W916)</f>
        <v/>
      </c>
      <c r="AA916" s="7">
        <f>IF(COUNT(D916:V916)=0,"",INDEX($D$1:$V$1,MATCH(MIN(D916:V916),D916:V916,0)))</f>
        <v/>
      </c>
      <c r="AB916" s="8" t="n">
        <v>1125</v>
      </c>
      <c r="AC916" s="10" t="n">
        <v>1</v>
      </c>
    </row>
    <row r="917">
      <c r="A917" s="7" t="inlineStr">
        <is>
          <t>MAT-10-307</t>
        </is>
      </c>
      <c r="B917" s="4" t="inlineStr">
        <is>
          <t>Cinta aislante 3 m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135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>
        <f>IF(COUNT(D917:V917)=0,"",MIN(D917:V917))</f>
        <v/>
      </c>
      <c r="X917" s="8">
        <f>IF(COUNT(D917:V917)=0,"",MEDIAN(D917:V917))</f>
        <v/>
      </c>
      <c r="Y917" s="8">
        <f>IF(COUNT(D917:V917)=0,"",MAX(D917:V917))</f>
        <v/>
      </c>
      <c r="Z917" s="9">
        <f>IF(OR(W917="",W917=0),"",(Y917-W917)/W917)</f>
        <v/>
      </c>
      <c r="AA917" s="7">
        <f>IF(COUNT(D917:V917)=0,"",INDEX($D$1:$V$1,MATCH(MIN(D917:V917),D917:V917,0)))</f>
        <v/>
      </c>
      <c r="AB917" s="8" t="n">
        <v>787.5</v>
      </c>
      <c r="AC917" s="10" t="n">
        <v>1</v>
      </c>
    </row>
    <row r="918">
      <c r="A918" s="7" t="inlineStr">
        <is>
          <t>MAT-10-308</t>
        </is>
      </c>
      <c r="B918" s="4" t="inlineStr">
        <is>
          <t>Cinta aislante 30 mts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1730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>
        <f>IF(COUNT(D918:V918)=0,"",MIN(D918:V918))</f>
        <v/>
      </c>
      <c r="X918" s="8">
        <f>IF(COUNT(D918:V918)=0,"",MEDIAN(D918:V918))</f>
        <v/>
      </c>
      <c r="Y918" s="8">
        <f>IF(COUNT(D918:V918)=0,"",MAX(D918:V918))</f>
        <v/>
      </c>
      <c r="Z918" s="9">
        <f>IF(OR(W918="",W918=0),"",(Y918-W918)/W918)</f>
        <v/>
      </c>
      <c r="AA918" s="7">
        <f>IF(COUNT(D918:V918)=0,"",INDEX($D$1:$V$1,MATCH(MIN(D918:V918),D918:V918,0)))</f>
        <v/>
      </c>
      <c r="AB918" s="8" t="n">
        <v>1730</v>
      </c>
      <c r="AC918" s="10" t="n">
        <v>1</v>
      </c>
    </row>
    <row r="919">
      <c r="A919" s="7" t="inlineStr">
        <is>
          <t>MAT-10-309</t>
        </is>
      </c>
      <c r="B919" s="4" t="inlineStr">
        <is>
          <t>Cable THHN #14,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>
        <v>966</v>
      </c>
      <c r="P919" s="8" t="n"/>
      <c r="Q919" s="8" t="n"/>
      <c r="R919" s="8" t="n"/>
      <c r="S919" s="8" t="n"/>
      <c r="T919" s="8" t="n"/>
      <c r="U919" s="8" t="n"/>
      <c r="V919" s="8" t="n"/>
      <c r="W919" s="8">
        <f>IF(COUNT(D919:V919)=0,"",MIN(D919:V919))</f>
        <v/>
      </c>
      <c r="X919" s="8">
        <f>IF(COUNT(D919:V919)=0,"",MEDIAN(D919:V919))</f>
        <v/>
      </c>
      <c r="Y919" s="8">
        <f>IF(COUNT(D919:V919)=0,"",MAX(D919:V919))</f>
        <v/>
      </c>
      <c r="Z919" s="9">
        <f>IF(OR(W919="",W919=0),"",(Y919-W919)/W919)</f>
        <v/>
      </c>
      <c r="AA919" s="7">
        <f>IF(COUNT(D919:V919)=0,"",INDEX($D$1:$V$1,MATCH(MIN(D919:V919),D919:V919,0)))</f>
        <v/>
      </c>
      <c r="AB919" s="8" t="n">
        <v>1139.88</v>
      </c>
      <c r="AC919" s="10" t="n">
        <v>1</v>
      </c>
    </row>
    <row r="920">
      <c r="A920" s="7" t="inlineStr">
        <is>
          <t>MAT-10-310</t>
        </is>
      </c>
      <c r="B920" s="4" t="inlineStr">
        <is>
          <t>Cable THHN #2,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>
        <v>12600</v>
      </c>
      <c r="P920" s="8" t="n"/>
      <c r="Q920" s="8" t="n"/>
      <c r="R920" s="8" t="n"/>
      <c r="S920" s="8" t="n"/>
      <c r="T920" s="8" t="n"/>
      <c r="U920" s="8" t="n"/>
      <c r="V920" s="8" t="n"/>
      <c r="W920" s="8">
        <f>IF(COUNT(D920:V920)=0,"",MIN(D920:V920))</f>
        <v/>
      </c>
      <c r="X920" s="8">
        <f>IF(COUNT(D920:V920)=0,"",MEDIAN(D920:V920))</f>
        <v/>
      </c>
      <c r="Y920" s="8">
        <f>IF(COUNT(D920:V920)=0,"",MAX(D920:V920))</f>
        <v/>
      </c>
      <c r="Z920" s="9">
        <f>IF(OR(W920="",W920=0),"",(Y920-W920)/W920)</f>
        <v/>
      </c>
      <c r="AA920" s="7">
        <f>IF(COUNT(D920:V920)=0,"",INDEX($D$1:$V$1,MATCH(MIN(D920:V920),D920:V920,0)))</f>
        <v/>
      </c>
      <c r="AB920" s="8" t="n">
        <v>14868</v>
      </c>
      <c r="AC920" s="10" t="n">
        <v>1</v>
      </c>
    </row>
    <row r="921">
      <c r="A921" s="7" t="inlineStr">
        <is>
          <t>MAT-10-311</t>
        </is>
      </c>
      <c r="B921" s="4" t="inlineStr">
        <is>
          <t>Cable THHN #2/0,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>
        <v>25900</v>
      </c>
      <c r="P921" s="8" t="n"/>
      <c r="Q921" s="8" t="n"/>
      <c r="R921" s="8" t="n"/>
      <c r="S921" s="8" t="n"/>
      <c r="T921" s="8" t="n"/>
      <c r="U921" s="8" t="n"/>
      <c r="V921" s="8" t="n"/>
      <c r="W921" s="8">
        <f>IF(COUNT(D921:V921)=0,"",MIN(D921:V921))</f>
        <v/>
      </c>
      <c r="X921" s="8">
        <f>IF(COUNT(D921:V921)=0,"",MEDIAN(D921:V921))</f>
        <v/>
      </c>
      <c r="Y921" s="8">
        <f>IF(COUNT(D921:V921)=0,"",MAX(D921:V921))</f>
        <v/>
      </c>
      <c r="Z921" s="9">
        <f>IF(OR(W921="",W921=0),"",(Y921-W921)/W921)</f>
        <v/>
      </c>
      <c r="AA921" s="7">
        <f>IF(COUNT(D921:V921)=0,"",INDEX($D$1:$V$1,MATCH(MIN(D921:V921),D921:V921,0)))</f>
        <v/>
      </c>
      <c r="AB921" s="8" t="n">
        <v>30562</v>
      </c>
      <c r="AC921" s="10" t="n">
        <v>1</v>
      </c>
    </row>
    <row r="922">
      <c r="A922" s="7" t="inlineStr">
        <is>
          <t>MAT-10-312</t>
        </is>
      </c>
      <c r="B922" s="4" t="inlineStr">
        <is>
          <t>Cable THHN #3/0,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>
        <v>32800</v>
      </c>
      <c r="P922" s="8" t="n"/>
      <c r="Q922" s="8" t="n"/>
      <c r="R922" s="8" t="n"/>
      <c r="S922" s="8" t="n"/>
      <c r="T922" s="8" t="n"/>
      <c r="U922" s="8" t="n"/>
      <c r="V922" s="8" t="n"/>
      <c r="W922" s="8">
        <f>IF(COUNT(D922:V922)=0,"",MIN(D922:V922))</f>
        <v/>
      </c>
      <c r="X922" s="8">
        <f>IF(COUNT(D922:V922)=0,"",MEDIAN(D922:V922))</f>
        <v/>
      </c>
      <c r="Y922" s="8">
        <f>IF(COUNT(D922:V922)=0,"",MAX(D922:V922))</f>
        <v/>
      </c>
      <c r="Z922" s="9">
        <f>IF(OR(W922="",W922=0),"",(Y922-W922)/W922)</f>
        <v/>
      </c>
      <c r="AA922" s="7">
        <f>IF(COUNT(D922:V922)=0,"",INDEX($D$1:$V$1,MATCH(MIN(D922:V922),D922:V922,0)))</f>
        <v/>
      </c>
      <c r="AB922" s="8" t="n">
        <v>38704</v>
      </c>
      <c r="AC922" s="10" t="n">
        <v>1</v>
      </c>
    </row>
    <row r="923">
      <c r="A923" s="7" t="inlineStr">
        <is>
          <t>MAT-10-313</t>
        </is>
      </c>
      <c r="B923" s="4" t="inlineStr">
        <is>
          <t>Cable THHN #4,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>
        <v>8436</v>
      </c>
      <c r="P923" s="8" t="n"/>
      <c r="Q923" s="8" t="n"/>
      <c r="R923" s="8" t="n"/>
      <c r="S923" s="8" t="n"/>
      <c r="T923" s="8" t="n"/>
      <c r="U923" s="8" t="n"/>
      <c r="V923" s="8" t="n"/>
      <c r="W923" s="8">
        <f>IF(COUNT(D923:V923)=0,"",MIN(D923:V923))</f>
        <v/>
      </c>
      <c r="X923" s="8">
        <f>IF(COUNT(D923:V923)=0,"",MEDIAN(D923:V923))</f>
        <v/>
      </c>
      <c r="Y923" s="8">
        <f>IF(COUNT(D923:V923)=0,"",MAX(D923:V923))</f>
        <v/>
      </c>
      <c r="Z923" s="9">
        <f>IF(OR(W923="",W923=0),"",(Y923-W923)/W923)</f>
        <v/>
      </c>
      <c r="AA923" s="7">
        <f>IF(COUNT(D923:V923)=0,"",INDEX($D$1:$V$1,MATCH(MIN(D923:V923),D923:V923,0)))</f>
        <v/>
      </c>
      <c r="AB923" s="8" t="n">
        <v>9954.48</v>
      </c>
      <c r="AC923" s="10" t="n">
        <v>1</v>
      </c>
    </row>
    <row r="924">
      <c r="A924" s="7" t="inlineStr">
        <is>
          <t>MAT-10-314</t>
        </is>
      </c>
      <c r="B924" s="4" t="inlineStr">
        <is>
          <t>Cable THHN #4/0,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39200</v>
      </c>
      <c r="P924" s="8" t="n"/>
      <c r="Q924" s="8" t="n"/>
      <c r="R924" s="8" t="n"/>
      <c r="S924" s="8" t="n"/>
      <c r="T924" s="8" t="n"/>
      <c r="U924" s="8" t="n"/>
      <c r="V924" s="8" t="n"/>
      <c r="W924" s="8">
        <f>IF(COUNT(D924:V924)=0,"",MIN(D924:V924))</f>
        <v/>
      </c>
      <c r="X924" s="8">
        <f>IF(COUNT(D924:V924)=0,"",MEDIAN(D924:V924))</f>
        <v/>
      </c>
      <c r="Y924" s="8">
        <f>IF(COUNT(D924:V924)=0,"",MAX(D924:V924))</f>
        <v/>
      </c>
      <c r="Z924" s="9">
        <f>IF(OR(W924="",W924=0),"",(Y924-W924)/W924)</f>
        <v/>
      </c>
      <c r="AA924" s="7">
        <f>IF(COUNT(D924:V924)=0,"",INDEX($D$1:$V$1,MATCH(MIN(D924:V924),D924:V924,0)))</f>
        <v/>
      </c>
      <c r="AB924" s="8" t="n">
        <v>46256</v>
      </c>
      <c r="AC924" s="10" t="n">
        <v>1</v>
      </c>
    </row>
    <row r="925">
      <c r="A925" s="7" t="inlineStr">
        <is>
          <t>MAT-10-315</t>
        </is>
      </c>
      <c r="B925" s="4" t="inlineStr">
        <is>
          <t>Cable THHN #6,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5268</v>
      </c>
      <c r="P925" s="8" t="n"/>
      <c r="Q925" s="8" t="n"/>
      <c r="R925" s="8" t="n"/>
      <c r="S925" s="8" t="n"/>
      <c r="T925" s="8" t="n"/>
      <c r="U925" s="8" t="n"/>
      <c r="V925" s="8" t="n"/>
      <c r="W925" s="8">
        <f>IF(COUNT(D925:V925)=0,"",MIN(D925:V925))</f>
        <v/>
      </c>
      <c r="X925" s="8">
        <f>IF(COUNT(D925:V925)=0,"",MEDIAN(D925:V925))</f>
        <v/>
      </c>
      <c r="Y925" s="8">
        <f>IF(COUNT(D925:V925)=0,"",MAX(D925:V925))</f>
        <v/>
      </c>
      <c r="Z925" s="9">
        <f>IF(OR(W925="",W925=0),"",(Y925-W925)/W925)</f>
        <v/>
      </c>
      <c r="AA925" s="7">
        <f>IF(COUNT(D925:V925)=0,"",INDEX($D$1:$V$1,MATCH(MIN(D925:V925),D925:V925,0)))</f>
        <v/>
      </c>
      <c r="AB925" s="8" t="n">
        <v>6216.24</v>
      </c>
      <c r="AC925" s="10" t="n">
        <v>1</v>
      </c>
    </row>
    <row r="926">
      <c r="A926" s="7" t="inlineStr">
        <is>
          <t>MAT-10-316</t>
        </is>
      </c>
      <c r="B926" s="4" t="inlineStr">
        <is>
          <t>Cable de goma 1.5 mm, 2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2102</v>
      </c>
      <c r="P926" s="8" t="n"/>
      <c r="Q926" s="8" t="n"/>
      <c r="R926" s="8" t="n"/>
      <c r="S926" s="8" t="n"/>
      <c r="T926" s="8" t="n"/>
      <c r="U926" s="8" t="n"/>
      <c r="V926" s="8" t="n"/>
      <c r="W926" s="8">
        <f>IF(COUNT(D926:V926)=0,"",MIN(D926:V926))</f>
        <v/>
      </c>
      <c r="X926" s="8">
        <f>IF(COUNT(D926:V926)=0,"",MEDIAN(D926:V926))</f>
        <v/>
      </c>
      <c r="Y926" s="8">
        <f>IF(COUNT(D926:V926)=0,"",MAX(D926:V926))</f>
        <v/>
      </c>
      <c r="Z926" s="9">
        <f>IF(OR(W926="",W926=0),"",(Y926-W926)/W926)</f>
        <v/>
      </c>
      <c r="AA926" s="7">
        <f>IF(COUNT(D926:V926)=0,"",INDEX($D$1:$V$1,MATCH(MIN(D926:V926),D926:V926,0)))</f>
        <v/>
      </c>
      <c r="AB926" s="8" t="n">
        <v>2480.36</v>
      </c>
      <c r="AC926" s="10" t="n">
        <v>1</v>
      </c>
    </row>
    <row r="927">
      <c r="A927" s="7" t="inlineStr">
        <is>
          <t>MAT-10-317</t>
        </is>
      </c>
      <c r="B927" s="4" t="inlineStr">
        <is>
          <t>Cable de goma 1.5 mm, 3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2927</v>
      </c>
      <c r="P927" s="8" t="n"/>
      <c r="Q927" s="8" t="n"/>
      <c r="R927" s="8" t="n"/>
      <c r="S927" s="8" t="n"/>
      <c r="T927" s="8" t="n"/>
      <c r="U927" s="8" t="n"/>
      <c r="V927" s="8" t="n"/>
      <c r="W927" s="8">
        <f>IF(COUNT(D927:V927)=0,"",MIN(D927:V927))</f>
        <v/>
      </c>
      <c r="X927" s="8">
        <f>IF(COUNT(D927:V927)=0,"",MEDIAN(D927:V927))</f>
        <v/>
      </c>
      <c r="Y927" s="8">
        <f>IF(COUNT(D927:V927)=0,"",MAX(D927:V927))</f>
        <v/>
      </c>
      <c r="Z927" s="9">
        <f>IF(OR(W927="",W927=0),"",(Y927-W927)/W927)</f>
        <v/>
      </c>
      <c r="AA927" s="7">
        <f>IF(COUNT(D927:V927)=0,"",INDEX($D$1:$V$1,MATCH(MIN(D927:V927),D927:V927,0)))</f>
        <v/>
      </c>
      <c r="AB927" s="8" t="n">
        <v>3453.86</v>
      </c>
      <c r="AC927" s="10" t="n">
        <v>1</v>
      </c>
    </row>
    <row r="928">
      <c r="A928" s="7" t="inlineStr">
        <is>
          <t>MAT-10-318</t>
        </is>
      </c>
      <c r="B928" s="4" t="inlineStr">
        <is>
          <t>Cable de goma 1.5 mm, 4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3713</v>
      </c>
      <c r="P928" s="8" t="n"/>
      <c r="Q928" s="8" t="n"/>
      <c r="R928" s="8" t="n"/>
      <c r="S928" s="8" t="n"/>
      <c r="T928" s="8" t="n"/>
      <c r="U928" s="8" t="n"/>
      <c r="V928" s="8" t="n"/>
      <c r="W928" s="8">
        <f>IF(COUNT(D928:V928)=0,"",MIN(D928:V928))</f>
        <v/>
      </c>
      <c r="X928" s="8">
        <f>IF(COUNT(D928:V928)=0,"",MEDIAN(D928:V928))</f>
        <v/>
      </c>
      <c r="Y928" s="8">
        <f>IF(COUNT(D928:V928)=0,"",MAX(D928:V928))</f>
        <v/>
      </c>
      <c r="Z928" s="9">
        <f>IF(OR(W928="",W928=0),"",(Y928-W928)/W928)</f>
        <v/>
      </c>
      <c r="AA928" s="7">
        <f>IF(COUNT(D928:V928)=0,"",INDEX($D$1:$V$1,MATCH(MIN(D928:V928),D928:V928,0)))</f>
        <v/>
      </c>
      <c r="AB928" s="8" t="n">
        <v>4381.34</v>
      </c>
      <c r="AC928" s="10" t="n">
        <v>1</v>
      </c>
    </row>
    <row r="929">
      <c r="A929" s="7" t="inlineStr">
        <is>
          <t>MAT-10-319</t>
        </is>
      </c>
      <c r="B929" s="4" t="inlineStr">
        <is>
          <t>Cable de goma 12, 2 conductores,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3644</v>
      </c>
      <c r="P929" s="8" t="n"/>
      <c r="Q929" s="8" t="n"/>
      <c r="R929" s="8" t="n"/>
      <c r="S929" s="8" t="n"/>
      <c r="T929" s="8" t="n"/>
      <c r="U929" s="8" t="n"/>
      <c r="V929" s="8" t="n"/>
      <c r="W929" s="8">
        <f>IF(COUNT(D929:V929)=0,"",MIN(D929:V929))</f>
        <v/>
      </c>
      <c r="X929" s="8">
        <f>IF(COUNT(D929:V929)=0,"",MEDIAN(D929:V929))</f>
        <v/>
      </c>
      <c r="Y929" s="8">
        <f>IF(COUNT(D929:V929)=0,"",MAX(D929:V929))</f>
        <v/>
      </c>
      <c r="Z929" s="9">
        <f>IF(OR(W929="",W929=0),"",(Y929-W929)/W929)</f>
        <v/>
      </c>
      <c r="AA929" s="7">
        <f>IF(COUNT(D929:V929)=0,"",INDEX($D$1:$V$1,MATCH(MIN(D929:V929),D929:V929,0)))</f>
        <v/>
      </c>
      <c r="AB929" s="8" t="n">
        <v>4299.92</v>
      </c>
      <c r="AC929" s="10" t="n">
        <v>1</v>
      </c>
    </row>
    <row r="930">
      <c r="A930" s="7" t="inlineStr">
        <is>
          <t>MAT-10-320</t>
        </is>
      </c>
      <c r="B930" s="4" t="inlineStr">
        <is>
          <t>Cable de goma 12, 3 conductores, rollo 100 pies</t>
        </is>
      </c>
      <c r="C930" s="7" t="inlineStr">
        <is>
          <t>rollo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5338</v>
      </c>
      <c r="P930" s="8" t="n"/>
      <c r="Q930" s="8" t="n"/>
      <c r="R930" s="8" t="n"/>
      <c r="S930" s="8" t="n"/>
      <c r="T930" s="8" t="n"/>
      <c r="U930" s="8" t="n"/>
      <c r="V930" s="8" t="n"/>
      <c r="W930" s="8">
        <f>IF(COUNT(D930:V930)=0,"",MIN(D930:V930))</f>
        <v/>
      </c>
      <c r="X930" s="8">
        <f>IF(COUNT(D930:V930)=0,"",MEDIAN(D930:V930))</f>
        <v/>
      </c>
      <c r="Y930" s="8">
        <f>IF(COUNT(D930:V930)=0,"",MAX(D930:V930))</f>
        <v/>
      </c>
      <c r="Z930" s="9">
        <f>IF(OR(W930="",W930=0),"",(Y930-W930)/W930)</f>
        <v/>
      </c>
      <c r="AA930" s="7">
        <f>IF(COUNT(D930:V930)=0,"",INDEX($D$1:$V$1,MATCH(MIN(D930:V930),D930:V930,0)))</f>
        <v/>
      </c>
      <c r="AB930" s="8" t="n">
        <v>6298.84</v>
      </c>
      <c r="AC930" s="10" t="n">
        <v>1</v>
      </c>
    </row>
    <row r="931">
      <c r="A931" s="7" t="inlineStr">
        <is>
          <t>MAT-10-321</t>
        </is>
      </c>
      <c r="B931" s="4" t="inlineStr">
        <is>
          <t>Cable de goma 14, 4 conductores, rollo 100 pies</t>
        </is>
      </c>
      <c r="C931" s="7" t="inlineStr">
        <is>
          <t>rollo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>
        <v>4668</v>
      </c>
      <c r="P931" s="8" t="n"/>
      <c r="Q931" s="8" t="n"/>
      <c r="R931" s="8" t="n"/>
      <c r="S931" s="8" t="n"/>
      <c r="T931" s="8" t="n"/>
      <c r="U931" s="8" t="n"/>
      <c r="V931" s="8" t="n"/>
      <c r="W931" s="8">
        <f>IF(COUNT(D931:V931)=0,"",MIN(D931:V931))</f>
        <v/>
      </c>
      <c r="X931" s="8">
        <f>IF(COUNT(D931:V931)=0,"",MEDIAN(D931:V931))</f>
        <v/>
      </c>
      <c r="Y931" s="8">
        <f>IF(COUNT(D931:V931)=0,"",MAX(D931:V931))</f>
        <v/>
      </c>
      <c r="Z931" s="9">
        <f>IF(OR(W931="",W931=0),"",(Y931-W931)/W931)</f>
        <v/>
      </c>
      <c r="AA931" s="7">
        <f>IF(COUNT(D931:V931)=0,"",INDEX($D$1:$V$1,MATCH(MIN(D931:V931),D931:V931,0)))</f>
        <v/>
      </c>
      <c r="AB931" s="8" t="n">
        <v>5508.24</v>
      </c>
      <c r="AC931" s="10" t="n">
        <v>1</v>
      </c>
    </row>
    <row r="932">
      <c r="A932" s="7" t="inlineStr">
        <is>
          <t>MAT-10-322</t>
        </is>
      </c>
      <c r="B932" s="4" t="inlineStr">
        <is>
          <t>Cable de goma 2.5 mm, 2 conductores, rollo 100 pies</t>
        </is>
      </c>
      <c r="C932" s="7" t="inlineStr">
        <is>
          <t>rollo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>
        <v>2908</v>
      </c>
      <c r="P932" s="8" t="n"/>
      <c r="Q932" s="8" t="n"/>
      <c r="R932" s="8" t="n"/>
      <c r="S932" s="8" t="n"/>
      <c r="T932" s="8" t="n"/>
      <c r="U932" s="8" t="n"/>
      <c r="V932" s="8" t="n"/>
      <c r="W932" s="8">
        <f>IF(COUNT(D932:V932)=0,"",MIN(D932:V932))</f>
        <v/>
      </c>
      <c r="X932" s="8">
        <f>IF(COUNT(D932:V932)=0,"",MEDIAN(D932:V932))</f>
        <v/>
      </c>
      <c r="Y932" s="8">
        <f>IF(COUNT(D932:V932)=0,"",MAX(D932:V932))</f>
        <v/>
      </c>
      <c r="Z932" s="9">
        <f>IF(OR(W932="",W932=0),"",(Y932-W932)/W932)</f>
        <v/>
      </c>
      <c r="AA932" s="7">
        <f>IF(COUNT(D932:V932)=0,"",INDEX($D$1:$V$1,MATCH(MIN(D932:V932),D932:V932,0)))</f>
        <v/>
      </c>
      <c r="AB932" s="8" t="n">
        <v>3431.44</v>
      </c>
      <c r="AC932" s="10" t="n">
        <v>1</v>
      </c>
    </row>
    <row r="933">
      <c r="A933" s="7" t="inlineStr">
        <is>
          <t>MAT-10-323</t>
        </is>
      </c>
      <c r="B933" s="4" t="inlineStr">
        <is>
          <t>Cable de goma 2.5 mm, 3 conductores, rollo 100 pies</t>
        </is>
      </c>
      <c r="C933" s="7" t="inlineStr">
        <is>
          <t>rollo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>
        <v>4361</v>
      </c>
      <c r="P933" s="8" t="n"/>
      <c r="Q933" s="8" t="n"/>
      <c r="R933" s="8" t="n"/>
      <c r="S933" s="8" t="n"/>
      <c r="T933" s="8" t="n"/>
      <c r="U933" s="8" t="n"/>
      <c r="V933" s="8" t="n"/>
      <c r="W933" s="8">
        <f>IF(COUNT(D933:V933)=0,"",MIN(D933:V933))</f>
        <v/>
      </c>
      <c r="X933" s="8">
        <f>IF(COUNT(D933:V933)=0,"",MEDIAN(D933:V933))</f>
        <v/>
      </c>
      <c r="Y933" s="8">
        <f>IF(COUNT(D933:V933)=0,"",MAX(D933:V933))</f>
        <v/>
      </c>
      <c r="Z933" s="9">
        <f>IF(OR(W933="",W933=0),"",(Y933-W933)/W933)</f>
        <v/>
      </c>
      <c r="AA933" s="7">
        <f>IF(COUNT(D933:V933)=0,"",INDEX($D$1:$V$1,MATCH(MIN(D933:V933),D933:V933,0)))</f>
        <v/>
      </c>
      <c r="AB933" s="8" t="n">
        <v>5145.98</v>
      </c>
      <c r="AC933" s="10" t="n">
        <v>1</v>
      </c>
    </row>
    <row r="934">
      <c r="A934" s="7" t="inlineStr">
        <is>
          <t>MAT-10-324</t>
        </is>
      </c>
      <c r="B934" s="4" t="inlineStr">
        <is>
          <t>Cable de goma 6, 4 conductores, rollo 100 pies</t>
        </is>
      </c>
      <c r="C934" s="7" t="inlineStr">
        <is>
          <t>rollo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>
        <v>26700</v>
      </c>
      <c r="P934" s="8" t="n"/>
      <c r="Q934" s="8" t="n"/>
      <c r="R934" s="8" t="n"/>
      <c r="S934" s="8" t="n"/>
      <c r="T934" s="8" t="n"/>
      <c r="U934" s="8" t="n"/>
      <c r="V934" s="8" t="n"/>
      <c r="W934" s="8">
        <f>IF(COUNT(D934:V934)=0,"",MIN(D934:V934))</f>
        <v/>
      </c>
      <c r="X934" s="8">
        <f>IF(COUNT(D934:V934)=0,"",MEDIAN(D934:V934))</f>
        <v/>
      </c>
      <c r="Y934" s="8">
        <f>IF(COUNT(D934:V934)=0,"",MAX(D934:V934))</f>
        <v/>
      </c>
      <c r="Z934" s="9">
        <f>IF(OR(W934="",W934=0),"",(Y934-W934)/W934)</f>
        <v/>
      </c>
      <c r="AA934" s="7">
        <f>IF(COUNT(D934:V934)=0,"",INDEX($D$1:$V$1,MATCH(MIN(D934:V934),D934:V934,0)))</f>
        <v/>
      </c>
      <c r="AB934" s="8" t="n">
        <v>31506</v>
      </c>
      <c r="AC934" s="10" t="n">
        <v>1</v>
      </c>
    </row>
    <row r="935">
      <c r="A935" s="7" t="inlineStr">
        <is>
          <t>MAT-10-325</t>
        </is>
      </c>
      <c r="B935" s="4" t="inlineStr">
        <is>
          <t>Extensión eléctrica de 10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180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>
        <f>IF(COUNT(D935:V935)=0,"",MIN(D935:V935))</f>
        <v/>
      </c>
      <c r="X935" s="8">
        <f>IF(COUNT(D935:V935)=0,"",MEDIAN(D935:V935))</f>
        <v/>
      </c>
      <c r="Y935" s="8">
        <f>IF(COUNT(D935:V935)=0,"",MAX(D935:V935))</f>
        <v/>
      </c>
      <c r="Z935" s="9">
        <f>IF(OR(W935="",W935=0),"",(Y935-W935)/W935)</f>
        <v/>
      </c>
      <c r="AA935" s="7">
        <f>IF(COUNT(D935:V935)=0,"",INDEX($D$1:$V$1,MATCH(MIN(D935:V935),D935:V935,0)))</f>
        <v/>
      </c>
      <c r="AB935" s="8" t="n">
        <v>180</v>
      </c>
      <c r="AC935" s="10" t="n">
        <v>1</v>
      </c>
    </row>
    <row r="936">
      <c r="A936" s="7" t="inlineStr">
        <is>
          <t>MAT-10-326</t>
        </is>
      </c>
      <c r="B936" s="4" t="inlineStr">
        <is>
          <t>Extensión eléctrica de 100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1355.01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>
        <f>IF(COUNT(D936:V936)=0,"",MIN(D936:V936))</f>
        <v/>
      </c>
      <c r="X936" s="8">
        <f>IF(COUNT(D936:V936)=0,"",MEDIAN(D936:V936))</f>
        <v/>
      </c>
      <c r="Y936" s="8">
        <f>IF(COUNT(D936:V936)=0,"",MAX(D936:V936))</f>
        <v/>
      </c>
      <c r="Z936" s="9">
        <f>IF(OR(W936="",W936=0),"",(Y936-W936)/W936)</f>
        <v/>
      </c>
      <c r="AA936" s="7">
        <f>IF(COUNT(D936:V936)=0,"",INDEX($D$1:$V$1,MATCH(MIN(D936:V936),D936:V936,0)))</f>
        <v/>
      </c>
      <c r="AB936" s="8" t="n">
        <v>1940</v>
      </c>
      <c r="AC936" s="10" t="n">
        <v>1</v>
      </c>
    </row>
    <row r="937">
      <c r="A937" s="7" t="inlineStr">
        <is>
          <t>MAT-10-327</t>
        </is>
      </c>
      <c r="B937" s="4" t="inlineStr">
        <is>
          <t>Extensión eléctrica de 12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210</v>
      </c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>
        <f>IF(COUNT(D937:V937)=0,"",MIN(D937:V937))</f>
        <v/>
      </c>
      <c r="X937" s="8">
        <f>IF(COUNT(D937:V937)=0,"",MEDIAN(D937:V937))</f>
        <v/>
      </c>
      <c r="Y937" s="8">
        <f>IF(COUNT(D937:V937)=0,"",MAX(D937:V937))</f>
        <v/>
      </c>
      <c r="Z937" s="9">
        <f>IF(OR(W937="",W937=0),"",(Y937-W937)/W937)</f>
        <v/>
      </c>
      <c r="AA937" s="7">
        <f>IF(COUNT(D937:V937)=0,"",INDEX($D$1:$V$1,MATCH(MIN(D937:V937),D937:V937,0)))</f>
        <v/>
      </c>
      <c r="AB937" s="8" t="n">
        <v>285</v>
      </c>
      <c r="AC937" s="10" t="n">
        <v>1</v>
      </c>
    </row>
    <row r="938">
      <c r="A938" s="7" t="inlineStr">
        <is>
          <t>MAT-10-328</t>
        </is>
      </c>
      <c r="B938" s="4" t="inlineStr">
        <is>
          <t>Extensión eléctrica de 13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225</v>
      </c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>
        <f>IF(COUNT(D938:V938)=0,"",MIN(D938:V938))</f>
        <v/>
      </c>
      <c r="X938" s="8">
        <f>IF(COUNT(D938:V938)=0,"",MEDIAN(D938:V938))</f>
        <v/>
      </c>
      <c r="Y938" s="8">
        <f>IF(COUNT(D938:V938)=0,"",MAX(D938:V938))</f>
        <v/>
      </c>
      <c r="Z938" s="9">
        <f>IF(OR(W938="",W938=0),"",(Y938-W938)/W938)</f>
        <v/>
      </c>
      <c r="AA938" s="7">
        <f>IF(COUNT(D938:V938)=0,"",INDEX($D$1:$V$1,MATCH(MIN(D938:V938),D938:V938,0)))</f>
        <v/>
      </c>
      <c r="AB938" s="8" t="n">
        <v>225</v>
      </c>
      <c r="AC938" s="10" t="n">
        <v>1</v>
      </c>
    </row>
    <row r="939">
      <c r="A939" s="7" t="inlineStr">
        <is>
          <t>MAT-10-329</t>
        </is>
      </c>
      <c r="B939" s="4" t="inlineStr">
        <is>
          <t>Extensión eléctrica de 15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300</v>
      </c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>
        <f>IF(COUNT(D939:V939)=0,"",MIN(D939:V939))</f>
        <v/>
      </c>
      <c r="X939" s="8">
        <f>IF(COUNT(D939:V939)=0,"",MEDIAN(D939:V939))</f>
        <v/>
      </c>
      <c r="Y939" s="8">
        <f>IF(COUNT(D939:V939)=0,"",MAX(D939:V939))</f>
        <v/>
      </c>
      <c r="Z939" s="9">
        <f>IF(OR(W939="",W939=0),"",(Y939-W939)/W939)</f>
        <v/>
      </c>
      <c r="AA939" s="7">
        <f>IF(COUNT(D939:V939)=0,"",INDEX($D$1:$V$1,MATCH(MIN(D939:V939),D939:V939,0)))</f>
        <v/>
      </c>
      <c r="AB939" s="8" t="n">
        <v>505</v>
      </c>
      <c r="AC939" s="10" t="n">
        <v>1</v>
      </c>
    </row>
    <row r="940">
      <c r="A940" s="7" t="inlineStr">
        <is>
          <t>MAT-10-330</t>
        </is>
      </c>
      <c r="B940" s="4" t="inlineStr">
        <is>
          <t>Extensión eléctrica de 16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270</v>
      </c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>
        <f>IF(COUNT(D940:V940)=0,"",MIN(D940:V940))</f>
        <v/>
      </c>
      <c r="X940" s="8">
        <f>IF(COUNT(D940:V940)=0,"",MEDIAN(D940:V940))</f>
        <v/>
      </c>
      <c r="Y940" s="8">
        <f>IF(COUNT(D940:V940)=0,"",MAX(D940:V940))</f>
        <v/>
      </c>
      <c r="Z940" s="9">
        <f>IF(OR(W940="",W940=0),"",(Y940-W940)/W940)</f>
        <v/>
      </c>
      <c r="AA940" s="7">
        <f>IF(COUNT(D940:V940)=0,"",INDEX($D$1:$V$1,MATCH(MIN(D940:V940),D940:V940,0)))</f>
        <v/>
      </c>
      <c r="AB940" s="8" t="n">
        <v>270</v>
      </c>
      <c r="AC940" s="10" t="n">
        <v>1</v>
      </c>
    </row>
    <row r="941">
      <c r="A941" s="7" t="inlineStr">
        <is>
          <t>MAT-10-331</t>
        </is>
      </c>
      <c r="B941" s="4" t="inlineStr">
        <is>
          <t>Extensión eléctrica de 25 pies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1700</v>
      </c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>
        <f>IF(COUNT(D941:V941)=0,"",MIN(D941:V941))</f>
        <v/>
      </c>
      <c r="X941" s="8">
        <f>IF(COUNT(D941:V941)=0,"",MEDIAN(D941:V941))</f>
        <v/>
      </c>
      <c r="Y941" s="8">
        <f>IF(COUNT(D941:V941)=0,"",MAX(D941:V941))</f>
        <v/>
      </c>
      <c r="Z941" s="9">
        <f>IF(OR(W941="",W941=0),"",(Y941-W941)/W941)</f>
        <v/>
      </c>
      <c r="AA941" s="7">
        <f>IF(COUNT(D941:V941)=0,"",INDEX($D$1:$V$1,MATCH(MIN(D941:V941),D941:V941,0)))</f>
        <v/>
      </c>
      <c r="AB941" s="8" t="n">
        <v>1700</v>
      </c>
      <c r="AC941" s="10" t="n">
        <v>1</v>
      </c>
    </row>
    <row r="942">
      <c r="A942" s="7" t="inlineStr">
        <is>
          <t>MAT-10-332</t>
        </is>
      </c>
      <c r="B942" s="4" t="inlineStr">
        <is>
          <t>Extensión eléctrica de 26 pies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520</v>
      </c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>
        <f>IF(COUNT(D942:V942)=0,"",MIN(D942:V942))</f>
        <v/>
      </c>
      <c r="X942" s="8">
        <f>IF(COUNT(D942:V942)=0,"",MEDIAN(D942:V942))</f>
        <v/>
      </c>
      <c r="Y942" s="8">
        <f>IF(COUNT(D942:V942)=0,"",MAX(D942:V942))</f>
        <v/>
      </c>
      <c r="Z942" s="9">
        <f>IF(OR(W942="",W942=0),"",(Y942-W942)/W942)</f>
        <v/>
      </c>
      <c r="AA942" s="7">
        <f>IF(COUNT(D942:V942)=0,"",INDEX($D$1:$V$1,MATCH(MIN(D942:V942),D942:V942,0)))</f>
        <v/>
      </c>
      <c r="AB942" s="8" t="n">
        <v>520</v>
      </c>
      <c r="AC942" s="10" t="n">
        <v>1</v>
      </c>
    </row>
    <row r="943">
      <c r="A943" s="7" t="inlineStr">
        <is>
          <t>MAT-10-333</t>
        </is>
      </c>
      <c r="B943" s="4" t="inlineStr">
        <is>
          <t>Extensión eléctrica de 50 pies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725</v>
      </c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>
        <f>IF(COUNT(D943:V943)=0,"",MIN(D943:V943))</f>
        <v/>
      </c>
      <c r="X943" s="8">
        <f>IF(COUNT(D943:V943)=0,"",MEDIAN(D943:V943))</f>
        <v/>
      </c>
      <c r="Y943" s="8">
        <f>IF(COUNT(D943:V943)=0,"",MAX(D943:V943))</f>
        <v/>
      </c>
      <c r="Z943" s="9">
        <f>IF(OR(W943="",W943=0),"",(Y943-W943)/W943)</f>
        <v/>
      </c>
      <c r="AA943" s="7">
        <f>IF(COUNT(D943:V943)=0,"",INDEX($D$1:$V$1,MATCH(MIN(D943:V943),D943:V943,0)))</f>
        <v/>
      </c>
      <c r="AB943" s="8" t="n">
        <v>1330</v>
      </c>
      <c r="AC943" s="10" t="n">
        <v>1</v>
      </c>
    </row>
    <row r="944">
      <c r="A944" s="7" t="inlineStr">
        <is>
          <t>MAT-10-334</t>
        </is>
      </c>
      <c r="B944" s="4" t="inlineStr">
        <is>
          <t>Extensión eléctrica de 6 pies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310</v>
      </c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>
        <f>IF(COUNT(D944:V944)=0,"",MIN(D944:V944))</f>
        <v/>
      </c>
      <c r="X944" s="8">
        <f>IF(COUNT(D944:V944)=0,"",MEDIAN(D944:V944))</f>
        <v/>
      </c>
      <c r="Y944" s="8">
        <f>IF(COUNT(D944:V944)=0,"",MAX(D944:V944))</f>
        <v/>
      </c>
      <c r="Z944" s="9">
        <f>IF(OR(W944="",W944=0),"",(Y944-W944)/W944)</f>
        <v/>
      </c>
      <c r="AA944" s="7">
        <f>IF(COUNT(D944:V944)=0,"",INDEX($D$1:$V$1,MATCH(MIN(D944:V944),D944:V944,0)))</f>
        <v/>
      </c>
      <c r="AB944" s="8" t="n">
        <v>310</v>
      </c>
      <c r="AC944" s="10" t="n">
        <v>1</v>
      </c>
    </row>
    <row r="945">
      <c r="A945" s="7" t="inlineStr">
        <is>
          <t>MAT-10-335</t>
        </is>
      </c>
      <c r="B945" s="4" t="inlineStr">
        <is>
          <t>Extensión eléctrica de 7 pies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145</v>
      </c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>
        <f>IF(COUNT(D945:V945)=0,"",MIN(D945:V945))</f>
        <v/>
      </c>
      <c r="X945" s="8">
        <f>IF(COUNT(D945:V945)=0,"",MEDIAN(D945:V945))</f>
        <v/>
      </c>
      <c r="Y945" s="8">
        <f>IF(COUNT(D945:V945)=0,"",MAX(D945:V945))</f>
        <v/>
      </c>
      <c r="Z945" s="9">
        <f>IF(OR(W945="",W945=0),"",(Y945-W945)/W945)</f>
        <v/>
      </c>
      <c r="AA945" s="7">
        <f>IF(COUNT(D945:V945)=0,"",INDEX($D$1:$V$1,MATCH(MIN(D945:V945),D945:V945,0)))</f>
        <v/>
      </c>
      <c r="AB945" s="8" t="n">
        <v>145</v>
      </c>
      <c r="AC945" s="10" t="n">
        <v>1</v>
      </c>
    </row>
    <row r="946">
      <c r="A946" s="7" t="inlineStr">
        <is>
          <t>MAT-10-336</t>
        </is>
      </c>
      <c r="B946" s="4" t="inlineStr">
        <is>
          <t>Regleta de 6 salidas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654.99</v>
      </c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>
        <f>IF(COUNT(D946:V946)=0,"",MIN(D946:V946))</f>
        <v/>
      </c>
      <c r="X946" s="8">
        <f>IF(COUNT(D946:V946)=0,"",MEDIAN(D946:V946))</f>
        <v/>
      </c>
      <c r="Y946" s="8">
        <f>IF(COUNT(D946:V946)=0,"",MAX(D946:V946))</f>
        <v/>
      </c>
      <c r="Z946" s="9">
        <f>IF(OR(W946="",W946=0),"",(Y946-W946)/W946)</f>
        <v/>
      </c>
      <c r="AA946" s="7">
        <f>IF(COUNT(D946:V946)=0,"",INDEX($D$1:$V$1,MATCH(MIN(D946:V946),D946:V946,0)))</f>
        <v/>
      </c>
      <c r="AB946" s="8" t="n">
        <v>737.5</v>
      </c>
      <c r="AC946" s="10" t="n">
        <v>1</v>
      </c>
    </row>
    <row r="947">
      <c r="A947" s="7" t="inlineStr">
        <is>
          <t>MAT-10-337</t>
        </is>
      </c>
      <c r="B947" s="4" t="inlineStr">
        <is>
          <t>Regleta de 6 salidas con supresor de picos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725</v>
      </c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>
        <f>IF(COUNT(D947:V947)=0,"",MIN(D947:V947))</f>
        <v/>
      </c>
      <c r="X947" s="8">
        <f>IF(COUNT(D947:V947)=0,"",MEDIAN(D947:V947))</f>
        <v/>
      </c>
      <c r="Y947" s="8">
        <f>IF(COUNT(D947:V947)=0,"",MAX(D947:V947))</f>
        <v/>
      </c>
      <c r="Z947" s="9">
        <f>IF(OR(W947="",W947=0),"",(Y947-W947)/W947)</f>
        <v/>
      </c>
      <c r="AA947" s="7">
        <f>IF(COUNT(D947:V947)=0,"",INDEX($D$1:$V$1,MATCH(MIN(D947:V947),D947:V947,0)))</f>
        <v/>
      </c>
      <c r="AB947" s="8" t="n">
        <v>725</v>
      </c>
      <c r="AC947" s="10" t="n">
        <v>1</v>
      </c>
    </row>
    <row r="948">
      <c r="A948" s="7" t="inlineStr">
        <is>
          <t>MAT-10-338</t>
        </is>
      </c>
      <c r="B948" s="4" t="inlineStr">
        <is>
          <t>Regleta de 8 salidas</t>
        </is>
      </c>
      <c r="C948" s="7" t="inlineStr">
        <is>
          <t>unidad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>
        <v>1195</v>
      </c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>
        <f>IF(COUNT(D948:V948)=0,"",MIN(D948:V948))</f>
        <v/>
      </c>
      <c r="X948" s="8">
        <f>IF(COUNT(D948:V948)=0,"",MEDIAN(D948:V948))</f>
        <v/>
      </c>
      <c r="Y948" s="8">
        <f>IF(COUNT(D948:V948)=0,"",MAX(D948:V948))</f>
        <v/>
      </c>
      <c r="Z948" s="9">
        <f>IF(OR(W948="",W948=0),"",(Y948-W948)/W948)</f>
        <v/>
      </c>
      <c r="AA948" s="7">
        <f>IF(COUNT(D948:V948)=0,"",INDEX($D$1:$V$1,MATCH(MIN(D948:V948),D948:V948,0)))</f>
        <v/>
      </c>
      <c r="AB948" s="8" t="n">
        <v>1195</v>
      </c>
      <c r="AC948" s="10" t="n">
        <v>1</v>
      </c>
    </row>
    <row r="949">
      <c r="A949" s="7" t="inlineStr">
        <is>
          <t>MAT-10-339</t>
        </is>
      </c>
      <c r="B949" s="4" t="inlineStr">
        <is>
          <t>Sensor de movimiento</t>
        </is>
      </c>
      <c r="C949" s="7" t="inlineStr">
        <is>
          <t>unidad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>
        <v>500</v>
      </c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>
        <f>IF(COUNT(D949:V949)=0,"",MIN(D949:V949))</f>
        <v/>
      </c>
      <c r="X949" s="8">
        <f>IF(COUNT(D949:V949)=0,"",MEDIAN(D949:V949))</f>
        <v/>
      </c>
      <c r="Y949" s="8">
        <f>IF(COUNT(D949:V949)=0,"",MAX(D949:V949))</f>
        <v/>
      </c>
      <c r="Z949" s="9">
        <f>IF(OR(W949="",W949=0),"",(Y949-W949)/W949)</f>
        <v/>
      </c>
      <c r="AA949" s="7">
        <f>IF(COUNT(D949:V949)=0,"",INDEX($D$1:$V$1,MATCH(MIN(D949:V949),D949:V949,0)))</f>
        <v/>
      </c>
      <c r="AB949" s="8" t="n">
        <v>570</v>
      </c>
      <c r="AC949" s="10" t="n">
        <v>1</v>
      </c>
    </row>
    <row r="950">
      <c r="A950" s="7" t="inlineStr">
        <is>
          <t>MAT-10-340</t>
        </is>
      </c>
      <c r="B950" s="4" t="inlineStr">
        <is>
          <t>Temporizador</t>
        </is>
      </c>
      <c r="C950" s="7" t="inlineStr">
        <is>
          <t>unidad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>
        <v>805</v>
      </c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>
        <f>IF(COUNT(D950:V950)=0,"",MIN(D950:V950))</f>
        <v/>
      </c>
      <c r="X950" s="8">
        <f>IF(COUNT(D950:V950)=0,"",MEDIAN(D950:V950))</f>
        <v/>
      </c>
      <c r="Y950" s="8">
        <f>IF(COUNT(D950:V950)=0,"",MAX(D950:V950))</f>
        <v/>
      </c>
      <c r="Z950" s="9">
        <f>IF(OR(W950="",W950=0),"",(Y950-W950)/W950)</f>
        <v/>
      </c>
      <c r="AA950" s="7">
        <f>IF(COUNT(D950:V950)=0,"",INDEX($D$1:$V$1,MATCH(MIN(D950:V950),D950:V950,0)))</f>
        <v/>
      </c>
      <c r="AB950" s="8" t="n">
        <v>805</v>
      </c>
      <c r="AC950" s="10" t="n">
        <v>1</v>
      </c>
    </row>
    <row r="951">
      <c r="A951" s="7" t="inlineStr">
        <is>
          <t>MAT-10-341</t>
        </is>
      </c>
      <c r="B951" s="4" t="inlineStr">
        <is>
          <t>Timbre eléctrico</t>
        </is>
      </c>
      <c r="C951" s="7" t="inlineStr">
        <is>
          <t>unidad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>
        <v>100</v>
      </c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>
        <f>IF(COUNT(D951:V951)=0,"",MIN(D951:V951))</f>
        <v/>
      </c>
      <c r="X951" s="8">
        <f>IF(COUNT(D951:V951)=0,"",MEDIAN(D951:V951))</f>
        <v/>
      </c>
      <c r="Y951" s="8">
        <f>IF(COUNT(D951:V951)=0,"",MAX(D951:V951))</f>
        <v/>
      </c>
      <c r="Z951" s="9">
        <f>IF(OR(W951="",W951=0),"",(Y951-W951)/W951)</f>
        <v/>
      </c>
      <c r="AA951" s="7">
        <f>IF(COUNT(D951:V951)=0,"",INDEX($D$1:$V$1,MATCH(MIN(D951:V951),D951:V951,0)))</f>
        <v/>
      </c>
      <c r="AB951" s="8" t="n">
        <v>414.99</v>
      </c>
      <c r="AC951" s="10" t="n">
        <v>1</v>
      </c>
    </row>
    <row r="952">
      <c r="A952" s="7" t="inlineStr">
        <is>
          <t>MAT-12-009</t>
        </is>
      </c>
      <c r="B952" s="4" t="inlineStr">
        <is>
          <t>Pintura acrílica, cubeta de 5 galones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>
        <v>1750</v>
      </c>
      <c r="J952" s="8" t="n"/>
      <c r="K952" s="8" t="n"/>
      <c r="L952" s="8" t="n"/>
      <c r="M952" s="8" t="n"/>
      <c r="N952" s="8" t="n"/>
      <c r="O952" s="8" t="n"/>
      <c r="P952" s="8" t="n">
        <v>1730.56</v>
      </c>
      <c r="Q952" s="8" t="n"/>
      <c r="R952" s="8" t="n"/>
      <c r="S952" s="8" t="n"/>
      <c r="T952" s="8" t="n"/>
      <c r="U952" s="8" t="n"/>
      <c r="V952" s="8" t="n"/>
      <c r="W952" s="8">
        <f>IF(COUNT(D952:V952)=0,"",MIN(D952:V952))</f>
        <v/>
      </c>
      <c r="X952" s="8">
        <f>IF(COUNT(D952:V952)=0,"",MEDIAN(D952:V952))</f>
        <v/>
      </c>
      <c r="Y952" s="8">
        <f>IF(COUNT(D952:V952)=0,"",MAX(D952:V952))</f>
        <v/>
      </c>
      <c r="Z952" s="9">
        <f>IF(OR(W952="",W952=0),"",(Y952-W952)/W952)</f>
        <v/>
      </c>
      <c r="AA952" s="7">
        <f>IF(COUNT(D952:V952)=0,"",INDEX($D$1:$V$1,MATCH(MIN(D952:V952),D952:V952,0)))</f>
        <v/>
      </c>
      <c r="AB952" s="8" t="n">
        <v>3750</v>
      </c>
      <c r="AC952" s="10" t="n">
        <v>2</v>
      </c>
    </row>
    <row r="953">
      <c r="A953" s="7" t="inlineStr">
        <is>
          <t>MAT-12-010</t>
        </is>
      </c>
      <c r="B953" s="4" t="inlineStr">
        <is>
          <t>Pintura acrílica, galón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>
        <v>375</v>
      </c>
      <c r="J953" s="8" t="n"/>
      <c r="K953" s="8" t="n"/>
      <c r="L953" s="8" t="n"/>
      <c r="M953" s="8" t="n"/>
      <c r="N953" s="8" t="n"/>
      <c r="O953" s="8" t="n"/>
      <c r="P953" s="8" t="n">
        <v>374.4</v>
      </c>
      <c r="Q953" s="8" t="n"/>
      <c r="R953" s="8" t="n"/>
      <c r="S953" s="8" t="n"/>
      <c r="T953" s="8" t="n"/>
      <c r="U953" s="8" t="n"/>
      <c r="V953" s="8" t="n"/>
      <c r="W953" s="8">
        <f>IF(COUNT(D953:V953)=0,"",MIN(D953:V953))</f>
        <v/>
      </c>
      <c r="X953" s="8">
        <f>IF(COUNT(D953:V953)=0,"",MEDIAN(D953:V953))</f>
        <v/>
      </c>
      <c r="Y953" s="8">
        <f>IF(COUNT(D953:V953)=0,"",MAX(D953:V953))</f>
        <v/>
      </c>
      <c r="Z953" s="9">
        <f>IF(OR(W953="",W953=0),"",(Y953-W953)/W953)</f>
        <v/>
      </c>
      <c r="AA953" s="7">
        <f>IF(COUNT(D953:V953)=0,"",INDEX($D$1:$V$1,MATCH(MIN(D953:V953),D953:V953,0)))</f>
        <v/>
      </c>
      <c r="AB953" s="8" t="n">
        <v>757.13</v>
      </c>
      <c r="AC953" s="10" t="n">
        <v>2</v>
      </c>
    </row>
    <row r="954">
      <c r="A954" s="7" t="inlineStr">
        <is>
          <t>MAT-12-011</t>
        </is>
      </c>
      <c r="B954" s="4" t="inlineStr">
        <is>
          <t>Pintura aislante térmica, galón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>
        <v>6835.64</v>
      </c>
      <c r="Q954" s="8" t="n"/>
      <c r="R954" s="8" t="n"/>
      <c r="S954" s="8" t="n"/>
      <c r="T954" s="8" t="n"/>
      <c r="U954" s="8" t="n"/>
      <c r="V954" s="8" t="n"/>
      <c r="W954" s="8">
        <f>IF(COUNT(D954:V954)=0,"",MIN(D954:V954))</f>
        <v/>
      </c>
      <c r="X954" s="8">
        <f>IF(COUNT(D954:V954)=0,"",MEDIAN(D954:V954))</f>
        <v/>
      </c>
      <c r="Y954" s="8">
        <f>IF(COUNT(D954:V954)=0,"",MAX(D954:V954))</f>
        <v/>
      </c>
      <c r="Z954" s="9">
        <f>IF(OR(W954="",W954=0),"",(Y954-W954)/W954)</f>
        <v/>
      </c>
      <c r="AA954" s="7">
        <f>IF(COUNT(D954:V954)=0,"",INDEX($D$1:$V$1,MATCH(MIN(D954:V954),D954:V954,0)))</f>
        <v/>
      </c>
      <c r="AB954" s="8" t="n">
        <v>6835.64</v>
      </c>
      <c r="AC954" s="10" t="n">
        <v>1</v>
      </c>
    </row>
    <row r="955">
      <c r="A955" s="7" t="inlineStr">
        <is>
          <t>MAT-12-012</t>
        </is>
      </c>
      <c r="B955" s="4" t="inlineStr">
        <is>
          <t>Pintura anticorrosiva, galón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>
        <v>1345.06</v>
      </c>
      <c r="Q955" s="8" t="n"/>
      <c r="R955" s="8" t="n"/>
      <c r="S955" s="8" t="n"/>
      <c r="T955" s="8" t="n"/>
      <c r="U955" s="8" t="n"/>
      <c r="V955" s="8" t="n"/>
      <c r="W955" s="8">
        <f>IF(COUNT(D955:V955)=0,"",MIN(D955:V955))</f>
        <v/>
      </c>
      <c r="X955" s="8">
        <f>IF(COUNT(D955:V955)=0,"",MEDIAN(D955:V955))</f>
        <v/>
      </c>
      <c r="Y955" s="8">
        <f>IF(COUNT(D955:V955)=0,"",MAX(D955:V955))</f>
        <v/>
      </c>
      <c r="Z955" s="9">
        <f>IF(OR(W955="",W955=0),"",(Y955-W955)/W955)</f>
        <v/>
      </c>
      <c r="AA955" s="7">
        <f>IF(COUNT(D955:V955)=0,"",INDEX($D$1:$V$1,MATCH(MIN(D955:V955),D955:V955,0)))</f>
        <v/>
      </c>
      <c r="AB955" s="8" t="n">
        <v>4353.57</v>
      </c>
      <c r="AC955" s="10" t="n">
        <v>1</v>
      </c>
    </row>
    <row r="956">
      <c r="A956" s="7" t="inlineStr">
        <is>
          <t>MAT-12-013</t>
        </is>
      </c>
      <c r="B956" s="4" t="inlineStr">
        <is>
          <t>Pintura de tráfico, galón</t>
        </is>
      </c>
      <c r="C956" s="7" t="inlineStr">
        <is>
          <t>envase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>
        <v>1705.6</v>
      </c>
      <c r="Q956" s="8" t="n"/>
      <c r="R956" s="8" t="n"/>
      <c r="S956" s="8" t="n"/>
      <c r="T956" s="8" t="n"/>
      <c r="U956" s="8" t="n"/>
      <c r="V956" s="8" t="n"/>
      <c r="W956" s="8">
        <f>IF(COUNT(D956:V956)=0,"",MIN(D956:V956))</f>
        <v/>
      </c>
      <c r="X956" s="8">
        <f>IF(COUNT(D956:V956)=0,"",MEDIAN(D956:V956))</f>
        <v/>
      </c>
      <c r="Y956" s="8">
        <f>IF(COUNT(D956:V956)=0,"",MAX(D956:V956))</f>
        <v/>
      </c>
      <c r="Z956" s="9">
        <f>IF(OR(W956="",W956=0),"",(Y956-W956)/W956)</f>
        <v/>
      </c>
      <c r="AA956" s="7">
        <f>IF(COUNT(D956:V956)=0,"",INDEX($D$1:$V$1,MATCH(MIN(D956:V956),D956:V956,0)))</f>
        <v/>
      </c>
      <c r="AB956" s="8" t="n">
        <v>1780.6</v>
      </c>
      <c r="AC956" s="10" t="n">
        <v>1</v>
      </c>
    </row>
    <row r="957">
      <c r="A957" s="7" t="inlineStr">
        <is>
          <t>MAT-12-014</t>
        </is>
      </c>
      <c r="B957" s="4" t="inlineStr">
        <is>
          <t>Pintura epóxica, cubeta de 5 galones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>
        <v>1675</v>
      </c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>
        <f>IF(COUNT(D957:V957)=0,"",MIN(D957:V957))</f>
        <v/>
      </c>
      <c r="X957" s="8">
        <f>IF(COUNT(D957:V957)=0,"",MEDIAN(D957:V957))</f>
        <v/>
      </c>
      <c r="Y957" s="8">
        <f>IF(COUNT(D957:V957)=0,"",MAX(D957:V957))</f>
        <v/>
      </c>
      <c r="Z957" s="9">
        <f>IF(OR(W957="",W957=0),"",(Y957-W957)/W957)</f>
        <v/>
      </c>
      <c r="AA957" s="7">
        <f>IF(COUNT(D957:V957)=0,"",INDEX($D$1:$V$1,MATCH(MIN(D957:V957),D957:V957,0)))</f>
        <v/>
      </c>
      <c r="AB957" s="8" t="n">
        <v>1675</v>
      </c>
      <c r="AC957" s="10" t="n">
        <v>1</v>
      </c>
    </row>
    <row r="958">
      <c r="A958" s="7" t="inlineStr">
        <is>
          <t>MAT-12-015</t>
        </is>
      </c>
      <c r="B958" s="4" t="inlineStr">
        <is>
          <t>Pintura epóxica, galón</t>
        </is>
      </c>
      <c r="C958" s="7" t="inlineStr">
        <is>
          <t>envase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>
        <v>2954.01</v>
      </c>
      <c r="Q958" s="8" t="n"/>
      <c r="R958" s="8" t="n"/>
      <c r="S958" s="8" t="n"/>
      <c r="T958" s="8" t="n"/>
      <c r="U958" s="8" t="n"/>
      <c r="V958" s="8" t="n"/>
      <c r="W958" s="8">
        <f>IF(COUNT(D958:V958)=0,"",MIN(D958:V958))</f>
        <v/>
      </c>
      <c r="X958" s="8">
        <f>IF(COUNT(D958:V958)=0,"",MEDIAN(D958:V958))</f>
        <v/>
      </c>
      <c r="Y958" s="8">
        <f>IF(COUNT(D958:V958)=0,"",MAX(D958:V958))</f>
        <v/>
      </c>
      <c r="Z958" s="9">
        <f>IF(OR(W958="",W958=0),"",(Y958-W958)/W958)</f>
        <v/>
      </c>
      <c r="AA958" s="7">
        <f>IF(COUNT(D958:V958)=0,"",INDEX($D$1:$V$1,MATCH(MIN(D958:V958),D958:V958,0)))</f>
        <v/>
      </c>
      <c r="AB958" s="8" t="n">
        <v>2954.01</v>
      </c>
      <c r="AC958" s="10" t="n">
        <v>1</v>
      </c>
    </row>
    <row r="959">
      <c r="A959" s="7" t="inlineStr">
        <is>
          <t>MAT-12-016</t>
        </is>
      </c>
      <c r="B959" s="4" t="inlineStr">
        <is>
          <t>Pintura esmalte, envase de 750 ml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>
        <v>1212.3</v>
      </c>
      <c r="Q959" s="8" t="n"/>
      <c r="R959" s="8" t="n"/>
      <c r="S959" s="8" t="n"/>
      <c r="T959" s="8" t="n"/>
      <c r="U959" s="8" t="n"/>
      <c r="V959" s="8" t="n"/>
      <c r="W959" s="8">
        <f>IF(COUNT(D959:V959)=0,"",MIN(D959:V959))</f>
        <v/>
      </c>
      <c r="X959" s="8">
        <f>IF(COUNT(D959:V959)=0,"",MEDIAN(D959:V959))</f>
        <v/>
      </c>
      <c r="Y959" s="8">
        <f>IF(COUNT(D959:V959)=0,"",MAX(D959:V959))</f>
        <v/>
      </c>
      <c r="Z959" s="9">
        <f>IF(OR(W959="",W959=0),"",(Y959-W959)/W959)</f>
        <v/>
      </c>
      <c r="AA959" s="7">
        <f>IF(COUNT(D959:V959)=0,"",INDEX($D$1:$V$1,MATCH(MIN(D959:V959),D959:V959,0)))</f>
        <v/>
      </c>
      <c r="AB959" s="8" t="n">
        <v>1212.3</v>
      </c>
      <c r="AC959" s="10" t="n">
        <v>1</v>
      </c>
    </row>
    <row r="960">
      <c r="A960" s="7" t="inlineStr">
        <is>
          <t>MAT-12-017</t>
        </is>
      </c>
      <c r="B960" s="4" t="inlineStr">
        <is>
          <t>Pintura esmalte, galón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>
        <v>1312.41</v>
      </c>
      <c r="Q960" s="8" t="n"/>
      <c r="R960" s="8" t="n"/>
      <c r="S960" s="8" t="n"/>
      <c r="T960" s="8" t="n"/>
      <c r="U960" s="8" t="n"/>
      <c r="V960" s="8" t="n"/>
      <c r="W960" s="8">
        <f>IF(COUNT(D960:V960)=0,"",MIN(D960:V960))</f>
        <v/>
      </c>
      <c r="X960" s="8">
        <f>IF(COUNT(D960:V960)=0,"",MEDIAN(D960:V960))</f>
        <v/>
      </c>
      <c r="Y960" s="8">
        <f>IF(COUNT(D960:V960)=0,"",MAX(D960:V960))</f>
        <v/>
      </c>
      <c r="Z960" s="9">
        <f>IF(OR(W960="",W960=0),"",(Y960-W960)/W960)</f>
        <v/>
      </c>
      <c r="AA960" s="7">
        <f>IF(COUNT(D960:V960)=0,"",INDEX($D$1:$V$1,MATCH(MIN(D960:V960),D960:V960,0)))</f>
        <v/>
      </c>
      <c r="AB960" s="8" t="n">
        <v>3548.15</v>
      </c>
      <c r="AC960" s="10" t="n">
        <v>1</v>
      </c>
    </row>
    <row r="961">
      <c r="A961" s="7" t="inlineStr">
        <is>
          <t>MAT-12-018</t>
        </is>
      </c>
      <c r="B961" s="4" t="inlineStr">
        <is>
          <t>Impermeabilizante, cubeta de 5 galones</t>
        </is>
      </c>
      <c r="C961" s="7" t="inlineStr">
        <is>
          <t>envase</t>
        </is>
      </c>
      <c r="D961" s="8" t="n"/>
      <c r="E961" s="8" t="n"/>
      <c r="F961" s="8" t="n"/>
      <c r="G961" s="8" t="n"/>
      <c r="H961" s="8" t="n"/>
      <c r="I961" s="8" t="n">
        <v>2065</v>
      </c>
      <c r="J961" s="8" t="n"/>
      <c r="K961" s="8" t="n"/>
      <c r="L961" s="8" t="n"/>
      <c r="M961" s="8" t="n"/>
      <c r="N961" s="8" t="n"/>
      <c r="O961" s="8" t="n"/>
      <c r="P961" s="8" t="n">
        <v>4578.08</v>
      </c>
      <c r="Q961" s="8" t="n"/>
      <c r="R961" s="8" t="n"/>
      <c r="S961" s="8" t="n"/>
      <c r="T961" s="8" t="n"/>
      <c r="U961" s="8" t="n"/>
      <c r="V961" s="8" t="n"/>
      <c r="W961" s="8">
        <f>IF(COUNT(D961:V961)=0,"",MIN(D961:V961))</f>
        <v/>
      </c>
      <c r="X961" s="8">
        <f>IF(COUNT(D961:V961)=0,"",MEDIAN(D961:V961))</f>
        <v/>
      </c>
      <c r="Y961" s="8">
        <f>IF(COUNT(D961:V961)=0,"",MAX(D961:V961))</f>
        <v/>
      </c>
      <c r="Z961" s="9">
        <f>IF(OR(W961="",W961=0),"",(Y961-W961)/W961)</f>
        <v/>
      </c>
      <c r="AA961" s="7">
        <f>IF(COUNT(D961:V961)=0,"",INDEX($D$1:$V$1,MATCH(MIN(D961:V961),D961:V961,0)))</f>
        <v/>
      </c>
      <c r="AB961" s="8" t="n">
        <v>7752.62</v>
      </c>
      <c r="AC961" s="10" t="n">
        <v>2</v>
      </c>
    </row>
    <row r="962">
      <c r="A962" s="7" t="inlineStr">
        <is>
          <t>MAT-12-019</t>
        </is>
      </c>
      <c r="B962" s="4" t="inlineStr">
        <is>
          <t>Impermeabilizante, funda de 40 libras</t>
        </is>
      </c>
      <c r="C962" s="7" t="inlineStr">
        <is>
          <t>envase</t>
        </is>
      </c>
      <c r="D962" s="8" t="n"/>
      <c r="E962" s="8" t="n">
        <v>2427</v>
      </c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>
        <v>2419.2</v>
      </c>
      <c r="Q962" s="8" t="n"/>
      <c r="R962" s="8" t="n"/>
      <c r="S962" s="8" t="n"/>
      <c r="T962" s="8" t="n"/>
      <c r="U962" s="8" t="n"/>
      <c r="V962" s="8" t="n"/>
      <c r="W962" s="8">
        <f>IF(COUNT(D962:V962)=0,"",MIN(D962:V962))</f>
        <v/>
      </c>
      <c r="X962" s="8">
        <f>IF(COUNT(D962:V962)=0,"",MEDIAN(D962:V962))</f>
        <v/>
      </c>
      <c r="Y962" s="8">
        <f>IF(COUNT(D962:V962)=0,"",MAX(D962:V962))</f>
        <v/>
      </c>
      <c r="Z962" s="9">
        <f>IF(OR(W962="",W962=0),"",(Y962-W962)/W962)</f>
        <v/>
      </c>
      <c r="AA962" s="7">
        <f>IF(COUNT(D962:V962)=0,"",INDEX($D$1:$V$1,MATCH(MIN(D962:V962),D962:V962,0)))</f>
        <v/>
      </c>
      <c r="AB962" s="8" t="n">
        <v>2663</v>
      </c>
      <c r="AC962" s="10" t="n">
        <v>2</v>
      </c>
    </row>
    <row r="963">
      <c r="A963" s="7" t="inlineStr">
        <is>
          <t>MAT-12-020</t>
        </is>
      </c>
      <c r="B963" s="4" t="inlineStr">
        <is>
          <t>Impermeabilizante, funda de 44 libras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>
        <v>2838.53</v>
      </c>
      <c r="Q963" s="8" t="n"/>
      <c r="R963" s="8" t="n"/>
      <c r="S963" s="8" t="n"/>
      <c r="T963" s="8" t="n"/>
      <c r="U963" s="8" t="n"/>
      <c r="V963" s="8" t="n"/>
      <c r="W963" s="8">
        <f>IF(COUNT(D963:V963)=0,"",MIN(D963:V963))</f>
        <v/>
      </c>
      <c r="X963" s="8">
        <f>IF(COUNT(D963:V963)=0,"",MEDIAN(D963:V963))</f>
        <v/>
      </c>
      <c r="Y963" s="8">
        <f>IF(COUNT(D963:V963)=0,"",MAX(D963:V963))</f>
        <v/>
      </c>
      <c r="Z963" s="9">
        <f>IF(OR(W963="",W963=0),"",(Y963-W963)/W963)</f>
        <v/>
      </c>
      <c r="AA963" s="7">
        <f>IF(COUNT(D963:V963)=0,"",INDEX($D$1:$V$1,MATCH(MIN(D963:V963),D963:V963,0)))</f>
        <v/>
      </c>
      <c r="AB963" s="8" t="n">
        <v>2838.53</v>
      </c>
      <c r="AC963" s="10" t="n">
        <v>1</v>
      </c>
    </row>
    <row r="964">
      <c r="A964" s="7" t="inlineStr">
        <is>
          <t>MAT-12-021</t>
        </is>
      </c>
      <c r="B964" s="4" t="inlineStr">
        <is>
          <t>Impermeabilizante, galón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>
        <v>1265</v>
      </c>
      <c r="J964" s="8" t="n"/>
      <c r="K964" s="8" t="n"/>
      <c r="L964" s="8" t="n"/>
      <c r="M964" s="8" t="n"/>
      <c r="N964" s="8" t="n"/>
      <c r="O964" s="8" t="n"/>
      <c r="P964" s="8" t="n">
        <v>3104.96</v>
      </c>
      <c r="Q964" s="8" t="n"/>
      <c r="R964" s="8" t="n"/>
      <c r="S964" s="8" t="n"/>
      <c r="T964" s="8" t="n"/>
      <c r="U964" s="8" t="n"/>
      <c r="V964" s="8" t="n"/>
      <c r="W964" s="8">
        <f>IF(COUNT(D964:V964)=0,"",MIN(D964:V964))</f>
        <v/>
      </c>
      <c r="X964" s="8">
        <f>IF(COUNT(D964:V964)=0,"",MEDIAN(D964:V964))</f>
        <v/>
      </c>
      <c r="Y964" s="8">
        <f>IF(COUNT(D964:V964)=0,"",MAX(D964:V964))</f>
        <v/>
      </c>
      <c r="Z964" s="9">
        <f>IF(OR(W964="",W964=0),"",(Y964-W964)/W964)</f>
        <v/>
      </c>
      <c r="AA964" s="7">
        <f>IF(COUNT(D964:V964)=0,"",INDEX($D$1:$V$1,MATCH(MIN(D964:V964),D964:V964,0)))</f>
        <v/>
      </c>
      <c r="AB964" s="8" t="n">
        <v>2299.98</v>
      </c>
      <c r="AC964" s="10" t="n">
        <v>2</v>
      </c>
    </row>
    <row r="965">
      <c r="A965" s="7" t="inlineStr">
        <is>
          <t>MAT-12-022</t>
        </is>
      </c>
      <c r="B965" s="4" t="inlineStr">
        <is>
          <t>Masilla, cubeta de 5 galones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>
        <v>1395</v>
      </c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>
        <f>IF(COUNT(D965:V965)=0,"",MIN(D965:V965))</f>
        <v/>
      </c>
      <c r="X965" s="8">
        <f>IF(COUNT(D965:V965)=0,"",MEDIAN(D965:V965))</f>
        <v/>
      </c>
      <c r="Y965" s="8">
        <f>IF(COUNT(D965:V965)=0,"",MAX(D965:V965))</f>
        <v/>
      </c>
      <c r="Z965" s="9">
        <f>IF(OR(W965="",W965=0),"",(Y965-W965)/W965)</f>
        <v/>
      </c>
      <c r="AA965" s="7">
        <f>IF(COUNT(D965:V965)=0,"",INDEX($D$1:$V$1,MATCH(MIN(D965:V965),D965:V965,0)))</f>
        <v/>
      </c>
      <c r="AB965" s="8" t="n">
        <v>1795</v>
      </c>
      <c r="AC965" s="10" t="n">
        <v>1</v>
      </c>
    </row>
    <row r="966">
      <c r="A966" s="7" t="inlineStr">
        <is>
          <t>MAT-12-023</t>
        </is>
      </c>
      <c r="B966" s="4" t="inlineStr">
        <is>
          <t>Masilla, envase de 2.5 litros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>
        <v>1429.12</v>
      </c>
      <c r="Q966" s="8" t="n"/>
      <c r="R966" s="8" t="n"/>
      <c r="S966" s="8" t="n"/>
      <c r="T966" s="8" t="n"/>
      <c r="U966" s="8" t="n"/>
      <c r="V966" s="8" t="n"/>
      <c r="W966" s="8">
        <f>IF(COUNT(D966:V966)=0,"",MIN(D966:V966))</f>
        <v/>
      </c>
      <c r="X966" s="8">
        <f>IF(COUNT(D966:V966)=0,"",MEDIAN(D966:V966))</f>
        <v/>
      </c>
      <c r="Y966" s="8">
        <f>IF(COUNT(D966:V966)=0,"",MAX(D966:V966))</f>
        <v/>
      </c>
      <c r="Z966" s="9">
        <f>IF(OR(W966="",W966=0),"",(Y966-W966)/W966)</f>
        <v/>
      </c>
      <c r="AA966" s="7">
        <f>IF(COUNT(D966:V966)=0,"",INDEX($D$1:$V$1,MATCH(MIN(D966:V966),D966:V966,0)))</f>
        <v/>
      </c>
      <c r="AB966" s="8" t="n">
        <v>1429.12</v>
      </c>
      <c r="AC966" s="10" t="n">
        <v>1</v>
      </c>
    </row>
    <row r="967">
      <c r="A967" s="7" t="inlineStr">
        <is>
          <t>MAT-12-024</t>
        </is>
      </c>
      <c r="B967" s="4" t="inlineStr">
        <is>
          <t>Masilla, funda de 1 libra</t>
        </is>
      </c>
      <c r="C967" s="7" t="inlineStr">
        <is>
          <t>envase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>
        <v>211.9</v>
      </c>
      <c r="Q967" s="8" t="n"/>
      <c r="R967" s="8" t="n"/>
      <c r="S967" s="8" t="n"/>
      <c r="T967" s="8" t="n"/>
      <c r="U967" s="8" t="n"/>
      <c r="V967" s="8" t="n"/>
      <c r="W967" s="8">
        <f>IF(COUNT(D967:V967)=0,"",MIN(D967:V967))</f>
        <v/>
      </c>
      <c r="X967" s="8">
        <f>IF(COUNT(D967:V967)=0,"",MEDIAN(D967:V967))</f>
        <v/>
      </c>
      <c r="Y967" s="8">
        <f>IF(COUNT(D967:V967)=0,"",MAX(D967:V967))</f>
        <v/>
      </c>
      <c r="Z967" s="9">
        <f>IF(OR(W967="",W967=0),"",(Y967-W967)/W967)</f>
        <v/>
      </c>
      <c r="AA967" s="7">
        <f>IF(COUNT(D967:V967)=0,"",INDEX($D$1:$V$1,MATCH(MIN(D967:V967),D967:V967,0)))</f>
        <v/>
      </c>
      <c r="AB967" s="8" t="n">
        <v>211.9</v>
      </c>
      <c r="AC967" s="10" t="n">
        <v>1</v>
      </c>
    </row>
    <row r="968">
      <c r="A968" s="7" t="inlineStr">
        <is>
          <t>MAT-12-025</t>
        </is>
      </c>
      <c r="B968" s="4" t="inlineStr">
        <is>
          <t>Masilla, funda de 11 libras</t>
        </is>
      </c>
      <c r="C968" s="7" t="inlineStr">
        <is>
          <t>envase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>
        <v>1118.66</v>
      </c>
      <c r="Q968" s="8" t="n"/>
      <c r="R968" s="8" t="n"/>
      <c r="S968" s="8" t="n"/>
      <c r="T968" s="8" t="n"/>
      <c r="U968" s="8" t="n"/>
      <c r="V968" s="8" t="n"/>
      <c r="W968" s="8">
        <f>IF(COUNT(D968:V968)=0,"",MIN(D968:V968))</f>
        <v/>
      </c>
      <c r="X968" s="8">
        <f>IF(COUNT(D968:V968)=0,"",MEDIAN(D968:V968))</f>
        <v/>
      </c>
      <c r="Y968" s="8">
        <f>IF(COUNT(D968:V968)=0,"",MAX(D968:V968))</f>
        <v/>
      </c>
      <c r="Z968" s="9">
        <f>IF(OR(W968="",W968=0),"",(Y968-W968)/W968)</f>
        <v/>
      </c>
      <c r="AA968" s="7">
        <f>IF(COUNT(D968:V968)=0,"",INDEX($D$1:$V$1,MATCH(MIN(D968:V968),D968:V968,0)))</f>
        <v/>
      </c>
      <c r="AB968" s="8" t="n">
        <v>1118.66</v>
      </c>
      <c r="AC968" s="10" t="n">
        <v>1</v>
      </c>
    </row>
    <row r="969">
      <c r="A969" s="7" t="inlineStr">
        <is>
          <t>MAT-12-026</t>
        </is>
      </c>
      <c r="B969" s="4" t="inlineStr">
        <is>
          <t>Masilla, funda de 2 libras</t>
        </is>
      </c>
      <c r="C969" s="7" t="inlineStr">
        <is>
          <t>envase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>
        <v>335.1</v>
      </c>
      <c r="Q969" s="8" t="n"/>
      <c r="R969" s="8" t="n"/>
      <c r="S969" s="8" t="n"/>
      <c r="T969" s="8" t="n"/>
      <c r="U969" s="8" t="n"/>
      <c r="V969" s="8" t="n"/>
      <c r="W969" s="8">
        <f>IF(COUNT(D969:V969)=0,"",MIN(D969:V969))</f>
        <v/>
      </c>
      <c r="X969" s="8">
        <f>IF(COUNT(D969:V969)=0,"",MEDIAN(D969:V969))</f>
        <v/>
      </c>
      <c r="Y969" s="8">
        <f>IF(COUNT(D969:V969)=0,"",MAX(D969:V969))</f>
        <v/>
      </c>
      <c r="Z969" s="9">
        <f>IF(OR(W969="",W969=0),"",(Y969-W969)/W969)</f>
        <v/>
      </c>
      <c r="AA969" s="7">
        <f>IF(COUNT(D969:V969)=0,"",INDEX($D$1:$V$1,MATCH(MIN(D969:V969),D969:V969,0)))</f>
        <v/>
      </c>
      <c r="AB969" s="8" t="n">
        <v>335.1</v>
      </c>
      <c r="AC969" s="10" t="n">
        <v>1</v>
      </c>
    </row>
    <row r="970">
      <c r="A970" s="7" t="inlineStr">
        <is>
          <t>MAT-12-027</t>
        </is>
      </c>
      <c r="B970" s="4" t="inlineStr">
        <is>
          <t>Masilla para exterior, cubeta de 5 galones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>
        <v>4072.16</v>
      </c>
      <c r="Q970" s="8" t="n"/>
      <c r="R970" s="8" t="n"/>
      <c r="S970" s="8" t="n"/>
      <c r="T970" s="8" t="n"/>
      <c r="U970" s="8" t="n"/>
      <c r="V970" s="8" t="n"/>
      <c r="W970" s="8">
        <f>IF(COUNT(D970:V970)=0,"",MIN(D970:V970))</f>
        <v/>
      </c>
      <c r="X970" s="8">
        <f>IF(COUNT(D970:V970)=0,"",MEDIAN(D970:V970))</f>
        <v/>
      </c>
      <c r="Y970" s="8">
        <f>IF(COUNT(D970:V970)=0,"",MAX(D970:V970))</f>
        <v/>
      </c>
      <c r="Z970" s="9">
        <f>IF(OR(W970="",W970=0),"",(Y970-W970)/W970)</f>
        <v/>
      </c>
      <c r="AA970" s="7">
        <f>IF(COUNT(D970:V970)=0,"",INDEX($D$1:$V$1,MATCH(MIN(D970:V970),D970:V970,0)))</f>
        <v/>
      </c>
      <c r="AB970" s="8" t="n">
        <v>4072.16</v>
      </c>
      <c r="AC970" s="10" t="n">
        <v>1</v>
      </c>
    </row>
    <row r="971">
      <c r="A971" s="7" t="inlineStr">
        <is>
          <t>MAT-12-028</t>
        </is>
      </c>
      <c r="B971" s="4" t="inlineStr">
        <is>
          <t>Masilla para exterior, funda de 40 libras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>
        <v>2157.6</v>
      </c>
      <c r="Q971" s="8" t="n"/>
      <c r="R971" s="8" t="n"/>
      <c r="S971" s="8" t="n"/>
      <c r="T971" s="8" t="n"/>
      <c r="U971" s="8" t="n"/>
      <c r="V971" s="8" t="n"/>
      <c r="W971" s="8">
        <f>IF(COUNT(D971:V971)=0,"",MIN(D971:V971))</f>
        <v/>
      </c>
      <c r="X971" s="8">
        <f>IF(COUNT(D971:V971)=0,"",MEDIAN(D971:V971))</f>
        <v/>
      </c>
      <c r="Y971" s="8">
        <f>IF(COUNT(D971:V971)=0,"",MAX(D971:V971))</f>
        <v/>
      </c>
      <c r="Z971" s="9">
        <f>IF(OR(W971="",W971=0),"",(Y971-W971)/W971)</f>
        <v/>
      </c>
      <c r="AA971" s="7">
        <f>IF(COUNT(D971:V971)=0,"",INDEX($D$1:$V$1,MATCH(MIN(D971:V971),D971:V971,0)))</f>
        <v/>
      </c>
      <c r="AB971" s="8" t="n">
        <v>2157.6</v>
      </c>
      <c r="AC971" s="10" t="n">
        <v>1</v>
      </c>
    </row>
    <row r="972">
      <c r="A972" s="7" t="inlineStr">
        <is>
          <t>MAT-12-029</t>
        </is>
      </c>
      <c r="B972" s="4" t="inlineStr">
        <is>
          <t>Masilla para sheetrock, cubeta de 5 galones</t>
        </is>
      </c>
      <c r="C972" s="7" t="inlineStr">
        <is>
          <t>envase</t>
        </is>
      </c>
      <c r="D972" s="8" t="n"/>
      <c r="E972" s="8" t="n">
        <v>4316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>
        <v>1221.74</v>
      </c>
      <c r="Q972" s="8" t="n"/>
      <c r="R972" s="8" t="n"/>
      <c r="S972" s="8" t="n"/>
      <c r="T972" s="8" t="n"/>
      <c r="U972" s="8" t="n"/>
      <c r="V972" s="8" t="n"/>
      <c r="W972" s="8">
        <f>IF(COUNT(D972:V972)=0,"",MIN(D972:V972))</f>
        <v/>
      </c>
      <c r="X972" s="8">
        <f>IF(COUNT(D972:V972)=0,"",MEDIAN(D972:V972))</f>
        <v/>
      </c>
      <c r="Y972" s="8">
        <f>IF(COUNT(D972:V972)=0,"",MAX(D972:V972))</f>
        <v/>
      </c>
      <c r="Z972" s="9">
        <f>IF(OR(W972="",W972=0),"",(Y972-W972)/W972)</f>
        <v/>
      </c>
      <c r="AA972" s="7">
        <f>IF(COUNT(D972:V972)=0,"",INDEX($D$1:$V$1,MATCH(MIN(D972:V972),D972:V972,0)))</f>
        <v/>
      </c>
      <c r="AB972" s="8" t="n">
        <v>1401.92</v>
      </c>
      <c r="AC972" s="10" t="n">
        <v>2</v>
      </c>
    </row>
    <row r="973">
      <c r="A973" s="7" t="inlineStr">
        <is>
          <t>MAT-12-030</t>
        </is>
      </c>
      <c r="B973" s="4" t="inlineStr">
        <is>
          <t>Masilla para sheetrock, funda de 14 libras</t>
        </is>
      </c>
      <c r="C973" s="7" t="inlineStr">
        <is>
          <t>envase</t>
        </is>
      </c>
      <c r="D973" s="8" t="n"/>
      <c r="E973" s="8" t="n">
        <v>1198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>
        <f>IF(COUNT(D973:V973)=0,"",MIN(D973:V973))</f>
        <v/>
      </c>
      <c r="X973" s="8">
        <f>IF(COUNT(D973:V973)=0,"",MEDIAN(D973:V973))</f>
        <v/>
      </c>
      <c r="Y973" s="8">
        <f>IF(COUNT(D973:V973)=0,"",MAX(D973:V973))</f>
        <v/>
      </c>
      <c r="Z973" s="9">
        <f>IF(OR(W973="",W973=0),"",(Y973-W973)/W973)</f>
        <v/>
      </c>
      <c r="AA973" s="7">
        <f>IF(COUNT(D973:V973)=0,"",INDEX($D$1:$V$1,MATCH(MIN(D973:V973),D973:V973,0)))</f>
        <v/>
      </c>
      <c r="AB973" s="8" t="n">
        <v>1198</v>
      </c>
      <c r="AC973" s="10" t="n">
        <v>1</v>
      </c>
    </row>
    <row r="974">
      <c r="A974" s="7" t="inlineStr">
        <is>
          <t>MAT-12-031</t>
        </is>
      </c>
      <c r="B974" s="4" t="inlineStr">
        <is>
          <t>Masilla para sheetrock, funda de 2 libras</t>
        </is>
      </c>
      <c r="C974" s="7" t="inlineStr">
        <is>
          <t>envase</t>
        </is>
      </c>
      <c r="D974" s="8" t="n"/>
      <c r="E974" s="8" t="n">
        <v>155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>
        <f>IF(COUNT(D974:V974)=0,"",MIN(D974:V974))</f>
        <v/>
      </c>
      <c r="X974" s="8">
        <f>IF(COUNT(D974:V974)=0,"",MEDIAN(D974:V974))</f>
        <v/>
      </c>
      <c r="Y974" s="8">
        <f>IF(COUNT(D974:V974)=0,"",MAX(D974:V974))</f>
        <v/>
      </c>
      <c r="Z974" s="9">
        <f>IF(OR(W974="",W974=0),"",(Y974-W974)/W974)</f>
        <v/>
      </c>
      <c r="AA974" s="7">
        <f>IF(COUNT(D974:V974)=0,"",INDEX($D$1:$V$1,MATCH(MIN(D974:V974),D974:V974,0)))</f>
        <v/>
      </c>
      <c r="AB974" s="8" t="n">
        <v>155</v>
      </c>
      <c r="AC974" s="10" t="n">
        <v>1</v>
      </c>
    </row>
    <row r="975">
      <c r="A975" s="7" t="inlineStr">
        <is>
          <t>MAT-12-032</t>
        </is>
      </c>
      <c r="B975" s="4" t="inlineStr">
        <is>
          <t>Masilla para sheetrock, funda de 44 libras</t>
        </is>
      </c>
      <c r="C975" s="7" t="inlineStr">
        <is>
          <t>envase</t>
        </is>
      </c>
      <c r="D975" s="8" t="n"/>
      <c r="E975" s="8" t="n">
        <v>982</v>
      </c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>
        <f>IF(COUNT(D975:V975)=0,"",MIN(D975:V975))</f>
        <v/>
      </c>
      <c r="X975" s="8">
        <f>IF(COUNT(D975:V975)=0,"",MEDIAN(D975:V975))</f>
        <v/>
      </c>
      <c r="Y975" s="8">
        <f>IF(COUNT(D975:V975)=0,"",MAX(D975:V975))</f>
        <v/>
      </c>
      <c r="Z975" s="9">
        <f>IF(OR(W975="",W975=0),"",(Y975-W975)/W975)</f>
        <v/>
      </c>
      <c r="AA975" s="7">
        <f>IF(COUNT(D975:V975)=0,"",INDEX($D$1:$V$1,MATCH(MIN(D975:V975),D975:V975,0)))</f>
        <v/>
      </c>
      <c r="AB975" s="8" t="n">
        <v>982</v>
      </c>
      <c r="AC975" s="10" t="n">
        <v>1</v>
      </c>
    </row>
    <row r="976">
      <c r="A976" s="7" t="inlineStr">
        <is>
          <t>MAT-12-033</t>
        </is>
      </c>
      <c r="B976" s="4" t="inlineStr">
        <is>
          <t>Masilla para sheetrock, funda de 55 libras</t>
        </is>
      </c>
      <c r="C976" s="7" t="inlineStr">
        <is>
          <t>envase</t>
        </is>
      </c>
      <c r="D976" s="8" t="n"/>
      <c r="E976" s="8" t="n">
        <v>2885</v>
      </c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>
        <f>IF(COUNT(D976:V976)=0,"",MIN(D976:V976))</f>
        <v/>
      </c>
      <c r="X976" s="8">
        <f>IF(COUNT(D976:V976)=0,"",MEDIAN(D976:V976))</f>
        <v/>
      </c>
      <c r="Y976" s="8">
        <f>IF(COUNT(D976:V976)=0,"",MAX(D976:V976))</f>
        <v/>
      </c>
      <c r="Z976" s="9">
        <f>IF(OR(W976="",W976=0),"",(Y976-W976)/W976)</f>
        <v/>
      </c>
      <c r="AA976" s="7">
        <f>IF(COUNT(D976:V976)=0,"",INDEX($D$1:$V$1,MATCH(MIN(D976:V976),D976:V976,0)))</f>
        <v/>
      </c>
      <c r="AB976" s="8" t="n">
        <v>2885</v>
      </c>
      <c r="AC976" s="10" t="n">
        <v>1</v>
      </c>
    </row>
    <row r="977">
      <c r="A977" s="7" t="inlineStr">
        <is>
          <t>MAT-12-034</t>
        </is>
      </c>
      <c r="B977" s="4" t="inlineStr">
        <is>
          <t>Masilla para sheetrock, funda de 62 libras</t>
        </is>
      </c>
      <c r="C977" s="7" t="inlineStr">
        <is>
          <t>envase</t>
        </is>
      </c>
      <c r="D977" s="8" t="n"/>
      <c r="E977" s="8" t="n">
        <v>1670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>
        <f>IF(COUNT(D977:V977)=0,"",MIN(D977:V977))</f>
        <v/>
      </c>
      <c r="X977" s="8">
        <f>IF(COUNT(D977:V977)=0,"",MEDIAN(D977:V977))</f>
        <v/>
      </c>
      <c r="Y977" s="8">
        <f>IF(COUNT(D977:V977)=0,"",MAX(D977:V977))</f>
        <v/>
      </c>
      <c r="Z977" s="9">
        <f>IF(OR(W977="",W977=0),"",(Y977-W977)/W977)</f>
        <v/>
      </c>
      <c r="AA977" s="7">
        <f>IF(COUNT(D977:V977)=0,"",INDEX($D$1:$V$1,MATCH(MIN(D977:V977),D977:V977,0)))</f>
        <v/>
      </c>
      <c r="AB977" s="8" t="n">
        <v>1670</v>
      </c>
      <c r="AC977" s="10" t="n">
        <v>1</v>
      </c>
    </row>
    <row r="978">
      <c r="A978" s="7" t="inlineStr">
        <is>
          <t>MAT-12-035</t>
        </is>
      </c>
      <c r="B978" s="4" t="inlineStr">
        <is>
          <t>Masilla para sheetrock, funda de 64 libras</t>
        </is>
      </c>
      <c r="C978" s="7" t="inlineStr">
        <is>
          <t>envase</t>
        </is>
      </c>
      <c r="D978" s="8" t="n"/>
      <c r="E978" s="8" t="n">
        <v>1828</v>
      </c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>
        <f>IF(COUNT(D978:V978)=0,"",MIN(D978:V978))</f>
        <v/>
      </c>
      <c r="X978" s="8">
        <f>IF(COUNT(D978:V978)=0,"",MEDIAN(D978:V978))</f>
        <v/>
      </c>
      <c r="Y978" s="8">
        <f>IF(COUNT(D978:V978)=0,"",MAX(D978:V978))</f>
        <v/>
      </c>
      <c r="Z978" s="9">
        <f>IF(OR(W978="",W978=0),"",(Y978-W978)/W978)</f>
        <v/>
      </c>
      <c r="AA978" s="7">
        <f>IF(COUNT(D978:V978)=0,"",INDEX($D$1:$V$1,MATCH(MIN(D978:V978),D978:V978,0)))</f>
        <v/>
      </c>
      <c r="AB978" s="8" t="n">
        <v>1828</v>
      </c>
      <c r="AC978" s="10" t="n">
        <v>1</v>
      </c>
    </row>
    <row r="979">
      <c r="A979" s="7" t="inlineStr">
        <is>
          <t>MAT-12-036</t>
        </is>
      </c>
      <c r="B979" s="4" t="inlineStr">
        <is>
          <t>Pintura para piscina, galón</t>
        </is>
      </c>
      <c r="C979" s="7" t="inlineStr">
        <is>
          <t>envase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>
        <v>3326.41</v>
      </c>
      <c r="Q979" s="8" t="n"/>
      <c r="R979" s="8" t="n"/>
      <c r="S979" s="8" t="n"/>
      <c r="T979" s="8" t="n"/>
      <c r="U979" s="8" t="n"/>
      <c r="V979" s="8" t="n"/>
      <c r="W979" s="8">
        <f>IF(COUNT(D979:V979)=0,"",MIN(D979:V979))</f>
        <v/>
      </c>
      <c r="X979" s="8">
        <f>IF(COUNT(D979:V979)=0,"",MEDIAN(D979:V979))</f>
        <v/>
      </c>
      <c r="Y979" s="8">
        <f>IF(COUNT(D979:V979)=0,"",MAX(D979:V979))</f>
        <v/>
      </c>
      <c r="Z979" s="9">
        <f>IF(OR(W979="",W979=0),"",(Y979-W979)/W979)</f>
        <v/>
      </c>
      <c r="AA979" s="7">
        <f>IF(COUNT(D979:V979)=0,"",INDEX($D$1:$V$1,MATCH(MIN(D979:V979),D979:V979,0)))</f>
        <v/>
      </c>
      <c r="AB979" s="8" t="n">
        <v>3326.41</v>
      </c>
      <c r="AC979" s="10" t="n">
        <v>1</v>
      </c>
    </row>
    <row r="980">
      <c r="A980" s="7" t="inlineStr">
        <is>
          <t>MAT-12-037</t>
        </is>
      </c>
      <c r="B980" s="4" t="inlineStr">
        <is>
          <t>Primer sellador, cubeta de 5 galones</t>
        </is>
      </c>
      <c r="C980" s="7" t="inlineStr">
        <is>
          <t>envase</t>
        </is>
      </c>
      <c r="D980" s="8" t="n"/>
      <c r="E980" s="8" t="n">
        <v>4300</v>
      </c>
      <c r="F980" s="8" t="n"/>
      <c r="G980" s="8" t="n"/>
      <c r="H980" s="8" t="n"/>
      <c r="I980" s="8" t="n">
        <v>3260</v>
      </c>
      <c r="J980" s="8" t="n"/>
      <c r="K980" s="8" t="n"/>
      <c r="L980" s="8" t="n"/>
      <c r="M980" s="8" t="n"/>
      <c r="N980" s="8" t="n"/>
      <c r="O980" s="8" t="n"/>
      <c r="P980" s="8" t="n">
        <v>3473.6</v>
      </c>
      <c r="Q980" s="8" t="n"/>
      <c r="R980" s="8" t="n"/>
      <c r="S980" s="8" t="n"/>
      <c r="T980" s="8" t="n"/>
      <c r="U980" s="8" t="n"/>
      <c r="V980" s="8" t="n"/>
      <c r="W980" s="8">
        <f>IF(COUNT(D980:V980)=0,"",MIN(D980:V980))</f>
        <v/>
      </c>
      <c r="X980" s="8">
        <f>IF(COUNT(D980:V980)=0,"",MEDIAN(D980:V980))</f>
        <v/>
      </c>
      <c r="Y980" s="8">
        <f>IF(COUNT(D980:V980)=0,"",MAX(D980:V980))</f>
        <v/>
      </c>
      <c r="Z980" s="9">
        <f>IF(OR(W980="",W980=0),"",(Y980-W980)/W980)</f>
        <v/>
      </c>
      <c r="AA980" s="7">
        <f>IF(COUNT(D980:V980)=0,"",INDEX($D$1:$V$1,MATCH(MIN(D980:V980),D980:V980,0)))</f>
        <v/>
      </c>
      <c r="AB980" s="8" t="n">
        <v>5112.5</v>
      </c>
      <c r="AC980" s="10" t="n">
        <v>3</v>
      </c>
    </row>
    <row r="981">
      <c r="A981" s="7" t="inlineStr">
        <is>
          <t>MAT-12-038</t>
        </is>
      </c>
      <c r="B981" s="4" t="inlineStr">
        <is>
          <t>Estuco para interiores, funda de 35 libras</t>
        </is>
      </c>
      <c r="C981" s="7" t="inlineStr">
        <is>
          <t>funda</t>
        </is>
      </c>
      <c r="D981" s="8" t="n">
        <v>331.11</v>
      </c>
      <c r="E981" s="8" t="n"/>
      <c r="F981" s="8" t="n"/>
      <c r="G981" s="8" t="n"/>
      <c r="H981" s="8" t="n"/>
      <c r="I981" s="8" t="n"/>
      <c r="J981" s="8" t="n"/>
      <c r="K981" s="8" t="n">
        <v>690</v>
      </c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>
        <f>IF(COUNT(D981:V981)=0,"",MIN(D981:V981))</f>
        <v/>
      </c>
      <c r="X981" s="8">
        <f>IF(COUNT(D981:V981)=0,"",MEDIAN(D981:V981))</f>
        <v/>
      </c>
      <c r="Y981" s="8">
        <f>IF(COUNT(D981:V981)=0,"",MAX(D981:V981))</f>
        <v/>
      </c>
      <c r="Z981" s="9">
        <f>IF(OR(W981="",W981=0),"",(Y981-W981)/W981)</f>
        <v/>
      </c>
      <c r="AA981" s="7">
        <f>IF(COUNT(D981:V981)=0,"",INDEX($D$1:$V$1,MATCH(MIN(D981:V981),D981:V981,0)))</f>
        <v/>
      </c>
      <c r="AB981" s="8" t="n">
        <v>510.56</v>
      </c>
      <c r="AC981" s="10" t="n">
        <v>2</v>
      </c>
    </row>
    <row r="982">
      <c r="A982" s="7" t="inlineStr">
        <is>
          <t>MAT-13-011</t>
        </is>
      </c>
      <c r="B982" s="4" t="inlineStr">
        <is>
          <t>Angular para plafón, 10'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98</v>
      </c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>
        <f>IF(COUNT(D982:V982)=0,"",MIN(D982:V982))</f>
        <v/>
      </c>
      <c r="X982" s="8">
        <f>IF(COUNT(D982:V982)=0,"",MEDIAN(D982:V982))</f>
        <v/>
      </c>
      <c r="Y982" s="8">
        <f>IF(COUNT(D982:V982)=0,"",MAX(D982:V982))</f>
        <v/>
      </c>
      <c r="Z982" s="9">
        <f>IF(OR(W982="",W982=0),"",(Y982-W982)/W982)</f>
        <v/>
      </c>
      <c r="AA982" s="7">
        <f>IF(COUNT(D982:V982)=0,"",INDEX($D$1:$V$1,MATCH(MIN(D982:V982),D982:V982,0)))</f>
        <v/>
      </c>
      <c r="AB982" s="8" t="n">
        <v>98</v>
      </c>
      <c r="AC982" s="10" t="n">
        <v>1</v>
      </c>
    </row>
    <row r="983">
      <c r="A983" s="7" t="inlineStr">
        <is>
          <t>MAT-13-012</t>
        </is>
      </c>
      <c r="B983" s="4" t="inlineStr">
        <is>
          <t>Cartón piedra, 4'X8' 3X2Mm 1/8"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495</v>
      </c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>
        <f>IF(COUNT(D983:V983)=0,"",MIN(D983:V983))</f>
        <v/>
      </c>
      <c r="X983" s="8">
        <f>IF(COUNT(D983:V983)=0,"",MEDIAN(D983:V983))</f>
        <v/>
      </c>
      <c r="Y983" s="8">
        <f>IF(COUNT(D983:V983)=0,"",MAX(D983:V983))</f>
        <v/>
      </c>
      <c r="Z983" s="9">
        <f>IF(OR(W983="",W983=0),"",(Y983-W983)/W983)</f>
        <v/>
      </c>
      <c r="AA983" s="7">
        <f>IF(COUNT(D983:V983)=0,"",INDEX($D$1:$V$1,MATCH(MIN(D983:V983),D983:V983,0)))</f>
        <v/>
      </c>
      <c r="AB983" s="8" t="n">
        <v>495</v>
      </c>
      <c r="AC983" s="10" t="n">
        <v>1</v>
      </c>
    </row>
    <row r="984">
      <c r="A984" s="7" t="inlineStr">
        <is>
          <t>MAT-13-013</t>
        </is>
      </c>
      <c r="B984" s="4" t="inlineStr">
        <is>
          <t>Cross tee para plafón, 2'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26</v>
      </c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>
        <f>IF(COUNT(D984:V984)=0,"",MIN(D984:V984))</f>
        <v/>
      </c>
      <c r="X984" s="8">
        <f>IF(COUNT(D984:V984)=0,"",MEDIAN(D984:V984))</f>
        <v/>
      </c>
      <c r="Y984" s="8">
        <f>IF(COUNT(D984:V984)=0,"",MAX(D984:V984))</f>
        <v/>
      </c>
      <c r="Z984" s="9">
        <f>IF(OR(W984="",W984=0),"",(Y984-W984)/W984)</f>
        <v/>
      </c>
      <c r="AA984" s="7">
        <f>IF(COUNT(D984:V984)=0,"",INDEX($D$1:$V$1,MATCH(MIN(D984:V984),D984:V984,0)))</f>
        <v/>
      </c>
      <c r="AB984" s="8" t="n">
        <v>26</v>
      </c>
      <c r="AC984" s="10" t="n">
        <v>1</v>
      </c>
    </row>
    <row r="985">
      <c r="A985" s="7" t="inlineStr">
        <is>
          <t>MAT-13-014</t>
        </is>
      </c>
      <c r="B985" s="4" t="inlineStr">
        <is>
          <t>Cross tee para plafón, 4'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56</v>
      </c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>
        <f>IF(COUNT(D985:V985)=0,"",MIN(D985:V985))</f>
        <v/>
      </c>
      <c r="X985" s="8">
        <f>IF(COUNT(D985:V985)=0,"",MEDIAN(D985:V985))</f>
        <v/>
      </c>
      <c r="Y985" s="8">
        <f>IF(COUNT(D985:V985)=0,"",MAX(D985:V985))</f>
        <v/>
      </c>
      <c r="Z985" s="9">
        <f>IF(OR(W985="",W985=0),"",(Y985-W985)/W985)</f>
        <v/>
      </c>
      <c r="AA985" s="7">
        <f>IF(COUNT(D985:V985)=0,"",INDEX($D$1:$V$1,MATCH(MIN(D985:V985),D985:V985,0)))</f>
        <v/>
      </c>
      <c r="AB985" s="8" t="n">
        <v>56</v>
      </c>
      <c r="AC985" s="10" t="n">
        <v>1</v>
      </c>
    </row>
    <row r="986">
      <c r="A986" s="7" t="inlineStr">
        <is>
          <t>MAT-13-015</t>
        </is>
      </c>
      <c r="B986" s="4" t="inlineStr">
        <is>
          <t>Durmiente para plafón, 2-1/2"X10 calibre 25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>
        <v>149</v>
      </c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>
        <f>IF(COUNT(D986:V986)=0,"",MIN(D986:V986))</f>
        <v/>
      </c>
      <c r="X986" s="8">
        <f>IF(COUNT(D986:V986)=0,"",MEDIAN(D986:V986))</f>
        <v/>
      </c>
      <c r="Y986" s="8">
        <f>IF(COUNT(D986:V986)=0,"",MAX(D986:V986))</f>
        <v/>
      </c>
      <c r="Z986" s="9">
        <f>IF(OR(W986="",W986=0),"",(Y986-W986)/W986)</f>
        <v/>
      </c>
      <c r="AA986" s="7">
        <f>IF(COUNT(D986:V986)=0,"",INDEX($D$1:$V$1,MATCH(MIN(D986:V986),D986:V986,0)))</f>
        <v/>
      </c>
      <c r="AB986" s="8" t="n">
        <v>149</v>
      </c>
      <c r="AC986" s="10" t="n">
        <v>1</v>
      </c>
    </row>
    <row r="987">
      <c r="A987" s="7" t="inlineStr">
        <is>
          <t>MAT-13-016</t>
        </is>
      </c>
      <c r="B987" s="4" t="inlineStr">
        <is>
          <t>Main tee para plafón, 12'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>
        <v>186</v>
      </c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>
        <f>IF(COUNT(D987:V987)=0,"",MIN(D987:V987))</f>
        <v/>
      </c>
      <c r="X987" s="8">
        <f>IF(COUNT(D987:V987)=0,"",MEDIAN(D987:V987))</f>
        <v/>
      </c>
      <c r="Y987" s="8">
        <f>IF(COUNT(D987:V987)=0,"",MAX(D987:V987))</f>
        <v/>
      </c>
      <c r="Z987" s="9">
        <f>IF(OR(W987="",W987=0),"",(Y987-W987)/W987)</f>
        <v/>
      </c>
      <c r="AA987" s="7">
        <f>IF(COUNT(D987:V987)=0,"",INDEX($D$1:$V$1,MATCH(MIN(D987:V987),D987:V987,0)))</f>
        <v/>
      </c>
      <c r="AB987" s="8" t="n">
        <v>186</v>
      </c>
      <c r="AC987" s="10" t="n">
        <v>1</v>
      </c>
    </row>
    <row r="988">
      <c r="A988" s="7" t="inlineStr">
        <is>
          <t>MAT-13-017</t>
        </is>
      </c>
      <c r="B988" s="4" t="inlineStr">
        <is>
          <t>Paral para plafón, 2-1/2"X10 calibre 25</t>
        </is>
      </c>
      <c r="C988" s="7" t="inlineStr">
        <is>
          <t>unidad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>
        <v>185</v>
      </c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>
        <f>IF(COUNT(D988:V988)=0,"",MIN(D988:V988))</f>
        <v/>
      </c>
      <c r="X988" s="8">
        <f>IF(COUNT(D988:V988)=0,"",MEDIAN(D988:V988))</f>
        <v/>
      </c>
      <c r="Y988" s="8">
        <f>IF(COUNT(D988:V988)=0,"",MAX(D988:V988))</f>
        <v/>
      </c>
      <c r="Z988" s="9">
        <f>IF(OR(W988="",W988=0),"",(Y988-W988)/W988)</f>
        <v/>
      </c>
      <c r="AA988" s="7">
        <f>IF(COUNT(D988:V988)=0,"",INDEX($D$1:$V$1,MATCH(MIN(D988:V988),D988:V988,0)))</f>
        <v/>
      </c>
      <c r="AB988" s="8" t="n">
        <v>185</v>
      </c>
      <c r="AC988" s="10" t="n">
        <v>1</v>
      </c>
    </row>
    <row r="989">
      <c r="A989" s="7" t="inlineStr">
        <is>
          <t>MAT-13-018</t>
        </is>
      </c>
      <c r="B989" s="4" t="inlineStr">
        <is>
          <t>Plafón, 2X4'</t>
        </is>
      </c>
      <c r="C989" s="7" t="inlineStr">
        <is>
          <t>unidad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>
        <v>295</v>
      </c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>
        <f>IF(COUNT(D989:V989)=0,"",MIN(D989:V989))</f>
        <v/>
      </c>
      <c r="X989" s="8">
        <f>IF(COUNT(D989:V989)=0,"",MEDIAN(D989:V989))</f>
        <v/>
      </c>
      <c r="Y989" s="8">
        <f>IF(COUNT(D989:V989)=0,"",MAX(D989:V989))</f>
        <v/>
      </c>
      <c r="Z989" s="9">
        <f>IF(OR(W989="",W989=0),"",(Y989-W989)/W989)</f>
        <v/>
      </c>
      <c r="AA989" s="7">
        <f>IF(COUNT(D989:V989)=0,"",INDEX($D$1:$V$1,MATCH(MIN(D989:V989),D989:V989,0)))</f>
        <v/>
      </c>
      <c r="AB989" s="8" t="n">
        <v>295</v>
      </c>
      <c r="AC989" s="10" t="n">
        <v>1</v>
      </c>
    </row>
    <row r="990">
      <c r="A990" s="7" t="inlineStr">
        <is>
          <t>MAT-13-019</t>
        </is>
      </c>
      <c r="B990" s="4" t="inlineStr">
        <is>
          <t>Plafón blanco, 250X5800X7MM</t>
        </is>
      </c>
      <c r="C990" s="7" t="inlineStr">
        <is>
          <t>unidad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>
        <v>375</v>
      </c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>
        <f>IF(COUNT(D990:V990)=0,"",MIN(D990:V990))</f>
        <v/>
      </c>
      <c r="X990" s="8">
        <f>IF(COUNT(D990:V990)=0,"",MEDIAN(D990:V990))</f>
        <v/>
      </c>
      <c r="Y990" s="8">
        <f>IF(COUNT(D990:V990)=0,"",MAX(D990:V990))</f>
        <v/>
      </c>
      <c r="Z990" s="9">
        <f>IF(OR(W990="",W990=0),"",(Y990-W990)/W990)</f>
        <v/>
      </c>
      <c r="AA990" s="7">
        <f>IF(COUNT(D990:V990)=0,"",INDEX($D$1:$V$1,MATCH(MIN(D990:V990),D990:V990,0)))</f>
        <v/>
      </c>
      <c r="AB990" s="8" t="n">
        <v>375</v>
      </c>
      <c r="AC990" s="10" t="n">
        <v>1</v>
      </c>
    </row>
    <row r="991">
      <c r="A991" s="7" t="inlineStr">
        <is>
          <t>MAT-13-020</t>
        </is>
      </c>
      <c r="B991" s="4" t="inlineStr">
        <is>
          <t>Plafón blanco, 2X4'</t>
        </is>
      </c>
      <c r="C991" s="7" t="inlineStr">
        <is>
          <t>unidad</t>
        </is>
      </c>
      <c r="D991" s="8" t="n"/>
      <c r="E991" s="8" t="n"/>
      <c r="F991" s="8" t="n"/>
      <c r="G991" s="8" t="n"/>
      <c r="H991" s="8" t="n"/>
      <c r="I991" s="8" t="n"/>
      <c r="J991" s="8" t="n"/>
      <c r="K991" s="8" t="n">
        <v>202</v>
      </c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>
        <f>IF(COUNT(D991:V991)=0,"",MIN(D991:V991))</f>
        <v/>
      </c>
      <c r="X991" s="8">
        <f>IF(COUNT(D991:V991)=0,"",MEDIAN(D991:V991))</f>
        <v/>
      </c>
      <c r="Y991" s="8">
        <f>IF(COUNT(D991:V991)=0,"",MAX(D991:V991))</f>
        <v/>
      </c>
      <c r="Z991" s="9">
        <f>IF(OR(W991="",W991=0),"",(Y991-W991)/W991)</f>
        <v/>
      </c>
      <c r="AA991" s="7">
        <f>IF(COUNT(D991:V991)=0,"",INDEX($D$1:$V$1,MATCH(MIN(D991:V991),D991:V991,0)))</f>
        <v/>
      </c>
      <c r="AB991" s="8" t="n">
        <v>202</v>
      </c>
      <c r="AC991" s="10" t="n">
        <v>1</v>
      </c>
    </row>
    <row r="992">
      <c r="A992" s="7" t="inlineStr">
        <is>
          <t>MAT-16-003</t>
        </is>
      </c>
      <c r="B992" s="4" t="inlineStr">
        <is>
          <t>Kit de videovigilancia 4 cámaras bullet 2 MP</t>
        </is>
      </c>
      <c r="C992" s="7" t="inlineStr">
        <is>
          <t>juego</t>
        </is>
      </c>
      <c r="D992" s="8" t="n">
        <v>18221.03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>
        <f>IF(COUNT(D992:V992)=0,"",MIN(D992:V992))</f>
        <v/>
      </c>
      <c r="X992" s="8">
        <f>IF(COUNT(D992:V992)=0,"",MEDIAN(D992:V992))</f>
        <v/>
      </c>
      <c r="Y992" s="8">
        <f>IF(COUNT(D992:V992)=0,"",MAX(D992:V992))</f>
        <v/>
      </c>
      <c r="Z992" s="9">
        <f>IF(OR(W992="",W992=0),"",(Y992-W992)/W992)</f>
        <v/>
      </c>
      <c r="AA992" s="7">
        <f>IF(COUNT(D992:V992)=0,"",INDEX($D$1:$V$1,MATCH(MIN(D992:V992),D992:V992,0)))</f>
        <v/>
      </c>
      <c r="AB992" s="8" t="n">
        <v>18221.03</v>
      </c>
      <c r="AC992" s="10" t="n">
        <v>1</v>
      </c>
    </row>
    <row r="993">
      <c r="A993" s="7" t="inlineStr">
        <is>
          <t>MAT-16-004</t>
        </is>
      </c>
      <c r="B993" s="4" t="inlineStr">
        <is>
          <t>Kit de videovigilancia 4 cámaras domo 2 MP</t>
        </is>
      </c>
      <c r="C993" s="7" t="inlineStr">
        <is>
          <t>juego</t>
        </is>
      </c>
      <c r="D993" s="8" t="n">
        <v>17133.95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>
        <f>IF(COUNT(D993:V993)=0,"",MIN(D993:V993))</f>
        <v/>
      </c>
      <c r="X993" s="8">
        <f>IF(COUNT(D993:V993)=0,"",MEDIAN(D993:V993))</f>
        <v/>
      </c>
      <c r="Y993" s="8">
        <f>IF(COUNT(D993:V993)=0,"",MAX(D993:V993))</f>
        <v/>
      </c>
      <c r="Z993" s="9">
        <f>IF(OR(W993="",W993=0),"",(Y993-W993)/W993)</f>
        <v/>
      </c>
      <c r="AA993" s="7">
        <f>IF(COUNT(D993:V993)=0,"",INDEX($D$1:$V$1,MATCH(MIN(D993:V993),D993:V993,0)))</f>
        <v/>
      </c>
      <c r="AB993" s="8" t="n">
        <v>17133.95</v>
      </c>
      <c r="AC993" s="10" t="n">
        <v>1</v>
      </c>
    </row>
    <row r="994">
      <c r="A994" s="7" t="inlineStr">
        <is>
          <t>MAT-16-005</t>
        </is>
      </c>
      <c r="B994" s="4" t="inlineStr">
        <is>
          <t>Cámara de seguridad</t>
        </is>
      </c>
      <c r="C994" s="7" t="inlineStr">
        <is>
          <t>unidad</t>
        </is>
      </c>
      <c r="D994" s="8" t="n">
        <v>2548.17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>
        <f>IF(COUNT(D994:V994)=0,"",MIN(D994:V994))</f>
        <v/>
      </c>
      <c r="X994" s="8">
        <f>IF(COUNT(D994:V994)=0,"",MEDIAN(D994:V994))</f>
        <v/>
      </c>
      <c r="Y994" s="8">
        <f>IF(COUNT(D994:V994)=0,"",MAX(D994:V994))</f>
        <v/>
      </c>
      <c r="Z994" s="9">
        <f>IF(OR(W994="",W994=0),"",(Y994-W994)/W994)</f>
        <v/>
      </c>
      <c r="AA994" s="7">
        <f>IF(COUNT(D994:V994)=0,"",INDEX($D$1:$V$1,MATCH(MIN(D994:V994),D994:V994,0)))</f>
        <v/>
      </c>
      <c r="AB994" s="8" t="n">
        <v>3342.09</v>
      </c>
      <c r="AC994" s="10" t="n">
        <v>1</v>
      </c>
    </row>
    <row r="995">
      <c r="A995" s="7" t="inlineStr">
        <is>
          <t>MAT-16-006</t>
        </is>
      </c>
      <c r="B995" s="4" t="inlineStr">
        <is>
          <t>Cámara de seguridad bullet</t>
        </is>
      </c>
      <c r="C995" s="7" t="inlineStr">
        <is>
          <t>unidad</t>
        </is>
      </c>
      <c r="D995" s="8" t="n">
        <v>2191.4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>
        <f>IF(COUNT(D995:V995)=0,"",MIN(D995:V995))</f>
        <v/>
      </c>
      <c r="X995" s="8">
        <f>IF(COUNT(D995:V995)=0,"",MEDIAN(D995:V995))</f>
        <v/>
      </c>
      <c r="Y995" s="8">
        <f>IF(COUNT(D995:V995)=0,"",MAX(D995:V995))</f>
        <v/>
      </c>
      <c r="Z995" s="9">
        <f>IF(OR(W995="",W995=0),"",(Y995-W995)/W995)</f>
        <v/>
      </c>
      <c r="AA995" s="7">
        <f>IF(COUNT(D995:V995)=0,"",INDEX($D$1:$V$1,MATCH(MIN(D995:V995),D995:V995,0)))</f>
        <v/>
      </c>
      <c r="AB995" s="8" t="n">
        <v>2588.72</v>
      </c>
      <c r="AC995" s="10" t="n">
        <v>1</v>
      </c>
    </row>
    <row r="996">
      <c r="A996" s="7" t="inlineStr">
        <is>
          <t>MAT-16-007</t>
        </is>
      </c>
      <c r="B996" s="4" t="inlineStr">
        <is>
          <t>Cámara de seguridad bullet 2 MP</t>
        </is>
      </c>
      <c r="C996" s="7" t="inlineStr">
        <is>
          <t>unidad</t>
        </is>
      </c>
      <c r="D996" s="8" t="n">
        <v>1784.16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>
        <f>IF(COUNT(D996:V996)=0,"",MIN(D996:V996))</f>
        <v/>
      </c>
      <c r="X996" s="8">
        <f>IF(COUNT(D996:V996)=0,"",MEDIAN(D996:V996))</f>
        <v/>
      </c>
      <c r="Y996" s="8">
        <f>IF(COUNT(D996:V996)=0,"",MAX(D996:V996))</f>
        <v/>
      </c>
      <c r="Z996" s="9">
        <f>IF(OR(W996="",W996=0),"",(Y996-W996)/W996)</f>
        <v/>
      </c>
      <c r="AA996" s="7">
        <f>IF(COUNT(D996:V996)=0,"",INDEX($D$1:$V$1,MATCH(MIN(D996:V996),D996:V996,0)))</f>
        <v/>
      </c>
      <c r="AB996" s="8" t="n">
        <v>4606.9</v>
      </c>
      <c r="AC996" s="10" t="n">
        <v>1</v>
      </c>
    </row>
    <row r="997">
      <c r="A997" s="7" t="inlineStr">
        <is>
          <t>MAT-16-008</t>
        </is>
      </c>
      <c r="B997" s="4" t="inlineStr">
        <is>
          <t>Cámara de seguridad bullet 4 MP</t>
        </is>
      </c>
      <c r="C997" s="7" t="inlineStr">
        <is>
          <t>unidad</t>
        </is>
      </c>
      <c r="D997" s="8" t="n">
        <v>3087.35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>
        <f>IF(COUNT(D997:V997)=0,"",MIN(D997:V997))</f>
        <v/>
      </c>
      <c r="X997" s="8">
        <f>IF(COUNT(D997:V997)=0,"",MEDIAN(D997:V997))</f>
        <v/>
      </c>
      <c r="Y997" s="8">
        <f>IF(COUNT(D997:V997)=0,"",MAX(D997:V997))</f>
        <v/>
      </c>
      <c r="Z997" s="9">
        <f>IF(OR(W997="",W997=0),"",(Y997-W997)/W997)</f>
        <v/>
      </c>
      <c r="AA997" s="7">
        <f>IF(COUNT(D997:V997)=0,"",INDEX($D$1:$V$1,MATCH(MIN(D997:V997),D997:V997,0)))</f>
        <v/>
      </c>
      <c r="AB997" s="8" t="n">
        <v>9064.129999999999</v>
      </c>
      <c r="AC997" s="10" t="n">
        <v>1</v>
      </c>
    </row>
    <row r="998">
      <c r="A998" s="7" t="inlineStr">
        <is>
          <t>MAT-16-009</t>
        </is>
      </c>
      <c r="B998" s="4" t="inlineStr">
        <is>
          <t>Cámara de seguridad bullet 5 MP</t>
        </is>
      </c>
      <c r="C998" s="7" t="inlineStr">
        <is>
          <t>unidad</t>
        </is>
      </c>
      <c r="D998" s="8" t="n">
        <v>1394.08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>
        <f>IF(COUNT(D998:V998)=0,"",MIN(D998:V998))</f>
        <v/>
      </c>
      <c r="X998" s="8">
        <f>IF(COUNT(D998:V998)=0,"",MEDIAN(D998:V998))</f>
        <v/>
      </c>
      <c r="Y998" s="8">
        <f>IF(COUNT(D998:V998)=0,"",MAX(D998:V998))</f>
        <v/>
      </c>
      <c r="Z998" s="9">
        <f>IF(OR(W998="",W998=0),"",(Y998-W998)/W998)</f>
        <v/>
      </c>
      <c r="AA998" s="7">
        <f>IF(COUNT(D998:V998)=0,"",INDEX($D$1:$V$1,MATCH(MIN(D998:V998),D998:V998,0)))</f>
        <v/>
      </c>
      <c r="AB998" s="8" t="n">
        <v>5675.9</v>
      </c>
      <c r="AC998" s="10" t="n">
        <v>1</v>
      </c>
    </row>
    <row r="999">
      <c r="A999" s="7" t="inlineStr">
        <is>
          <t>MAT-16-010</t>
        </is>
      </c>
      <c r="B999" s="4" t="inlineStr">
        <is>
          <t>Cámara de seguridad bullet 8 MP</t>
        </is>
      </c>
      <c r="C999" s="7" t="inlineStr">
        <is>
          <t>unidad</t>
        </is>
      </c>
      <c r="D999" s="8" t="n">
        <v>13465.71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>
        <f>IF(COUNT(D999:V999)=0,"",MIN(D999:V999))</f>
        <v/>
      </c>
      <c r="X999" s="8">
        <f>IF(COUNT(D999:V999)=0,"",MEDIAN(D999:V999))</f>
        <v/>
      </c>
      <c r="Y999" s="8">
        <f>IF(COUNT(D999:V999)=0,"",MAX(D999:V999))</f>
        <v/>
      </c>
      <c r="Z999" s="9">
        <f>IF(OR(W999="",W999=0),"",(Y999-W999)/W999)</f>
        <v/>
      </c>
      <c r="AA999" s="7">
        <f>IF(COUNT(D999:V999)=0,"",INDEX($D$1:$V$1,MATCH(MIN(D999:V999),D999:V999,0)))</f>
        <v/>
      </c>
      <c r="AB999" s="8" t="n">
        <v>13465.71</v>
      </c>
      <c r="AC999" s="10" t="n">
        <v>1</v>
      </c>
    </row>
    <row r="1000">
      <c r="A1000" s="7" t="inlineStr">
        <is>
          <t>MAT-16-011</t>
        </is>
      </c>
      <c r="B1000" s="4" t="inlineStr">
        <is>
          <t>Cámara de seguridad domo</t>
        </is>
      </c>
      <c r="C1000" s="7" t="inlineStr">
        <is>
          <t>unidad</t>
        </is>
      </c>
      <c r="D1000" s="8" t="n">
        <v>12992.17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>
        <f>IF(COUNT(D1000:V1000)=0,"",MIN(D1000:V1000))</f>
        <v/>
      </c>
      <c r="X1000" s="8">
        <f>IF(COUNT(D1000:V1000)=0,"",MEDIAN(D1000:V1000))</f>
        <v/>
      </c>
      <c r="Y1000" s="8">
        <f>IF(COUNT(D1000:V1000)=0,"",MAX(D1000:V1000))</f>
        <v/>
      </c>
      <c r="Z1000" s="9">
        <f>IF(OR(W1000="",W1000=0),"",(Y1000-W1000)/W1000)</f>
        <v/>
      </c>
      <c r="AA1000" s="7">
        <f>IF(COUNT(D1000:V1000)=0,"",INDEX($D$1:$V$1,MATCH(MIN(D1000:V1000),D1000:V1000,0)))</f>
        <v/>
      </c>
      <c r="AB1000" s="8" t="n">
        <v>12992.17</v>
      </c>
      <c r="AC1000" s="10" t="n">
        <v>1</v>
      </c>
    </row>
    <row r="1001">
      <c r="A1001" s="7" t="inlineStr">
        <is>
          <t>MAT-16-012</t>
        </is>
      </c>
      <c r="B1001" s="4" t="inlineStr">
        <is>
          <t>Cámara de seguridad domo 2 MP</t>
        </is>
      </c>
      <c r="C1001" s="7" t="inlineStr">
        <is>
          <t>unidad</t>
        </is>
      </c>
      <c r="D1001" s="8" t="n">
        <v>740.01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>
        <f>IF(COUNT(D1001:V1001)=0,"",MIN(D1001:V1001))</f>
        <v/>
      </c>
      <c r="X1001" s="8">
        <f>IF(COUNT(D1001:V1001)=0,"",MEDIAN(D1001:V1001))</f>
        <v/>
      </c>
      <c r="Y1001" s="8">
        <f>IF(COUNT(D1001:V1001)=0,"",MAX(D1001:V1001))</f>
        <v/>
      </c>
      <c r="Z1001" s="9">
        <f>IF(OR(W1001="",W1001=0),"",(Y1001-W1001)/W1001)</f>
        <v/>
      </c>
      <c r="AA1001" s="7">
        <f>IF(COUNT(D1001:V1001)=0,"",INDEX($D$1:$V$1,MATCH(MIN(D1001:V1001),D1001:V1001,0)))</f>
        <v/>
      </c>
      <c r="AB1001" s="8" t="n">
        <v>3461.37</v>
      </c>
      <c r="AC1001" s="10" t="n">
        <v>1</v>
      </c>
    </row>
    <row r="1002">
      <c r="A1002" s="7" t="inlineStr">
        <is>
          <t>MAT-16-013</t>
        </is>
      </c>
      <c r="B1002" s="4" t="inlineStr">
        <is>
          <t>Cámara de seguridad domo 4 MP</t>
        </is>
      </c>
      <c r="C1002" s="7" t="inlineStr">
        <is>
          <t>unidad</t>
        </is>
      </c>
      <c r="D1002" s="8" t="n">
        <v>3695.82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>
        <f>IF(COUNT(D1002:V1002)=0,"",MIN(D1002:V1002))</f>
        <v/>
      </c>
      <c r="X1002" s="8">
        <f>IF(COUNT(D1002:V1002)=0,"",MEDIAN(D1002:V1002))</f>
        <v/>
      </c>
      <c r="Y1002" s="8">
        <f>IF(COUNT(D1002:V1002)=0,"",MAX(D1002:V1002))</f>
        <v/>
      </c>
      <c r="Z1002" s="9">
        <f>IF(OR(W1002="",W1002=0),"",(Y1002-W1002)/W1002)</f>
        <v/>
      </c>
      <c r="AA1002" s="7">
        <f>IF(COUNT(D1002:V1002)=0,"",INDEX($D$1:$V$1,MATCH(MIN(D1002:V1002),D1002:V1002,0)))</f>
        <v/>
      </c>
      <c r="AB1002" s="8" t="n">
        <v>5025.16</v>
      </c>
      <c r="AC1002" s="10" t="n">
        <v>1</v>
      </c>
    </row>
    <row r="1003">
      <c r="A1003" s="7" t="inlineStr">
        <is>
          <t>MAT-16-014</t>
        </is>
      </c>
      <c r="B1003" s="4" t="inlineStr">
        <is>
          <t>Cámara de seguridad domo 5 MP</t>
        </is>
      </c>
      <c r="C1003" s="7" t="inlineStr">
        <is>
          <t>unidad</t>
        </is>
      </c>
      <c r="D1003" s="8" t="n">
        <v>1368.3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>
        <f>IF(COUNT(D1003:V1003)=0,"",MIN(D1003:V1003))</f>
        <v/>
      </c>
      <c r="X1003" s="8">
        <f>IF(COUNT(D1003:V1003)=0,"",MEDIAN(D1003:V1003))</f>
        <v/>
      </c>
      <c r="Y1003" s="8">
        <f>IF(COUNT(D1003:V1003)=0,"",MAX(D1003:V1003))</f>
        <v/>
      </c>
      <c r="Z1003" s="9">
        <f>IF(OR(W1003="",W1003=0),"",(Y1003-W1003)/W1003)</f>
        <v/>
      </c>
      <c r="AA1003" s="7">
        <f>IF(COUNT(D1003:V1003)=0,"",INDEX($D$1:$V$1,MATCH(MIN(D1003:V1003),D1003:V1003,0)))</f>
        <v/>
      </c>
      <c r="AB1003" s="8" t="n">
        <v>6122.92</v>
      </c>
      <c r="AC1003" s="10" t="n">
        <v>1</v>
      </c>
    </row>
    <row r="1004">
      <c r="A1004" s="7" t="inlineStr">
        <is>
          <t>MAT-16-015</t>
        </is>
      </c>
      <c r="B1004" s="4" t="inlineStr">
        <is>
          <t>Cámara de seguridad ojo de pez 5 MP</t>
        </is>
      </c>
      <c r="C1004" s="7" t="inlineStr">
        <is>
          <t>unidad</t>
        </is>
      </c>
      <c r="D1004" s="8" t="n">
        <v>11020.47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>
        <f>IF(COUNT(D1004:V1004)=0,"",MIN(D1004:V1004))</f>
        <v/>
      </c>
      <c r="X1004" s="8">
        <f>IF(COUNT(D1004:V1004)=0,"",MEDIAN(D1004:V1004))</f>
        <v/>
      </c>
      <c r="Y1004" s="8">
        <f>IF(COUNT(D1004:V1004)=0,"",MAX(D1004:V1004))</f>
        <v/>
      </c>
      <c r="Z1004" s="9">
        <f>IF(OR(W1004="",W1004=0),"",(Y1004-W1004)/W1004)</f>
        <v/>
      </c>
      <c r="AA1004" s="7">
        <f>IF(COUNT(D1004:V1004)=0,"",INDEX($D$1:$V$1,MATCH(MIN(D1004:V1004),D1004:V1004,0)))</f>
        <v/>
      </c>
      <c r="AB1004" s="8" t="n">
        <v>11020.47</v>
      </c>
      <c r="AC1004" s="10" t="n">
        <v>1</v>
      </c>
    </row>
    <row r="1005">
      <c r="A1005" s="7" t="inlineStr">
        <is>
          <t>MAT-16-016</t>
        </is>
      </c>
      <c r="B1005" s="4" t="inlineStr">
        <is>
          <t>Cámara de seguridad PTZ 2 MP</t>
        </is>
      </c>
      <c r="C1005" s="7" t="inlineStr">
        <is>
          <t>unidad</t>
        </is>
      </c>
      <c r="D1005" s="8" t="n">
        <v>30360.56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>
        <f>IF(COUNT(D1005:V1005)=0,"",MIN(D1005:V1005))</f>
        <v/>
      </c>
      <c r="X1005" s="8">
        <f>IF(COUNT(D1005:V1005)=0,"",MEDIAN(D1005:V1005))</f>
        <v/>
      </c>
      <c r="Y1005" s="8">
        <f>IF(COUNT(D1005:V1005)=0,"",MAX(D1005:V1005))</f>
        <v/>
      </c>
      <c r="Z1005" s="9">
        <f>IF(OR(W1005="",W1005=0),"",(Y1005-W1005)/W1005)</f>
        <v/>
      </c>
      <c r="AA1005" s="7">
        <f>IF(COUNT(D1005:V1005)=0,"",INDEX($D$1:$V$1,MATCH(MIN(D1005:V1005),D1005:V1005,0)))</f>
        <v/>
      </c>
      <c r="AB1005" s="8" t="n">
        <v>30360.56</v>
      </c>
      <c r="AC1005" s="10" t="n">
        <v>1</v>
      </c>
    </row>
    <row r="1006">
      <c r="A1006" s="7" t="inlineStr">
        <is>
          <t>MAT-16-017</t>
        </is>
      </c>
      <c r="B1006" s="4" t="inlineStr">
        <is>
          <t>Cámara de seguridad PTZ 3 MP</t>
        </is>
      </c>
      <c r="C1006" s="7" t="inlineStr">
        <is>
          <t>unidad</t>
        </is>
      </c>
      <c r="D1006" s="8" t="n">
        <v>19602.61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>
        <f>IF(COUNT(D1006:V1006)=0,"",MIN(D1006:V1006))</f>
        <v/>
      </c>
      <c r="X1006" s="8">
        <f>IF(COUNT(D1006:V1006)=0,"",MEDIAN(D1006:V1006))</f>
        <v/>
      </c>
      <c r="Y1006" s="8">
        <f>IF(COUNT(D1006:V1006)=0,"",MAX(D1006:V1006))</f>
        <v/>
      </c>
      <c r="Z1006" s="9">
        <f>IF(OR(W1006="",W1006=0),"",(Y1006-W1006)/W1006)</f>
        <v/>
      </c>
      <c r="AA1006" s="7">
        <f>IF(COUNT(D1006:V1006)=0,"",INDEX($D$1:$V$1,MATCH(MIN(D1006:V1006),D1006:V1006,0)))</f>
        <v/>
      </c>
      <c r="AB1006" s="8" t="n">
        <v>19602.61</v>
      </c>
      <c r="AC1006" s="10" t="n">
        <v>1</v>
      </c>
    </row>
    <row r="1007">
      <c r="A1007" s="7" t="inlineStr">
        <is>
          <t>MAT-16-018</t>
        </is>
      </c>
      <c r="B1007" s="4" t="inlineStr">
        <is>
          <t>Cámara de seguridad turret 2 MP</t>
        </is>
      </c>
      <c r="C1007" s="7" t="inlineStr">
        <is>
          <t>unidad</t>
        </is>
      </c>
      <c r="D1007" s="8" t="n">
        <v>2549.16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>
        <f>IF(COUNT(D1007:V1007)=0,"",MIN(D1007:V1007))</f>
        <v/>
      </c>
      <c r="X1007" s="8">
        <f>IF(COUNT(D1007:V1007)=0,"",MEDIAN(D1007:V1007))</f>
        <v/>
      </c>
      <c r="Y1007" s="8">
        <f>IF(COUNT(D1007:V1007)=0,"",MAX(D1007:V1007))</f>
        <v/>
      </c>
      <c r="Z1007" s="9">
        <f>IF(OR(W1007="",W1007=0),"",(Y1007-W1007)/W1007)</f>
        <v/>
      </c>
      <c r="AA1007" s="7">
        <f>IF(COUNT(D1007:V1007)=0,"",INDEX($D$1:$V$1,MATCH(MIN(D1007:V1007),D1007:V1007,0)))</f>
        <v/>
      </c>
      <c r="AB1007" s="8" t="n">
        <v>3614.58</v>
      </c>
      <c r="AC1007" s="10" t="n">
        <v>1</v>
      </c>
    </row>
    <row r="1008">
      <c r="A1008" s="7" t="inlineStr">
        <is>
          <t>MAT-16-019</t>
        </is>
      </c>
      <c r="B1008" s="4" t="inlineStr">
        <is>
          <t>Cámara de seguridad turret 4 MP</t>
        </is>
      </c>
      <c r="C1008" s="7" t="inlineStr">
        <is>
          <t>unidad</t>
        </is>
      </c>
      <c r="D1008" s="8" t="n">
        <v>3073.06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>
        <f>IF(COUNT(D1008:V1008)=0,"",MIN(D1008:V1008))</f>
        <v/>
      </c>
      <c r="X1008" s="8">
        <f>IF(COUNT(D1008:V1008)=0,"",MEDIAN(D1008:V1008))</f>
        <v/>
      </c>
      <c r="Y1008" s="8">
        <f>IF(COUNT(D1008:V1008)=0,"",MAX(D1008:V1008))</f>
        <v/>
      </c>
      <c r="Z1008" s="9">
        <f>IF(OR(W1008="",W1008=0),"",(Y1008-W1008)/W1008)</f>
        <v/>
      </c>
      <c r="AA1008" s="7">
        <f>IF(COUNT(D1008:V1008)=0,"",INDEX($D$1:$V$1,MATCH(MIN(D1008:V1008),D1008:V1008,0)))</f>
        <v/>
      </c>
      <c r="AB1008" s="8" t="n">
        <v>3073.06</v>
      </c>
      <c r="AC1008" s="10" t="n">
        <v>1</v>
      </c>
    </row>
    <row r="1009">
      <c r="A1009" s="7" t="inlineStr">
        <is>
          <t>MAT-16-020</t>
        </is>
      </c>
      <c r="B1009" s="4" t="inlineStr">
        <is>
          <t>Cámara de seguridad turret 5 MP</t>
        </is>
      </c>
      <c r="C1009" s="7" t="inlineStr">
        <is>
          <t>unidad</t>
        </is>
      </c>
      <c r="D1009" s="8" t="n">
        <v>3714.5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>
        <f>IF(COUNT(D1009:V1009)=0,"",MIN(D1009:V1009))</f>
        <v/>
      </c>
      <c r="X1009" s="8">
        <f>IF(COUNT(D1009:V1009)=0,"",MEDIAN(D1009:V1009))</f>
        <v/>
      </c>
      <c r="Y1009" s="8">
        <f>IF(COUNT(D1009:V1009)=0,"",MAX(D1009:V1009))</f>
        <v/>
      </c>
      <c r="Z1009" s="9">
        <f>IF(OR(W1009="",W1009=0),"",(Y1009-W1009)/W1009)</f>
        <v/>
      </c>
      <c r="AA1009" s="7">
        <f>IF(COUNT(D1009:V1009)=0,"",INDEX($D$1:$V$1,MATCH(MIN(D1009:V1009),D1009:V1009,0)))</f>
        <v/>
      </c>
      <c r="AB1009" s="8" t="n">
        <v>4570.82</v>
      </c>
      <c r="AC1009" s="10" t="n">
        <v>1</v>
      </c>
    </row>
    <row r="1010">
      <c r="A1010" s="7" t="inlineStr">
        <is>
          <t>MAT-16-021</t>
        </is>
      </c>
      <c r="B1010" s="4" t="inlineStr">
        <is>
          <t>Cámara de seguridad 2 MP</t>
        </is>
      </c>
      <c r="C1010" s="7" t="inlineStr">
        <is>
          <t>unidad</t>
        </is>
      </c>
      <c r="D1010" s="8" t="n">
        <v>1576.87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>
        <f>IF(COUNT(D1010:V1010)=0,"",MIN(D1010:V1010))</f>
        <v/>
      </c>
      <c r="X1010" s="8">
        <f>IF(COUNT(D1010:V1010)=0,"",MEDIAN(D1010:V1010))</f>
        <v/>
      </c>
      <c r="Y1010" s="8">
        <f>IF(COUNT(D1010:V1010)=0,"",MAX(D1010:V1010))</f>
        <v/>
      </c>
      <c r="Z1010" s="9">
        <f>IF(OR(W1010="",W1010=0),"",(Y1010-W1010)/W1010)</f>
        <v/>
      </c>
      <c r="AA1010" s="7">
        <f>IF(COUNT(D1010:V1010)=0,"",INDEX($D$1:$V$1,MATCH(MIN(D1010:V1010),D1010:V1010,0)))</f>
        <v/>
      </c>
      <c r="AB1010" s="8" t="n">
        <v>5421.17</v>
      </c>
      <c r="AC1010" s="10" t="n">
        <v>1</v>
      </c>
    </row>
    <row r="1011">
      <c r="A1011" s="7" t="inlineStr">
        <is>
          <t>MAT-16-022</t>
        </is>
      </c>
      <c r="B1011" s="4" t="inlineStr">
        <is>
          <t>Cámara de seguridad 5 MP</t>
        </is>
      </c>
      <c r="C1011" s="7" t="inlineStr">
        <is>
          <t>unidad</t>
        </is>
      </c>
      <c r="D1011" s="8" t="n">
        <v>3414.74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>
        <f>IF(COUNT(D1011:V1011)=0,"",MIN(D1011:V1011))</f>
        <v/>
      </c>
      <c r="X1011" s="8">
        <f>IF(COUNT(D1011:V1011)=0,"",MEDIAN(D1011:V1011))</f>
        <v/>
      </c>
      <c r="Y1011" s="8">
        <f>IF(COUNT(D1011:V1011)=0,"",MAX(D1011:V1011))</f>
        <v/>
      </c>
      <c r="Z1011" s="9">
        <f>IF(OR(W1011="",W1011=0),"",(Y1011-W1011)/W1011)</f>
        <v/>
      </c>
      <c r="AA1011" s="7">
        <f>IF(COUNT(D1011:V1011)=0,"",INDEX($D$1:$V$1,MATCH(MIN(D1011:V1011),D1011:V1011,0)))</f>
        <v/>
      </c>
      <c r="AB1011" s="8" t="n">
        <v>3414.74</v>
      </c>
      <c r="AC1011" s="10" t="n">
        <v>1</v>
      </c>
    </row>
    <row r="1012">
      <c r="A1012" s="7" t="inlineStr">
        <is>
          <t>MAT-16-023</t>
        </is>
      </c>
      <c r="B1012" s="4" t="inlineStr">
        <is>
          <t>Grabador de video DVR 16 canales</t>
        </is>
      </c>
      <c r="C1012" s="7" t="inlineStr">
        <is>
          <t>unidad</t>
        </is>
      </c>
      <c r="D1012" s="8" t="n">
        <v>18426.33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>
        <f>IF(COUNT(D1012:V1012)=0,"",MIN(D1012:V1012))</f>
        <v/>
      </c>
      <c r="X1012" s="8">
        <f>IF(COUNT(D1012:V1012)=0,"",MEDIAN(D1012:V1012))</f>
        <v/>
      </c>
      <c r="Y1012" s="8">
        <f>IF(COUNT(D1012:V1012)=0,"",MAX(D1012:V1012))</f>
        <v/>
      </c>
      <c r="Z1012" s="9">
        <f>IF(OR(W1012="",W1012=0),"",(Y1012-W1012)/W1012)</f>
        <v/>
      </c>
      <c r="AA1012" s="7">
        <f>IF(COUNT(D1012:V1012)=0,"",INDEX($D$1:$V$1,MATCH(MIN(D1012:V1012),D1012:V1012,0)))</f>
        <v/>
      </c>
      <c r="AB1012" s="8" t="n">
        <v>18426.33</v>
      </c>
      <c r="AC1012" s="10" t="n">
        <v>1</v>
      </c>
    </row>
    <row r="1013">
      <c r="A1013" s="7" t="inlineStr">
        <is>
          <t>MAT-16-024</t>
        </is>
      </c>
      <c r="B1013" s="4" t="inlineStr">
        <is>
          <t>Grabador de video DVR 4 canales</t>
        </is>
      </c>
      <c r="C1013" s="7" t="inlineStr">
        <is>
          <t>unidad</t>
        </is>
      </c>
      <c r="D1013" s="8" t="n">
        <v>6677.44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>
        <f>IF(COUNT(D1013:V1013)=0,"",MIN(D1013:V1013))</f>
        <v/>
      </c>
      <c r="X1013" s="8">
        <f>IF(COUNT(D1013:V1013)=0,"",MEDIAN(D1013:V1013))</f>
        <v/>
      </c>
      <c r="Y1013" s="8">
        <f>IF(COUNT(D1013:V1013)=0,"",MAX(D1013:V1013))</f>
        <v/>
      </c>
      <c r="Z1013" s="9">
        <f>IF(OR(W1013="",W1013=0),"",(Y1013-W1013)/W1013)</f>
        <v/>
      </c>
      <c r="AA1013" s="7">
        <f>IF(COUNT(D1013:V1013)=0,"",INDEX($D$1:$V$1,MATCH(MIN(D1013:V1013),D1013:V1013,0)))</f>
        <v/>
      </c>
      <c r="AB1013" s="8" t="n">
        <v>7057.8</v>
      </c>
      <c r="AC1013" s="10" t="n">
        <v>1</v>
      </c>
    </row>
    <row r="1014">
      <c r="A1014" s="7" t="inlineStr">
        <is>
          <t>MAT-16-025</t>
        </is>
      </c>
      <c r="B1014" s="4" t="inlineStr">
        <is>
          <t>Grabador de video NVR 16 canales</t>
        </is>
      </c>
      <c r="C1014" s="7" t="inlineStr">
        <is>
          <t>unidad</t>
        </is>
      </c>
      <c r="D1014" s="8" t="n">
        <v>17077.39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>
        <f>IF(COUNT(D1014:V1014)=0,"",MIN(D1014:V1014))</f>
        <v/>
      </c>
      <c r="X1014" s="8">
        <f>IF(COUNT(D1014:V1014)=0,"",MEDIAN(D1014:V1014))</f>
        <v/>
      </c>
      <c r="Y1014" s="8">
        <f>IF(COUNT(D1014:V1014)=0,"",MAX(D1014:V1014))</f>
        <v/>
      </c>
      <c r="Z1014" s="9">
        <f>IF(OR(W1014="",W1014=0),"",(Y1014-W1014)/W1014)</f>
        <v/>
      </c>
      <c r="AA1014" s="7">
        <f>IF(COUNT(D1014:V1014)=0,"",INDEX($D$1:$V$1,MATCH(MIN(D1014:V1014),D1014:V1014,0)))</f>
        <v/>
      </c>
      <c r="AB1014" s="8" t="n">
        <v>17077.39</v>
      </c>
      <c r="AC1014" s="10" t="n">
        <v>1</v>
      </c>
    </row>
    <row r="1015">
      <c r="A1015" s="7" t="inlineStr">
        <is>
          <t>MAT-16-026</t>
        </is>
      </c>
      <c r="B1015" s="4" t="inlineStr">
        <is>
          <t>Grabador de video NVR 32 canales</t>
        </is>
      </c>
      <c r="C1015" s="7" t="inlineStr">
        <is>
          <t>unidad</t>
        </is>
      </c>
      <c r="D1015" s="8" t="n">
        <v>20990.22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>
        <f>IF(COUNT(D1015:V1015)=0,"",MIN(D1015:V1015))</f>
        <v/>
      </c>
      <c r="X1015" s="8">
        <f>IF(COUNT(D1015:V1015)=0,"",MEDIAN(D1015:V1015))</f>
        <v/>
      </c>
      <c r="Y1015" s="8">
        <f>IF(COUNT(D1015:V1015)=0,"",MAX(D1015:V1015))</f>
        <v/>
      </c>
      <c r="Z1015" s="9">
        <f>IF(OR(W1015="",W1015=0),"",(Y1015-W1015)/W1015)</f>
        <v/>
      </c>
      <c r="AA1015" s="7">
        <f>IF(COUNT(D1015:V1015)=0,"",INDEX($D$1:$V$1,MATCH(MIN(D1015:V1015),D1015:V1015,0)))</f>
        <v/>
      </c>
      <c r="AB1015" s="8" t="n">
        <v>20990.22</v>
      </c>
      <c r="AC1015" s="10" t="n">
        <v>1</v>
      </c>
    </row>
    <row r="1016">
      <c r="A1016" s="7" t="inlineStr">
        <is>
          <t>MAT-16-027</t>
        </is>
      </c>
      <c r="B1016" s="4" t="inlineStr">
        <is>
          <t>Grabador de video NVR 64 canales</t>
        </is>
      </c>
      <c r="C1016" s="7" t="inlineStr">
        <is>
          <t>unidad</t>
        </is>
      </c>
      <c r="D1016" s="8" t="n">
        <v>126684.93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>
        <f>IF(COUNT(D1016:V1016)=0,"",MIN(D1016:V1016))</f>
        <v/>
      </c>
      <c r="X1016" s="8">
        <f>IF(COUNT(D1016:V1016)=0,"",MEDIAN(D1016:V1016))</f>
        <v/>
      </c>
      <c r="Y1016" s="8">
        <f>IF(COUNT(D1016:V1016)=0,"",MAX(D1016:V1016))</f>
        <v/>
      </c>
      <c r="Z1016" s="9">
        <f>IF(OR(W1016="",W1016=0),"",(Y1016-W1016)/W1016)</f>
        <v/>
      </c>
      <c r="AA1016" s="7">
        <f>IF(COUNT(D1016:V1016)=0,"",INDEX($D$1:$V$1,MATCH(MIN(D1016:V1016),D1016:V1016,0)))</f>
        <v/>
      </c>
      <c r="AB1016" s="8" t="n">
        <v>126684.93</v>
      </c>
      <c r="AC1016" s="10" t="n">
        <v>1</v>
      </c>
    </row>
    <row r="1017">
      <c r="A1017" s="7" t="inlineStr">
        <is>
          <t>MAT-16-028</t>
        </is>
      </c>
      <c r="B1017" s="4" t="inlineStr">
        <is>
          <t>Grabador de video XVR 16 canales</t>
        </is>
      </c>
      <c r="C1017" s="7" t="inlineStr">
        <is>
          <t>unidad</t>
        </is>
      </c>
      <c r="D1017" s="8" t="n">
        <v>6079.41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>
        <f>IF(COUNT(D1017:V1017)=0,"",MIN(D1017:V1017))</f>
        <v/>
      </c>
      <c r="X1017" s="8">
        <f>IF(COUNT(D1017:V1017)=0,"",MEDIAN(D1017:V1017))</f>
        <v/>
      </c>
      <c r="Y1017" s="8">
        <f>IF(COUNT(D1017:V1017)=0,"",MAX(D1017:V1017))</f>
        <v/>
      </c>
      <c r="Z1017" s="9">
        <f>IF(OR(W1017="",W1017=0),"",(Y1017-W1017)/W1017)</f>
        <v/>
      </c>
      <c r="AA1017" s="7">
        <f>IF(COUNT(D1017:V1017)=0,"",INDEX($D$1:$V$1,MATCH(MIN(D1017:V1017),D1017:V1017,0)))</f>
        <v/>
      </c>
      <c r="AB1017" s="8" t="n">
        <v>6079.41</v>
      </c>
      <c r="AC1017" s="10" t="n">
        <v>1</v>
      </c>
    </row>
    <row r="1018">
      <c r="A1018" s="7" t="inlineStr">
        <is>
          <t>MAT-16-029</t>
        </is>
      </c>
      <c r="B1018" s="4" t="inlineStr">
        <is>
          <t>Disco duro para videovigilancia 1 TB</t>
        </is>
      </c>
      <c r="C1018" s="7" t="inlineStr">
        <is>
          <t>unidad</t>
        </is>
      </c>
      <c r="D1018" s="8" t="n">
        <v>7633.17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>
        <f>IF(COUNT(D1018:V1018)=0,"",MIN(D1018:V1018))</f>
        <v/>
      </c>
      <c r="X1018" s="8">
        <f>IF(COUNT(D1018:V1018)=0,"",MEDIAN(D1018:V1018))</f>
        <v/>
      </c>
      <c r="Y1018" s="8">
        <f>IF(COUNT(D1018:V1018)=0,"",MAX(D1018:V1018))</f>
        <v/>
      </c>
      <c r="Z1018" s="9">
        <f>IF(OR(W1018="",W1018=0),"",(Y1018-W1018)/W1018)</f>
        <v/>
      </c>
      <c r="AA1018" s="7">
        <f>IF(COUNT(D1018:V1018)=0,"",INDEX($D$1:$V$1,MATCH(MIN(D1018:V1018),D1018:V1018,0)))</f>
        <v/>
      </c>
      <c r="AB1018" s="8" t="n">
        <v>7633.17</v>
      </c>
      <c r="AC1018" s="10" t="n">
        <v>1</v>
      </c>
    </row>
    <row r="1019">
      <c r="A1019" s="7" t="inlineStr">
        <is>
          <t>MAT-16-030</t>
        </is>
      </c>
      <c r="B1019" s="4" t="inlineStr">
        <is>
          <t>Disco duro para videovigilancia 8 TB</t>
        </is>
      </c>
      <c r="C1019" s="7" t="inlineStr">
        <is>
          <t>unidad</t>
        </is>
      </c>
      <c r="D1019" s="8" t="n">
        <v>22243.38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>
        <f>IF(COUNT(D1019:V1019)=0,"",MIN(D1019:V1019))</f>
        <v/>
      </c>
      <c r="X1019" s="8">
        <f>IF(COUNT(D1019:V1019)=0,"",MEDIAN(D1019:V1019))</f>
        <v/>
      </c>
      <c r="Y1019" s="8">
        <f>IF(COUNT(D1019:V1019)=0,"",MAX(D1019:V1019))</f>
        <v/>
      </c>
      <c r="Z1019" s="9">
        <f>IF(OR(W1019="",W1019=0),"",(Y1019-W1019)/W1019)</f>
        <v/>
      </c>
      <c r="AA1019" s="7">
        <f>IF(COUNT(D1019:V1019)=0,"",INDEX($D$1:$V$1,MATCH(MIN(D1019:V1019),D1019:V1019,0)))</f>
        <v/>
      </c>
      <c r="AB1019" s="8" t="n">
        <v>22243.38</v>
      </c>
      <c r="AC1019" s="10" t="n">
        <v>1</v>
      </c>
    </row>
    <row r="1020">
      <c r="A1020" s="7" t="inlineStr">
        <is>
          <t>MAT-16-031</t>
        </is>
      </c>
      <c r="B1020" s="4" t="inlineStr">
        <is>
          <t>Monitor para CCTV</t>
        </is>
      </c>
      <c r="C1020" s="7" t="inlineStr">
        <is>
          <t>unidad</t>
        </is>
      </c>
      <c r="D1020" s="8" t="n">
        <v>2976.42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>
        <f>IF(COUNT(D1020:V1020)=0,"",MIN(D1020:V1020))</f>
        <v/>
      </c>
      <c r="X1020" s="8">
        <f>IF(COUNT(D1020:V1020)=0,"",MEDIAN(D1020:V1020))</f>
        <v/>
      </c>
      <c r="Y1020" s="8">
        <f>IF(COUNT(D1020:V1020)=0,"",MAX(D1020:V1020))</f>
        <v/>
      </c>
      <c r="Z1020" s="9">
        <f>IF(OR(W1020="",W1020=0),"",(Y1020-W1020)/W1020)</f>
        <v/>
      </c>
      <c r="AA1020" s="7">
        <f>IF(COUNT(D1020:V1020)=0,"",INDEX($D$1:$V$1,MATCH(MIN(D1020:V1020),D1020:V1020,0)))</f>
        <v/>
      </c>
      <c r="AB1020" s="8" t="n">
        <v>5019.51</v>
      </c>
      <c r="AC1020" s="10" t="n">
        <v>1</v>
      </c>
    </row>
    <row r="1021">
      <c r="A1021" s="7" t="inlineStr">
        <is>
          <t>MAT-16-032</t>
        </is>
      </c>
      <c r="B1021" s="4" t="inlineStr">
        <is>
          <t>Monitor para CCTV 3.5"</t>
        </is>
      </c>
      <c r="C1021" s="7" t="inlineStr">
        <is>
          <t>unidad</t>
        </is>
      </c>
      <c r="D1021" s="8" t="n">
        <v>4362.91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>
        <f>IF(COUNT(D1021:V1021)=0,"",MIN(D1021:V1021))</f>
        <v/>
      </c>
      <c r="X1021" s="8">
        <f>IF(COUNT(D1021:V1021)=0,"",MEDIAN(D1021:V1021))</f>
        <v/>
      </c>
      <c r="Y1021" s="8">
        <f>IF(COUNT(D1021:V1021)=0,"",MAX(D1021:V1021))</f>
        <v/>
      </c>
      <c r="Z1021" s="9">
        <f>IF(OR(W1021="",W1021=0),"",(Y1021-W1021)/W1021)</f>
        <v/>
      </c>
      <c r="AA1021" s="7">
        <f>IF(COUNT(D1021:V1021)=0,"",INDEX($D$1:$V$1,MATCH(MIN(D1021:V1021),D1021:V1021,0)))</f>
        <v/>
      </c>
      <c r="AB1021" s="8" t="n">
        <v>4362.91</v>
      </c>
      <c r="AC1021" s="10" t="n">
        <v>1</v>
      </c>
    </row>
    <row r="1022">
      <c r="A1022" s="7" t="inlineStr">
        <is>
          <t>MAT-16-033</t>
        </is>
      </c>
      <c r="B1022" s="4" t="inlineStr">
        <is>
          <t>Monitor para CCTV 32"</t>
        </is>
      </c>
      <c r="C1022" s="7" t="inlineStr">
        <is>
          <t>unidad</t>
        </is>
      </c>
      <c r="D1022" s="8" t="n">
        <v>15349.99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>
        <f>IF(COUNT(D1022:V1022)=0,"",MIN(D1022:V1022))</f>
        <v/>
      </c>
      <c r="X1022" s="8">
        <f>IF(COUNT(D1022:V1022)=0,"",MEDIAN(D1022:V1022))</f>
        <v/>
      </c>
      <c r="Y1022" s="8">
        <f>IF(COUNT(D1022:V1022)=0,"",MAX(D1022:V1022))</f>
        <v/>
      </c>
      <c r="Z1022" s="9">
        <f>IF(OR(W1022="",W1022=0),"",(Y1022-W1022)/W1022)</f>
        <v/>
      </c>
      <c r="AA1022" s="7">
        <f>IF(COUNT(D1022:V1022)=0,"",INDEX($D$1:$V$1,MATCH(MIN(D1022:V1022),D1022:V1022,0)))</f>
        <v/>
      </c>
      <c r="AB1022" s="8" t="n">
        <v>15349.99</v>
      </c>
      <c r="AC1022" s="10" t="n">
        <v>1</v>
      </c>
    </row>
    <row r="1023">
      <c r="A1023" s="7" t="inlineStr">
        <is>
          <t>MAT-16-034</t>
        </is>
      </c>
      <c r="B1023" s="4" t="inlineStr">
        <is>
          <t>Monitor para CCTV 4"</t>
        </is>
      </c>
      <c r="C1023" s="7" t="inlineStr">
        <is>
          <t>unidad</t>
        </is>
      </c>
      <c r="D1023" s="8" t="n">
        <v>2707.65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>
        <f>IF(COUNT(D1023:V1023)=0,"",MIN(D1023:V1023))</f>
        <v/>
      </c>
      <c r="X1023" s="8">
        <f>IF(COUNT(D1023:V1023)=0,"",MEDIAN(D1023:V1023))</f>
        <v/>
      </c>
      <c r="Y1023" s="8">
        <f>IF(COUNT(D1023:V1023)=0,"",MAX(D1023:V1023))</f>
        <v/>
      </c>
      <c r="Z1023" s="9">
        <f>IF(OR(W1023="",W1023=0),"",(Y1023-W1023)/W1023)</f>
        <v/>
      </c>
      <c r="AA1023" s="7">
        <f>IF(COUNT(D1023:V1023)=0,"",INDEX($D$1:$V$1,MATCH(MIN(D1023:V1023),D1023:V1023,0)))</f>
        <v/>
      </c>
      <c r="AB1023" s="8" t="n">
        <v>2707.65</v>
      </c>
      <c r="AC1023" s="10" t="n">
        <v>1</v>
      </c>
    </row>
    <row r="1024">
      <c r="A1024" s="7" t="inlineStr">
        <is>
          <t>MAT-16-035</t>
        </is>
      </c>
      <c r="B1024" s="4" t="inlineStr">
        <is>
          <t>Monitor para CCTV 7"</t>
        </is>
      </c>
      <c r="C1024" s="7" t="inlineStr">
        <is>
          <t>unidad</t>
        </is>
      </c>
      <c r="D1024" s="8" t="n">
        <v>5570.12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>
        <f>IF(COUNT(D1024:V1024)=0,"",MIN(D1024:V1024))</f>
        <v/>
      </c>
      <c r="X1024" s="8">
        <f>IF(COUNT(D1024:V1024)=0,"",MEDIAN(D1024:V1024))</f>
        <v/>
      </c>
      <c r="Y1024" s="8">
        <f>IF(COUNT(D1024:V1024)=0,"",MAX(D1024:V1024))</f>
        <v/>
      </c>
      <c r="Z1024" s="9">
        <f>IF(OR(W1024="",W1024=0),"",(Y1024-W1024)/W1024)</f>
        <v/>
      </c>
      <c r="AA1024" s="7">
        <f>IF(COUNT(D1024:V1024)=0,"",INDEX($D$1:$V$1,MATCH(MIN(D1024:V1024),D1024:V1024,0)))</f>
        <v/>
      </c>
      <c r="AB1024" s="8" t="n">
        <v>7823.52</v>
      </c>
      <c r="AC1024" s="10" t="n">
        <v>1</v>
      </c>
    </row>
    <row r="1025">
      <c r="A1025" s="7" t="inlineStr">
        <is>
          <t>MAT-16-036</t>
        </is>
      </c>
      <c r="B1025" s="4" t="inlineStr">
        <is>
          <t>Soporte o caja para cámara</t>
        </is>
      </c>
      <c r="C1025" s="7" t="inlineStr">
        <is>
          <t>unidad</t>
        </is>
      </c>
      <c r="D1025" s="8" t="n">
        <v>1012.91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>
        <f>IF(COUNT(D1025:V1025)=0,"",MIN(D1025:V1025))</f>
        <v/>
      </c>
      <c r="X1025" s="8">
        <f>IF(COUNT(D1025:V1025)=0,"",MEDIAN(D1025:V1025))</f>
        <v/>
      </c>
      <c r="Y1025" s="8">
        <f>IF(COUNT(D1025:V1025)=0,"",MAX(D1025:V1025))</f>
        <v/>
      </c>
      <c r="Z1025" s="9">
        <f>IF(OR(W1025="",W1025=0),"",(Y1025-W1025)/W1025)</f>
        <v/>
      </c>
      <c r="AA1025" s="7">
        <f>IF(COUNT(D1025:V1025)=0,"",INDEX($D$1:$V$1,MATCH(MIN(D1025:V1025),D1025:V1025,0)))</f>
        <v/>
      </c>
      <c r="AB1025" s="8" t="n">
        <v>1012.91</v>
      </c>
      <c r="AC1025" s="10" t="n">
        <v>1</v>
      </c>
    </row>
    <row r="1026">
      <c r="A1026" s="7" t="inlineStr">
        <is>
          <t>MAT-16-037</t>
        </is>
      </c>
      <c r="B1026" s="4" t="inlineStr">
        <is>
          <t>Video balun</t>
        </is>
      </c>
      <c r="C1026" s="7" t="inlineStr">
        <is>
          <t>unidad</t>
        </is>
      </c>
      <c r="D1026" s="8" t="n">
        <v>231.08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>
        <f>IF(COUNT(D1026:V1026)=0,"",MIN(D1026:V1026))</f>
        <v/>
      </c>
      <c r="X1026" s="8">
        <f>IF(COUNT(D1026:V1026)=0,"",MEDIAN(D1026:V1026))</f>
        <v/>
      </c>
      <c r="Y1026" s="8">
        <f>IF(COUNT(D1026:V1026)=0,"",MAX(D1026:V1026))</f>
        <v/>
      </c>
      <c r="Z1026" s="9">
        <f>IF(OR(W1026="",W1026=0),"",(Y1026-W1026)/W1026)</f>
        <v/>
      </c>
      <c r="AA1026" s="7">
        <f>IF(COUNT(D1026:V1026)=0,"",INDEX($D$1:$V$1,MATCH(MIN(D1026:V1026),D1026:V1026,0)))</f>
        <v/>
      </c>
      <c r="AB1026" s="8" t="n">
        <v>241.33</v>
      </c>
      <c r="AC1026" s="10" t="n">
        <v>1</v>
      </c>
    </row>
    <row r="1027">
      <c r="A1027" s="7" t="inlineStr">
        <is>
          <t>MAT-18-006</t>
        </is>
      </c>
      <c r="B1027" s="4" t="inlineStr">
        <is>
          <t>Asfalto en frío, 25 kg</t>
        </is>
      </c>
      <c r="C1027" s="7" t="inlineStr">
        <is>
          <t>unidad</t>
        </is>
      </c>
      <c r="D1027" s="8" t="n"/>
      <c r="E1027" s="8" t="n"/>
      <c r="F1027" s="8" t="n"/>
      <c r="G1027" s="8" t="n"/>
      <c r="H1027" s="8" t="n"/>
      <c r="I1027" s="8" t="n"/>
      <c r="J1027" s="8" t="n"/>
      <c r="K1027" s="8" t="n">
        <v>1695</v>
      </c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>
        <f>IF(COUNT(D1027:V1027)=0,"",MIN(D1027:V1027))</f>
        <v/>
      </c>
      <c r="X1027" s="8">
        <f>IF(COUNT(D1027:V1027)=0,"",MEDIAN(D1027:V1027))</f>
        <v/>
      </c>
      <c r="Y1027" s="8">
        <f>IF(COUNT(D1027:V1027)=0,"",MAX(D1027:V1027))</f>
        <v/>
      </c>
      <c r="Z1027" s="9">
        <f>IF(OR(W1027="",W1027=0),"",(Y1027-W1027)/W1027)</f>
        <v/>
      </c>
      <c r="AA1027" s="7">
        <f>IF(COUNT(D1027:V1027)=0,"",INDEX($D$1:$V$1,MATCH(MIN(D1027:V1027),D1027:V1027,0)))</f>
        <v/>
      </c>
      <c r="AB1027" s="8" t="n">
        <v>1695</v>
      </c>
      <c r="AC1027" s="10" t="n">
        <v>1</v>
      </c>
    </row>
    <row r="1028">
      <c r="A1028" s="7" t="inlineStr">
        <is>
          <t>MAT-19-001</t>
        </is>
      </c>
      <c r="B1028" s="4" t="inlineStr">
        <is>
          <t>Perfil cuadrado negro 3/4" x 3/4" x 20 pies, pared 1.2 mm</t>
        </is>
      </c>
      <c r="C1028" s="7" t="inlineStr">
        <is>
          <t>unidad</t>
        </is>
      </c>
      <c r="D1028" s="8" t="n">
        <v>262.29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>
        <f>IF(COUNT(D1028:V1028)=0,"",MIN(D1028:V1028))</f>
        <v/>
      </c>
      <c r="X1028" s="8">
        <f>IF(COUNT(D1028:V1028)=0,"",MEDIAN(D1028:V1028))</f>
        <v/>
      </c>
      <c r="Y1028" s="8">
        <f>IF(COUNT(D1028:V1028)=0,"",MAX(D1028:V1028))</f>
        <v/>
      </c>
      <c r="Z1028" s="9">
        <f>IF(OR(W1028="",W1028=0),"",(Y1028-W1028)/W1028)</f>
        <v/>
      </c>
      <c r="AA1028" s="7">
        <f>IF(COUNT(D1028:V1028)=0,"",INDEX($D$1:$V$1,MATCH(MIN(D1028:V1028),D1028:V1028,0)))</f>
        <v/>
      </c>
      <c r="AB1028" s="8" t="n">
        <v>262.29</v>
      </c>
      <c r="AC1028" s="10" t="n">
        <v>1</v>
      </c>
    </row>
    <row r="1029">
      <c r="A1029" s="7" t="inlineStr">
        <is>
          <t>MAT-19-002</t>
        </is>
      </c>
      <c r="B1029" s="4" t="inlineStr">
        <is>
          <t>Perfil cuadrado negro 3/4" x 3/4" x 20 pies, pared 1.6 mm</t>
        </is>
      </c>
      <c r="C1029" s="7" t="inlineStr">
        <is>
          <t>unidad</t>
        </is>
      </c>
      <c r="D1029" s="8" t="n">
        <v>321.76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>
        <v>316.7</v>
      </c>
      <c r="P1029" s="8" t="n"/>
      <c r="Q1029" s="8" t="n"/>
      <c r="R1029" s="8" t="n"/>
      <c r="S1029" s="8" t="n"/>
      <c r="T1029" s="8" t="n"/>
      <c r="U1029" s="8" t="n"/>
      <c r="V1029" s="8" t="n"/>
      <c r="W1029" s="8">
        <f>IF(COUNT(D1029:V1029)=0,"",MIN(D1029:V1029))</f>
        <v/>
      </c>
      <c r="X1029" s="8">
        <f>IF(COUNT(D1029:V1029)=0,"",MEDIAN(D1029:V1029))</f>
        <v/>
      </c>
      <c r="Y1029" s="8">
        <f>IF(COUNT(D1029:V1029)=0,"",MAX(D1029:V1029))</f>
        <v/>
      </c>
      <c r="Z1029" s="9">
        <f>IF(OR(W1029="",W1029=0),"",(Y1029-W1029)/W1029)</f>
        <v/>
      </c>
      <c r="AA1029" s="7">
        <f>IF(COUNT(D1029:V1029)=0,"",INDEX($D$1:$V$1,MATCH(MIN(D1029:V1029),D1029:V1029,0)))</f>
        <v/>
      </c>
      <c r="AB1029" s="8" t="n">
        <v>347.73</v>
      </c>
      <c r="AC1029" s="10" t="n">
        <v>2</v>
      </c>
    </row>
    <row r="1030">
      <c r="A1030" s="7" t="inlineStr">
        <is>
          <t>MAT-19-003</t>
        </is>
      </c>
      <c r="B1030" s="4" t="inlineStr">
        <is>
          <t>Perfil cuadrado negro 1" x 1" x 20 pies, pared 1.2 mm</t>
        </is>
      </c>
      <c r="C1030" s="7" t="inlineStr">
        <is>
          <t>unidad</t>
        </is>
      </c>
      <c r="D1030" s="8" t="n">
        <v>355.58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>
        <v>348.3</v>
      </c>
      <c r="P1030" s="8" t="n"/>
      <c r="Q1030" s="8" t="n"/>
      <c r="R1030" s="8" t="n"/>
      <c r="S1030" s="8" t="n"/>
      <c r="T1030" s="8" t="n"/>
      <c r="U1030" s="8" t="n"/>
      <c r="V1030" s="8" t="n"/>
      <c r="W1030" s="8">
        <f>IF(COUNT(D1030:V1030)=0,"",MIN(D1030:V1030))</f>
        <v/>
      </c>
      <c r="X1030" s="8">
        <f>IF(COUNT(D1030:V1030)=0,"",MEDIAN(D1030:V1030))</f>
        <v/>
      </c>
      <c r="Y1030" s="8">
        <f>IF(COUNT(D1030:V1030)=0,"",MAX(D1030:V1030))</f>
        <v/>
      </c>
      <c r="Z1030" s="9">
        <f>IF(OR(W1030="",W1030=0),"",(Y1030-W1030)/W1030)</f>
        <v/>
      </c>
      <c r="AA1030" s="7">
        <f>IF(COUNT(D1030:V1030)=0,"",INDEX($D$1:$V$1,MATCH(MIN(D1030:V1030),D1030:V1030,0)))</f>
        <v/>
      </c>
      <c r="AB1030" s="8" t="n">
        <v>383.29</v>
      </c>
      <c r="AC1030" s="10" t="n">
        <v>2</v>
      </c>
    </row>
    <row r="1031">
      <c r="A1031" s="7" t="inlineStr">
        <is>
          <t>MAT-19-004</t>
        </is>
      </c>
      <c r="B1031" s="4" t="inlineStr">
        <is>
          <t>Perfil cuadrado negro 1 1/4" x 1 1/4" x 20 pies, pared 1.2 mm</t>
        </is>
      </c>
      <c r="C1031" s="7" t="inlineStr">
        <is>
          <t>unidad</t>
        </is>
      </c>
      <c r="D1031" s="8" t="n">
        <v>510.43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>
        <f>IF(COUNT(D1031:V1031)=0,"",MIN(D1031:V1031))</f>
        <v/>
      </c>
      <c r="X1031" s="8">
        <f>IF(COUNT(D1031:V1031)=0,"",MEDIAN(D1031:V1031))</f>
        <v/>
      </c>
      <c r="Y1031" s="8">
        <f>IF(COUNT(D1031:V1031)=0,"",MAX(D1031:V1031))</f>
        <v/>
      </c>
      <c r="Z1031" s="9">
        <f>IF(OR(W1031="",W1031=0),"",(Y1031-W1031)/W1031)</f>
        <v/>
      </c>
      <c r="AA1031" s="7">
        <f>IF(COUNT(D1031:V1031)=0,"",INDEX($D$1:$V$1,MATCH(MIN(D1031:V1031),D1031:V1031,0)))</f>
        <v/>
      </c>
      <c r="AB1031" s="8" t="n">
        <v>510.43</v>
      </c>
      <c r="AC1031" s="10" t="n">
        <v>1</v>
      </c>
    </row>
    <row r="1032">
      <c r="A1032" s="7" t="inlineStr">
        <is>
          <t>MAT-19-005</t>
        </is>
      </c>
      <c r="B1032" s="4" t="inlineStr">
        <is>
          <t>Perfil cuadrado negro 1 1/4" x 1 1/4" x 20 pies, pared 1.6 mm</t>
        </is>
      </c>
      <c r="C1032" s="7" t="inlineStr">
        <is>
          <t>unidad</t>
        </is>
      </c>
      <c r="D1032" s="8" t="n">
        <v>556.02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>
        <f>IF(COUNT(D1032:V1032)=0,"",MIN(D1032:V1032))</f>
        <v/>
      </c>
      <c r="X1032" s="8">
        <f>IF(COUNT(D1032:V1032)=0,"",MEDIAN(D1032:V1032))</f>
        <v/>
      </c>
      <c r="Y1032" s="8">
        <f>IF(COUNT(D1032:V1032)=0,"",MAX(D1032:V1032))</f>
        <v/>
      </c>
      <c r="Z1032" s="9">
        <f>IF(OR(W1032="",W1032=0),"",(Y1032-W1032)/W1032)</f>
        <v/>
      </c>
      <c r="AA1032" s="7">
        <f>IF(COUNT(D1032:V1032)=0,"",INDEX($D$1:$V$1,MATCH(MIN(D1032:V1032),D1032:V1032,0)))</f>
        <v/>
      </c>
      <c r="AB1032" s="8" t="n">
        <v>556.02</v>
      </c>
      <c r="AC1032" s="10" t="n">
        <v>1</v>
      </c>
    </row>
    <row r="1033">
      <c r="A1033" s="7" t="inlineStr">
        <is>
          <t>MAT-19-006</t>
        </is>
      </c>
      <c r="B1033" s="4" t="inlineStr">
        <is>
          <t>Perfil cuadrado negro 1 1/2" x 1 1/2" x 20 pies, pared 1.2 mm</t>
        </is>
      </c>
      <c r="C1033" s="7" t="inlineStr">
        <is>
          <t>unidad</t>
        </is>
      </c>
      <c r="D1033" s="8" t="n">
        <v>542.15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>
        <v>531.36</v>
      </c>
      <c r="P1033" s="8" t="n"/>
      <c r="Q1033" s="8" t="n"/>
      <c r="R1033" s="8" t="n"/>
      <c r="S1033" s="8" t="n"/>
      <c r="T1033" s="8" t="n"/>
      <c r="U1033" s="8" t="n"/>
      <c r="V1033" s="8" t="n"/>
      <c r="W1033" s="8">
        <f>IF(COUNT(D1033:V1033)=0,"",MIN(D1033:V1033))</f>
        <v/>
      </c>
      <c r="X1033" s="8">
        <f>IF(COUNT(D1033:V1033)=0,"",MEDIAN(D1033:V1033))</f>
        <v/>
      </c>
      <c r="Y1033" s="8">
        <f>IF(COUNT(D1033:V1033)=0,"",MAX(D1033:V1033))</f>
        <v/>
      </c>
      <c r="Z1033" s="9">
        <f>IF(OR(W1033="",W1033=0),"",(Y1033-W1033)/W1033)</f>
        <v/>
      </c>
      <c r="AA1033" s="7">
        <f>IF(COUNT(D1033:V1033)=0,"",INDEX($D$1:$V$1,MATCH(MIN(D1033:V1033),D1033:V1033,0)))</f>
        <v/>
      </c>
      <c r="AB1033" s="8" t="n">
        <v>584.58</v>
      </c>
      <c r="AC1033" s="10" t="n">
        <v>2</v>
      </c>
    </row>
    <row r="1034">
      <c r="A1034" s="7" t="inlineStr">
        <is>
          <t>MAT-19-007</t>
        </is>
      </c>
      <c r="B1034" s="4" t="inlineStr">
        <is>
          <t>Perfil cuadrado negro 1 1/2" x 1 1/2" x 20 pies, pared 1.6 mm</t>
        </is>
      </c>
      <c r="C1034" s="7" t="inlineStr">
        <is>
          <t>unidad</t>
        </is>
      </c>
      <c r="D1034" s="8" t="n">
        <v>647.03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>
        <v>667</v>
      </c>
      <c r="P1034" s="8" t="n"/>
      <c r="Q1034" s="8" t="n"/>
      <c r="R1034" s="8" t="n"/>
      <c r="S1034" s="8" t="n"/>
      <c r="T1034" s="8" t="n"/>
      <c r="U1034" s="8" t="n"/>
      <c r="V1034" s="8" t="n"/>
      <c r="W1034" s="8">
        <f>IF(COUNT(D1034:V1034)=0,"",MIN(D1034:V1034))</f>
        <v/>
      </c>
      <c r="X1034" s="8">
        <f>IF(COUNT(D1034:V1034)=0,"",MEDIAN(D1034:V1034))</f>
        <v/>
      </c>
      <c r="Y1034" s="8">
        <f>IF(COUNT(D1034:V1034)=0,"",MAX(D1034:V1034))</f>
        <v/>
      </c>
      <c r="Z1034" s="9">
        <f>IF(OR(W1034="",W1034=0),"",(Y1034-W1034)/W1034)</f>
        <v/>
      </c>
      <c r="AA1034" s="7">
        <f>IF(COUNT(D1034:V1034)=0,"",INDEX($D$1:$V$1,MATCH(MIN(D1034:V1034),D1034:V1034,0)))</f>
        <v/>
      </c>
      <c r="AB1034" s="8" t="n">
        <v>717.05</v>
      </c>
      <c r="AC1034" s="10" t="n">
        <v>2</v>
      </c>
    </row>
    <row r="1035">
      <c r="A1035" s="7" t="inlineStr">
        <is>
          <t>MAT-19-008</t>
        </is>
      </c>
      <c r="B1035" s="4" t="inlineStr">
        <is>
          <t>Perfil cuadrado negro 2" x 2" x 20 pies, pared 1.6 mm</t>
        </is>
      </c>
      <c r="C1035" s="7" t="inlineStr">
        <is>
          <t>unidad</t>
        </is>
      </c>
      <c r="D1035" s="8" t="n">
        <v>867.64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>
        <v>859</v>
      </c>
      <c r="P1035" s="8" t="n"/>
      <c r="Q1035" s="8" t="n"/>
      <c r="R1035" s="8" t="n"/>
      <c r="S1035" s="8" t="n"/>
      <c r="T1035" s="8" t="n"/>
      <c r="U1035" s="8" t="n"/>
      <c r="V1035" s="8" t="n"/>
      <c r="W1035" s="8">
        <f>IF(COUNT(D1035:V1035)=0,"",MIN(D1035:V1035))</f>
        <v/>
      </c>
      <c r="X1035" s="8">
        <f>IF(COUNT(D1035:V1035)=0,"",MEDIAN(D1035:V1035))</f>
        <v/>
      </c>
      <c r="Y1035" s="8">
        <f>IF(COUNT(D1035:V1035)=0,"",MAX(D1035:V1035))</f>
        <v/>
      </c>
      <c r="Z1035" s="9">
        <f>IF(OR(W1035="",W1035=0),"",(Y1035-W1035)/W1035)</f>
        <v/>
      </c>
      <c r="AA1035" s="7">
        <f>IF(COUNT(D1035:V1035)=0,"",INDEX($D$1:$V$1,MATCH(MIN(D1035:V1035),D1035:V1035,0)))</f>
        <v/>
      </c>
      <c r="AB1035" s="8" t="n">
        <v>940.63</v>
      </c>
      <c r="AC1035" s="10" t="n">
        <v>2</v>
      </c>
    </row>
    <row r="1036">
      <c r="A1036" s="7" t="inlineStr">
        <is>
          <t>MAT-19-009</t>
        </is>
      </c>
      <c r="B1036" s="4" t="inlineStr">
        <is>
          <t>Perfil cuadrado negro 3" x 3" x 20 pies, pared 1.6 mm</t>
        </is>
      </c>
      <c r="C1036" s="7" t="inlineStr">
        <is>
          <t>unidad</t>
        </is>
      </c>
      <c r="D1036" s="8" t="n">
        <v>1319.81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>
        <v>1378</v>
      </c>
      <c r="P1036" s="8" t="n"/>
      <c r="Q1036" s="8" t="n"/>
      <c r="R1036" s="8" t="n"/>
      <c r="S1036" s="8" t="n"/>
      <c r="T1036" s="8" t="n"/>
      <c r="U1036" s="8" t="n"/>
      <c r="V1036" s="8" t="n"/>
      <c r="W1036" s="8">
        <f>IF(COUNT(D1036:V1036)=0,"",MIN(D1036:V1036))</f>
        <v/>
      </c>
      <c r="X1036" s="8">
        <f>IF(COUNT(D1036:V1036)=0,"",MEDIAN(D1036:V1036))</f>
        <v/>
      </c>
      <c r="Y1036" s="8">
        <f>IF(COUNT(D1036:V1036)=0,"",MAX(D1036:V1036))</f>
        <v/>
      </c>
      <c r="Z1036" s="9">
        <f>IF(OR(W1036="",W1036=0),"",(Y1036-W1036)/W1036)</f>
        <v/>
      </c>
      <c r="AA1036" s="7">
        <f>IF(COUNT(D1036:V1036)=0,"",INDEX($D$1:$V$1,MATCH(MIN(D1036:V1036),D1036:V1036,0)))</f>
        <v/>
      </c>
      <c r="AB1036" s="8" t="n">
        <v>1472.93</v>
      </c>
      <c r="AC1036" s="10" t="n">
        <v>2</v>
      </c>
    </row>
    <row r="1037">
      <c r="A1037" s="7" t="inlineStr">
        <is>
          <t>MAT-19-010</t>
        </is>
      </c>
      <c r="B1037" s="4" t="inlineStr">
        <is>
          <t>Perfil cuadrado galvanizado 3/4" x 3/4" x 20 pies, pared 1.2 mm</t>
        </is>
      </c>
      <c r="C1037" s="7" t="inlineStr">
        <is>
          <t>unidad</t>
        </is>
      </c>
      <c r="D1037" s="8" t="n">
        <v>316.11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>
        <f>IF(COUNT(D1037:V1037)=0,"",MIN(D1037:V1037))</f>
        <v/>
      </c>
      <c r="X1037" s="8">
        <f>IF(COUNT(D1037:V1037)=0,"",MEDIAN(D1037:V1037))</f>
        <v/>
      </c>
      <c r="Y1037" s="8">
        <f>IF(COUNT(D1037:V1037)=0,"",MAX(D1037:V1037))</f>
        <v/>
      </c>
      <c r="Z1037" s="9">
        <f>IF(OR(W1037="",W1037=0),"",(Y1037-W1037)/W1037)</f>
        <v/>
      </c>
      <c r="AA1037" s="7">
        <f>IF(COUNT(D1037:V1037)=0,"",INDEX($D$1:$V$1,MATCH(MIN(D1037:V1037),D1037:V1037,0)))</f>
        <v/>
      </c>
      <c r="AB1037" s="8" t="n">
        <v>316.11</v>
      </c>
      <c r="AC1037" s="10" t="n">
        <v>1</v>
      </c>
    </row>
    <row r="1038">
      <c r="A1038" s="7" t="inlineStr">
        <is>
          <t>MAT-19-011</t>
        </is>
      </c>
      <c r="B1038" s="4" t="inlineStr">
        <is>
          <t>Perfil cuadrado galvanizado 1" x 1" x 20 pies, pared 1.2 mm</t>
        </is>
      </c>
      <c r="C1038" s="7" t="inlineStr">
        <is>
          <t>unidad</t>
        </is>
      </c>
      <c r="D1038" s="8" t="n">
        <v>423.74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>
        <v>434</v>
      </c>
      <c r="P1038" s="8" t="n"/>
      <c r="Q1038" s="8" t="n"/>
      <c r="R1038" s="8" t="n"/>
      <c r="S1038" s="8" t="n"/>
      <c r="T1038" s="8" t="n"/>
      <c r="U1038" s="8" t="n"/>
      <c r="V1038" s="8" t="n"/>
      <c r="W1038" s="8">
        <f>IF(COUNT(D1038:V1038)=0,"",MIN(D1038:V1038))</f>
        <v/>
      </c>
      <c r="X1038" s="8">
        <f>IF(COUNT(D1038:V1038)=0,"",MEDIAN(D1038:V1038))</f>
        <v/>
      </c>
      <c r="Y1038" s="8">
        <f>IF(COUNT(D1038:V1038)=0,"",MAX(D1038:V1038))</f>
        <v/>
      </c>
      <c r="Z1038" s="9">
        <f>IF(OR(W1038="",W1038=0),"",(Y1038-W1038)/W1038)</f>
        <v/>
      </c>
      <c r="AA1038" s="7">
        <f>IF(COUNT(D1038:V1038)=0,"",INDEX($D$1:$V$1,MATCH(MIN(D1038:V1038),D1038:V1038,0)))</f>
        <v/>
      </c>
      <c r="AB1038" s="8" t="n">
        <v>467.93</v>
      </c>
      <c r="AC1038" s="10" t="n">
        <v>2</v>
      </c>
    </row>
    <row r="1039">
      <c r="A1039" s="7" t="inlineStr">
        <is>
          <t>MAT-19-012</t>
        </is>
      </c>
      <c r="B1039" s="4" t="inlineStr">
        <is>
          <t>Perfil cuadrado galvanizado 1" x 1" x 20 pies, pared 1.6 mm</t>
        </is>
      </c>
      <c r="C1039" s="7" t="inlineStr">
        <is>
          <t>unidad</t>
        </is>
      </c>
      <c r="D1039" s="8" t="n">
        <v>539.74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>
        <v>561</v>
      </c>
      <c r="P1039" s="8" t="n"/>
      <c r="Q1039" s="8" t="n"/>
      <c r="R1039" s="8" t="n"/>
      <c r="S1039" s="8" t="n"/>
      <c r="T1039" s="8" t="n"/>
      <c r="U1039" s="8" t="n"/>
      <c r="V1039" s="8" t="n"/>
      <c r="W1039" s="8">
        <f>IF(COUNT(D1039:V1039)=0,"",MIN(D1039:V1039))</f>
        <v/>
      </c>
      <c r="X1039" s="8">
        <f>IF(COUNT(D1039:V1039)=0,"",MEDIAN(D1039:V1039))</f>
        <v/>
      </c>
      <c r="Y1039" s="8">
        <f>IF(COUNT(D1039:V1039)=0,"",MAX(D1039:V1039))</f>
        <v/>
      </c>
      <c r="Z1039" s="9">
        <f>IF(OR(W1039="",W1039=0),"",(Y1039-W1039)/W1039)</f>
        <v/>
      </c>
      <c r="AA1039" s="7">
        <f>IF(COUNT(D1039:V1039)=0,"",INDEX($D$1:$V$1,MATCH(MIN(D1039:V1039),D1039:V1039,0)))</f>
        <v/>
      </c>
      <c r="AB1039" s="8" t="n">
        <v>600.86</v>
      </c>
      <c r="AC1039" s="10" t="n">
        <v>2</v>
      </c>
    </row>
    <row r="1040">
      <c r="A1040" s="7" t="inlineStr">
        <is>
          <t>MAT-19-013</t>
        </is>
      </c>
      <c r="B1040" s="4" t="inlineStr">
        <is>
          <t>Perfil cuadrado galvanizado 1 1/4" x 1 1/4" x 20 pies, pared 1.5 mm</t>
        </is>
      </c>
      <c r="C1040" s="7" t="inlineStr">
        <is>
          <t>unidad</t>
        </is>
      </c>
      <c r="D1040" s="8" t="n">
        <v>712.04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>
        <f>IF(COUNT(D1040:V1040)=0,"",MIN(D1040:V1040))</f>
        <v/>
      </c>
      <c r="X1040" s="8">
        <f>IF(COUNT(D1040:V1040)=0,"",MEDIAN(D1040:V1040))</f>
        <v/>
      </c>
      <c r="Y1040" s="8">
        <f>IF(COUNT(D1040:V1040)=0,"",MAX(D1040:V1040))</f>
        <v/>
      </c>
      <c r="Z1040" s="9">
        <f>IF(OR(W1040="",W1040=0),"",(Y1040-W1040)/W1040)</f>
        <v/>
      </c>
      <c r="AA1040" s="7">
        <f>IF(COUNT(D1040:V1040)=0,"",INDEX($D$1:$V$1,MATCH(MIN(D1040:V1040),D1040:V1040,0)))</f>
        <v/>
      </c>
      <c r="AB1040" s="8" t="n">
        <v>712.04</v>
      </c>
      <c r="AC1040" s="10" t="n">
        <v>1</v>
      </c>
    </row>
    <row r="1041">
      <c r="A1041" s="7" t="inlineStr">
        <is>
          <t>MAT-19-014</t>
        </is>
      </c>
      <c r="B1041" s="4" t="inlineStr">
        <is>
          <t>Perfil cuadrado galvanizado 1 1/2" x 1 1/2" x 20 pies, pared 1.2 mm</t>
        </is>
      </c>
      <c r="C1041" s="7" t="inlineStr">
        <is>
          <t>unidad</t>
        </is>
      </c>
      <c r="D1041" s="8" t="n">
        <v>648.6799999999999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>
        <v>642.8</v>
      </c>
      <c r="P1041" s="8" t="n"/>
      <c r="Q1041" s="8" t="n"/>
      <c r="R1041" s="8" t="n"/>
      <c r="S1041" s="8" t="n"/>
      <c r="T1041" s="8" t="n"/>
      <c r="U1041" s="8" t="n"/>
      <c r="V1041" s="8" t="n"/>
      <c r="W1041" s="8">
        <f>IF(COUNT(D1041:V1041)=0,"",MIN(D1041:V1041))</f>
        <v/>
      </c>
      <c r="X1041" s="8">
        <f>IF(COUNT(D1041:V1041)=0,"",MEDIAN(D1041:V1041))</f>
        <v/>
      </c>
      <c r="Y1041" s="8">
        <f>IF(COUNT(D1041:V1041)=0,"",MAX(D1041:V1041))</f>
        <v/>
      </c>
      <c r="Z1041" s="9">
        <f>IF(OR(W1041="",W1041=0),"",(Y1041-W1041)/W1041)</f>
        <v/>
      </c>
      <c r="AA1041" s="7">
        <f>IF(COUNT(D1041:V1041)=0,"",INDEX($D$1:$V$1,MATCH(MIN(D1041:V1041),D1041:V1041,0)))</f>
        <v/>
      </c>
      <c r="AB1041" s="8" t="n">
        <v>703.59</v>
      </c>
      <c r="AC1041" s="10" t="n">
        <v>2</v>
      </c>
    </row>
    <row r="1042">
      <c r="A1042" s="7" t="inlineStr">
        <is>
          <t>MAT-19-015</t>
        </is>
      </c>
      <c r="B1042" s="4" t="inlineStr">
        <is>
          <t>Perfil cuadrado galvanizado 1 1/2" x 1 1/2" x 20 pies, pared 1.6 mm</t>
        </is>
      </c>
      <c r="C1042" s="7" t="inlineStr">
        <is>
          <t>unidad</t>
        </is>
      </c>
      <c r="D1042" s="8" t="n">
        <v>814.53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>
        <v>810</v>
      </c>
      <c r="P1042" s="8" t="n"/>
      <c r="Q1042" s="8" t="n"/>
      <c r="R1042" s="8" t="n"/>
      <c r="S1042" s="8" t="n"/>
      <c r="T1042" s="8" t="n"/>
      <c r="U1042" s="8" t="n"/>
      <c r="V1042" s="8" t="n"/>
      <c r="W1042" s="8">
        <f>IF(COUNT(D1042:V1042)=0,"",MIN(D1042:V1042))</f>
        <v/>
      </c>
      <c r="X1042" s="8">
        <f>IF(COUNT(D1042:V1042)=0,"",MEDIAN(D1042:V1042))</f>
        <v/>
      </c>
      <c r="Y1042" s="8">
        <f>IF(COUNT(D1042:V1042)=0,"",MAX(D1042:V1042))</f>
        <v/>
      </c>
      <c r="Z1042" s="9">
        <f>IF(OR(W1042="",W1042=0),"",(Y1042-W1042)/W1042)</f>
        <v/>
      </c>
      <c r="AA1042" s="7">
        <f>IF(COUNT(D1042:V1042)=0,"",INDEX($D$1:$V$1,MATCH(MIN(D1042:V1042),D1042:V1042,0)))</f>
        <v/>
      </c>
      <c r="AB1042" s="8" t="n">
        <v>885.17</v>
      </c>
      <c r="AC1042" s="10" t="n">
        <v>2</v>
      </c>
    </row>
    <row r="1043">
      <c r="A1043" s="7" t="inlineStr">
        <is>
          <t>MAT-19-016</t>
        </is>
      </c>
      <c r="B1043" s="4" t="inlineStr">
        <is>
          <t>Perfil cuadrado galvanizado 2" x 2" x 20 pies, pared 1.6 mm</t>
        </is>
      </c>
      <c r="C1043" s="7" t="inlineStr">
        <is>
          <t>unidad</t>
        </is>
      </c>
      <c r="D1043" s="8" t="n">
        <v>1108.57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>
        <f>IF(COUNT(D1043:V1043)=0,"",MIN(D1043:V1043))</f>
        <v/>
      </c>
      <c r="X1043" s="8">
        <f>IF(COUNT(D1043:V1043)=0,"",MEDIAN(D1043:V1043))</f>
        <v/>
      </c>
      <c r="Y1043" s="8">
        <f>IF(COUNT(D1043:V1043)=0,"",MAX(D1043:V1043))</f>
        <v/>
      </c>
      <c r="Z1043" s="9">
        <f>IF(OR(W1043="",W1043=0),"",(Y1043-W1043)/W1043)</f>
        <v/>
      </c>
      <c r="AA1043" s="7">
        <f>IF(COUNT(D1043:V1043)=0,"",INDEX($D$1:$V$1,MATCH(MIN(D1043:V1043),D1043:V1043,0)))</f>
        <v/>
      </c>
      <c r="AB1043" s="8" t="n">
        <v>1108.57</v>
      </c>
      <c r="AC1043" s="10" t="n">
        <v>1</v>
      </c>
    </row>
    <row r="1044">
      <c r="A1044" s="7" t="inlineStr">
        <is>
          <t>MAT-19-017</t>
        </is>
      </c>
      <c r="B1044" s="4" t="inlineStr">
        <is>
          <t>Perfil cuadrado galvanizado 3" x 3" x 20 pies, pared 1.5 mm</t>
        </is>
      </c>
      <c r="C1044" s="7" t="inlineStr">
        <is>
          <t>unidad</t>
        </is>
      </c>
      <c r="D1044" s="8" t="n">
        <v>1707.91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>
        <v>1726</v>
      </c>
      <c r="P1044" s="8" t="n"/>
      <c r="Q1044" s="8" t="n"/>
      <c r="R1044" s="8" t="n"/>
      <c r="S1044" s="8" t="n"/>
      <c r="T1044" s="8" t="n"/>
      <c r="U1044" s="8" t="n"/>
      <c r="V1044" s="8" t="n"/>
      <c r="W1044" s="8">
        <f>IF(COUNT(D1044:V1044)=0,"",MIN(D1044:V1044))</f>
        <v/>
      </c>
      <c r="X1044" s="8">
        <f>IF(COUNT(D1044:V1044)=0,"",MEDIAN(D1044:V1044))</f>
        <v/>
      </c>
      <c r="Y1044" s="8">
        <f>IF(COUNT(D1044:V1044)=0,"",MAX(D1044:V1044))</f>
        <v/>
      </c>
      <c r="Z1044" s="9">
        <f>IF(OR(W1044="",W1044=0),"",(Y1044-W1044)/W1044)</f>
        <v/>
      </c>
      <c r="AA1044" s="7">
        <f>IF(COUNT(D1044:V1044)=0,"",INDEX($D$1:$V$1,MATCH(MIN(D1044:V1044),D1044:V1044,0)))</f>
        <v/>
      </c>
      <c r="AB1044" s="8" t="n">
        <v>1872.3</v>
      </c>
      <c r="AC1044" s="10" t="n">
        <v>2</v>
      </c>
    </row>
    <row r="1045">
      <c r="A1045" s="7" t="inlineStr">
        <is>
          <t>MAT-19-018</t>
        </is>
      </c>
      <c r="B1045" s="4" t="inlineStr">
        <is>
          <t>Perfil rectangular negro 3/4" x 1 1/2" x 20 pies, pared 1.2 mm</t>
        </is>
      </c>
      <c r="C1045" s="7" t="inlineStr">
        <is>
          <t>unidad</t>
        </is>
      </c>
      <c r="D1045" s="8" t="n">
        <v>402.51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>
        <f>IF(COUNT(D1045:V1045)=0,"",MIN(D1045:V1045))</f>
        <v/>
      </c>
      <c r="X1045" s="8">
        <f>IF(COUNT(D1045:V1045)=0,"",MEDIAN(D1045:V1045))</f>
        <v/>
      </c>
      <c r="Y1045" s="8">
        <f>IF(COUNT(D1045:V1045)=0,"",MAX(D1045:V1045))</f>
        <v/>
      </c>
      <c r="Z1045" s="9">
        <f>IF(OR(W1045="",W1045=0),"",(Y1045-W1045)/W1045)</f>
        <v/>
      </c>
      <c r="AA1045" s="7">
        <f>IF(COUNT(D1045:V1045)=0,"",INDEX($D$1:$V$1,MATCH(MIN(D1045:V1045),D1045:V1045,0)))</f>
        <v/>
      </c>
      <c r="AB1045" s="8" t="n">
        <v>402.51</v>
      </c>
      <c r="AC1045" s="10" t="n">
        <v>1</v>
      </c>
    </row>
    <row r="1046">
      <c r="A1046" s="7" t="inlineStr">
        <is>
          <t>MAT-19-019</t>
        </is>
      </c>
      <c r="B1046" s="4" t="inlineStr">
        <is>
          <t>Perfil rectangular negro 3/4" x 1 1/2" x 20 pies, pared 1.6 mm</t>
        </is>
      </c>
      <c r="C1046" s="7" t="inlineStr">
        <is>
          <t>unidad</t>
        </is>
      </c>
      <c r="D1046" s="8" t="n">
        <v>472.19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>
        <f>IF(COUNT(D1046:V1046)=0,"",MIN(D1046:V1046))</f>
        <v/>
      </c>
      <c r="X1046" s="8">
        <f>IF(COUNT(D1046:V1046)=0,"",MEDIAN(D1046:V1046))</f>
        <v/>
      </c>
      <c r="Y1046" s="8">
        <f>IF(COUNT(D1046:V1046)=0,"",MAX(D1046:V1046))</f>
        <v/>
      </c>
      <c r="Z1046" s="9">
        <f>IF(OR(W1046="",W1046=0),"",(Y1046-W1046)/W1046)</f>
        <v/>
      </c>
      <c r="AA1046" s="7">
        <f>IF(COUNT(D1046:V1046)=0,"",INDEX($D$1:$V$1,MATCH(MIN(D1046:V1046),D1046:V1046,0)))</f>
        <v/>
      </c>
      <c r="AB1046" s="8" t="n">
        <v>472.19</v>
      </c>
      <c r="AC1046" s="10" t="n">
        <v>1</v>
      </c>
    </row>
    <row r="1047">
      <c r="A1047" s="7" t="inlineStr">
        <is>
          <t>MAT-19-020</t>
        </is>
      </c>
      <c r="B1047" s="4" t="inlineStr">
        <is>
          <t>Perfil rectangular negro 2" x 1" x 20 pies, pared 1.2 mm</t>
        </is>
      </c>
      <c r="C1047" s="7" t="inlineStr">
        <is>
          <t>unidad</t>
        </is>
      </c>
      <c r="D1047" s="8" t="n">
        <v>542.15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8" t="n"/>
      <c r="U1047" s="8" t="n"/>
      <c r="V1047" s="8" t="n"/>
      <c r="W1047" s="8">
        <f>IF(COUNT(D1047:V1047)=0,"",MIN(D1047:V1047))</f>
        <v/>
      </c>
      <c r="X1047" s="8">
        <f>IF(COUNT(D1047:V1047)=0,"",MEDIAN(D1047:V1047))</f>
        <v/>
      </c>
      <c r="Y1047" s="8">
        <f>IF(COUNT(D1047:V1047)=0,"",MAX(D1047:V1047))</f>
        <v/>
      </c>
      <c r="Z1047" s="9">
        <f>IF(OR(W1047="",W1047=0),"",(Y1047-W1047)/W1047)</f>
        <v/>
      </c>
      <c r="AA1047" s="7">
        <f>IF(COUNT(D1047:V1047)=0,"",INDEX($D$1:$V$1,MATCH(MIN(D1047:V1047),D1047:V1047,0)))</f>
        <v/>
      </c>
      <c r="AB1047" s="8" t="n">
        <v>542.15</v>
      </c>
      <c r="AC1047" s="10" t="n">
        <v>1</v>
      </c>
    </row>
    <row r="1048">
      <c r="A1048" s="7" t="inlineStr">
        <is>
          <t>MAT-19-021</t>
        </is>
      </c>
      <c r="B1048" s="4" t="inlineStr">
        <is>
          <t>Perfil rectangular negro 2" x 1" x 20 pies, pared 1.6 mm</t>
        </is>
      </c>
      <c r="C1048" s="7" t="inlineStr">
        <is>
          <t>unidad</t>
        </is>
      </c>
      <c r="D1048" s="8" t="n">
        <v>639.71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8" t="n"/>
      <c r="U1048" s="8" t="n"/>
      <c r="V1048" s="8" t="n"/>
      <c r="W1048" s="8">
        <f>IF(COUNT(D1048:V1048)=0,"",MIN(D1048:V1048))</f>
        <v/>
      </c>
      <c r="X1048" s="8">
        <f>IF(COUNT(D1048:V1048)=0,"",MEDIAN(D1048:V1048))</f>
        <v/>
      </c>
      <c r="Y1048" s="8">
        <f>IF(COUNT(D1048:V1048)=0,"",MAX(D1048:V1048))</f>
        <v/>
      </c>
      <c r="Z1048" s="9">
        <f>IF(OR(W1048="",W1048=0),"",(Y1048-W1048)/W1048)</f>
        <v/>
      </c>
      <c r="AA1048" s="7">
        <f>IF(COUNT(D1048:V1048)=0,"",INDEX($D$1:$V$1,MATCH(MIN(D1048:V1048),D1048:V1048,0)))</f>
        <v/>
      </c>
      <c r="AB1048" s="8" t="n">
        <v>639.71</v>
      </c>
      <c r="AC1048" s="10" t="n">
        <v>1</v>
      </c>
    </row>
    <row r="1049">
      <c r="A1049" s="7" t="inlineStr">
        <is>
          <t>MAT-19-022</t>
        </is>
      </c>
      <c r="B1049" s="4" t="inlineStr">
        <is>
          <t>Perfil rectangular negro 2" x 3" x 20 pies, pared 1.6 mm</t>
        </is>
      </c>
      <c r="C1049" s="7" t="inlineStr">
        <is>
          <t>unidad</t>
        </is>
      </c>
      <c r="D1049" s="8" t="n">
        <v>1082.3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 t="n"/>
      <c r="W1049" s="8">
        <f>IF(COUNT(D1049:V1049)=0,"",MIN(D1049:V1049))</f>
        <v/>
      </c>
      <c r="X1049" s="8">
        <f>IF(COUNT(D1049:V1049)=0,"",MEDIAN(D1049:V1049))</f>
        <v/>
      </c>
      <c r="Y1049" s="8">
        <f>IF(COUNT(D1049:V1049)=0,"",MAX(D1049:V1049))</f>
        <v/>
      </c>
      <c r="Z1049" s="9">
        <f>IF(OR(W1049="",W1049=0),"",(Y1049-W1049)/W1049)</f>
        <v/>
      </c>
      <c r="AA1049" s="7">
        <f>IF(COUNT(D1049:V1049)=0,"",INDEX($D$1:$V$1,MATCH(MIN(D1049:V1049),D1049:V1049,0)))</f>
        <v/>
      </c>
      <c r="AB1049" s="8" t="n">
        <v>1082.3</v>
      </c>
      <c r="AC1049" s="10" t="n">
        <v>1</v>
      </c>
    </row>
    <row r="1050">
      <c r="A1050" s="7" t="inlineStr">
        <is>
          <t>MAT-19-023</t>
        </is>
      </c>
      <c r="B1050" s="4" t="inlineStr">
        <is>
          <t>Perfil rectangular negro 2" x 4" x 20 pies, pared 1.6 mm</t>
        </is>
      </c>
      <c r="C1050" s="7" t="inlineStr">
        <is>
          <t>unidad</t>
        </is>
      </c>
      <c r="D1050" s="8" t="n">
        <v>1349.04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>
        <f>IF(COUNT(D1050:V1050)=0,"",MIN(D1050:V1050))</f>
        <v/>
      </c>
      <c r="X1050" s="8">
        <f>IF(COUNT(D1050:V1050)=0,"",MEDIAN(D1050:V1050))</f>
        <v/>
      </c>
      <c r="Y1050" s="8">
        <f>IF(COUNT(D1050:V1050)=0,"",MAX(D1050:V1050))</f>
        <v/>
      </c>
      <c r="Z1050" s="9">
        <f>IF(OR(W1050="",W1050=0),"",(Y1050-W1050)/W1050)</f>
        <v/>
      </c>
      <c r="AA1050" s="7">
        <f>IF(COUNT(D1050:V1050)=0,"",INDEX($D$1:$V$1,MATCH(MIN(D1050:V1050),D1050:V1050,0)))</f>
        <v/>
      </c>
      <c r="AB1050" s="8" t="n">
        <v>1349.04</v>
      </c>
      <c r="AC1050" s="10" t="n">
        <v>1</v>
      </c>
    </row>
    <row r="1051">
      <c r="A1051" s="7" t="inlineStr">
        <is>
          <t>MAT-19-024</t>
        </is>
      </c>
      <c r="B1051" s="4" t="inlineStr">
        <is>
          <t>Perfil rectangular negro 3" x 1 1/2" x 20 pies, pared 1.6 mm</t>
        </is>
      </c>
      <c r="C1051" s="7" t="inlineStr">
        <is>
          <t>unidad</t>
        </is>
      </c>
      <c r="D1051" s="8" t="n">
        <v>973.59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>
        <f>IF(COUNT(D1051:V1051)=0,"",MIN(D1051:V1051))</f>
        <v/>
      </c>
      <c r="X1051" s="8">
        <f>IF(COUNT(D1051:V1051)=0,"",MEDIAN(D1051:V1051))</f>
        <v/>
      </c>
      <c r="Y1051" s="8">
        <f>IF(COUNT(D1051:V1051)=0,"",MAX(D1051:V1051))</f>
        <v/>
      </c>
      <c r="Z1051" s="9">
        <f>IF(OR(W1051="",W1051=0),"",(Y1051-W1051)/W1051)</f>
        <v/>
      </c>
      <c r="AA1051" s="7">
        <f>IF(COUNT(D1051:V1051)=0,"",INDEX($D$1:$V$1,MATCH(MIN(D1051:V1051),D1051:V1051,0)))</f>
        <v/>
      </c>
      <c r="AB1051" s="8" t="n">
        <v>973.59</v>
      </c>
      <c r="AC1051" s="10" t="n">
        <v>1</v>
      </c>
    </row>
    <row r="1052">
      <c r="A1052" s="7" t="inlineStr">
        <is>
          <t>MAT-19-025</t>
        </is>
      </c>
      <c r="B1052" s="4" t="inlineStr">
        <is>
          <t>Perfil rectangular galvanizado 3/4" x 1 1/2" x 20 pies, pared 1.2 mm</t>
        </is>
      </c>
      <c r="C1052" s="7" t="inlineStr">
        <is>
          <t>unidad</t>
        </is>
      </c>
      <c r="D1052" s="8" t="n">
        <v>492.8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8" t="n"/>
      <c r="U1052" s="8" t="n"/>
      <c r="V1052" s="8" t="n"/>
      <c r="W1052" s="8">
        <f>IF(COUNT(D1052:V1052)=0,"",MIN(D1052:V1052))</f>
        <v/>
      </c>
      <c r="X1052" s="8">
        <f>IF(COUNT(D1052:V1052)=0,"",MEDIAN(D1052:V1052))</f>
        <v/>
      </c>
      <c r="Y1052" s="8">
        <f>IF(COUNT(D1052:V1052)=0,"",MAX(D1052:V1052))</f>
        <v/>
      </c>
      <c r="Z1052" s="9">
        <f>IF(OR(W1052="",W1052=0),"",(Y1052-W1052)/W1052)</f>
        <v/>
      </c>
      <c r="AA1052" s="7">
        <f>IF(COUNT(D1052:V1052)=0,"",INDEX($D$1:$V$1,MATCH(MIN(D1052:V1052),D1052:V1052,0)))</f>
        <v/>
      </c>
      <c r="AB1052" s="8" t="n">
        <v>492.8</v>
      </c>
      <c r="AC1052" s="10" t="n">
        <v>1</v>
      </c>
    </row>
    <row r="1053">
      <c r="A1053" s="7" t="inlineStr">
        <is>
          <t>MAT-19-026</t>
        </is>
      </c>
      <c r="B1053" s="4" t="inlineStr">
        <is>
          <t>Perfil rectangular galvanizado 3/4" x 1 1/2" x 20 pies, pared 1.5 mm</t>
        </is>
      </c>
      <c r="C1053" s="7" t="inlineStr">
        <is>
          <t>unidad</t>
        </is>
      </c>
      <c r="D1053" s="8" t="n">
        <v>626.88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 t="n"/>
      <c r="U1053" s="8" t="n"/>
      <c r="V1053" s="8" t="n"/>
      <c r="W1053" s="8">
        <f>IF(COUNT(D1053:V1053)=0,"",MIN(D1053:V1053))</f>
        <v/>
      </c>
      <c r="X1053" s="8">
        <f>IF(COUNT(D1053:V1053)=0,"",MEDIAN(D1053:V1053))</f>
        <v/>
      </c>
      <c r="Y1053" s="8">
        <f>IF(COUNT(D1053:V1053)=0,"",MAX(D1053:V1053))</f>
        <v/>
      </c>
      <c r="Z1053" s="9">
        <f>IF(OR(W1053="",W1053=0),"",(Y1053-W1053)/W1053)</f>
        <v/>
      </c>
      <c r="AA1053" s="7">
        <f>IF(COUNT(D1053:V1053)=0,"",INDEX($D$1:$V$1,MATCH(MIN(D1053:V1053),D1053:V1053,0)))</f>
        <v/>
      </c>
      <c r="AB1053" s="8" t="n">
        <v>626.88</v>
      </c>
      <c r="AC1053" s="10" t="n">
        <v>1</v>
      </c>
    </row>
    <row r="1054">
      <c r="A1054" s="7" t="inlineStr">
        <is>
          <t>MAT-19-027</t>
        </is>
      </c>
      <c r="B1054" s="4" t="inlineStr">
        <is>
          <t>Perfil rectangular galvanizado 2" x 1" x 20 pies, pared 1.2 mm</t>
        </is>
      </c>
      <c r="C1054" s="7" t="inlineStr">
        <is>
          <t>unidad</t>
        </is>
      </c>
      <c r="D1054" s="8" t="n">
        <v>646.73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 t="n"/>
      <c r="R1054" s="8" t="n"/>
      <c r="S1054" s="8" t="n"/>
      <c r="T1054" s="8" t="n"/>
      <c r="U1054" s="8" t="n"/>
      <c r="V1054" s="8" t="n"/>
      <c r="W1054" s="8">
        <f>IF(COUNT(D1054:V1054)=0,"",MIN(D1054:V1054))</f>
        <v/>
      </c>
      <c r="X1054" s="8">
        <f>IF(COUNT(D1054:V1054)=0,"",MEDIAN(D1054:V1054))</f>
        <v/>
      </c>
      <c r="Y1054" s="8">
        <f>IF(COUNT(D1054:V1054)=0,"",MAX(D1054:V1054))</f>
        <v/>
      </c>
      <c r="Z1054" s="9">
        <f>IF(OR(W1054="",W1054=0),"",(Y1054-W1054)/W1054)</f>
        <v/>
      </c>
      <c r="AA1054" s="7">
        <f>IF(COUNT(D1054:V1054)=0,"",INDEX($D$1:$V$1,MATCH(MIN(D1054:V1054),D1054:V1054,0)))</f>
        <v/>
      </c>
      <c r="AB1054" s="8" t="n">
        <v>646.73</v>
      </c>
      <c r="AC1054" s="10" t="n">
        <v>1</v>
      </c>
    </row>
    <row r="1055">
      <c r="A1055" s="7" t="inlineStr">
        <is>
          <t>MAT-19-028</t>
        </is>
      </c>
      <c r="B1055" s="4" t="inlineStr">
        <is>
          <t>Perfil rectangular galvanizado 2" x 1" x 20 pies, pared 1.6 mm</t>
        </is>
      </c>
      <c r="C1055" s="7" t="inlineStr">
        <is>
          <t>unidad</t>
        </is>
      </c>
      <c r="D1055" s="8" t="n">
        <v>812.22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>
        <f>IF(COUNT(D1055:V1055)=0,"",MIN(D1055:V1055))</f>
        <v/>
      </c>
      <c r="X1055" s="8">
        <f>IF(COUNT(D1055:V1055)=0,"",MEDIAN(D1055:V1055))</f>
        <v/>
      </c>
      <c r="Y1055" s="8">
        <f>IF(COUNT(D1055:V1055)=0,"",MAX(D1055:V1055))</f>
        <v/>
      </c>
      <c r="Z1055" s="9">
        <f>IF(OR(W1055="",W1055=0),"",(Y1055-W1055)/W1055)</f>
        <v/>
      </c>
      <c r="AA1055" s="7">
        <f>IF(COUNT(D1055:V1055)=0,"",INDEX($D$1:$V$1,MATCH(MIN(D1055:V1055),D1055:V1055,0)))</f>
        <v/>
      </c>
      <c r="AB1055" s="8" t="n">
        <v>812.22</v>
      </c>
      <c r="AC1055" s="10" t="n">
        <v>1</v>
      </c>
    </row>
    <row r="1056">
      <c r="A1056" s="7" t="inlineStr">
        <is>
          <t>MAT-19-029</t>
        </is>
      </c>
      <c r="B1056" s="4" t="inlineStr">
        <is>
          <t>Perfil rectangular galvanizado 2" x 3" x 20 pies, pared 1.6 mm</t>
        </is>
      </c>
      <c r="C1056" s="7" t="inlineStr">
        <is>
          <t>unidad</t>
        </is>
      </c>
      <c r="D1056" s="8" t="n">
        <v>1400.9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 t="n"/>
      <c r="W1056" s="8">
        <f>IF(COUNT(D1056:V1056)=0,"",MIN(D1056:V1056))</f>
        <v/>
      </c>
      <c r="X1056" s="8">
        <f>IF(COUNT(D1056:V1056)=0,"",MEDIAN(D1056:V1056))</f>
        <v/>
      </c>
      <c r="Y1056" s="8">
        <f>IF(COUNT(D1056:V1056)=0,"",MAX(D1056:V1056))</f>
        <v/>
      </c>
      <c r="Z1056" s="9">
        <f>IF(OR(W1056="",W1056=0),"",(Y1056-W1056)/W1056)</f>
        <v/>
      </c>
      <c r="AA1056" s="7">
        <f>IF(COUNT(D1056:V1056)=0,"",INDEX($D$1:$V$1,MATCH(MIN(D1056:V1056),D1056:V1056,0)))</f>
        <v/>
      </c>
      <c r="AB1056" s="8" t="n">
        <v>1400.9</v>
      </c>
      <c r="AC1056" s="10" t="n">
        <v>1</v>
      </c>
    </row>
    <row r="1057">
      <c r="A1057" s="7" t="inlineStr">
        <is>
          <t>MAT-19-030</t>
        </is>
      </c>
      <c r="B1057" s="4" t="inlineStr">
        <is>
          <t>Perfil rectangular galvanizado 2" x 4" x 20 pies, pared 1.6 mm</t>
        </is>
      </c>
      <c r="C1057" s="7" t="inlineStr">
        <is>
          <t>unidad</t>
        </is>
      </c>
      <c r="D1057" s="8" t="n">
        <v>1695.85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 t="n"/>
      <c r="R1057" s="8" t="n"/>
      <c r="S1057" s="8" t="n"/>
      <c r="T1057" s="8" t="n"/>
      <c r="U1057" s="8" t="n"/>
      <c r="V1057" s="8" t="n"/>
      <c r="W1057" s="8">
        <f>IF(COUNT(D1057:V1057)=0,"",MIN(D1057:V1057))</f>
        <v/>
      </c>
      <c r="X1057" s="8">
        <f>IF(COUNT(D1057:V1057)=0,"",MEDIAN(D1057:V1057))</f>
        <v/>
      </c>
      <c r="Y1057" s="8">
        <f>IF(COUNT(D1057:V1057)=0,"",MAX(D1057:V1057))</f>
        <v/>
      </c>
      <c r="Z1057" s="9">
        <f>IF(OR(W1057="",W1057=0),"",(Y1057-W1057)/W1057)</f>
        <v/>
      </c>
      <c r="AA1057" s="7">
        <f>IF(COUNT(D1057:V1057)=0,"",INDEX($D$1:$V$1,MATCH(MIN(D1057:V1057),D1057:V1057,0)))</f>
        <v/>
      </c>
      <c r="AB1057" s="8" t="n">
        <v>1695.85</v>
      </c>
      <c r="AC1057" s="10" t="n">
        <v>1</v>
      </c>
    </row>
    <row r="1058">
      <c r="A1058" s="7" t="inlineStr">
        <is>
          <t>MAT-19-031</t>
        </is>
      </c>
      <c r="B1058" s="4" t="inlineStr">
        <is>
          <t>Perfil rectangular galvanizado 3" x 1 1/2" x 20 pies, pared 1.6 mm</t>
        </is>
      </c>
      <c r="C1058" s="7" t="inlineStr">
        <is>
          <t>unidad</t>
        </is>
      </c>
      <c r="D1058" s="8" t="n">
        <v>1275.97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>
        <f>IF(COUNT(D1058:V1058)=0,"",MIN(D1058:V1058))</f>
        <v/>
      </c>
      <c r="X1058" s="8">
        <f>IF(COUNT(D1058:V1058)=0,"",MEDIAN(D1058:V1058))</f>
        <v/>
      </c>
      <c r="Y1058" s="8">
        <f>IF(COUNT(D1058:V1058)=0,"",MAX(D1058:V1058))</f>
        <v/>
      </c>
      <c r="Z1058" s="9">
        <f>IF(OR(W1058="",W1058=0),"",(Y1058-W1058)/W1058)</f>
        <v/>
      </c>
      <c r="AA1058" s="7">
        <f>IF(COUNT(D1058:V1058)=0,"",INDEX($D$1:$V$1,MATCH(MIN(D1058:V1058),D1058:V1058,0)))</f>
        <v/>
      </c>
      <c r="AB1058" s="8" t="n">
        <v>1275.97</v>
      </c>
      <c r="AC1058" s="10" t="n">
        <v>1</v>
      </c>
    </row>
    <row r="1059">
      <c r="A1059" s="7" t="inlineStr">
        <is>
          <t>MAT-19-032</t>
        </is>
      </c>
      <c r="B1059" s="4" t="inlineStr">
        <is>
          <t>Tubo negro redondo 1/2" x 20 pies, pared 2.77 mm</t>
        </is>
      </c>
      <c r="C1059" s="7" t="inlineStr">
        <is>
          <t>unidad</t>
        </is>
      </c>
      <c r="D1059" s="8" t="n">
        <v>620.21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>
        <f>IF(COUNT(D1059:V1059)=0,"",MIN(D1059:V1059))</f>
        <v/>
      </c>
      <c r="X1059" s="8">
        <f>IF(COUNT(D1059:V1059)=0,"",MEDIAN(D1059:V1059))</f>
        <v/>
      </c>
      <c r="Y1059" s="8">
        <f>IF(COUNT(D1059:V1059)=0,"",MAX(D1059:V1059))</f>
        <v/>
      </c>
      <c r="Z1059" s="9">
        <f>IF(OR(W1059="",W1059=0),"",(Y1059-W1059)/W1059)</f>
        <v/>
      </c>
      <c r="AA1059" s="7">
        <f>IF(COUNT(D1059:V1059)=0,"",INDEX($D$1:$V$1,MATCH(MIN(D1059:V1059),D1059:V1059,0)))</f>
        <v/>
      </c>
      <c r="AB1059" s="8" t="n">
        <v>620.21</v>
      </c>
      <c r="AC1059" s="10" t="n">
        <v>1</v>
      </c>
    </row>
    <row r="1060">
      <c r="A1060" s="7" t="inlineStr">
        <is>
          <t>MAT-19-033</t>
        </is>
      </c>
      <c r="B1060" s="4" t="inlineStr">
        <is>
          <t>Tubo negro redondo 3/4" x 20 pies, pared 2.87 mm</t>
        </is>
      </c>
      <c r="C1060" s="7" t="inlineStr">
        <is>
          <t>unidad</t>
        </is>
      </c>
      <c r="D1060" s="8" t="n">
        <v>826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 t="n"/>
      <c r="T1060" s="8" t="n"/>
      <c r="U1060" s="8" t="n"/>
      <c r="V1060" s="8" t="n"/>
      <c r="W1060" s="8">
        <f>IF(COUNT(D1060:V1060)=0,"",MIN(D1060:V1060))</f>
        <v/>
      </c>
      <c r="X1060" s="8">
        <f>IF(COUNT(D1060:V1060)=0,"",MEDIAN(D1060:V1060))</f>
        <v/>
      </c>
      <c r="Y1060" s="8">
        <f>IF(COUNT(D1060:V1060)=0,"",MAX(D1060:V1060))</f>
        <v/>
      </c>
      <c r="Z1060" s="9">
        <f>IF(OR(W1060="",W1060=0),"",(Y1060-W1060)/W1060)</f>
        <v/>
      </c>
      <c r="AA1060" s="7">
        <f>IF(COUNT(D1060:V1060)=0,"",INDEX($D$1:$V$1,MATCH(MIN(D1060:V1060),D1060:V1060,0)))</f>
        <v/>
      </c>
      <c r="AB1060" s="8" t="n">
        <v>826</v>
      </c>
      <c r="AC1060" s="10" t="n">
        <v>1</v>
      </c>
    </row>
    <row r="1061">
      <c r="A1061" s="7" t="inlineStr">
        <is>
          <t>MAT-19-034</t>
        </is>
      </c>
      <c r="B1061" s="4" t="inlineStr">
        <is>
          <t>Tubo negro redondo 1" x 20 pies, pared 3.38 mm</t>
        </is>
      </c>
      <c r="C1061" s="7" t="inlineStr">
        <is>
          <t>unidad</t>
        </is>
      </c>
      <c r="D1061" s="8" t="n">
        <v>1206.29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>
        <f>IF(COUNT(D1061:V1061)=0,"",MIN(D1061:V1061))</f>
        <v/>
      </c>
      <c r="X1061" s="8">
        <f>IF(COUNT(D1061:V1061)=0,"",MEDIAN(D1061:V1061))</f>
        <v/>
      </c>
      <c r="Y1061" s="8">
        <f>IF(COUNT(D1061:V1061)=0,"",MAX(D1061:V1061))</f>
        <v/>
      </c>
      <c r="Z1061" s="9">
        <f>IF(OR(W1061="",W1061=0),"",(Y1061-W1061)/W1061)</f>
        <v/>
      </c>
      <c r="AA1061" s="7">
        <f>IF(COUNT(D1061:V1061)=0,"",INDEX($D$1:$V$1,MATCH(MIN(D1061:V1061),D1061:V1061,0)))</f>
        <v/>
      </c>
      <c r="AB1061" s="8" t="n">
        <v>1206.29</v>
      </c>
      <c r="AC1061" s="10" t="n">
        <v>1</v>
      </c>
    </row>
    <row r="1062">
      <c r="A1062" s="7" t="inlineStr">
        <is>
          <t>MAT-19-035</t>
        </is>
      </c>
      <c r="B1062" s="4" t="inlineStr">
        <is>
          <t>Tubo negro redondo 1 1/4" x 20 pies, pared 3.56 mm</t>
        </is>
      </c>
      <c r="C1062" s="7" t="inlineStr">
        <is>
          <t>unidad</t>
        </is>
      </c>
      <c r="D1062" s="8" t="n">
        <v>1507.57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>
        <f>IF(COUNT(D1062:V1062)=0,"",MIN(D1062:V1062))</f>
        <v/>
      </c>
      <c r="X1062" s="8">
        <f>IF(COUNT(D1062:V1062)=0,"",MEDIAN(D1062:V1062))</f>
        <v/>
      </c>
      <c r="Y1062" s="8">
        <f>IF(COUNT(D1062:V1062)=0,"",MAX(D1062:V1062))</f>
        <v/>
      </c>
      <c r="Z1062" s="9">
        <f>IF(OR(W1062="",W1062=0),"",(Y1062-W1062)/W1062)</f>
        <v/>
      </c>
      <c r="AA1062" s="7">
        <f>IF(COUNT(D1062:V1062)=0,"",INDEX($D$1:$V$1,MATCH(MIN(D1062:V1062),D1062:V1062,0)))</f>
        <v/>
      </c>
      <c r="AB1062" s="8" t="n">
        <v>1507.57</v>
      </c>
      <c r="AC1062" s="10" t="n">
        <v>1</v>
      </c>
    </row>
    <row r="1063">
      <c r="A1063" s="7" t="inlineStr">
        <is>
          <t>MAT-19-036</t>
        </is>
      </c>
      <c r="B1063" s="4" t="inlineStr">
        <is>
          <t>Tubo negro redondo 1 1/2" x 20 pies, pared 3.68 mm</t>
        </is>
      </c>
      <c r="C1063" s="7" t="inlineStr">
        <is>
          <t>unidad</t>
        </is>
      </c>
      <c r="D1063" s="8" t="n">
        <v>1952.51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>
        <f>IF(COUNT(D1063:V1063)=0,"",MIN(D1063:V1063))</f>
        <v/>
      </c>
      <c r="X1063" s="8">
        <f>IF(COUNT(D1063:V1063)=0,"",MEDIAN(D1063:V1063))</f>
        <v/>
      </c>
      <c r="Y1063" s="8">
        <f>IF(COUNT(D1063:V1063)=0,"",MAX(D1063:V1063))</f>
        <v/>
      </c>
      <c r="Z1063" s="9">
        <f>IF(OR(W1063="",W1063=0),"",(Y1063-W1063)/W1063)</f>
        <v/>
      </c>
      <c r="AA1063" s="7">
        <f>IF(COUNT(D1063:V1063)=0,"",INDEX($D$1:$V$1,MATCH(MIN(D1063:V1063),D1063:V1063,0)))</f>
        <v/>
      </c>
      <c r="AB1063" s="8" t="n">
        <v>1952.51</v>
      </c>
      <c r="AC1063" s="10" t="n">
        <v>1</v>
      </c>
    </row>
    <row r="1064">
      <c r="A1064" s="7" t="inlineStr">
        <is>
          <t>MAT-19-037</t>
        </is>
      </c>
      <c r="B1064" s="4" t="inlineStr">
        <is>
          <t>Tubo negro redondo 2" x 20 pies, pared 3.91 mm</t>
        </is>
      </c>
      <c r="C1064" s="7" t="inlineStr">
        <is>
          <t>unidad</t>
        </is>
      </c>
      <c r="D1064" s="8" t="n">
        <v>2634.08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>
        <f>IF(COUNT(D1064:V1064)=0,"",MIN(D1064:V1064))</f>
        <v/>
      </c>
      <c r="X1064" s="8">
        <f>IF(COUNT(D1064:V1064)=0,"",MEDIAN(D1064:V1064))</f>
        <v/>
      </c>
      <c r="Y1064" s="8">
        <f>IF(COUNT(D1064:V1064)=0,"",MAX(D1064:V1064))</f>
        <v/>
      </c>
      <c r="Z1064" s="9">
        <f>IF(OR(W1064="",W1064=0),"",(Y1064-W1064)/W1064)</f>
        <v/>
      </c>
      <c r="AA1064" s="7">
        <f>IF(COUNT(D1064:V1064)=0,"",INDEX($D$1:$V$1,MATCH(MIN(D1064:V1064),D1064:V1064,0)))</f>
        <v/>
      </c>
      <c r="AB1064" s="8" t="n">
        <v>2634.08</v>
      </c>
      <c r="AC1064" s="10" t="n">
        <v>1</v>
      </c>
    </row>
    <row r="1065">
      <c r="A1065" s="7" t="inlineStr">
        <is>
          <t>MAT-19-038</t>
        </is>
      </c>
      <c r="B1065" s="4" t="inlineStr">
        <is>
          <t>Tubo negro redondo 2 1/2" x 20 pies</t>
        </is>
      </c>
      <c r="C1065" s="7" t="inlineStr">
        <is>
          <t>unidad</t>
        </is>
      </c>
      <c r="D1065" s="8" t="n">
        <v>4173.42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>
        <f>IF(COUNT(D1065:V1065)=0,"",MIN(D1065:V1065))</f>
        <v/>
      </c>
      <c r="X1065" s="8">
        <f>IF(COUNT(D1065:V1065)=0,"",MEDIAN(D1065:V1065))</f>
        <v/>
      </c>
      <c r="Y1065" s="8">
        <f>IF(COUNT(D1065:V1065)=0,"",MAX(D1065:V1065))</f>
        <v/>
      </c>
      <c r="Z1065" s="9">
        <f>IF(OR(W1065="",W1065=0),"",(Y1065-W1065)/W1065)</f>
        <v/>
      </c>
      <c r="AA1065" s="7">
        <f>IF(COUNT(D1065:V1065)=0,"",INDEX($D$1:$V$1,MATCH(MIN(D1065:V1065),D1065:V1065,0)))</f>
        <v/>
      </c>
      <c r="AB1065" s="8" t="n">
        <v>4173.42</v>
      </c>
      <c r="AC1065" s="10" t="n">
        <v>1</v>
      </c>
    </row>
    <row r="1066">
      <c r="A1066" s="7" t="inlineStr">
        <is>
          <t>MAT-19-039</t>
        </is>
      </c>
      <c r="B1066" s="4" t="inlineStr">
        <is>
          <t>Tubo negro redondo 3" x 20 pies</t>
        </is>
      </c>
      <c r="C1066" s="7" t="inlineStr">
        <is>
          <t>unidad</t>
        </is>
      </c>
      <c r="D1066" s="8" t="n">
        <v>5029.28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>
        <f>IF(COUNT(D1066:V1066)=0,"",MIN(D1066:V1066))</f>
        <v/>
      </c>
      <c r="X1066" s="8">
        <f>IF(COUNT(D1066:V1066)=0,"",MEDIAN(D1066:V1066))</f>
        <v/>
      </c>
      <c r="Y1066" s="8">
        <f>IF(COUNT(D1066:V1066)=0,"",MAX(D1066:V1066))</f>
        <v/>
      </c>
      <c r="Z1066" s="9">
        <f>IF(OR(W1066="",W1066=0),"",(Y1066-W1066)/W1066)</f>
        <v/>
      </c>
      <c r="AA1066" s="7">
        <f>IF(COUNT(D1066:V1066)=0,"",INDEX($D$1:$V$1,MATCH(MIN(D1066:V1066),D1066:V1066,0)))</f>
        <v/>
      </c>
      <c r="AB1066" s="8" t="n">
        <v>5029.28</v>
      </c>
      <c r="AC1066" s="10" t="n">
        <v>1</v>
      </c>
    </row>
    <row r="1067">
      <c r="A1067" s="7" t="inlineStr">
        <is>
          <t>MAT-19-040</t>
        </is>
      </c>
      <c r="B1067" s="4" t="inlineStr">
        <is>
          <t>Tubo negro redondo 8" x 20 pies, pared 6 mm</t>
        </is>
      </c>
      <c r="C1067" s="7" t="inlineStr">
        <is>
          <t>unidad</t>
        </is>
      </c>
      <c r="D1067" s="8" t="n">
        <v>15250.64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>
        <f>IF(COUNT(D1067:V1067)=0,"",MIN(D1067:V1067))</f>
        <v/>
      </c>
      <c r="X1067" s="8">
        <f>IF(COUNT(D1067:V1067)=0,"",MEDIAN(D1067:V1067))</f>
        <v/>
      </c>
      <c r="Y1067" s="8">
        <f>IF(COUNT(D1067:V1067)=0,"",MAX(D1067:V1067))</f>
        <v/>
      </c>
      <c r="Z1067" s="9">
        <f>IF(OR(W1067="",W1067=0),"",(Y1067-W1067)/W1067)</f>
        <v/>
      </c>
      <c r="AA1067" s="7">
        <f>IF(COUNT(D1067:V1067)=0,"",INDEX($D$1:$V$1,MATCH(MIN(D1067:V1067),D1067:V1067,0)))</f>
        <v/>
      </c>
      <c r="AB1067" s="8" t="n">
        <v>15250.64</v>
      </c>
      <c r="AC1067" s="10" t="n">
        <v>1</v>
      </c>
    </row>
    <row r="1068">
      <c r="A1068" s="7" t="inlineStr">
        <is>
          <t>MAT-19-041</t>
        </is>
      </c>
      <c r="B1068" s="4" t="inlineStr">
        <is>
          <t>Tubo negro redondo 8" x 20 pies, pared 6.35 mm</t>
        </is>
      </c>
      <c r="C1068" s="7" t="inlineStr">
        <is>
          <t>unidad</t>
        </is>
      </c>
      <c r="D1068" s="8" t="n">
        <v>11671.14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>
        <f>IF(COUNT(D1068:V1068)=0,"",MIN(D1068:V1068))</f>
        <v/>
      </c>
      <c r="X1068" s="8">
        <f>IF(COUNT(D1068:V1068)=0,"",MEDIAN(D1068:V1068))</f>
        <v/>
      </c>
      <c r="Y1068" s="8">
        <f>IF(COUNT(D1068:V1068)=0,"",MAX(D1068:V1068))</f>
        <v/>
      </c>
      <c r="Z1068" s="9">
        <f>IF(OR(W1068="",W1068=0),"",(Y1068-W1068)/W1068)</f>
        <v/>
      </c>
      <c r="AA1068" s="7">
        <f>IF(COUNT(D1068:V1068)=0,"",INDEX($D$1:$V$1,MATCH(MIN(D1068:V1068),D1068:V1068,0)))</f>
        <v/>
      </c>
      <c r="AB1068" s="8" t="n">
        <v>11671.14</v>
      </c>
      <c r="AC1068" s="10" t="n">
        <v>1</v>
      </c>
    </row>
    <row r="1069">
      <c r="A1069" s="7" t="inlineStr">
        <is>
          <t>MAT-19-042</t>
        </is>
      </c>
      <c r="B1069" s="4" t="inlineStr">
        <is>
          <t>Tubo negro redondo 10" x 20 pies, pared 6.00 mm</t>
        </is>
      </c>
      <c r="C1069" s="7" t="inlineStr">
        <is>
          <t>unidad</t>
        </is>
      </c>
      <c r="D1069" s="8" t="n">
        <v>18313.02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>
        <f>IF(COUNT(D1069:V1069)=0,"",MIN(D1069:V1069))</f>
        <v/>
      </c>
      <c r="X1069" s="8">
        <f>IF(COUNT(D1069:V1069)=0,"",MEDIAN(D1069:V1069))</f>
        <v/>
      </c>
      <c r="Y1069" s="8">
        <f>IF(COUNT(D1069:V1069)=0,"",MAX(D1069:V1069))</f>
        <v/>
      </c>
      <c r="Z1069" s="9">
        <f>IF(OR(W1069="",W1069=0),"",(Y1069-W1069)/W1069)</f>
        <v/>
      </c>
      <c r="AA1069" s="7">
        <f>IF(COUNT(D1069:V1069)=0,"",INDEX($D$1:$V$1,MATCH(MIN(D1069:V1069),D1069:V1069,0)))</f>
        <v/>
      </c>
      <c r="AB1069" s="8" t="n">
        <v>18313.02</v>
      </c>
      <c r="AC1069" s="10" t="n">
        <v>1</v>
      </c>
    </row>
    <row r="1070">
      <c r="A1070" s="7" t="inlineStr">
        <is>
          <t>MAT-19-043</t>
        </is>
      </c>
      <c r="B1070" s="4" t="inlineStr">
        <is>
          <t>Tubo negro redondo 14" x 20 pies, pared 6 mm</t>
        </is>
      </c>
      <c r="C1070" s="7" t="inlineStr">
        <is>
          <t>unidad</t>
        </is>
      </c>
      <c r="D1070" s="8" t="n">
        <v>27695.11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>
        <f>IF(COUNT(D1070:V1070)=0,"",MIN(D1070:V1070))</f>
        <v/>
      </c>
      <c r="X1070" s="8">
        <f>IF(COUNT(D1070:V1070)=0,"",MEDIAN(D1070:V1070))</f>
        <v/>
      </c>
      <c r="Y1070" s="8">
        <f>IF(COUNT(D1070:V1070)=0,"",MAX(D1070:V1070))</f>
        <v/>
      </c>
      <c r="Z1070" s="9">
        <f>IF(OR(W1070="",W1070=0),"",(Y1070-W1070)/W1070)</f>
        <v/>
      </c>
      <c r="AA1070" s="7">
        <f>IF(COUNT(D1070:V1070)=0,"",INDEX($D$1:$V$1,MATCH(MIN(D1070:V1070),D1070:V1070,0)))</f>
        <v/>
      </c>
      <c r="AB1070" s="8" t="n">
        <v>27695.11</v>
      </c>
      <c r="AC1070" s="10" t="n">
        <v>1</v>
      </c>
    </row>
    <row r="1071">
      <c r="A1071" s="7" t="inlineStr">
        <is>
          <t>MAT-19-044</t>
        </is>
      </c>
      <c r="B1071" s="4" t="inlineStr">
        <is>
          <t>Tubo negro redondo 16" x 20 pies, pared 12.70 mm</t>
        </is>
      </c>
      <c r="C1071" s="7" t="inlineStr">
        <is>
          <t>unidad</t>
        </is>
      </c>
      <c r="D1071" s="8" t="n">
        <v>62026.36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>
        <f>IF(COUNT(D1071:V1071)=0,"",MIN(D1071:V1071))</f>
        <v/>
      </c>
      <c r="X1071" s="8">
        <f>IF(COUNT(D1071:V1071)=0,"",MEDIAN(D1071:V1071))</f>
        <v/>
      </c>
      <c r="Y1071" s="8">
        <f>IF(COUNT(D1071:V1071)=0,"",MAX(D1071:V1071))</f>
        <v/>
      </c>
      <c r="Z1071" s="9">
        <f>IF(OR(W1071="",W1071=0),"",(Y1071-W1071)/W1071)</f>
        <v/>
      </c>
      <c r="AA1071" s="7">
        <f>IF(COUNT(D1071:V1071)=0,"",INDEX($D$1:$V$1,MATCH(MIN(D1071:V1071),D1071:V1071,0)))</f>
        <v/>
      </c>
      <c r="AB1071" s="8" t="n">
        <v>62026.36</v>
      </c>
      <c r="AC1071" s="10" t="n">
        <v>1</v>
      </c>
    </row>
    <row r="1072">
      <c r="A1072" s="7" t="inlineStr">
        <is>
          <t>MAT-19-045</t>
        </is>
      </c>
      <c r="B1072" s="4" t="inlineStr">
        <is>
          <t>Correa galvanizada tipo Z 6" x 1/16" x 20 pies</t>
        </is>
      </c>
      <c r="C1072" s="7" t="inlineStr">
        <is>
          <t>unidad</t>
        </is>
      </c>
      <c r="D1072" s="8" t="n">
        <v>2658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>
        <f>IF(COUNT(D1072:V1072)=0,"",MIN(D1072:V1072))</f>
        <v/>
      </c>
      <c r="X1072" s="8">
        <f>IF(COUNT(D1072:V1072)=0,"",MEDIAN(D1072:V1072))</f>
        <v/>
      </c>
      <c r="Y1072" s="8">
        <f>IF(COUNT(D1072:V1072)=0,"",MAX(D1072:V1072))</f>
        <v/>
      </c>
      <c r="Z1072" s="9">
        <f>IF(OR(W1072="",W1072=0),"",(Y1072-W1072)/W1072)</f>
        <v/>
      </c>
      <c r="AA1072" s="7">
        <f>IF(COUNT(D1072:V1072)=0,"",INDEX($D$1:$V$1,MATCH(MIN(D1072:V1072),D1072:V1072,0)))</f>
        <v/>
      </c>
      <c r="AB1072" s="8" t="n">
        <v>2658</v>
      </c>
      <c r="AC1072" s="10" t="n">
        <v>1</v>
      </c>
    </row>
    <row r="1073">
      <c r="A1073" s="7" t="inlineStr">
        <is>
          <t>MAT-19-046</t>
        </is>
      </c>
      <c r="B1073" s="4" t="inlineStr">
        <is>
          <t>Correa galvanizada tipo Z 8" x 1/16" x 20 pies</t>
        </is>
      </c>
      <c r="C1073" s="7" t="inlineStr">
        <is>
          <t>unidad</t>
        </is>
      </c>
      <c r="D1073" s="8" t="n">
        <v>3039.2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>
        <f>IF(COUNT(D1073:V1073)=0,"",MIN(D1073:V1073))</f>
        <v/>
      </c>
      <c r="X1073" s="8">
        <f>IF(COUNT(D1073:V1073)=0,"",MEDIAN(D1073:V1073))</f>
        <v/>
      </c>
      <c r="Y1073" s="8">
        <f>IF(COUNT(D1073:V1073)=0,"",MAX(D1073:V1073))</f>
        <v/>
      </c>
      <c r="Z1073" s="9">
        <f>IF(OR(W1073="",W1073=0),"",(Y1073-W1073)/W1073)</f>
        <v/>
      </c>
      <c r="AA1073" s="7">
        <f>IF(COUNT(D1073:V1073)=0,"",INDEX($D$1:$V$1,MATCH(MIN(D1073:V1073),D1073:V1073,0)))</f>
        <v/>
      </c>
      <c r="AB1073" s="8" t="n">
        <v>3039.2</v>
      </c>
      <c r="AC1073" s="10" t="n">
        <v>1</v>
      </c>
    </row>
    <row r="1074">
      <c r="A1074" s="7" t="inlineStr">
        <is>
          <t>MAT-20-001</t>
        </is>
      </c>
      <c r="B1074" s="4" t="inlineStr">
        <is>
          <t>Angular de hierro negro 3/4" x 1/8" x 20 pies</t>
        </is>
      </c>
      <c r="C1074" s="7" t="inlineStr">
        <is>
          <t>unidad</t>
        </is>
      </c>
      <c r="D1074" s="8" t="n">
        <v>449.99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>
        <f>IF(COUNT(D1074:V1074)=0,"",MIN(D1074:V1074))</f>
        <v/>
      </c>
      <c r="X1074" s="8">
        <f>IF(COUNT(D1074:V1074)=0,"",MEDIAN(D1074:V1074))</f>
        <v/>
      </c>
      <c r="Y1074" s="8">
        <f>IF(COUNT(D1074:V1074)=0,"",MAX(D1074:V1074))</f>
        <v/>
      </c>
      <c r="Z1074" s="9">
        <f>IF(OR(W1074="",W1074=0),"",(Y1074-W1074)/W1074)</f>
        <v/>
      </c>
      <c r="AA1074" s="7">
        <f>IF(COUNT(D1074:V1074)=0,"",INDEX($D$1:$V$1,MATCH(MIN(D1074:V1074),D1074:V1074,0)))</f>
        <v/>
      </c>
      <c r="AB1074" s="8" t="n">
        <v>449.99</v>
      </c>
      <c r="AC1074" s="10" t="n">
        <v>1</v>
      </c>
    </row>
    <row r="1075">
      <c r="A1075" s="7" t="inlineStr">
        <is>
          <t>MAT-20-002</t>
        </is>
      </c>
      <c r="B1075" s="4" t="inlineStr">
        <is>
          <t>Angular de hierro negro 1" x 1/8" x 20 pies</t>
        </is>
      </c>
      <c r="C1075" s="7" t="inlineStr">
        <is>
          <t>unidad</t>
        </is>
      </c>
      <c r="D1075" s="8" t="n">
        <v>560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>
        <v>580</v>
      </c>
      <c r="P1075" s="8" t="n"/>
      <c r="Q1075" s="8" t="n"/>
      <c r="R1075" s="8" t="n"/>
      <c r="S1075" s="8" t="n"/>
      <c r="T1075" s="8" t="n"/>
      <c r="U1075" s="8" t="n"/>
      <c r="V1075" s="8" t="n"/>
      <c r="W1075" s="8">
        <f>IF(COUNT(D1075:V1075)=0,"",MIN(D1075:V1075))</f>
        <v/>
      </c>
      <c r="X1075" s="8">
        <f>IF(COUNT(D1075:V1075)=0,"",MEDIAN(D1075:V1075))</f>
        <v/>
      </c>
      <c r="Y1075" s="8">
        <f>IF(COUNT(D1075:V1075)=0,"",MAX(D1075:V1075))</f>
        <v/>
      </c>
      <c r="Z1075" s="9">
        <f>IF(OR(W1075="",W1075=0),"",(Y1075-W1075)/W1075)</f>
        <v/>
      </c>
      <c r="AA1075" s="7">
        <f>IF(COUNT(D1075:V1075)=0,"",INDEX($D$1:$V$1,MATCH(MIN(D1075:V1075),D1075:V1075,0)))</f>
        <v/>
      </c>
      <c r="AB1075" s="8" t="n">
        <v>622.2</v>
      </c>
      <c r="AC1075" s="10" t="n">
        <v>2</v>
      </c>
    </row>
    <row r="1076">
      <c r="A1076" s="7" t="inlineStr">
        <is>
          <t>MAT-20-003</t>
        </is>
      </c>
      <c r="B1076" s="4" t="inlineStr">
        <is>
          <t>Angular de hierro negro 1" x 3/16" x 20 pies</t>
        </is>
      </c>
      <c r="C1076" s="7" t="inlineStr">
        <is>
          <t>unidad</t>
        </is>
      </c>
      <c r="D1076" s="8" t="n">
        <v>812.01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>
        <v>869</v>
      </c>
      <c r="P1076" s="8" t="n"/>
      <c r="Q1076" s="8" t="n"/>
      <c r="R1076" s="8" t="n"/>
      <c r="S1076" s="8" t="n"/>
      <c r="T1076" s="8" t="n"/>
      <c r="U1076" s="8" t="n"/>
      <c r="V1076" s="8" t="n"/>
      <c r="W1076" s="8">
        <f>IF(COUNT(D1076:V1076)=0,"",MIN(D1076:V1076))</f>
        <v/>
      </c>
      <c r="X1076" s="8">
        <f>IF(COUNT(D1076:V1076)=0,"",MEDIAN(D1076:V1076))</f>
        <v/>
      </c>
      <c r="Y1076" s="8">
        <f>IF(COUNT(D1076:V1076)=0,"",MAX(D1076:V1076))</f>
        <v/>
      </c>
      <c r="Z1076" s="9">
        <f>IF(OR(W1076="",W1076=0),"",(Y1076-W1076)/W1076)</f>
        <v/>
      </c>
      <c r="AA1076" s="7">
        <f>IF(COUNT(D1076:V1076)=0,"",INDEX($D$1:$V$1,MATCH(MIN(D1076:V1076),D1076:V1076,0)))</f>
        <v/>
      </c>
      <c r="AB1076" s="8" t="n">
        <v>918.71</v>
      </c>
      <c r="AC1076" s="10" t="n">
        <v>2</v>
      </c>
    </row>
    <row r="1077">
      <c r="A1077" s="7" t="inlineStr">
        <is>
          <t>MAT-20-004</t>
        </is>
      </c>
      <c r="B1077" s="4" t="inlineStr">
        <is>
          <t>Angular de hierro negro 1" x 1/4" x 20 pies</t>
        </is>
      </c>
      <c r="C1077" s="7" t="inlineStr">
        <is>
          <t>unidad</t>
        </is>
      </c>
      <c r="D1077" s="8" t="n">
        <v>1163.48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>
        <f>IF(COUNT(D1077:V1077)=0,"",MIN(D1077:V1077))</f>
        <v/>
      </c>
      <c r="X1077" s="8">
        <f>IF(COUNT(D1077:V1077)=0,"",MEDIAN(D1077:V1077))</f>
        <v/>
      </c>
      <c r="Y1077" s="8">
        <f>IF(COUNT(D1077:V1077)=0,"",MAX(D1077:V1077))</f>
        <v/>
      </c>
      <c r="Z1077" s="9">
        <f>IF(OR(W1077="",W1077=0),"",(Y1077-W1077)/W1077)</f>
        <v/>
      </c>
      <c r="AA1077" s="7">
        <f>IF(COUNT(D1077:V1077)=0,"",INDEX($D$1:$V$1,MATCH(MIN(D1077:V1077),D1077:V1077,0)))</f>
        <v/>
      </c>
      <c r="AB1077" s="8" t="n">
        <v>1163.48</v>
      </c>
      <c r="AC1077" s="10" t="n">
        <v>1</v>
      </c>
    </row>
    <row r="1078">
      <c r="A1078" s="7" t="inlineStr">
        <is>
          <t>MAT-20-005</t>
        </is>
      </c>
      <c r="B1078" s="4" t="inlineStr">
        <is>
          <t>Angular de hierro negro 1 1/4" x 1/8" x 20 pies</t>
        </is>
      </c>
      <c r="C1078" s="7" t="inlineStr">
        <is>
          <t>unidad</t>
        </is>
      </c>
      <c r="D1078" s="8" t="n">
        <v>781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>
        <f>IF(COUNT(D1078:V1078)=0,"",MIN(D1078:V1078))</f>
        <v/>
      </c>
      <c r="X1078" s="8">
        <f>IF(COUNT(D1078:V1078)=0,"",MEDIAN(D1078:V1078))</f>
        <v/>
      </c>
      <c r="Y1078" s="8">
        <f>IF(COUNT(D1078:V1078)=0,"",MAX(D1078:V1078))</f>
        <v/>
      </c>
      <c r="Z1078" s="9">
        <f>IF(OR(W1078="",W1078=0),"",(Y1078-W1078)/W1078)</f>
        <v/>
      </c>
      <c r="AA1078" s="7">
        <f>IF(COUNT(D1078:V1078)=0,"",INDEX($D$1:$V$1,MATCH(MIN(D1078:V1078),D1078:V1078,0)))</f>
        <v/>
      </c>
      <c r="AB1078" s="8" t="n">
        <v>781</v>
      </c>
      <c r="AC1078" s="10" t="n">
        <v>1</v>
      </c>
    </row>
    <row r="1079">
      <c r="A1079" s="7" t="inlineStr">
        <is>
          <t>MAT-20-006</t>
        </is>
      </c>
      <c r="B1079" s="4" t="inlineStr">
        <is>
          <t>Angular de hierro negro 1 1/4" x 3/16" x 20 pies</t>
        </is>
      </c>
      <c r="C1079" s="7" t="inlineStr">
        <is>
          <t>unidad</t>
        </is>
      </c>
      <c r="D1079" s="8" t="n">
        <v>1036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>
        <v>1011.86</v>
      </c>
      <c r="P1079" s="8" t="n"/>
      <c r="Q1079" s="8" t="n"/>
      <c r="R1079" s="8" t="n"/>
      <c r="S1079" s="8" t="n"/>
      <c r="T1079" s="8" t="n"/>
      <c r="U1079" s="8" t="n"/>
      <c r="V1079" s="8" t="n"/>
      <c r="W1079" s="8">
        <f>IF(COUNT(D1079:V1079)=0,"",MIN(D1079:V1079))</f>
        <v/>
      </c>
      <c r="X1079" s="8">
        <f>IF(COUNT(D1079:V1079)=0,"",MEDIAN(D1079:V1079))</f>
        <v/>
      </c>
      <c r="Y1079" s="8">
        <f>IF(COUNT(D1079:V1079)=0,"",MAX(D1079:V1079))</f>
        <v/>
      </c>
      <c r="Z1079" s="9">
        <f>IF(OR(W1079="",W1079=0),"",(Y1079-W1079)/W1079)</f>
        <v/>
      </c>
      <c r="AA1079" s="7">
        <f>IF(COUNT(D1079:V1079)=0,"",INDEX($D$1:$V$1,MATCH(MIN(D1079:V1079),D1079:V1079,0)))</f>
        <v/>
      </c>
      <c r="AB1079" s="8" t="n">
        <v>1115</v>
      </c>
      <c r="AC1079" s="10" t="n">
        <v>2</v>
      </c>
    </row>
    <row r="1080">
      <c r="A1080" s="7" t="inlineStr">
        <is>
          <t>MAT-20-007</t>
        </is>
      </c>
      <c r="B1080" s="4" t="inlineStr">
        <is>
          <t>Angular de hierro negro 1 1/4" x 1/4" x 20 pies</t>
        </is>
      </c>
      <c r="C1080" s="7" t="inlineStr">
        <is>
          <t>unidad</t>
        </is>
      </c>
      <c r="D1080" s="8" t="n">
        <v>1344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>
        <f>IF(COUNT(D1080:V1080)=0,"",MIN(D1080:V1080))</f>
        <v/>
      </c>
      <c r="X1080" s="8">
        <f>IF(COUNT(D1080:V1080)=0,"",MEDIAN(D1080:V1080))</f>
        <v/>
      </c>
      <c r="Y1080" s="8">
        <f>IF(COUNT(D1080:V1080)=0,"",MAX(D1080:V1080))</f>
        <v/>
      </c>
      <c r="Z1080" s="9">
        <f>IF(OR(W1080="",W1080=0),"",(Y1080-W1080)/W1080)</f>
        <v/>
      </c>
      <c r="AA1080" s="7">
        <f>IF(COUNT(D1080:V1080)=0,"",INDEX($D$1:$V$1,MATCH(MIN(D1080:V1080),D1080:V1080,0)))</f>
        <v/>
      </c>
      <c r="AB1080" s="8" t="n">
        <v>1344</v>
      </c>
      <c r="AC1080" s="10" t="n">
        <v>1</v>
      </c>
    </row>
    <row r="1081">
      <c r="A1081" s="7" t="inlineStr">
        <is>
          <t>MAT-20-008</t>
        </is>
      </c>
      <c r="B1081" s="4" t="inlineStr">
        <is>
          <t>Angular de hierro negro 1 1/2" x 3/16" x 20 pies</t>
        </is>
      </c>
      <c r="C1081" s="7" t="inlineStr">
        <is>
          <t>unidad</t>
        </is>
      </c>
      <c r="D1081" s="8" t="n">
        <v>1260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>
        <v>1437</v>
      </c>
      <c r="P1081" s="8" t="n"/>
      <c r="Q1081" s="8" t="n"/>
      <c r="R1081" s="8" t="n"/>
      <c r="S1081" s="8" t="n"/>
      <c r="T1081" s="8" t="n"/>
      <c r="U1081" s="8" t="n"/>
      <c r="V1081" s="8" t="n"/>
      <c r="W1081" s="8">
        <f>IF(COUNT(D1081:V1081)=0,"",MIN(D1081:V1081))</f>
        <v/>
      </c>
      <c r="X1081" s="8">
        <f>IF(COUNT(D1081:V1081)=0,"",MEDIAN(D1081:V1081))</f>
        <v/>
      </c>
      <c r="Y1081" s="8">
        <f>IF(COUNT(D1081:V1081)=0,"",MAX(D1081:V1081))</f>
        <v/>
      </c>
      <c r="Z1081" s="9">
        <f>IF(OR(W1081="",W1081=0),"",(Y1081-W1081)/W1081)</f>
        <v/>
      </c>
      <c r="AA1081" s="7">
        <f>IF(COUNT(D1081:V1081)=0,"",INDEX($D$1:$V$1,MATCH(MIN(D1081:V1081),D1081:V1081,0)))</f>
        <v/>
      </c>
      <c r="AB1081" s="8" t="n">
        <v>1477.83</v>
      </c>
      <c r="AC1081" s="10" t="n">
        <v>2</v>
      </c>
    </row>
    <row r="1082">
      <c r="A1082" s="7" t="inlineStr">
        <is>
          <t>MAT-20-009</t>
        </is>
      </c>
      <c r="B1082" s="4" t="inlineStr">
        <is>
          <t>Angular de hierro negro 1 1/2" x 1/4" x 20 pies</t>
        </is>
      </c>
      <c r="C1082" s="7" t="inlineStr">
        <is>
          <t>unidad</t>
        </is>
      </c>
      <c r="D1082" s="8" t="n">
        <v>1638.01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>
        <v>1698</v>
      </c>
      <c r="P1082" s="8" t="n"/>
      <c r="Q1082" s="8" t="n"/>
      <c r="R1082" s="8" t="n"/>
      <c r="S1082" s="8" t="n"/>
      <c r="T1082" s="8" t="n"/>
      <c r="U1082" s="8" t="n"/>
      <c r="V1082" s="8" t="n"/>
      <c r="W1082" s="8">
        <f>IF(COUNT(D1082:V1082)=0,"",MIN(D1082:V1082))</f>
        <v/>
      </c>
      <c r="X1082" s="8">
        <f>IF(COUNT(D1082:V1082)=0,"",MEDIAN(D1082:V1082))</f>
        <v/>
      </c>
      <c r="Y1082" s="8">
        <f>IF(COUNT(D1082:V1082)=0,"",MAX(D1082:V1082))</f>
        <v/>
      </c>
      <c r="Z1082" s="9">
        <f>IF(OR(W1082="",W1082=0),"",(Y1082-W1082)/W1082)</f>
        <v/>
      </c>
      <c r="AA1082" s="7">
        <f>IF(COUNT(D1082:V1082)=0,"",INDEX($D$1:$V$1,MATCH(MIN(D1082:V1082),D1082:V1082,0)))</f>
        <v/>
      </c>
      <c r="AB1082" s="8" t="n">
        <v>1820.82</v>
      </c>
      <c r="AC1082" s="10" t="n">
        <v>2</v>
      </c>
    </row>
    <row r="1083">
      <c r="A1083" s="7" t="inlineStr">
        <is>
          <t>MAT-20-010</t>
        </is>
      </c>
      <c r="B1083" s="4" t="inlineStr">
        <is>
          <t>Angular de hierro negro 2" x 1/8" x 20 pies</t>
        </is>
      </c>
      <c r="C1083" s="7" t="inlineStr">
        <is>
          <t>unidad</t>
        </is>
      </c>
      <c r="D1083" s="8" t="n">
        <v>1155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>
        <v>1048</v>
      </c>
      <c r="P1083" s="8" t="n"/>
      <c r="Q1083" s="8" t="n"/>
      <c r="R1083" s="8" t="n"/>
      <c r="S1083" s="8" t="n"/>
      <c r="T1083" s="8" t="n"/>
      <c r="U1083" s="8" t="n"/>
      <c r="V1083" s="8" t="n"/>
      <c r="W1083" s="8">
        <f>IF(COUNT(D1083:V1083)=0,"",MIN(D1083:V1083))</f>
        <v/>
      </c>
      <c r="X1083" s="8">
        <f>IF(COUNT(D1083:V1083)=0,"",MEDIAN(D1083:V1083))</f>
        <v/>
      </c>
      <c r="Y1083" s="8">
        <f>IF(COUNT(D1083:V1083)=0,"",MAX(D1083:V1083))</f>
        <v/>
      </c>
      <c r="Z1083" s="9">
        <f>IF(OR(W1083="",W1083=0),"",(Y1083-W1083)/W1083)</f>
        <v/>
      </c>
      <c r="AA1083" s="7">
        <f>IF(COUNT(D1083:V1083)=0,"",INDEX($D$1:$V$1,MATCH(MIN(D1083:V1083),D1083:V1083,0)))</f>
        <v/>
      </c>
      <c r="AB1083" s="8" t="n">
        <v>1195.82</v>
      </c>
      <c r="AC1083" s="10" t="n">
        <v>2</v>
      </c>
    </row>
    <row r="1084">
      <c r="A1084" s="7" t="inlineStr">
        <is>
          <t>MAT-20-011</t>
        </is>
      </c>
      <c r="B1084" s="4" t="inlineStr">
        <is>
          <t>Angular de hierro negro 2" x 3/16" x 20 pies</t>
        </is>
      </c>
      <c r="C1084" s="7" t="inlineStr">
        <is>
          <t>unidad</t>
        </is>
      </c>
      <c r="D1084" s="8" t="n">
        <v>1708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>
        <v>1971</v>
      </c>
      <c r="P1084" s="8" t="n"/>
      <c r="Q1084" s="8" t="n"/>
      <c r="R1084" s="8" t="n"/>
      <c r="S1084" s="8" t="n"/>
      <c r="T1084" s="8" t="n"/>
      <c r="U1084" s="8" t="n"/>
      <c r="V1084" s="8" t="n"/>
      <c r="W1084" s="8">
        <f>IF(COUNT(D1084:V1084)=0,"",MIN(D1084:V1084))</f>
        <v/>
      </c>
      <c r="X1084" s="8">
        <f>IF(COUNT(D1084:V1084)=0,"",MEDIAN(D1084:V1084))</f>
        <v/>
      </c>
      <c r="Y1084" s="8">
        <f>IF(COUNT(D1084:V1084)=0,"",MAX(D1084:V1084))</f>
        <v/>
      </c>
      <c r="Z1084" s="9">
        <f>IF(OR(W1084="",W1084=0),"",(Y1084-W1084)/W1084)</f>
        <v/>
      </c>
      <c r="AA1084" s="7">
        <f>IF(COUNT(D1084:V1084)=0,"",INDEX($D$1:$V$1,MATCH(MIN(D1084:V1084),D1084:V1084,0)))</f>
        <v/>
      </c>
      <c r="AB1084" s="8" t="n">
        <v>2016.89</v>
      </c>
      <c r="AC1084" s="10" t="n">
        <v>2</v>
      </c>
    </row>
    <row r="1085">
      <c r="A1085" s="7" t="inlineStr">
        <is>
          <t>MAT-20-012</t>
        </is>
      </c>
      <c r="B1085" s="4" t="inlineStr">
        <is>
          <t>Angular de hierro negro 2" x 1/4" x 20 pies</t>
        </is>
      </c>
      <c r="C1085" s="7" t="inlineStr">
        <is>
          <t>unidad</t>
        </is>
      </c>
      <c r="D1085" s="8" t="n">
        <v>2324.69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>
        <v>2539</v>
      </c>
      <c r="P1085" s="8" t="n"/>
      <c r="Q1085" s="8" t="n"/>
      <c r="R1085" s="8" t="n"/>
      <c r="S1085" s="8" t="n"/>
      <c r="T1085" s="8" t="n"/>
      <c r="U1085" s="8" t="n"/>
      <c r="V1085" s="8" t="n"/>
      <c r="W1085" s="8">
        <f>IF(COUNT(D1085:V1085)=0,"",MIN(D1085:V1085))</f>
        <v/>
      </c>
      <c r="X1085" s="8">
        <f>IF(COUNT(D1085:V1085)=0,"",MEDIAN(D1085:V1085))</f>
        <v/>
      </c>
      <c r="Y1085" s="8">
        <f>IF(COUNT(D1085:V1085)=0,"",MAX(D1085:V1085))</f>
        <v/>
      </c>
      <c r="Z1085" s="9">
        <f>IF(OR(W1085="",W1085=0),"",(Y1085-W1085)/W1085)</f>
        <v/>
      </c>
      <c r="AA1085" s="7">
        <f>IF(COUNT(D1085:V1085)=0,"",INDEX($D$1:$V$1,MATCH(MIN(D1085:V1085),D1085:V1085,0)))</f>
        <v/>
      </c>
      <c r="AB1085" s="8" t="n">
        <v>2660.36</v>
      </c>
      <c r="AC1085" s="10" t="n">
        <v>2</v>
      </c>
    </row>
    <row r="1086">
      <c r="A1086" s="7" t="inlineStr">
        <is>
          <t>MAT-20-013</t>
        </is>
      </c>
      <c r="B1086" s="4" t="inlineStr">
        <is>
          <t>Angular de hierro negro 2" x 3/8" x 20 pies</t>
        </is>
      </c>
      <c r="C1086" s="7" t="inlineStr">
        <is>
          <t>unidad</t>
        </is>
      </c>
      <c r="D1086" s="8" t="n">
        <v>3290.01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>
        <f>IF(COUNT(D1086:V1086)=0,"",MIN(D1086:V1086))</f>
        <v/>
      </c>
      <c r="X1086" s="8">
        <f>IF(COUNT(D1086:V1086)=0,"",MEDIAN(D1086:V1086))</f>
        <v/>
      </c>
      <c r="Y1086" s="8">
        <f>IF(COUNT(D1086:V1086)=0,"",MAX(D1086:V1086))</f>
        <v/>
      </c>
      <c r="Z1086" s="9">
        <f>IF(OR(W1086="",W1086=0),"",(Y1086-W1086)/W1086)</f>
        <v/>
      </c>
      <c r="AA1086" s="7">
        <f>IF(COUNT(D1086:V1086)=0,"",INDEX($D$1:$V$1,MATCH(MIN(D1086:V1086),D1086:V1086,0)))</f>
        <v/>
      </c>
      <c r="AB1086" s="8" t="n">
        <v>3290.01</v>
      </c>
      <c r="AC1086" s="10" t="n">
        <v>1</v>
      </c>
    </row>
    <row r="1087">
      <c r="A1087" s="7" t="inlineStr">
        <is>
          <t>MAT-20-014</t>
        </is>
      </c>
      <c r="B1087" s="4" t="inlineStr">
        <is>
          <t>Angular de hierro negro 2 1/2" x 3/16" x 20 pies</t>
        </is>
      </c>
      <c r="C1087" s="7" t="inlineStr">
        <is>
          <t>unidad</t>
        </is>
      </c>
      <c r="D1087" s="8" t="n">
        <v>2149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>
        <f>IF(COUNT(D1087:V1087)=0,"",MIN(D1087:V1087))</f>
        <v/>
      </c>
      <c r="X1087" s="8">
        <f>IF(COUNT(D1087:V1087)=0,"",MEDIAN(D1087:V1087))</f>
        <v/>
      </c>
      <c r="Y1087" s="8">
        <f>IF(COUNT(D1087:V1087)=0,"",MAX(D1087:V1087))</f>
        <v/>
      </c>
      <c r="Z1087" s="9">
        <f>IF(OR(W1087="",W1087=0),"",(Y1087-W1087)/W1087)</f>
        <v/>
      </c>
      <c r="AA1087" s="7">
        <f>IF(COUNT(D1087:V1087)=0,"",INDEX($D$1:$V$1,MATCH(MIN(D1087:V1087),D1087:V1087,0)))</f>
        <v/>
      </c>
      <c r="AB1087" s="8" t="n">
        <v>2149</v>
      </c>
      <c r="AC1087" s="10" t="n">
        <v>1</v>
      </c>
    </row>
    <row r="1088">
      <c r="A1088" s="7" t="inlineStr">
        <is>
          <t>MAT-20-015</t>
        </is>
      </c>
      <c r="B1088" s="4" t="inlineStr">
        <is>
          <t>Angular de hierro negro 2 1/2" x 1/4" x 20 pies</t>
        </is>
      </c>
      <c r="C1088" s="7" t="inlineStr">
        <is>
          <t>unidad</t>
        </is>
      </c>
      <c r="D1088" s="8" t="n">
        <v>2870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>
        <v>2744</v>
      </c>
      <c r="P1088" s="8" t="n"/>
      <c r="Q1088" s="8" t="n"/>
      <c r="R1088" s="8" t="n"/>
      <c r="S1088" s="8" t="n"/>
      <c r="T1088" s="8" t="n"/>
      <c r="U1088" s="8" t="n"/>
      <c r="V1088" s="8" t="n"/>
      <c r="W1088" s="8">
        <f>IF(COUNT(D1088:V1088)=0,"",MIN(D1088:V1088))</f>
        <v/>
      </c>
      <c r="X1088" s="8">
        <f>IF(COUNT(D1088:V1088)=0,"",MEDIAN(D1088:V1088))</f>
        <v/>
      </c>
      <c r="Y1088" s="8">
        <f>IF(COUNT(D1088:V1088)=0,"",MAX(D1088:V1088))</f>
        <v/>
      </c>
      <c r="Z1088" s="9">
        <f>IF(OR(W1088="",W1088=0),"",(Y1088-W1088)/W1088)</f>
        <v/>
      </c>
      <c r="AA1088" s="7">
        <f>IF(COUNT(D1088:V1088)=0,"",INDEX($D$1:$V$1,MATCH(MIN(D1088:V1088),D1088:V1088,0)))</f>
        <v/>
      </c>
      <c r="AB1088" s="8" t="n">
        <v>3053.96</v>
      </c>
      <c r="AC1088" s="10" t="n">
        <v>2</v>
      </c>
    </row>
    <row r="1089">
      <c r="A1089" s="7" t="inlineStr">
        <is>
          <t>MAT-20-016</t>
        </is>
      </c>
      <c r="B1089" s="4" t="inlineStr">
        <is>
          <t>Angular de hierro negro 2 1/2" x 3/8" x 20 pies</t>
        </is>
      </c>
      <c r="C1089" s="7" t="inlineStr">
        <is>
          <t>unidad</t>
        </is>
      </c>
      <c r="D1089" s="8" t="n">
        <v>4130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>
        <f>IF(COUNT(D1089:V1089)=0,"",MIN(D1089:V1089))</f>
        <v/>
      </c>
      <c r="X1089" s="8">
        <f>IF(COUNT(D1089:V1089)=0,"",MEDIAN(D1089:V1089))</f>
        <v/>
      </c>
      <c r="Y1089" s="8">
        <f>IF(COUNT(D1089:V1089)=0,"",MAX(D1089:V1089))</f>
        <v/>
      </c>
      <c r="Z1089" s="9">
        <f>IF(OR(W1089="",W1089=0),"",(Y1089-W1089)/W1089)</f>
        <v/>
      </c>
      <c r="AA1089" s="7">
        <f>IF(COUNT(D1089:V1089)=0,"",INDEX($D$1:$V$1,MATCH(MIN(D1089:V1089),D1089:V1089,0)))</f>
        <v/>
      </c>
      <c r="AB1089" s="8" t="n">
        <v>4130</v>
      </c>
      <c r="AC1089" s="10" t="n">
        <v>1</v>
      </c>
    </row>
    <row r="1090">
      <c r="A1090" s="7" t="inlineStr">
        <is>
          <t>MAT-20-017</t>
        </is>
      </c>
      <c r="B1090" s="4" t="inlineStr">
        <is>
          <t>Angular de hierro negro 3" x 1/4" x 20 pies</t>
        </is>
      </c>
      <c r="C1090" s="7" t="inlineStr">
        <is>
          <t>unidad</t>
        </is>
      </c>
      <c r="D1090" s="8" t="n">
        <v>3430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>
        <v>3127</v>
      </c>
      <c r="P1090" s="8" t="n"/>
      <c r="Q1090" s="8" t="n"/>
      <c r="R1090" s="8" t="n"/>
      <c r="S1090" s="8" t="n"/>
      <c r="T1090" s="8" t="n"/>
      <c r="U1090" s="8" t="n"/>
      <c r="V1090" s="8" t="n"/>
      <c r="W1090" s="8">
        <f>IF(COUNT(D1090:V1090)=0,"",MIN(D1090:V1090))</f>
        <v/>
      </c>
      <c r="X1090" s="8">
        <f>IF(COUNT(D1090:V1090)=0,"",MEDIAN(D1090:V1090))</f>
        <v/>
      </c>
      <c r="Y1090" s="8">
        <f>IF(COUNT(D1090:V1090)=0,"",MAX(D1090:V1090))</f>
        <v/>
      </c>
      <c r="Z1090" s="9">
        <f>IF(OR(W1090="",W1090=0),"",(Y1090-W1090)/W1090)</f>
        <v/>
      </c>
      <c r="AA1090" s="7">
        <f>IF(COUNT(D1090:V1090)=0,"",INDEX($D$1:$V$1,MATCH(MIN(D1090:V1090),D1090:V1090,0)))</f>
        <v/>
      </c>
      <c r="AB1090" s="8" t="n">
        <v>3559.93</v>
      </c>
      <c r="AC1090" s="10" t="n">
        <v>2</v>
      </c>
    </row>
    <row r="1091">
      <c r="A1091" s="7" t="inlineStr">
        <is>
          <t>MAT-20-018</t>
        </is>
      </c>
      <c r="B1091" s="4" t="inlineStr">
        <is>
          <t>Angular de hierro negro 3" x 3/8" x 20 pies</t>
        </is>
      </c>
      <c r="C1091" s="7" t="inlineStr">
        <is>
          <t>unidad</t>
        </is>
      </c>
      <c r="D1091" s="8" t="n">
        <v>5622.2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>
        <f>IF(COUNT(D1091:V1091)=0,"",MIN(D1091:V1091))</f>
        <v/>
      </c>
      <c r="X1091" s="8">
        <f>IF(COUNT(D1091:V1091)=0,"",MEDIAN(D1091:V1091))</f>
        <v/>
      </c>
      <c r="Y1091" s="8">
        <f>IF(COUNT(D1091:V1091)=0,"",MAX(D1091:V1091))</f>
        <v/>
      </c>
      <c r="Z1091" s="9">
        <f>IF(OR(W1091="",W1091=0),"",(Y1091-W1091)/W1091)</f>
        <v/>
      </c>
      <c r="AA1091" s="7">
        <f>IF(COUNT(D1091:V1091)=0,"",INDEX($D$1:$V$1,MATCH(MIN(D1091:V1091),D1091:V1091,0)))</f>
        <v/>
      </c>
      <c r="AB1091" s="8" t="n">
        <v>5622.2</v>
      </c>
      <c r="AC1091" s="10" t="n">
        <v>1</v>
      </c>
    </row>
    <row r="1092">
      <c r="A1092" s="7" t="inlineStr">
        <is>
          <t>MAT-20-019</t>
        </is>
      </c>
      <c r="B1092" s="4" t="inlineStr">
        <is>
          <t>Angular de hierro negro 4" x 1/4" x 20 pies</t>
        </is>
      </c>
      <c r="C1092" s="7" t="inlineStr">
        <is>
          <t>unidad</t>
        </is>
      </c>
      <c r="D1092" s="8" t="n">
        <v>4117.73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>
        <v>5306</v>
      </c>
      <c r="P1092" s="8" t="n"/>
      <c r="Q1092" s="8" t="n"/>
      <c r="R1092" s="8" t="n"/>
      <c r="S1092" s="8" t="n"/>
      <c r="T1092" s="8" t="n"/>
      <c r="U1092" s="8" t="n"/>
      <c r="V1092" s="8" t="n"/>
      <c r="W1092" s="8">
        <f>IF(COUNT(D1092:V1092)=0,"",MIN(D1092:V1092))</f>
        <v/>
      </c>
      <c r="X1092" s="8">
        <f>IF(COUNT(D1092:V1092)=0,"",MEDIAN(D1092:V1092))</f>
        <v/>
      </c>
      <c r="Y1092" s="8">
        <f>IF(COUNT(D1092:V1092)=0,"",MAX(D1092:V1092))</f>
        <v/>
      </c>
      <c r="Z1092" s="9">
        <f>IF(OR(W1092="",W1092=0),"",(Y1092-W1092)/W1092)</f>
        <v/>
      </c>
      <c r="AA1092" s="7">
        <f>IF(COUNT(D1092:V1092)=0,"",INDEX($D$1:$V$1,MATCH(MIN(D1092:V1092),D1092:V1092,0)))</f>
        <v/>
      </c>
      <c r="AB1092" s="8" t="n">
        <v>5189.41</v>
      </c>
      <c r="AC1092" s="10" t="n">
        <v>2</v>
      </c>
    </row>
    <row r="1093">
      <c r="A1093" s="7" t="inlineStr">
        <is>
          <t>MAT-20-020</t>
        </is>
      </c>
      <c r="B1093" s="4" t="inlineStr">
        <is>
          <t>Angular de hierro negro 4" x 1/2" x 20 pies</t>
        </is>
      </c>
      <c r="C1093" s="7" t="inlineStr">
        <is>
          <t>unidad</t>
        </is>
      </c>
      <c r="D1093" s="8" t="n">
        <v>9995.309999999999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 t="n"/>
      <c r="W1093" s="8">
        <f>IF(COUNT(D1093:V1093)=0,"",MIN(D1093:V1093))</f>
        <v/>
      </c>
      <c r="X1093" s="8">
        <f>IF(COUNT(D1093:V1093)=0,"",MEDIAN(D1093:V1093))</f>
        <v/>
      </c>
      <c r="Y1093" s="8">
        <f>IF(COUNT(D1093:V1093)=0,"",MAX(D1093:V1093))</f>
        <v/>
      </c>
      <c r="Z1093" s="9">
        <f>IF(OR(W1093="",W1093=0),"",(Y1093-W1093)/W1093)</f>
        <v/>
      </c>
      <c r="AA1093" s="7">
        <f>IF(COUNT(D1093:V1093)=0,"",INDEX($D$1:$V$1,MATCH(MIN(D1093:V1093),D1093:V1093,0)))</f>
        <v/>
      </c>
      <c r="AB1093" s="8" t="n">
        <v>9995.309999999999</v>
      </c>
      <c r="AC1093" s="10" t="n">
        <v>1</v>
      </c>
    </row>
    <row r="1094">
      <c r="A1094" s="7" t="inlineStr">
        <is>
          <t>MAT-20-021</t>
        </is>
      </c>
      <c r="B1094" s="4" t="inlineStr">
        <is>
          <t>Angular perforado, 1-1/2X1-1/2"X10'</t>
        </is>
      </c>
      <c r="C1094" s="7" t="inlineStr">
        <is>
          <t>unidad</t>
        </is>
      </c>
      <c r="D1094" s="8" t="n"/>
      <c r="E1094" s="8" t="n"/>
      <c r="F1094" s="8" t="n"/>
      <c r="G1094" s="8" t="n"/>
      <c r="H1094" s="8" t="n"/>
      <c r="I1094" s="8" t="n"/>
      <c r="J1094" s="8" t="n"/>
      <c r="K1094" s="8" t="n">
        <v>425</v>
      </c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 t="n"/>
      <c r="U1094" s="8" t="n"/>
      <c r="V1094" s="8" t="n"/>
      <c r="W1094" s="8">
        <f>IF(COUNT(D1094:V1094)=0,"",MIN(D1094:V1094))</f>
        <v/>
      </c>
      <c r="X1094" s="8">
        <f>IF(COUNT(D1094:V1094)=0,"",MEDIAN(D1094:V1094))</f>
        <v/>
      </c>
      <c r="Y1094" s="8">
        <f>IF(COUNT(D1094:V1094)=0,"",MAX(D1094:V1094))</f>
        <v/>
      </c>
      <c r="Z1094" s="9">
        <f>IF(OR(W1094="",W1094=0),"",(Y1094-W1094)/W1094)</f>
        <v/>
      </c>
      <c r="AA1094" s="7">
        <f>IF(COUNT(D1094:V1094)=0,"",INDEX($D$1:$V$1,MATCH(MIN(D1094:V1094),D1094:V1094,0)))</f>
        <v/>
      </c>
      <c r="AB1094" s="8" t="n">
        <v>425</v>
      </c>
      <c r="AC1094" s="10" t="n">
        <v>1</v>
      </c>
    </row>
    <row r="1095">
      <c r="A1095" s="7" t="inlineStr">
        <is>
          <t>MAT-20-022</t>
        </is>
      </c>
      <c r="B1095" s="4" t="inlineStr">
        <is>
          <t>Angular perforado, 1-1/2X1-1/2"X8'</t>
        </is>
      </c>
      <c r="C1095" s="7" t="inlineStr">
        <is>
          <t>unidad</t>
        </is>
      </c>
      <c r="D1095" s="8" t="n"/>
      <c r="E1095" s="8" t="n"/>
      <c r="F1095" s="8" t="n"/>
      <c r="G1095" s="8" t="n"/>
      <c r="H1095" s="8" t="n"/>
      <c r="I1095" s="8" t="n"/>
      <c r="J1095" s="8" t="n"/>
      <c r="K1095" s="8" t="n">
        <v>360</v>
      </c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>
        <f>IF(COUNT(D1095:V1095)=0,"",MIN(D1095:V1095))</f>
        <v/>
      </c>
      <c r="X1095" s="8">
        <f>IF(COUNT(D1095:V1095)=0,"",MEDIAN(D1095:V1095))</f>
        <v/>
      </c>
      <c r="Y1095" s="8">
        <f>IF(COUNT(D1095:V1095)=0,"",MAX(D1095:V1095))</f>
        <v/>
      </c>
      <c r="Z1095" s="9">
        <f>IF(OR(W1095="",W1095=0),"",(Y1095-W1095)/W1095)</f>
        <v/>
      </c>
      <c r="AA1095" s="7">
        <f>IF(COUNT(D1095:V1095)=0,"",INDEX($D$1:$V$1,MATCH(MIN(D1095:V1095),D1095:V1095,0)))</f>
        <v/>
      </c>
      <c r="AB1095" s="8" t="n">
        <v>360</v>
      </c>
      <c r="AC1095" s="10" t="n">
        <v>1</v>
      </c>
    </row>
    <row r="1096">
      <c r="A1096" s="7" t="inlineStr">
        <is>
          <t>MAT-20-023</t>
        </is>
      </c>
      <c r="B1096" s="4" t="inlineStr">
        <is>
          <t>Planchuela de hierro negro 1/2" x 1/8" x 20 pies</t>
        </is>
      </c>
      <c r="C1096" s="7" t="inlineStr">
        <is>
          <t>unidad</t>
        </is>
      </c>
      <c r="D1096" s="8" t="n">
        <v>141.64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>
        <f>IF(COUNT(D1096:V1096)=0,"",MIN(D1096:V1096))</f>
        <v/>
      </c>
      <c r="X1096" s="8">
        <f>IF(COUNT(D1096:V1096)=0,"",MEDIAN(D1096:V1096))</f>
        <v/>
      </c>
      <c r="Y1096" s="8">
        <f>IF(COUNT(D1096:V1096)=0,"",MAX(D1096:V1096))</f>
        <v/>
      </c>
      <c r="Z1096" s="9">
        <f>IF(OR(W1096="",W1096=0),"",(Y1096-W1096)/W1096)</f>
        <v/>
      </c>
      <c r="AA1096" s="7">
        <f>IF(COUNT(D1096:V1096)=0,"",INDEX($D$1:$V$1,MATCH(MIN(D1096:V1096),D1096:V1096,0)))</f>
        <v/>
      </c>
      <c r="AB1096" s="8" t="n">
        <v>141.64</v>
      </c>
      <c r="AC1096" s="10" t="n">
        <v>1</v>
      </c>
    </row>
    <row r="1097">
      <c r="A1097" s="7" t="inlineStr">
        <is>
          <t>MAT-20-024</t>
        </is>
      </c>
      <c r="B1097" s="4" t="inlineStr">
        <is>
          <t>Planchuela de hierro negro 1/2" x 3/16" x 20 pies</t>
        </is>
      </c>
      <c r="C1097" s="7" t="inlineStr">
        <is>
          <t>unidad</t>
        </is>
      </c>
      <c r="D1097" s="8" t="n">
        <v>249.92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 t="n"/>
      <c r="U1097" s="8" t="n"/>
      <c r="V1097" s="8" t="n"/>
      <c r="W1097" s="8">
        <f>IF(COUNT(D1097:V1097)=0,"",MIN(D1097:V1097))</f>
        <v/>
      </c>
      <c r="X1097" s="8">
        <f>IF(COUNT(D1097:V1097)=0,"",MEDIAN(D1097:V1097))</f>
        <v/>
      </c>
      <c r="Y1097" s="8">
        <f>IF(COUNT(D1097:V1097)=0,"",MAX(D1097:V1097))</f>
        <v/>
      </c>
      <c r="Z1097" s="9">
        <f>IF(OR(W1097="",W1097=0),"",(Y1097-W1097)/W1097)</f>
        <v/>
      </c>
      <c r="AA1097" s="7">
        <f>IF(COUNT(D1097:V1097)=0,"",INDEX($D$1:$V$1,MATCH(MIN(D1097:V1097),D1097:V1097,0)))</f>
        <v/>
      </c>
      <c r="AB1097" s="8" t="n">
        <v>249.92</v>
      </c>
      <c r="AC1097" s="10" t="n">
        <v>1</v>
      </c>
    </row>
    <row r="1098">
      <c r="A1098" s="7" t="inlineStr">
        <is>
          <t>MAT-20-025</t>
        </is>
      </c>
      <c r="B1098" s="4" t="inlineStr">
        <is>
          <t>Planchuela de hierro negro 1/2" x 1/4" x 20 pies</t>
        </is>
      </c>
      <c r="C1098" s="7" t="inlineStr">
        <is>
          <t>unidad</t>
        </is>
      </c>
      <c r="D1098" s="8" t="n">
        <v>331.8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>
        <f>IF(COUNT(D1098:V1098)=0,"",MIN(D1098:V1098))</f>
        <v/>
      </c>
      <c r="X1098" s="8">
        <f>IF(COUNT(D1098:V1098)=0,"",MEDIAN(D1098:V1098))</f>
        <v/>
      </c>
      <c r="Y1098" s="8">
        <f>IF(COUNT(D1098:V1098)=0,"",MAX(D1098:V1098))</f>
        <v/>
      </c>
      <c r="Z1098" s="9">
        <f>IF(OR(W1098="",W1098=0),"",(Y1098-W1098)/W1098)</f>
        <v/>
      </c>
      <c r="AA1098" s="7">
        <f>IF(COUNT(D1098:V1098)=0,"",INDEX($D$1:$V$1,MATCH(MIN(D1098:V1098),D1098:V1098,0)))</f>
        <v/>
      </c>
      <c r="AB1098" s="8" t="n">
        <v>331.8</v>
      </c>
      <c r="AC1098" s="10" t="n">
        <v>1</v>
      </c>
    </row>
    <row r="1099">
      <c r="A1099" s="7" t="inlineStr">
        <is>
          <t>MAT-20-026</t>
        </is>
      </c>
      <c r="B1099" s="4" t="inlineStr">
        <is>
          <t>Planchuela de hierro negro 3/4" x 1/8" x 20 pies</t>
        </is>
      </c>
      <c r="C1099" s="7" t="inlineStr">
        <is>
          <t>unidad</t>
        </is>
      </c>
      <c r="D1099" s="8" t="n">
        <v>298.91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>
        <f>IF(COUNT(D1099:V1099)=0,"",MIN(D1099:V1099))</f>
        <v/>
      </c>
      <c r="X1099" s="8">
        <f>IF(COUNT(D1099:V1099)=0,"",MEDIAN(D1099:V1099))</f>
        <v/>
      </c>
      <c r="Y1099" s="8">
        <f>IF(COUNT(D1099:V1099)=0,"",MAX(D1099:V1099))</f>
        <v/>
      </c>
      <c r="Z1099" s="9">
        <f>IF(OR(W1099="",W1099=0),"",(Y1099-W1099)/W1099)</f>
        <v/>
      </c>
      <c r="AA1099" s="7">
        <f>IF(COUNT(D1099:V1099)=0,"",INDEX($D$1:$V$1,MATCH(MIN(D1099:V1099),D1099:V1099,0)))</f>
        <v/>
      </c>
      <c r="AB1099" s="8" t="n">
        <v>298.91</v>
      </c>
      <c r="AC1099" s="10" t="n">
        <v>1</v>
      </c>
    </row>
    <row r="1100">
      <c r="A1100" s="7" t="inlineStr">
        <is>
          <t>MAT-20-027</t>
        </is>
      </c>
      <c r="B1100" s="4" t="inlineStr">
        <is>
          <t>Planchuela de hierro negro 3/4" x 3/16" x 20 pies</t>
        </is>
      </c>
      <c r="C1100" s="7" t="inlineStr">
        <is>
          <t>unidad</t>
        </is>
      </c>
      <c r="D1100" s="8" t="n">
        <v>373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8" t="n"/>
      <c r="U1100" s="8" t="n"/>
      <c r="V1100" s="8" t="n"/>
      <c r="W1100" s="8">
        <f>IF(COUNT(D1100:V1100)=0,"",MIN(D1100:V1100))</f>
        <v/>
      </c>
      <c r="X1100" s="8">
        <f>IF(COUNT(D1100:V1100)=0,"",MEDIAN(D1100:V1100))</f>
        <v/>
      </c>
      <c r="Y1100" s="8">
        <f>IF(COUNT(D1100:V1100)=0,"",MAX(D1100:V1100))</f>
        <v/>
      </c>
      <c r="Z1100" s="9">
        <f>IF(OR(W1100="",W1100=0),"",(Y1100-W1100)/W1100)</f>
        <v/>
      </c>
      <c r="AA1100" s="7">
        <f>IF(COUNT(D1100:V1100)=0,"",INDEX($D$1:$V$1,MATCH(MIN(D1100:V1100),D1100:V1100,0)))</f>
        <v/>
      </c>
      <c r="AB1100" s="8" t="n">
        <v>373</v>
      </c>
      <c r="AC1100" s="10" t="n">
        <v>1</v>
      </c>
    </row>
    <row r="1101">
      <c r="A1101" s="7" t="inlineStr">
        <is>
          <t>MAT-20-028</t>
        </is>
      </c>
      <c r="B1101" s="4" t="inlineStr">
        <is>
          <t>Planchuela de hierro negro 3/4" x 1/4" x 20 pies</t>
        </is>
      </c>
      <c r="C1101" s="7" t="inlineStr">
        <is>
          <t>unidad</t>
        </is>
      </c>
      <c r="D1101" s="8" t="n">
        <v>497.72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8" t="n"/>
      <c r="U1101" s="8" t="n"/>
      <c r="V1101" s="8" t="n"/>
      <c r="W1101" s="8">
        <f>IF(COUNT(D1101:V1101)=0,"",MIN(D1101:V1101))</f>
        <v/>
      </c>
      <c r="X1101" s="8">
        <f>IF(COUNT(D1101:V1101)=0,"",MEDIAN(D1101:V1101))</f>
        <v/>
      </c>
      <c r="Y1101" s="8">
        <f>IF(COUNT(D1101:V1101)=0,"",MAX(D1101:V1101))</f>
        <v/>
      </c>
      <c r="Z1101" s="9">
        <f>IF(OR(W1101="",W1101=0),"",(Y1101-W1101)/W1101)</f>
        <v/>
      </c>
      <c r="AA1101" s="7">
        <f>IF(COUNT(D1101:V1101)=0,"",INDEX($D$1:$V$1,MATCH(MIN(D1101:V1101),D1101:V1101,0)))</f>
        <v/>
      </c>
      <c r="AB1101" s="8" t="n">
        <v>497.72</v>
      </c>
      <c r="AC1101" s="10" t="n">
        <v>1</v>
      </c>
    </row>
    <row r="1102">
      <c r="A1102" s="7" t="inlineStr">
        <is>
          <t>MAT-20-029</t>
        </is>
      </c>
      <c r="B1102" s="4" t="inlineStr">
        <is>
          <t>Planchuela de hierro negro 1" x 1/8" x 20 pies</t>
        </is>
      </c>
      <c r="C1102" s="7" t="inlineStr">
        <is>
          <t>unidad</t>
        </is>
      </c>
      <c r="D1102" s="8" t="n">
        <v>297.5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8" t="n"/>
      <c r="U1102" s="8" t="n"/>
      <c r="V1102" s="8" t="n"/>
      <c r="W1102" s="8">
        <f>IF(COUNT(D1102:V1102)=0,"",MIN(D1102:V1102))</f>
        <v/>
      </c>
      <c r="X1102" s="8">
        <f>IF(COUNT(D1102:V1102)=0,"",MEDIAN(D1102:V1102))</f>
        <v/>
      </c>
      <c r="Y1102" s="8">
        <f>IF(COUNT(D1102:V1102)=0,"",MAX(D1102:V1102))</f>
        <v/>
      </c>
      <c r="Z1102" s="9">
        <f>IF(OR(W1102="",W1102=0),"",(Y1102-W1102)/W1102)</f>
        <v/>
      </c>
      <c r="AA1102" s="7">
        <f>IF(COUNT(D1102:V1102)=0,"",INDEX($D$1:$V$1,MATCH(MIN(D1102:V1102),D1102:V1102,0)))</f>
        <v/>
      </c>
      <c r="AB1102" s="8" t="n">
        <v>297.5</v>
      </c>
      <c r="AC1102" s="10" t="n">
        <v>1</v>
      </c>
    </row>
    <row r="1103">
      <c r="A1103" s="7" t="inlineStr">
        <is>
          <t>MAT-20-030</t>
        </is>
      </c>
      <c r="B1103" s="4" t="inlineStr">
        <is>
          <t>Planchuela de hierro negro 1" x 3/16" x 20 pies</t>
        </is>
      </c>
      <c r="C1103" s="7" t="inlineStr">
        <is>
          <t>unidad</t>
        </is>
      </c>
      <c r="D1103" s="8" t="n">
        <v>446.25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8" t="n"/>
      <c r="U1103" s="8" t="n"/>
      <c r="V1103" s="8" t="n"/>
      <c r="W1103" s="8">
        <f>IF(COUNT(D1103:V1103)=0,"",MIN(D1103:V1103))</f>
        <v/>
      </c>
      <c r="X1103" s="8">
        <f>IF(COUNT(D1103:V1103)=0,"",MEDIAN(D1103:V1103))</f>
        <v/>
      </c>
      <c r="Y1103" s="8">
        <f>IF(COUNT(D1103:V1103)=0,"",MAX(D1103:V1103))</f>
        <v/>
      </c>
      <c r="Z1103" s="9">
        <f>IF(OR(W1103="",W1103=0),"",(Y1103-W1103)/W1103)</f>
        <v/>
      </c>
      <c r="AA1103" s="7">
        <f>IF(COUNT(D1103:V1103)=0,"",INDEX($D$1:$V$1,MATCH(MIN(D1103:V1103),D1103:V1103,0)))</f>
        <v/>
      </c>
      <c r="AB1103" s="8" t="n">
        <v>446.25</v>
      </c>
      <c r="AC1103" s="10" t="n">
        <v>1</v>
      </c>
    </row>
    <row r="1104">
      <c r="A1104" s="7" t="inlineStr">
        <is>
          <t>MAT-20-031</t>
        </is>
      </c>
      <c r="B1104" s="4" t="inlineStr">
        <is>
          <t>Planchuela de hierro negro 1" x 1/4" x 20 pies</t>
        </is>
      </c>
      <c r="C1104" s="7" t="inlineStr">
        <is>
          <t>unidad</t>
        </is>
      </c>
      <c r="D1104" s="8" t="n">
        <v>595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>
        <f>IF(COUNT(D1104:V1104)=0,"",MIN(D1104:V1104))</f>
        <v/>
      </c>
      <c r="X1104" s="8">
        <f>IF(COUNT(D1104:V1104)=0,"",MEDIAN(D1104:V1104))</f>
        <v/>
      </c>
      <c r="Y1104" s="8">
        <f>IF(COUNT(D1104:V1104)=0,"",MAX(D1104:V1104))</f>
        <v/>
      </c>
      <c r="Z1104" s="9">
        <f>IF(OR(W1104="",W1104=0),"",(Y1104-W1104)/W1104)</f>
        <v/>
      </c>
      <c r="AA1104" s="7">
        <f>IF(COUNT(D1104:V1104)=0,"",INDEX($D$1:$V$1,MATCH(MIN(D1104:V1104),D1104:V1104,0)))</f>
        <v/>
      </c>
      <c r="AB1104" s="8" t="n">
        <v>595</v>
      </c>
      <c r="AC1104" s="10" t="n">
        <v>1</v>
      </c>
    </row>
    <row r="1105">
      <c r="A1105" s="7" t="inlineStr">
        <is>
          <t>MAT-20-032</t>
        </is>
      </c>
      <c r="B1105" s="4" t="inlineStr">
        <is>
          <t>Planchuela de hierro negro 1" x 1/2" x 20 pies</t>
        </is>
      </c>
      <c r="C1105" s="7" t="inlineStr">
        <is>
          <t>unidad</t>
        </is>
      </c>
      <c r="D1105" s="8" t="n">
        <v>1327.5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>
        <f>IF(COUNT(D1105:V1105)=0,"",MIN(D1105:V1105))</f>
        <v/>
      </c>
      <c r="X1105" s="8">
        <f>IF(COUNT(D1105:V1105)=0,"",MEDIAN(D1105:V1105))</f>
        <v/>
      </c>
      <c r="Y1105" s="8">
        <f>IF(COUNT(D1105:V1105)=0,"",MAX(D1105:V1105))</f>
        <v/>
      </c>
      <c r="Z1105" s="9">
        <f>IF(OR(W1105="",W1105=0),"",(Y1105-W1105)/W1105)</f>
        <v/>
      </c>
      <c r="AA1105" s="7">
        <f>IF(COUNT(D1105:V1105)=0,"",INDEX($D$1:$V$1,MATCH(MIN(D1105:V1105),D1105:V1105,0)))</f>
        <v/>
      </c>
      <c r="AB1105" s="8" t="n">
        <v>1327.5</v>
      </c>
      <c r="AC1105" s="10" t="n">
        <v>1</v>
      </c>
    </row>
    <row r="1106">
      <c r="A1106" s="7" t="inlineStr">
        <is>
          <t>MAT-20-033</t>
        </is>
      </c>
      <c r="B1106" s="4" t="inlineStr">
        <is>
          <t>Planchuela de hierro negro 1 1/4" x 1/8" x 20 pies</t>
        </is>
      </c>
      <c r="C1106" s="7" t="inlineStr">
        <is>
          <t>unidad</t>
        </is>
      </c>
      <c r="D1106" s="8" t="n">
        <v>415.35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 t="n"/>
      <c r="W1106" s="8">
        <f>IF(COUNT(D1106:V1106)=0,"",MIN(D1106:V1106))</f>
        <v/>
      </c>
      <c r="X1106" s="8">
        <f>IF(COUNT(D1106:V1106)=0,"",MEDIAN(D1106:V1106))</f>
        <v/>
      </c>
      <c r="Y1106" s="8">
        <f>IF(COUNT(D1106:V1106)=0,"",MAX(D1106:V1106))</f>
        <v/>
      </c>
      <c r="Z1106" s="9">
        <f>IF(OR(W1106="",W1106=0),"",(Y1106-W1106)/W1106)</f>
        <v/>
      </c>
      <c r="AA1106" s="7">
        <f>IF(COUNT(D1106:V1106)=0,"",INDEX($D$1:$V$1,MATCH(MIN(D1106:V1106),D1106:V1106,0)))</f>
        <v/>
      </c>
      <c r="AB1106" s="8" t="n">
        <v>415.35</v>
      </c>
      <c r="AC1106" s="10" t="n">
        <v>1</v>
      </c>
    </row>
    <row r="1107">
      <c r="A1107" s="7" t="inlineStr">
        <is>
          <t>MAT-20-034</t>
        </is>
      </c>
      <c r="B1107" s="4" t="inlineStr">
        <is>
          <t>Planchuela de hierro negro 1 1/4" x 3/16" x 20 pies</t>
        </is>
      </c>
      <c r="C1107" s="7" t="inlineStr">
        <is>
          <t>unidad</t>
        </is>
      </c>
      <c r="D1107" s="8" t="n">
        <v>614.58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>
        <f>IF(COUNT(D1107:V1107)=0,"",MIN(D1107:V1107))</f>
        <v/>
      </c>
      <c r="X1107" s="8">
        <f>IF(COUNT(D1107:V1107)=0,"",MEDIAN(D1107:V1107))</f>
        <v/>
      </c>
      <c r="Y1107" s="8">
        <f>IF(COUNT(D1107:V1107)=0,"",MAX(D1107:V1107))</f>
        <v/>
      </c>
      <c r="Z1107" s="9">
        <f>IF(OR(W1107="",W1107=0),"",(Y1107-W1107)/W1107)</f>
        <v/>
      </c>
      <c r="AA1107" s="7">
        <f>IF(COUNT(D1107:V1107)=0,"",INDEX($D$1:$V$1,MATCH(MIN(D1107:V1107),D1107:V1107,0)))</f>
        <v/>
      </c>
      <c r="AB1107" s="8" t="n">
        <v>614.58</v>
      </c>
      <c r="AC1107" s="10" t="n">
        <v>1</v>
      </c>
    </row>
    <row r="1108">
      <c r="A1108" s="7" t="inlineStr">
        <is>
          <t>MAT-20-035</t>
        </is>
      </c>
      <c r="B1108" s="4" t="inlineStr">
        <is>
          <t>Planchuela de hierro negro 1 1/4" x 1/4" x 20 pies</t>
        </is>
      </c>
      <c r="C1108" s="7" t="inlineStr">
        <is>
          <t>unidad</t>
        </is>
      </c>
      <c r="D1108" s="8" t="n">
        <v>745.5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 t="n"/>
      <c r="W1108" s="8">
        <f>IF(COUNT(D1108:V1108)=0,"",MIN(D1108:V1108))</f>
        <v/>
      </c>
      <c r="X1108" s="8">
        <f>IF(COUNT(D1108:V1108)=0,"",MEDIAN(D1108:V1108))</f>
        <v/>
      </c>
      <c r="Y1108" s="8">
        <f>IF(COUNT(D1108:V1108)=0,"",MAX(D1108:V1108))</f>
        <v/>
      </c>
      <c r="Z1108" s="9">
        <f>IF(OR(W1108="",W1108=0),"",(Y1108-W1108)/W1108)</f>
        <v/>
      </c>
      <c r="AA1108" s="7">
        <f>IF(COUNT(D1108:V1108)=0,"",INDEX($D$1:$V$1,MATCH(MIN(D1108:V1108),D1108:V1108,0)))</f>
        <v/>
      </c>
      <c r="AB1108" s="8" t="n">
        <v>745.5</v>
      </c>
      <c r="AC1108" s="10" t="n">
        <v>1</v>
      </c>
    </row>
    <row r="1109">
      <c r="A1109" s="7" t="inlineStr">
        <is>
          <t>MAT-20-036</t>
        </is>
      </c>
      <c r="B1109" s="4" t="inlineStr">
        <is>
          <t>Planchuela de hierro negro 1 1/4" x 3/8" x 20 pies</t>
        </is>
      </c>
      <c r="C1109" s="7" t="inlineStr">
        <is>
          <t>unidad</t>
        </is>
      </c>
      <c r="D1109" s="8" t="n">
        <v>1115.73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>
        <f>IF(COUNT(D1109:V1109)=0,"",MIN(D1109:V1109))</f>
        <v/>
      </c>
      <c r="X1109" s="8">
        <f>IF(COUNT(D1109:V1109)=0,"",MEDIAN(D1109:V1109))</f>
        <v/>
      </c>
      <c r="Y1109" s="8">
        <f>IF(COUNT(D1109:V1109)=0,"",MAX(D1109:V1109))</f>
        <v/>
      </c>
      <c r="Z1109" s="9">
        <f>IF(OR(W1109="",W1109=0),"",(Y1109-W1109)/W1109)</f>
        <v/>
      </c>
      <c r="AA1109" s="7">
        <f>IF(COUNT(D1109:V1109)=0,"",INDEX($D$1:$V$1,MATCH(MIN(D1109:V1109),D1109:V1109,0)))</f>
        <v/>
      </c>
      <c r="AB1109" s="8" t="n">
        <v>1115.73</v>
      </c>
      <c r="AC1109" s="10" t="n">
        <v>1</v>
      </c>
    </row>
    <row r="1110">
      <c r="A1110" s="7" t="inlineStr">
        <is>
          <t>MAT-20-037</t>
        </is>
      </c>
      <c r="B1110" s="4" t="inlineStr">
        <is>
          <t>Planchuela de hierro negro 1 1/2" x 1/8" x 20 pies</t>
        </is>
      </c>
      <c r="C1110" s="7" t="inlineStr">
        <is>
          <t>unidad</t>
        </is>
      </c>
      <c r="D1110" s="8" t="n">
        <v>451.7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>
        <f>IF(COUNT(D1110:V1110)=0,"",MIN(D1110:V1110))</f>
        <v/>
      </c>
      <c r="X1110" s="8">
        <f>IF(COUNT(D1110:V1110)=0,"",MEDIAN(D1110:V1110))</f>
        <v/>
      </c>
      <c r="Y1110" s="8">
        <f>IF(COUNT(D1110:V1110)=0,"",MAX(D1110:V1110))</f>
        <v/>
      </c>
      <c r="Z1110" s="9">
        <f>IF(OR(W1110="",W1110=0),"",(Y1110-W1110)/W1110)</f>
        <v/>
      </c>
      <c r="AA1110" s="7">
        <f>IF(COUNT(D1110:V1110)=0,"",INDEX($D$1:$V$1,MATCH(MIN(D1110:V1110),D1110:V1110,0)))</f>
        <v/>
      </c>
      <c r="AB1110" s="8" t="n">
        <v>451.7</v>
      </c>
      <c r="AC1110" s="10" t="n">
        <v>1</v>
      </c>
    </row>
    <row r="1111">
      <c r="A1111" s="7" t="inlineStr">
        <is>
          <t>MAT-20-038</t>
        </is>
      </c>
      <c r="B1111" s="4" t="inlineStr">
        <is>
          <t>Planchuela de hierro negro 1 1/2" x 3/16" x 20 pies</t>
        </is>
      </c>
      <c r="C1111" s="7" t="inlineStr">
        <is>
          <t>unidad</t>
        </is>
      </c>
      <c r="D1111" s="8" t="n">
        <v>682.5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>
        <f>IF(COUNT(D1111:V1111)=0,"",MIN(D1111:V1111))</f>
        <v/>
      </c>
      <c r="X1111" s="8">
        <f>IF(COUNT(D1111:V1111)=0,"",MEDIAN(D1111:V1111))</f>
        <v/>
      </c>
      <c r="Y1111" s="8">
        <f>IF(COUNT(D1111:V1111)=0,"",MAX(D1111:V1111))</f>
        <v/>
      </c>
      <c r="Z1111" s="9">
        <f>IF(OR(W1111="",W1111=0),"",(Y1111-W1111)/W1111)</f>
        <v/>
      </c>
      <c r="AA1111" s="7">
        <f>IF(COUNT(D1111:V1111)=0,"",INDEX($D$1:$V$1,MATCH(MIN(D1111:V1111),D1111:V1111,0)))</f>
        <v/>
      </c>
      <c r="AB1111" s="8" t="n">
        <v>682.5</v>
      </c>
      <c r="AC1111" s="10" t="n">
        <v>1</v>
      </c>
    </row>
    <row r="1112">
      <c r="A1112" s="7" t="inlineStr">
        <is>
          <t>MAT-20-039</t>
        </is>
      </c>
      <c r="B1112" s="4" t="inlineStr">
        <is>
          <t>Planchuela de hierro negro 1 1/2" x 1/4" x 20 pies</t>
        </is>
      </c>
      <c r="C1112" s="7" t="inlineStr">
        <is>
          <t>unidad</t>
        </is>
      </c>
      <c r="D1112" s="8" t="n">
        <v>892.5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>
        <f>IF(COUNT(D1112:V1112)=0,"",MIN(D1112:V1112))</f>
        <v/>
      </c>
      <c r="X1112" s="8">
        <f>IF(COUNT(D1112:V1112)=0,"",MEDIAN(D1112:V1112))</f>
        <v/>
      </c>
      <c r="Y1112" s="8">
        <f>IF(COUNT(D1112:V1112)=0,"",MAX(D1112:V1112))</f>
        <v/>
      </c>
      <c r="Z1112" s="9">
        <f>IF(OR(W1112="",W1112=0),"",(Y1112-W1112)/W1112)</f>
        <v/>
      </c>
      <c r="AA1112" s="7">
        <f>IF(COUNT(D1112:V1112)=0,"",INDEX($D$1:$V$1,MATCH(MIN(D1112:V1112),D1112:V1112,0)))</f>
        <v/>
      </c>
      <c r="AB1112" s="8" t="n">
        <v>892.5</v>
      </c>
      <c r="AC1112" s="10" t="n">
        <v>1</v>
      </c>
    </row>
    <row r="1113">
      <c r="A1113" s="7" t="inlineStr">
        <is>
          <t>MAT-20-040</t>
        </is>
      </c>
      <c r="B1113" s="4" t="inlineStr">
        <is>
          <t>Planchuela de hierro negro 1 1/2" x 3/8" x 20 pies</t>
        </is>
      </c>
      <c r="C1113" s="7" t="inlineStr">
        <is>
          <t>unidad</t>
        </is>
      </c>
      <c r="D1113" s="8" t="n">
        <v>1338.75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>
        <f>IF(COUNT(D1113:V1113)=0,"",MIN(D1113:V1113))</f>
        <v/>
      </c>
      <c r="X1113" s="8">
        <f>IF(COUNT(D1113:V1113)=0,"",MEDIAN(D1113:V1113))</f>
        <v/>
      </c>
      <c r="Y1113" s="8">
        <f>IF(COUNT(D1113:V1113)=0,"",MAX(D1113:V1113))</f>
        <v/>
      </c>
      <c r="Z1113" s="9">
        <f>IF(OR(W1113="",W1113=0),"",(Y1113-W1113)/W1113)</f>
        <v/>
      </c>
      <c r="AA1113" s="7">
        <f>IF(COUNT(D1113:V1113)=0,"",INDEX($D$1:$V$1,MATCH(MIN(D1113:V1113),D1113:V1113,0)))</f>
        <v/>
      </c>
      <c r="AB1113" s="8" t="n">
        <v>1338.75</v>
      </c>
      <c r="AC1113" s="10" t="n">
        <v>1</v>
      </c>
    </row>
    <row r="1114">
      <c r="A1114" s="7" t="inlineStr">
        <is>
          <t>MAT-20-041</t>
        </is>
      </c>
      <c r="B1114" s="4" t="inlineStr">
        <is>
          <t>Planchuela de hierro negro 1 1/2" x 1/2" x 20 pies</t>
        </is>
      </c>
      <c r="C1114" s="7" t="inlineStr">
        <is>
          <t>unidad</t>
        </is>
      </c>
      <c r="D1114" s="8" t="n">
        <v>1991.13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>
        <f>IF(COUNT(D1114:V1114)=0,"",MIN(D1114:V1114))</f>
        <v/>
      </c>
      <c r="X1114" s="8">
        <f>IF(COUNT(D1114:V1114)=0,"",MEDIAN(D1114:V1114))</f>
        <v/>
      </c>
      <c r="Y1114" s="8">
        <f>IF(COUNT(D1114:V1114)=0,"",MAX(D1114:V1114))</f>
        <v/>
      </c>
      <c r="Z1114" s="9">
        <f>IF(OR(W1114="",W1114=0),"",(Y1114-W1114)/W1114)</f>
        <v/>
      </c>
      <c r="AA1114" s="7">
        <f>IF(COUNT(D1114:V1114)=0,"",INDEX($D$1:$V$1,MATCH(MIN(D1114:V1114),D1114:V1114,0)))</f>
        <v/>
      </c>
      <c r="AB1114" s="8" t="n">
        <v>1991.13</v>
      </c>
      <c r="AC1114" s="10" t="n">
        <v>1</v>
      </c>
    </row>
    <row r="1115">
      <c r="A1115" s="7" t="inlineStr">
        <is>
          <t>MAT-20-042</t>
        </is>
      </c>
      <c r="B1115" s="4" t="inlineStr">
        <is>
          <t>Planchuela de hierro negro 2" x 1/8" x 20 pies</t>
        </is>
      </c>
      <c r="C1115" s="7" t="inlineStr">
        <is>
          <t>unidad</t>
        </is>
      </c>
      <c r="D1115" s="8" t="n">
        <v>595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>
        <f>IF(COUNT(D1115:V1115)=0,"",MIN(D1115:V1115))</f>
        <v/>
      </c>
      <c r="X1115" s="8">
        <f>IF(COUNT(D1115:V1115)=0,"",MEDIAN(D1115:V1115))</f>
        <v/>
      </c>
      <c r="Y1115" s="8">
        <f>IF(COUNT(D1115:V1115)=0,"",MAX(D1115:V1115))</f>
        <v/>
      </c>
      <c r="Z1115" s="9">
        <f>IF(OR(W1115="",W1115=0),"",(Y1115-W1115)/W1115)</f>
        <v/>
      </c>
      <c r="AA1115" s="7">
        <f>IF(COUNT(D1115:V1115)=0,"",INDEX($D$1:$V$1,MATCH(MIN(D1115:V1115),D1115:V1115,0)))</f>
        <v/>
      </c>
      <c r="AB1115" s="8" t="n">
        <v>595</v>
      </c>
      <c r="AC1115" s="10" t="n">
        <v>1</v>
      </c>
    </row>
    <row r="1116">
      <c r="A1116" s="7" t="inlineStr">
        <is>
          <t>MAT-20-043</t>
        </is>
      </c>
      <c r="B1116" s="4" t="inlineStr">
        <is>
          <t>Planchuela de hierro negro 2" x 3/16" x 20 pies</t>
        </is>
      </c>
      <c r="C1116" s="7" t="inlineStr">
        <is>
          <t>unidad</t>
        </is>
      </c>
      <c r="D1116" s="8" t="n">
        <v>892.5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>
        <f>IF(COUNT(D1116:V1116)=0,"",MIN(D1116:V1116))</f>
        <v/>
      </c>
      <c r="X1116" s="8">
        <f>IF(COUNT(D1116:V1116)=0,"",MEDIAN(D1116:V1116))</f>
        <v/>
      </c>
      <c r="Y1116" s="8">
        <f>IF(COUNT(D1116:V1116)=0,"",MAX(D1116:V1116))</f>
        <v/>
      </c>
      <c r="Z1116" s="9">
        <f>IF(OR(W1116="",W1116=0),"",(Y1116-W1116)/W1116)</f>
        <v/>
      </c>
      <c r="AA1116" s="7">
        <f>IF(COUNT(D1116:V1116)=0,"",INDEX($D$1:$V$1,MATCH(MIN(D1116:V1116),D1116:V1116,0)))</f>
        <v/>
      </c>
      <c r="AB1116" s="8" t="n">
        <v>892.5</v>
      </c>
      <c r="AC1116" s="10" t="n">
        <v>1</v>
      </c>
    </row>
    <row r="1117">
      <c r="A1117" s="7" t="inlineStr">
        <is>
          <t>MAT-20-044</t>
        </is>
      </c>
      <c r="B1117" s="4" t="inlineStr">
        <is>
          <t>Planchuela de hierro negro 2" x 1/4" x 20 pies</t>
        </is>
      </c>
      <c r="C1117" s="7" t="inlineStr">
        <is>
          <t>unidad</t>
        </is>
      </c>
      <c r="D1117" s="8" t="n">
        <v>1189.99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>
        <f>IF(COUNT(D1117:V1117)=0,"",MIN(D1117:V1117))</f>
        <v/>
      </c>
      <c r="X1117" s="8">
        <f>IF(COUNT(D1117:V1117)=0,"",MEDIAN(D1117:V1117))</f>
        <v/>
      </c>
      <c r="Y1117" s="8">
        <f>IF(COUNT(D1117:V1117)=0,"",MAX(D1117:V1117))</f>
        <v/>
      </c>
      <c r="Z1117" s="9">
        <f>IF(OR(W1117="",W1117=0),"",(Y1117-W1117)/W1117)</f>
        <v/>
      </c>
      <c r="AA1117" s="7">
        <f>IF(COUNT(D1117:V1117)=0,"",INDEX($D$1:$V$1,MATCH(MIN(D1117:V1117),D1117:V1117,0)))</f>
        <v/>
      </c>
      <c r="AB1117" s="8" t="n">
        <v>1189.99</v>
      </c>
      <c r="AC1117" s="10" t="n">
        <v>1</v>
      </c>
    </row>
    <row r="1118">
      <c r="A1118" s="7" t="inlineStr">
        <is>
          <t>MAT-20-045</t>
        </is>
      </c>
      <c r="B1118" s="4" t="inlineStr">
        <is>
          <t>Planchuela de hierro negro 2" x 3/8" x 20 pies</t>
        </is>
      </c>
      <c r="C1118" s="7" t="inlineStr">
        <is>
          <t>unidad</t>
        </is>
      </c>
      <c r="D1118" s="8" t="n">
        <v>1785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>
        <f>IF(COUNT(D1118:V1118)=0,"",MIN(D1118:V1118))</f>
        <v/>
      </c>
      <c r="X1118" s="8">
        <f>IF(COUNT(D1118:V1118)=0,"",MEDIAN(D1118:V1118))</f>
        <v/>
      </c>
      <c r="Y1118" s="8">
        <f>IF(COUNT(D1118:V1118)=0,"",MAX(D1118:V1118))</f>
        <v/>
      </c>
      <c r="Z1118" s="9">
        <f>IF(OR(W1118="",W1118=0),"",(Y1118-W1118)/W1118)</f>
        <v/>
      </c>
      <c r="AA1118" s="7">
        <f>IF(COUNT(D1118:V1118)=0,"",INDEX($D$1:$V$1,MATCH(MIN(D1118:V1118),D1118:V1118,0)))</f>
        <v/>
      </c>
      <c r="AB1118" s="8" t="n">
        <v>1785</v>
      </c>
      <c r="AC1118" s="10" t="n">
        <v>1</v>
      </c>
    </row>
    <row r="1119">
      <c r="A1119" s="7" t="inlineStr">
        <is>
          <t>MAT-20-046</t>
        </is>
      </c>
      <c r="B1119" s="4" t="inlineStr">
        <is>
          <t>Planchuela de hierro negro 2" x 1/2" x 20 pies</t>
        </is>
      </c>
      <c r="C1119" s="7" t="inlineStr">
        <is>
          <t>unidad</t>
        </is>
      </c>
      <c r="D1119" s="8" t="n">
        <v>2380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>
        <f>IF(COUNT(D1119:V1119)=0,"",MIN(D1119:V1119))</f>
        <v/>
      </c>
      <c r="X1119" s="8">
        <f>IF(COUNT(D1119:V1119)=0,"",MEDIAN(D1119:V1119))</f>
        <v/>
      </c>
      <c r="Y1119" s="8">
        <f>IF(COUNT(D1119:V1119)=0,"",MAX(D1119:V1119))</f>
        <v/>
      </c>
      <c r="Z1119" s="9">
        <f>IF(OR(W1119="",W1119=0),"",(Y1119-W1119)/W1119)</f>
        <v/>
      </c>
      <c r="AA1119" s="7">
        <f>IF(COUNT(D1119:V1119)=0,"",INDEX($D$1:$V$1,MATCH(MIN(D1119:V1119),D1119:V1119,0)))</f>
        <v/>
      </c>
      <c r="AB1119" s="8" t="n">
        <v>2380</v>
      </c>
      <c r="AC1119" s="10" t="n">
        <v>1</v>
      </c>
    </row>
    <row r="1120">
      <c r="A1120" s="7" t="inlineStr">
        <is>
          <t>MAT-20-047</t>
        </is>
      </c>
      <c r="B1120" s="4" t="inlineStr">
        <is>
          <t>Planchuela de hierro negro 2 1/2" x 1/4" x 20 pies</t>
        </is>
      </c>
      <c r="C1120" s="7" t="inlineStr">
        <is>
          <t>unidad</t>
        </is>
      </c>
      <c r="D1120" s="8" t="n">
        <v>1487.5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>
        <f>IF(COUNT(D1120:V1120)=0,"",MIN(D1120:V1120))</f>
        <v/>
      </c>
      <c r="X1120" s="8">
        <f>IF(COUNT(D1120:V1120)=0,"",MEDIAN(D1120:V1120))</f>
        <v/>
      </c>
      <c r="Y1120" s="8">
        <f>IF(COUNT(D1120:V1120)=0,"",MAX(D1120:V1120))</f>
        <v/>
      </c>
      <c r="Z1120" s="9">
        <f>IF(OR(W1120="",W1120=0),"",(Y1120-W1120)/W1120)</f>
        <v/>
      </c>
      <c r="AA1120" s="7">
        <f>IF(COUNT(D1120:V1120)=0,"",INDEX($D$1:$V$1,MATCH(MIN(D1120:V1120),D1120:V1120,0)))</f>
        <v/>
      </c>
      <c r="AB1120" s="8" t="n">
        <v>1487.5</v>
      </c>
      <c r="AC1120" s="10" t="n">
        <v>1</v>
      </c>
    </row>
    <row r="1121">
      <c r="A1121" s="7" t="inlineStr">
        <is>
          <t>MAT-20-048</t>
        </is>
      </c>
      <c r="B1121" s="4" t="inlineStr">
        <is>
          <t>Planchuela de hierro negro 2 1/2" x 3/8" x 20 pies</t>
        </is>
      </c>
      <c r="C1121" s="7" t="inlineStr">
        <is>
          <t>unidad</t>
        </is>
      </c>
      <c r="D1121" s="8" t="n">
        <v>2231.6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>
        <f>IF(COUNT(D1121:V1121)=0,"",MIN(D1121:V1121))</f>
        <v/>
      </c>
      <c r="X1121" s="8">
        <f>IF(COUNT(D1121:V1121)=0,"",MEDIAN(D1121:V1121))</f>
        <v/>
      </c>
      <c r="Y1121" s="8">
        <f>IF(COUNT(D1121:V1121)=0,"",MAX(D1121:V1121))</f>
        <v/>
      </c>
      <c r="Z1121" s="9">
        <f>IF(OR(W1121="",W1121=0),"",(Y1121-W1121)/W1121)</f>
        <v/>
      </c>
      <c r="AA1121" s="7">
        <f>IF(COUNT(D1121:V1121)=0,"",INDEX($D$1:$V$1,MATCH(MIN(D1121:V1121),D1121:V1121,0)))</f>
        <v/>
      </c>
      <c r="AB1121" s="8" t="n">
        <v>2231.6</v>
      </c>
      <c r="AC1121" s="10" t="n">
        <v>1</v>
      </c>
    </row>
    <row r="1122">
      <c r="A1122" s="7" t="inlineStr">
        <is>
          <t>MAT-20-049</t>
        </is>
      </c>
      <c r="B1122" s="4" t="inlineStr">
        <is>
          <t>Planchuela de hierro negro 3" x 1/4" x 20 pies</t>
        </is>
      </c>
      <c r="C1122" s="7" t="inlineStr">
        <is>
          <t>unidad</t>
        </is>
      </c>
      <c r="D1122" s="8" t="n">
        <v>1785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>
        <f>IF(COUNT(D1122:V1122)=0,"",MIN(D1122:V1122))</f>
        <v/>
      </c>
      <c r="X1122" s="8">
        <f>IF(COUNT(D1122:V1122)=0,"",MEDIAN(D1122:V1122))</f>
        <v/>
      </c>
      <c r="Y1122" s="8">
        <f>IF(COUNT(D1122:V1122)=0,"",MAX(D1122:V1122))</f>
        <v/>
      </c>
      <c r="Z1122" s="9">
        <f>IF(OR(W1122="",W1122=0),"",(Y1122-W1122)/W1122)</f>
        <v/>
      </c>
      <c r="AA1122" s="7">
        <f>IF(COUNT(D1122:V1122)=0,"",INDEX($D$1:$V$1,MATCH(MIN(D1122:V1122),D1122:V1122,0)))</f>
        <v/>
      </c>
      <c r="AB1122" s="8" t="n">
        <v>1785</v>
      </c>
      <c r="AC1122" s="10" t="n">
        <v>1</v>
      </c>
    </row>
    <row r="1123">
      <c r="A1123" s="7" t="inlineStr">
        <is>
          <t>MAT-20-050</t>
        </is>
      </c>
      <c r="B1123" s="4" t="inlineStr">
        <is>
          <t>Planchuela de hierro negro 3" x 3/8" x 20 pies</t>
        </is>
      </c>
      <c r="C1123" s="7" t="inlineStr">
        <is>
          <t>unidad</t>
        </is>
      </c>
      <c r="D1123" s="8" t="n">
        <v>2677.62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>
        <f>IF(COUNT(D1123:V1123)=0,"",MIN(D1123:V1123))</f>
        <v/>
      </c>
      <c r="X1123" s="8">
        <f>IF(COUNT(D1123:V1123)=0,"",MEDIAN(D1123:V1123))</f>
        <v/>
      </c>
      <c r="Y1123" s="8">
        <f>IF(COUNT(D1123:V1123)=0,"",MAX(D1123:V1123))</f>
        <v/>
      </c>
      <c r="Z1123" s="9">
        <f>IF(OR(W1123="",W1123=0),"",(Y1123-W1123)/W1123)</f>
        <v/>
      </c>
      <c r="AA1123" s="7">
        <f>IF(COUNT(D1123:V1123)=0,"",INDEX($D$1:$V$1,MATCH(MIN(D1123:V1123),D1123:V1123,0)))</f>
        <v/>
      </c>
      <c r="AB1123" s="8" t="n">
        <v>2677.62</v>
      </c>
      <c r="AC1123" s="10" t="n">
        <v>1</v>
      </c>
    </row>
    <row r="1124">
      <c r="A1124" s="7" t="inlineStr">
        <is>
          <t>MAT-20-051</t>
        </is>
      </c>
      <c r="B1124" s="4" t="inlineStr">
        <is>
          <t>Planchuela de hierro negro 4" x 1/4" x 20 pies</t>
        </is>
      </c>
      <c r="C1124" s="7" t="inlineStr">
        <is>
          <t>unidad</t>
        </is>
      </c>
      <c r="D1124" s="8" t="n">
        <v>2380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>
        <f>IF(COUNT(D1124:V1124)=0,"",MIN(D1124:V1124))</f>
        <v/>
      </c>
      <c r="X1124" s="8">
        <f>IF(COUNT(D1124:V1124)=0,"",MEDIAN(D1124:V1124))</f>
        <v/>
      </c>
      <c r="Y1124" s="8">
        <f>IF(COUNT(D1124:V1124)=0,"",MAX(D1124:V1124))</f>
        <v/>
      </c>
      <c r="Z1124" s="9">
        <f>IF(OR(W1124="",W1124=0),"",(Y1124-W1124)/W1124)</f>
        <v/>
      </c>
      <c r="AA1124" s="7">
        <f>IF(COUNT(D1124:V1124)=0,"",INDEX($D$1:$V$1,MATCH(MIN(D1124:V1124),D1124:V1124,0)))</f>
        <v/>
      </c>
      <c r="AB1124" s="8" t="n">
        <v>2380</v>
      </c>
      <c r="AC1124" s="10" t="n">
        <v>1</v>
      </c>
    </row>
    <row r="1125">
      <c r="A1125" s="7" t="inlineStr">
        <is>
          <t>MAT-20-052</t>
        </is>
      </c>
      <c r="B1125" s="4" t="inlineStr">
        <is>
          <t>Planchuela de hierro negro 4" x 3/8" x 20 pies</t>
        </is>
      </c>
      <c r="C1125" s="7" t="inlineStr">
        <is>
          <t>unidad</t>
        </is>
      </c>
      <c r="D1125" s="8" t="n">
        <v>3982.5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>
        <f>IF(COUNT(D1125:V1125)=0,"",MIN(D1125:V1125))</f>
        <v/>
      </c>
      <c r="X1125" s="8">
        <f>IF(COUNT(D1125:V1125)=0,"",MEDIAN(D1125:V1125))</f>
        <v/>
      </c>
      <c r="Y1125" s="8">
        <f>IF(COUNT(D1125:V1125)=0,"",MAX(D1125:V1125))</f>
        <v/>
      </c>
      <c r="Z1125" s="9">
        <f>IF(OR(W1125="",W1125=0),"",(Y1125-W1125)/W1125)</f>
        <v/>
      </c>
      <c r="AA1125" s="7">
        <f>IF(COUNT(D1125:V1125)=0,"",INDEX($D$1:$V$1,MATCH(MIN(D1125:V1125),D1125:V1125,0)))</f>
        <v/>
      </c>
      <c r="AB1125" s="8" t="n">
        <v>3982.5</v>
      </c>
      <c r="AC1125" s="10" t="n">
        <v>1</v>
      </c>
    </row>
    <row r="1126">
      <c r="A1126" s="7" t="inlineStr">
        <is>
          <t>MAT-20-053</t>
        </is>
      </c>
      <c r="B1126" s="4" t="inlineStr">
        <is>
          <t>Planchuela de acero inoxidable 2" x 1/8" x 20 pies</t>
        </is>
      </c>
      <c r="C1126" s="7" t="inlineStr">
        <is>
          <t>unidad</t>
        </is>
      </c>
      <c r="D1126" s="8" t="n">
        <v>1397.2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>
        <f>IF(COUNT(D1126:V1126)=0,"",MIN(D1126:V1126))</f>
        <v/>
      </c>
      <c r="X1126" s="8">
        <f>IF(COUNT(D1126:V1126)=0,"",MEDIAN(D1126:V1126))</f>
        <v/>
      </c>
      <c r="Y1126" s="8">
        <f>IF(COUNT(D1126:V1126)=0,"",MAX(D1126:V1126))</f>
        <v/>
      </c>
      <c r="Z1126" s="9">
        <f>IF(OR(W1126="",W1126=0),"",(Y1126-W1126)/W1126)</f>
        <v/>
      </c>
      <c r="AA1126" s="7">
        <f>IF(COUNT(D1126:V1126)=0,"",INDEX($D$1:$V$1,MATCH(MIN(D1126:V1126),D1126:V1126,0)))</f>
        <v/>
      </c>
      <c r="AB1126" s="8" t="n">
        <v>1397.2</v>
      </c>
      <c r="AC1126" s="10" t="n">
        <v>1</v>
      </c>
    </row>
    <row r="1127">
      <c r="A1127" s="7" t="inlineStr">
        <is>
          <t>MAT-20-054</t>
        </is>
      </c>
      <c r="B1127" s="4" t="inlineStr">
        <is>
          <t>Barra cuadrada de acero 7/16" x 20 pies</t>
        </is>
      </c>
      <c r="C1127" s="7" t="inlineStr">
        <is>
          <t>unidad</t>
        </is>
      </c>
      <c r="D1127" s="8" t="n">
        <v>411.76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>
        <f>IF(COUNT(D1127:V1127)=0,"",MIN(D1127:V1127))</f>
        <v/>
      </c>
      <c r="X1127" s="8">
        <f>IF(COUNT(D1127:V1127)=0,"",MEDIAN(D1127:V1127))</f>
        <v/>
      </c>
      <c r="Y1127" s="8">
        <f>IF(COUNT(D1127:V1127)=0,"",MAX(D1127:V1127))</f>
        <v/>
      </c>
      <c r="Z1127" s="9">
        <f>IF(OR(W1127="",W1127=0),"",(Y1127-W1127)/W1127)</f>
        <v/>
      </c>
      <c r="AA1127" s="7">
        <f>IF(COUNT(D1127:V1127)=0,"",INDEX($D$1:$V$1,MATCH(MIN(D1127:V1127),D1127:V1127,0)))</f>
        <v/>
      </c>
      <c r="AB1127" s="8" t="n">
        <v>411.76</v>
      </c>
      <c r="AC1127" s="10" t="n">
        <v>1</v>
      </c>
    </row>
    <row r="1128">
      <c r="A1128" s="7" t="inlineStr">
        <is>
          <t>MAT-20-055</t>
        </is>
      </c>
      <c r="B1128" s="4" t="inlineStr">
        <is>
          <t>Barra cuadrada de acero 1/2" x 20 pies</t>
        </is>
      </c>
      <c r="C1128" s="7" t="inlineStr">
        <is>
          <t>unidad</t>
        </is>
      </c>
      <c r="D1128" s="8" t="n">
        <v>538.46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>
        <f>IF(COUNT(D1128:V1128)=0,"",MIN(D1128:V1128))</f>
        <v/>
      </c>
      <c r="X1128" s="8">
        <f>IF(COUNT(D1128:V1128)=0,"",MEDIAN(D1128:V1128))</f>
        <v/>
      </c>
      <c r="Y1128" s="8">
        <f>IF(COUNT(D1128:V1128)=0,"",MAX(D1128:V1128))</f>
        <v/>
      </c>
      <c r="Z1128" s="9">
        <f>IF(OR(W1128="",W1128=0),"",(Y1128-W1128)/W1128)</f>
        <v/>
      </c>
      <c r="AA1128" s="7">
        <f>IF(COUNT(D1128:V1128)=0,"",INDEX($D$1:$V$1,MATCH(MIN(D1128:V1128),D1128:V1128,0)))</f>
        <v/>
      </c>
      <c r="AB1128" s="8" t="n">
        <v>538.46</v>
      </c>
      <c r="AC1128" s="10" t="n">
        <v>1</v>
      </c>
    </row>
    <row r="1129">
      <c r="A1129" s="7" t="inlineStr">
        <is>
          <t>MAT-20-056</t>
        </is>
      </c>
      <c r="B1129" s="4" t="inlineStr">
        <is>
          <t>Barra cuadrada de acero 5/8" x 20 pies</t>
        </is>
      </c>
      <c r="C1129" s="7" t="inlineStr">
        <is>
          <t>unidad</t>
        </is>
      </c>
      <c r="D1129" s="8" t="n">
        <v>843.37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>
        <f>IF(COUNT(D1129:V1129)=0,"",MIN(D1129:V1129))</f>
        <v/>
      </c>
      <c r="X1129" s="8">
        <f>IF(COUNT(D1129:V1129)=0,"",MEDIAN(D1129:V1129))</f>
        <v/>
      </c>
      <c r="Y1129" s="8">
        <f>IF(COUNT(D1129:V1129)=0,"",MAX(D1129:V1129))</f>
        <v/>
      </c>
      <c r="Z1129" s="9">
        <f>IF(OR(W1129="",W1129=0),"",(Y1129-W1129)/W1129)</f>
        <v/>
      </c>
      <c r="AA1129" s="7">
        <f>IF(COUNT(D1129:V1129)=0,"",INDEX($D$1:$V$1,MATCH(MIN(D1129:V1129),D1129:V1129,0)))</f>
        <v/>
      </c>
      <c r="AB1129" s="8" t="n">
        <v>843.37</v>
      </c>
      <c r="AC1129" s="10" t="n">
        <v>1</v>
      </c>
    </row>
    <row r="1130">
      <c r="A1130" s="7" t="inlineStr">
        <is>
          <t>MAT-20-057</t>
        </is>
      </c>
      <c r="B1130" s="4" t="inlineStr">
        <is>
          <t>Barra redonda de acero 3/8" x 20 pies</t>
        </is>
      </c>
      <c r="C1130" s="7" t="inlineStr">
        <is>
          <t>unidad</t>
        </is>
      </c>
      <c r="D1130" s="8" t="n">
        <v>238.1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>
        <f>IF(COUNT(D1130:V1130)=0,"",MIN(D1130:V1130))</f>
        <v/>
      </c>
      <c r="X1130" s="8">
        <f>IF(COUNT(D1130:V1130)=0,"",MEDIAN(D1130:V1130))</f>
        <v/>
      </c>
      <c r="Y1130" s="8">
        <f>IF(COUNT(D1130:V1130)=0,"",MAX(D1130:V1130))</f>
        <v/>
      </c>
      <c r="Z1130" s="9">
        <f>IF(OR(W1130="",W1130=0),"",(Y1130-W1130)/W1130)</f>
        <v/>
      </c>
      <c r="AA1130" s="7">
        <f>IF(COUNT(D1130:V1130)=0,"",INDEX($D$1:$V$1,MATCH(MIN(D1130:V1130),D1130:V1130,0)))</f>
        <v/>
      </c>
      <c r="AB1130" s="8" t="n">
        <v>238.1</v>
      </c>
      <c r="AC1130" s="10" t="n">
        <v>1</v>
      </c>
    </row>
    <row r="1131">
      <c r="A1131" s="7" t="inlineStr">
        <is>
          <t>MAT-20-058</t>
        </is>
      </c>
      <c r="B1131" s="4" t="inlineStr">
        <is>
          <t>Barra redonda de acero 1/2" x 20 pies</t>
        </is>
      </c>
      <c r="C1131" s="7" t="inlineStr">
        <is>
          <t>unidad</t>
        </is>
      </c>
      <c r="D1131" s="8" t="n">
        <v>421.68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>
        <f>IF(COUNT(D1131:V1131)=0,"",MIN(D1131:V1131))</f>
        <v/>
      </c>
      <c r="X1131" s="8">
        <f>IF(COUNT(D1131:V1131)=0,"",MEDIAN(D1131:V1131))</f>
        <v/>
      </c>
      <c r="Y1131" s="8">
        <f>IF(COUNT(D1131:V1131)=0,"",MAX(D1131:V1131))</f>
        <v/>
      </c>
      <c r="Z1131" s="9">
        <f>IF(OR(W1131="",W1131=0),"",(Y1131-W1131)/W1131)</f>
        <v/>
      </c>
      <c r="AA1131" s="7">
        <f>IF(COUNT(D1131:V1131)=0,"",INDEX($D$1:$V$1,MATCH(MIN(D1131:V1131),D1131:V1131,0)))</f>
        <v/>
      </c>
      <c r="AB1131" s="8" t="n">
        <v>421.68</v>
      </c>
      <c r="AC1131" s="10" t="n">
        <v>1</v>
      </c>
    </row>
    <row r="1132">
      <c r="A1132" s="7" t="inlineStr">
        <is>
          <t>MAT-20-059</t>
        </is>
      </c>
      <c r="B1132" s="4" t="inlineStr">
        <is>
          <t>Barra redonda de acero 5/8" x 20 pies</t>
        </is>
      </c>
      <c r="C1132" s="7" t="inlineStr">
        <is>
          <t>unidad</t>
        </is>
      </c>
      <c r="D1132" s="8" t="n">
        <v>660.38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>
        <f>IF(COUNT(D1132:V1132)=0,"",MIN(D1132:V1132))</f>
        <v/>
      </c>
      <c r="X1132" s="8">
        <f>IF(COUNT(D1132:V1132)=0,"",MEDIAN(D1132:V1132))</f>
        <v/>
      </c>
      <c r="Y1132" s="8">
        <f>IF(COUNT(D1132:V1132)=0,"",MAX(D1132:V1132))</f>
        <v/>
      </c>
      <c r="Z1132" s="9">
        <f>IF(OR(W1132="",W1132=0),"",(Y1132-W1132)/W1132)</f>
        <v/>
      </c>
      <c r="AA1132" s="7">
        <f>IF(COUNT(D1132:V1132)=0,"",INDEX($D$1:$V$1,MATCH(MIN(D1132:V1132),D1132:V1132,0)))</f>
        <v/>
      </c>
      <c r="AB1132" s="8" t="n">
        <v>660.38</v>
      </c>
      <c r="AC1132" s="10" t="n">
        <v>1</v>
      </c>
    </row>
    <row r="1133">
      <c r="A1133" s="7" t="inlineStr">
        <is>
          <t>MAT-20-060</t>
        </is>
      </c>
      <c r="B1133" s="4" t="inlineStr">
        <is>
          <t>Barra redonda de acero 3/4" x 20 pies</t>
        </is>
      </c>
      <c r="C1133" s="7" t="inlineStr">
        <is>
          <t>unidad</t>
        </is>
      </c>
      <c r="D1133" s="8" t="n">
        <v>945.95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>
        <f>IF(COUNT(D1133:V1133)=0,"",MIN(D1133:V1133))</f>
        <v/>
      </c>
      <c r="X1133" s="8">
        <f>IF(COUNT(D1133:V1133)=0,"",MEDIAN(D1133:V1133))</f>
        <v/>
      </c>
      <c r="Y1133" s="8">
        <f>IF(COUNT(D1133:V1133)=0,"",MAX(D1133:V1133))</f>
        <v/>
      </c>
      <c r="Z1133" s="9">
        <f>IF(OR(W1133="",W1133=0),"",(Y1133-W1133)/W1133)</f>
        <v/>
      </c>
      <c r="AA1133" s="7">
        <f>IF(COUNT(D1133:V1133)=0,"",INDEX($D$1:$V$1,MATCH(MIN(D1133:V1133),D1133:V1133,0)))</f>
        <v/>
      </c>
      <c r="AB1133" s="8" t="n">
        <v>945.95</v>
      </c>
      <c r="AC1133" s="10" t="n">
        <v>1</v>
      </c>
    </row>
    <row r="1134">
      <c r="A1134" s="7" t="inlineStr">
        <is>
          <t>MAT-20-061</t>
        </is>
      </c>
      <c r="B1134" s="4" t="inlineStr">
        <is>
          <t>Barra redonda de acero 1" x 20 pies</t>
        </is>
      </c>
      <c r="C1134" s="7" t="inlineStr">
        <is>
          <t>unidad</t>
        </is>
      </c>
      <c r="D1134" s="8" t="n">
        <v>1666.67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>
        <f>IF(COUNT(D1134:V1134)=0,"",MIN(D1134:V1134))</f>
        <v/>
      </c>
      <c r="X1134" s="8">
        <f>IF(COUNT(D1134:V1134)=0,"",MEDIAN(D1134:V1134))</f>
        <v/>
      </c>
      <c r="Y1134" s="8">
        <f>IF(COUNT(D1134:V1134)=0,"",MAX(D1134:V1134))</f>
        <v/>
      </c>
      <c r="Z1134" s="9">
        <f>IF(OR(W1134="",W1134=0),"",(Y1134-W1134)/W1134)</f>
        <v/>
      </c>
      <c r="AA1134" s="7">
        <f>IF(COUNT(D1134:V1134)=0,"",INDEX($D$1:$V$1,MATCH(MIN(D1134:V1134),D1134:V1134,0)))</f>
        <v/>
      </c>
      <c r="AB1134" s="8" t="n">
        <v>1666.67</v>
      </c>
      <c r="AC1134" s="10" t="n">
        <v>1</v>
      </c>
    </row>
    <row r="1135">
      <c r="A1135" s="7" t="inlineStr">
        <is>
          <t>MAT-20-062</t>
        </is>
      </c>
      <c r="B1135" s="4" t="inlineStr">
        <is>
          <t>Barra redonda torneada de acero 7/16" x 20 pies</t>
        </is>
      </c>
      <c r="C1135" s="7" t="inlineStr">
        <is>
          <t>unidad</t>
        </is>
      </c>
      <c r="D1135" s="8" t="n">
        <v>426.77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>
        <f>IF(COUNT(D1135:V1135)=0,"",MIN(D1135:V1135))</f>
        <v/>
      </c>
      <c r="X1135" s="8">
        <f>IF(COUNT(D1135:V1135)=0,"",MEDIAN(D1135:V1135))</f>
        <v/>
      </c>
      <c r="Y1135" s="8">
        <f>IF(COUNT(D1135:V1135)=0,"",MAX(D1135:V1135))</f>
        <v/>
      </c>
      <c r="Z1135" s="9">
        <f>IF(OR(W1135="",W1135=0),"",(Y1135-W1135)/W1135)</f>
        <v/>
      </c>
      <c r="AA1135" s="7">
        <f>IF(COUNT(D1135:V1135)=0,"",INDEX($D$1:$V$1,MATCH(MIN(D1135:V1135),D1135:V1135,0)))</f>
        <v/>
      </c>
      <c r="AB1135" s="8" t="n">
        <v>426.77</v>
      </c>
      <c r="AC1135" s="10" t="n">
        <v>1</v>
      </c>
    </row>
    <row r="1136">
      <c r="A1136" s="7" t="inlineStr">
        <is>
          <t>MAT-20-063</t>
        </is>
      </c>
      <c r="B1136" s="4" t="inlineStr">
        <is>
          <t>Barra redonda torneada de acero 1/2" x 20 pies</t>
        </is>
      </c>
      <c r="C1136" s="7" t="inlineStr">
        <is>
          <t>unidad</t>
        </is>
      </c>
      <c r="D1136" s="8" t="n">
        <v>553.47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>
        <f>IF(COUNT(D1136:V1136)=0,"",MIN(D1136:V1136))</f>
        <v/>
      </c>
      <c r="X1136" s="8">
        <f>IF(COUNT(D1136:V1136)=0,"",MEDIAN(D1136:V1136))</f>
        <v/>
      </c>
      <c r="Y1136" s="8">
        <f>IF(COUNT(D1136:V1136)=0,"",MAX(D1136:V1136))</f>
        <v/>
      </c>
      <c r="Z1136" s="9">
        <f>IF(OR(W1136="",W1136=0),"",(Y1136-W1136)/W1136)</f>
        <v/>
      </c>
      <c r="AA1136" s="7">
        <f>IF(COUNT(D1136:V1136)=0,"",INDEX($D$1:$V$1,MATCH(MIN(D1136:V1136),D1136:V1136,0)))</f>
        <v/>
      </c>
      <c r="AB1136" s="8" t="n">
        <v>553.47</v>
      </c>
      <c r="AC1136" s="10" t="n">
        <v>1</v>
      </c>
    </row>
    <row r="1137">
      <c r="A1137" s="7" t="inlineStr">
        <is>
          <t>MAT-20-064</t>
        </is>
      </c>
      <c r="B1137" s="4" t="inlineStr">
        <is>
          <t>Barra redonda torneada de acero 5/8" x 20 pies</t>
        </is>
      </c>
      <c r="C1137" s="7" t="inlineStr">
        <is>
          <t>unidad</t>
        </is>
      </c>
      <c r="D1137" s="8" t="n">
        <v>858.38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>
        <f>IF(COUNT(D1137:V1137)=0,"",MIN(D1137:V1137))</f>
        <v/>
      </c>
      <c r="X1137" s="8">
        <f>IF(COUNT(D1137:V1137)=0,"",MEDIAN(D1137:V1137))</f>
        <v/>
      </c>
      <c r="Y1137" s="8">
        <f>IF(COUNT(D1137:V1137)=0,"",MAX(D1137:V1137))</f>
        <v/>
      </c>
      <c r="Z1137" s="9">
        <f>IF(OR(W1137="",W1137=0),"",(Y1137-W1137)/W1137)</f>
        <v/>
      </c>
      <c r="AA1137" s="7">
        <f>IF(COUNT(D1137:V1137)=0,"",INDEX($D$1:$V$1,MATCH(MIN(D1137:V1137),D1137:V1137,0)))</f>
        <v/>
      </c>
      <c r="AB1137" s="8" t="n">
        <v>858.38</v>
      </c>
      <c r="AC1137" s="10" t="n">
        <v>1</v>
      </c>
    </row>
    <row r="1138">
      <c r="A1138" s="7" t="inlineStr">
        <is>
          <t>MAT-21-001</t>
        </is>
      </c>
      <c r="B1138" s="4" t="inlineStr">
        <is>
          <t>Tola negra 1/32", plancha 4 x 8 pies</t>
        </is>
      </c>
      <c r="C1138" s="7" t="inlineStr">
        <is>
          <t>plancha</t>
        </is>
      </c>
      <c r="D1138" s="8" t="n">
        <v>1113.61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>
        <f>IF(COUNT(D1138:V1138)=0,"",MIN(D1138:V1138))</f>
        <v/>
      </c>
      <c r="X1138" s="8">
        <f>IF(COUNT(D1138:V1138)=0,"",MEDIAN(D1138:V1138))</f>
        <v/>
      </c>
      <c r="Y1138" s="8">
        <f>IF(COUNT(D1138:V1138)=0,"",MAX(D1138:V1138))</f>
        <v/>
      </c>
      <c r="Z1138" s="9">
        <f>IF(OR(W1138="",W1138=0),"",(Y1138-W1138)/W1138)</f>
        <v/>
      </c>
      <c r="AA1138" s="7">
        <f>IF(COUNT(D1138:V1138)=0,"",INDEX($D$1:$V$1,MATCH(MIN(D1138:V1138),D1138:V1138,0)))</f>
        <v/>
      </c>
      <c r="AB1138" s="8" t="n">
        <v>1113.61</v>
      </c>
      <c r="AC1138" s="10" t="n">
        <v>1</v>
      </c>
    </row>
    <row r="1139">
      <c r="A1139" s="7" t="inlineStr">
        <is>
          <t>MAT-21-002</t>
        </is>
      </c>
      <c r="B1139" s="4" t="inlineStr">
        <is>
          <t>Tola negra 1/22", plancha 4 x 8 pies</t>
        </is>
      </c>
      <c r="C1139" s="7" t="inlineStr">
        <is>
          <t>plancha</t>
        </is>
      </c>
      <c r="D1139" s="8" t="n">
        <v>1497.04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>
        <f>IF(COUNT(D1139:V1139)=0,"",MIN(D1139:V1139))</f>
        <v/>
      </c>
      <c r="X1139" s="8">
        <f>IF(COUNT(D1139:V1139)=0,"",MEDIAN(D1139:V1139))</f>
        <v/>
      </c>
      <c r="Y1139" s="8">
        <f>IF(COUNT(D1139:V1139)=0,"",MAX(D1139:V1139))</f>
        <v/>
      </c>
      <c r="Z1139" s="9">
        <f>IF(OR(W1139="",W1139=0),"",(Y1139-W1139)/W1139)</f>
        <v/>
      </c>
      <c r="AA1139" s="7">
        <f>IF(COUNT(D1139:V1139)=0,"",INDEX($D$1:$V$1,MATCH(MIN(D1139:V1139),D1139:V1139,0)))</f>
        <v/>
      </c>
      <c r="AB1139" s="8" t="n">
        <v>1497.04</v>
      </c>
      <c r="AC1139" s="10" t="n">
        <v>1</v>
      </c>
    </row>
    <row r="1140">
      <c r="A1140" s="7" t="inlineStr">
        <is>
          <t>MAT-21-003</t>
        </is>
      </c>
      <c r="B1140" s="4" t="inlineStr">
        <is>
          <t>Tola negra 1/16", plancha 4 x 10 pies</t>
        </is>
      </c>
      <c r="C1140" s="7" t="inlineStr">
        <is>
          <t>plancha</t>
        </is>
      </c>
      <c r="D1140" s="8" t="n">
        <v>2938.54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>
        <f>IF(COUNT(D1140:V1140)=0,"",MIN(D1140:V1140))</f>
        <v/>
      </c>
      <c r="X1140" s="8">
        <f>IF(COUNT(D1140:V1140)=0,"",MEDIAN(D1140:V1140))</f>
        <v/>
      </c>
      <c r="Y1140" s="8">
        <f>IF(COUNT(D1140:V1140)=0,"",MAX(D1140:V1140))</f>
        <v/>
      </c>
      <c r="Z1140" s="9">
        <f>IF(OR(W1140="",W1140=0),"",(Y1140-W1140)/W1140)</f>
        <v/>
      </c>
      <c r="AA1140" s="7">
        <f>IF(COUNT(D1140:V1140)=0,"",INDEX($D$1:$V$1,MATCH(MIN(D1140:V1140),D1140:V1140,0)))</f>
        <v/>
      </c>
      <c r="AB1140" s="8" t="n">
        <v>2938.54</v>
      </c>
      <c r="AC1140" s="10" t="n">
        <v>1</v>
      </c>
    </row>
    <row r="1141">
      <c r="A1141" s="7" t="inlineStr">
        <is>
          <t>MAT-21-004</t>
        </is>
      </c>
      <c r="B1141" s="4" t="inlineStr">
        <is>
          <t>Tola negra 1/16", plancha 4 x 8 pies</t>
        </is>
      </c>
      <c r="C1141" s="7" t="inlineStr">
        <is>
          <t>plancha</t>
        </is>
      </c>
      <c r="D1141" s="8" t="n">
        <v>2224.54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>
        <f>IF(COUNT(D1141:V1141)=0,"",MIN(D1141:V1141))</f>
        <v/>
      </c>
      <c r="X1141" s="8">
        <f>IF(COUNT(D1141:V1141)=0,"",MEDIAN(D1141:V1141))</f>
        <v/>
      </c>
      <c r="Y1141" s="8">
        <f>IF(COUNT(D1141:V1141)=0,"",MAX(D1141:V1141))</f>
        <v/>
      </c>
      <c r="Z1141" s="9">
        <f>IF(OR(W1141="",W1141=0),"",(Y1141-W1141)/W1141)</f>
        <v/>
      </c>
      <c r="AA1141" s="7">
        <f>IF(COUNT(D1141:V1141)=0,"",INDEX($D$1:$V$1,MATCH(MIN(D1141:V1141),D1141:V1141,0)))</f>
        <v/>
      </c>
      <c r="AB1141" s="8" t="n">
        <v>2224.54</v>
      </c>
      <c r="AC1141" s="10" t="n">
        <v>1</v>
      </c>
    </row>
    <row r="1142">
      <c r="A1142" s="7" t="inlineStr">
        <is>
          <t>MAT-21-005</t>
        </is>
      </c>
      <c r="B1142" s="4" t="inlineStr">
        <is>
          <t>Tola negra 3/32", plancha 4 x 8 pies</t>
        </is>
      </c>
      <c r="C1142" s="7" t="inlineStr">
        <is>
          <t>plancha</t>
        </is>
      </c>
      <c r="D1142" s="8" t="n">
        <v>3132.92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>
        <f>IF(COUNT(D1142:V1142)=0,"",MIN(D1142:V1142))</f>
        <v/>
      </c>
      <c r="X1142" s="8">
        <f>IF(COUNT(D1142:V1142)=0,"",MEDIAN(D1142:V1142))</f>
        <v/>
      </c>
      <c r="Y1142" s="8">
        <f>IF(COUNT(D1142:V1142)=0,"",MAX(D1142:V1142))</f>
        <v/>
      </c>
      <c r="Z1142" s="9">
        <f>IF(OR(W1142="",W1142=0),"",(Y1142-W1142)/W1142)</f>
        <v/>
      </c>
      <c r="AA1142" s="7">
        <f>IF(COUNT(D1142:V1142)=0,"",INDEX($D$1:$V$1,MATCH(MIN(D1142:V1142),D1142:V1142,0)))</f>
        <v/>
      </c>
      <c r="AB1142" s="8" t="n">
        <v>3132.92</v>
      </c>
      <c r="AC1142" s="10" t="n">
        <v>1</v>
      </c>
    </row>
    <row r="1143">
      <c r="A1143" s="7" t="inlineStr">
        <is>
          <t>MAT-21-006</t>
        </is>
      </c>
      <c r="B1143" s="4" t="inlineStr">
        <is>
          <t>Tola negra 1/8", plancha 4 x 10 pies</t>
        </is>
      </c>
      <c r="C1143" s="7" t="inlineStr">
        <is>
          <t>plancha</t>
        </is>
      </c>
      <c r="D1143" s="8" t="n">
        <v>5622.83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>
        <f>IF(COUNT(D1143:V1143)=0,"",MIN(D1143:V1143))</f>
        <v/>
      </c>
      <c r="X1143" s="8">
        <f>IF(COUNT(D1143:V1143)=0,"",MEDIAN(D1143:V1143))</f>
        <v/>
      </c>
      <c r="Y1143" s="8">
        <f>IF(COUNT(D1143:V1143)=0,"",MAX(D1143:V1143))</f>
        <v/>
      </c>
      <c r="Z1143" s="9">
        <f>IF(OR(W1143="",W1143=0),"",(Y1143-W1143)/W1143)</f>
        <v/>
      </c>
      <c r="AA1143" s="7">
        <f>IF(COUNT(D1143:V1143)=0,"",INDEX($D$1:$V$1,MATCH(MIN(D1143:V1143),D1143:V1143,0)))</f>
        <v/>
      </c>
      <c r="AB1143" s="8" t="n">
        <v>5622.83</v>
      </c>
      <c r="AC1143" s="10" t="n">
        <v>1</v>
      </c>
    </row>
    <row r="1144">
      <c r="A1144" s="7" t="inlineStr">
        <is>
          <t>MAT-21-007</t>
        </is>
      </c>
      <c r="B1144" s="4" t="inlineStr">
        <is>
          <t>Tola negra 1/8", plancha 4 x 8 pies</t>
        </is>
      </c>
      <c r="C1144" s="7" t="inlineStr">
        <is>
          <t>plancha</t>
        </is>
      </c>
      <c r="D1144" s="8" t="n">
        <v>4104.8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>
        <f>IF(COUNT(D1144:V1144)=0,"",MIN(D1144:V1144))</f>
        <v/>
      </c>
      <c r="X1144" s="8">
        <f>IF(COUNT(D1144:V1144)=0,"",MEDIAN(D1144:V1144))</f>
        <v/>
      </c>
      <c r="Y1144" s="8">
        <f>IF(COUNT(D1144:V1144)=0,"",MAX(D1144:V1144))</f>
        <v/>
      </c>
      <c r="Z1144" s="9">
        <f>IF(OR(W1144="",W1144=0),"",(Y1144-W1144)/W1144)</f>
        <v/>
      </c>
      <c r="AA1144" s="7">
        <f>IF(COUNT(D1144:V1144)=0,"",INDEX($D$1:$V$1,MATCH(MIN(D1144:V1144),D1144:V1144,0)))</f>
        <v/>
      </c>
      <c r="AB1144" s="8" t="n">
        <v>4104.8</v>
      </c>
      <c r="AC1144" s="10" t="n">
        <v>1</v>
      </c>
    </row>
    <row r="1145">
      <c r="A1145" s="7" t="inlineStr">
        <is>
          <t>MAT-21-008</t>
        </is>
      </c>
      <c r="B1145" s="4" t="inlineStr">
        <is>
          <t>Tola negra 1/8", plancha 5 x 10 pies</t>
        </is>
      </c>
      <c r="C1145" s="7" t="inlineStr">
        <is>
          <t>plancha</t>
        </is>
      </c>
      <c r="D1145" s="8" t="n">
        <v>6428.83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>
        <f>IF(COUNT(D1145:V1145)=0,"",MIN(D1145:V1145))</f>
        <v/>
      </c>
      <c r="X1145" s="8">
        <f>IF(COUNT(D1145:V1145)=0,"",MEDIAN(D1145:V1145))</f>
        <v/>
      </c>
      <c r="Y1145" s="8">
        <f>IF(COUNT(D1145:V1145)=0,"",MAX(D1145:V1145))</f>
        <v/>
      </c>
      <c r="Z1145" s="9">
        <f>IF(OR(W1145="",W1145=0),"",(Y1145-W1145)/W1145)</f>
        <v/>
      </c>
      <c r="AA1145" s="7">
        <f>IF(COUNT(D1145:V1145)=0,"",INDEX($D$1:$V$1,MATCH(MIN(D1145:V1145),D1145:V1145,0)))</f>
        <v/>
      </c>
      <c r="AB1145" s="8" t="n">
        <v>6428.83</v>
      </c>
      <c r="AC1145" s="10" t="n">
        <v>1</v>
      </c>
    </row>
    <row r="1146">
      <c r="A1146" s="7" t="inlineStr">
        <is>
          <t>MAT-21-009</t>
        </is>
      </c>
      <c r="B1146" s="4" t="inlineStr">
        <is>
          <t>Tola negra 3/16", plancha 4 x 8 pies</t>
        </is>
      </c>
      <c r="C1146" s="7" t="inlineStr">
        <is>
          <t>plancha</t>
        </is>
      </c>
      <c r="D1146" s="8" t="n">
        <v>6678.8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>
        <f>IF(COUNT(D1146:V1146)=0,"",MIN(D1146:V1146))</f>
        <v/>
      </c>
      <c r="X1146" s="8">
        <f>IF(COUNT(D1146:V1146)=0,"",MEDIAN(D1146:V1146))</f>
        <v/>
      </c>
      <c r="Y1146" s="8">
        <f>IF(COUNT(D1146:V1146)=0,"",MAX(D1146:V1146))</f>
        <v/>
      </c>
      <c r="Z1146" s="9">
        <f>IF(OR(W1146="",W1146=0),"",(Y1146-W1146)/W1146)</f>
        <v/>
      </c>
      <c r="AA1146" s="7">
        <f>IF(COUNT(D1146:V1146)=0,"",INDEX($D$1:$V$1,MATCH(MIN(D1146:V1146),D1146:V1146,0)))</f>
        <v/>
      </c>
      <c r="AB1146" s="8" t="n">
        <v>6678.8</v>
      </c>
      <c r="AC1146" s="10" t="n">
        <v>1</v>
      </c>
    </row>
    <row r="1147">
      <c r="A1147" s="7" t="inlineStr">
        <is>
          <t>MAT-21-010</t>
        </is>
      </c>
      <c r="B1147" s="4" t="inlineStr">
        <is>
          <t>Tola negra 3/16", plancha 5 x 10 pies</t>
        </is>
      </c>
      <c r="C1147" s="7" t="inlineStr">
        <is>
          <t>plancha</t>
        </is>
      </c>
      <c r="D1147" s="8" t="n">
        <v>10410.48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>
        <f>IF(COUNT(D1147:V1147)=0,"",MIN(D1147:V1147))</f>
        <v/>
      </c>
      <c r="X1147" s="8">
        <f>IF(COUNT(D1147:V1147)=0,"",MEDIAN(D1147:V1147))</f>
        <v/>
      </c>
      <c r="Y1147" s="8">
        <f>IF(COUNT(D1147:V1147)=0,"",MAX(D1147:V1147))</f>
        <v/>
      </c>
      <c r="Z1147" s="9">
        <f>IF(OR(W1147="",W1147=0),"",(Y1147-W1147)/W1147)</f>
        <v/>
      </c>
      <c r="AA1147" s="7">
        <f>IF(COUNT(D1147:V1147)=0,"",INDEX($D$1:$V$1,MATCH(MIN(D1147:V1147),D1147:V1147,0)))</f>
        <v/>
      </c>
      <c r="AB1147" s="8" t="n">
        <v>10410.48</v>
      </c>
      <c r="AC1147" s="10" t="n">
        <v>1</v>
      </c>
    </row>
    <row r="1148">
      <c r="A1148" s="7" t="inlineStr">
        <is>
          <t>MAT-21-011</t>
        </is>
      </c>
      <c r="B1148" s="4" t="inlineStr">
        <is>
          <t>Tola negra 3/16", plancha 6 x 10 pies</t>
        </is>
      </c>
      <c r="C1148" s="7" t="inlineStr">
        <is>
          <t>plancha</t>
        </is>
      </c>
      <c r="D1148" s="8" t="n">
        <v>12392.84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>
        <f>IF(COUNT(D1148:V1148)=0,"",MIN(D1148:V1148))</f>
        <v/>
      </c>
      <c r="X1148" s="8">
        <f>IF(COUNT(D1148:V1148)=0,"",MEDIAN(D1148:V1148))</f>
        <v/>
      </c>
      <c r="Y1148" s="8">
        <f>IF(COUNT(D1148:V1148)=0,"",MAX(D1148:V1148))</f>
        <v/>
      </c>
      <c r="Z1148" s="9">
        <f>IF(OR(W1148="",W1148=0),"",(Y1148-W1148)/W1148)</f>
        <v/>
      </c>
      <c r="AA1148" s="7">
        <f>IF(COUNT(D1148:V1148)=0,"",INDEX($D$1:$V$1,MATCH(MIN(D1148:V1148),D1148:V1148,0)))</f>
        <v/>
      </c>
      <c r="AB1148" s="8" t="n">
        <v>12392.84</v>
      </c>
      <c r="AC1148" s="10" t="n">
        <v>1</v>
      </c>
    </row>
    <row r="1149">
      <c r="A1149" s="7" t="inlineStr">
        <is>
          <t>MAT-21-012</t>
        </is>
      </c>
      <c r="B1149" s="4" t="inlineStr">
        <is>
          <t>Tola negra 1/4", plancha 4 x 8 pies</t>
        </is>
      </c>
      <c r="C1149" s="7" t="inlineStr">
        <is>
          <t>plancha</t>
        </is>
      </c>
      <c r="D1149" s="8" t="n">
        <v>8276.58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>
        <f>IF(COUNT(D1149:V1149)=0,"",MIN(D1149:V1149))</f>
        <v/>
      </c>
      <c r="X1149" s="8">
        <f>IF(COUNT(D1149:V1149)=0,"",MEDIAN(D1149:V1149))</f>
        <v/>
      </c>
      <c r="Y1149" s="8">
        <f>IF(COUNT(D1149:V1149)=0,"",MAX(D1149:V1149))</f>
        <v/>
      </c>
      <c r="Z1149" s="9">
        <f>IF(OR(W1149="",W1149=0),"",(Y1149-W1149)/W1149)</f>
        <v/>
      </c>
      <c r="AA1149" s="7">
        <f>IF(COUNT(D1149:V1149)=0,"",INDEX($D$1:$V$1,MATCH(MIN(D1149:V1149),D1149:V1149,0)))</f>
        <v/>
      </c>
      <c r="AB1149" s="8" t="n">
        <v>8276.58</v>
      </c>
      <c r="AC1149" s="10" t="n">
        <v>1</v>
      </c>
    </row>
    <row r="1150">
      <c r="A1150" s="7" t="inlineStr">
        <is>
          <t>MAT-21-013</t>
        </is>
      </c>
      <c r="B1150" s="4" t="inlineStr">
        <is>
          <t>Tola negra 1/4", plancha 6 x 10 pies</t>
        </is>
      </c>
      <c r="C1150" s="7" t="inlineStr">
        <is>
          <t>plancha</t>
        </is>
      </c>
      <c r="D1150" s="8" t="n">
        <v>16280.34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>
        <f>IF(COUNT(D1150:V1150)=0,"",MIN(D1150:V1150))</f>
        <v/>
      </c>
      <c r="X1150" s="8">
        <f>IF(COUNT(D1150:V1150)=0,"",MEDIAN(D1150:V1150))</f>
        <v/>
      </c>
      <c r="Y1150" s="8">
        <f>IF(COUNT(D1150:V1150)=0,"",MAX(D1150:V1150))</f>
        <v/>
      </c>
      <c r="Z1150" s="9">
        <f>IF(OR(W1150="",W1150=0),"",(Y1150-W1150)/W1150)</f>
        <v/>
      </c>
      <c r="AA1150" s="7">
        <f>IF(COUNT(D1150:V1150)=0,"",INDEX($D$1:$V$1,MATCH(MIN(D1150:V1150),D1150:V1150,0)))</f>
        <v/>
      </c>
      <c r="AB1150" s="8" t="n">
        <v>16280.34</v>
      </c>
      <c r="AC1150" s="10" t="n">
        <v>1</v>
      </c>
    </row>
    <row r="1151">
      <c r="A1151" s="7" t="inlineStr">
        <is>
          <t>MAT-21-014</t>
        </is>
      </c>
      <c r="B1151" s="4" t="inlineStr">
        <is>
          <t>Tola negra 3/8", plancha 4 x 8 pies</t>
        </is>
      </c>
      <c r="C1151" s="7" t="inlineStr">
        <is>
          <t>plancha</t>
        </is>
      </c>
      <c r="D1151" s="8" t="n">
        <v>12665.86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>
        <f>IF(COUNT(D1151:V1151)=0,"",MIN(D1151:V1151))</f>
        <v/>
      </c>
      <c r="X1151" s="8">
        <f>IF(COUNT(D1151:V1151)=0,"",MEDIAN(D1151:V1151))</f>
        <v/>
      </c>
      <c r="Y1151" s="8">
        <f>IF(COUNT(D1151:V1151)=0,"",MAX(D1151:V1151))</f>
        <v/>
      </c>
      <c r="Z1151" s="9">
        <f>IF(OR(W1151="",W1151=0),"",(Y1151-W1151)/W1151)</f>
        <v/>
      </c>
      <c r="AA1151" s="7">
        <f>IF(COUNT(D1151:V1151)=0,"",INDEX($D$1:$V$1,MATCH(MIN(D1151:V1151),D1151:V1151,0)))</f>
        <v/>
      </c>
      <c r="AB1151" s="8" t="n">
        <v>12665.86</v>
      </c>
      <c r="AC1151" s="10" t="n">
        <v>1</v>
      </c>
    </row>
    <row r="1152">
      <c r="A1152" s="7" t="inlineStr">
        <is>
          <t>MAT-21-015</t>
        </is>
      </c>
      <c r="B1152" s="4" t="inlineStr">
        <is>
          <t>Tola negra 5/8", plancha 4 x 8 pies</t>
        </is>
      </c>
      <c r="C1152" s="7" t="inlineStr">
        <is>
          <t>plancha</t>
        </is>
      </c>
      <c r="D1152" s="8" t="n">
        <v>21001.52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>
        <f>IF(COUNT(D1152:V1152)=0,"",MIN(D1152:V1152))</f>
        <v/>
      </c>
      <c r="X1152" s="8">
        <f>IF(COUNT(D1152:V1152)=0,"",MEDIAN(D1152:V1152))</f>
        <v/>
      </c>
      <c r="Y1152" s="8">
        <f>IF(COUNT(D1152:V1152)=0,"",MAX(D1152:V1152))</f>
        <v/>
      </c>
      <c r="Z1152" s="9">
        <f>IF(OR(W1152="",W1152=0),"",(Y1152-W1152)/W1152)</f>
        <v/>
      </c>
      <c r="AA1152" s="7">
        <f>IF(COUNT(D1152:V1152)=0,"",INDEX($D$1:$V$1,MATCH(MIN(D1152:V1152),D1152:V1152,0)))</f>
        <v/>
      </c>
      <c r="AB1152" s="8" t="n">
        <v>21001.52</v>
      </c>
      <c r="AC1152" s="10" t="n">
        <v>1</v>
      </c>
    </row>
    <row r="1153">
      <c r="A1153" s="7" t="inlineStr">
        <is>
          <t>MAT-21-016</t>
        </is>
      </c>
      <c r="B1153" s="4" t="inlineStr">
        <is>
          <t>Tola negra 1", plancha 4 x 8 pies</t>
        </is>
      </c>
      <c r="C1153" s="7" t="inlineStr">
        <is>
          <t>plancha</t>
        </is>
      </c>
      <c r="D1153" s="8" t="n">
        <v>37319.49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>
        <f>IF(COUNT(D1153:V1153)=0,"",MIN(D1153:V1153))</f>
        <v/>
      </c>
      <c r="X1153" s="8">
        <f>IF(COUNT(D1153:V1153)=0,"",MEDIAN(D1153:V1153))</f>
        <v/>
      </c>
      <c r="Y1153" s="8">
        <f>IF(COUNT(D1153:V1153)=0,"",MAX(D1153:V1153))</f>
        <v/>
      </c>
      <c r="Z1153" s="9">
        <f>IF(OR(W1153="",W1153=0),"",(Y1153-W1153)/W1153)</f>
        <v/>
      </c>
      <c r="AA1153" s="7">
        <f>IF(COUNT(D1153:V1153)=0,"",INDEX($D$1:$V$1,MATCH(MIN(D1153:V1153),D1153:V1153,0)))</f>
        <v/>
      </c>
      <c r="AB1153" s="8" t="n">
        <v>37319.49</v>
      </c>
      <c r="AC1153" s="10" t="n">
        <v>1</v>
      </c>
    </row>
    <row r="1154">
      <c r="A1154" s="7" t="inlineStr">
        <is>
          <t>MAT-21-017</t>
        </is>
      </c>
      <c r="B1154" s="4" t="inlineStr">
        <is>
          <t>Tola corrugada 3/32", plancha 4 x 8 pies</t>
        </is>
      </c>
      <c r="C1154" s="7" t="inlineStr">
        <is>
          <t>plancha</t>
        </is>
      </c>
      <c r="D1154" s="8" t="n">
        <v>3253.65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>
        <f>IF(COUNT(D1154:V1154)=0,"",MIN(D1154:V1154))</f>
        <v/>
      </c>
      <c r="X1154" s="8">
        <f>IF(COUNT(D1154:V1154)=0,"",MEDIAN(D1154:V1154))</f>
        <v/>
      </c>
      <c r="Y1154" s="8">
        <f>IF(COUNT(D1154:V1154)=0,"",MAX(D1154:V1154))</f>
        <v/>
      </c>
      <c r="Z1154" s="9">
        <f>IF(OR(W1154="",W1154=0),"",(Y1154-W1154)/W1154)</f>
        <v/>
      </c>
      <c r="AA1154" s="7">
        <f>IF(COUNT(D1154:V1154)=0,"",INDEX($D$1:$V$1,MATCH(MIN(D1154:V1154),D1154:V1154,0)))</f>
        <v/>
      </c>
      <c r="AB1154" s="8" t="n">
        <v>3253.65</v>
      </c>
      <c r="AC1154" s="10" t="n">
        <v>1</v>
      </c>
    </row>
    <row r="1155">
      <c r="A1155" s="7" t="inlineStr">
        <is>
          <t>MAT-21-018</t>
        </is>
      </c>
      <c r="B1155" s="4" t="inlineStr">
        <is>
          <t>Tola corrugada 1/8", plancha 4 x 8 pies</t>
        </is>
      </c>
      <c r="C1155" s="7" t="inlineStr">
        <is>
          <t>plancha</t>
        </is>
      </c>
      <c r="D1155" s="8" t="n">
        <v>4279.86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>
        <f>IF(COUNT(D1155:V1155)=0,"",MIN(D1155:V1155))</f>
        <v/>
      </c>
      <c r="X1155" s="8">
        <f>IF(COUNT(D1155:V1155)=0,"",MEDIAN(D1155:V1155))</f>
        <v/>
      </c>
      <c r="Y1155" s="8">
        <f>IF(COUNT(D1155:V1155)=0,"",MAX(D1155:V1155))</f>
        <v/>
      </c>
      <c r="Z1155" s="9">
        <f>IF(OR(W1155="",W1155=0),"",(Y1155-W1155)/W1155)</f>
        <v/>
      </c>
      <c r="AA1155" s="7">
        <f>IF(COUNT(D1155:V1155)=0,"",INDEX($D$1:$V$1,MATCH(MIN(D1155:V1155),D1155:V1155,0)))</f>
        <v/>
      </c>
      <c r="AB1155" s="8" t="n">
        <v>4279.86</v>
      </c>
      <c r="AC1155" s="10" t="n">
        <v>1</v>
      </c>
    </row>
    <row r="1156">
      <c r="A1156" s="7" t="inlineStr">
        <is>
          <t>MAT-21-019</t>
        </is>
      </c>
      <c r="B1156" s="4" t="inlineStr">
        <is>
          <t>Tola corrugada 3/16", plancha 4 x 8 pies</t>
        </is>
      </c>
      <c r="C1156" s="7" t="inlineStr">
        <is>
          <t>plancha</t>
        </is>
      </c>
      <c r="D1156" s="8" t="n">
        <v>6433.47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>
        <f>IF(COUNT(D1156:V1156)=0,"",MIN(D1156:V1156))</f>
        <v/>
      </c>
      <c r="X1156" s="8">
        <f>IF(COUNT(D1156:V1156)=0,"",MEDIAN(D1156:V1156))</f>
        <v/>
      </c>
      <c r="Y1156" s="8">
        <f>IF(COUNT(D1156:V1156)=0,"",MAX(D1156:V1156))</f>
        <v/>
      </c>
      <c r="Z1156" s="9">
        <f>IF(OR(W1156="",W1156=0),"",(Y1156-W1156)/W1156)</f>
        <v/>
      </c>
      <c r="AA1156" s="7">
        <f>IF(COUNT(D1156:V1156)=0,"",INDEX($D$1:$V$1,MATCH(MIN(D1156:V1156),D1156:V1156,0)))</f>
        <v/>
      </c>
      <c r="AB1156" s="8" t="n">
        <v>6433.47</v>
      </c>
      <c r="AC1156" s="10" t="n">
        <v>1</v>
      </c>
    </row>
    <row r="1157">
      <c r="A1157" s="7" t="inlineStr">
        <is>
          <t>MAT-21-020</t>
        </is>
      </c>
      <c r="B1157" s="4" t="inlineStr">
        <is>
          <t>Tola galvanizada 4 x 8 pies, 25 lb</t>
        </is>
      </c>
      <c r="C1157" s="7" t="inlineStr">
        <is>
          <t>plancha</t>
        </is>
      </c>
      <c r="D1157" s="8" t="n">
        <v>825.17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>
        <f>IF(COUNT(D1157:V1157)=0,"",MIN(D1157:V1157))</f>
        <v/>
      </c>
      <c r="X1157" s="8">
        <f>IF(COUNT(D1157:V1157)=0,"",MEDIAN(D1157:V1157))</f>
        <v/>
      </c>
      <c r="Y1157" s="8">
        <f>IF(COUNT(D1157:V1157)=0,"",MAX(D1157:V1157))</f>
        <v/>
      </c>
      <c r="Z1157" s="9">
        <f>IF(OR(W1157="",W1157=0),"",(Y1157-W1157)/W1157)</f>
        <v/>
      </c>
      <c r="AA1157" s="7">
        <f>IF(COUNT(D1157:V1157)=0,"",INDEX($D$1:$V$1,MATCH(MIN(D1157:V1157),D1157:V1157,0)))</f>
        <v/>
      </c>
      <c r="AB1157" s="8" t="n">
        <v>825.17</v>
      </c>
      <c r="AC1157" s="10" t="n">
        <v>1</v>
      </c>
    </row>
    <row r="1158">
      <c r="A1158" s="7" t="inlineStr">
        <is>
          <t>MAT-21-021</t>
        </is>
      </c>
      <c r="B1158" s="4" t="inlineStr">
        <is>
          <t>Tola galvanizada 4 x 8 pies, 32 lb</t>
        </is>
      </c>
      <c r="C1158" s="7" t="inlineStr">
        <is>
          <t>plancha</t>
        </is>
      </c>
      <c r="D1158" s="8" t="n">
        <v>952.1900000000001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>
        <f>IF(COUNT(D1158:V1158)=0,"",MIN(D1158:V1158))</f>
        <v/>
      </c>
      <c r="X1158" s="8">
        <f>IF(COUNT(D1158:V1158)=0,"",MEDIAN(D1158:V1158))</f>
        <v/>
      </c>
      <c r="Y1158" s="8">
        <f>IF(COUNT(D1158:V1158)=0,"",MAX(D1158:V1158))</f>
        <v/>
      </c>
      <c r="Z1158" s="9">
        <f>IF(OR(W1158="",W1158=0),"",(Y1158-W1158)/W1158)</f>
        <v/>
      </c>
      <c r="AA1158" s="7">
        <f>IF(COUNT(D1158:V1158)=0,"",INDEX($D$1:$V$1,MATCH(MIN(D1158:V1158),D1158:V1158,0)))</f>
        <v/>
      </c>
      <c r="AB1158" s="8" t="n">
        <v>952.1900000000001</v>
      </c>
      <c r="AC1158" s="10" t="n">
        <v>1</v>
      </c>
    </row>
    <row r="1159">
      <c r="A1159" s="7" t="inlineStr">
        <is>
          <t>MAT-21-022</t>
        </is>
      </c>
      <c r="B1159" s="4" t="inlineStr">
        <is>
          <t>Tola galvanizada 4 x 8 pies, 44 lb</t>
        </is>
      </c>
      <c r="C1159" s="7" t="inlineStr">
        <is>
          <t>plancha</t>
        </is>
      </c>
      <c r="D1159" s="8" t="n">
        <v>1169.6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>
        <f>IF(COUNT(D1159:V1159)=0,"",MIN(D1159:V1159))</f>
        <v/>
      </c>
      <c r="X1159" s="8">
        <f>IF(COUNT(D1159:V1159)=0,"",MEDIAN(D1159:V1159))</f>
        <v/>
      </c>
      <c r="Y1159" s="8">
        <f>IF(COUNT(D1159:V1159)=0,"",MAX(D1159:V1159))</f>
        <v/>
      </c>
      <c r="Z1159" s="9">
        <f>IF(OR(W1159="",W1159=0),"",(Y1159-W1159)/W1159)</f>
        <v/>
      </c>
      <c r="AA1159" s="7">
        <f>IF(COUNT(D1159:V1159)=0,"",INDEX($D$1:$V$1,MATCH(MIN(D1159:V1159),D1159:V1159,0)))</f>
        <v/>
      </c>
      <c r="AB1159" s="8" t="n">
        <v>1169.6</v>
      </c>
      <c r="AC1159" s="10" t="n">
        <v>1</v>
      </c>
    </row>
    <row r="1160">
      <c r="A1160" s="7" t="inlineStr">
        <is>
          <t>MAT-21-023</t>
        </is>
      </c>
      <c r="B1160" s="4" t="inlineStr">
        <is>
          <t>Tola galvanizada 4 x 8 pies, 52 lb</t>
        </is>
      </c>
      <c r="C1160" s="7" t="inlineStr">
        <is>
          <t>plancha</t>
        </is>
      </c>
      <c r="D1160" s="8" t="n">
        <v>1551.37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>
        <f>IF(COUNT(D1160:V1160)=0,"",MIN(D1160:V1160))</f>
        <v/>
      </c>
      <c r="X1160" s="8">
        <f>IF(COUNT(D1160:V1160)=0,"",MEDIAN(D1160:V1160))</f>
        <v/>
      </c>
      <c r="Y1160" s="8">
        <f>IF(COUNT(D1160:V1160)=0,"",MAX(D1160:V1160))</f>
        <v/>
      </c>
      <c r="Z1160" s="9">
        <f>IF(OR(W1160="",W1160=0),"",(Y1160-W1160)/W1160)</f>
        <v/>
      </c>
      <c r="AA1160" s="7">
        <f>IF(COUNT(D1160:V1160)=0,"",INDEX($D$1:$V$1,MATCH(MIN(D1160:V1160),D1160:V1160,0)))</f>
        <v/>
      </c>
      <c r="AB1160" s="8" t="n">
        <v>1551.37</v>
      </c>
      <c r="AC1160" s="10" t="n">
        <v>1</v>
      </c>
    </row>
    <row r="1161">
      <c r="A1161" s="7" t="inlineStr">
        <is>
          <t>MAT-21-024</t>
        </is>
      </c>
      <c r="B1161" s="4" t="inlineStr">
        <is>
          <t>Tola galvanizada 4 x 8 pies, 83.75 lb</t>
        </is>
      </c>
      <c r="C1161" s="7" t="inlineStr">
        <is>
          <t>plancha</t>
        </is>
      </c>
      <c r="D1161" s="8" t="n">
        <v>2364.86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>
        <f>IF(COUNT(D1161:V1161)=0,"",MIN(D1161:V1161))</f>
        <v/>
      </c>
      <c r="X1161" s="8">
        <f>IF(COUNT(D1161:V1161)=0,"",MEDIAN(D1161:V1161))</f>
        <v/>
      </c>
      <c r="Y1161" s="8">
        <f>IF(COUNT(D1161:V1161)=0,"",MAX(D1161:V1161))</f>
        <v/>
      </c>
      <c r="Z1161" s="9">
        <f>IF(OR(W1161="",W1161=0),"",(Y1161-W1161)/W1161)</f>
        <v/>
      </c>
      <c r="AA1161" s="7">
        <f>IF(COUNT(D1161:V1161)=0,"",INDEX($D$1:$V$1,MATCH(MIN(D1161:V1161),D1161:V1161,0)))</f>
        <v/>
      </c>
      <c r="AB1161" s="8" t="n">
        <v>2364.86</v>
      </c>
      <c r="AC1161" s="10" t="n">
        <v>1</v>
      </c>
    </row>
    <row r="1162">
      <c r="A1162" s="7" t="inlineStr">
        <is>
          <t>MAT-21-025</t>
        </is>
      </c>
      <c r="B1162" s="4" t="inlineStr">
        <is>
          <t>Metal desplegable plano 3/8", plancha 4 x 8 pies</t>
        </is>
      </c>
      <c r="C1162" s="7" t="inlineStr">
        <is>
          <t>plancha</t>
        </is>
      </c>
      <c r="D1162" s="8" t="n">
        <v>2209.05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>
        <f>IF(COUNT(D1162:V1162)=0,"",MIN(D1162:V1162))</f>
        <v/>
      </c>
      <c r="X1162" s="8">
        <f>IF(COUNT(D1162:V1162)=0,"",MEDIAN(D1162:V1162))</f>
        <v/>
      </c>
      <c r="Y1162" s="8">
        <f>IF(COUNT(D1162:V1162)=0,"",MAX(D1162:V1162))</f>
        <v/>
      </c>
      <c r="Z1162" s="9">
        <f>IF(OR(W1162="",W1162=0),"",(Y1162-W1162)/W1162)</f>
        <v/>
      </c>
      <c r="AA1162" s="7">
        <f>IF(COUNT(D1162:V1162)=0,"",INDEX($D$1:$V$1,MATCH(MIN(D1162:V1162),D1162:V1162,0)))</f>
        <v/>
      </c>
      <c r="AB1162" s="8" t="n">
        <v>2209.05</v>
      </c>
      <c r="AC1162" s="10" t="n">
        <v>1</v>
      </c>
    </row>
    <row r="1163">
      <c r="A1163" s="7" t="inlineStr">
        <is>
          <t>MAT-21-026</t>
        </is>
      </c>
      <c r="B1163" s="4" t="inlineStr">
        <is>
          <t>Metal desplegable plano 1/2", plancha 4 x 8 pies</t>
        </is>
      </c>
      <c r="C1163" s="7" t="inlineStr">
        <is>
          <t>plancha</t>
        </is>
      </c>
      <c r="D1163" s="8" t="n">
        <v>765.55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>
        <f>IF(COUNT(D1163:V1163)=0,"",MIN(D1163:V1163))</f>
        <v/>
      </c>
      <c r="X1163" s="8">
        <f>IF(COUNT(D1163:V1163)=0,"",MEDIAN(D1163:V1163))</f>
        <v/>
      </c>
      <c r="Y1163" s="8">
        <f>IF(COUNT(D1163:V1163)=0,"",MAX(D1163:V1163))</f>
        <v/>
      </c>
      <c r="Z1163" s="9">
        <f>IF(OR(W1163="",W1163=0),"",(Y1163-W1163)/W1163)</f>
        <v/>
      </c>
      <c r="AA1163" s="7">
        <f>IF(COUNT(D1163:V1163)=0,"",INDEX($D$1:$V$1,MATCH(MIN(D1163:V1163),D1163:V1163,0)))</f>
        <v/>
      </c>
      <c r="AB1163" s="8" t="n">
        <v>765.55</v>
      </c>
      <c r="AC1163" s="10" t="n">
        <v>1</v>
      </c>
    </row>
    <row r="1164">
      <c r="A1164" s="7" t="inlineStr">
        <is>
          <t>MAT-21-027</t>
        </is>
      </c>
      <c r="B1164" s="4" t="inlineStr">
        <is>
          <t>Metal desplegable plano 3/4", plancha 4 x 8 pies</t>
        </is>
      </c>
      <c r="C1164" s="7" t="inlineStr">
        <is>
          <t>plancha</t>
        </is>
      </c>
      <c r="D1164" s="8" t="n">
        <v>850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>
        <f>IF(COUNT(D1164:V1164)=0,"",MIN(D1164:V1164))</f>
        <v/>
      </c>
      <c r="X1164" s="8">
        <f>IF(COUNT(D1164:V1164)=0,"",MEDIAN(D1164:V1164))</f>
        <v/>
      </c>
      <c r="Y1164" s="8">
        <f>IF(COUNT(D1164:V1164)=0,"",MAX(D1164:V1164))</f>
        <v/>
      </c>
      <c r="Z1164" s="9">
        <f>IF(OR(W1164="",W1164=0),"",(Y1164-W1164)/W1164)</f>
        <v/>
      </c>
      <c r="AA1164" s="7">
        <f>IF(COUNT(D1164:V1164)=0,"",INDEX($D$1:$V$1,MATCH(MIN(D1164:V1164),D1164:V1164,0)))</f>
        <v/>
      </c>
      <c r="AB1164" s="8" t="n">
        <v>850</v>
      </c>
      <c r="AC1164" s="10" t="n">
        <v>1</v>
      </c>
    </row>
    <row r="1165">
      <c r="A1165" s="7" t="inlineStr">
        <is>
          <t>MAT-21-028</t>
        </is>
      </c>
      <c r="B1165" s="4" t="inlineStr">
        <is>
          <t>Metal desplegable plano 1", plancha 4 x 8 pies</t>
        </is>
      </c>
      <c r="C1165" s="7" t="inlineStr">
        <is>
          <t>plancha</t>
        </is>
      </c>
      <c r="D1165" s="8" t="n">
        <v>1080.47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>
        <f>IF(COUNT(D1165:V1165)=0,"",MIN(D1165:V1165))</f>
        <v/>
      </c>
      <c r="X1165" s="8">
        <f>IF(COUNT(D1165:V1165)=0,"",MEDIAN(D1165:V1165))</f>
        <v/>
      </c>
      <c r="Y1165" s="8">
        <f>IF(COUNT(D1165:V1165)=0,"",MAX(D1165:V1165))</f>
        <v/>
      </c>
      <c r="Z1165" s="9">
        <f>IF(OR(W1165="",W1165=0),"",(Y1165-W1165)/W1165)</f>
        <v/>
      </c>
      <c r="AA1165" s="7">
        <f>IF(COUNT(D1165:V1165)=0,"",INDEX($D$1:$V$1,MATCH(MIN(D1165:V1165),D1165:V1165,0)))</f>
        <v/>
      </c>
      <c r="AB1165" s="8" t="n">
        <v>1080.47</v>
      </c>
      <c r="AC1165" s="10" t="n">
        <v>1</v>
      </c>
    </row>
    <row r="1166">
      <c r="A1166" s="7" t="inlineStr">
        <is>
          <t>MAT-21-029</t>
        </is>
      </c>
      <c r="B1166" s="4" t="inlineStr">
        <is>
          <t>Metal desplegable plano 1 1/2", plancha 4 x 8 pies</t>
        </is>
      </c>
      <c r="C1166" s="7" t="inlineStr">
        <is>
          <t>plancha</t>
        </is>
      </c>
      <c r="D1166" s="8" t="n">
        <v>939.35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>
        <f>IF(COUNT(D1166:V1166)=0,"",MIN(D1166:V1166))</f>
        <v/>
      </c>
      <c r="X1166" s="8">
        <f>IF(COUNT(D1166:V1166)=0,"",MEDIAN(D1166:V1166))</f>
        <v/>
      </c>
      <c r="Y1166" s="8">
        <f>IF(COUNT(D1166:V1166)=0,"",MAX(D1166:V1166))</f>
        <v/>
      </c>
      <c r="Z1166" s="9">
        <f>IF(OR(W1166="",W1166=0),"",(Y1166-W1166)/W1166)</f>
        <v/>
      </c>
      <c r="AA1166" s="7">
        <f>IF(COUNT(D1166:V1166)=0,"",INDEX($D$1:$V$1,MATCH(MIN(D1166:V1166),D1166:V1166,0)))</f>
        <v/>
      </c>
      <c r="AB1166" s="8" t="n">
        <v>939.35</v>
      </c>
      <c r="AC1166" s="10" t="n">
        <v>1</v>
      </c>
    </row>
    <row r="1167">
      <c r="A1167" s="7" t="inlineStr">
        <is>
          <t>MAT-22-001</t>
        </is>
      </c>
      <c r="B1167" s="4" t="inlineStr">
        <is>
          <t>Malla ciclónica calibre 9, 3 pies de alto, rollo de 50 pies</t>
        </is>
      </c>
      <c r="C1167" s="7" t="inlineStr">
        <is>
          <t>rollo</t>
        </is>
      </c>
      <c r="D1167" s="8" t="n">
        <v>5223.1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>
        <f>IF(COUNT(D1167:V1167)=0,"",MIN(D1167:V1167))</f>
        <v/>
      </c>
      <c r="X1167" s="8">
        <f>IF(COUNT(D1167:V1167)=0,"",MEDIAN(D1167:V1167))</f>
        <v/>
      </c>
      <c r="Y1167" s="8">
        <f>IF(COUNT(D1167:V1167)=0,"",MAX(D1167:V1167))</f>
        <v/>
      </c>
      <c r="Z1167" s="9">
        <f>IF(OR(W1167="",W1167=0),"",(Y1167-W1167)/W1167)</f>
        <v/>
      </c>
      <c r="AA1167" s="7">
        <f>IF(COUNT(D1167:V1167)=0,"",INDEX($D$1:$V$1,MATCH(MIN(D1167:V1167),D1167:V1167,0)))</f>
        <v/>
      </c>
      <c r="AB1167" s="8" t="n">
        <v>5223.1</v>
      </c>
      <c r="AC1167" s="10" t="n">
        <v>1</v>
      </c>
    </row>
    <row r="1168">
      <c r="A1168" s="7" t="inlineStr">
        <is>
          <t>MAT-22-002</t>
        </is>
      </c>
      <c r="B1168" s="4" t="inlineStr">
        <is>
          <t>Malla ciclónica calibre 9, 4 pies de alto, rollo de 50 pies</t>
        </is>
      </c>
      <c r="C1168" s="7" t="inlineStr">
        <is>
          <t>rollo</t>
        </is>
      </c>
      <c r="D1168" s="8" t="n">
        <v>6121.98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>
        <v>6236</v>
      </c>
      <c r="P1168" s="8" t="n"/>
      <c r="Q1168" s="8" t="n"/>
      <c r="R1168" s="8" t="n"/>
      <c r="S1168" s="8" t="n"/>
      <c r="T1168" s="8" t="n"/>
      <c r="U1168" s="8" t="n"/>
      <c r="V1168" s="8" t="n"/>
      <c r="W1168" s="8">
        <f>IF(COUNT(D1168:V1168)=0,"",MIN(D1168:V1168))</f>
        <v/>
      </c>
      <c r="X1168" s="8">
        <f>IF(COUNT(D1168:V1168)=0,"",MEDIAN(D1168:V1168))</f>
        <v/>
      </c>
      <c r="Y1168" s="8">
        <f>IF(COUNT(D1168:V1168)=0,"",MAX(D1168:V1168))</f>
        <v/>
      </c>
      <c r="Z1168" s="9">
        <f>IF(OR(W1168="",W1168=0),"",(Y1168-W1168)/W1168)</f>
        <v/>
      </c>
      <c r="AA1168" s="7">
        <f>IF(COUNT(D1168:V1168)=0,"",INDEX($D$1:$V$1,MATCH(MIN(D1168:V1168),D1168:V1168,0)))</f>
        <v/>
      </c>
      <c r="AB1168" s="8" t="n">
        <v>6740.23</v>
      </c>
      <c r="AC1168" s="10" t="n">
        <v>2</v>
      </c>
    </row>
    <row r="1169">
      <c r="A1169" s="7" t="inlineStr">
        <is>
          <t>MAT-22-003</t>
        </is>
      </c>
      <c r="B1169" s="4" t="inlineStr">
        <is>
          <t>Malla ciclónica calibre 9, 6 pies de alto, rollo de 50 pies</t>
        </is>
      </c>
      <c r="C1169" s="7" t="inlineStr">
        <is>
          <t>rollo</t>
        </is>
      </c>
      <c r="D1169" s="8" t="n">
        <v>9867.16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>
        <v>9957</v>
      </c>
      <c r="P1169" s="8" t="n"/>
      <c r="Q1169" s="8" t="n"/>
      <c r="R1169" s="8" t="n"/>
      <c r="S1169" s="8" t="n"/>
      <c r="T1169" s="8" t="n"/>
      <c r="U1169" s="8" t="n"/>
      <c r="V1169" s="8" t="n"/>
      <c r="W1169" s="8">
        <f>IF(COUNT(D1169:V1169)=0,"",MIN(D1169:V1169))</f>
        <v/>
      </c>
      <c r="X1169" s="8">
        <f>IF(COUNT(D1169:V1169)=0,"",MEDIAN(D1169:V1169))</f>
        <v/>
      </c>
      <c r="Y1169" s="8">
        <f>IF(COUNT(D1169:V1169)=0,"",MAX(D1169:V1169))</f>
        <v/>
      </c>
      <c r="Z1169" s="9">
        <f>IF(OR(W1169="",W1169=0),"",(Y1169-W1169)/W1169)</f>
        <v/>
      </c>
      <c r="AA1169" s="7">
        <f>IF(COUNT(D1169:V1169)=0,"",INDEX($D$1:$V$1,MATCH(MIN(D1169:V1169),D1169:V1169,0)))</f>
        <v/>
      </c>
      <c r="AB1169" s="8" t="n">
        <v>10808.21</v>
      </c>
      <c r="AC1169" s="10" t="n">
        <v>2</v>
      </c>
    </row>
    <row r="1170">
      <c r="A1170" s="7" t="inlineStr">
        <is>
          <t>MAT-22-004</t>
        </is>
      </c>
      <c r="B1170" s="4" t="inlineStr">
        <is>
          <t>Malla ciclónica calibre 9 revestida en PVC, 6 pies de alto, rollo de 50 pies</t>
        </is>
      </c>
      <c r="C1170" s="7" t="inlineStr">
        <is>
          <t>rollo</t>
        </is>
      </c>
      <c r="D1170" s="8" t="n">
        <v>11757.65</v>
      </c>
      <c r="E1170" s="8" t="n"/>
      <c r="F1170" s="8" t="n"/>
      <c r="G1170" s="8" t="n"/>
      <c r="H1170" s="8" t="n"/>
      <c r="I1170" s="8" t="n"/>
      <c r="J1170" s="8" t="n"/>
      <c r="K1170" s="8" t="n">
        <v>14690</v>
      </c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>
        <f>IF(COUNT(D1170:V1170)=0,"",MIN(D1170:V1170))</f>
        <v/>
      </c>
      <c r="X1170" s="8">
        <f>IF(COUNT(D1170:V1170)=0,"",MEDIAN(D1170:V1170))</f>
        <v/>
      </c>
      <c r="Y1170" s="8">
        <f>IF(COUNT(D1170:V1170)=0,"",MAX(D1170:V1170))</f>
        <v/>
      </c>
      <c r="Z1170" s="9">
        <f>IF(OR(W1170="",W1170=0),"",(Y1170-W1170)/W1170)</f>
        <v/>
      </c>
      <c r="AA1170" s="7">
        <f>IF(COUNT(D1170:V1170)=0,"",INDEX($D$1:$V$1,MATCH(MIN(D1170:V1170),D1170:V1170,0)))</f>
        <v/>
      </c>
      <c r="AB1170" s="8" t="n">
        <v>13223.83</v>
      </c>
      <c r="AC1170" s="10" t="n">
        <v>2</v>
      </c>
    </row>
    <row r="1171">
      <c r="A1171" s="7" t="inlineStr">
        <is>
          <t>MAT-22-005</t>
        </is>
      </c>
      <c r="B1171" s="4" t="inlineStr">
        <is>
          <t>Malla ciclónica calibre 9, 8 pies de alto, rollo de 50 pies</t>
        </is>
      </c>
      <c r="C1171" s="7" t="inlineStr">
        <is>
          <t>rollo</t>
        </is>
      </c>
      <c r="D1171" s="8" t="n">
        <v>13273.54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>
        <v>13272</v>
      </c>
      <c r="P1171" s="8" t="n"/>
      <c r="Q1171" s="8" t="n"/>
      <c r="R1171" s="8" t="n"/>
      <c r="S1171" s="8" t="n"/>
      <c r="T1171" s="8" t="n"/>
      <c r="U1171" s="8" t="n"/>
      <c r="V1171" s="8" t="n"/>
      <c r="W1171" s="8">
        <f>IF(COUNT(D1171:V1171)=0,"",MIN(D1171:V1171))</f>
        <v/>
      </c>
      <c r="X1171" s="8">
        <f>IF(COUNT(D1171:V1171)=0,"",MEDIAN(D1171:V1171))</f>
        <v/>
      </c>
      <c r="Y1171" s="8">
        <f>IF(COUNT(D1171:V1171)=0,"",MAX(D1171:V1171))</f>
        <v/>
      </c>
      <c r="Z1171" s="9">
        <f>IF(OR(W1171="",W1171=0),"",(Y1171-W1171)/W1171)</f>
        <v/>
      </c>
      <c r="AA1171" s="7">
        <f>IF(COUNT(D1171:V1171)=0,"",INDEX($D$1:$V$1,MATCH(MIN(D1171:V1171),D1171:V1171,0)))</f>
        <v/>
      </c>
      <c r="AB1171" s="8" t="n">
        <v>14467.25</v>
      </c>
      <c r="AC1171" s="10" t="n">
        <v>2</v>
      </c>
    </row>
    <row r="1172">
      <c r="A1172" s="7" t="inlineStr">
        <is>
          <t>MAT-22-006</t>
        </is>
      </c>
      <c r="B1172" s="4" t="inlineStr">
        <is>
          <t>Tubo galvanizado para malla ciclónica 1 1/4" x 20 pies</t>
        </is>
      </c>
      <c r="C1172" s="7" t="inlineStr">
        <is>
          <t>unidad</t>
        </is>
      </c>
      <c r="D1172" s="8" t="n">
        <v>527.0599999999999</v>
      </c>
      <c r="E1172" s="8" t="n"/>
      <c r="F1172" s="8" t="n"/>
      <c r="G1172" s="8" t="n"/>
      <c r="H1172" s="8" t="n"/>
      <c r="I1172" s="8" t="n"/>
      <c r="J1172" s="8" t="n"/>
      <c r="K1172" s="8" t="n">
        <v>730</v>
      </c>
      <c r="L1172" s="8" t="n"/>
      <c r="M1172" s="8" t="n"/>
      <c r="N1172" s="8" t="n"/>
      <c r="O1172" s="8" t="n">
        <v>603</v>
      </c>
      <c r="P1172" s="8" t="n"/>
      <c r="Q1172" s="8" t="n"/>
      <c r="R1172" s="8" t="n"/>
      <c r="S1172" s="8" t="n"/>
      <c r="T1172" s="8" t="n"/>
      <c r="U1172" s="8" t="n"/>
      <c r="V1172" s="8" t="n"/>
      <c r="W1172" s="8">
        <f>IF(COUNT(D1172:V1172)=0,"",MIN(D1172:V1172))</f>
        <v/>
      </c>
      <c r="X1172" s="8">
        <f>IF(COUNT(D1172:V1172)=0,"",MEDIAN(D1172:V1172))</f>
        <v/>
      </c>
      <c r="Y1172" s="8">
        <f>IF(COUNT(D1172:V1172)=0,"",MAX(D1172:V1172))</f>
        <v/>
      </c>
      <c r="Z1172" s="9">
        <f>IF(OR(W1172="",W1172=0),"",(Y1172-W1172)/W1172)</f>
        <v/>
      </c>
      <c r="AA1172" s="7">
        <f>IF(COUNT(D1172:V1172)=0,"",INDEX($D$1:$V$1,MATCH(MIN(D1172:V1172),D1172:V1172,0)))</f>
        <v/>
      </c>
      <c r="AB1172" s="8" t="n">
        <v>711.54</v>
      </c>
      <c r="AC1172" s="10" t="n">
        <v>3</v>
      </c>
    </row>
    <row r="1173">
      <c r="A1173" s="7" t="inlineStr">
        <is>
          <t>MAT-22-007</t>
        </is>
      </c>
      <c r="B1173" s="4" t="inlineStr">
        <is>
          <t>Tubo galvanizado para malla ciclónica 1 1/2" x 15 pies</t>
        </is>
      </c>
      <c r="C1173" s="7" t="inlineStr">
        <is>
          <t>unidad</t>
        </is>
      </c>
      <c r="D1173" s="8" t="n">
        <v>462.61</v>
      </c>
      <c r="E1173" s="8" t="n"/>
      <c r="F1173" s="8" t="n"/>
      <c r="G1173" s="8" t="n"/>
      <c r="H1173" s="8" t="n"/>
      <c r="I1173" s="8" t="n"/>
      <c r="J1173" s="8" t="n"/>
      <c r="K1173" s="8" t="n">
        <v>625</v>
      </c>
      <c r="L1173" s="8" t="n"/>
      <c r="M1173" s="8" t="n"/>
      <c r="N1173" s="8" t="n"/>
      <c r="O1173" s="8" t="n">
        <v>460</v>
      </c>
      <c r="P1173" s="8" t="n"/>
      <c r="Q1173" s="8" t="n"/>
      <c r="R1173" s="8" t="n"/>
      <c r="S1173" s="8" t="n"/>
      <c r="T1173" s="8" t="n"/>
      <c r="U1173" s="8" t="n"/>
      <c r="V1173" s="8" t="n"/>
      <c r="W1173" s="8">
        <f>IF(COUNT(D1173:V1173)=0,"",MIN(D1173:V1173))</f>
        <v/>
      </c>
      <c r="X1173" s="8">
        <f>IF(COUNT(D1173:V1173)=0,"",MEDIAN(D1173:V1173))</f>
        <v/>
      </c>
      <c r="Y1173" s="8">
        <f>IF(COUNT(D1173:V1173)=0,"",MAX(D1173:V1173))</f>
        <v/>
      </c>
      <c r="Z1173" s="9">
        <f>IF(OR(W1173="",W1173=0),"",(Y1173-W1173)/W1173)</f>
        <v/>
      </c>
      <c r="AA1173" s="7">
        <f>IF(COUNT(D1173:V1173)=0,"",INDEX($D$1:$V$1,MATCH(MIN(D1173:V1173),D1173:V1173,0)))</f>
        <v/>
      </c>
      <c r="AB1173" s="8" t="n">
        <v>542.8</v>
      </c>
      <c r="AC1173" s="10" t="n">
        <v>3</v>
      </c>
    </row>
    <row r="1174">
      <c r="A1174" s="7" t="inlineStr">
        <is>
          <t>MAT-22-008</t>
        </is>
      </c>
      <c r="B1174" s="4" t="inlineStr">
        <is>
          <t>Tubo galvanizado para malla ciclónica 2" x 20 pies</t>
        </is>
      </c>
      <c r="C1174" s="7" t="inlineStr">
        <is>
          <t>unidad</t>
        </is>
      </c>
      <c r="D1174" s="8" t="n">
        <v>699.92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>
        <v>700</v>
      </c>
      <c r="P1174" s="8" t="n"/>
      <c r="Q1174" s="8" t="n"/>
      <c r="R1174" s="8" t="n"/>
      <c r="S1174" s="8" t="n"/>
      <c r="T1174" s="8" t="n"/>
      <c r="U1174" s="8" t="n"/>
      <c r="V1174" s="8" t="n"/>
      <c r="W1174" s="8">
        <f>IF(COUNT(D1174:V1174)=0,"",MIN(D1174:V1174))</f>
        <v/>
      </c>
      <c r="X1174" s="8">
        <f>IF(COUNT(D1174:V1174)=0,"",MEDIAN(D1174:V1174))</f>
        <v/>
      </c>
      <c r="Y1174" s="8">
        <f>IF(COUNT(D1174:V1174)=0,"",MAX(D1174:V1174))</f>
        <v/>
      </c>
      <c r="Z1174" s="9">
        <f>IF(OR(W1174="",W1174=0),"",(Y1174-W1174)/W1174)</f>
        <v/>
      </c>
      <c r="AA1174" s="7">
        <f>IF(COUNT(D1174:V1174)=0,"",INDEX($D$1:$V$1,MATCH(MIN(D1174:V1174),D1174:V1174,0)))</f>
        <v/>
      </c>
      <c r="AB1174" s="8" t="n">
        <v>762.96</v>
      </c>
      <c r="AC1174" s="10" t="n">
        <v>2</v>
      </c>
    </row>
    <row r="1175">
      <c r="A1175" s="7" t="inlineStr">
        <is>
          <t>MAT-22-009</t>
        </is>
      </c>
      <c r="B1175" s="4" t="inlineStr">
        <is>
          <t>Malla ciclónica calibre 11, 3 pies de alto, rollo de 50 pies</t>
        </is>
      </c>
      <c r="C1175" s="7" t="inlineStr">
        <is>
          <t>rollo</t>
        </is>
      </c>
      <c r="D1175" s="8" t="n">
        <v>4335.91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>
        <f>IF(COUNT(D1175:V1175)=0,"",MIN(D1175:V1175))</f>
        <v/>
      </c>
      <c r="X1175" s="8">
        <f>IF(COUNT(D1175:V1175)=0,"",MEDIAN(D1175:V1175))</f>
        <v/>
      </c>
      <c r="Y1175" s="8">
        <f>IF(COUNT(D1175:V1175)=0,"",MAX(D1175:V1175))</f>
        <v/>
      </c>
      <c r="Z1175" s="9">
        <f>IF(OR(W1175="",W1175=0),"",(Y1175-W1175)/W1175)</f>
        <v/>
      </c>
      <c r="AA1175" s="7">
        <f>IF(COUNT(D1175:V1175)=0,"",INDEX($D$1:$V$1,MATCH(MIN(D1175:V1175),D1175:V1175,0)))</f>
        <v/>
      </c>
      <c r="AB1175" s="8" t="n">
        <v>4335.91</v>
      </c>
      <c r="AC1175" s="10" t="n">
        <v>1</v>
      </c>
    </row>
    <row r="1176">
      <c r="A1176" s="7" t="inlineStr">
        <is>
          <t>MAT-22-010</t>
        </is>
      </c>
      <c r="B1176" s="4" t="inlineStr">
        <is>
          <t>Malla ciclónica calibre 11, 6 pies de alto, rollo de 50 pies</t>
        </is>
      </c>
      <c r="C1176" s="7" t="inlineStr">
        <is>
          <t>rollo</t>
        </is>
      </c>
      <c r="D1176" s="8" t="n">
        <v>8694.459999999999</v>
      </c>
      <c r="E1176" s="8" t="n"/>
      <c r="F1176" s="8" t="n"/>
      <c r="G1176" s="8" t="n"/>
      <c r="H1176" s="8" t="n"/>
      <c r="I1176" s="8" t="n"/>
      <c r="J1176" s="8" t="n"/>
      <c r="K1176" s="8" t="n">
        <v>10250</v>
      </c>
      <c r="L1176" s="8" t="n"/>
      <c r="M1176" s="8" t="n"/>
      <c r="N1176" s="8" t="n"/>
      <c r="O1176" s="8" t="n">
        <v>8780</v>
      </c>
      <c r="P1176" s="8" t="n"/>
      <c r="Q1176" s="8" t="n"/>
      <c r="R1176" s="8" t="n"/>
      <c r="S1176" s="8" t="n"/>
      <c r="T1176" s="8" t="n"/>
      <c r="U1176" s="8" t="n"/>
      <c r="V1176" s="8" t="n"/>
      <c r="W1176" s="8">
        <f>IF(COUNT(D1176:V1176)=0,"",MIN(D1176:V1176))</f>
        <v/>
      </c>
      <c r="X1176" s="8">
        <f>IF(COUNT(D1176:V1176)=0,"",MEDIAN(D1176:V1176))</f>
        <v/>
      </c>
      <c r="Y1176" s="8">
        <f>IF(COUNT(D1176:V1176)=0,"",MAX(D1176:V1176))</f>
        <v/>
      </c>
      <c r="Z1176" s="9">
        <f>IF(OR(W1176="",W1176=0),"",(Y1176-W1176)/W1176)</f>
        <v/>
      </c>
      <c r="AA1176" s="7">
        <f>IF(COUNT(D1176:V1176)=0,"",INDEX($D$1:$V$1,MATCH(MIN(D1176:V1176),D1176:V1176,0)))</f>
        <v/>
      </c>
      <c r="AB1176" s="8" t="n">
        <v>10250</v>
      </c>
      <c r="AC1176" s="10" t="n">
        <v>3</v>
      </c>
    </row>
    <row r="1177">
      <c r="A1177" s="7" t="inlineStr">
        <is>
          <t>MAT-22-011</t>
        </is>
      </c>
      <c r="B1177" s="4" t="inlineStr">
        <is>
          <t>Alambre de púas 1.50 mm, rollo de 250 metros</t>
        </is>
      </c>
      <c r="C1177" s="7" t="inlineStr">
        <is>
          <t>rollo</t>
        </is>
      </c>
      <c r="D1177" s="8" t="n">
        <v>2601.2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>
        <f>IF(COUNT(D1177:V1177)=0,"",MIN(D1177:V1177))</f>
        <v/>
      </c>
      <c r="X1177" s="8">
        <f>IF(COUNT(D1177:V1177)=0,"",MEDIAN(D1177:V1177))</f>
        <v/>
      </c>
      <c r="Y1177" s="8">
        <f>IF(COUNT(D1177:V1177)=0,"",MAX(D1177:V1177))</f>
        <v/>
      </c>
      <c r="Z1177" s="9">
        <f>IF(OR(W1177="",W1177=0),"",(Y1177-W1177)/W1177)</f>
        <v/>
      </c>
      <c r="AA1177" s="7">
        <f>IF(COUNT(D1177:V1177)=0,"",INDEX($D$1:$V$1,MATCH(MIN(D1177:V1177),D1177:V1177,0)))</f>
        <v/>
      </c>
      <c r="AB1177" s="8" t="n">
        <v>2601.2</v>
      </c>
      <c r="AC1177" s="10" t="n">
        <v>1</v>
      </c>
    </row>
    <row r="1178">
      <c r="A1178" s="7" t="inlineStr">
        <is>
          <t>MAT-22-012</t>
        </is>
      </c>
      <c r="B1178" s="4" t="inlineStr">
        <is>
          <t>Alambre de púas calibre 15, rollo de 250 metros</t>
        </is>
      </c>
      <c r="C1178" s="7" t="inlineStr">
        <is>
          <t>rollo</t>
        </is>
      </c>
      <c r="D1178" s="8" t="n">
        <v>2541.47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>
        <f>IF(COUNT(D1178:V1178)=0,"",MIN(D1178:V1178))</f>
        <v/>
      </c>
      <c r="X1178" s="8">
        <f>IF(COUNT(D1178:V1178)=0,"",MEDIAN(D1178:V1178))</f>
        <v/>
      </c>
      <c r="Y1178" s="8">
        <f>IF(COUNT(D1178:V1178)=0,"",MAX(D1178:V1178))</f>
        <v/>
      </c>
      <c r="Z1178" s="9">
        <f>IF(OR(W1178="",W1178=0),"",(Y1178-W1178)/W1178)</f>
        <v/>
      </c>
      <c r="AA1178" s="7">
        <f>IF(COUNT(D1178:V1178)=0,"",INDEX($D$1:$V$1,MATCH(MIN(D1178:V1178),D1178:V1178,0)))</f>
        <v/>
      </c>
      <c r="AB1178" s="8" t="n">
        <v>2541.47</v>
      </c>
      <c r="AC1178" s="10" t="n">
        <v>1</v>
      </c>
    </row>
    <row r="1179">
      <c r="A1179" s="7" t="inlineStr">
        <is>
          <t>MAT-22-013</t>
        </is>
      </c>
      <c r="B1179" s="4" t="inlineStr">
        <is>
          <t>Alambre de púas calibre 16, rollo de 110 metros</t>
        </is>
      </c>
      <c r="C1179" s="7" t="inlineStr">
        <is>
          <t>rollo</t>
        </is>
      </c>
      <c r="D1179" s="8" t="n">
        <v>964.11</v>
      </c>
      <c r="E1179" s="8" t="n"/>
      <c r="F1179" s="8" t="n"/>
      <c r="G1179" s="8" t="n"/>
      <c r="H1179" s="8" t="n"/>
      <c r="I1179" s="8" t="n"/>
      <c r="J1179" s="8" t="n"/>
      <c r="K1179" s="8" t="n">
        <v>845</v>
      </c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>
        <f>IF(COUNT(D1179:V1179)=0,"",MIN(D1179:V1179))</f>
        <v/>
      </c>
      <c r="X1179" s="8">
        <f>IF(COUNT(D1179:V1179)=0,"",MEDIAN(D1179:V1179))</f>
        <v/>
      </c>
      <c r="Y1179" s="8">
        <f>IF(COUNT(D1179:V1179)=0,"",MAX(D1179:V1179))</f>
        <v/>
      </c>
      <c r="Z1179" s="9">
        <f>IF(OR(W1179="",W1179=0),"",(Y1179-W1179)/W1179)</f>
        <v/>
      </c>
      <c r="AA1179" s="7">
        <f>IF(COUNT(D1179:V1179)=0,"",INDEX($D$1:$V$1,MATCH(MIN(D1179:V1179),D1179:V1179,0)))</f>
        <v/>
      </c>
      <c r="AB1179" s="8" t="n">
        <v>904.5599999999999</v>
      </c>
      <c r="AC1179" s="10" t="n">
        <v>2</v>
      </c>
    </row>
    <row r="1180">
      <c r="A1180" s="7" t="inlineStr">
        <is>
          <t>MAT-22-014</t>
        </is>
      </c>
      <c r="B1180" s="4" t="inlineStr">
        <is>
          <t>Alambre de púas calibre 16, rollo de 250 metros</t>
        </is>
      </c>
      <c r="C1180" s="7" t="inlineStr">
        <is>
          <t>rollo</t>
        </is>
      </c>
      <c r="D1180" s="8" t="n">
        <v>2108.46</v>
      </c>
      <c r="E1180" s="8" t="n"/>
      <c r="F1180" s="8" t="n"/>
      <c r="G1180" s="8" t="n">
        <v>2663</v>
      </c>
      <c r="H1180" s="8" t="n"/>
      <c r="I1180" s="8" t="n"/>
      <c r="J1180" s="8" t="n"/>
      <c r="K1180" s="8" t="n">
        <v>1885</v>
      </c>
      <c r="L1180" s="8" t="n">
        <v>2390.01</v>
      </c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>
        <f>IF(COUNT(D1180:V1180)=0,"",MIN(D1180:V1180))</f>
        <v/>
      </c>
      <c r="X1180" s="8">
        <f>IF(COUNT(D1180:V1180)=0,"",MEDIAN(D1180:V1180))</f>
        <v/>
      </c>
      <c r="Y1180" s="8">
        <f>IF(COUNT(D1180:V1180)=0,"",MAX(D1180:V1180))</f>
        <v/>
      </c>
      <c r="Z1180" s="9">
        <f>IF(OR(W1180="",W1180=0),"",(Y1180-W1180)/W1180)</f>
        <v/>
      </c>
      <c r="AA1180" s="7">
        <f>IF(COUNT(D1180:V1180)=0,"",INDEX($D$1:$V$1,MATCH(MIN(D1180:V1180),D1180:V1180,0)))</f>
        <v/>
      </c>
      <c r="AB1180" s="8" t="n">
        <v>2696.5</v>
      </c>
      <c r="AC1180" s="10" t="n">
        <v>4</v>
      </c>
    </row>
    <row r="1181">
      <c r="A1181" s="7" t="inlineStr">
        <is>
          <t>MAT-22-015</t>
        </is>
      </c>
      <c r="B1181" s="4" t="inlineStr">
        <is>
          <t>Alambre de púas calibre 17, rollo de 250 metros</t>
        </is>
      </c>
      <c r="C1181" s="7" t="inlineStr">
        <is>
          <t>rollo</t>
        </is>
      </c>
      <c r="D1181" s="8" t="n">
        <v>1933.36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>
        <f>IF(COUNT(D1181:V1181)=0,"",MIN(D1181:V1181))</f>
        <v/>
      </c>
      <c r="X1181" s="8">
        <f>IF(COUNT(D1181:V1181)=0,"",MEDIAN(D1181:V1181))</f>
        <v/>
      </c>
      <c r="Y1181" s="8">
        <f>IF(COUNT(D1181:V1181)=0,"",MAX(D1181:V1181))</f>
        <v/>
      </c>
      <c r="Z1181" s="9">
        <f>IF(OR(W1181="",W1181=0),"",(Y1181-W1181)/W1181)</f>
        <v/>
      </c>
      <c r="AA1181" s="7">
        <f>IF(COUNT(D1181:V1181)=0,"",INDEX($D$1:$V$1,MATCH(MIN(D1181:V1181),D1181:V1181,0)))</f>
        <v/>
      </c>
      <c r="AB1181" s="8" t="n">
        <v>1933.36</v>
      </c>
      <c r="AC1181" s="10" t="n">
        <v>1</v>
      </c>
    </row>
    <row r="1182">
      <c r="A1182" s="7" t="inlineStr">
        <is>
          <t>MAT-22-016</t>
        </is>
      </c>
      <c r="B1182" s="4" t="inlineStr">
        <is>
          <t>Tela metálica calibre 16, retícula 1" x 2", 4 pies de alto</t>
        </is>
      </c>
      <c r="C1182" s="7" t="inlineStr">
        <is>
          <t>yarda</t>
        </is>
      </c>
      <c r="D1182" s="8" t="n">
        <v>113.78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>
        <f>IF(COUNT(D1182:V1182)=0,"",MIN(D1182:V1182))</f>
        <v/>
      </c>
      <c r="X1182" s="8">
        <f>IF(COUNT(D1182:V1182)=0,"",MEDIAN(D1182:V1182))</f>
        <v/>
      </c>
      <c r="Y1182" s="8">
        <f>IF(COUNT(D1182:V1182)=0,"",MAX(D1182:V1182))</f>
        <v/>
      </c>
      <c r="Z1182" s="9">
        <f>IF(OR(W1182="",W1182=0),"",(Y1182-W1182)/W1182)</f>
        <v/>
      </c>
      <c r="AA1182" s="7">
        <f>IF(COUNT(D1182:V1182)=0,"",INDEX($D$1:$V$1,MATCH(MIN(D1182:V1182),D1182:V1182,0)))</f>
        <v/>
      </c>
      <c r="AB1182" s="8" t="n">
        <v>113.78</v>
      </c>
      <c r="AC1182" s="10" t="n">
        <v>1</v>
      </c>
    </row>
    <row r="1183">
      <c r="A1183" s="7" t="inlineStr">
        <is>
          <t>MAT-22-017</t>
        </is>
      </c>
      <c r="B1183" s="4" t="inlineStr">
        <is>
          <t>Tela metálica calibre 18, retícula 1/2" x 1/2", 4 pies de alto</t>
        </is>
      </c>
      <c r="C1183" s="7" t="inlineStr">
        <is>
          <t>yarda</t>
        </is>
      </c>
      <c r="D1183" s="8" t="n">
        <v>192.26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>
        <f>IF(COUNT(D1183:V1183)=0,"",MIN(D1183:V1183))</f>
        <v/>
      </c>
      <c r="X1183" s="8">
        <f>IF(COUNT(D1183:V1183)=0,"",MEDIAN(D1183:V1183))</f>
        <v/>
      </c>
      <c r="Y1183" s="8">
        <f>IF(COUNT(D1183:V1183)=0,"",MAX(D1183:V1183))</f>
        <v/>
      </c>
      <c r="Z1183" s="9">
        <f>IF(OR(W1183="",W1183=0),"",(Y1183-W1183)/W1183)</f>
        <v/>
      </c>
      <c r="AA1183" s="7">
        <f>IF(COUNT(D1183:V1183)=0,"",INDEX($D$1:$V$1,MATCH(MIN(D1183:V1183),D1183:V1183,0)))</f>
        <v/>
      </c>
      <c r="AB1183" s="8" t="n">
        <v>192.26</v>
      </c>
      <c r="AC1183" s="10" t="n">
        <v>1</v>
      </c>
    </row>
    <row r="1184">
      <c r="A1184" s="7" t="inlineStr">
        <is>
          <t>MAT-22-018</t>
        </is>
      </c>
      <c r="B1184" s="4" t="inlineStr">
        <is>
          <t>Tela metálica calibre 18, retícula 1" x 1/2", 3 pies de alto</t>
        </is>
      </c>
      <c r="C1184" s="7" t="inlineStr">
        <is>
          <t>yarda</t>
        </is>
      </c>
      <c r="D1184" s="8" t="n">
        <v>106.11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>
        <f>IF(COUNT(D1184:V1184)=0,"",MIN(D1184:V1184))</f>
        <v/>
      </c>
      <c r="X1184" s="8">
        <f>IF(COUNT(D1184:V1184)=0,"",MEDIAN(D1184:V1184))</f>
        <v/>
      </c>
      <c r="Y1184" s="8">
        <f>IF(COUNT(D1184:V1184)=0,"",MAX(D1184:V1184))</f>
        <v/>
      </c>
      <c r="Z1184" s="9">
        <f>IF(OR(W1184="",W1184=0),"",(Y1184-W1184)/W1184)</f>
        <v/>
      </c>
      <c r="AA1184" s="7">
        <f>IF(COUNT(D1184:V1184)=0,"",INDEX($D$1:$V$1,MATCH(MIN(D1184:V1184),D1184:V1184,0)))</f>
        <v/>
      </c>
      <c r="AB1184" s="8" t="n">
        <v>106.11</v>
      </c>
      <c r="AC1184" s="10" t="n">
        <v>1</v>
      </c>
    </row>
    <row r="1185">
      <c r="A1185" s="7" t="inlineStr">
        <is>
          <t>MAT-22-019</t>
        </is>
      </c>
      <c r="B1185" s="4" t="inlineStr">
        <is>
          <t>Tela metálica calibre 18, retícula 1" x 1/2", 4 pies de alto</t>
        </is>
      </c>
      <c r="C1185" s="7" t="inlineStr">
        <is>
          <t>yarda</t>
        </is>
      </c>
      <c r="D1185" s="8" t="n">
        <v>145.1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>
        <f>IF(COUNT(D1185:V1185)=0,"",MIN(D1185:V1185))</f>
        <v/>
      </c>
      <c r="X1185" s="8">
        <f>IF(COUNT(D1185:V1185)=0,"",MEDIAN(D1185:V1185))</f>
        <v/>
      </c>
      <c r="Y1185" s="8">
        <f>IF(COUNT(D1185:V1185)=0,"",MAX(D1185:V1185))</f>
        <v/>
      </c>
      <c r="Z1185" s="9">
        <f>IF(OR(W1185="",W1185=0),"",(Y1185-W1185)/W1185)</f>
        <v/>
      </c>
      <c r="AA1185" s="7">
        <f>IF(COUNT(D1185:V1185)=0,"",INDEX($D$1:$V$1,MATCH(MIN(D1185:V1185),D1185:V1185,0)))</f>
        <v/>
      </c>
      <c r="AB1185" s="8" t="n">
        <v>145.1</v>
      </c>
      <c r="AC1185" s="10" t="n">
        <v>1</v>
      </c>
    </row>
    <row r="1186">
      <c r="A1186" s="7" t="inlineStr">
        <is>
          <t>MAT-22-020</t>
        </is>
      </c>
      <c r="B1186" s="4" t="inlineStr">
        <is>
          <t>Tela metálica calibre 20, retícula 1" x 2", 3 pies de alto</t>
        </is>
      </c>
      <c r="C1186" s="7" t="inlineStr">
        <is>
          <t>yarda</t>
        </is>
      </c>
      <c r="D1186" s="8" t="n">
        <v>37.54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>
        <f>IF(COUNT(D1186:V1186)=0,"",MIN(D1186:V1186))</f>
        <v/>
      </c>
      <c r="X1186" s="8">
        <f>IF(COUNT(D1186:V1186)=0,"",MEDIAN(D1186:V1186))</f>
        <v/>
      </c>
      <c r="Y1186" s="8">
        <f>IF(COUNT(D1186:V1186)=0,"",MAX(D1186:V1186))</f>
        <v/>
      </c>
      <c r="Z1186" s="9">
        <f>IF(OR(W1186="",W1186=0),"",(Y1186-W1186)/W1186)</f>
        <v/>
      </c>
      <c r="AA1186" s="7">
        <f>IF(COUNT(D1186:V1186)=0,"",INDEX($D$1:$V$1,MATCH(MIN(D1186:V1186),D1186:V1186,0)))</f>
        <v/>
      </c>
      <c r="AB1186" s="8" t="n">
        <v>37.54</v>
      </c>
      <c r="AC1186" s="10" t="n">
        <v>1</v>
      </c>
    </row>
    <row r="1187">
      <c r="A1187" s="7" t="inlineStr">
        <is>
          <t>MAT-22-021</t>
        </is>
      </c>
      <c r="B1187" s="4" t="inlineStr">
        <is>
          <t>Tela metálica calibre 21, retícula 3/8" x 3/8", 3 pies de alto</t>
        </is>
      </c>
      <c r="C1187" s="7" t="inlineStr">
        <is>
          <t>yarda</t>
        </is>
      </c>
      <c r="D1187" s="8" t="n">
        <v>72.61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>
        <f>IF(COUNT(D1187:V1187)=0,"",MIN(D1187:V1187))</f>
        <v/>
      </c>
      <c r="X1187" s="8">
        <f>IF(COUNT(D1187:V1187)=0,"",MEDIAN(D1187:V1187))</f>
        <v/>
      </c>
      <c r="Y1187" s="8">
        <f>IF(COUNT(D1187:V1187)=0,"",MAX(D1187:V1187))</f>
        <v/>
      </c>
      <c r="Z1187" s="9">
        <f>IF(OR(W1187="",W1187=0),"",(Y1187-W1187)/W1187)</f>
        <v/>
      </c>
      <c r="AA1187" s="7">
        <f>IF(COUNT(D1187:V1187)=0,"",INDEX($D$1:$V$1,MATCH(MIN(D1187:V1187),D1187:V1187,0)))</f>
        <v/>
      </c>
      <c r="AB1187" s="8" t="n">
        <v>72.61</v>
      </c>
      <c r="AC1187" s="10" t="n">
        <v>1</v>
      </c>
    </row>
    <row r="1188">
      <c r="A1188" s="7" t="inlineStr">
        <is>
          <t>MAT-22-022</t>
        </is>
      </c>
      <c r="B1188" s="4" t="inlineStr">
        <is>
          <t>Tela para gallinero calibre 19, 3 pies de alto</t>
        </is>
      </c>
      <c r="C1188" s="7" t="inlineStr">
        <is>
          <t>yarda</t>
        </is>
      </c>
      <c r="D1188" s="8" t="n">
        <v>54.04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>
        <f>IF(COUNT(D1188:V1188)=0,"",MIN(D1188:V1188))</f>
        <v/>
      </c>
      <c r="X1188" s="8">
        <f>IF(COUNT(D1188:V1188)=0,"",MEDIAN(D1188:V1188))</f>
        <v/>
      </c>
      <c r="Y1188" s="8">
        <f>IF(COUNT(D1188:V1188)=0,"",MAX(D1188:V1188))</f>
        <v/>
      </c>
      <c r="Z1188" s="9">
        <f>IF(OR(W1188="",W1188=0),"",(Y1188-W1188)/W1188)</f>
        <v/>
      </c>
      <c r="AA1188" s="7">
        <f>IF(COUNT(D1188:V1188)=0,"",INDEX($D$1:$V$1,MATCH(MIN(D1188:V1188),D1188:V1188,0)))</f>
        <v/>
      </c>
      <c r="AB1188" s="8" t="n">
        <v>54.04</v>
      </c>
      <c r="AC1188" s="10" t="n">
        <v>1</v>
      </c>
    </row>
    <row r="1189">
      <c r="A1189" s="7" t="inlineStr">
        <is>
          <t>MAT-22-023</t>
        </is>
      </c>
      <c r="B1189" s="4" t="inlineStr">
        <is>
          <t>Tela para gallinero calibre 20, 3 pies de alto</t>
        </is>
      </c>
      <c r="C1189" s="7" t="inlineStr">
        <is>
          <t>yarda</t>
        </is>
      </c>
      <c r="D1189" s="8" t="n">
        <v>46.53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/>
      <c r="P1189" s="8" t="n"/>
      <c r="Q1189" s="8" t="n"/>
      <c r="R1189" s="8" t="n"/>
      <c r="S1189" s="8" t="n"/>
      <c r="T1189" s="8" t="n"/>
      <c r="U1189" s="8" t="n"/>
      <c r="V1189" s="8" t="n"/>
      <c r="W1189" s="8">
        <f>IF(COUNT(D1189:V1189)=0,"",MIN(D1189:V1189))</f>
        <v/>
      </c>
      <c r="X1189" s="8">
        <f>IF(COUNT(D1189:V1189)=0,"",MEDIAN(D1189:V1189))</f>
        <v/>
      </c>
      <c r="Y1189" s="8">
        <f>IF(COUNT(D1189:V1189)=0,"",MAX(D1189:V1189))</f>
        <v/>
      </c>
      <c r="Z1189" s="9">
        <f>IF(OR(W1189="",W1189=0),"",(Y1189-W1189)/W1189)</f>
        <v/>
      </c>
      <c r="AA1189" s="7">
        <f>IF(COUNT(D1189:V1189)=0,"",INDEX($D$1:$V$1,MATCH(MIN(D1189:V1189),D1189:V1189,0)))</f>
        <v/>
      </c>
      <c r="AB1189" s="8" t="n">
        <v>46.53</v>
      </c>
      <c r="AC1189" s="10" t="n">
        <v>1</v>
      </c>
    </row>
    <row r="1190">
      <c r="A1190" s="7" t="inlineStr">
        <is>
          <t>MAT-22-024</t>
        </is>
      </c>
      <c r="B1190" s="4" t="inlineStr">
        <is>
          <t>Alambre de trinchera, 45 Mts</t>
        </is>
      </c>
      <c r="C1190" s="7" t="inlineStr">
        <is>
          <t>rollo</t>
        </is>
      </c>
      <c r="D1190" s="8" t="n"/>
      <c r="E1190" s="8" t="n"/>
      <c r="F1190" s="8" t="n"/>
      <c r="G1190" s="8" t="n"/>
      <c r="H1190" s="8" t="n"/>
      <c r="I1190" s="8" t="n"/>
      <c r="J1190" s="8" t="n"/>
      <c r="K1190" s="8" t="n">
        <v>595</v>
      </c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>
        <f>IF(COUNT(D1190:V1190)=0,"",MIN(D1190:V1190))</f>
        <v/>
      </c>
      <c r="X1190" s="8">
        <f>IF(COUNT(D1190:V1190)=0,"",MEDIAN(D1190:V1190))</f>
        <v/>
      </c>
      <c r="Y1190" s="8">
        <f>IF(COUNT(D1190:V1190)=0,"",MAX(D1190:V1190))</f>
        <v/>
      </c>
      <c r="Z1190" s="9">
        <f>IF(OR(W1190="",W1190=0),"",(Y1190-W1190)/W1190)</f>
        <v/>
      </c>
      <c r="AA1190" s="7">
        <f>IF(COUNT(D1190:V1190)=0,"",INDEX($D$1:$V$1,MATCH(MIN(D1190:V1190),D1190:V1190,0)))</f>
        <v/>
      </c>
      <c r="AB1190" s="8" t="n">
        <v>595</v>
      </c>
      <c r="AC1190" s="10" t="n">
        <v>1</v>
      </c>
    </row>
    <row r="1191">
      <c r="A1191" s="7" t="inlineStr">
        <is>
          <t>MAT-22-025</t>
        </is>
      </c>
      <c r="B1191" s="4" t="inlineStr">
        <is>
          <t>Protección de verja, 1mt</t>
        </is>
      </c>
      <c r="C1191" s="7" t="inlineStr">
        <is>
          <t>unidad</t>
        </is>
      </c>
      <c r="D1191" s="8" t="n"/>
      <c r="E1191" s="8" t="n"/>
      <c r="F1191" s="8" t="n"/>
      <c r="G1191" s="8" t="n"/>
      <c r="H1191" s="8" t="n"/>
      <c r="I1191" s="8" t="n"/>
      <c r="J1191" s="8" t="n"/>
      <c r="K1191" s="8" t="n">
        <v>985</v>
      </c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 t="n"/>
      <c r="W1191" s="8">
        <f>IF(COUNT(D1191:V1191)=0,"",MIN(D1191:V1191))</f>
        <v/>
      </c>
      <c r="X1191" s="8">
        <f>IF(COUNT(D1191:V1191)=0,"",MEDIAN(D1191:V1191))</f>
        <v/>
      </c>
      <c r="Y1191" s="8">
        <f>IF(COUNT(D1191:V1191)=0,"",MAX(D1191:V1191))</f>
        <v/>
      </c>
      <c r="Z1191" s="9">
        <f>IF(OR(W1191="",W1191=0),"",(Y1191-W1191)/W1191)</f>
        <v/>
      </c>
      <c r="AA1191" s="7">
        <f>IF(COUNT(D1191:V1191)=0,"",INDEX($D$1:$V$1,MATCH(MIN(D1191:V1191),D1191:V1191,0)))</f>
        <v/>
      </c>
      <c r="AB1191" s="8" t="n">
        <v>990</v>
      </c>
      <c r="AC1191" s="10" t="n">
        <v>1</v>
      </c>
    </row>
    <row r="1192">
      <c r="A1192" s="7" t="inlineStr">
        <is>
          <t>MAT-22-026</t>
        </is>
      </c>
      <c r="B1192" s="4" t="inlineStr">
        <is>
          <t>Abrazadera corta para malla ciclónica 1 1/4"</t>
        </is>
      </c>
      <c r="C1192" s="7" t="inlineStr">
        <is>
          <t>unidad</t>
        </is>
      </c>
      <c r="D1192" s="8" t="n">
        <v>16.91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>
        <v>34</v>
      </c>
      <c r="P1192" s="8" t="n"/>
      <c r="Q1192" s="8" t="n"/>
      <c r="R1192" s="8" t="n"/>
      <c r="S1192" s="8" t="n"/>
      <c r="T1192" s="8" t="n"/>
      <c r="U1192" s="8" t="n"/>
      <c r="V1192" s="8" t="n"/>
      <c r="W1192" s="8">
        <f>IF(COUNT(D1192:V1192)=0,"",MIN(D1192:V1192))</f>
        <v/>
      </c>
      <c r="X1192" s="8">
        <f>IF(COUNT(D1192:V1192)=0,"",MEDIAN(D1192:V1192))</f>
        <v/>
      </c>
      <c r="Y1192" s="8">
        <f>IF(COUNT(D1192:V1192)=0,"",MAX(D1192:V1192))</f>
        <v/>
      </c>
      <c r="Z1192" s="9">
        <f>IF(OR(W1192="",W1192=0),"",(Y1192-W1192)/W1192)</f>
        <v/>
      </c>
      <c r="AA1192" s="7">
        <f>IF(COUNT(D1192:V1192)=0,"",INDEX($D$1:$V$1,MATCH(MIN(D1192:V1192),D1192:V1192,0)))</f>
        <v/>
      </c>
      <c r="AB1192" s="8" t="n">
        <v>28.52</v>
      </c>
      <c r="AC1192" s="10" t="n">
        <v>2</v>
      </c>
    </row>
    <row r="1193">
      <c r="A1193" s="7" t="inlineStr">
        <is>
          <t>MAT-22-027</t>
        </is>
      </c>
      <c r="B1193" s="4" t="inlineStr">
        <is>
          <t>Copa pasante para malla ciclónica 1 1/4" x 1 1/2"</t>
        </is>
      </c>
      <c r="C1193" s="7" t="inlineStr">
        <is>
          <t>unidad</t>
        </is>
      </c>
      <c r="D1193" s="8" t="n">
        <v>76.66</v>
      </c>
      <c r="E1193" s="8" t="n"/>
      <c r="F1193" s="8" t="n"/>
      <c r="G1193" s="8" t="n"/>
      <c r="H1193" s="8" t="n"/>
      <c r="I1193" s="8" t="n"/>
      <c r="J1193" s="8" t="n"/>
      <c r="K1193" s="8" t="n">
        <v>98</v>
      </c>
      <c r="L1193" s="8" t="n"/>
      <c r="M1193" s="8" t="n"/>
      <c r="N1193" s="8" t="n"/>
      <c r="O1193" s="8" t="n">
        <v>115.6</v>
      </c>
      <c r="P1193" s="8" t="n"/>
      <c r="Q1193" s="8" t="n"/>
      <c r="R1193" s="8" t="n"/>
      <c r="S1193" s="8" t="n"/>
      <c r="T1193" s="8" t="n"/>
      <c r="U1193" s="8" t="n"/>
      <c r="V1193" s="8" t="n"/>
      <c r="W1193" s="8">
        <f>IF(COUNT(D1193:V1193)=0,"",MIN(D1193:V1193))</f>
        <v/>
      </c>
      <c r="X1193" s="8">
        <f>IF(COUNT(D1193:V1193)=0,"",MEDIAN(D1193:V1193))</f>
        <v/>
      </c>
      <c r="Y1193" s="8">
        <f>IF(COUNT(D1193:V1193)=0,"",MAX(D1193:V1193))</f>
        <v/>
      </c>
      <c r="Z1193" s="9">
        <f>IF(OR(W1193="",W1193=0),"",(Y1193-W1193)/W1193)</f>
        <v/>
      </c>
      <c r="AA1193" s="7">
        <f>IF(COUNT(D1193:V1193)=0,"",INDEX($D$1:$V$1,MATCH(MIN(D1193:V1193),D1193:V1193,0)))</f>
        <v/>
      </c>
      <c r="AB1193" s="8" t="n">
        <v>98</v>
      </c>
      <c r="AC1193" s="10" t="n">
        <v>3</v>
      </c>
    </row>
    <row r="1194">
      <c r="A1194" s="7" t="inlineStr">
        <is>
          <t>MAT-22-028</t>
        </is>
      </c>
      <c r="B1194" s="4" t="inlineStr">
        <is>
          <t>Copa tensora para malla ciclónica 1 1/4"</t>
        </is>
      </c>
      <c r="C1194" s="7" t="inlineStr">
        <is>
          <t>unidad</t>
        </is>
      </c>
      <c r="D1194" s="8" t="n">
        <v>55.61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8" t="n"/>
      <c r="T1194" s="8" t="n"/>
      <c r="U1194" s="8" t="n"/>
      <c r="V1194" s="8" t="n"/>
      <c r="W1194" s="8">
        <f>IF(COUNT(D1194:V1194)=0,"",MIN(D1194:V1194))</f>
        <v/>
      </c>
      <c r="X1194" s="8">
        <f>IF(COUNT(D1194:V1194)=0,"",MEDIAN(D1194:V1194))</f>
        <v/>
      </c>
      <c r="Y1194" s="8">
        <f>IF(COUNT(D1194:V1194)=0,"",MAX(D1194:V1194))</f>
        <v/>
      </c>
      <c r="Z1194" s="9">
        <f>IF(OR(W1194="",W1194=0),"",(Y1194-W1194)/W1194)</f>
        <v/>
      </c>
      <c r="AA1194" s="7">
        <f>IF(COUNT(D1194:V1194)=0,"",INDEX($D$1:$V$1,MATCH(MIN(D1194:V1194),D1194:V1194,0)))</f>
        <v/>
      </c>
      <c r="AB1194" s="8" t="n">
        <v>55.61</v>
      </c>
      <c r="AC1194" s="10" t="n">
        <v>1</v>
      </c>
    </row>
    <row r="1195">
      <c r="A1195" s="7" t="inlineStr">
        <is>
          <t>MAT-22-029</t>
        </is>
      </c>
      <c r="B1195" s="4" t="inlineStr">
        <is>
          <t>Copa terminal para malla ciclónica 1 1/4"</t>
        </is>
      </c>
      <c r="C1195" s="7" t="inlineStr">
        <is>
          <t>unidad</t>
        </is>
      </c>
      <c r="D1195" s="8" t="n">
        <v>36.96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>
        <v>81.59999999999999</v>
      </c>
      <c r="P1195" s="8" t="n"/>
      <c r="Q1195" s="8" t="n"/>
      <c r="R1195" s="8" t="n"/>
      <c r="S1195" s="8" t="n"/>
      <c r="T1195" s="8" t="n"/>
      <c r="U1195" s="8" t="n"/>
      <c r="V1195" s="8" t="n"/>
      <c r="W1195" s="8">
        <f>IF(COUNT(D1195:V1195)=0,"",MIN(D1195:V1195))</f>
        <v/>
      </c>
      <c r="X1195" s="8">
        <f>IF(COUNT(D1195:V1195)=0,"",MEDIAN(D1195:V1195))</f>
        <v/>
      </c>
      <c r="Y1195" s="8">
        <f>IF(COUNT(D1195:V1195)=0,"",MAX(D1195:V1195))</f>
        <v/>
      </c>
      <c r="Z1195" s="9">
        <f>IF(OR(W1195="",W1195=0),"",(Y1195-W1195)/W1195)</f>
        <v/>
      </c>
      <c r="AA1195" s="7">
        <f>IF(COUNT(D1195:V1195)=0,"",INDEX($D$1:$V$1,MATCH(MIN(D1195:V1195),D1195:V1195,0)))</f>
        <v/>
      </c>
      <c r="AB1195" s="8" t="n">
        <v>66.62</v>
      </c>
      <c r="AC1195" s="10" t="n">
        <v>2</v>
      </c>
    </row>
    <row r="1196">
      <c r="A1196" s="7" t="inlineStr">
        <is>
          <t>MAT-22-030</t>
        </is>
      </c>
      <c r="B1196" s="4" t="inlineStr">
        <is>
          <t>Unión reforzada para malla ciclónica 1 1/4"</t>
        </is>
      </c>
      <c r="C1196" s="7" t="inlineStr">
        <is>
          <t>unidad</t>
        </is>
      </c>
      <c r="D1196" s="8" t="n">
        <v>60.03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8" t="n"/>
      <c r="U1196" s="8" t="n"/>
      <c r="V1196" s="8" t="n"/>
      <c r="W1196" s="8">
        <f>IF(COUNT(D1196:V1196)=0,"",MIN(D1196:V1196))</f>
        <v/>
      </c>
      <c r="X1196" s="8">
        <f>IF(COUNT(D1196:V1196)=0,"",MEDIAN(D1196:V1196))</f>
        <v/>
      </c>
      <c r="Y1196" s="8">
        <f>IF(COUNT(D1196:V1196)=0,"",MAX(D1196:V1196))</f>
        <v/>
      </c>
      <c r="Z1196" s="9">
        <f>IF(OR(W1196="",W1196=0),"",(Y1196-W1196)/W1196)</f>
        <v/>
      </c>
      <c r="AA1196" s="7">
        <f>IF(COUNT(D1196:V1196)=0,"",INDEX($D$1:$V$1,MATCH(MIN(D1196:V1196),D1196:V1196,0)))</f>
        <v/>
      </c>
      <c r="AB1196" s="8" t="n">
        <v>60.03</v>
      </c>
      <c r="AC1196" s="10" t="n">
        <v>1</v>
      </c>
    </row>
    <row r="1197">
      <c r="A1197" s="7" t="inlineStr">
        <is>
          <t>MAT-22-031</t>
        </is>
      </c>
      <c r="B1197" s="4" t="inlineStr">
        <is>
          <t>Abrazadera corta para malla ciclónica 1 1/2"</t>
        </is>
      </c>
      <c r="C1197" s="7" t="inlineStr">
        <is>
          <t>unidad</t>
        </is>
      </c>
      <c r="D1197" s="8" t="n">
        <v>19.14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>
        <v>25.57</v>
      </c>
      <c r="P1197" s="8" t="n"/>
      <c r="Q1197" s="8" t="n"/>
      <c r="R1197" s="8" t="n"/>
      <c r="S1197" s="8" t="n"/>
      <c r="T1197" s="8" t="n"/>
      <c r="U1197" s="8" t="n"/>
      <c r="V1197" s="8" t="n"/>
      <c r="W1197" s="8">
        <f>IF(COUNT(D1197:V1197)=0,"",MIN(D1197:V1197))</f>
        <v/>
      </c>
      <c r="X1197" s="8">
        <f>IF(COUNT(D1197:V1197)=0,"",MEDIAN(D1197:V1197))</f>
        <v/>
      </c>
      <c r="Y1197" s="8">
        <f>IF(COUNT(D1197:V1197)=0,"",MAX(D1197:V1197))</f>
        <v/>
      </c>
      <c r="Z1197" s="9">
        <f>IF(OR(W1197="",W1197=0),"",(Y1197-W1197)/W1197)</f>
        <v/>
      </c>
      <c r="AA1197" s="7">
        <f>IF(COUNT(D1197:V1197)=0,"",INDEX($D$1:$V$1,MATCH(MIN(D1197:V1197),D1197:V1197,0)))</f>
        <v/>
      </c>
      <c r="AB1197" s="8" t="n">
        <v>24.66</v>
      </c>
      <c r="AC1197" s="10" t="n">
        <v>2</v>
      </c>
    </row>
    <row r="1198">
      <c r="A1198" s="7" t="inlineStr">
        <is>
          <t>MAT-22-032</t>
        </is>
      </c>
      <c r="B1198" s="4" t="inlineStr">
        <is>
          <t>Abrazadera larga para malla ciclónica 1 1/2"</t>
        </is>
      </c>
      <c r="C1198" s="7" t="inlineStr">
        <is>
          <t>unidad</t>
        </is>
      </c>
      <c r="D1198" s="8" t="n">
        <v>28.77</v>
      </c>
      <c r="E1198" s="8" t="n"/>
      <c r="F1198" s="8" t="n"/>
      <c r="G1198" s="8" t="n"/>
      <c r="H1198" s="8" t="n"/>
      <c r="I1198" s="8" t="n"/>
      <c r="J1198" s="8" t="n"/>
      <c r="K1198" s="8" t="n">
        <v>46</v>
      </c>
      <c r="L1198" s="8" t="n"/>
      <c r="M1198" s="8" t="n"/>
      <c r="N1198" s="8" t="n"/>
      <c r="O1198" s="8" t="n">
        <v>33.82</v>
      </c>
      <c r="P1198" s="8" t="n"/>
      <c r="Q1198" s="8" t="n"/>
      <c r="R1198" s="8" t="n"/>
      <c r="S1198" s="8" t="n"/>
      <c r="T1198" s="8" t="n"/>
      <c r="U1198" s="8" t="n"/>
      <c r="V1198" s="8" t="n"/>
      <c r="W1198" s="8">
        <f>IF(COUNT(D1198:V1198)=0,"",MIN(D1198:V1198))</f>
        <v/>
      </c>
      <c r="X1198" s="8">
        <f>IF(COUNT(D1198:V1198)=0,"",MEDIAN(D1198:V1198))</f>
        <v/>
      </c>
      <c r="Y1198" s="8">
        <f>IF(COUNT(D1198:V1198)=0,"",MAX(D1198:V1198))</f>
        <v/>
      </c>
      <c r="Z1198" s="9">
        <f>IF(OR(W1198="",W1198=0),"",(Y1198-W1198)/W1198)</f>
        <v/>
      </c>
      <c r="AA1198" s="7">
        <f>IF(COUNT(D1198:V1198)=0,"",INDEX($D$1:$V$1,MATCH(MIN(D1198:V1198),D1198:V1198,0)))</f>
        <v/>
      </c>
      <c r="AB1198" s="8" t="n">
        <v>39.91</v>
      </c>
      <c r="AC1198" s="10" t="n">
        <v>3</v>
      </c>
    </row>
    <row r="1199">
      <c r="A1199" s="7" t="inlineStr">
        <is>
          <t>MAT-22-033</t>
        </is>
      </c>
      <c r="B1199" s="4" t="inlineStr">
        <is>
          <t>Brazo doble para malla ciclónica 1 1/2" x 1 1/4"</t>
        </is>
      </c>
      <c r="C1199" s="7" t="inlineStr">
        <is>
          <t>unidad</t>
        </is>
      </c>
      <c r="D1199" s="8" t="n">
        <v>187.9</v>
      </c>
      <c r="E1199" s="8" t="n"/>
      <c r="F1199" s="8" t="n"/>
      <c r="G1199" s="8" t="n"/>
      <c r="H1199" s="8" t="n"/>
      <c r="I1199" s="8" t="n"/>
      <c r="J1199" s="8" t="n"/>
      <c r="K1199" s="8" t="n">
        <v>277</v>
      </c>
      <c r="L1199" s="8" t="n"/>
      <c r="M1199" s="8" t="n"/>
      <c r="N1199" s="8" t="n"/>
      <c r="O1199" s="8" t="n">
        <v>286</v>
      </c>
      <c r="P1199" s="8" t="n"/>
      <c r="Q1199" s="8" t="n"/>
      <c r="R1199" s="8" t="n"/>
      <c r="S1199" s="8" t="n"/>
      <c r="T1199" s="8" t="n"/>
      <c r="U1199" s="8" t="n"/>
      <c r="V1199" s="8" t="n"/>
      <c r="W1199" s="8">
        <f>IF(COUNT(D1199:V1199)=0,"",MIN(D1199:V1199))</f>
        <v/>
      </c>
      <c r="X1199" s="8">
        <f>IF(COUNT(D1199:V1199)=0,"",MEDIAN(D1199:V1199))</f>
        <v/>
      </c>
      <c r="Y1199" s="8">
        <f>IF(COUNT(D1199:V1199)=0,"",MAX(D1199:V1199))</f>
        <v/>
      </c>
      <c r="Z1199" s="9">
        <f>IF(OR(W1199="",W1199=0),"",(Y1199-W1199)/W1199)</f>
        <v/>
      </c>
      <c r="AA1199" s="7">
        <f>IF(COUNT(D1199:V1199)=0,"",INDEX($D$1:$V$1,MATCH(MIN(D1199:V1199),D1199:V1199,0)))</f>
        <v/>
      </c>
      <c r="AB1199" s="8" t="n">
        <v>277</v>
      </c>
      <c r="AC1199" s="10" t="n">
        <v>3</v>
      </c>
    </row>
    <row r="1200">
      <c r="A1200" s="7" t="inlineStr">
        <is>
          <t>MAT-22-034</t>
        </is>
      </c>
      <c r="B1200" s="4" t="inlineStr">
        <is>
          <t>Brazo sencillo para malla ciclónica 1 1/2" x 1 1/4"</t>
        </is>
      </c>
      <c r="C1200" s="7" t="inlineStr">
        <is>
          <t>unidad</t>
        </is>
      </c>
      <c r="D1200" s="8" t="n">
        <v>124.76</v>
      </c>
      <c r="E1200" s="8" t="n"/>
      <c r="F1200" s="8" t="n"/>
      <c r="G1200" s="8" t="n"/>
      <c r="H1200" s="8" t="n"/>
      <c r="I1200" s="8" t="n"/>
      <c r="J1200" s="8" t="n"/>
      <c r="K1200" s="8" t="n">
        <v>168</v>
      </c>
      <c r="L1200" s="8" t="n"/>
      <c r="M1200" s="8" t="n"/>
      <c r="N1200" s="8" t="n"/>
      <c r="O1200" s="8" t="n">
        <v>218</v>
      </c>
      <c r="P1200" s="8" t="n"/>
      <c r="Q1200" s="8" t="n"/>
      <c r="R1200" s="8" t="n"/>
      <c r="S1200" s="8" t="n"/>
      <c r="T1200" s="8" t="n"/>
      <c r="U1200" s="8" t="n"/>
      <c r="V1200" s="8" t="n"/>
      <c r="W1200" s="8">
        <f>IF(COUNT(D1200:V1200)=0,"",MIN(D1200:V1200))</f>
        <v/>
      </c>
      <c r="X1200" s="8">
        <f>IF(COUNT(D1200:V1200)=0,"",MEDIAN(D1200:V1200))</f>
        <v/>
      </c>
      <c r="Y1200" s="8">
        <f>IF(COUNT(D1200:V1200)=0,"",MAX(D1200:V1200))</f>
        <v/>
      </c>
      <c r="Z1200" s="9">
        <f>IF(OR(W1200="",W1200=0),"",(Y1200-W1200)/W1200)</f>
        <v/>
      </c>
      <c r="AA1200" s="7">
        <f>IF(COUNT(D1200:V1200)=0,"",INDEX($D$1:$V$1,MATCH(MIN(D1200:V1200),D1200:V1200,0)))</f>
        <v/>
      </c>
      <c r="AB1200" s="8" t="n">
        <v>168</v>
      </c>
      <c r="AC1200" s="10" t="n">
        <v>3</v>
      </c>
    </row>
    <row r="1201">
      <c r="A1201" s="7" t="inlineStr">
        <is>
          <t>MAT-22-035</t>
        </is>
      </c>
      <c r="B1201" s="4" t="inlineStr">
        <is>
          <t>Copa pasante para malla ciclónica 1 1/2" x 1 1/2"</t>
        </is>
      </c>
      <c r="C1201" s="7" t="inlineStr">
        <is>
          <t>unidad</t>
        </is>
      </c>
      <c r="D1201" s="8" t="n">
        <v>76.66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>
        <f>IF(COUNT(D1201:V1201)=0,"",MIN(D1201:V1201))</f>
        <v/>
      </c>
      <c r="X1201" s="8">
        <f>IF(COUNT(D1201:V1201)=0,"",MEDIAN(D1201:V1201))</f>
        <v/>
      </c>
      <c r="Y1201" s="8">
        <f>IF(COUNT(D1201:V1201)=0,"",MAX(D1201:V1201))</f>
        <v/>
      </c>
      <c r="Z1201" s="9">
        <f>IF(OR(W1201="",W1201=0),"",(Y1201-W1201)/W1201)</f>
        <v/>
      </c>
      <c r="AA1201" s="7">
        <f>IF(COUNT(D1201:V1201)=0,"",INDEX($D$1:$V$1,MATCH(MIN(D1201:V1201),D1201:V1201,0)))</f>
        <v/>
      </c>
      <c r="AB1201" s="8" t="n">
        <v>76.66</v>
      </c>
      <c r="AC1201" s="10" t="n">
        <v>1</v>
      </c>
    </row>
    <row r="1202">
      <c r="A1202" s="7" t="inlineStr">
        <is>
          <t>MAT-22-036</t>
        </is>
      </c>
      <c r="B1202" s="4" t="inlineStr">
        <is>
          <t>Copa terminal para malla ciclónica 1 1/2"</t>
        </is>
      </c>
      <c r="C1202" s="7" t="inlineStr">
        <is>
          <t>unidad</t>
        </is>
      </c>
      <c r="D1202" s="8" t="n">
        <v>61.63</v>
      </c>
      <c r="E1202" s="8" t="n"/>
      <c r="F1202" s="8" t="n"/>
      <c r="G1202" s="8" t="n"/>
      <c r="H1202" s="8" t="n"/>
      <c r="I1202" s="8" t="n"/>
      <c r="J1202" s="8" t="n"/>
      <c r="K1202" s="8" t="n">
        <v>105</v>
      </c>
      <c r="L1202" s="8" t="n"/>
      <c r="M1202" s="8" t="n"/>
      <c r="N1202" s="8" t="n"/>
      <c r="O1202" s="8" t="n">
        <v>81.59999999999999</v>
      </c>
      <c r="P1202" s="8" t="n"/>
      <c r="Q1202" s="8" t="n"/>
      <c r="R1202" s="8" t="n"/>
      <c r="S1202" s="8" t="n"/>
      <c r="T1202" s="8" t="n"/>
      <c r="U1202" s="8" t="n"/>
      <c r="V1202" s="8" t="n"/>
      <c r="W1202" s="8">
        <f>IF(COUNT(D1202:V1202)=0,"",MIN(D1202:V1202))</f>
        <v/>
      </c>
      <c r="X1202" s="8">
        <f>IF(COUNT(D1202:V1202)=0,"",MEDIAN(D1202:V1202))</f>
        <v/>
      </c>
      <c r="Y1202" s="8">
        <f>IF(COUNT(D1202:V1202)=0,"",MAX(D1202:V1202))</f>
        <v/>
      </c>
      <c r="Z1202" s="9">
        <f>IF(OR(W1202="",W1202=0),"",(Y1202-W1202)/W1202)</f>
        <v/>
      </c>
      <c r="AA1202" s="7">
        <f>IF(COUNT(D1202:V1202)=0,"",INDEX($D$1:$V$1,MATCH(MIN(D1202:V1202),D1202:V1202,0)))</f>
        <v/>
      </c>
      <c r="AB1202" s="8" t="n">
        <v>96.29000000000001</v>
      </c>
      <c r="AC1202" s="10" t="n">
        <v>3</v>
      </c>
    </row>
    <row r="1203">
      <c r="A1203" s="7" t="inlineStr">
        <is>
          <t>MAT-22-037</t>
        </is>
      </c>
      <c r="B1203" s="4" t="inlineStr">
        <is>
          <t>Abrazadera corta para malla ciclónica 2"</t>
        </is>
      </c>
      <c r="C1203" s="7" t="inlineStr">
        <is>
          <t>unidad</t>
        </is>
      </c>
      <c r="D1203" s="8" t="n">
        <v>21.04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>
        <v>39.44</v>
      </c>
      <c r="P1203" s="8" t="n"/>
      <c r="Q1203" s="8" t="n"/>
      <c r="R1203" s="8" t="n"/>
      <c r="S1203" s="8" t="n"/>
      <c r="T1203" s="8" t="n"/>
      <c r="U1203" s="8" t="n"/>
      <c r="V1203" s="8" t="n"/>
      <c r="W1203" s="8">
        <f>IF(COUNT(D1203:V1203)=0,"",MIN(D1203:V1203))</f>
        <v/>
      </c>
      <c r="X1203" s="8">
        <f>IF(COUNT(D1203:V1203)=0,"",MEDIAN(D1203:V1203))</f>
        <v/>
      </c>
      <c r="Y1203" s="8">
        <f>IF(COUNT(D1203:V1203)=0,"",MAX(D1203:V1203))</f>
        <v/>
      </c>
      <c r="Z1203" s="9">
        <f>IF(OR(W1203="",W1203=0),"",(Y1203-W1203)/W1203)</f>
        <v/>
      </c>
      <c r="AA1203" s="7">
        <f>IF(COUNT(D1203:V1203)=0,"",INDEX($D$1:$V$1,MATCH(MIN(D1203:V1203),D1203:V1203,0)))</f>
        <v/>
      </c>
      <c r="AB1203" s="8" t="n">
        <v>33.79</v>
      </c>
      <c r="AC1203" s="10" t="n">
        <v>2</v>
      </c>
    </row>
    <row r="1204">
      <c r="A1204" s="7" t="inlineStr">
        <is>
          <t>MAT-22-038</t>
        </is>
      </c>
      <c r="B1204" s="4" t="inlineStr">
        <is>
          <t>Abrazadera larga para malla ciclónica 2"</t>
        </is>
      </c>
      <c r="C1204" s="7" t="inlineStr">
        <is>
          <t>unidad</t>
        </is>
      </c>
      <c r="D1204" s="8" t="n">
        <v>20.38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>
        <v>40.8</v>
      </c>
      <c r="P1204" s="8" t="n"/>
      <c r="Q1204" s="8" t="n"/>
      <c r="R1204" s="8" t="n"/>
      <c r="S1204" s="8" t="n"/>
      <c r="T1204" s="8" t="n"/>
      <c r="U1204" s="8" t="n"/>
      <c r="V1204" s="8" t="n"/>
      <c r="W1204" s="8">
        <f>IF(COUNT(D1204:V1204)=0,"",MIN(D1204:V1204))</f>
        <v/>
      </c>
      <c r="X1204" s="8">
        <f>IF(COUNT(D1204:V1204)=0,"",MEDIAN(D1204:V1204))</f>
        <v/>
      </c>
      <c r="Y1204" s="8">
        <f>IF(COUNT(D1204:V1204)=0,"",MAX(D1204:V1204))</f>
        <v/>
      </c>
      <c r="Z1204" s="9">
        <f>IF(OR(W1204="",W1204=0),"",(Y1204-W1204)/W1204)</f>
        <v/>
      </c>
      <c r="AA1204" s="7">
        <f>IF(COUNT(D1204:V1204)=0,"",INDEX($D$1:$V$1,MATCH(MIN(D1204:V1204),D1204:V1204,0)))</f>
        <v/>
      </c>
      <c r="AB1204" s="8" t="n">
        <v>34.26</v>
      </c>
      <c r="AC1204" s="10" t="n">
        <v>2</v>
      </c>
    </row>
    <row r="1205">
      <c r="A1205" s="7" t="inlineStr">
        <is>
          <t>MAT-22-039</t>
        </is>
      </c>
      <c r="B1205" s="4" t="inlineStr">
        <is>
          <t>Brazo sencillo para malla ciclónica 2" x 1 1/4"</t>
        </is>
      </c>
      <c r="C1205" s="7" t="inlineStr">
        <is>
          <t>unidad</t>
        </is>
      </c>
      <c r="D1205" s="8" t="n">
        <v>187.9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>
        <v>269.5</v>
      </c>
      <c r="P1205" s="8" t="n"/>
      <c r="Q1205" s="8" t="n"/>
      <c r="R1205" s="8" t="n"/>
      <c r="S1205" s="8" t="n"/>
      <c r="T1205" s="8" t="n"/>
      <c r="U1205" s="8" t="n"/>
      <c r="V1205" s="8" t="n"/>
      <c r="W1205" s="8">
        <f>IF(COUNT(D1205:V1205)=0,"",MIN(D1205:V1205))</f>
        <v/>
      </c>
      <c r="X1205" s="8">
        <f>IF(COUNT(D1205:V1205)=0,"",MEDIAN(D1205:V1205))</f>
        <v/>
      </c>
      <c r="Y1205" s="8">
        <f>IF(COUNT(D1205:V1205)=0,"",MAX(D1205:V1205))</f>
        <v/>
      </c>
      <c r="Z1205" s="9">
        <f>IF(OR(W1205="",W1205=0),"",(Y1205-W1205)/W1205)</f>
        <v/>
      </c>
      <c r="AA1205" s="7">
        <f>IF(COUNT(D1205:V1205)=0,"",INDEX($D$1:$V$1,MATCH(MIN(D1205:V1205),D1205:V1205,0)))</f>
        <v/>
      </c>
      <c r="AB1205" s="8" t="n">
        <v>252.96</v>
      </c>
      <c r="AC1205" s="10" t="n">
        <v>2</v>
      </c>
    </row>
    <row r="1206">
      <c r="A1206" s="7" t="inlineStr">
        <is>
          <t>MAT-22-040</t>
        </is>
      </c>
      <c r="B1206" s="4" t="inlineStr">
        <is>
          <t>Brazo doble para malla ciclónica 2" x 1 1/2"</t>
        </is>
      </c>
      <c r="C1206" s="7" t="inlineStr">
        <is>
          <t>unidad</t>
        </is>
      </c>
      <c r="D1206" s="8" t="n">
        <v>373.18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>
        <v>286</v>
      </c>
      <c r="P1206" s="8" t="n"/>
      <c r="Q1206" s="8" t="n"/>
      <c r="R1206" s="8" t="n"/>
      <c r="S1206" s="8" t="n"/>
      <c r="T1206" s="8" t="n"/>
      <c r="U1206" s="8" t="n"/>
      <c r="V1206" s="8" t="n"/>
      <c r="W1206" s="8">
        <f>IF(COUNT(D1206:V1206)=0,"",MIN(D1206:V1206))</f>
        <v/>
      </c>
      <c r="X1206" s="8">
        <f>IF(COUNT(D1206:V1206)=0,"",MEDIAN(D1206:V1206))</f>
        <v/>
      </c>
      <c r="Y1206" s="8">
        <f>IF(COUNT(D1206:V1206)=0,"",MAX(D1206:V1206))</f>
        <v/>
      </c>
      <c r="Z1206" s="9">
        <f>IF(OR(W1206="",W1206=0),"",(Y1206-W1206)/W1206)</f>
        <v/>
      </c>
      <c r="AA1206" s="7">
        <f>IF(COUNT(D1206:V1206)=0,"",INDEX($D$1:$V$1,MATCH(MIN(D1206:V1206),D1206:V1206,0)))</f>
        <v/>
      </c>
      <c r="AB1206" s="8" t="n">
        <v>355.33</v>
      </c>
      <c r="AC1206" s="10" t="n">
        <v>2</v>
      </c>
    </row>
    <row r="1207">
      <c r="A1207" s="7" t="inlineStr">
        <is>
          <t>MAT-22-041</t>
        </is>
      </c>
      <c r="B1207" s="4" t="inlineStr">
        <is>
          <t>Copa terminal para malla ciclónica 2"</t>
        </is>
      </c>
      <c r="C1207" s="7" t="inlineStr">
        <is>
          <t>unidad</t>
        </is>
      </c>
      <c r="D1207" s="8" t="n">
        <v>51.11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>
        <v>88.40000000000001</v>
      </c>
      <c r="P1207" s="8" t="n"/>
      <c r="Q1207" s="8" t="n"/>
      <c r="R1207" s="8" t="n"/>
      <c r="S1207" s="8" t="n"/>
      <c r="T1207" s="8" t="n"/>
      <c r="U1207" s="8" t="n"/>
      <c r="V1207" s="8" t="n"/>
      <c r="W1207" s="8">
        <f>IF(COUNT(D1207:V1207)=0,"",MIN(D1207:V1207))</f>
        <v/>
      </c>
      <c r="X1207" s="8">
        <f>IF(COUNT(D1207:V1207)=0,"",MEDIAN(D1207:V1207))</f>
        <v/>
      </c>
      <c r="Y1207" s="8">
        <f>IF(COUNT(D1207:V1207)=0,"",MAX(D1207:V1207))</f>
        <v/>
      </c>
      <c r="Z1207" s="9">
        <f>IF(OR(W1207="",W1207=0),"",(Y1207-W1207)/W1207)</f>
        <v/>
      </c>
      <c r="AA1207" s="7">
        <f>IF(COUNT(D1207:V1207)=0,"",INDEX($D$1:$V$1,MATCH(MIN(D1207:V1207),D1207:V1207,0)))</f>
        <v/>
      </c>
      <c r="AB1207" s="8" t="n">
        <v>77.70999999999999</v>
      </c>
      <c r="AC1207" s="10" t="n">
        <v>2</v>
      </c>
    </row>
    <row r="1208">
      <c r="A1208" s="7" t="inlineStr">
        <is>
          <t>MAT-22-042</t>
        </is>
      </c>
      <c r="B1208" s="4" t="inlineStr">
        <is>
          <t>Brazo para malla ciclónica 2 3/8" x 1 1/2"</t>
        </is>
      </c>
      <c r="C1208" s="7" t="inlineStr">
        <is>
          <t>unidad</t>
        </is>
      </c>
      <c r="D1208" s="8" t="n">
        <v>300.64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>
        <f>IF(COUNT(D1208:V1208)=0,"",MIN(D1208:V1208))</f>
        <v/>
      </c>
      <c r="X1208" s="8">
        <f>IF(COUNT(D1208:V1208)=0,"",MEDIAN(D1208:V1208))</f>
        <v/>
      </c>
      <c r="Y1208" s="8">
        <f>IF(COUNT(D1208:V1208)=0,"",MAX(D1208:V1208))</f>
        <v/>
      </c>
      <c r="Z1208" s="9">
        <f>IF(OR(W1208="",W1208=0),"",(Y1208-W1208)/W1208)</f>
        <v/>
      </c>
      <c r="AA1208" s="7">
        <f>IF(COUNT(D1208:V1208)=0,"",INDEX($D$1:$V$1,MATCH(MIN(D1208:V1208),D1208:V1208,0)))</f>
        <v/>
      </c>
      <c r="AB1208" s="8" t="n">
        <v>300.64</v>
      </c>
      <c r="AC1208" s="10" t="n">
        <v>1</v>
      </c>
    </row>
    <row r="1209">
      <c r="A1209" s="7" t="inlineStr">
        <is>
          <t>MAT-22-043</t>
        </is>
      </c>
      <c r="B1209" s="4" t="inlineStr">
        <is>
          <t>Copa terminal para malla ciclónica 3"</t>
        </is>
      </c>
      <c r="C1209" s="7" t="inlineStr">
        <is>
          <t>unidad</t>
        </is>
      </c>
      <c r="D1209" s="8" t="n">
        <v>36.5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>
        <f>IF(COUNT(D1209:V1209)=0,"",MIN(D1209:V1209))</f>
        <v/>
      </c>
      <c r="X1209" s="8">
        <f>IF(COUNT(D1209:V1209)=0,"",MEDIAN(D1209:V1209))</f>
        <v/>
      </c>
      <c r="Y1209" s="8">
        <f>IF(COUNT(D1209:V1209)=0,"",MAX(D1209:V1209))</f>
        <v/>
      </c>
      <c r="Z1209" s="9">
        <f>IF(OR(W1209="",W1209=0),"",(Y1209-W1209)/W1209)</f>
        <v/>
      </c>
      <c r="AA1209" s="7">
        <f>IF(COUNT(D1209:V1209)=0,"",INDEX($D$1:$V$1,MATCH(MIN(D1209:V1209),D1209:V1209,0)))</f>
        <v/>
      </c>
      <c r="AB1209" s="8" t="n">
        <v>36.5</v>
      </c>
      <c r="AC1209" s="10" t="n">
        <v>1</v>
      </c>
    </row>
    <row r="1210">
      <c r="A1210" s="7" t="inlineStr">
        <is>
          <t>MAT-23-001</t>
        </is>
      </c>
      <c r="B1210" s="4" t="inlineStr">
        <is>
          <t>Tubo redondo de aluminio 3/8" x 19.20 pies</t>
        </is>
      </c>
      <c r="C1210" s="7" t="inlineStr">
        <is>
          <t>unidad</t>
        </is>
      </c>
      <c r="D1210" s="8" t="n">
        <v>299.9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>
        <f>IF(COUNT(D1210:V1210)=0,"",MIN(D1210:V1210))</f>
        <v/>
      </c>
      <c r="X1210" s="8">
        <f>IF(COUNT(D1210:V1210)=0,"",MEDIAN(D1210:V1210))</f>
        <v/>
      </c>
      <c r="Y1210" s="8">
        <f>IF(COUNT(D1210:V1210)=0,"",MAX(D1210:V1210))</f>
        <v/>
      </c>
      <c r="Z1210" s="9">
        <f>IF(OR(W1210="",W1210=0),"",(Y1210-W1210)/W1210)</f>
        <v/>
      </c>
      <c r="AA1210" s="7">
        <f>IF(COUNT(D1210:V1210)=0,"",INDEX($D$1:$V$1,MATCH(MIN(D1210:V1210),D1210:V1210,0)))</f>
        <v/>
      </c>
      <c r="AB1210" s="8" t="n">
        <v>299.9</v>
      </c>
      <c r="AC1210" s="10" t="n">
        <v>1</v>
      </c>
    </row>
    <row r="1211">
      <c r="A1211" s="7" t="inlineStr">
        <is>
          <t>MAT-23-002</t>
        </is>
      </c>
      <c r="B1211" s="4" t="inlineStr">
        <is>
          <t>Tubo redondo de aluminio 1/2" x 19.20 pies</t>
        </is>
      </c>
      <c r="C1211" s="7" t="inlineStr">
        <is>
          <t>unidad</t>
        </is>
      </c>
      <c r="D1211" s="8" t="n">
        <v>373.61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>
        <f>IF(COUNT(D1211:V1211)=0,"",MIN(D1211:V1211))</f>
        <v/>
      </c>
      <c r="X1211" s="8">
        <f>IF(COUNT(D1211:V1211)=0,"",MEDIAN(D1211:V1211))</f>
        <v/>
      </c>
      <c r="Y1211" s="8">
        <f>IF(COUNT(D1211:V1211)=0,"",MAX(D1211:V1211))</f>
        <v/>
      </c>
      <c r="Z1211" s="9">
        <f>IF(OR(W1211="",W1211=0),"",(Y1211-W1211)/W1211)</f>
        <v/>
      </c>
      <c r="AA1211" s="7">
        <f>IF(COUNT(D1211:V1211)=0,"",INDEX($D$1:$V$1,MATCH(MIN(D1211:V1211),D1211:V1211,0)))</f>
        <v/>
      </c>
      <c r="AB1211" s="8" t="n">
        <v>373.61</v>
      </c>
      <c r="AC1211" s="10" t="n">
        <v>1</v>
      </c>
    </row>
    <row r="1212">
      <c r="A1212" s="7" t="inlineStr">
        <is>
          <t>MAT-23-003</t>
        </is>
      </c>
      <c r="B1212" s="4" t="inlineStr">
        <is>
          <t>Planchuela de aluminio 1/2" x 1/8" x 19.20 pies</t>
        </is>
      </c>
      <c r="C1212" s="7" t="inlineStr">
        <is>
          <t>unidad</t>
        </is>
      </c>
      <c r="D1212" s="8" t="n">
        <v>452.36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 t="n"/>
      <c r="W1212" s="8">
        <f>IF(COUNT(D1212:V1212)=0,"",MIN(D1212:V1212))</f>
        <v/>
      </c>
      <c r="X1212" s="8">
        <f>IF(COUNT(D1212:V1212)=0,"",MEDIAN(D1212:V1212))</f>
        <v/>
      </c>
      <c r="Y1212" s="8">
        <f>IF(COUNT(D1212:V1212)=0,"",MAX(D1212:V1212))</f>
        <v/>
      </c>
      <c r="Z1212" s="9">
        <f>IF(OR(W1212="",W1212=0),"",(Y1212-W1212)/W1212)</f>
        <v/>
      </c>
      <c r="AA1212" s="7">
        <f>IF(COUNT(D1212:V1212)=0,"",INDEX($D$1:$V$1,MATCH(MIN(D1212:V1212),D1212:V1212,0)))</f>
        <v/>
      </c>
      <c r="AB1212" s="8" t="n">
        <v>452.36</v>
      </c>
      <c r="AC1212" s="10" t="n">
        <v>1</v>
      </c>
    </row>
    <row r="1213">
      <c r="A1213" s="7" t="inlineStr">
        <is>
          <t>MAT-23-004</t>
        </is>
      </c>
      <c r="B1213" s="4" t="inlineStr">
        <is>
          <t>Angular de aluminio 1/2" x 1/2" x 19.20 pies</t>
        </is>
      </c>
      <c r="C1213" s="7" t="inlineStr">
        <is>
          <t>unidad</t>
        </is>
      </c>
      <c r="D1213" s="8" t="n">
        <v>394.72</v>
      </c>
      <c r="E1213" s="8" t="n"/>
      <c r="F1213" s="8" t="n"/>
      <c r="G1213" s="8" t="n"/>
      <c r="H1213" s="8" t="n"/>
      <c r="I1213" s="8" t="n"/>
      <c r="J1213" s="8" t="n"/>
      <c r="K1213" s="8" t="n">
        <v>295</v>
      </c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 t="n"/>
      <c r="W1213" s="8">
        <f>IF(COUNT(D1213:V1213)=0,"",MIN(D1213:V1213))</f>
        <v/>
      </c>
      <c r="X1213" s="8">
        <f>IF(COUNT(D1213:V1213)=0,"",MEDIAN(D1213:V1213))</f>
        <v/>
      </c>
      <c r="Y1213" s="8">
        <f>IF(COUNT(D1213:V1213)=0,"",MAX(D1213:V1213))</f>
        <v/>
      </c>
      <c r="Z1213" s="9">
        <f>IF(OR(W1213="",W1213=0),"",(Y1213-W1213)/W1213)</f>
        <v/>
      </c>
      <c r="AA1213" s="7">
        <f>IF(COUNT(D1213:V1213)=0,"",INDEX($D$1:$V$1,MATCH(MIN(D1213:V1213),D1213:V1213,0)))</f>
        <v/>
      </c>
      <c r="AB1213" s="8" t="n">
        <v>344.86</v>
      </c>
      <c r="AC1213" s="10" t="n">
        <v>2</v>
      </c>
    </row>
    <row r="1214">
      <c r="A1214" s="7" t="inlineStr">
        <is>
          <t>MAT-23-005</t>
        </is>
      </c>
      <c r="B1214" s="4" t="inlineStr">
        <is>
          <t>Moldura U de aluminio 1/2" x 1/2" x 19.20 pies</t>
        </is>
      </c>
      <c r="C1214" s="7" t="inlineStr">
        <is>
          <t>unidad</t>
        </is>
      </c>
      <c r="D1214" s="8" t="n">
        <v>377.71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>
        <f>IF(COUNT(D1214:V1214)=0,"",MIN(D1214:V1214))</f>
        <v/>
      </c>
      <c r="X1214" s="8">
        <f>IF(COUNT(D1214:V1214)=0,"",MEDIAN(D1214:V1214))</f>
        <v/>
      </c>
      <c r="Y1214" s="8">
        <f>IF(COUNT(D1214:V1214)=0,"",MAX(D1214:V1214))</f>
        <v/>
      </c>
      <c r="Z1214" s="9">
        <f>IF(OR(W1214="",W1214=0),"",(Y1214-W1214)/W1214)</f>
        <v/>
      </c>
      <c r="AA1214" s="7">
        <f>IF(COUNT(D1214:V1214)=0,"",INDEX($D$1:$V$1,MATCH(MIN(D1214:V1214),D1214:V1214,0)))</f>
        <v/>
      </c>
      <c r="AB1214" s="8" t="n">
        <v>377.71</v>
      </c>
      <c r="AC1214" s="10" t="n">
        <v>1</v>
      </c>
    </row>
    <row r="1215">
      <c r="A1215" s="7" t="inlineStr">
        <is>
          <t>MAT-23-006</t>
        </is>
      </c>
      <c r="B1215" s="4" t="inlineStr">
        <is>
          <t>Moldura U de aluminio 5/8" x 5/8" x 19.20 pies</t>
        </is>
      </c>
      <c r="C1215" s="7" t="inlineStr">
        <is>
          <t>unidad</t>
        </is>
      </c>
      <c r="D1215" s="8" t="n">
        <v>827.9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>
        <f>IF(COUNT(D1215:V1215)=0,"",MIN(D1215:V1215))</f>
        <v/>
      </c>
      <c r="X1215" s="8">
        <f>IF(COUNT(D1215:V1215)=0,"",MEDIAN(D1215:V1215))</f>
        <v/>
      </c>
      <c r="Y1215" s="8">
        <f>IF(COUNT(D1215:V1215)=0,"",MAX(D1215:V1215))</f>
        <v/>
      </c>
      <c r="Z1215" s="9">
        <f>IF(OR(W1215="",W1215=0),"",(Y1215-W1215)/W1215)</f>
        <v/>
      </c>
      <c r="AA1215" s="7">
        <f>IF(COUNT(D1215:V1215)=0,"",INDEX($D$1:$V$1,MATCH(MIN(D1215:V1215),D1215:V1215,0)))</f>
        <v/>
      </c>
      <c r="AB1215" s="8" t="n">
        <v>827.9</v>
      </c>
      <c r="AC1215" s="10" t="n">
        <v>1</v>
      </c>
    </row>
    <row r="1216">
      <c r="A1216" s="7" t="inlineStr">
        <is>
          <t>MAT-23-007</t>
        </is>
      </c>
      <c r="B1216" s="4" t="inlineStr">
        <is>
          <t>Tubo redondo de aluminio 3/4" x 19.20 pies</t>
        </is>
      </c>
      <c r="C1216" s="7" t="inlineStr">
        <is>
          <t>unidad</t>
        </is>
      </c>
      <c r="D1216" s="8" t="n">
        <v>772.42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>
        <f>IF(COUNT(D1216:V1216)=0,"",MIN(D1216:V1216))</f>
        <v/>
      </c>
      <c r="X1216" s="8">
        <f>IF(COUNT(D1216:V1216)=0,"",MEDIAN(D1216:V1216))</f>
        <v/>
      </c>
      <c r="Y1216" s="8">
        <f>IF(COUNT(D1216:V1216)=0,"",MAX(D1216:V1216))</f>
        <v/>
      </c>
      <c r="Z1216" s="9">
        <f>IF(OR(W1216="",W1216=0),"",(Y1216-W1216)/W1216)</f>
        <v/>
      </c>
      <c r="AA1216" s="7">
        <f>IF(COUNT(D1216:V1216)=0,"",INDEX($D$1:$V$1,MATCH(MIN(D1216:V1216),D1216:V1216,0)))</f>
        <v/>
      </c>
      <c r="AB1216" s="8" t="n">
        <v>772.42</v>
      </c>
      <c r="AC1216" s="10" t="n">
        <v>1</v>
      </c>
    </row>
    <row r="1217">
      <c r="A1217" s="7" t="inlineStr">
        <is>
          <t>MAT-23-008</t>
        </is>
      </c>
      <c r="B1217" s="4" t="inlineStr">
        <is>
          <t>Angular de aluminio 3/4" x 3/4" x 19.20 pies</t>
        </is>
      </c>
      <c r="C1217" s="7" t="inlineStr">
        <is>
          <t>unidad</t>
        </is>
      </c>
      <c r="D1217" s="8" t="n">
        <v>436.29</v>
      </c>
      <c r="E1217" s="8" t="n"/>
      <c r="F1217" s="8" t="n"/>
      <c r="G1217" s="8" t="n"/>
      <c r="H1217" s="8" t="n"/>
      <c r="I1217" s="8" t="n"/>
      <c r="J1217" s="8" t="n"/>
      <c r="K1217" s="8" t="n">
        <v>445</v>
      </c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>
        <f>IF(COUNT(D1217:V1217)=0,"",MIN(D1217:V1217))</f>
        <v/>
      </c>
      <c r="X1217" s="8">
        <f>IF(COUNT(D1217:V1217)=0,"",MEDIAN(D1217:V1217))</f>
        <v/>
      </c>
      <c r="Y1217" s="8">
        <f>IF(COUNT(D1217:V1217)=0,"",MAX(D1217:V1217))</f>
        <v/>
      </c>
      <c r="Z1217" s="9">
        <f>IF(OR(W1217="",W1217=0),"",(Y1217-W1217)/W1217)</f>
        <v/>
      </c>
      <c r="AA1217" s="7">
        <f>IF(COUNT(D1217:V1217)=0,"",INDEX($D$1:$V$1,MATCH(MIN(D1217:V1217),D1217:V1217,0)))</f>
        <v/>
      </c>
      <c r="AB1217" s="8" t="n">
        <v>440.65</v>
      </c>
      <c r="AC1217" s="10" t="n">
        <v>2</v>
      </c>
    </row>
    <row r="1218">
      <c r="A1218" s="7" t="inlineStr">
        <is>
          <t>MAT-23-009</t>
        </is>
      </c>
      <c r="B1218" s="4" t="inlineStr">
        <is>
          <t>Tubo redondo de aluminio 1" x 19.20 pies</t>
        </is>
      </c>
      <c r="C1218" s="7" t="inlineStr">
        <is>
          <t>unidad</t>
        </is>
      </c>
      <c r="D1218" s="8" t="n">
        <v>957.33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 t="n"/>
      <c r="U1218" s="8" t="n"/>
      <c r="V1218" s="8" t="n"/>
      <c r="W1218" s="8">
        <f>IF(COUNT(D1218:V1218)=0,"",MIN(D1218:V1218))</f>
        <v/>
      </c>
      <c r="X1218" s="8">
        <f>IF(COUNT(D1218:V1218)=0,"",MEDIAN(D1218:V1218))</f>
        <v/>
      </c>
      <c r="Y1218" s="8">
        <f>IF(COUNT(D1218:V1218)=0,"",MAX(D1218:V1218))</f>
        <v/>
      </c>
      <c r="Z1218" s="9">
        <f>IF(OR(W1218="",W1218=0),"",(Y1218-W1218)/W1218)</f>
        <v/>
      </c>
      <c r="AA1218" s="7">
        <f>IF(COUNT(D1218:V1218)=0,"",INDEX($D$1:$V$1,MATCH(MIN(D1218:V1218),D1218:V1218,0)))</f>
        <v/>
      </c>
      <c r="AB1218" s="8" t="n">
        <v>957.33</v>
      </c>
      <c r="AC1218" s="10" t="n">
        <v>1</v>
      </c>
    </row>
    <row r="1219">
      <c r="A1219" s="7" t="inlineStr">
        <is>
          <t>MAT-23-010</t>
        </is>
      </c>
      <c r="B1219" s="4" t="inlineStr">
        <is>
          <t>Planchuela de aluminio 1" x 1/4" x 19.20 pies</t>
        </is>
      </c>
      <c r="C1219" s="7" t="inlineStr">
        <is>
          <t>unidad</t>
        </is>
      </c>
      <c r="D1219" s="8" t="n">
        <v>1709.91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 t="n"/>
      <c r="U1219" s="8" t="n"/>
      <c r="V1219" s="8" t="n"/>
      <c r="W1219" s="8">
        <f>IF(COUNT(D1219:V1219)=0,"",MIN(D1219:V1219))</f>
        <v/>
      </c>
      <c r="X1219" s="8">
        <f>IF(COUNT(D1219:V1219)=0,"",MEDIAN(D1219:V1219))</f>
        <v/>
      </c>
      <c r="Y1219" s="8">
        <f>IF(COUNT(D1219:V1219)=0,"",MAX(D1219:V1219))</f>
        <v/>
      </c>
      <c r="Z1219" s="9">
        <f>IF(OR(W1219="",W1219=0),"",(Y1219-W1219)/W1219)</f>
        <v/>
      </c>
      <c r="AA1219" s="7">
        <f>IF(COUNT(D1219:V1219)=0,"",INDEX($D$1:$V$1,MATCH(MIN(D1219:V1219),D1219:V1219,0)))</f>
        <v/>
      </c>
      <c r="AB1219" s="8" t="n">
        <v>1709.91</v>
      </c>
      <c r="AC1219" s="10" t="n">
        <v>1</v>
      </c>
    </row>
    <row r="1220">
      <c r="A1220" s="7" t="inlineStr">
        <is>
          <t>MAT-23-011</t>
        </is>
      </c>
      <c r="B1220" s="4" t="inlineStr">
        <is>
          <t>Angular de aluminio 1" x 3/4" x 19.20 pies</t>
        </is>
      </c>
      <c r="C1220" s="7" t="inlineStr">
        <is>
          <t>unidad</t>
        </is>
      </c>
      <c r="D1220" s="8" t="n">
        <v>626.5700000000001</v>
      </c>
      <c r="E1220" s="8" t="n"/>
      <c r="F1220" s="8" t="n"/>
      <c r="G1220" s="8" t="n"/>
      <c r="H1220" s="8" t="n"/>
      <c r="I1220" s="8" t="n"/>
      <c r="J1220" s="8" t="n"/>
      <c r="K1220" s="8" t="n">
        <v>755</v>
      </c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 t="n"/>
      <c r="U1220" s="8" t="n"/>
      <c r="V1220" s="8" t="n"/>
      <c r="W1220" s="8">
        <f>IF(COUNT(D1220:V1220)=0,"",MIN(D1220:V1220))</f>
        <v/>
      </c>
      <c r="X1220" s="8">
        <f>IF(COUNT(D1220:V1220)=0,"",MEDIAN(D1220:V1220))</f>
        <v/>
      </c>
      <c r="Y1220" s="8">
        <f>IF(COUNT(D1220:V1220)=0,"",MAX(D1220:V1220))</f>
        <v/>
      </c>
      <c r="Z1220" s="9">
        <f>IF(OR(W1220="",W1220=0),"",(Y1220-W1220)/W1220)</f>
        <v/>
      </c>
      <c r="AA1220" s="7">
        <f>IF(COUNT(D1220:V1220)=0,"",INDEX($D$1:$V$1,MATCH(MIN(D1220:V1220),D1220:V1220,0)))</f>
        <v/>
      </c>
      <c r="AB1220" s="8" t="n">
        <v>690.79</v>
      </c>
      <c r="AC1220" s="10" t="n">
        <v>2</v>
      </c>
    </row>
    <row r="1221">
      <c r="A1221" s="7" t="inlineStr">
        <is>
          <t>MAT-23-012</t>
        </is>
      </c>
      <c r="B1221" s="4" t="inlineStr">
        <is>
          <t>Perfil de aluminio 1" x 1" x 19.20 pies</t>
        </is>
      </c>
      <c r="C1221" s="7" t="inlineStr">
        <is>
          <t>unidad</t>
        </is>
      </c>
      <c r="D1221" s="8" t="n">
        <v>1336.93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>
        <f>IF(COUNT(D1221:V1221)=0,"",MIN(D1221:V1221))</f>
        <v/>
      </c>
      <c r="X1221" s="8">
        <f>IF(COUNT(D1221:V1221)=0,"",MEDIAN(D1221:V1221))</f>
        <v/>
      </c>
      <c r="Y1221" s="8">
        <f>IF(COUNT(D1221:V1221)=0,"",MAX(D1221:V1221))</f>
        <v/>
      </c>
      <c r="Z1221" s="9">
        <f>IF(OR(W1221="",W1221=0),"",(Y1221-W1221)/W1221)</f>
        <v/>
      </c>
      <c r="AA1221" s="7">
        <f>IF(COUNT(D1221:V1221)=0,"",INDEX($D$1:$V$1,MATCH(MIN(D1221:V1221),D1221:V1221,0)))</f>
        <v/>
      </c>
      <c r="AB1221" s="8" t="n">
        <v>1336.93</v>
      </c>
      <c r="AC1221" s="10" t="n">
        <v>1</v>
      </c>
    </row>
    <row r="1222">
      <c r="A1222" s="7" t="inlineStr">
        <is>
          <t>MAT-23-013</t>
        </is>
      </c>
      <c r="B1222" s="4" t="inlineStr">
        <is>
          <t>Tubo redondo de aluminio 1 1/4" x 19.20 pies</t>
        </is>
      </c>
      <c r="C1222" s="7" t="inlineStr">
        <is>
          <t>unidad</t>
        </is>
      </c>
      <c r="D1222" s="8" t="n">
        <v>2185.58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>
        <f>IF(COUNT(D1222:V1222)=0,"",MIN(D1222:V1222))</f>
        <v/>
      </c>
      <c r="X1222" s="8">
        <f>IF(COUNT(D1222:V1222)=0,"",MEDIAN(D1222:V1222))</f>
        <v/>
      </c>
      <c r="Y1222" s="8">
        <f>IF(COUNT(D1222:V1222)=0,"",MAX(D1222:V1222))</f>
        <v/>
      </c>
      <c r="Z1222" s="9">
        <f>IF(OR(W1222="",W1222=0),"",(Y1222-W1222)/W1222)</f>
        <v/>
      </c>
      <c r="AA1222" s="7">
        <f>IF(COUNT(D1222:V1222)=0,"",INDEX($D$1:$V$1,MATCH(MIN(D1222:V1222),D1222:V1222,0)))</f>
        <v/>
      </c>
      <c r="AB1222" s="8" t="n">
        <v>2185.58</v>
      </c>
      <c r="AC1222" s="10" t="n">
        <v>1</v>
      </c>
    </row>
    <row r="1223">
      <c r="A1223" s="7" t="inlineStr">
        <is>
          <t>MAT-23-014</t>
        </is>
      </c>
      <c r="B1223" s="4" t="inlineStr">
        <is>
          <t>Angular de aluminio 1 1/4" x 1 1/4" x 19.20 pies</t>
        </is>
      </c>
      <c r="C1223" s="7" t="inlineStr">
        <is>
          <t>unidad</t>
        </is>
      </c>
      <c r="D1223" s="8" t="n">
        <v>982.22</v>
      </c>
      <c r="E1223" s="8" t="n"/>
      <c r="F1223" s="8" t="n"/>
      <c r="G1223" s="8" t="n"/>
      <c r="H1223" s="8" t="n"/>
      <c r="I1223" s="8" t="n"/>
      <c r="J1223" s="8" t="n"/>
      <c r="K1223" s="8" t="n">
        <v>1165</v>
      </c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8" t="n"/>
      <c r="W1223" s="8">
        <f>IF(COUNT(D1223:V1223)=0,"",MIN(D1223:V1223))</f>
        <v/>
      </c>
      <c r="X1223" s="8">
        <f>IF(COUNT(D1223:V1223)=0,"",MEDIAN(D1223:V1223))</f>
        <v/>
      </c>
      <c r="Y1223" s="8">
        <f>IF(COUNT(D1223:V1223)=0,"",MAX(D1223:V1223))</f>
        <v/>
      </c>
      <c r="Z1223" s="9">
        <f>IF(OR(W1223="",W1223=0),"",(Y1223-W1223)/W1223)</f>
        <v/>
      </c>
      <c r="AA1223" s="7">
        <f>IF(COUNT(D1223:V1223)=0,"",INDEX($D$1:$V$1,MATCH(MIN(D1223:V1223),D1223:V1223,0)))</f>
        <v/>
      </c>
      <c r="AB1223" s="8" t="n">
        <v>1073.61</v>
      </c>
      <c r="AC1223" s="10" t="n">
        <v>2</v>
      </c>
    </row>
    <row r="1224">
      <c r="A1224" s="7" t="inlineStr">
        <is>
          <t>MAT-23-015</t>
        </is>
      </c>
      <c r="B1224" s="4" t="inlineStr">
        <is>
          <t>Planchuela de aluminio 1 1/2" x 1/4" x 19.20 pies</t>
        </is>
      </c>
      <c r="C1224" s="7" t="inlineStr">
        <is>
          <t>unidad</t>
        </is>
      </c>
      <c r="D1224" s="8" t="n">
        <v>2567.7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8" t="n"/>
      <c r="W1224" s="8">
        <f>IF(COUNT(D1224:V1224)=0,"",MIN(D1224:V1224))</f>
        <v/>
      </c>
      <c r="X1224" s="8">
        <f>IF(COUNT(D1224:V1224)=0,"",MEDIAN(D1224:V1224))</f>
        <v/>
      </c>
      <c r="Y1224" s="8">
        <f>IF(COUNT(D1224:V1224)=0,"",MAX(D1224:V1224))</f>
        <v/>
      </c>
      <c r="Z1224" s="9">
        <f>IF(OR(W1224="",W1224=0),"",(Y1224-W1224)/W1224)</f>
        <v/>
      </c>
      <c r="AA1224" s="7">
        <f>IF(COUNT(D1224:V1224)=0,"",INDEX($D$1:$V$1,MATCH(MIN(D1224:V1224),D1224:V1224,0)))</f>
        <v/>
      </c>
      <c r="AB1224" s="8" t="n">
        <v>2567.7</v>
      </c>
      <c r="AC1224" s="10" t="n">
        <v>1</v>
      </c>
    </row>
    <row r="1225">
      <c r="A1225" s="7" t="inlineStr">
        <is>
          <t>MAT-23-016</t>
        </is>
      </c>
      <c r="B1225" s="4" t="inlineStr">
        <is>
          <t>Moldura U de aluminio 1 1/2" x 3/4" x 19.20 pies</t>
        </is>
      </c>
      <c r="C1225" s="7" t="inlineStr">
        <is>
          <t>unidad</t>
        </is>
      </c>
      <c r="D1225" s="8" t="n">
        <v>1117.37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8" t="n"/>
      <c r="W1225" s="8">
        <f>IF(COUNT(D1225:V1225)=0,"",MIN(D1225:V1225))</f>
        <v/>
      </c>
      <c r="X1225" s="8">
        <f>IF(COUNT(D1225:V1225)=0,"",MEDIAN(D1225:V1225))</f>
        <v/>
      </c>
      <c r="Y1225" s="8">
        <f>IF(COUNT(D1225:V1225)=0,"",MAX(D1225:V1225))</f>
        <v/>
      </c>
      <c r="Z1225" s="9">
        <f>IF(OR(W1225="",W1225=0),"",(Y1225-W1225)/W1225)</f>
        <v/>
      </c>
      <c r="AA1225" s="7">
        <f>IF(COUNT(D1225:V1225)=0,"",INDEX($D$1:$V$1,MATCH(MIN(D1225:V1225),D1225:V1225,0)))</f>
        <v/>
      </c>
      <c r="AB1225" s="8" t="n">
        <v>1117.37</v>
      </c>
      <c r="AC1225" s="10" t="n">
        <v>1</v>
      </c>
    </row>
    <row r="1226">
      <c r="A1226" s="7" t="inlineStr">
        <is>
          <t>MAT-23-017</t>
        </is>
      </c>
      <c r="B1226" s="4" t="inlineStr">
        <is>
          <t>Angular de aluminio 1 1/2" x 1 1/2" x 19.20 pies</t>
        </is>
      </c>
      <c r="C1226" s="7" t="inlineStr">
        <is>
          <t>unidad</t>
        </is>
      </c>
      <c r="D1226" s="8" t="n">
        <v>2473.52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8" t="n"/>
      <c r="W1226" s="8">
        <f>IF(COUNT(D1226:V1226)=0,"",MIN(D1226:V1226))</f>
        <v/>
      </c>
      <c r="X1226" s="8">
        <f>IF(COUNT(D1226:V1226)=0,"",MEDIAN(D1226:V1226))</f>
        <v/>
      </c>
      <c r="Y1226" s="8">
        <f>IF(COUNT(D1226:V1226)=0,"",MAX(D1226:V1226))</f>
        <v/>
      </c>
      <c r="Z1226" s="9">
        <f>IF(OR(W1226="",W1226=0),"",(Y1226-W1226)/W1226)</f>
        <v/>
      </c>
      <c r="AA1226" s="7">
        <f>IF(COUNT(D1226:V1226)=0,"",INDEX($D$1:$V$1,MATCH(MIN(D1226:V1226),D1226:V1226,0)))</f>
        <v/>
      </c>
      <c r="AB1226" s="8" t="n">
        <v>2473.52</v>
      </c>
      <c r="AC1226" s="10" t="n">
        <v>1</v>
      </c>
    </row>
    <row r="1227">
      <c r="A1227" s="7" t="inlineStr">
        <is>
          <t>MAT-23-018</t>
        </is>
      </c>
      <c r="B1227" s="4" t="inlineStr">
        <is>
          <t>Perfil cuadrado de aluminio 1 1/2" x 1 1/2" x 19.20 pies</t>
        </is>
      </c>
      <c r="C1227" s="7" t="inlineStr">
        <is>
          <t>unidad</t>
        </is>
      </c>
      <c r="D1227" s="8" t="n">
        <v>1701.73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8" t="n"/>
      <c r="W1227" s="8">
        <f>IF(COUNT(D1227:V1227)=0,"",MIN(D1227:V1227))</f>
        <v/>
      </c>
      <c r="X1227" s="8">
        <f>IF(COUNT(D1227:V1227)=0,"",MEDIAN(D1227:V1227))</f>
        <v/>
      </c>
      <c r="Y1227" s="8">
        <f>IF(COUNT(D1227:V1227)=0,"",MAX(D1227:V1227))</f>
        <v/>
      </c>
      <c r="Z1227" s="9">
        <f>IF(OR(W1227="",W1227=0),"",(Y1227-W1227)/W1227)</f>
        <v/>
      </c>
      <c r="AA1227" s="7">
        <f>IF(COUNT(D1227:V1227)=0,"",INDEX($D$1:$V$1,MATCH(MIN(D1227:V1227),D1227:V1227,0)))</f>
        <v/>
      </c>
      <c r="AB1227" s="8" t="n">
        <v>1701.73</v>
      </c>
      <c r="AC1227" s="10" t="n">
        <v>1</v>
      </c>
    </row>
    <row r="1228">
      <c r="A1228" s="7" t="inlineStr">
        <is>
          <t>MAT-23-019</t>
        </is>
      </c>
      <c r="B1228" s="4" t="inlineStr">
        <is>
          <t>Perfil rectangular de aluminio 2" x 1" x 19.20 pies</t>
        </is>
      </c>
      <c r="C1228" s="7" t="inlineStr">
        <is>
          <t>unidad</t>
        </is>
      </c>
      <c r="D1228" s="8" t="n">
        <v>1846.63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>
        <f>IF(COUNT(D1228:V1228)=0,"",MIN(D1228:V1228))</f>
        <v/>
      </c>
      <c r="X1228" s="8">
        <f>IF(COUNT(D1228:V1228)=0,"",MEDIAN(D1228:V1228))</f>
        <v/>
      </c>
      <c r="Y1228" s="8">
        <f>IF(COUNT(D1228:V1228)=0,"",MAX(D1228:V1228))</f>
        <v/>
      </c>
      <c r="Z1228" s="9">
        <f>IF(OR(W1228="",W1228=0),"",(Y1228-W1228)/W1228)</f>
        <v/>
      </c>
      <c r="AA1228" s="7">
        <f>IF(COUNT(D1228:V1228)=0,"",INDEX($D$1:$V$1,MATCH(MIN(D1228:V1228),D1228:V1228,0)))</f>
        <v/>
      </c>
      <c r="AB1228" s="8" t="n">
        <v>1846.63</v>
      </c>
      <c r="AC1228" s="10" t="n">
        <v>1</v>
      </c>
    </row>
    <row r="1229">
      <c r="A1229" s="7" t="inlineStr">
        <is>
          <t>MAT-23-020</t>
        </is>
      </c>
      <c r="B1229" s="4" t="inlineStr">
        <is>
          <t>Angular de aluminio 2" x 2" x 19.20 pies</t>
        </is>
      </c>
      <c r="C1229" s="7" t="inlineStr">
        <is>
          <t>unidad</t>
        </is>
      </c>
      <c r="D1229" s="8" t="n">
        <v>3334.76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>
        <f>IF(COUNT(D1229:V1229)=0,"",MIN(D1229:V1229))</f>
        <v/>
      </c>
      <c r="X1229" s="8">
        <f>IF(COUNT(D1229:V1229)=0,"",MEDIAN(D1229:V1229))</f>
        <v/>
      </c>
      <c r="Y1229" s="8">
        <f>IF(COUNT(D1229:V1229)=0,"",MAX(D1229:V1229))</f>
        <v/>
      </c>
      <c r="Z1229" s="9">
        <f>IF(OR(W1229="",W1229=0),"",(Y1229-W1229)/W1229)</f>
        <v/>
      </c>
      <c r="AA1229" s="7">
        <f>IF(COUNT(D1229:V1229)=0,"",INDEX($D$1:$V$1,MATCH(MIN(D1229:V1229),D1229:V1229,0)))</f>
        <v/>
      </c>
      <c r="AB1229" s="8" t="n">
        <v>3334.76</v>
      </c>
      <c r="AC1229" s="10" t="n">
        <v>1</v>
      </c>
    </row>
    <row r="1230">
      <c r="A1230" s="7" t="inlineStr">
        <is>
          <t>MAT-23-021</t>
        </is>
      </c>
      <c r="B1230" s="4" t="inlineStr">
        <is>
          <t>Planchuela de aluminio 3" x 3/16" x 19.20 pies</t>
        </is>
      </c>
      <c r="C1230" s="7" t="inlineStr">
        <is>
          <t>unidad</t>
        </is>
      </c>
      <c r="D1230" s="8" t="n">
        <v>2695.59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>
        <f>IF(COUNT(D1230:V1230)=0,"",MIN(D1230:V1230))</f>
        <v/>
      </c>
      <c r="X1230" s="8">
        <f>IF(COUNT(D1230:V1230)=0,"",MEDIAN(D1230:V1230))</f>
        <v/>
      </c>
      <c r="Y1230" s="8">
        <f>IF(COUNT(D1230:V1230)=0,"",MAX(D1230:V1230))</f>
        <v/>
      </c>
      <c r="Z1230" s="9">
        <f>IF(OR(W1230="",W1230=0),"",(Y1230-W1230)/W1230)</f>
        <v/>
      </c>
      <c r="AA1230" s="7">
        <f>IF(COUNT(D1230:V1230)=0,"",INDEX($D$1:$V$1,MATCH(MIN(D1230:V1230),D1230:V1230,0)))</f>
        <v/>
      </c>
      <c r="AB1230" s="8" t="n">
        <v>2695.59</v>
      </c>
      <c r="AC1230" s="10" t="n">
        <v>1</v>
      </c>
    </row>
    <row r="1231">
      <c r="A1231" s="7" t="inlineStr">
        <is>
          <t>MAT-23-022</t>
        </is>
      </c>
      <c r="B1231" s="4" t="inlineStr">
        <is>
          <t>Perfil rectangular de aluminio 3" x 1 1/2" x 19.20 pies</t>
        </is>
      </c>
      <c r="C1231" s="7" t="inlineStr">
        <is>
          <t>unidad</t>
        </is>
      </c>
      <c r="D1231" s="8" t="n">
        <v>3956.93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>
        <f>IF(COUNT(D1231:V1231)=0,"",MIN(D1231:V1231))</f>
        <v/>
      </c>
      <c r="X1231" s="8">
        <f>IF(COUNT(D1231:V1231)=0,"",MEDIAN(D1231:V1231))</f>
        <v/>
      </c>
      <c r="Y1231" s="8">
        <f>IF(COUNT(D1231:V1231)=0,"",MAX(D1231:V1231))</f>
        <v/>
      </c>
      <c r="Z1231" s="9">
        <f>IF(OR(W1231="",W1231=0),"",(Y1231-W1231)/W1231)</f>
        <v/>
      </c>
      <c r="AA1231" s="7">
        <f>IF(COUNT(D1231:V1231)=0,"",INDEX($D$1:$V$1,MATCH(MIN(D1231:V1231),D1231:V1231,0)))</f>
        <v/>
      </c>
      <c r="AB1231" s="8" t="n">
        <v>3956.93</v>
      </c>
      <c r="AC1231" s="10" t="n">
        <v>1</v>
      </c>
    </row>
    <row r="1232">
      <c r="A1232" s="7" t="inlineStr">
        <is>
          <t>MAT-23-023</t>
        </is>
      </c>
      <c r="B1232" s="4" t="inlineStr">
        <is>
          <t>Planchuela de aluminio 4" x 1/8" x 19.20 pies</t>
        </is>
      </c>
      <c r="C1232" s="7" t="inlineStr">
        <is>
          <t>unidad</t>
        </is>
      </c>
      <c r="D1232" s="8" t="n">
        <v>3464.55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>
        <f>IF(COUNT(D1232:V1232)=0,"",MIN(D1232:V1232))</f>
        <v/>
      </c>
      <c r="X1232" s="8">
        <f>IF(COUNT(D1232:V1232)=0,"",MEDIAN(D1232:V1232))</f>
        <v/>
      </c>
      <c r="Y1232" s="8">
        <f>IF(COUNT(D1232:V1232)=0,"",MAX(D1232:V1232))</f>
        <v/>
      </c>
      <c r="Z1232" s="9">
        <f>IF(OR(W1232="",W1232=0),"",(Y1232-W1232)/W1232)</f>
        <v/>
      </c>
      <c r="AA1232" s="7">
        <f>IF(COUNT(D1232:V1232)=0,"",INDEX($D$1:$V$1,MATCH(MIN(D1232:V1232),D1232:V1232,0)))</f>
        <v/>
      </c>
      <c r="AB1232" s="8" t="n">
        <v>3464.55</v>
      </c>
      <c r="AC1232" s="10" t="n">
        <v>1</v>
      </c>
    </row>
    <row r="1233">
      <c r="A1233" s="7" t="inlineStr">
        <is>
          <t>MAT-23-024</t>
        </is>
      </c>
      <c r="B1233" s="4" t="inlineStr">
        <is>
          <t>Perfil rectangular de aluminio 4" x 1 3/4" x 19.20 pies</t>
        </is>
      </c>
      <c r="C1233" s="7" t="inlineStr">
        <is>
          <t>unidad</t>
        </is>
      </c>
      <c r="D1233" s="8" t="n">
        <v>5142.65</v>
      </c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>
        <f>IF(COUNT(D1233:V1233)=0,"",MIN(D1233:V1233))</f>
        <v/>
      </c>
      <c r="X1233" s="8">
        <f>IF(COUNT(D1233:V1233)=0,"",MEDIAN(D1233:V1233))</f>
        <v/>
      </c>
      <c r="Y1233" s="8">
        <f>IF(COUNT(D1233:V1233)=0,"",MAX(D1233:V1233))</f>
        <v/>
      </c>
      <c r="Z1233" s="9">
        <f>IF(OR(W1233="",W1233=0),"",(Y1233-W1233)/W1233)</f>
        <v/>
      </c>
      <c r="AA1233" s="7">
        <f>IF(COUNT(D1233:V1233)=0,"",INDEX($D$1:$V$1,MATCH(MIN(D1233:V1233),D1233:V1233,0)))</f>
        <v/>
      </c>
      <c r="AB1233" s="8" t="n">
        <v>5142.65</v>
      </c>
      <c r="AC1233" s="10" t="n">
        <v>1</v>
      </c>
    </row>
    <row r="1234">
      <c r="A1234" s="7" t="inlineStr">
        <is>
          <t>MAT-23-025</t>
        </is>
      </c>
      <c r="B1234" s="4" t="inlineStr">
        <is>
          <t>Angular de aluminio, 1X1"X19'</t>
        </is>
      </c>
      <c r="C1234" s="7" t="inlineStr">
        <is>
          <t>unidad</t>
        </is>
      </c>
      <c r="D1234" s="8" t="n"/>
      <c r="E1234" s="8" t="n"/>
      <c r="F1234" s="8" t="n"/>
      <c r="G1234" s="8" t="n"/>
      <c r="H1234" s="8" t="n"/>
      <c r="I1234" s="8" t="n"/>
      <c r="J1234" s="8" t="n"/>
      <c r="K1234" s="8" t="n">
        <v>750</v>
      </c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>
        <f>IF(COUNT(D1234:V1234)=0,"",MIN(D1234:V1234))</f>
        <v/>
      </c>
      <c r="X1234" s="8">
        <f>IF(COUNT(D1234:V1234)=0,"",MEDIAN(D1234:V1234))</f>
        <v/>
      </c>
      <c r="Y1234" s="8">
        <f>IF(COUNT(D1234:V1234)=0,"",MAX(D1234:V1234))</f>
        <v/>
      </c>
      <c r="Z1234" s="9">
        <f>IF(OR(W1234="",W1234=0),"",(Y1234-W1234)/W1234)</f>
        <v/>
      </c>
      <c r="AA1234" s="7">
        <f>IF(COUNT(D1234:V1234)=0,"",INDEX($D$1:$V$1,MATCH(MIN(D1234:V1234),D1234:V1234,0)))</f>
        <v/>
      </c>
      <c r="AB1234" s="8" t="n">
        <v>750</v>
      </c>
      <c r="AC1234" s="10" t="n">
        <v>1</v>
      </c>
    </row>
    <row r="1235">
      <c r="A1235" s="7" t="inlineStr">
        <is>
          <t>MAT-23-026</t>
        </is>
      </c>
      <c r="B1235" s="4" t="inlineStr">
        <is>
          <t>Angular de aluminio, 3/4X1/2"X19'</t>
        </is>
      </c>
      <c r="C1235" s="7" t="inlineStr">
        <is>
          <t>unidad</t>
        </is>
      </c>
      <c r="D1235" s="8" t="n"/>
      <c r="E1235" s="8" t="n"/>
      <c r="F1235" s="8" t="n"/>
      <c r="G1235" s="8" t="n"/>
      <c r="H1235" s="8" t="n"/>
      <c r="I1235" s="8" t="n"/>
      <c r="J1235" s="8" t="n"/>
      <c r="K1235" s="8" t="n">
        <v>398</v>
      </c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>
        <f>IF(COUNT(D1235:V1235)=0,"",MIN(D1235:V1235))</f>
        <v/>
      </c>
      <c r="X1235" s="8">
        <f>IF(COUNT(D1235:V1235)=0,"",MEDIAN(D1235:V1235))</f>
        <v/>
      </c>
      <c r="Y1235" s="8">
        <f>IF(COUNT(D1235:V1235)=0,"",MAX(D1235:V1235))</f>
        <v/>
      </c>
      <c r="Z1235" s="9">
        <f>IF(OR(W1235="",W1235=0),"",(Y1235-W1235)/W1235)</f>
        <v/>
      </c>
      <c r="AA1235" s="7">
        <f>IF(COUNT(D1235:V1235)=0,"",INDEX($D$1:$V$1,MATCH(MIN(D1235:V1235),D1235:V1235,0)))</f>
        <v/>
      </c>
      <c r="AB1235" s="8" t="n">
        <v>398</v>
      </c>
      <c r="AC1235" s="10" t="n">
        <v>1</v>
      </c>
    </row>
    <row r="1236">
      <c r="A1236" s="7" t="inlineStr">
        <is>
          <t>MAT-24-001</t>
        </is>
      </c>
      <c r="B1236" s="4" t="inlineStr">
        <is>
          <t>Inodoro de una pieza</t>
        </is>
      </c>
      <c r="C1236" s="7" t="inlineStr">
        <is>
          <t>unidad</t>
        </is>
      </c>
      <c r="D1236" s="8" t="n">
        <v>5981.36</v>
      </c>
      <c r="E1236" s="8" t="n">
        <v>4980</v>
      </c>
      <c r="F1236" s="8" t="n">
        <v>5932.2</v>
      </c>
      <c r="G1236" s="8" t="n">
        <v>9971</v>
      </c>
      <c r="H1236" s="8" t="n">
        <v>5950</v>
      </c>
      <c r="I1236" s="8" t="n"/>
      <c r="J1236" s="8" t="n"/>
      <c r="K1236" s="8" t="n">
        <v>4225</v>
      </c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>
        <f>IF(COUNT(D1236:V1236)=0,"",MIN(D1236:V1236))</f>
        <v/>
      </c>
      <c r="X1236" s="8">
        <f>IF(COUNT(D1236:V1236)=0,"",MEDIAN(D1236:V1236))</f>
        <v/>
      </c>
      <c r="Y1236" s="8">
        <f>IF(COUNT(D1236:V1236)=0,"",MAX(D1236:V1236))</f>
        <v/>
      </c>
      <c r="Z1236" s="9">
        <f>IF(OR(W1236="",W1236=0),"",(Y1236-W1236)/W1236)</f>
        <v/>
      </c>
      <c r="AA1236" s="7">
        <f>IF(COUNT(D1236:V1236)=0,"",INDEX($D$1:$V$1,MATCH(MIN(D1236:V1236),D1236:V1236,0)))</f>
        <v/>
      </c>
      <c r="AB1236" s="8" t="n">
        <v>9860</v>
      </c>
      <c r="AC1236" s="10" t="n">
        <v>6</v>
      </c>
    </row>
    <row r="1237">
      <c r="A1237" s="7" t="inlineStr">
        <is>
          <t>MAT-24-002</t>
        </is>
      </c>
      <c r="B1237" s="4" t="inlineStr">
        <is>
          <t>Inodoro infantil</t>
        </is>
      </c>
      <c r="C1237" s="7" t="inlineStr">
        <is>
          <t>unidad</t>
        </is>
      </c>
      <c r="D1237" s="8" t="n"/>
      <c r="E1237" s="8" t="n">
        <v>11543.61</v>
      </c>
      <c r="F1237" s="8" t="n">
        <v>6348.02</v>
      </c>
      <c r="G1237" s="8" t="n"/>
      <c r="H1237" s="8" t="n">
        <v>13750</v>
      </c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>
        <f>IF(COUNT(D1237:V1237)=0,"",MIN(D1237:V1237))</f>
        <v/>
      </c>
      <c r="X1237" s="8">
        <f>IF(COUNT(D1237:V1237)=0,"",MEDIAN(D1237:V1237))</f>
        <v/>
      </c>
      <c r="Y1237" s="8">
        <f>IF(COUNT(D1237:V1237)=0,"",MAX(D1237:V1237))</f>
        <v/>
      </c>
      <c r="Z1237" s="9">
        <f>IF(OR(W1237="",W1237=0),"",(Y1237-W1237)/W1237)</f>
        <v/>
      </c>
      <c r="AA1237" s="7">
        <f>IF(COUNT(D1237:V1237)=0,"",INDEX($D$1:$V$1,MATCH(MIN(D1237:V1237),D1237:V1237,0)))</f>
        <v/>
      </c>
      <c r="AB1237" s="8" t="n">
        <v>11543.61</v>
      </c>
      <c r="AC1237" s="10" t="n">
        <v>3</v>
      </c>
    </row>
    <row r="1238">
      <c r="A1238" s="7" t="inlineStr">
        <is>
          <t>MAT-24-004</t>
        </is>
      </c>
      <c r="B1238" s="4" t="inlineStr">
        <is>
          <t>Inodoro de dos piezas</t>
        </is>
      </c>
      <c r="C1238" s="7" t="inlineStr">
        <is>
          <t>unidad</t>
        </is>
      </c>
      <c r="D1238" s="8" t="n"/>
      <c r="E1238" s="8" t="n">
        <v>5100</v>
      </c>
      <c r="F1238" s="8" t="n">
        <v>6355.93</v>
      </c>
      <c r="G1238" s="8" t="n">
        <v>5320</v>
      </c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>
        <f>IF(COUNT(D1238:V1238)=0,"",MIN(D1238:V1238))</f>
        <v/>
      </c>
      <c r="X1238" s="8">
        <f>IF(COUNT(D1238:V1238)=0,"",MEDIAN(D1238:V1238))</f>
        <v/>
      </c>
      <c r="Y1238" s="8">
        <f>IF(COUNT(D1238:V1238)=0,"",MAX(D1238:V1238))</f>
        <v/>
      </c>
      <c r="Z1238" s="9">
        <f>IF(OR(W1238="",W1238=0),"",(Y1238-W1238)/W1238)</f>
        <v/>
      </c>
      <c r="AA1238" s="7">
        <f>IF(COUNT(D1238:V1238)=0,"",INDEX($D$1:$V$1,MATCH(MIN(D1238:V1238),D1238:V1238,0)))</f>
        <v/>
      </c>
      <c r="AB1238" s="8" t="n">
        <v>8905.379999999999</v>
      </c>
      <c r="AC1238" s="10" t="n">
        <v>3</v>
      </c>
    </row>
    <row r="1239">
      <c r="A1239" s="7" t="inlineStr">
        <is>
          <t>MAT-24-005</t>
        </is>
      </c>
      <c r="B1239" s="4" t="inlineStr">
        <is>
          <t>Tanque para inodoro de dos piezas</t>
        </is>
      </c>
      <c r="C1239" s="7" t="inlineStr">
        <is>
          <t>unidad</t>
        </is>
      </c>
      <c r="D1239" s="8" t="n">
        <v>586.47</v>
      </c>
      <c r="E1239" s="8" t="n"/>
      <c r="F1239" s="8" t="n"/>
      <c r="G1239" s="8" t="n"/>
      <c r="H1239" s="8" t="n"/>
      <c r="I1239" s="8" t="n"/>
      <c r="J1239" s="8" t="n"/>
      <c r="K1239" s="8" t="n">
        <v>12715</v>
      </c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>
        <f>IF(COUNT(D1239:V1239)=0,"",MIN(D1239:V1239))</f>
        <v/>
      </c>
      <c r="X1239" s="8">
        <f>IF(COUNT(D1239:V1239)=0,"",MEDIAN(D1239:V1239))</f>
        <v/>
      </c>
      <c r="Y1239" s="8">
        <f>IF(COUNT(D1239:V1239)=0,"",MAX(D1239:V1239))</f>
        <v/>
      </c>
      <c r="Z1239" s="9">
        <f>IF(OR(W1239="",W1239=0),"",(Y1239-W1239)/W1239)</f>
        <v/>
      </c>
      <c r="AA1239" s="7">
        <f>IF(COUNT(D1239:V1239)=0,"",INDEX($D$1:$V$1,MATCH(MIN(D1239:V1239),D1239:V1239,0)))</f>
        <v/>
      </c>
      <c r="AB1239" s="8" t="n">
        <v>4198.79</v>
      </c>
      <c r="AC1239" s="10" t="n">
        <v>2</v>
      </c>
    </row>
    <row r="1240">
      <c r="A1240" s="7" t="inlineStr">
        <is>
          <t>MAT-24-006</t>
        </is>
      </c>
      <c r="B1240" s="4" t="inlineStr">
        <is>
          <t>Basineta para inodoro de dos piezas</t>
        </is>
      </c>
      <c r="C1240" s="7" t="inlineStr">
        <is>
          <t>unidad</t>
        </is>
      </c>
      <c r="D1240" s="8" t="n">
        <v>2129.12</v>
      </c>
      <c r="E1240" s="8" t="n"/>
      <c r="F1240" s="8" t="n">
        <v>4225.59</v>
      </c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>
        <f>IF(COUNT(D1240:V1240)=0,"",MIN(D1240:V1240))</f>
        <v/>
      </c>
      <c r="X1240" s="8">
        <f>IF(COUNT(D1240:V1240)=0,"",MEDIAN(D1240:V1240))</f>
        <v/>
      </c>
      <c r="Y1240" s="8">
        <f>IF(COUNT(D1240:V1240)=0,"",MAX(D1240:V1240))</f>
        <v/>
      </c>
      <c r="Z1240" s="9">
        <f>IF(OR(W1240="",W1240=0),"",(Y1240-W1240)/W1240)</f>
        <v/>
      </c>
      <c r="AA1240" s="7">
        <f>IF(COUNT(D1240:V1240)=0,"",INDEX($D$1:$V$1,MATCH(MIN(D1240:V1240),D1240:V1240,0)))</f>
        <v/>
      </c>
      <c r="AB1240" s="8" t="n">
        <v>5574.97</v>
      </c>
      <c r="AC1240" s="10" t="n">
        <v>2</v>
      </c>
    </row>
    <row r="1241">
      <c r="A1241" s="7" t="inlineStr">
        <is>
          <t>MAT-24-007</t>
        </is>
      </c>
      <c r="B1241" s="4" t="inlineStr">
        <is>
          <t>Taza para fluxómetro</t>
        </is>
      </c>
      <c r="C1241" s="7" t="inlineStr">
        <is>
          <t>unidad</t>
        </is>
      </c>
      <c r="D1241" s="8" t="n"/>
      <c r="E1241" s="8" t="n"/>
      <c r="F1241" s="8" t="n">
        <v>5857.58</v>
      </c>
      <c r="G1241" s="8" t="n"/>
      <c r="H1241" s="8" t="n">
        <v>8400</v>
      </c>
      <c r="I1241" s="8" t="n"/>
      <c r="J1241" s="8" t="n"/>
      <c r="K1241" s="8" t="n">
        <v>3925</v>
      </c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>
        <f>IF(COUNT(D1241:V1241)=0,"",MIN(D1241:V1241))</f>
        <v/>
      </c>
      <c r="X1241" s="8">
        <f>IF(COUNT(D1241:V1241)=0,"",MEDIAN(D1241:V1241))</f>
        <v/>
      </c>
      <c r="Y1241" s="8">
        <f>IF(COUNT(D1241:V1241)=0,"",MAX(D1241:V1241))</f>
        <v/>
      </c>
      <c r="Z1241" s="9">
        <f>IF(OR(W1241="",W1241=0),"",(Y1241-W1241)/W1241)</f>
        <v/>
      </c>
      <c r="AA1241" s="7">
        <f>IF(COUNT(D1241:V1241)=0,"",INDEX($D$1:$V$1,MATCH(MIN(D1241:V1241),D1241:V1241,0)))</f>
        <v/>
      </c>
      <c r="AB1241" s="8" t="n">
        <v>9091</v>
      </c>
      <c r="AC1241" s="10" t="n">
        <v>3</v>
      </c>
    </row>
    <row r="1242">
      <c r="A1242" s="7" t="inlineStr">
        <is>
          <t>MAT-24-008</t>
        </is>
      </c>
      <c r="B1242" s="4" t="inlineStr">
        <is>
          <t>Urinario de porcelana</t>
        </is>
      </c>
      <c r="C1242" s="7" t="inlineStr">
        <is>
          <t>unidad</t>
        </is>
      </c>
      <c r="D1242" s="8" t="n">
        <v>4422.13</v>
      </c>
      <c r="E1242" s="8" t="n">
        <v>3265</v>
      </c>
      <c r="F1242" s="8" t="n">
        <v>4650</v>
      </c>
      <c r="G1242" s="8" t="n"/>
      <c r="H1242" s="8" t="n">
        <v>6995</v>
      </c>
      <c r="I1242" s="8" t="n"/>
      <c r="J1242" s="8" t="n"/>
      <c r="K1242" s="8" t="n">
        <v>4362</v>
      </c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>
        <f>IF(COUNT(D1242:V1242)=0,"",MIN(D1242:V1242))</f>
        <v/>
      </c>
      <c r="X1242" s="8">
        <f>IF(COUNT(D1242:V1242)=0,"",MEDIAN(D1242:V1242))</f>
        <v/>
      </c>
      <c r="Y1242" s="8">
        <f>IF(COUNT(D1242:V1242)=0,"",MAX(D1242:V1242))</f>
        <v/>
      </c>
      <c r="Z1242" s="9">
        <f>IF(OR(W1242="",W1242=0),"",(Y1242-W1242)/W1242)</f>
        <v/>
      </c>
      <c r="AA1242" s="7">
        <f>IF(COUNT(D1242:V1242)=0,"",INDEX($D$1:$V$1,MATCH(MIN(D1242:V1242),D1242:V1242,0)))</f>
        <v/>
      </c>
      <c r="AB1242" s="8" t="n">
        <v>9070.48</v>
      </c>
      <c r="AC1242" s="10" t="n">
        <v>5</v>
      </c>
    </row>
    <row r="1243">
      <c r="A1243" s="7" t="inlineStr">
        <is>
          <t>MAT-24-009</t>
        </is>
      </c>
      <c r="B1243" s="4" t="inlineStr">
        <is>
          <t>Bidé</t>
        </is>
      </c>
      <c r="C1243" s="7" t="inlineStr">
        <is>
          <t>unidad</t>
        </is>
      </c>
      <c r="D1243" s="8" t="n"/>
      <c r="E1243" s="8" t="n"/>
      <c r="F1243" s="8" t="n">
        <v>12574.54</v>
      </c>
      <c r="G1243" s="8" t="n">
        <v>3998</v>
      </c>
      <c r="H1243" s="8" t="n">
        <v>17500</v>
      </c>
      <c r="I1243" s="8" t="n"/>
      <c r="J1243" s="8" t="n"/>
      <c r="K1243" s="8" t="n">
        <v>5937</v>
      </c>
      <c r="L1243" s="8" t="n"/>
      <c r="M1243" s="8" t="n"/>
      <c r="N1243" s="8" t="n">
        <v>22250</v>
      </c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>
        <f>IF(COUNT(D1243:V1243)=0,"",MIN(D1243:V1243))</f>
        <v/>
      </c>
      <c r="X1243" s="8">
        <f>IF(COUNT(D1243:V1243)=0,"",MEDIAN(D1243:V1243))</f>
        <v/>
      </c>
      <c r="Y1243" s="8">
        <f>IF(COUNT(D1243:V1243)=0,"",MAX(D1243:V1243))</f>
        <v/>
      </c>
      <c r="Z1243" s="9">
        <f>IF(OR(W1243="",W1243=0),"",(Y1243-W1243)/W1243)</f>
        <v/>
      </c>
      <c r="AA1243" s="7">
        <f>IF(COUNT(D1243:V1243)=0,"",INDEX($D$1:$V$1,MATCH(MIN(D1243:V1243),D1243:V1243,0)))</f>
        <v/>
      </c>
      <c r="AB1243" s="8" t="n">
        <v>20495</v>
      </c>
      <c r="AC1243" s="10" t="n">
        <v>5</v>
      </c>
    </row>
    <row r="1244">
      <c r="A1244" s="7" t="inlineStr">
        <is>
          <t>MAT-24-010</t>
        </is>
      </c>
      <c r="B1244" s="4" t="inlineStr">
        <is>
          <t>Kit de instalación de inodoro</t>
        </is>
      </c>
      <c r="C1244" s="7" t="inlineStr">
        <is>
          <t>juego</t>
        </is>
      </c>
      <c r="D1244" s="8" t="n">
        <v>1773</v>
      </c>
      <c r="E1244" s="8" t="n"/>
      <c r="F1244" s="8" t="n"/>
      <c r="G1244" s="8" t="n"/>
      <c r="H1244" s="8" t="n"/>
      <c r="I1244" s="8" t="n"/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>
        <f>IF(COUNT(D1244:V1244)=0,"",MIN(D1244:V1244))</f>
        <v/>
      </c>
      <c r="X1244" s="8">
        <f>IF(COUNT(D1244:V1244)=0,"",MEDIAN(D1244:V1244))</f>
        <v/>
      </c>
      <c r="Y1244" s="8">
        <f>IF(COUNT(D1244:V1244)=0,"",MAX(D1244:V1244))</f>
        <v/>
      </c>
      <c r="Z1244" s="9">
        <f>IF(OR(W1244="",W1244=0),"",(Y1244-W1244)/W1244)</f>
        <v/>
      </c>
      <c r="AA1244" s="7">
        <f>IF(COUNT(D1244:V1244)=0,"",INDEX($D$1:$V$1,MATCH(MIN(D1244:V1244),D1244:V1244,0)))</f>
        <v/>
      </c>
      <c r="AB1244" s="8" t="n">
        <v>1773</v>
      </c>
      <c r="AC1244" s="10" t="n">
        <v>1</v>
      </c>
    </row>
    <row r="1245">
      <c r="A1245" s="7" t="inlineStr">
        <is>
          <t>MAT-25-001</t>
        </is>
      </c>
      <c r="B1245" s="4" t="inlineStr">
        <is>
          <t>Lavamanos</t>
        </is>
      </c>
      <c r="C1245" s="7" t="inlineStr">
        <is>
          <t>unidad</t>
        </is>
      </c>
      <c r="D1245" s="8" t="n">
        <v>5360.96</v>
      </c>
      <c r="E1245" s="8" t="n"/>
      <c r="F1245" s="8" t="n"/>
      <c r="G1245" s="8" t="n"/>
      <c r="H1245" s="8" t="n">
        <v>1600</v>
      </c>
      <c r="I1245" s="8" t="n">
        <v>910</v>
      </c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>
        <f>IF(COUNT(D1245:V1245)=0,"",MIN(D1245:V1245))</f>
        <v/>
      </c>
      <c r="X1245" s="8">
        <f>IF(COUNT(D1245:V1245)=0,"",MEDIAN(D1245:V1245))</f>
        <v/>
      </c>
      <c r="Y1245" s="8">
        <f>IF(COUNT(D1245:V1245)=0,"",MAX(D1245:V1245))</f>
        <v/>
      </c>
      <c r="Z1245" s="9">
        <f>IF(OR(W1245="",W1245=0),"",(Y1245-W1245)/W1245)</f>
        <v/>
      </c>
      <c r="AA1245" s="7">
        <f>IF(COUNT(D1245:V1245)=0,"",INDEX($D$1:$V$1,MATCH(MIN(D1245:V1245),D1245:V1245,0)))</f>
        <v/>
      </c>
      <c r="AB1245" s="8" t="n">
        <v>8500</v>
      </c>
      <c r="AC1245" s="10" t="n">
        <v>3</v>
      </c>
    </row>
    <row r="1246">
      <c r="A1246" s="7" t="inlineStr">
        <is>
          <t>MAT-25-002</t>
        </is>
      </c>
      <c r="B1246" s="4" t="inlineStr">
        <is>
          <t>Lavamanos, de empotrar</t>
        </is>
      </c>
      <c r="C1246" s="7" t="inlineStr">
        <is>
          <t>unidad</t>
        </is>
      </c>
      <c r="D1246" s="8" t="n">
        <v>684.67</v>
      </c>
      <c r="E1246" s="8" t="n">
        <v>1345</v>
      </c>
      <c r="F1246" s="8" t="n">
        <v>1763.31</v>
      </c>
      <c r="G1246" s="8" t="n"/>
      <c r="H1246" s="8" t="n">
        <v>3535.4</v>
      </c>
      <c r="I1246" s="8" t="n"/>
      <c r="J1246" s="8" t="n"/>
      <c r="K1246" s="8" t="n">
        <v>1585</v>
      </c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>
        <f>IF(COUNT(D1246:V1246)=0,"",MIN(D1246:V1246))</f>
        <v/>
      </c>
      <c r="X1246" s="8">
        <f>IF(COUNT(D1246:V1246)=0,"",MEDIAN(D1246:V1246))</f>
        <v/>
      </c>
      <c r="Y1246" s="8">
        <f>IF(COUNT(D1246:V1246)=0,"",MAX(D1246:V1246))</f>
        <v/>
      </c>
      <c r="Z1246" s="9">
        <f>IF(OR(W1246="",W1246=0),"",(Y1246-W1246)/W1246)</f>
        <v/>
      </c>
      <c r="AA1246" s="7">
        <f>IF(COUNT(D1246:V1246)=0,"",INDEX($D$1:$V$1,MATCH(MIN(D1246:V1246),D1246:V1246,0)))</f>
        <v/>
      </c>
      <c r="AB1246" s="8" t="n">
        <v>3403.56</v>
      </c>
      <c r="AC1246" s="10" t="n">
        <v>5</v>
      </c>
    </row>
    <row r="1247">
      <c r="A1247" s="7" t="inlineStr">
        <is>
          <t>MAT-25-003</t>
        </is>
      </c>
      <c r="B1247" s="4" t="inlineStr">
        <is>
          <t>Lavamanos, de exento</t>
        </is>
      </c>
      <c r="C1247" s="7" t="inlineStr">
        <is>
          <t>unidad</t>
        </is>
      </c>
      <c r="D1247" s="8" t="n"/>
      <c r="E1247" s="8" t="n"/>
      <c r="F1247" s="8" t="n">
        <v>185169.48</v>
      </c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>
        <f>IF(COUNT(D1247:V1247)=0,"",MIN(D1247:V1247))</f>
        <v/>
      </c>
      <c r="X1247" s="8">
        <f>IF(COUNT(D1247:V1247)=0,"",MEDIAN(D1247:V1247))</f>
        <v/>
      </c>
      <c r="Y1247" s="8">
        <f>IF(COUNT(D1247:V1247)=0,"",MAX(D1247:V1247))</f>
        <v/>
      </c>
      <c r="Z1247" s="9">
        <f>IF(OR(W1247="",W1247=0),"",(Y1247-W1247)/W1247)</f>
        <v/>
      </c>
      <c r="AA1247" s="7">
        <f>IF(COUNT(D1247:V1247)=0,"",INDEX($D$1:$V$1,MATCH(MIN(D1247:V1247),D1247:V1247,0)))</f>
        <v/>
      </c>
      <c r="AB1247" s="8" t="n">
        <v>244189.99</v>
      </c>
      <c r="AC1247" s="10" t="n">
        <v>1</v>
      </c>
    </row>
    <row r="1248">
      <c r="A1248" s="7" t="inlineStr">
        <is>
          <t>MAT-25-005</t>
        </is>
      </c>
      <c r="B1248" s="4" t="inlineStr">
        <is>
          <t>Lavamanos, de pedestal</t>
        </is>
      </c>
      <c r="C1248" s="7" t="inlineStr">
        <is>
          <t>unidad</t>
        </is>
      </c>
      <c r="D1248" s="8" t="n">
        <v>1093</v>
      </c>
      <c r="E1248" s="8" t="n">
        <v>1870</v>
      </c>
      <c r="F1248" s="8" t="n">
        <v>15434.59</v>
      </c>
      <c r="G1248" s="8" t="n">
        <v>3635</v>
      </c>
      <c r="H1248" s="8" t="n">
        <v>2590.01</v>
      </c>
      <c r="I1248" s="8" t="n"/>
      <c r="J1248" s="8" t="n"/>
      <c r="K1248" s="8" t="n">
        <v>216</v>
      </c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>
        <f>IF(COUNT(D1248:V1248)=0,"",MIN(D1248:V1248))</f>
        <v/>
      </c>
      <c r="X1248" s="8">
        <f>IF(COUNT(D1248:V1248)=0,"",MEDIAN(D1248:V1248))</f>
        <v/>
      </c>
      <c r="Y1248" s="8">
        <f>IF(COUNT(D1248:V1248)=0,"",MAX(D1248:V1248))</f>
        <v/>
      </c>
      <c r="Z1248" s="9">
        <f>IF(OR(W1248="",W1248=0),"",(Y1248-W1248)/W1248)</f>
        <v/>
      </c>
      <c r="AA1248" s="7">
        <f>IF(COUNT(D1248:V1248)=0,"",INDEX($D$1:$V$1,MATCH(MIN(D1248:V1248),D1248:V1248,0)))</f>
        <v/>
      </c>
      <c r="AB1248" s="8" t="n">
        <v>2676.3</v>
      </c>
      <c r="AC1248" s="10" t="n">
        <v>6</v>
      </c>
    </row>
    <row r="1249">
      <c r="A1249" s="7" t="inlineStr">
        <is>
          <t>MAT-25-006</t>
        </is>
      </c>
      <c r="B1249" s="4" t="inlineStr">
        <is>
          <t>Lavamanos, de sobreponer</t>
        </is>
      </c>
      <c r="C1249" s="7" t="inlineStr">
        <is>
          <t>unidad</t>
        </is>
      </c>
      <c r="D1249" s="8" t="n">
        <v>2085.37</v>
      </c>
      <c r="E1249" s="8" t="n">
        <v>1680</v>
      </c>
      <c r="F1249" s="8" t="n">
        <v>1398.48</v>
      </c>
      <c r="G1249" s="8" t="n">
        <v>1150</v>
      </c>
      <c r="H1249" s="8" t="n">
        <v>5000</v>
      </c>
      <c r="I1249" s="8" t="n"/>
      <c r="J1249" s="8" t="n"/>
      <c r="K1249" s="8" t="n">
        <v>1495</v>
      </c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>
        <f>IF(COUNT(D1249:V1249)=0,"",MIN(D1249:V1249))</f>
        <v/>
      </c>
      <c r="X1249" s="8">
        <f>IF(COUNT(D1249:V1249)=0,"",MEDIAN(D1249:V1249))</f>
        <v/>
      </c>
      <c r="Y1249" s="8">
        <f>IF(COUNT(D1249:V1249)=0,"",MAX(D1249:V1249))</f>
        <v/>
      </c>
      <c r="Z1249" s="9">
        <f>IF(OR(W1249="",W1249=0),"",(Y1249-W1249)/W1249)</f>
        <v/>
      </c>
      <c r="AA1249" s="7">
        <f>IF(COUNT(D1249:V1249)=0,"",INDEX($D$1:$V$1,MATCH(MIN(D1249:V1249),D1249:V1249,0)))</f>
        <v/>
      </c>
      <c r="AB1249" s="8" t="n">
        <v>4140.13</v>
      </c>
      <c r="AC1249" s="10" t="n">
        <v>6</v>
      </c>
    </row>
    <row r="1250">
      <c r="A1250" s="7" t="inlineStr">
        <is>
          <t>MAT-25-007</t>
        </is>
      </c>
      <c r="B1250" s="4" t="inlineStr">
        <is>
          <t>Pedestal para lavamanos</t>
        </is>
      </c>
      <c r="C1250" s="7" t="inlineStr">
        <is>
          <t>unidad</t>
        </is>
      </c>
      <c r="D1250" s="8" t="n">
        <v>891.27</v>
      </c>
      <c r="E1250" s="8" t="n"/>
      <c r="F1250" s="8" t="n"/>
      <c r="G1250" s="8" t="n"/>
      <c r="H1250" s="8" t="n">
        <v>1100</v>
      </c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>
        <f>IF(COUNT(D1250:V1250)=0,"",MIN(D1250:V1250))</f>
        <v/>
      </c>
      <c r="X1250" s="8">
        <f>IF(COUNT(D1250:V1250)=0,"",MEDIAN(D1250:V1250))</f>
        <v/>
      </c>
      <c r="Y1250" s="8">
        <f>IF(COUNT(D1250:V1250)=0,"",MAX(D1250:V1250))</f>
        <v/>
      </c>
      <c r="Z1250" s="9">
        <f>IF(OR(W1250="",W1250=0),"",(Y1250-W1250)/W1250)</f>
        <v/>
      </c>
      <c r="AA1250" s="7">
        <f>IF(COUNT(D1250:V1250)=0,"",INDEX($D$1:$V$1,MATCH(MIN(D1250:V1250),D1250:V1250,0)))</f>
        <v/>
      </c>
      <c r="AB1250" s="8" t="n">
        <v>2014.01</v>
      </c>
      <c r="AC1250" s="10" t="n">
        <v>2</v>
      </c>
    </row>
    <row r="1251">
      <c r="A1251" s="7" t="inlineStr">
        <is>
          <t>MAT-25-008</t>
        </is>
      </c>
      <c r="B1251" s="4" t="inlineStr">
        <is>
          <t>Palometa para lavamanos</t>
        </is>
      </c>
      <c r="C1251" s="7" t="inlineStr">
        <is>
          <t>unidad</t>
        </is>
      </c>
      <c r="D1251" s="8" t="n">
        <v>57.88</v>
      </c>
      <c r="E1251" s="8" t="n"/>
      <c r="F1251" s="8" t="n"/>
      <c r="G1251" s="8" t="n">
        <v>141</v>
      </c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>
        <f>IF(COUNT(D1251:V1251)=0,"",MIN(D1251:V1251))</f>
        <v/>
      </c>
      <c r="X1251" s="8">
        <f>IF(COUNT(D1251:V1251)=0,"",MEDIAN(D1251:V1251))</f>
        <v/>
      </c>
      <c r="Y1251" s="8">
        <f>IF(COUNT(D1251:V1251)=0,"",MAX(D1251:V1251))</f>
        <v/>
      </c>
      <c r="Z1251" s="9">
        <f>IF(OR(W1251="",W1251=0),"",(Y1251-W1251)/W1251)</f>
        <v/>
      </c>
      <c r="AA1251" s="7">
        <f>IF(COUNT(D1251:V1251)=0,"",INDEX($D$1:$V$1,MATCH(MIN(D1251:V1251),D1251:V1251,0)))</f>
        <v/>
      </c>
      <c r="AB1251" s="8" t="n">
        <v>80.59</v>
      </c>
      <c r="AC1251" s="10" t="n">
        <v>2</v>
      </c>
    </row>
    <row r="1252">
      <c r="A1252" s="7" t="inlineStr">
        <is>
          <t>MAT-25-009</t>
        </is>
      </c>
      <c r="B1252" s="4" t="inlineStr">
        <is>
          <t>Conector de desagüe para lavamanos</t>
        </is>
      </c>
      <c r="C1252" s="7" t="inlineStr">
        <is>
          <t>unidad</t>
        </is>
      </c>
      <c r="D1252" s="8" t="n">
        <v>255.94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>
        <f>IF(COUNT(D1252:V1252)=0,"",MIN(D1252:V1252))</f>
        <v/>
      </c>
      <c r="X1252" s="8">
        <f>IF(COUNT(D1252:V1252)=0,"",MEDIAN(D1252:V1252))</f>
        <v/>
      </c>
      <c r="Y1252" s="8">
        <f>IF(COUNT(D1252:V1252)=0,"",MAX(D1252:V1252))</f>
        <v/>
      </c>
      <c r="Z1252" s="9">
        <f>IF(OR(W1252="",W1252=0),"",(Y1252-W1252)/W1252)</f>
        <v/>
      </c>
      <c r="AA1252" s="7">
        <f>IF(COUNT(D1252:V1252)=0,"",INDEX($D$1:$V$1,MATCH(MIN(D1252:V1252),D1252:V1252,0)))</f>
        <v/>
      </c>
      <c r="AB1252" s="8" t="n">
        <v>255.94</v>
      </c>
      <c r="AC1252" s="10" t="n">
        <v>1</v>
      </c>
    </row>
    <row r="1253">
      <c r="A1253" s="7" t="inlineStr">
        <is>
          <t>MAT-26-001</t>
        </is>
      </c>
      <c r="B1253" s="4" t="inlineStr">
        <is>
          <t>Mueble de baño</t>
        </is>
      </c>
      <c r="C1253" s="7" t="inlineStr">
        <is>
          <t>unidad</t>
        </is>
      </c>
      <c r="D1253" s="8" t="n">
        <v>8614.57</v>
      </c>
      <c r="E1253" s="8" t="n"/>
      <c r="F1253" s="8" t="n"/>
      <c r="G1253" s="8" t="n"/>
      <c r="H1253" s="8" t="n"/>
      <c r="I1253" s="8" t="n"/>
      <c r="J1253" s="8" t="n"/>
      <c r="K1253" s="8" t="n">
        <v>6495</v>
      </c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>
        <f>IF(COUNT(D1253:V1253)=0,"",MIN(D1253:V1253))</f>
        <v/>
      </c>
      <c r="X1253" s="8">
        <f>IF(COUNT(D1253:V1253)=0,"",MEDIAN(D1253:V1253))</f>
        <v/>
      </c>
      <c r="Y1253" s="8">
        <f>IF(COUNT(D1253:V1253)=0,"",MAX(D1253:V1253))</f>
        <v/>
      </c>
      <c r="Z1253" s="9">
        <f>IF(OR(W1253="",W1253=0),"",(Y1253-W1253)/W1253)</f>
        <v/>
      </c>
      <c r="AA1253" s="7">
        <f>IF(COUNT(D1253:V1253)=0,"",INDEX($D$1:$V$1,MATCH(MIN(D1253:V1253),D1253:V1253,0)))</f>
        <v/>
      </c>
      <c r="AB1253" s="8" t="n">
        <v>14401.48</v>
      </c>
      <c r="AC1253" s="10" t="n">
        <v>2</v>
      </c>
    </row>
    <row r="1254">
      <c r="A1254" s="7" t="inlineStr">
        <is>
          <t>MAT-26-002</t>
        </is>
      </c>
      <c r="B1254" s="4" t="inlineStr">
        <is>
          <t>Mueble de baño, de pared</t>
        </is>
      </c>
      <c r="C1254" s="7" t="inlineStr">
        <is>
          <t>unidad</t>
        </is>
      </c>
      <c r="D1254" s="8" t="n">
        <v>5433.44</v>
      </c>
      <c r="E1254" s="8" t="n"/>
      <c r="F1254" s="8" t="n"/>
      <c r="G1254" s="8" t="n"/>
      <c r="H1254" s="8" t="n">
        <v>19500</v>
      </c>
      <c r="I1254" s="8" t="n">
        <v>13150</v>
      </c>
      <c r="J1254" s="8" t="n"/>
      <c r="K1254" s="8" t="n">
        <v>8120</v>
      </c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>
        <f>IF(COUNT(D1254:V1254)=0,"",MIN(D1254:V1254))</f>
        <v/>
      </c>
      <c r="X1254" s="8">
        <f>IF(COUNT(D1254:V1254)=0,"",MEDIAN(D1254:V1254))</f>
        <v/>
      </c>
      <c r="Y1254" s="8">
        <f>IF(COUNT(D1254:V1254)=0,"",MAX(D1254:V1254))</f>
        <v/>
      </c>
      <c r="Z1254" s="9">
        <f>IF(OR(W1254="",W1254=0),"",(Y1254-W1254)/W1254)</f>
        <v/>
      </c>
      <c r="AA1254" s="7">
        <f>IF(COUNT(D1254:V1254)=0,"",INDEX($D$1:$V$1,MATCH(MIN(D1254:V1254),D1254:V1254,0)))</f>
        <v/>
      </c>
      <c r="AB1254" s="8" t="n">
        <v>17169.24</v>
      </c>
      <c r="AC1254" s="10" t="n">
        <v>4</v>
      </c>
    </row>
    <row r="1255">
      <c r="A1255" s="7" t="inlineStr">
        <is>
          <t>MAT-26-003</t>
        </is>
      </c>
      <c r="B1255" s="4" t="inlineStr">
        <is>
          <t>Mueble de baño, de piso</t>
        </is>
      </c>
      <c r="C1255" s="7" t="inlineStr">
        <is>
          <t>unidad</t>
        </is>
      </c>
      <c r="D1255" s="8" t="n"/>
      <c r="E1255" s="8" t="n"/>
      <c r="F1255" s="8" t="n">
        <v>8141.3</v>
      </c>
      <c r="G1255" s="8" t="n">
        <v>21825</v>
      </c>
      <c r="H1255" s="8" t="n">
        <v>7800</v>
      </c>
      <c r="I1255" s="8" t="n">
        <v>2725</v>
      </c>
      <c r="J1255" s="8" t="n"/>
      <c r="K1255" s="8" t="n">
        <v>7012.5</v>
      </c>
      <c r="L1255" s="8" t="n"/>
      <c r="M1255" s="8" t="n"/>
      <c r="N1255" s="8" t="n">
        <v>20150</v>
      </c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>
        <f>IF(COUNT(D1255:V1255)=0,"",MIN(D1255:V1255))</f>
        <v/>
      </c>
      <c r="X1255" s="8">
        <f>IF(COUNT(D1255:V1255)=0,"",MEDIAN(D1255:V1255))</f>
        <v/>
      </c>
      <c r="Y1255" s="8">
        <f>IF(COUNT(D1255:V1255)=0,"",MAX(D1255:V1255))</f>
        <v/>
      </c>
      <c r="Z1255" s="9">
        <f>IF(OR(W1255="",W1255=0),"",(Y1255-W1255)/W1255)</f>
        <v/>
      </c>
      <c r="AA1255" s="7">
        <f>IF(COUNT(D1255:V1255)=0,"",INDEX($D$1:$V$1,MATCH(MIN(D1255:V1255),D1255:V1255,0)))</f>
        <v/>
      </c>
      <c r="AB1255" s="8" t="n">
        <v>24588.58</v>
      </c>
      <c r="AC1255" s="10" t="n">
        <v>6</v>
      </c>
    </row>
    <row r="1256">
      <c r="A1256" s="7" t="inlineStr">
        <is>
          <t>MAT-26-004</t>
        </is>
      </c>
      <c r="B1256" s="4" t="inlineStr">
        <is>
          <t>Botiquín de baño</t>
        </is>
      </c>
      <c r="C1256" s="7" t="inlineStr">
        <is>
          <t>unidad</t>
        </is>
      </c>
      <c r="D1256" s="8" t="n">
        <v>725.87</v>
      </c>
      <c r="E1256" s="8" t="n"/>
      <c r="F1256" s="8" t="n"/>
      <c r="G1256" s="8" t="n">
        <v>2775</v>
      </c>
      <c r="H1256" s="8" t="n"/>
      <c r="I1256" s="8" t="n"/>
      <c r="J1256" s="8" t="n"/>
      <c r="K1256" s="8" t="n">
        <v>995</v>
      </c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>
        <f>IF(COUNT(D1256:V1256)=0,"",MIN(D1256:V1256))</f>
        <v/>
      </c>
      <c r="X1256" s="8">
        <f>IF(COUNT(D1256:V1256)=0,"",MEDIAN(D1256:V1256))</f>
        <v/>
      </c>
      <c r="Y1256" s="8">
        <f>IF(COUNT(D1256:V1256)=0,"",MAX(D1256:V1256))</f>
        <v/>
      </c>
      <c r="Z1256" s="9">
        <f>IF(OR(W1256="",W1256=0),"",(Y1256-W1256)/W1256)</f>
        <v/>
      </c>
      <c r="AA1256" s="7">
        <f>IF(COUNT(D1256:V1256)=0,"",INDEX($D$1:$V$1,MATCH(MIN(D1256:V1256),D1256:V1256,0)))</f>
        <v/>
      </c>
      <c r="AB1256" s="8" t="n">
        <v>1481</v>
      </c>
      <c r="AC1256" s="10" t="n">
        <v>3</v>
      </c>
    </row>
    <row r="1257">
      <c r="A1257" s="7" t="inlineStr">
        <is>
          <t>MAT-26-005</t>
        </is>
      </c>
      <c r="B1257" s="4" t="inlineStr">
        <is>
          <t>Botiquín de baño, con luz LED</t>
        </is>
      </c>
      <c r="C1257" s="7" t="inlineStr">
        <is>
          <t>unidad</t>
        </is>
      </c>
      <c r="D1257" s="8" t="n">
        <v>10320.96</v>
      </c>
      <c r="E1257" s="8" t="n"/>
      <c r="F1257" s="8" t="n"/>
      <c r="G1257" s="8" t="n"/>
      <c r="H1257" s="8" t="n"/>
      <c r="I1257" s="8" t="n"/>
      <c r="J1257" s="8" t="n"/>
      <c r="K1257" s="8" t="n"/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>
        <f>IF(COUNT(D1257:V1257)=0,"",MIN(D1257:V1257))</f>
        <v/>
      </c>
      <c r="X1257" s="8">
        <f>IF(COUNT(D1257:V1257)=0,"",MEDIAN(D1257:V1257))</f>
        <v/>
      </c>
      <c r="Y1257" s="8">
        <f>IF(COUNT(D1257:V1257)=0,"",MAX(D1257:V1257))</f>
        <v/>
      </c>
      <c r="Z1257" s="9">
        <f>IF(OR(W1257="",W1257=0),"",(Y1257-W1257)/W1257)</f>
        <v/>
      </c>
      <c r="AA1257" s="7">
        <f>IF(COUNT(D1257:V1257)=0,"",INDEX($D$1:$V$1,MATCH(MIN(D1257:V1257),D1257:V1257,0)))</f>
        <v/>
      </c>
      <c r="AB1257" s="8" t="n">
        <v>15456.85</v>
      </c>
      <c r="AC1257" s="10" t="n">
        <v>1</v>
      </c>
    </row>
    <row r="1258">
      <c r="A1258" s="7" t="inlineStr">
        <is>
          <t>MAT-26-006</t>
        </is>
      </c>
      <c r="B1258" s="4" t="inlineStr">
        <is>
          <t>Espejo de baño</t>
        </is>
      </c>
      <c r="C1258" s="7" t="inlineStr">
        <is>
          <t>unidad</t>
        </is>
      </c>
      <c r="D1258" s="8" t="n">
        <v>1210.04</v>
      </c>
      <c r="E1258" s="8" t="n"/>
      <c r="F1258" s="8" t="n">
        <v>1351.45</v>
      </c>
      <c r="G1258" s="8" t="n"/>
      <c r="H1258" s="8" t="n">
        <v>1490</v>
      </c>
      <c r="I1258" s="8" t="n"/>
      <c r="J1258" s="8" t="n"/>
      <c r="K1258" s="8" t="n">
        <v>665</v>
      </c>
      <c r="L1258" s="8" t="n"/>
      <c r="M1258" s="8" t="n"/>
      <c r="N1258" s="8" t="n">
        <v>9250</v>
      </c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>
        <f>IF(COUNT(D1258:V1258)=0,"",MIN(D1258:V1258))</f>
        <v/>
      </c>
      <c r="X1258" s="8">
        <f>IF(COUNT(D1258:V1258)=0,"",MEDIAN(D1258:V1258))</f>
        <v/>
      </c>
      <c r="Y1258" s="8">
        <f>IF(COUNT(D1258:V1258)=0,"",MAX(D1258:V1258))</f>
        <v/>
      </c>
      <c r="Z1258" s="9">
        <f>IF(OR(W1258="",W1258=0),"",(Y1258-W1258)/W1258)</f>
        <v/>
      </c>
      <c r="AA1258" s="7">
        <f>IF(COUNT(D1258:V1258)=0,"",INDEX($D$1:$V$1,MATCH(MIN(D1258:V1258),D1258:V1258,0)))</f>
        <v/>
      </c>
      <c r="AB1258" s="8" t="n">
        <v>2319.01</v>
      </c>
      <c r="AC1258" s="10" t="n">
        <v>5</v>
      </c>
    </row>
    <row r="1259">
      <c r="A1259" s="7" t="inlineStr">
        <is>
          <t>MAT-26-007</t>
        </is>
      </c>
      <c r="B1259" s="4" t="inlineStr">
        <is>
          <t>Espejo de baño, con luz LED</t>
        </is>
      </c>
      <c r="C1259" s="7" t="inlineStr">
        <is>
          <t>unidad</t>
        </is>
      </c>
      <c r="D1259" s="8" t="n">
        <v>4270.75</v>
      </c>
      <c r="E1259" s="8" t="n"/>
      <c r="F1259" s="8" t="n">
        <v>5123.51</v>
      </c>
      <c r="G1259" s="8" t="n"/>
      <c r="H1259" s="8" t="n">
        <v>4900</v>
      </c>
      <c r="I1259" s="8" t="n">
        <v>2035</v>
      </c>
      <c r="J1259" s="8" t="n"/>
      <c r="K1259" s="8" t="n">
        <v>1795</v>
      </c>
      <c r="L1259" s="8" t="n"/>
      <c r="M1259" s="8" t="n"/>
      <c r="N1259" s="8" t="n">
        <v>40600</v>
      </c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>
        <f>IF(COUNT(D1259:V1259)=0,"",MIN(D1259:V1259))</f>
        <v/>
      </c>
      <c r="X1259" s="8">
        <f>IF(COUNT(D1259:V1259)=0,"",MEDIAN(D1259:V1259))</f>
        <v/>
      </c>
      <c r="Y1259" s="8">
        <f>IF(COUNT(D1259:V1259)=0,"",MAX(D1259:V1259))</f>
        <v/>
      </c>
      <c r="Z1259" s="9">
        <f>IF(OR(W1259="",W1259=0),"",(Y1259-W1259)/W1259)</f>
        <v/>
      </c>
      <c r="AA1259" s="7">
        <f>IF(COUNT(D1259:V1259)=0,"",INDEX($D$1:$V$1,MATCH(MIN(D1259:V1259),D1259:V1259,0)))</f>
        <v/>
      </c>
      <c r="AB1259" s="8" t="n">
        <v>8043.53</v>
      </c>
      <c r="AC1259" s="10" t="n">
        <v>6</v>
      </c>
    </row>
    <row r="1260">
      <c r="A1260" s="7" t="inlineStr">
        <is>
          <t>MAT-26-008</t>
        </is>
      </c>
      <c r="B1260" s="4" t="inlineStr">
        <is>
          <t>Cabina o panel de ducha</t>
        </is>
      </c>
      <c r="C1260" s="7" t="inlineStr">
        <is>
          <t>unidad</t>
        </is>
      </c>
      <c r="D1260" s="8" t="n"/>
      <c r="E1260" s="8" t="n"/>
      <c r="F1260" s="8" t="n">
        <v>14364.41</v>
      </c>
      <c r="G1260" s="8" t="n"/>
      <c r="H1260" s="8" t="n">
        <v>8900</v>
      </c>
      <c r="I1260" s="8" t="n"/>
      <c r="J1260" s="8" t="n"/>
      <c r="K1260" s="8" t="n">
        <v>3118.5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>
        <f>IF(COUNT(D1260:V1260)=0,"",MIN(D1260:V1260))</f>
        <v/>
      </c>
      <c r="X1260" s="8">
        <f>IF(COUNT(D1260:V1260)=0,"",MEDIAN(D1260:V1260))</f>
        <v/>
      </c>
      <c r="Y1260" s="8">
        <f>IF(COUNT(D1260:V1260)=0,"",MAX(D1260:V1260))</f>
        <v/>
      </c>
      <c r="Z1260" s="9">
        <f>IF(OR(W1260="",W1260=0),"",(Y1260-W1260)/W1260)</f>
        <v/>
      </c>
      <c r="AA1260" s="7">
        <f>IF(COUNT(D1260:V1260)=0,"",INDEX($D$1:$V$1,MATCH(MIN(D1260:V1260),D1260:V1260,0)))</f>
        <v/>
      </c>
      <c r="AB1260" s="8" t="n">
        <v>6079</v>
      </c>
      <c r="AC1260" s="10" t="n">
        <v>3</v>
      </c>
    </row>
    <row r="1261">
      <c r="A1261" s="7" t="inlineStr">
        <is>
          <t>MAT-26-009</t>
        </is>
      </c>
      <c r="B1261" s="4" t="inlineStr">
        <is>
          <t>Bañera</t>
        </is>
      </c>
      <c r="C1261" s="7" t="inlineStr">
        <is>
          <t>unidad</t>
        </is>
      </c>
      <c r="D1261" s="8" t="n"/>
      <c r="E1261" s="8" t="n">
        <v>9469</v>
      </c>
      <c r="F1261" s="8" t="n">
        <v>43840</v>
      </c>
      <c r="G1261" s="8" t="n"/>
      <c r="H1261" s="8" t="n">
        <v>14250</v>
      </c>
      <c r="I1261" s="8" t="n"/>
      <c r="J1261" s="8" t="n"/>
      <c r="K1261" s="8" t="n"/>
      <c r="L1261" s="8" t="n"/>
      <c r="M1261" s="8" t="n"/>
      <c r="N1261" s="8" t="n">
        <v>213400</v>
      </c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>
        <f>IF(COUNT(D1261:V1261)=0,"",MIN(D1261:V1261))</f>
        <v/>
      </c>
      <c r="X1261" s="8">
        <f>IF(COUNT(D1261:V1261)=0,"",MEDIAN(D1261:V1261))</f>
        <v/>
      </c>
      <c r="Y1261" s="8">
        <f>IF(COUNT(D1261:V1261)=0,"",MAX(D1261:V1261))</f>
        <v/>
      </c>
      <c r="Z1261" s="9">
        <f>IF(OR(W1261="",W1261=0),"",(Y1261-W1261)/W1261)</f>
        <v/>
      </c>
      <c r="AA1261" s="7">
        <f>IF(COUNT(D1261:V1261)=0,"",INDEX($D$1:$V$1,MATCH(MIN(D1261:V1261),D1261:V1261,0)))</f>
        <v/>
      </c>
      <c r="AB1261" s="8" t="n">
        <v>99104.78999999999</v>
      </c>
      <c r="AC1261" s="10" t="n">
        <v>4</v>
      </c>
    </row>
    <row r="1262">
      <c r="A1262" s="7" t="inlineStr">
        <is>
          <t>MAT-26-010</t>
        </is>
      </c>
      <c r="B1262" s="4" t="inlineStr">
        <is>
          <t>Plato de ducha</t>
        </is>
      </c>
      <c r="C1262" s="7" t="inlineStr">
        <is>
          <t>unidad</t>
        </is>
      </c>
      <c r="D1262" s="8" t="n"/>
      <c r="E1262" s="8" t="n"/>
      <c r="F1262" s="8" t="n">
        <v>14956.2</v>
      </c>
      <c r="G1262" s="8" t="n"/>
      <c r="H1262" s="8" t="n">
        <v>14999.99</v>
      </c>
      <c r="I1262" s="8" t="n"/>
      <c r="J1262" s="8" t="n"/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>
        <f>IF(COUNT(D1262:V1262)=0,"",MIN(D1262:V1262))</f>
        <v/>
      </c>
      <c r="X1262" s="8">
        <f>IF(COUNT(D1262:V1262)=0,"",MEDIAN(D1262:V1262))</f>
        <v/>
      </c>
      <c r="Y1262" s="8">
        <f>IF(COUNT(D1262:V1262)=0,"",MAX(D1262:V1262))</f>
        <v/>
      </c>
      <c r="Z1262" s="9">
        <f>IF(OR(W1262="",W1262=0),"",(Y1262-W1262)/W1262)</f>
        <v/>
      </c>
      <c r="AA1262" s="7">
        <f>IF(COUNT(D1262:V1262)=0,"",INDEX($D$1:$V$1,MATCH(MIN(D1262:V1262),D1262:V1262,0)))</f>
        <v/>
      </c>
      <c r="AB1262" s="8" t="n">
        <v>19278.36</v>
      </c>
      <c r="AC1262" s="10" t="n">
        <v>2</v>
      </c>
    </row>
    <row r="1263">
      <c r="A1263" s="7" t="inlineStr">
        <is>
          <t>MAT-27-001</t>
        </is>
      </c>
      <c r="B1263" s="4" t="inlineStr">
        <is>
          <t>Barra de seguridad, abatible, 20 cm</t>
        </is>
      </c>
      <c r="C1263" s="7" t="inlineStr">
        <is>
          <t>unidad</t>
        </is>
      </c>
      <c r="D1263" s="8" t="n"/>
      <c r="E1263" s="8" t="n"/>
      <c r="F1263" s="8" t="n"/>
      <c r="G1263" s="8" t="n"/>
      <c r="H1263" s="8" t="n"/>
      <c r="I1263" s="8" t="n"/>
      <c r="J1263" s="8" t="n"/>
      <c r="K1263" s="8" t="n">
        <v>2439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>
        <f>IF(COUNT(D1263:V1263)=0,"",MIN(D1263:V1263))</f>
        <v/>
      </c>
      <c r="X1263" s="8">
        <f>IF(COUNT(D1263:V1263)=0,"",MEDIAN(D1263:V1263))</f>
        <v/>
      </c>
      <c r="Y1263" s="8">
        <f>IF(COUNT(D1263:V1263)=0,"",MAX(D1263:V1263))</f>
        <v/>
      </c>
      <c r="Z1263" s="9">
        <f>IF(OR(W1263="",W1263=0),"",(Y1263-W1263)/W1263)</f>
        <v/>
      </c>
      <c r="AA1263" s="7">
        <f>IF(COUNT(D1263:V1263)=0,"",INDEX($D$1:$V$1,MATCH(MIN(D1263:V1263),D1263:V1263,0)))</f>
        <v/>
      </c>
      <c r="AB1263" s="8" t="n">
        <v>2439</v>
      </c>
      <c r="AC1263" s="10" t="n">
        <v>1</v>
      </c>
    </row>
    <row r="1264">
      <c r="A1264" s="7" t="inlineStr">
        <is>
          <t>MAT-27-002</t>
        </is>
      </c>
      <c r="B1264" s="4" t="inlineStr">
        <is>
          <t>Barra de seguridad, curva</t>
        </is>
      </c>
      <c r="C1264" s="7" t="inlineStr">
        <is>
          <t>unidad</t>
        </is>
      </c>
      <c r="D1264" s="8" t="n">
        <v>1416.67</v>
      </c>
      <c r="E1264" s="8" t="n"/>
      <c r="F1264" s="8" t="n"/>
      <c r="G1264" s="8" t="n"/>
      <c r="H1264" s="8" t="n"/>
      <c r="I1264" s="8" t="n"/>
      <c r="J1264" s="8" t="n"/>
      <c r="K1264" s="8" t="n"/>
      <c r="L1264" s="8" t="n"/>
      <c r="M1264" s="8" t="n"/>
      <c r="N1264" s="8" t="n"/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>
        <f>IF(COUNT(D1264:V1264)=0,"",MIN(D1264:V1264))</f>
        <v/>
      </c>
      <c r="X1264" s="8">
        <f>IF(COUNT(D1264:V1264)=0,"",MEDIAN(D1264:V1264))</f>
        <v/>
      </c>
      <c r="Y1264" s="8">
        <f>IF(COUNT(D1264:V1264)=0,"",MAX(D1264:V1264))</f>
        <v/>
      </c>
      <c r="Z1264" s="9">
        <f>IF(OR(W1264="",W1264=0),"",(Y1264-W1264)/W1264)</f>
        <v/>
      </c>
      <c r="AA1264" s="7">
        <f>IF(COUNT(D1264:V1264)=0,"",INDEX($D$1:$V$1,MATCH(MIN(D1264:V1264),D1264:V1264,0)))</f>
        <v/>
      </c>
      <c r="AB1264" s="8" t="n">
        <v>1416.67</v>
      </c>
      <c r="AC1264" s="10" t="n">
        <v>1</v>
      </c>
    </row>
    <row r="1265">
      <c r="A1265" s="7" t="inlineStr">
        <is>
          <t>MAT-27-003</t>
        </is>
      </c>
      <c r="B1265" s="4" t="inlineStr">
        <is>
          <t>Barra de seguridad, en L, 30 cm</t>
        </is>
      </c>
      <c r="C1265" s="7" t="inlineStr">
        <is>
          <t>unidad</t>
        </is>
      </c>
      <c r="D1265" s="8" t="n"/>
      <c r="E1265" s="8" t="n"/>
      <c r="F1265" s="8" t="n"/>
      <c r="G1265" s="8" t="n"/>
      <c r="H1265" s="8" t="n"/>
      <c r="I1265" s="8" t="n"/>
      <c r="J1265" s="8" t="n"/>
      <c r="K1265" s="8" t="n">
        <v>1200</v>
      </c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>
        <f>IF(COUNT(D1265:V1265)=0,"",MIN(D1265:V1265))</f>
        <v/>
      </c>
      <c r="X1265" s="8">
        <f>IF(COUNT(D1265:V1265)=0,"",MEDIAN(D1265:V1265))</f>
        <v/>
      </c>
      <c r="Y1265" s="8">
        <f>IF(COUNT(D1265:V1265)=0,"",MAX(D1265:V1265))</f>
        <v/>
      </c>
      <c r="Z1265" s="9">
        <f>IF(OR(W1265="",W1265=0),"",(Y1265-W1265)/W1265)</f>
        <v/>
      </c>
      <c r="AA1265" s="7">
        <f>IF(COUNT(D1265:V1265)=0,"",INDEX($D$1:$V$1,MATCH(MIN(D1265:V1265),D1265:V1265,0)))</f>
        <v/>
      </c>
      <c r="AB1265" s="8" t="n">
        <v>1200</v>
      </c>
      <c r="AC1265" s="10" t="n">
        <v>1</v>
      </c>
    </row>
    <row r="1266">
      <c r="A1266" s="7" t="inlineStr">
        <is>
          <t>MAT-27-004</t>
        </is>
      </c>
      <c r="B1266" s="4" t="inlineStr">
        <is>
          <t>Barra de seguridad, en L, 45 cm</t>
        </is>
      </c>
      <c r="C1266" s="7" t="inlineStr">
        <is>
          <t>unidad</t>
        </is>
      </c>
      <c r="D1266" s="8" t="n"/>
      <c r="E1266" s="8" t="n"/>
      <c r="F1266" s="8" t="n"/>
      <c r="G1266" s="8" t="n"/>
      <c r="H1266" s="8" t="n"/>
      <c r="I1266" s="8" t="n"/>
      <c r="J1266" s="8" t="n"/>
      <c r="K1266" s="8" t="n">
        <v>925</v>
      </c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>
        <f>IF(COUNT(D1266:V1266)=0,"",MIN(D1266:V1266))</f>
        <v/>
      </c>
      <c r="X1266" s="8">
        <f>IF(COUNT(D1266:V1266)=0,"",MEDIAN(D1266:V1266))</f>
        <v/>
      </c>
      <c r="Y1266" s="8">
        <f>IF(COUNT(D1266:V1266)=0,"",MAX(D1266:V1266))</f>
        <v/>
      </c>
      <c r="Z1266" s="9">
        <f>IF(OR(W1266="",W1266=0),"",(Y1266-W1266)/W1266)</f>
        <v/>
      </c>
      <c r="AA1266" s="7">
        <f>IF(COUNT(D1266:V1266)=0,"",INDEX($D$1:$V$1,MATCH(MIN(D1266:V1266),D1266:V1266,0)))</f>
        <v/>
      </c>
      <c r="AB1266" s="8" t="n">
        <v>925</v>
      </c>
      <c r="AC1266" s="10" t="n">
        <v>1</v>
      </c>
    </row>
    <row r="1267">
      <c r="A1267" s="7" t="inlineStr">
        <is>
          <t>MAT-27-005</t>
        </is>
      </c>
      <c r="B1267" s="4" t="inlineStr">
        <is>
          <t>Barra de seguridad, en L, 55 cm</t>
        </is>
      </c>
      <c r="C1267" s="7" t="inlineStr">
        <is>
          <t>unidad</t>
        </is>
      </c>
      <c r="D1267" s="8" t="n"/>
      <c r="E1267" s="8" t="n"/>
      <c r="F1267" s="8" t="n"/>
      <c r="G1267" s="8" t="n"/>
      <c r="H1267" s="8" t="n"/>
      <c r="I1267" s="8" t="n"/>
      <c r="J1267" s="8" t="n"/>
      <c r="K1267" s="8" t="n">
        <v>2619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>
        <f>IF(COUNT(D1267:V1267)=0,"",MIN(D1267:V1267))</f>
        <v/>
      </c>
      <c r="X1267" s="8">
        <f>IF(COUNT(D1267:V1267)=0,"",MEDIAN(D1267:V1267))</f>
        <v/>
      </c>
      <c r="Y1267" s="8">
        <f>IF(COUNT(D1267:V1267)=0,"",MAX(D1267:V1267))</f>
        <v/>
      </c>
      <c r="Z1267" s="9">
        <f>IF(OR(W1267="",W1267=0),"",(Y1267-W1267)/W1267)</f>
        <v/>
      </c>
      <c r="AA1267" s="7">
        <f>IF(COUNT(D1267:V1267)=0,"",INDEX($D$1:$V$1,MATCH(MIN(D1267:V1267),D1267:V1267,0)))</f>
        <v/>
      </c>
      <c r="AB1267" s="8" t="n">
        <v>2619</v>
      </c>
      <c r="AC1267" s="10" t="n">
        <v>1</v>
      </c>
    </row>
    <row r="1268">
      <c r="A1268" s="7" t="inlineStr">
        <is>
          <t>MAT-27-006</t>
        </is>
      </c>
      <c r="B1268" s="4" t="inlineStr">
        <is>
          <t>Barra de seguridad, en L, 75 cm</t>
        </is>
      </c>
      <c r="C1268" s="7" t="inlineStr">
        <is>
          <t>unidad</t>
        </is>
      </c>
      <c r="D1268" s="8" t="n"/>
      <c r="E1268" s="8" t="n"/>
      <c r="F1268" s="8" t="n">
        <v>4786.74</v>
      </c>
      <c r="G1268" s="8" t="n"/>
      <c r="H1268" s="8" t="n"/>
      <c r="I1268" s="8" t="n"/>
      <c r="J1268" s="8" t="n"/>
      <c r="K1268" s="8" t="n">
        <v>6294</v>
      </c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>
        <f>IF(COUNT(D1268:V1268)=0,"",MIN(D1268:V1268))</f>
        <v/>
      </c>
      <c r="X1268" s="8">
        <f>IF(COUNT(D1268:V1268)=0,"",MEDIAN(D1268:V1268))</f>
        <v/>
      </c>
      <c r="Y1268" s="8">
        <f>IF(COUNT(D1268:V1268)=0,"",MAX(D1268:V1268))</f>
        <v/>
      </c>
      <c r="Z1268" s="9">
        <f>IF(OR(W1268="",W1268=0),"",(Y1268-W1268)/W1268)</f>
        <v/>
      </c>
      <c r="AA1268" s="7">
        <f>IF(COUNT(D1268:V1268)=0,"",INDEX($D$1:$V$1,MATCH(MIN(D1268:V1268),D1268:V1268,0)))</f>
        <v/>
      </c>
      <c r="AB1268" s="8" t="n">
        <v>6294</v>
      </c>
      <c r="AC1268" s="10" t="n">
        <v>2</v>
      </c>
    </row>
    <row r="1269">
      <c r="A1269" s="7" t="inlineStr">
        <is>
          <t>MAT-27-007</t>
        </is>
      </c>
      <c r="B1269" s="4" t="inlineStr">
        <is>
          <t>Barra de seguridad, recta</t>
        </is>
      </c>
      <c r="C1269" s="7" t="inlineStr">
        <is>
          <t>unidad</t>
        </is>
      </c>
      <c r="D1269" s="8" t="n">
        <v>3022.13</v>
      </c>
      <c r="E1269" s="8" t="n"/>
      <c r="F1269" s="8" t="n"/>
      <c r="G1269" s="8" t="n"/>
      <c r="H1269" s="8" t="n"/>
      <c r="I1269" s="8" t="n">
        <v>1615</v>
      </c>
      <c r="J1269" s="8" t="n"/>
      <c r="K1269" s="8" t="n"/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>
        <f>IF(COUNT(D1269:V1269)=0,"",MIN(D1269:V1269))</f>
        <v/>
      </c>
      <c r="X1269" s="8">
        <f>IF(COUNT(D1269:V1269)=0,"",MEDIAN(D1269:V1269))</f>
        <v/>
      </c>
      <c r="Y1269" s="8">
        <f>IF(COUNT(D1269:V1269)=0,"",MAX(D1269:V1269))</f>
        <v/>
      </c>
      <c r="Z1269" s="9">
        <f>IF(OR(W1269="",W1269=0),"",(Y1269-W1269)/W1269)</f>
        <v/>
      </c>
      <c r="AA1269" s="7">
        <f>IF(COUNT(D1269:V1269)=0,"",INDEX($D$1:$V$1,MATCH(MIN(D1269:V1269),D1269:V1269,0)))</f>
        <v/>
      </c>
      <c r="AB1269" s="8" t="n">
        <v>1940</v>
      </c>
      <c r="AC1269" s="10" t="n">
        <v>2</v>
      </c>
    </row>
    <row r="1270">
      <c r="A1270" s="7" t="inlineStr">
        <is>
          <t>MAT-27-008</t>
        </is>
      </c>
      <c r="B1270" s="4" t="inlineStr">
        <is>
          <t>Barra de seguridad, recta, 105 cm</t>
        </is>
      </c>
      <c r="C1270" s="7" t="inlineStr">
        <is>
          <t>unidad</t>
        </is>
      </c>
      <c r="D1270" s="8" t="n"/>
      <c r="E1270" s="8" t="n"/>
      <c r="F1270" s="8" t="n"/>
      <c r="G1270" s="8" t="n"/>
      <c r="H1270" s="8" t="n"/>
      <c r="I1270" s="8" t="n"/>
      <c r="J1270" s="8" t="n"/>
      <c r="K1270" s="8" t="n">
        <v>2750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>
        <f>IF(COUNT(D1270:V1270)=0,"",MIN(D1270:V1270))</f>
        <v/>
      </c>
      <c r="X1270" s="8">
        <f>IF(COUNT(D1270:V1270)=0,"",MEDIAN(D1270:V1270))</f>
        <v/>
      </c>
      <c r="Y1270" s="8">
        <f>IF(COUNT(D1270:V1270)=0,"",MAX(D1270:V1270))</f>
        <v/>
      </c>
      <c r="Z1270" s="9">
        <f>IF(OR(W1270="",W1270=0),"",(Y1270-W1270)/W1270)</f>
        <v/>
      </c>
      <c r="AA1270" s="7">
        <f>IF(COUNT(D1270:V1270)=0,"",INDEX($D$1:$V$1,MATCH(MIN(D1270:V1270),D1270:V1270,0)))</f>
        <v/>
      </c>
      <c r="AB1270" s="8" t="n">
        <v>2750</v>
      </c>
      <c r="AC1270" s="10" t="n">
        <v>1</v>
      </c>
    </row>
    <row r="1271">
      <c r="A1271" s="7" t="inlineStr">
        <is>
          <t>MAT-27-009</t>
        </is>
      </c>
      <c r="B1271" s="4" t="inlineStr">
        <is>
          <t>Barra de seguridad, recta, 120 cm</t>
        </is>
      </c>
      <c r="C1271" s="7" t="inlineStr">
        <is>
          <t>unidad</t>
        </is>
      </c>
      <c r="D1271" s="8" t="n"/>
      <c r="E1271" s="8" t="n"/>
      <c r="F1271" s="8" t="n"/>
      <c r="G1271" s="8" t="n"/>
      <c r="H1271" s="8" t="n"/>
      <c r="I1271" s="8" t="n"/>
      <c r="J1271" s="8" t="n"/>
      <c r="K1271" s="8" t="n">
        <v>3092</v>
      </c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>
        <f>IF(COUNT(D1271:V1271)=0,"",MIN(D1271:V1271))</f>
        <v/>
      </c>
      <c r="X1271" s="8">
        <f>IF(COUNT(D1271:V1271)=0,"",MEDIAN(D1271:V1271))</f>
        <v/>
      </c>
      <c r="Y1271" s="8">
        <f>IF(COUNT(D1271:V1271)=0,"",MAX(D1271:V1271))</f>
        <v/>
      </c>
      <c r="Z1271" s="9">
        <f>IF(OR(W1271="",W1271=0),"",(Y1271-W1271)/W1271)</f>
        <v/>
      </c>
      <c r="AA1271" s="7">
        <f>IF(COUNT(D1271:V1271)=0,"",INDEX($D$1:$V$1,MATCH(MIN(D1271:V1271),D1271:V1271,0)))</f>
        <v/>
      </c>
      <c r="AB1271" s="8" t="n">
        <v>3092</v>
      </c>
      <c r="AC1271" s="10" t="n">
        <v>1</v>
      </c>
    </row>
    <row r="1272">
      <c r="A1272" s="7" t="inlineStr">
        <is>
          <t>MAT-27-010</t>
        </is>
      </c>
      <c r="B1272" s="4" t="inlineStr">
        <is>
          <t>Barra de seguridad, recta, 30 cm</t>
        </is>
      </c>
      <c r="C1272" s="7" t="inlineStr">
        <is>
          <t>unidad</t>
        </is>
      </c>
      <c r="D1272" s="8" t="n">
        <v>3007.09</v>
      </c>
      <c r="E1272" s="8" t="n"/>
      <c r="F1272" s="8" t="n">
        <v>1530</v>
      </c>
      <c r="G1272" s="8" t="n"/>
      <c r="H1272" s="8" t="n"/>
      <c r="I1272" s="8" t="n"/>
      <c r="J1272" s="8" t="n"/>
      <c r="K1272" s="8" t="n">
        <v>1200</v>
      </c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>
        <f>IF(COUNT(D1272:V1272)=0,"",MIN(D1272:V1272))</f>
        <v/>
      </c>
      <c r="X1272" s="8">
        <f>IF(COUNT(D1272:V1272)=0,"",MEDIAN(D1272:V1272))</f>
        <v/>
      </c>
      <c r="Y1272" s="8">
        <f>IF(COUNT(D1272:V1272)=0,"",MAX(D1272:V1272))</f>
        <v/>
      </c>
      <c r="Z1272" s="9">
        <f>IF(OR(W1272="",W1272=0),"",(Y1272-W1272)/W1272)</f>
        <v/>
      </c>
      <c r="AA1272" s="7">
        <f>IF(COUNT(D1272:V1272)=0,"",INDEX($D$1:$V$1,MATCH(MIN(D1272:V1272),D1272:V1272,0)))</f>
        <v/>
      </c>
      <c r="AB1272" s="8" t="n">
        <v>1805.4</v>
      </c>
      <c r="AC1272" s="10" t="n">
        <v>3</v>
      </c>
    </row>
    <row r="1273">
      <c r="A1273" s="7" t="inlineStr">
        <is>
          <t>MAT-27-011</t>
        </is>
      </c>
      <c r="B1273" s="4" t="inlineStr">
        <is>
          <t>Barra de seguridad, recta, 40 cm</t>
        </is>
      </c>
      <c r="C1273" s="7" t="inlineStr">
        <is>
          <t>unidad</t>
        </is>
      </c>
      <c r="D1273" s="8" t="n">
        <v>1176.96</v>
      </c>
      <c r="E1273" s="8" t="n"/>
      <c r="F1273" s="8" t="n"/>
      <c r="G1273" s="8" t="n"/>
      <c r="H1273" s="8" t="n"/>
      <c r="I1273" s="8" t="n"/>
      <c r="J1273" s="8" t="n"/>
      <c r="K1273" s="8" t="n">
        <v>675</v>
      </c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>
        <f>IF(COUNT(D1273:V1273)=0,"",MIN(D1273:V1273))</f>
        <v/>
      </c>
      <c r="X1273" s="8">
        <f>IF(COUNT(D1273:V1273)=0,"",MEDIAN(D1273:V1273))</f>
        <v/>
      </c>
      <c r="Y1273" s="8">
        <f>IF(COUNT(D1273:V1273)=0,"",MAX(D1273:V1273))</f>
        <v/>
      </c>
      <c r="Z1273" s="9">
        <f>IF(OR(W1273="",W1273=0),"",(Y1273-W1273)/W1273)</f>
        <v/>
      </c>
      <c r="AA1273" s="7">
        <f>IF(COUNT(D1273:V1273)=0,"",INDEX($D$1:$V$1,MATCH(MIN(D1273:V1273),D1273:V1273,0)))</f>
        <v/>
      </c>
      <c r="AB1273" s="8" t="n">
        <v>925.98</v>
      </c>
      <c r="AC1273" s="10" t="n">
        <v>2</v>
      </c>
    </row>
    <row r="1274">
      <c r="A1274" s="7" t="inlineStr">
        <is>
          <t>MAT-27-012</t>
        </is>
      </c>
      <c r="B1274" s="4" t="inlineStr">
        <is>
          <t>Barra de seguridad, recta, 45 cm</t>
        </is>
      </c>
      <c r="C1274" s="7" t="inlineStr">
        <is>
          <t>unidad</t>
        </is>
      </c>
      <c r="D1274" s="8" t="n"/>
      <c r="E1274" s="8" t="n"/>
      <c r="F1274" s="8" t="n"/>
      <c r="G1274" s="8" t="n"/>
      <c r="H1274" s="8" t="n"/>
      <c r="I1274" s="8" t="n"/>
      <c r="J1274" s="8" t="n"/>
      <c r="K1274" s="8" t="n">
        <v>1595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>
        <f>IF(COUNT(D1274:V1274)=0,"",MIN(D1274:V1274))</f>
        <v/>
      </c>
      <c r="X1274" s="8">
        <f>IF(COUNT(D1274:V1274)=0,"",MEDIAN(D1274:V1274))</f>
        <v/>
      </c>
      <c r="Y1274" s="8">
        <f>IF(COUNT(D1274:V1274)=0,"",MAX(D1274:V1274))</f>
        <v/>
      </c>
      <c r="Z1274" s="9">
        <f>IF(OR(W1274="",W1274=0),"",(Y1274-W1274)/W1274)</f>
        <v/>
      </c>
      <c r="AA1274" s="7">
        <f>IF(COUNT(D1274:V1274)=0,"",INDEX($D$1:$V$1,MATCH(MIN(D1274:V1274),D1274:V1274,0)))</f>
        <v/>
      </c>
      <c r="AB1274" s="8" t="n">
        <v>1665</v>
      </c>
      <c r="AC1274" s="10" t="n">
        <v>1</v>
      </c>
    </row>
    <row r="1275">
      <c r="A1275" s="7" t="inlineStr">
        <is>
          <t>MAT-27-013</t>
        </is>
      </c>
      <c r="B1275" s="4" t="inlineStr">
        <is>
          <t>Barra de seguridad, recta, 50 cm</t>
        </is>
      </c>
      <c r="C1275" s="7" t="inlineStr">
        <is>
          <t>unidad</t>
        </is>
      </c>
      <c r="D1275" s="8" t="n">
        <v>1522.47</v>
      </c>
      <c r="E1275" s="8" t="n"/>
      <c r="F1275" s="8" t="n"/>
      <c r="G1275" s="8" t="n"/>
      <c r="H1275" s="8" t="n"/>
      <c r="I1275" s="8" t="n"/>
      <c r="J1275" s="8" t="n"/>
      <c r="K1275" s="8" t="n">
        <v>745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>
        <f>IF(COUNT(D1275:V1275)=0,"",MIN(D1275:V1275))</f>
        <v/>
      </c>
      <c r="X1275" s="8">
        <f>IF(COUNT(D1275:V1275)=0,"",MEDIAN(D1275:V1275))</f>
        <v/>
      </c>
      <c r="Y1275" s="8">
        <f>IF(COUNT(D1275:V1275)=0,"",MAX(D1275:V1275))</f>
        <v/>
      </c>
      <c r="Z1275" s="9">
        <f>IF(OR(W1275="",W1275=0),"",(Y1275-W1275)/W1275)</f>
        <v/>
      </c>
      <c r="AA1275" s="7">
        <f>IF(COUNT(D1275:V1275)=0,"",INDEX($D$1:$V$1,MATCH(MIN(D1275:V1275),D1275:V1275,0)))</f>
        <v/>
      </c>
      <c r="AB1275" s="8" t="n">
        <v>1195</v>
      </c>
      <c r="AC1275" s="10" t="n">
        <v>2</v>
      </c>
    </row>
    <row r="1276">
      <c r="A1276" s="7" t="inlineStr">
        <is>
          <t>MAT-27-014</t>
        </is>
      </c>
      <c r="B1276" s="4" t="inlineStr">
        <is>
          <t>Barra de seguridad, recta, 60 cm</t>
        </is>
      </c>
      <c r="C1276" s="7" t="inlineStr">
        <is>
          <t>unidad</t>
        </is>
      </c>
      <c r="D1276" s="8" t="n">
        <v>3297.37</v>
      </c>
      <c r="E1276" s="8" t="n"/>
      <c r="F1276" s="8" t="n"/>
      <c r="G1276" s="8" t="n"/>
      <c r="H1276" s="8" t="n"/>
      <c r="I1276" s="8" t="n"/>
      <c r="J1276" s="8" t="n"/>
      <c r="K1276" s="8" t="n">
        <v>1869</v>
      </c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>
        <f>IF(COUNT(D1276:V1276)=0,"",MIN(D1276:V1276))</f>
        <v/>
      </c>
      <c r="X1276" s="8">
        <f>IF(COUNT(D1276:V1276)=0,"",MEDIAN(D1276:V1276))</f>
        <v/>
      </c>
      <c r="Y1276" s="8">
        <f>IF(COUNT(D1276:V1276)=0,"",MAX(D1276:V1276))</f>
        <v/>
      </c>
      <c r="Z1276" s="9">
        <f>IF(OR(W1276="",W1276=0),"",(Y1276-W1276)/W1276)</f>
        <v/>
      </c>
      <c r="AA1276" s="7">
        <f>IF(COUNT(D1276:V1276)=0,"",INDEX($D$1:$V$1,MATCH(MIN(D1276:V1276),D1276:V1276,0)))</f>
        <v/>
      </c>
      <c r="AB1276" s="8" t="n">
        <v>1995</v>
      </c>
      <c r="AC1276" s="10" t="n">
        <v>2</v>
      </c>
    </row>
    <row r="1277">
      <c r="A1277" s="7" t="inlineStr">
        <is>
          <t>MAT-27-015</t>
        </is>
      </c>
      <c r="B1277" s="4" t="inlineStr">
        <is>
          <t>Barra de seguridad, recta, 70 cm</t>
        </is>
      </c>
      <c r="C1277" s="7" t="inlineStr">
        <is>
          <t>unidad</t>
        </is>
      </c>
      <c r="D1277" s="8" t="n">
        <v>3271.81</v>
      </c>
      <c r="E1277" s="8" t="n"/>
      <c r="F1277" s="8" t="n"/>
      <c r="G1277" s="8" t="n"/>
      <c r="H1277" s="8" t="n"/>
      <c r="I1277" s="8" t="n"/>
      <c r="J1277" s="8" t="n"/>
      <c r="K1277" s="8" t="n">
        <v>4695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>
        <f>IF(COUNT(D1277:V1277)=0,"",MIN(D1277:V1277))</f>
        <v/>
      </c>
      <c r="X1277" s="8">
        <f>IF(COUNT(D1277:V1277)=0,"",MEDIAN(D1277:V1277))</f>
        <v/>
      </c>
      <c r="Y1277" s="8">
        <f>IF(COUNT(D1277:V1277)=0,"",MAX(D1277:V1277))</f>
        <v/>
      </c>
      <c r="Z1277" s="9">
        <f>IF(OR(W1277="",W1277=0),"",(Y1277-W1277)/W1277)</f>
        <v/>
      </c>
      <c r="AA1277" s="7">
        <f>IF(COUNT(D1277:V1277)=0,"",INDEX($D$1:$V$1,MATCH(MIN(D1277:V1277),D1277:V1277,0)))</f>
        <v/>
      </c>
      <c r="AB1277" s="8" t="n">
        <v>3983.41</v>
      </c>
      <c r="AC1277" s="10" t="n">
        <v>2</v>
      </c>
    </row>
    <row r="1278">
      <c r="A1278" s="7" t="inlineStr">
        <is>
          <t>MAT-27-016</t>
        </is>
      </c>
      <c r="B1278" s="4" t="inlineStr">
        <is>
          <t>Barra de seguridad, recta, 75 cm</t>
        </is>
      </c>
      <c r="C1278" s="7" t="inlineStr">
        <is>
          <t>unidad</t>
        </is>
      </c>
      <c r="D1278" s="8" t="n"/>
      <c r="E1278" s="8" t="n"/>
      <c r="F1278" s="8" t="n"/>
      <c r="G1278" s="8" t="n"/>
      <c r="H1278" s="8" t="n"/>
      <c r="I1278" s="8" t="n"/>
      <c r="J1278" s="8" t="n"/>
      <c r="K1278" s="8" t="n">
        <v>2185</v>
      </c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>
        <f>IF(COUNT(D1278:V1278)=0,"",MIN(D1278:V1278))</f>
        <v/>
      </c>
      <c r="X1278" s="8">
        <f>IF(COUNT(D1278:V1278)=0,"",MEDIAN(D1278:V1278))</f>
        <v/>
      </c>
      <c r="Y1278" s="8">
        <f>IF(COUNT(D1278:V1278)=0,"",MAX(D1278:V1278))</f>
        <v/>
      </c>
      <c r="Z1278" s="9">
        <f>IF(OR(W1278="",W1278=0),"",(Y1278-W1278)/W1278)</f>
        <v/>
      </c>
      <c r="AA1278" s="7">
        <f>IF(COUNT(D1278:V1278)=0,"",INDEX($D$1:$V$1,MATCH(MIN(D1278:V1278),D1278:V1278,0)))</f>
        <v/>
      </c>
      <c r="AB1278" s="8" t="n">
        <v>2185</v>
      </c>
      <c r="AC1278" s="10" t="n">
        <v>1</v>
      </c>
    </row>
    <row r="1279">
      <c r="A1279" s="7" t="inlineStr">
        <is>
          <t>MAT-27-017</t>
        </is>
      </c>
      <c r="B1279" s="4" t="inlineStr">
        <is>
          <t>Barra de seguridad, recta, 90 cm</t>
        </is>
      </c>
      <c r="C1279" s="7" t="inlineStr">
        <is>
          <t>unidad</t>
        </is>
      </c>
      <c r="D1279" s="8" t="n">
        <v>6226.47</v>
      </c>
      <c r="E1279" s="8" t="n"/>
      <c r="F1279" s="8" t="n"/>
      <c r="G1279" s="8" t="n"/>
      <c r="H1279" s="8" t="n"/>
      <c r="I1279" s="8" t="n"/>
      <c r="J1279" s="8" t="n"/>
      <c r="K1279" s="8" t="n">
        <v>2395</v>
      </c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>
        <f>IF(COUNT(D1279:V1279)=0,"",MIN(D1279:V1279))</f>
        <v/>
      </c>
      <c r="X1279" s="8">
        <f>IF(COUNT(D1279:V1279)=0,"",MEDIAN(D1279:V1279))</f>
        <v/>
      </c>
      <c r="Y1279" s="8">
        <f>IF(COUNT(D1279:V1279)=0,"",MAX(D1279:V1279))</f>
        <v/>
      </c>
      <c r="Z1279" s="9">
        <f>IF(OR(W1279="",W1279=0),"",(Y1279-W1279)/W1279)</f>
        <v/>
      </c>
      <c r="AA1279" s="7">
        <f>IF(COUNT(D1279:V1279)=0,"",INDEX($D$1:$V$1,MATCH(MIN(D1279:V1279),D1279:V1279,0)))</f>
        <v/>
      </c>
      <c r="AB1279" s="8" t="n">
        <v>2439</v>
      </c>
      <c r="AC1279" s="10" t="n">
        <v>2</v>
      </c>
    </row>
    <row r="1280">
      <c r="A1280" s="7" t="inlineStr">
        <is>
          <t>MAT-27-018</t>
        </is>
      </c>
      <c r="B1280" s="4" t="inlineStr">
        <is>
          <t>Juego de accesorios de baño</t>
        </is>
      </c>
      <c r="C1280" s="7" t="inlineStr">
        <is>
          <t>juego</t>
        </is>
      </c>
      <c r="D1280" s="8" t="n">
        <v>345.39</v>
      </c>
      <c r="E1280" s="8" t="n"/>
      <c r="F1280" s="8" t="n">
        <v>4992.44</v>
      </c>
      <c r="G1280" s="8" t="n"/>
      <c r="H1280" s="8" t="n"/>
      <c r="I1280" s="8" t="n">
        <v>345</v>
      </c>
      <c r="J1280" s="8" t="n"/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>
        <f>IF(COUNT(D1280:V1280)=0,"",MIN(D1280:V1280))</f>
        <v/>
      </c>
      <c r="X1280" s="8">
        <f>IF(COUNT(D1280:V1280)=0,"",MEDIAN(D1280:V1280))</f>
        <v/>
      </c>
      <c r="Y1280" s="8">
        <f>IF(COUNT(D1280:V1280)=0,"",MAX(D1280:V1280))</f>
        <v/>
      </c>
      <c r="Z1280" s="9">
        <f>IF(OR(W1280="",W1280=0),"",(Y1280-W1280)/W1280)</f>
        <v/>
      </c>
      <c r="AA1280" s="7">
        <f>IF(COUNT(D1280:V1280)=0,"",INDEX($D$1:$V$1,MATCH(MIN(D1280:V1280),D1280:V1280,0)))</f>
        <v/>
      </c>
      <c r="AB1280" s="8" t="n">
        <v>2367.36</v>
      </c>
      <c r="AC1280" s="10" t="n">
        <v>3</v>
      </c>
    </row>
    <row r="1281">
      <c r="A1281" s="7" t="inlineStr">
        <is>
          <t>MAT-27-019</t>
        </is>
      </c>
      <c r="B1281" s="4" t="inlineStr">
        <is>
          <t>Juego de accesorios de baño, 3 piezas</t>
        </is>
      </c>
      <c r="C1281" s="7" t="inlineStr">
        <is>
          <t>juego</t>
        </is>
      </c>
      <c r="D1281" s="8" t="n">
        <v>1081.92</v>
      </c>
      <c r="E1281" s="8" t="n"/>
      <c r="F1281" s="8" t="n"/>
      <c r="G1281" s="8" t="n"/>
      <c r="H1281" s="8" t="n"/>
      <c r="I1281" s="8" t="n"/>
      <c r="J1281" s="8" t="n"/>
      <c r="K1281" s="8" t="n"/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>
        <f>IF(COUNT(D1281:V1281)=0,"",MIN(D1281:V1281))</f>
        <v/>
      </c>
      <c r="X1281" s="8">
        <f>IF(COUNT(D1281:V1281)=0,"",MEDIAN(D1281:V1281))</f>
        <v/>
      </c>
      <c r="Y1281" s="8">
        <f>IF(COUNT(D1281:V1281)=0,"",MAX(D1281:V1281))</f>
        <v/>
      </c>
      <c r="Z1281" s="9">
        <f>IF(OR(W1281="",W1281=0),"",(Y1281-W1281)/W1281)</f>
        <v/>
      </c>
      <c r="AA1281" s="7">
        <f>IF(COUNT(D1281:V1281)=0,"",INDEX($D$1:$V$1,MATCH(MIN(D1281:V1281),D1281:V1281,0)))</f>
        <v/>
      </c>
      <c r="AB1281" s="8" t="n">
        <v>1673.59</v>
      </c>
      <c r="AC1281" s="10" t="n">
        <v>1</v>
      </c>
    </row>
    <row r="1282">
      <c r="A1282" s="7" t="inlineStr">
        <is>
          <t>MAT-27-020</t>
        </is>
      </c>
      <c r="B1282" s="4" t="inlineStr">
        <is>
          <t>Juego de accesorios de baño, 4 piezas</t>
        </is>
      </c>
      <c r="C1282" s="7" t="inlineStr">
        <is>
          <t>juego</t>
        </is>
      </c>
      <c r="D1282" s="8" t="n">
        <v>1605.2</v>
      </c>
      <c r="E1282" s="8" t="n"/>
      <c r="F1282" s="8" t="n"/>
      <c r="G1282" s="8" t="n"/>
      <c r="H1282" s="8" t="n"/>
      <c r="I1282" s="8" t="n"/>
      <c r="J1282" s="8" t="n"/>
      <c r="K1282" s="8" t="n">
        <v>2790</v>
      </c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>
        <f>IF(COUNT(D1282:V1282)=0,"",MIN(D1282:V1282))</f>
        <v/>
      </c>
      <c r="X1282" s="8">
        <f>IF(COUNT(D1282:V1282)=0,"",MEDIAN(D1282:V1282))</f>
        <v/>
      </c>
      <c r="Y1282" s="8">
        <f>IF(COUNT(D1282:V1282)=0,"",MAX(D1282:V1282))</f>
        <v/>
      </c>
      <c r="Z1282" s="9">
        <f>IF(OR(W1282="",W1282=0),"",(Y1282-W1282)/W1282)</f>
        <v/>
      </c>
      <c r="AA1282" s="7">
        <f>IF(COUNT(D1282:V1282)=0,"",INDEX($D$1:$V$1,MATCH(MIN(D1282:V1282),D1282:V1282,0)))</f>
        <v/>
      </c>
      <c r="AB1282" s="8" t="n">
        <v>2927.39</v>
      </c>
      <c r="AC1282" s="10" t="n">
        <v>2</v>
      </c>
    </row>
    <row r="1283">
      <c r="A1283" s="7" t="inlineStr">
        <is>
          <t>MAT-27-021</t>
        </is>
      </c>
      <c r="B1283" s="4" t="inlineStr">
        <is>
          <t>Juego de accesorios de baño, 5 piezas</t>
        </is>
      </c>
      <c r="C1283" s="7" t="inlineStr">
        <is>
          <t>juego</t>
        </is>
      </c>
      <c r="D1283" s="8" t="n">
        <v>940.91</v>
      </c>
      <c r="E1283" s="8" t="n"/>
      <c r="F1283" s="8" t="n"/>
      <c r="G1283" s="8" t="n">
        <v>1139</v>
      </c>
      <c r="H1283" s="8" t="n"/>
      <c r="I1283" s="8" t="n"/>
      <c r="J1283" s="8" t="n"/>
      <c r="K1283" s="8" t="n">
        <v>394</v>
      </c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>
        <f>IF(COUNT(D1283:V1283)=0,"",MIN(D1283:V1283))</f>
        <v/>
      </c>
      <c r="X1283" s="8">
        <f>IF(COUNT(D1283:V1283)=0,"",MEDIAN(D1283:V1283))</f>
        <v/>
      </c>
      <c r="Y1283" s="8">
        <f>IF(COUNT(D1283:V1283)=0,"",MAX(D1283:V1283))</f>
        <v/>
      </c>
      <c r="Z1283" s="9">
        <f>IF(OR(W1283="",W1283=0),"",(Y1283-W1283)/W1283)</f>
        <v/>
      </c>
      <c r="AA1283" s="7">
        <f>IF(COUNT(D1283:V1283)=0,"",INDEX($D$1:$V$1,MATCH(MIN(D1283:V1283),D1283:V1283,0)))</f>
        <v/>
      </c>
      <c r="AB1283" s="8" t="n">
        <v>1139</v>
      </c>
      <c r="AC1283" s="10" t="n">
        <v>3</v>
      </c>
    </row>
    <row r="1284">
      <c r="A1284" s="7" t="inlineStr">
        <is>
          <t>MAT-27-022</t>
        </is>
      </c>
      <c r="B1284" s="4" t="inlineStr">
        <is>
          <t>Juego de accesorios de baño, 6 piezas</t>
        </is>
      </c>
      <c r="C1284" s="7" t="inlineStr">
        <is>
          <t>juego</t>
        </is>
      </c>
      <c r="D1284" s="8" t="n">
        <v>1342.61</v>
      </c>
      <c r="E1284" s="8" t="n"/>
      <c r="F1284" s="8" t="n"/>
      <c r="G1284" s="8" t="n">
        <v>2306</v>
      </c>
      <c r="H1284" s="8" t="n"/>
      <c r="I1284" s="8" t="n"/>
      <c r="J1284" s="8" t="n"/>
      <c r="K1284" s="8" t="n">
        <v>1545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>
        <f>IF(COUNT(D1284:V1284)=0,"",MIN(D1284:V1284))</f>
        <v/>
      </c>
      <c r="X1284" s="8">
        <f>IF(COUNT(D1284:V1284)=0,"",MEDIAN(D1284:V1284))</f>
        <v/>
      </c>
      <c r="Y1284" s="8">
        <f>IF(COUNT(D1284:V1284)=0,"",MAX(D1284:V1284))</f>
        <v/>
      </c>
      <c r="Z1284" s="9">
        <f>IF(OR(W1284="",W1284=0),"",(Y1284-W1284)/W1284)</f>
        <v/>
      </c>
      <c r="AA1284" s="7">
        <f>IF(COUNT(D1284:V1284)=0,"",INDEX($D$1:$V$1,MATCH(MIN(D1284:V1284),D1284:V1284,0)))</f>
        <v/>
      </c>
      <c r="AB1284" s="8" t="n">
        <v>3019.72</v>
      </c>
      <c r="AC1284" s="10" t="n">
        <v>3</v>
      </c>
    </row>
    <row r="1285">
      <c r="A1285" s="7" t="inlineStr">
        <is>
          <t>MAT-27-023</t>
        </is>
      </c>
      <c r="B1285" s="4" t="inlineStr">
        <is>
          <t>Secador de manos</t>
        </is>
      </c>
      <c r="C1285" s="7" t="inlineStr">
        <is>
          <t>unidad</t>
        </is>
      </c>
      <c r="D1285" s="8" t="n"/>
      <c r="E1285" s="8" t="n"/>
      <c r="F1285" s="8" t="n"/>
      <c r="G1285" s="8" t="n"/>
      <c r="H1285" s="8" t="n"/>
      <c r="I1285" s="8" t="n"/>
      <c r="J1285" s="8" t="n"/>
      <c r="K1285" s="8" t="n">
        <v>3335</v>
      </c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>
        <f>IF(COUNT(D1285:V1285)=0,"",MIN(D1285:V1285))</f>
        <v/>
      </c>
      <c r="X1285" s="8">
        <f>IF(COUNT(D1285:V1285)=0,"",MEDIAN(D1285:V1285))</f>
        <v/>
      </c>
      <c r="Y1285" s="8">
        <f>IF(COUNT(D1285:V1285)=0,"",MAX(D1285:V1285))</f>
        <v/>
      </c>
      <c r="Z1285" s="9">
        <f>IF(OR(W1285="",W1285=0),"",(Y1285-W1285)/W1285)</f>
        <v/>
      </c>
      <c r="AA1285" s="7">
        <f>IF(COUNT(D1285:V1285)=0,"",INDEX($D$1:$V$1,MATCH(MIN(D1285:V1285),D1285:V1285,0)))</f>
        <v/>
      </c>
      <c r="AB1285" s="8" t="n">
        <v>3467.5</v>
      </c>
      <c r="AC1285" s="10" t="n">
        <v>1</v>
      </c>
    </row>
    <row r="1286">
      <c r="A1286" s="7" t="inlineStr">
        <is>
          <t>MAT-27-024</t>
        </is>
      </c>
      <c r="B1286" s="4" t="inlineStr">
        <is>
          <t>Secador de manos, de botón</t>
        </is>
      </c>
      <c r="C1286" s="7" t="inlineStr">
        <is>
          <t>unidad</t>
        </is>
      </c>
      <c r="D1286" s="8" t="n">
        <v>16368.74</v>
      </c>
      <c r="E1286" s="8" t="n"/>
      <c r="F1286" s="8" t="n"/>
      <c r="G1286" s="8" t="n"/>
      <c r="H1286" s="8" t="n"/>
      <c r="I1286" s="8" t="n"/>
      <c r="J1286" s="8" t="n"/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>
        <f>IF(COUNT(D1286:V1286)=0,"",MIN(D1286:V1286))</f>
        <v/>
      </c>
      <c r="X1286" s="8">
        <f>IF(COUNT(D1286:V1286)=0,"",MEDIAN(D1286:V1286))</f>
        <v/>
      </c>
      <c r="Y1286" s="8">
        <f>IF(COUNT(D1286:V1286)=0,"",MAX(D1286:V1286))</f>
        <v/>
      </c>
      <c r="Z1286" s="9">
        <f>IF(OR(W1286="",W1286=0),"",(Y1286-W1286)/W1286)</f>
        <v/>
      </c>
      <c r="AA1286" s="7">
        <f>IF(COUNT(D1286:V1286)=0,"",INDEX($D$1:$V$1,MATCH(MIN(D1286:V1286),D1286:V1286,0)))</f>
        <v/>
      </c>
      <c r="AB1286" s="8" t="n">
        <v>16368.74</v>
      </c>
      <c r="AC1286" s="10" t="n">
        <v>1</v>
      </c>
    </row>
    <row r="1287">
      <c r="A1287" s="7" t="inlineStr">
        <is>
          <t>MAT-27-025</t>
        </is>
      </c>
      <c r="B1287" s="4" t="inlineStr">
        <is>
          <t>Secador de manos, con sensor</t>
        </is>
      </c>
      <c r="C1287" s="7" t="inlineStr">
        <is>
          <t>unidad</t>
        </is>
      </c>
      <c r="D1287" s="8" t="n">
        <v>18390.47</v>
      </c>
      <c r="E1287" s="8" t="n"/>
      <c r="F1287" s="8" t="n"/>
      <c r="G1287" s="8" t="n"/>
      <c r="H1287" s="8" t="n"/>
      <c r="I1287" s="8" t="n">
        <v>16755</v>
      </c>
      <c r="J1287" s="8" t="n"/>
      <c r="K1287" s="8" t="n">
        <v>12495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>
        <f>IF(COUNT(D1287:V1287)=0,"",MIN(D1287:V1287))</f>
        <v/>
      </c>
      <c r="X1287" s="8">
        <f>IF(COUNT(D1287:V1287)=0,"",MEDIAN(D1287:V1287))</f>
        <v/>
      </c>
      <c r="Y1287" s="8">
        <f>IF(COUNT(D1287:V1287)=0,"",MAX(D1287:V1287))</f>
        <v/>
      </c>
      <c r="Z1287" s="9">
        <f>IF(OR(W1287="",W1287=0),"",(Y1287-W1287)/W1287)</f>
        <v/>
      </c>
      <c r="AA1287" s="7">
        <f>IF(COUNT(D1287:V1287)=0,"",INDEX($D$1:$V$1,MATCH(MIN(D1287:V1287),D1287:V1287,0)))</f>
        <v/>
      </c>
      <c r="AB1287" s="8" t="n">
        <v>16755</v>
      </c>
      <c r="AC1287" s="10" t="n">
        <v>3</v>
      </c>
    </row>
    <row r="1288">
      <c r="A1288" s="7" t="inlineStr">
        <is>
          <t>MAT-27-026</t>
        </is>
      </c>
      <c r="B1288" s="4" t="inlineStr">
        <is>
          <t>Secador de manos, institucional</t>
        </is>
      </c>
      <c r="C1288" s="7" t="inlineStr">
        <is>
          <t>unidad</t>
        </is>
      </c>
      <c r="D1288" s="8" t="n">
        <v>27487.14</v>
      </c>
      <c r="E1288" s="8" t="n"/>
      <c r="F1288" s="8" t="n">
        <v>33447.06</v>
      </c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>
        <f>IF(COUNT(D1288:V1288)=0,"",MIN(D1288:V1288))</f>
        <v/>
      </c>
      <c r="X1288" s="8">
        <f>IF(COUNT(D1288:V1288)=0,"",MEDIAN(D1288:V1288))</f>
        <v/>
      </c>
      <c r="Y1288" s="8">
        <f>IF(COUNT(D1288:V1288)=0,"",MAX(D1288:V1288))</f>
        <v/>
      </c>
      <c r="Z1288" s="9">
        <f>IF(OR(W1288="",W1288=0),"",(Y1288-W1288)/W1288)</f>
        <v/>
      </c>
      <c r="AA1288" s="7">
        <f>IF(COUNT(D1288:V1288)=0,"",INDEX($D$1:$V$1,MATCH(MIN(D1288:V1288),D1288:V1288,0)))</f>
        <v/>
      </c>
      <c r="AB1288" s="8" t="n">
        <v>33477.34</v>
      </c>
      <c r="AC1288" s="10" t="n">
        <v>2</v>
      </c>
    </row>
    <row r="1289">
      <c r="A1289" s="7" t="inlineStr">
        <is>
          <t>MAT-27-027</t>
        </is>
      </c>
      <c r="B1289" s="4" t="inlineStr">
        <is>
          <t>Secador de manos, institucional, con sensor</t>
        </is>
      </c>
      <c r="C1289" s="7" t="inlineStr">
        <is>
          <t>unidad</t>
        </is>
      </c>
      <c r="D1289" s="8" t="n">
        <v>32765.78</v>
      </c>
      <c r="E1289" s="8" t="n"/>
      <c r="F1289" s="8" t="n"/>
      <c r="G1289" s="8" t="n"/>
      <c r="H1289" s="8" t="n"/>
      <c r="I1289" s="8" t="n"/>
      <c r="J1289" s="8" t="n"/>
      <c r="K1289" s="8" t="n"/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>
        <f>IF(COUNT(D1289:V1289)=0,"",MIN(D1289:V1289))</f>
        <v/>
      </c>
      <c r="X1289" s="8">
        <f>IF(COUNT(D1289:V1289)=0,"",MEDIAN(D1289:V1289))</f>
        <v/>
      </c>
      <c r="Y1289" s="8">
        <f>IF(COUNT(D1289:V1289)=0,"",MAX(D1289:V1289))</f>
        <v/>
      </c>
      <c r="Z1289" s="9">
        <f>IF(OR(W1289="",W1289=0),"",(Y1289-W1289)/W1289)</f>
        <v/>
      </c>
      <c r="AA1289" s="7">
        <f>IF(COUNT(D1289:V1289)=0,"",INDEX($D$1:$V$1,MATCH(MIN(D1289:V1289),D1289:V1289,0)))</f>
        <v/>
      </c>
      <c r="AB1289" s="8" t="n">
        <v>32765.78</v>
      </c>
      <c r="AC1289" s="10" t="n">
        <v>1</v>
      </c>
    </row>
    <row r="1290">
      <c r="A1290" s="7" t="inlineStr">
        <is>
          <t>MAT-27-028</t>
        </is>
      </c>
      <c r="B1290" s="4" t="inlineStr">
        <is>
          <t>Dispensador de jabón</t>
        </is>
      </c>
      <c r="C1290" s="7" t="inlineStr">
        <is>
          <t>unidad</t>
        </is>
      </c>
      <c r="D1290" s="8" t="n"/>
      <c r="E1290" s="8" t="n"/>
      <c r="F1290" s="8" t="n"/>
      <c r="G1290" s="8" t="n"/>
      <c r="H1290" s="8" t="n"/>
      <c r="I1290" s="8" t="n">
        <v>899</v>
      </c>
      <c r="J1290" s="8" t="n"/>
      <c r="K1290" s="8" t="n">
        <v>156</v>
      </c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>
        <f>IF(COUNT(D1290:V1290)=0,"",MIN(D1290:V1290))</f>
        <v/>
      </c>
      <c r="X1290" s="8">
        <f>IF(COUNT(D1290:V1290)=0,"",MEDIAN(D1290:V1290))</f>
        <v/>
      </c>
      <c r="Y1290" s="8">
        <f>IF(COUNT(D1290:V1290)=0,"",MAX(D1290:V1290))</f>
        <v/>
      </c>
      <c r="Z1290" s="9">
        <f>IF(OR(W1290="",W1290=0),"",(Y1290-W1290)/W1290)</f>
        <v/>
      </c>
      <c r="AA1290" s="7">
        <f>IF(COUNT(D1290:V1290)=0,"",INDEX($D$1:$V$1,MATCH(MIN(D1290:V1290),D1290:V1290,0)))</f>
        <v/>
      </c>
      <c r="AB1290" s="8" t="n">
        <v>672</v>
      </c>
      <c r="AC1290" s="10" t="n">
        <v>2</v>
      </c>
    </row>
    <row r="1291">
      <c r="A1291" s="7" t="inlineStr">
        <is>
          <t>MAT-27-029</t>
        </is>
      </c>
      <c r="B1291" s="4" t="inlineStr">
        <is>
          <t>Dispensador de jabón, con sensor</t>
        </is>
      </c>
      <c r="C1291" s="7" t="inlineStr">
        <is>
          <t>unidad</t>
        </is>
      </c>
      <c r="D1291" s="8" t="n"/>
      <c r="E1291" s="8" t="n"/>
      <c r="F1291" s="8" t="n">
        <v>28704.01</v>
      </c>
      <c r="G1291" s="8" t="n"/>
      <c r="H1291" s="8" t="n"/>
      <c r="I1291" s="8" t="n"/>
      <c r="J1291" s="8" t="n"/>
      <c r="K1291" s="8" t="n"/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>
        <f>IF(COUNT(D1291:V1291)=0,"",MIN(D1291:V1291))</f>
        <v/>
      </c>
      <c r="X1291" s="8">
        <f>IF(COUNT(D1291:V1291)=0,"",MEDIAN(D1291:V1291))</f>
        <v/>
      </c>
      <c r="Y1291" s="8">
        <f>IF(COUNT(D1291:V1291)=0,"",MAX(D1291:V1291))</f>
        <v/>
      </c>
      <c r="Z1291" s="9">
        <f>IF(OR(W1291="",W1291=0),"",(Y1291-W1291)/W1291)</f>
        <v/>
      </c>
      <c r="AA1291" s="7">
        <f>IF(COUNT(D1291:V1291)=0,"",INDEX($D$1:$V$1,MATCH(MIN(D1291:V1291),D1291:V1291,0)))</f>
        <v/>
      </c>
      <c r="AB1291" s="8" t="n">
        <v>33870.73</v>
      </c>
      <c r="AC1291" s="10" t="n">
        <v>1</v>
      </c>
    </row>
    <row r="1292">
      <c r="A1292" s="7" t="inlineStr">
        <is>
          <t>MAT-27-030</t>
        </is>
      </c>
      <c r="B1292" s="4" t="inlineStr">
        <is>
          <t>Dispensador de jabón, institucional</t>
        </is>
      </c>
      <c r="C1292" s="7" t="inlineStr">
        <is>
          <t>unidad</t>
        </is>
      </c>
      <c r="D1292" s="8" t="n">
        <v>14903.09</v>
      </c>
      <c r="E1292" s="8" t="n"/>
      <c r="F1292" s="8" t="n"/>
      <c r="G1292" s="8" t="n"/>
      <c r="H1292" s="8" t="n"/>
      <c r="I1292" s="8" t="n"/>
      <c r="J1292" s="8" t="n"/>
      <c r="K1292" s="8" t="n">
        <v>1270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>
        <f>IF(COUNT(D1292:V1292)=0,"",MIN(D1292:V1292))</f>
        <v/>
      </c>
      <c r="X1292" s="8">
        <f>IF(COUNT(D1292:V1292)=0,"",MEDIAN(D1292:V1292))</f>
        <v/>
      </c>
      <c r="Y1292" s="8">
        <f>IF(COUNT(D1292:V1292)=0,"",MAX(D1292:V1292))</f>
        <v/>
      </c>
      <c r="Z1292" s="9">
        <f>IF(OR(W1292="",W1292=0),"",(Y1292-W1292)/W1292)</f>
        <v/>
      </c>
      <c r="AA1292" s="7">
        <f>IF(COUNT(D1292:V1292)=0,"",INDEX($D$1:$V$1,MATCH(MIN(D1292:V1292),D1292:V1292,0)))</f>
        <v/>
      </c>
      <c r="AB1292" s="8" t="n">
        <v>3782.5</v>
      </c>
      <c r="AC1292" s="10" t="n">
        <v>2</v>
      </c>
    </row>
    <row r="1293">
      <c r="A1293" s="7" t="inlineStr">
        <is>
          <t>MAT-27-031</t>
        </is>
      </c>
      <c r="B1293" s="4" t="inlineStr">
        <is>
          <t>Dispensador de papel, de papel higiénico</t>
        </is>
      </c>
      <c r="C1293" s="7" t="inlineStr">
        <is>
          <t>unidad</t>
        </is>
      </c>
      <c r="D1293" s="8" t="n"/>
      <c r="E1293" s="8" t="n"/>
      <c r="F1293" s="8" t="n"/>
      <c r="G1293" s="8" t="n"/>
      <c r="H1293" s="8" t="n"/>
      <c r="I1293" s="8" t="n"/>
      <c r="J1293" s="8" t="n"/>
      <c r="K1293" s="8" t="n">
        <v>485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>
        <f>IF(COUNT(D1293:V1293)=0,"",MIN(D1293:V1293))</f>
        <v/>
      </c>
      <c r="X1293" s="8">
        <f>IF(COUNT(D1293:V1293)=0,"",MEDIAN(D1293:V1293))</f>
        <v/>
      </c>
      <c r="Y1293" s="8">
        <f>IF(COUNT(D1293:V1293)=0,"",MAX(D1293:V1293))</f>
        <v/>
      </c>
      <c r="Z1293" s="9">
        <f>IF(OR(W1293="",W1293=0),"",(Y1293-W1293)/W1293)</f>
        <v/>
      </c>
      <c r="AA1293" s="7">
        <f>IF(COUNT(D1293:V1293)=0,"",INDEX($D$1:$V$1,MATCH(MIN(D1293:V1293),D1293:V1293,0)))</f>
        <v/>
      </c>
      <c r="AB1293" s="8" t="n">
        <v>587.5</v>
      </c>
      <c r="AC1293" s="10" t="n">
        <v>1</v>
      </c>
    </row>
    <row r="1294">
      <c r="A1294" s="7" t="inlineStr">
        <is>
          <t>MAT-27-032</t>
        </is>
      </c>
      <c r="B1294" s="4" t="inlineStr">
        <is>
          <t>Dispensador de papel, de toalla</t>
        </is>
      </c>
      <c r="C1294" s="7" t="inlineStr">
        <is>
          <t>unidad</t>
        </is>
      </c>
      <c r="D1294" s="8" t="n">
        <v>4472.06</v>
      </c>
      <c r="E1294" s="8" t="n"/>
      <c r="F1294" s="8" t="n"/>
      <c r="G1294" s="8" t="n"/>
      <c r="H1294" s="8" t="n"/>
      <c r="I1294" s="8" t="n"/>
      <c r="J1294" s="8" t="n"/>
      <c r="K1294" s="8" t="n">
        <v>274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>
        <f>IF(COUNT(D1294:V1294)=0,"",MIN(D1294:V1294))</f>
        <v/>
      </c>
      <c r="X1294" s="8">
        <f>IF(COUNT(D1294:V1294)=0,"",MEDIAN(D1294:V1294))</f>
        <v/>
      </c>
      <c r="Y1294" s="8">
        <f>IF(COUNT(D1294:V1294)=0,"",MAX(D1294:V1294))</f>
        <v/>
      </c>
      <c r="Z1294" s="9">
        <f>IF(OR(W1294="",W1294=0),"",(Y1294-W1294)/W1294)</f>
        <v/>
      </c>
      <c r="AA1294" s="7">
        <f>IF(COUNT(D1294:V1294)=0,"",INDEX($D$1:$V$1,MATCH(MIN(D1294:V1294),D1294:V1294,0)))</f>
        <v/>
      </c>
      <c r="AB1294" s="8" t="n">
        <v>2595</v>
      </c>
      <c r="AC1294" s="10" t="n">
        <v>2</v>
      </c>
    </row>
    <row r="1295">
      <c r="A1295" s="7" t="inlineStr">
        <is>
          <t>MAT-27-033</t>
        </is>
      </c>
      <c r="B1295" s="4" t="inlineStr">
        <is>
          <t>Dispensador de papel, institucional, de papel higiénico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1105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>
        <f>IF(COUNT(D1295:V1295)=0,"",MIN(D1295:V1295))</f>
        <v/>
      </c>
      <c r="X1295" s="8">
        <f>IF(COUNT(D1295:V1295)=0,"",MEDIAN(D1295:V1295))</f>
        <v/>
      </c>
      <c r="Y1295" s="8">
        <f>IF(COUNT(D1295:V1295)=0,"",MAX(D1295:V1295))</f>
        <v/>
      </c>
      <c r="Z1295" s="9">
        <f>IF(OR(W1295="",W1295=0),"",(Y1295-W1295)/W1295)</f>
        <v/>
      </c>
      <c r="AA1295" s="7">
        <f>IF(COUNT(D1295:V1295)=0,"",INDEX($D$1:$V$1,MATCH(MIN(D1295:V1295),D1295:V1295,0)))</f>
        <v/>
      </c>
      <c r="AB1295" s="8" t="n">
        <v>2870</v>
      </c>
      <c r="AC1295" s="10" t="n">
        <v>1</v>
      </c>
    </row>
    <row r="1296">
      <c r="A1296" s="7" t="inlineStr">
        <is>
          <t>MAT-27-034</t>
        </is>
      </c>
      <c r="B1296" s="4" t="inlineStr">
        <is>
          <t>Dispensador de papel, institucional, de toalla</t>
        </is>
      </c>
      <c r="C1296" s="7" t="inlineStr">
        <is>
          <t>unidad</t>
        </is>
      </c>
      <c r="D1296" s="8" t="n"/>
      <c r="E1296" s="8" t="n"/>
      <c r="F1296" s="8" t="n"/>
      <c r="G1296" s="8" t="n"/>
      <c r="H1296" s="8" t="n"/>
      <c r="I1296" s="8" t="n"/>
      <c r="J1296" s="8" t="n"/>
      <c r="K1296" s="8" t="n">
        <v>2515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>
        <f>IF(COUNT(D1296:V1296)=0,"",MIN(D1296:V1296))</f>
        <v/>
      </c>
      <c r="X1296" s="8">
        <f>IF(COUNT(D1296:V1296)=0,"",MEDIAN(D1296:V1296))</f>
        <v/>
      </c>
      <c r="Y1296" s="8">
        <f>IF(COUNT(D1296:V1296)=0,"",MAX(D1296:V1296))</f>
        <v/>
      </c>
      <c r="Z1296" s="9">
        <f>IF(OR(W1296="",W1296=0),"",(Y1296-W1296)/W1296)</f>
        <v/>
      </c>
      <c r="AA1296" s="7">
        <f>IF(COUNT(D1296:V1296)=0,"",INDEX($D$1:$V$1,MATCH(MIN(D1296:V1296),D1296:V1296,0)))</f>
        <v/>
      </c>
      <c r="AB1296" s="8" t="n">
        <v>3245</v>
      </c>
      <c r="AC1296" s="10" t="n">
        <v>1</v>
      </c>
    </row>
    <row r="1297">
      <c r="A1297" s="7" t="inlineStr">
        <is>
          <t>MAT-27-035</t>
        </is>
      </c>
      <c r="B1297" s="4" t="inlineStr">
        <is>
          <t>Cambiador de bebés de pared</t>
        </is>
      </c>
      <c r="C1297" s="7" t="inlineStr">
        <is>
          <t>unidad</t>
        </is>
      </c>
      <c r="D1297" s="8" t="n"/>
      <c r="E1297" s="8" t="n"/>
      <c r="F1297" s="8" t="n"/>
      <c r="G1297" s="8" t="n"/>
      <c r="H1297" s="8" t="n"/>
      <c r="I1297" s="8" t="n"/>
      <c r="J1297" s="8" t="n"/>
      <c r="K1297" s="8" t="n">
        <v>8705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>
        <f>IF(COUNT(D1297:V1297)=0,"",MIN(D1297:V1297))</f>
        <v/>
      </c>
      <c r="X1297" s="8">
        <f>IF(COUNT(D1297:V1297)=0,"",MEDIAN(D1297:V1297))</f>
        <v/>
      </c>
      <c r="Y1297" s="8">
        <f>IF(COUNT(D1297:V1297)=0,"",MAX(D1297:V1297))</f>
        <v/>
      </c>
      <c r="Z1297" s="9">
        <f>IF(OR(W1297="",W1297=0),"",(Y1297-W1297)/W1297)</f>
        <v/>
      </c>
      <c r="AA1297" s="7">
        <f>IF(COUNT(D1297:V1297)=0,"",INDEX($D$1:$V$1,MATCH(MIN(D1297:V1297),D1297:V1297,0)))</f>
        <v/>
      </c>
      <c r="AB1297" s="8" t="n">
        <v>8705</v>
      </c>
      <c r="AC1297" s="10" t="n">
        <v>1</v>
      </c>
    </row>
    <row r="1298">
      <c r="A1298" s="7" t="inlineStr">
        <is>
          <t>MAT-28-001</t>
        </is>
      </c>
      <c r="B1298" s="4" t="inlineStr">
        <is>
          <t>Kit de alarma</t>
        </is>
      </c>
      <c r="C1298" s="7" t="inlineStr">
        <is>
          <t>juego</t>
        </is>
      </c>
      <c r="D1298" s="8" t="n">
        <v>7107.67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>
        <f>IF(COUNT(D1298:V1298)=0,"",MIN(D1298:V1298))</f>
        <v/>
      </c>
      <c r="X1298" s="8">
        <f>IF(COUNT(D1298:V1298)=0,"",MEDIAN(D1298:V1298))</f>
        <v/>
      </c>
      <c r="Y1298" s="8">
        <f>IF(COUNT(D1298:V1298)=0,"",MAX(D1298:V1298))</f>
        <v/>
      </c>
      <c r="Z1298" s="9">
        <f>IF(OR(W1298="",W1298=0),"",(Y1298-W1298)/W1298)</f>
        <v/>
      </c>
      <c r="AA1298" s="7">
        <f>IF(COUNT(D1298:V1298)=0,"",INDEX($D$1:$V$1,MATCH(MIN(D1298:V1298),D1298:V1298,0)))</f>
        <v/>
      </c>
      <c r="AB1298" s="8" t="n">
        <v>7107.67</v>
      </c>
      <c r="AC1298" s="10" t="n">
        <v>1</v>
      </c>
    </row>
    <row r="1299">
      <c r="A1299" s="7" t="inlineStr">
        <is>
          <t>MAT-28-002</t>
        </is>
      </c>
      <c r="B1299" s="4" t="inlineStr">
        <is>
          <t>Panel de alarma</t>
        </is>
      </c>
      <c r="C1299" s="7" t="inlineStr">
        <is>
          <t>unidad</t>
        </is>
      </c>
      <c r="D1299" s="8" t="n">
        <v>3536.16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>
        <f>IF(COUNT(D1299:V1299)=0,"",MIN(D1299:V1299))</f>
        <v/>
      </c>
      <c r="X1299" s="8">
        <f>IF(COUNT(D1299:V1299)=0,"",MEDIAN(D1299:V1299))</f>
        <v/>
      </c>
      <c r="Y1299" s="8">
        <f>IF(COUNT(D1299:V1299)=0,"",MAX(D1299:V1299))</f>
        <v/>
      </c>
      <c r="Z1299" s="9">
        <f>IF(OR(W1299="",W1299=0),"",(Y1299-W1299)/W1299)</f>
        <v/>
      </c>
      <c r="AA1299" s="7">
        <f>IF(COUNT(D1299:V1299)=0,"",INDEX($D$1:$V$1,MATCH(MIN(D1299:V1299),D1299:V1299,0)))</f>
        <v/>
      </c>
      <c r="AB1299" s="8" t="n">
        <v>15771.4</v>
      </c>
      <c r="AC1299" s="10" t="n">
        <v>1</v>
      </c>
    </row>
    <row r="1300">
      <c r="A1300" s="7" t="inlineStr">
        <is>
          <t>MAT-28-003</t>
        </is>
      </c>
      <c r="B1300" s="4" t="inlineStr">
        <is>
          <t>Panel de alarma 28 zonas</t>
        </is>
      </c>
      <c r="C1300" s="7" t="inlineStr">
        <is>
          <t>unidad</t>
        </is>
      </c>
      <c r="D1300" s="8" t="n">
        <v>7194.58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>
        <f>IF(COUNT(D1300:V1300)=0,"",MIN(D1300:V1300))</f>
        <v/>
      </c>
      <c r="X1300" s="8">
        <f>IF(COUNT(D1300:V1300)=0,"",MEDIAN(D1300:V1300))</f>
        <v/>
      </c>
      <c r="Y1300" s="8">
        <f>IF(COUNT(D1300:V1300)=0,"",MAX(D1300:V1300))</f>
        <v/>
      </c>
      <c r="Z1300" s="9">
        <f>IF(OR(W1300="",W1300=0),"",(Y1300-W1300)/W1300)</f>
        <v/>
      </c>
      <c r="AA1300" s="7">
        <f>IF(COUNT(D1300:V1300)=0,"",INDEX($D$1:$V$1,MATCH(MIN(D1300:V1300),D1300:V1300,0)))</f>
        <v/>
      </c>
      <c r="AB1300" s="8" t="n">
        <v>7194.58</v>
      </c>
      <c r="AC1300" s="10" t="n">
        <v>1</v>
      </c>
    </row>
    <row r="1301">
      <c r="A1301" s="7" t="inlineStr">
        <is>
          <t>MAT-28-004</t>
        </is>
      </c>
      <c r="B1301" s="4" t="inlineStr">
        <is>
          <t>Panel de alarma 320 zonas</t>
        </is>
      </c>
      <c r="C1301" s="7" t="inlineStr">
        <is>
          <t>unidad</t>
        </is>
      </c>
      <c r="D1301" s="8" t="n">
        <v>13889.31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>
        <f>IF(COUNT(D1301:V1301)=0,"",MIN(D1301:V1301))</f>
        <v/>
      </c>
      <c r="X1301" s="8">
        <f>IF(COUNT(D1301:V1301)=0,"",MEDIAN(D1301:V1301))</f>
        <v/>
      </c>
      <c r="Y1301" s="8">
        <f>IF(COUNT(D1301:V1301)=0,"",MAX(D1301:V1301))</f>
        <v/>
      </c>
      <c r="Z1301" s="9">
        <f>IF(OR(W1301="",W1301=0),"",(Y1301-W1301)/W1301)</f>
        <v/>
      </c>
      <c r="AA1301" s="7">
        <f>IF(COUNT(D1301:V1301)=0,"",INDEX($D$1:$V$1,MATCH(MIN(D1301:V1301),D1301:V1301,0)))</f>
        <v/>
      </c>
      <c r="AB1301" s="8" t="n">
        <v>16552.7</v>
      </c>
      <c r="AC1301" s="10" t="n">
        <v>1</v>
      </c>
    </row>
    <row r="1302">
      <c r="A1302" s="7" t="inlineStr">
        <is>
          <t>MAT-28-005</t>
        </is>
      </c>
      <c r="B1302" s="4" t="inlineStr">
        <is>
          <t>Panel de alarma 4 zonas</t>
        </is>
      </c>
      <c r="C1302" s="7" t="inlineStr">
        <is>
          <t>unidad</t>
        </is>
      </c>
      <c r="D1302" s="8" t="n">
        <v>18682.71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>
        <f>IF(COUNT(D1302:V1302)=0,"",MIN(D1302:V1302))</f>
        <v/>
      </c>
      <c r="X1302" s="8">
        <f>IF(COUNT(D1302:V1302)=0,"",MEDIAN(D1302:V1302))</f>
        <v/>
      </c>
      <c r="Y1302" s="8">
        <f>IF(COUNT(D1302:V1302)=0,"",MAX(D1302:V1302))</f>
        <v/>
      </c>
      <c r="Z1302" s="9">
        <f>IF(OR(W1302="",W1302=0),"",(Y1302-W1302)/W1302)</f>
        <v/>
      </c>
      <c r="AA1302" s="7">
        <f>IF(COUNT(D1302:V1302)=0,"",INDEX($D$1:$V$1,MATCH(MIN(D1302:V1302),D1302:V1302,0)))</f>
        <v/>
      </c>
      <c r="AB1302" s="8" t="n">
        <v>18682.71</v>
      </c>
      <c r="AC1302" s="10" t="n">
        <v>1</v>
      </c>
    </row>
    <row r="1303">
      <c r="A1303" s="7" t="inlineStr">
        <is>
          <t>MAT-28-006</t>
        </is>
      </c>
      <c r="B1303" s="4" t="inlineStr">
        <is>
          <t>Panel de alarma 48 zonas</t>
        </is>
      </c>
      <c r="C1303" s="7" t="inlineStr">
        <is>
          <t>unidad</t>
        </is>
      </c>
      <c r="D1303" s="8" t="n">
        <v>8277.66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>
        <f>IF(COUNT(D1303:V1303)=0,"",MIN(D1303:V1303))</f>
        <v/>
      </c>
      <c r="X1303" s="8">
        <f>IF(COUNT(D1303:V1303)=0,"",MEDIAN(D1303:V1303))</f>
        <v/>
      </c>
      <c r="Y1303" s="8">
        <f>IF(COUNT(D1303:V1303)=0,"",MAX(D1303:V1303))</f>
        <v/>
      </c>
      <c r="Z1303" s="9">
        <f>IF(OR(W1303="",W1303=0),"",(Y1303-W1303)/W1303)</f>
        <v/>
      </c>
      <c r="AA1303" s="7">
        <f>IF(COUNT(D1303:V1303)=0,"",INDEX($D$1:$V$1,MATCH(MIN(D1303:V1303),D1303:V1303,0)))</f>
        <v/>
      </c>
      <c r="AB1303" s="8" t="n">
        <v>8277.66</v>
      </c>
      <c r="AC1303" s="10" t="n">
        <v>1</v>
      </c>
    </row>
    <row r="1304">
      <c r="A1304" s="7" t="inlineStr">
        <is>
          <t>MAT-28-007</t>
        </is>
      </c>
      <c r="B1304" s="4" t="inlineStr">
        <is>
          <t>Panel de alarma 8 zonas</t>
        </is>
      </c>
      <c r="C1304" s="7" t="inlineStr">
        <is>
          <t>unidad</t>
        </is>
      </c>
      <c r="D1304" s="8" t="n">
        <v>11668.57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>
        <f>IF(COUNT(D1304:V1304)=0,"",MIN(D1304:V1304))</f>
        <v/>
      </c>
      <c r="X1304" s="8">
        <f>IF(COUNT(D1304:V1304)=0,"",MEDIAN(D1304:V1304))</f>
        <v/>
      </c>
      <c r="Y1304" s="8">
        <f>IF(COUNT(D1304:V1304)=0,"",MAX(D1304:V1304))</f>
        <v/>
      </c>
      <c r="Z1304" s="9">
        <f>IF(OR(W1304="",W1304=0),"",(Y1304-W1304)/W1304)</f>
        <v/>
      </c>
      <c r="AA1304" s="7">
        <f>IF(COUNT(D1304:V1304)=0,"",INDEX($D$1:$V$1,MATCH(MIN(D1304:V1304),D1304:V1304,0)))</f>
        <v/>
      </c>
      <c r="AB1304" s="8" t="n">
        <v>11668.57</v>
      </c>
      <c r="AC1304" s="10" t="n">
        <v>1</v>
      </c>
    </row>
    <row r="1305">
      <c r="A1305" s="7" t="inlineStr">
        <is>
          <t>MAT-28-008</t>
        </is>
      </c>
      <c r="B1305" s="4" t="inlineStr">
        <is>
          <t>Teclado para alarma</t>
        </is>
      </c>
      <c r="C1305" s="7" t="inlineStr">
        <is>
          <t>unidad</t>
        </is>
      </c>
      <c r="D1305" s="8" t="n">
        <v>3449.44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>
        <f>IF(COUNT(D1305:V1305)=0,"",MIN(D1305:V1305))</f>
        <v/>
      </c>
      <c r="X1305" s="8">
        <f>IF(COUNT(D1305:V1305)=0,"",MEDIAN(D1305:V1305))</f>
        <v/>
      </c>
      <c r="Y1305" s="8">
        <f>IF(COUNT(D1305:V1305)=0,"",MAX(D1305:V1305))</f>
        <v/>
      </c>
      <c r="Z1305" s="9">
        <f>IF(OR(W1305="",W1305=0),"",(Y1305-W1305)/W1305)</f>
        <v/>
      </c>
      <c r="AA1305" s="7">
        <f>IF(COUNT(D1305:V1305)=0,"",INDEX($D$1:$V$1,MATCH(MIN(D1305:V1305),D1305:V1305,0)))</f>
        <v/>
      </c>
      <c r="AB1305" s="8" t="n">
        <v>6879.53</v>
      </c>
      <c r="AC1305" s="10" t="n">
        <v>1</v>
      </c>
    </row>
    <row r="1306">
      <c r="A1306" s="7" t="inlineStr">
        <is>
          <t>MAT-28-009</t>
        </is>
      </c>
      <c r="B1306" s="4" t="inlineStr">
        <is>
          <t>Detector de movimiento</t>
        </is>
      </c>
      <c r="C1306" s="7" t="inlineStr">
        <is>
          <t>unidad</t>
        </is>
      </c>
      <c r="D1306" s="8" t="n">
        <v>266.05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>
        <f>IF(COUNT(D1306:V1306)=0,"",MIN(D1306:V1306))</f>
        <v/>
      </c>
      <c r="X1306" s="8">
        <f>IF(COUNT(D1306:V1306)=0,"",MEDIAN(D1306:V1306))</f>
        <v/>
      </c>
      <c r="Y1306" s="8">
        <f>IF(COUNT(D1306:V1306)=0,"",MAX(D1306:V1306))</f>
        <v/>
      </c>
      <c r="Z1306" s="9">
        <f>IF(OR(W1306="",W1306=0),"",(Y1306-W1306)/W1306)</f>
        <v/>
      </c>
      <c r="AA1306" s="7">
        <f>IF(COUNT(D1306:V1306)=0,"",INDEX($D$1:$V$1,MATCH(MIN(D1306:V1306),D1306:V1306,0)))</f>
        <v/>
      </c>
      <c r="AB1306" s="8" t="n">
        <v>1486.93</v>
      </c>
      <c r="AC1306" s="10" t="n">
        <v>1</v>
      </c>
    </row>
    <row r="1307">
      <c r="A1307" s="7" t="inlineStr">
        <is>
          <t>MAT-28-010</t>
        </is>
      </c>
      <c r="B1307" s="4" t="inlineStr">
        <is>
          <t>Detector de movimiento alcance 10 m</t>
        </is>
      </c>
      <c r="C1307" s="7" t="inlineStr">
        <is>
          <t>unidad</t>
        </is>
      </c>
      <c r="D1307" s="8" t="n">
        <v>7135.36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>
        <f>IF(COUNT(D1307:V1307)=0,"",MIN(D1307:V1307))</f>
        <v/>
      </c>
      <c r="X1307" s="8">
        <f>IF(COUNT(D1307:V1307)=0,"",MEDIAN(D1307:V1307))</f>
        <v/>
      </c>
      <c r="Y1307" s="8">
        <f>IF(COUNT(D1307:V1307)=0,"",MAX(D1307:V1307))</f>
        <v/>
      </c>
      <c r="Z1307" s="9">
        <f>IF(OR(W1307="",W1307=0),"",(Y1307-W1307)/W1307)</f>
        <v/>
      </c>
      <c r="AA1307" s="7">
        <f>IF(COUNT(D1307:V1307)=0,"",INDEX($D$1:$V$1,MATCH(MIN(D1307:V1307),D1307:V1307,0)))</f>
        <v/>
      </c>
      <c r="AB1307" s="8" t="n">
        <v>7135.36</v>
      </c>
      <c r="AC1307" s="10" t="n">
        <v>1</v>
      </c>
    </row>
    <row r="1308">
      <c r="A1308" s="7" t="inlineStr">
        <is>
          <t>MAT-28-011</t>
        </is>
      </c>
      <c r="B1308" s="4" t="inlineStr">
        <is>
          <t>Detector de movimiento alcance 11 m</t>
        </is>
      </c>
      <c r="C1308" s="7" t="inlineStr">
        <is>
          <t>unidad</t>
        </is>
      </c>
      <c r="D1308" s="8" t="n">
        <v>5567.22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>
        <f>IF(COUNT(D1308:V1308)=0,"",MIN(D1308:V1308))</f>
        <v/>
      </c>
      <c r="X1308" s="8">
        <f>IF(COUNT(D1308:V1308)=0,"",MEDIAN(D1308:V1308))</f>
        <v/>
      </c>
      <c r="Y1308" s="8">
        <f>IF(COUNT(D1308:V1308)=0,"",MAX(D1308:V1308))</f>
        <v/>
      </c>
      <c r="Z1308" s="9">
        <f>IF(OR(W1308="",W1308=0),"",(Y1308-W1308)/W1308)</f>
        <v/>
      </c>
      <c r="AA1308" s="7">
        <f>IF(COUNT(D1308:V1308)=0,"",INDEX($D$1:$V$1,MATCH(MIN(D1308:V1308),D1308:V1308,0)))</f>
        <v/>
      </c>
      <c r="AB1308" s="8" t="n">
        <v>5567.22</v>
      </c>
      <c r="AC1308" s="10" t="n">
        <v>1</v>
      </c>
    </row>
    <row r="1309">
      <c r="A1309" s="7" t="inlineStr">
        <is>
          <t>MAT-28-012</t>
        </is>
      </c>
      <c r="B1309" s="4" t="inlineStr">
        <is>
          <t>Detector de movimiento alcance 12 m</t>
        </is>
      </c>
      <c r="C1309" s="7" t="inlineStr">
        <is>
          <t>unidad</t>
        </is>
      </c>
      <c r="D1309" s="8" t="n">
        <v>820.3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>
        <f>IF(COUNT(D1309:V1309)=0,"",MIN(D1309:V1309))</f>
        <v/>
      </c>
      <c r="X1309" s="8">
        <f>IF(COUNT(D1309:V1309)=0,"",MEDIAN(D1309:V1309))</f>
        <v/>
      </c>
      <c r="Y1309" s="8">
        <f>IF(COUNT(D1309:V1309)=0,"",MAX(D1309:V1309))</f>
        <v/>
      </c>
      <c r="Z1309" s="9">
        <f>IF(OR(W1309="",W1309=0),"",(Y1309-W1309)/W1309)</f>
        <v/>
      </c>
      <c r="AA1309" s="7">
        <f>IF(COUNT(D1309:V1309)=0,"",INDEX($D$1:$V$1,MATCH(MIN(D1309:V1309),D1309:V1309,0)))</f>
        <v/>
      </c>
      <c r="AB1309" s="8" t="n">
        <v>2831.47</v>
      </c>
      <c r="AC1309" s="10" t="n">
        <v>1</v>
      </c>
    </row>
    <row r="1310">
      <c r="A1310" s="7" t="inlineStr">
        <is>
          <t>MAT-28-013</t>
        </is>
      </c>
      <c r="B1310" s="4" t="inlineStr">
        <is>
          <t>Detector de movimiento alcance 15 m</t>
        </is>
      </c>
      <c r="C1310" s="7" t="inlineStr">
        <is>
          <t>unidad</t>
        </is>
      </c>
      <c r="D1310" s="8" t="n">
        <v>2675.69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>
        <f>IF(COUNT(D1310:V1310)=0,"",MIN(D1310:V1310))</f>
        <v/>
      </c>
      <c r="X1310" s="8">
        <f>IF(COUNT(D1310:V1310)=0,"",MEDIAN(D1310:V1310))</f>
        <v/>
      </c>
      <c r="Y1310" s="8">
        <f>IF(COUNT(D1310:V1310)=0,"",MAX(D1310:V1310))</f>
        <v/>
      </c>
      <c r="Z1310" s="9">
        <f>IF(OR(W1310="",W1310=0),"",(Y1310-W1310)/W1310)</f>
        <v/>
      </c>
      <c r="AA1310" s="7">
        <f>IF(COUNT(D1310:V1310)=0,"",INDEX($D$1:$V$1,MATCH(MIN(D1310:V1310),D1310:V1310,0)))</f>
        <v/>
      </c>
      <c r="AB1310" s="8" t="n">
        <v>2675.69</v>
      </c>
      <c r="AC1310" s="10" t="n">
        <v>1</v>
      </c>
    </row>
    <row r="1311">
      <c r="A1311" s="7" t="inlineStr">
        <is>
          <t>MAT-28-014</t>
        </is>
      </c>
      <c r="B1311" s="4" t="inlineStr">
        <is>
          <t>Detector de movimiento alcance 16 m</t>
        </is>
      </c>
      <c r="C1311" s="7" t="inlineStr">
        <is>
          <t>unidad</t>
        </is>
      </c>
      <c r="D1311" s="8" t="n">
        <v>2944.96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>
        <f>IF(COUNT(D1311:V1311)=0,"",MIN(D1311:V1311))</f>
        <v/>
      </c>
      <c r="X1311" s="8">
        <f>IF(COUNT(D1311:V1311)=0,"",MEDIAN(D1311:V1311))</f>
        <v/>
      </c>
      <c r="Y1311" s="8">
        <f>IF(COUNT(D1311:V1311)=0,"",MAX(D1311:V1311))</f>
        <v/>
      </c>
      <c r="Z1311" s="9">
        <f>IF(OR(W1311="",W1311=0),"",(Y1311-W1311)/W1311)</f>
        <v/>
      </c>
      <c r="AA1311" s="7">
        <f>IF(COUNT(D1311:V1311)=0,"",INDEX($D$1:$V$1,MATCH(MIN(D1311:V1311),D1311:V1311,0)))</f>
        <v/>
      </c>
      <c r="AB1311" s="8" t="n">
        <v>2944.96</v>
      </c>
      <c r="AC1311" s="10" t="n">
        <v>1</v>
      </c>
    </row>
    <row r="1312">
      <c r="A1312" s="7" t="inlineStr">
        <is>
          <t>MAT-28-015</t>
        </is>
      </c>
      <c r="B1312" s="4" t="inlineStr">
        <is>
          <t>Contacto magnético para puerta o ventana</t>
        </is>
      </c>
      <c r="C1312" s="7" t="inlineStr">
        <is>
          <t>unidad</t>
        </is>
      </c>
      <c r="D1312" s="8" t="n">
        <v>506.24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>
        <f>IF(COUNT(D1312:V1312)=0,"",MIN(D1312:V1312))</f>
        <v/>
      </c>
      <c r="X1312" s="8">
        <f>IF(COUNT(D1312:V1312)=0,"",MEDIAN(D1312:V1312))</f>
        <v/>
      </c>
      <c r="Y1312" s="8">
        <f>IF(COUNT(D1312:V1312)=0,"",MAX(D1312:V1312))</f>
        <v/>
      </c>
      <c r="Z1312" s="9">
        <f>IF(OR(W1312="",W1312=0),"",(Y1312-W1312)/W1312)</f>
        <v/>
      </c>
      <c r="AA1312" s="7">
        <f>IF(COUNT(D1312:V1312)=0,"",INDEX($D$1:$V$1,MATCH(MIN(D1312:V1312),D1312:V1312,0)))</f>
        <v/>
      </c>
      <c r="AB1312" s="8" t="n">
        <v>1673.26</v>
      </c>
      <c r="AC1312" s="10" t="n">
        <v>1</v>
      </c>
    </row>
    <row r="1313">
      <c r="A1313" s="7" t="inlineStr">
        <is>
          <t>MAT-28-016</t>
        </is>
      </c>
      <c r="B1313" s="4" t="inlineStr">
        <is>
          <t>Sirena de alarma</t>
        </is>
      </c>
      <c r="C1313" s="7" t="inlineStr">
        <is>
          <t>unidad</t>
        </is>
      </c>
      <c r="D1313" s="8" t="n">
        <v>713.99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>
        <f>IF(COUNT(D1313:V1313)=0,"",MIN(D1313:V1313))</f>
        <v/>
      </c>
      <c r="X1313" s="8">
        <f>IF(COUNT(D1313:V1313)=0,"",MEDIAN(D1313:V1313))</f>
        <v/>
      </c>
      <c r="Y1313" s="8">
        <f>IF(COUNT(D1313:V1313)=0,"",MAX(D1313:V1313))</f>
        <v/>
      </c>
      <c r="Z1313" s="9">
        <f>IF(OR(W1313="",W1313=0),"",(Y1313-W1313)/W1313)</f>
        <v/>
      </c>
      <c r="AA1313" s="7">
        <f>IF(COUNT(D1313:V1313)=0,"",INDEX($D$1:$V$1,MATCH(MIN(D1313:V1313),D1313:V1313,0)))</f>
        <v/>
      </c>
      <c r="AB1313" s="8" t="n">
        <v>12406.5</v>
      </c>
      <c r="AC1313" s="10" t="n">
        <v>1</v>
      </c>
    </row>
    <row r="1314">
      <c r="A1314" s="7" t="inlineStr">
        <is>
          <t>MAT-28-017</t>
        </is>
      </c>
      <c r="B1314" s="4" t="inlineStr">
        <is>
          <t>Sirena de alarma de exterior</t>
        </is>
      </c>
      <c r="C1314" s="7" t="inlineStr">
        <is>
          <t>unidad</t>
        </is>
      </c>
      <c r="D1314" s="8" t="n">
        <v>5053.69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>
        <f>IF(COUNT(D1314:V1314)=0,"",MIN(D1314:V1314))</f>
        <v/>
      </c>
      <c r="X1314" s="8">
        <f>IF(COUNT(D1314:V1314)=0,"",MEDIAN(D1314:V1314))</f>
        <v/>
      </c>
      <c r="Y1314" s="8">
        <f>IF(COUNT(D1314:V1314)=0,"",MAX(D1314:V1314))</f>
        <v/>
      </c>
      <c r="Z1314" s="9">
        <f>IF(OR(W1314="",W1314=0),"",(Y1314-W1314)/W1314)</f>
        <v/>
      </c>
      <c r="AA1314" s="7">
        <f>IF(COUNT(D1314:V1314)=0,"",INDEX($D$1:$V$1,MATCH(MIN(D1314:V1314),D1314:V1314,0)))</f>
        <v/>
      </c>
      <c r="AB1314" s="8" t="n">
        <v>5053.69</v>
      </c>
      <c r="AC1314" s="10" t="n">
        <v>1</v>
      </c>
    </row>
    <row r="1315">
      <c r="A1315" s="7" t="inlineStr">
        <is>
          <t>MAT-28-018</t>
        </is>
      </c>
      <c r="B1315" s="4" t="inlineStr">
        <is>
          <t>Sirena de alarma de interior</t>
        </is>
      </c>
      <c r="C1315" s="7" t="inlineStr">
        <is>
          <t>unidad</t>
        </is>
      </c>
      <c r="D1315" s="8" t="n">
        <v>3381.4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>
        <f>IF(COUNT(D1315:V1315)=0,"",MIN(D1315:V1315))</f>
        <v/>
      </c>
      <c r="X1315" s="8">
        <f>IF(COUNT(D1315:V1315)=0,"",MEDIAN(D1315:V1315))</f>
        <v/>
      </c>
      <c r="Y1315" s="8">
        <f>IF(COUNT(D1315:V1315)=0,"",MAX(D1315:V1315))</f>
        <v/>
      </c>
      <c r="Z1315" s="9">
        <f>IF(OR(W1315="",W1315=0),"",(Y1315-W1315)/W1315)</f>
        <v/>
      </c>
      <c r="AA1315" s="7">
        <f>IF(COUNT(D1315:V1315)=0,"",INDEX($D$1:$V$1,MATCH(MIN(D1315:V1315),D1315:V1315,0)))</f>
        <v/>
      </c>
      <c r="AB1315" s="8" t="n">
        <v>3381.4</v>
      </c>
      <c r="AC1315" s="10" t="n">
        <v>1</v>
      </c>
    </row>
    <row r="1316">
      <c r="A1316" s="7" t="inlineStr">
        <is>
          <t>MAT-28-019</t>
        </is>
      </c>
      <c r="B1316" s="4" t="inlineStr">
        <is>
          <t>Control de acceso</t>
        </is>
      </c>
      <c r="C1316" s="7" t="inlineStr">
        <is>
          <t>unidad</t>
        </is>
      </c>
      <c r="D1316" s="8" t="n">
        <v>5063.11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>
        <f>IF(COUNT(D1316:V1316)=0,"",MIN(D1316:V1316))</f>
        <v/>
      </c>
      <c r="X1316" s="8">
        <f>IF(COUNT(D1316:V1316)=0,"",MEDIAN(D1316:V1316))</f>
        <v/>
      </c>
      <c r="Y1316" s="8">
        <f>IF(COUNT(D1316:V1316)=0,"",MAX(D1316:V1316))</f>
        <v/>
      </c>
      <c r="Z1316" s="9">
        <f>IF(OR(W1316="",W1316=0),"",(Y1316-W1316)/W1316)</f>
        <v/>
      </c>
      <c r="AA1316" s="7">
        <f>IF(COUNT(D1316:V1316)=0,"",INDEX($D$1:$V$1,MATCH(MIN(D1316:V1316),D1316:V1316,0)))</f>
        <v/>
      </c>
      <c r="AB1316" s="8" t="n">
        <v>14529.44</v>
      </c>
      <c r="AC1316" s="10" t="n">
        <v>1</v>
      </c>
    </row>
    <row r="1317">
      <c r="A1317" s="7" t="inlineStr">
        <is>
          <t>MAT-28-020</t>
        </is>
      </c>
      <c r="B1317" s="4" t="inlineStr">
        <is>
          <t>Control de acceso huella</t>
        </is>
      </c>
      <c r="C1317" s="7" t="inlineStr">
        <is>
          <t>unidad</t>
        </is>
      </c>
      <c r="D1317" s="8" t="n">
        <v>10930.42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>
        <f>IF(COUNT(D1317:V1317)=0,"",MIN(D1317:V1317))</f>
        <v/>
      </c>
      <c r="X1317" s="8">
        <f>IF(COUNT(D1317:V1317)=0,"",MEDIAN(D1317:V1317))</f>
        <v/>
      </c>
      <c r="Y1317" s="8">
        <f>IF(COUNT(D1317:V1317)=0,"",MAX(D1317:V1317))</f>
        <v/>
      </c>
      <c r="Z1317" s="9">
        <f>IF(OR(W1317="",W1317=0),"",(Y1317-W1317)/W1317)</f>
        <v/>
      </c>
      <c r="AA1317" s="7">
        <f>IF(COUNT(D1317:V1317)=0,"",INDEX($D$1:$V$1,MATCH(MIN(D1317:V1317),D1317:V1317,0)))</f>
        <v/>
      </c>
      <c r="AB1317" s="8" t="n">
        <v>16289.94</v>
      </c>
      <c r="AC1317" s="10" t="n">
        <v>1</v>
      </c>
    </row>
    <row r="1318">
      <c r="A1318" s="7" t="inlineStr">
        <is>
          <t>MAT-28-021</t>
        </is>
      </c>
      <c r="B1318" s="4" t="inlineStr">
        <is>
          <t>Control de acceso proximidad</t>
        </is>
      </c>
      <c r="C1318" s="7" t="inlineStr">
        <is>
          <t>unidad</t>
        </is>
      </c>
      <c r="D1318" s="8" t="n">
        <v>8365.110000000001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>
        <f>IF(COUNT(D1318:V1318)=0,"",MIN(D1318:V1318))</f>
        <v/>
      </c>
      <c r="X1318" s="8">
        <f>IF(COUNT(D1318:V1318)=0,"",MEDIAN(D1318:V1318))</f>
        <v/>
      </c>
      <c r="Y1318" s="8">
        <f>IF(COUNT(D1318:V1318)=0,"",MAX(D1318:V1318))</f>
        <v/>
      </c>
      <c r="Z1318" s="9">
        <f>IF(OR(W1318="",W1318=0),"",(Y1318-W1318)/W1318)</f>
        <v/>
      </c>
      <c r="AA1318" s="7">
        <f>IF(COUNT(D1318:V1318)=0,"",INDEX($D$1:$V$1,MATCH(MIN(D1318:V1318),D1318:V1318,0)))</f>
        <v/>
      </c>
      <c r="AB1318" s="8" t="n">
        <v>9465.780000000001</v>
      </c>
      <c r="AC1318" s="10" t="n">
        <v>1</v>
      </c>
    </row>
    <row r="1319">
      <c r="A1319" s="7" t="inlineStr">
        <is>
          <t>MAT-28-022</t>
        </is>
      </c>
      <c r="B1319" s="4" t="inlineStr">
        <is>
          <t>Control de acceso teclado</t>
        </is>
      </c>
      <c r="C1319" s="7" t="inlineStr">
        <is>
          <t>unidad</t>
        </is>
      </c>
      <c r="D1319" s="8" t="n">
        <v>12767.79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>
        <f>IF(COUNT(D1319:V1319)=0,"",MIN(D1319:V1319))</f>
        <v/>
      </c>
      <c r="X1319" s="8">
        <f>IF(COUNT(D1319:V1319)=0,"",MEDIAN(D1319:V1319))</f>
        <v/>
      </c>
      <c r="Y1319" s="8">
        <f>IF(COUNT(D1319:V1319)=0,"",MAX(D1319:V1319))</f>
        <v/>
      </c>
      <c r="Z1319" s="9">
        <f>IF(OR(W1319="",W1319=0),"",(Y1319-W1319)/W1319)</f>
        <v/>
      </c>
      <c r="AA1319" s="7">
        <f>IF(COUNT(D1319:V1319)=0,"",INDEX($D$1:$V$1,MATCH(MIN(D1319:V1319),D1319:V1319,0)))</f>
        <v/>
      </c>
      <c r="AB1319" s="8" t="n">
        <v>12767.79</v>
      </c>
      <c r="AC1319" s="10" t="n">
        <v>1</v>
      </c>
    </row>
    <row r="1320">
      <c r="A1320" s="7" t="inlineStr">
        <is>
          <t>MAT-28-024</t>
        </is>
      </c>
      <c r="B1320" s="4" t="inlineStr">
        <is>
          <t>Accesorio de sistema de alarma</t>
        </is>
      </c>
      <c r="C1320" s="7" t="inlineStr">
        <is>
          <t>unidad</t>
        </is>
      </c>
      <c r="D1320" s="8" t="n">
        <v>146.83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>
        <f>IF(COUNT(D1320:V1320)=0,"",MIN(D1320:V1320))</f>
        <v/>
      </c>
      <c r="X1320" s="8">
        <f>IF(COUNT(D1320:V1320)=0,"",MEDIAN(D1320:V1320))</f>
        <v/>
      </c>
      <c r="Y1320" s="8">
        <f>IF(COUNT(D1320:V1320)=0,"",MAX(D1320:V1320))</f>
        <v/>
      </c>
      <c r="Z1320" s="9">
        <f>IF(OR(W1320="",W1320=0),"",(Y1320-W1320)/W1320)</f>
        <v/>
      </c>
      <c r="AA1320" s="7">
        <f>IF(COUNT(D1320:V1320)=0,"",INDEX($D$1:$V$1,MATCH(MIN(D1320:V1320),D1320:V1320,0)))</f>
        <v/>
      </c>
      <c r="AB1320" s="8" t="n">
        <v>1838.69</v>
      </c>
      <c r="AC1320" s="10" t="n">
        <v>1</v>
      </c>
    </row>
    <row r="1321">
      <c r="A1321" s="7" t="inlineStr">
        <is>
          <t>MAT-29-003</t>
        </is>
      </c>
      <c r="B1321" s="4" t="inlineStr">
        <is>
          <t>Detector para sistema de incendio de calor</t>
        </is>
      </c>
      <c r="C1321" s="7" t="inlineStr">
        <is>
          <t>unidad</t>
        </is>
      </c>
      <c r="D1321" s="8" t="n">
        <v>1508.54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>
        <f>IF(COUNT(D1321:V1321)=0,"",MIN(D1321:V1321))</f>
        <v/>
      </c>
      <c r="X1321" s="8">
        <f>IF(COUNT(D1321:V1321)=0,"",MEDIAN(D1321:V1321))</f>
        <v/>
      </c>
      <c r="Y1321" s="8">
        <f>IF(COUNT(D1321:V1321)=0,"",MAX(D1321:V1321))</f>
        <v/>
      </c>
      <c r="Z1321" s="9">
        <f>IF(OR(W1321="",W1321=0),"",(Y1321-W1321)/W1321)</f>
        <v/>
      </c>
      <c r="AA1321" s="7">
        <f>IF(COUNT(D1321:V1321)=0,"",INDEX($D$1:$V$1,MATCH(MIN(D1321:V1321),D1321:V1321,0)))</f>
        <v/>
      </c>
      <c r="AB1321" s="8" t="n">
        <v>1780.89</v>
      </c>
      <c r="AC1321" s="10" t="n">
        <v>1</v>
      </c>
    </row>
    <row r="1322">
      <c r="A1322" s="7" t="inlineStr">
        <is>
          <t>MAT-29-004</t>
        </is>
      </c>
      <c r="B1322" s="4" t="inlineStr">
        <is>
          <t>Detector para sistema de incendio de humo</t>
        </is>
      </c>
      <c r="C1322" s="7" t="inlineStr">
        <is>
          <t>unidad</t>
        </is>
      </c>
      <c r="D1322" s="8" t="n">
        <v>1934.03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>
        <f>IF(COUNT(D1322:V1322)=0,"",MIN(D1322:V1322))</f>
        <v/>
      </c>
      <c r="X1322" s="8">
        <f>IF(COUNT(D1322:V1322)=0,"",MEDIAN(D1322:V1322))</f>
        <v/>
      </c>
      <c r="Y1322" s="8">
        <f>IF(COUNT(D1322:V1322)=0,"",MAX(D1322:V1322))</f>
        <v/>
      </c>
      <c r="Z1322" s="9">
        <f>IF(OR(W1322="",W1322=0),"",(Y1322-W1322)/W1322)</f>
        <v/>
      </c>
      <c r="AA1322" s="7">
        <f>IF(COUNT(D1322:V1322)=0,"",INDEX($D$1:$V$1,MATCH(MIN(D1322:V1322),D1322:V1322,0)))</f>
        <v/>
      </c>
      <c r="AB1322" s="8" t="n">
        <v>2135.37</v>
      </c>
      <c r="AC1322" s="10" t="n">
        <v>1</v>
      </c>
    </row>
    <row r="1323">
      <c r="A1323" s="7" t="inlineStr">
        <is>
          <t>MAT-29-005</t>
        </is>
      </c>
      <c r="B1323" s="4" t="inlineStr">
        <is>
          <t>Detector para sistema de incendio de humo y calor</t>
        </is>
      </c>
      <c r="C1323" s="7" t="inlineStr">
        <is>
          <t>unidad</t>
        </is>
      </c>
      <c r="D1323" s="8" t="n">
        <v>1657.72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>
        <f>IF(COUNT(D1323:V1323)=0,"",MIN(D1323:V1323))</f>
        <v/>
      </c>
      <c r="X1323" s="8">
        <f>IF(COUNT(D1323:V1323)=0,"",MEDIAN(D1323:V1323))</f>
        <v/>
      </c>
      <c r="Y1323" s="8">
        <f>IF(COUNT(D1323:V1323)=0,"",MAX(D1323:V1323))</f>
        <v/>
      </c>
      <c r="Z1323" s="9">
        <f>IF(OR(W1323="",W1323=0),"",(Y1323-W1323)/W1323)</f>
        <v/>
      </c>
      <c r="AA1323" s="7">
        <f>IF(COUNT(D1323:V1323)=0,"",INDEX($D$1:$V$1,MATCH(MIN(D1323:V1323),D1323:V1323,0)))</f>
        <v/>
      </c>
      <c r="AB1323" s="8" t="n">
        <v>1657.72</v>
      </c>
      <c r="AC1323" s="10" t="n">
        <v>1</v>
      </c>
    </row>
    <row r="1324">
      <c r="A1324" s="7" t="inlineStr">
        <is>
          <t>MAT-29-006</t>
        </is>
      </c>
      <c r="B1324" s="4" t="inlineStr">
        <is>
          <t>Estación manual de incendio</t>
        </is>
      </c>
      <c r="C1324" s="7" t="inlineStr">
        <is>
          <t>unidad</t>
        </is>
      </c>
      <c r="D1324" s="8" t="n">
        <v>870.3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>
        <f>IF(COUNT(D1324:V1324)=0,"",MIN(D1324:V1324))</f>
        <v/>
      </c>
      <c r="X1324" s="8">
        <f>IF(COUNT(D1324:V1324)=0,"",MEDIAN(D1324:V1324))</f>
        <v/>
      </c>
      <c r="Y1324" s="8">
        <f>IF(COUNT(D1324:V1324)=0,"",MAX(D1324:V1324))</f>
        <v/>
      </c>
      <c r="Z1324" s="9">
        <f>IF(OR(W1324="",W1324=0),"",(Y1324-W1324)/W1324)</f>
        <v/>
      </c>
      <c r="AA1324" s="7">
        <f>IF(COUNT(D1324:V1324)=0,"",INDEX($D$1:$V$1,MATCH(MIN(D1324:V1324),D1324:V1324,0)))</f>
        <v/>
      </c>
      <c r="AB1324" s="8" t="n">
        <v>2358.36</v>
      </c>
      <c r="AC1324" s="10" t="n">
        <v>1</v>
      </c>
    </row>
    <row r="1325">
      <c r="A1325" s="7" t="inlineStr">
        <is>
          <t>MAT-29-007</t>
        </is>
      </c>
      <c r="B1325" s="4" t="inlineStr">
        <is>
          <t>Sirena o estrobo de incendio</t>
        </is>
      </c>
      <c r="C1325" s="7" t="inlineStr">
        <is>
          <t>unidad</t>
        </is>
      </c>
      <c r="D1325" s="8" t="n">
        <v>3502.55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>
        <f>IF(COUNT(D1325:V1325)=0,"",MIN(D1325:V1325))</f>
        <v/>
      </c>
      <c r="X1325" s="8">
        <f>IF(COUNT(D1325:V1325)=0,"",MEDIAN(D1325:V1325))</f>
        <v/>
      </c>
      <c r="Y1325" s="8">
        <f>IF(COUNT(D1325:V1325)=0,"",MAX(D1325:V1325))</f>
        <v/>
      </c>
      <c r="Z1325" s="9">
        <f>IF(OR(W1325="",W1325=0),"",(Y1325-W1325)/W1325)</f>
        <v/>
      </c>
      <c r="AA1325" s="7">
        <f>IF(COUNT(D1325:V1325)=0,"",INDEX($D$1:$V$1,MATCH(MIN(D1325:V1325),D1325:V1325,0)))</f>
        <v/>
      </c>
      <c r="AB1325" s="8" t="n">
        <v>3502.55</v>
      </c>
      <c r="AC1325" s="10" t="n">
        <v>1</v>
      </c>
    </row>
    <row r="1326">
      <c r="A1326" s="7" t="inlineStr">
        <is>
          <t>MAT-29-008</t>
        </is>
      </c>
      <c r="B1326" s="4" t="inlineStr">
        <is>
          <t>Accesorio de sistema de incendio</t>
        </is>
      </c>
      <c r="C1326" s="7" t="inlineStr">
        <is>
          <t>unidad</t>
        </is>
      </c>
      <c r="D1326" s="8" t="n">
        <v>232.07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>
        <f>IF(COUNT(D1326:V1326)=0,"",MIN(D1326:V1326))</f>
        <v/>
      </c>
      <c r="X1326" s="8">
        <f>IF(COUNT(D1326:V1326)=0,"",MEDIAN(D1326:V1326))</f>
        <v/>
      </c>
      <c r="Y1326" s="8">
        <f>IF(COUNT(D1326:V1326)=0,"",MAX(D1326:V1326))</f>
        <v/>
      </c>
      <c r="Z1326" s="9">
        <f>IF(OR(W1326="",W1326=0),"",(Y1326-W1326)/W1326)</f>
        <v/>
      </c>
      <c r="AA1326" s="7">
        <f>IF(COUNT(D1326:V1326)=0,"",INDEX($D$1:$V$1,MATCH(MIN(D1326:V1326),D1326:V1326,0)))</f>
        <v/>
      </c>
      <c r="AB1326" s="8" t="n">
        <v>270.76</v>
      </c>
      <c r="AC1326" s="10" t="n">
        <v>1</v>
      </c>
    </row>
    <row r="1327">
      <c r="A1327" s="7" t="inlineStr">
        <is>
          <t>MAT-30-003</t>
        </is>
      </c>
      <c r="B1327" s="4" t="inlineStr">
        <is>
          <t>Cable de red blindado</t>
        </is>
      </c>
      <c r="C1327" s="7" t="inlineStr">
        <is>
          <t>rollo</t>
        </is>
      </c>
      <c r="D1327" s="8" t="n">
        <v>1675.6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>
        <f>IF(COUNT(D1327:V1327)=0,"",MIN(D1327:V1327))</f>
        <v/>
      </c>
      <c r="X1327" s="8">
        <f>IF(COUNT(D1327:V1327)=0,"",MEDIAN(D1327:V1327))</f>
        <v/>
      </c>
      <c r="Y1327" s="8">
        <f>IF(COUNT(D1327:V1327)=0,"",MAX(D1327:V1327))</f>
        <v/>
      </c>
      <c r="Z1327" s="9">
        <f>IF(OR(W1327="",W1327=0),"",(Y1327-W1327)/W1327)</f>
        <v/>
      </c>
      <c r="AA1327" s="7">
        <f>IF(COUNT(D1327:V1327)=0,"",INDEX($D$1:$V$1,MATCH(MIN(D1327:V1327),D1327:V1327,0)))</f>
        <v/>
      </c>
      <c r="AB1327" s="8" t="n">
        <v>1675.6</v>
      </c>
      <c r="AC1327" s="10" t="n">
        <v>1</v>
      </c>
    </row>
    <row r="1328">
      <c r="A1328" s="7" t="inlineStr">
        <is>
          <t>MAT-30-004</t>
        </is>
      </c>
      <c r="B1328" s="4" t="inlineStr">
        <is>
          <t>Cable de red Cat 5</t>
        </is>
      </c>
      <c r="C1328" s="7" t="inlineStr">
        <is>
          <t>rollo</t>
        </is>
      </c>
      <c r="D1328" s="8" t="n">
        <v>72.59999999999999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>
        <f>IF(COUNT(D1328:V1328)=0,"",MIN(D1328:V1328))</f>
        <v/>
      </c>
      <c r="X1328" s="8">
        <f>IF(COUNT(D1328:V1328)=0,"",MEDIAN(D1328:V1328))</f>
        <v/>
      </c>
      <c r="Y1328" s="8">
        <f>IF(COUNT(D1328:V1328)=0,"",MAX(D1328:V1328))</f>
        <v/>
      </c>
      <c r="Z1328" s="9">
        <f>IF(OR(W1328="",W1328=0),"",(Y1328-W1328)/W1328)</f>
        <v/>
      </c>
      <c r="AA1328" s="7">
        <f>IF(COUNT(D1328:V1328)=0,"",INDEX($D$1:$V$1,MATCH(MIN(D1328:V1328),D1328:V1328,0)))</f>
        <v/>
      </c>
      <c r="AB1328" s="8" t="n">
        <v>106.6</v>
      </c>
      <c r="AC1328" s="10" t="n">
        <v>1</v>
      </c>
    </row>
    <row r="1329">
      <c r="A1329" s="7" t="inlineStr">
        <is>
          <t>MAT-30-005</t>
        </is>
      </c>
      <c r="B1329" s="4" t="inlineStr">
        <is>
          <t>Cable de red Cat 5 blindado</t>
        </is>
      </c>
      <c r="C1329" s="7" t="inlineStr">
        <is>
          <t>rollo</t>
        </is>
      </c>
      <c r="D1329" s="8" t="n">
        <v>813.6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>
        <f>IF(COUNT(D1329:V1329)=0,"",MIN(D1329:V1329))</f>
        <v/>
      </c>
      <c r="X1329" s="8">
        <f>IF(COUNT(D1329:V1329)=0,"",MEDIAN(D1329:V1329))</f>
        <v/>
      </c>
      <c r="Y1329" s="8">
        <f>IF(COUNT(D1329:V1329)=0,"",MAX(D1329:V1329))</f>
        <v/>
      </c>
      <c r="Z1329" s="9">
        <f>IF(OR(W1329="",W1329=0),"",(Y1329-W1329)/W1329)</f>
        <v/>
      </c>
      <c r="AA1329" s="7">
        <f>IF(COUNT(D1329:V1329)=0,"",INDEX($D$1:$V$1,MATCH(MIN(D1329:V1329),D1329:V1329,0)))</f>
        <v/>
      </c>
      <c r="AB1329" s="8" t="n">
        <v>813.6</v>
      </c>
      <c r="AC1329" s="10" t="n">
        <v>1</v>
      </c>
    </row>
    <row r="1330">
      <c r="A1330" s="7" t="inlineStr">
        <is>
          <t>MAT-30-007</t>
        </is>
      </c>
      <c r="B1330" s="4" t="inlineStr">
        <is>
          <t>Cable de red Cat 6A</t>
        </is>
      </c>
      <c r="C1330" s="7" t="inlineStr">
        <is>
          <t>rollo</t>
        </is>
      </c>
      <c r="D1330" s="8" t="n">
        <v>215.59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>
        <f>IF(COUNT(D1330:V1330)=0,"",MIN(D1330:V1330))</f>
        <v/>
      </c>
      <c r="X1330" s="8">
        <f>IF(COUNT(D1330:V1330)=0,"",MEDIAN(D1330:V1330))</f>
        <v/>
      </c>
      <c r="Y1330" s="8">
        <f>IF(COUNT(D1330:V1330)=0,"",MAX(D1330:V1330))</f>
        <v/>
      </c>
      <c r="Z1330" s="9">
        <f>IF(OR(W1330="",W1330=0),"",(Y1330-W1330)/W1330)</f>
        <v/>
      </c>
      <c r="AA1330" s="7">
        <f>IF(COUNT(D1330:V1330)=0,"",INDEX($D$1:$V$1,MATCH(MIN(D1330:V1330),D1330:V1330,0)))</f>
        <v/>
      </c>
      <c r="AB1330" s="8" t="n">
        <v>466.67</v>
      </c>
      <c r="AC1330" s="10" t="n">
        <v>1</v>
      </c>
    </row>
    <row r="1331">
      <c r="A1331" s="7" t="inlineStr">
        <is>
          <t>MAT-30-009</t>
        </is>
      </c>
      <c r="B1331" s="4" t="inlineStr">
        <is>
          <t>Jack RJ45 Cat 5</t>
        </is>
      </c>
      <c r="C1331" s="7" t="inlineStr">
        <is>
          <t>unidad</t>
        </is>
      </c>
      <c r="D1331" s="8" t="n">
        <v>106.97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>
        <f>IF(COUNT(D1331:V1331)=0,"",MIN(D1331:V1331))</f>
        <v/>
      </c>
      <c r="X1331" s="8">
        <f>IF(COUNT(D1331:V1331)=0,"",MEDIAN(D1331:V1331))</f>
        <v/>
      </c>
      <c r="Y1331" s="8">
        <f>IF(COUNT(D1331:V1331)=0,"",MAX(D1331:V1331))</f>
        <v/>
      </c>
      <c r="Z1331" s="9">
        <f>IF(OR(W1331="",W1331=0),"",(Y1331-W1331)/W1331)</f>
        <v/>
      </c>
      <c r="AA1331" s="7">
        <f>IF(COUNT(D1331:V1331)=0,"",INDEX($D$1:$V$1,MATCH(MIN(D1331:V1331),D1331:V1331,0)))</f>
        <v/>
      </c>
      <c r="AB1331" s="8" t="n">
        <v>106.97</v>
      </c>
      <c r="AC1331" s="10" t="n">
        <v>1</v>
      </c>
    </row>
    <row r="1332">
      <c r="A1332" s="7" t="inlineStr">
        <is>
          <t>MAT-30-010</t>
        </is>
      </c>
      <c r="B1332" s="4" t="inlineStr">
        <is>
          <t>Jack RJ45 Cat 6</t>
        </is>
      </c>
      <c r="C1332" s="7" t="inlineStr">
        <is>
          <t>unidad</t>
        </is>
      </c>
      <c r="D1332" s="8" t="n">
        <v>189.16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>
        <f>IF(COUNT(D1332:V1332)=0,"",MIN(D1332:V1332))</f>
        <v/>
      </c>
      <c r="X1332" s="8">
        <f>IF(COUNT(D1332:V1332)=0,"",MEDIAN(D1332:V1332))</f>
        <v/>
      </c>
      <c r="Y1332" s="8">
        <f>IF(COUNT(D1332:V1332)=0,"",MAX(D1332:V1332))</f>
        <v/>
      </c>
      <c r="Z1332" s="9">
        <f>IF(OR(W1332="",W1332=0),"",(Y1332-W1332)/W1332)</f>
        <v/>
      </c>
      <c r="AA1332" s="7">
        <f>IF(COUNT(D1332:V1332)=0,"",INDEX($D$1:$V$1,MATCH(MIN(D1332:V1332),D1332:V1332,0)))</f>
        <v/>
      </c>
      <c r="AB1332" s="8" t="n">
        <v>254.97</v>
      </c>
      <c r="AC1332" s="10" t="n">
        <v>1</v>
      </c>
    </row>
    <row r="1333">
      <c r="A1333" s="7" t="inlineStr">
        <is>
          <t>MAT-30-011</t>
        </is>
      </c>
      <c r="B1333" s="4" t="inlineStr">
        <is>
          <t>Jack RJ45 Cat 6A</t>
        </is>
      </c>
      <c r="C1333" s="7" t="inlineStr">
        <is>
          <t>unidad</t>
        </is>
      </c>
      <c r="D1333" s="8" t="n">
        <v>256.97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>
        <f>IF(COUNT(D1333:V1333)=0,"",MIN(D1333:V1333))</f>
        <v/>
      </c>
      <c r="X1333" s="8">
        <f>IF(COUNT(D1333:V1333)=0,"",MEDIAN(D1333:V1333))</f>
        <v/>
      </c>
      <c r="Y1333" s="8">
        <f>IF(COUNT(D1333:V1333)=0,"",MAX(D1333:V1333))</f>
        <v/>
      </c>
      <c r="Z1333" s="9">
        <f>IF(OR(W1333="",W1333=0),"",(Y1333-W1333)/W1333)</f>
        <v/>
      </c>
      <c r="AA1333" s="7">
        <f>IF(COUNT(D1333:V1333)=0,"",INDEX($D$1:$V$1,MATCH(MIN(D1333:V1333),D1333:V1333,0)))</f>
        <v/>
      </c>
      <c r="AB1333" s="8" t="n">
        <v>256.97</v>
      </c>
      <c r="AC1333" s="10" t="n">
        <v>1</v>
      </c>
    </row>
    <row r="1334">
      <c r="A1334" s="7" t="inlineStr">
        <is>
          <t>MAT-30-012</t>
        </is>
      </c>
      <c r="B1334" s="4" t="inlineStr">
        <is>
          <t>Jack RJ45 Cat 6A blindado</t>
        </is>
      </c>
      <c r="C1334" s="7" t="inlineStr">
        <is>
          <t>unidad</t>
        </is>
      </c>
      <c r="D1334" s="8" t="n">
        <v>275.76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>
        <f>IF(COUNT(D1334:V1334)=0,"",MIN(D1334:V1334))</f>
        <v/>
      </c>
      <c r="X1334" s="8">
        <f>IF(COUNT(D1334:V1334)=0,"",MEDIAN(D1334:V1334))</f>
        <v/>
      </c>
      <c r="Y1334" s="8">
        <f>IF(COUNT(D1334:V1334)=0,"",MAX(D1334:V1334))</f>
        <v/>
      </c>
      <c r="Z1334" s="9">
        <f>IF(OR(W1334="",W1334=0),"",(Y1334-W1334)/W1334)</f>
        <v/>
      </c>
      <c r="AA1334" s="7">
        <f>IF(COUNT(D1334:V1334)=0,"",INDEX($D$1:$V$1,MATCH(MIN(D1334:V1334),D1334:V1334,0)))</f>
        <v/>
      </c>
      <c r="AB1334" s="8" t="n">
        <v>334.53</v>
      </c>
      <c r="AC1334" s="10" t="n">
        <v>1</v>
      </c>
    </row>
    <row r="1335">
      <c r="A1335" s="7" t="inlineStr">
        <is>
          <t>MAT-30-013</t>
        </is>
      </c>
      <c r="B1335" s="4" t="inlineStr">
        <is>
          <t>Patch panel</t>
        </is>
      </c>
      <c r="C1335" s="7" t="inlineStr">
        <is>
          <t>unidad</t>
        </is>
      </c>
      <c r="D1335" s="8" t="n">
        <v>192.87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>
        <f>IF(COUNT(D1335:V1335)=0,"",MIN(D1335:V1335))</f>
        <v/>
      </c>
      <c r="X1335" s="8">
        <f>IF(COUNT(D1335:V1335)=0,"",MEDIAN(D1335:V1335))</f>
        <v/>
      </c>
      <c r="Y1335" s="8">
        <f>IF(COUNT(D1335:V1335)=0,"",MAX(D1335:V1335))</f>
        <v/>
      </c>
      <c r="Z1335" s="9">
        <f>IF(OR(W1335="",W1335=0),"",(Y1335-W1335)/W1335)</f>
        <v/>
      </c>
      <c r="AA1335" s="7">
        <f>IF(COUNT(D1335:V1335)=0,"",INDEX($D$1:$V$1,MATCH(MIN(D1335:V1335),D1335:V1335,0)))</f>
        <v/>
      </c>
      <c r="AB1335" s="8" t="n">
        <v>1305.12</v>
      </c>
      <c r="AC1335" s="10" t="n">
        <v>1</v>
      </c>
    </row>
    <row r="1336">
      <c r="A1336" s="7" t="inlineStr">
        <is>
          <t>MAT-30-014</t>
        </is>
      </c>
      <c r="B1336" s="4" t="inlineStr">
        <is>
          <t>Patch panel 24 puertos</t>
        </is>
      </c>
      <c r="C1336" s="7" t="inlineStr">
        <is>
          <t>unidad</t>
        </is>
      </c>
      <c r="D1336" s="8" t="n">
        <v>5568.67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>
        <f>IF(COUNT(D1336:V1336)=0,"",MIN(D1336:V1336))</f>
        <v/>
      </c>
      <c r="X1336" s="8">
        <f>IF(COUNT(D1336:V1336)=0,"",MEDIAN(D1336:V1336))</f>
        <v/>
      </c>
      <c r="Y1336" s="8">
        <f>IF(COUNT(D1336:V1336)=0,"",MAX(D1336:V1336))</f>
        <v/>
      </c>
      <c r="Z1336" s="9">
        <f>IF(OR(W1336="",W1336=0),"",(Y1336-W1336)/W1336)</f>
        <v/>
      </c>
      <c r="AA1336" s="7">
        <f>IF(COUNT(D1336:V1336)=0,"",INDEX($D$1:$V$1,MATCH(MIN(D1336:V1336),D1336:V1336,0)))</f>
        <v/>
      </c>
      <c r="AB1336" s="8" t="n">
        <v>5568.67</v>
      </c>
      <c r="AC1336" s="10" t="n">
        <v>1</v>
      </c>
    </row>
    <row r="1337">
      <c r="A1337" s="7" t="inlineStr">
        <is>
          <t>MAT-30-015</t>
        </is>
      </c>
      <c r="B1337" s="4" t="inlineStr">
        <is>
          <t>Patch panel 48 puertos</t>
        </is>
      </c>
      <c r="C1337" s="7" t="inlineStr">
        <is>
          <t>unidad</t>
        </is>
      </c>
      <c r="D1337" s="8" t="n">
        <v>1782.28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>
        <f>IF(COUNT(D1337:V1337)=0,"",MIN(D1337:V1337))</f>
        <v/>
      </c>
      <c r="X1337" s="8">
        <f>IF(COUNT(D1337:V1337)=0,"",MEDIAN(D1337:V1337))</f>
        <v/>
      </c>
      <c r="Y1337" s="8">
        <f>IF(COUNT(D1337:V1337)=0,"",MAX(D1337:V1337))</f>
        <v/>
      </c>
      <c r="Z1337" s="9">
        <f>IF(OR(W1337="",W1337=0),"",(Y1337-W1337)/W1337)</f>
        <v/>
      </c>
      <c r="AA1337" s="7">
        <f>IF(COUNT(D1337:V1337)=0,"",INDEX($D$1:$V$1,MATCH(MIN(D1337:V1337),D1337:V1337,0)))</f>
        <v/>
      </c>
      <c r="AB1337" s="8" t="n">
        <v>1782.28</v>
      </c>
      <c r="AC1337" s="10" t="n">
        <v>1</v>
      </c>
    </row>
    <row r="1338">
      <c r="A1338" s="7" t="inlineStr">
        <is>
          <t>MAT-30-016</t>
        </is>
      </c>
      <c r="B1338" s="4" t="inlineStr">
        <is>
          <t>Placa de pared para datos</t>
        </is>
      </c>
      <c r="C1338" s="7" t="inlineStr">
        <is>
          <t>unidad</t>
        </is>
      </c>
      <c r="D1338" s="8" t="n">
        <v>77.06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>
        <f>IF(COUNT(D1338:V1338)=0,"",MIN(D1338:V1338))</f>
        <v/>
      </c>
      <c r="X1338" s="8">
        <f>IF(COUNT(D1338:V1338)=0,"",MEDIAN(D1338:V1338))</f>
        <v/>
      </c>
      <c r="Y1338" s="8">
        <f>IF(COUNT(D1338:V1338)=0,"",MAX(D1338:V1338))</f>
        <v/>
      </c>
      <c r="Z1338" s="9">
        <f>IF(OR(W1338="",W1338=0),"",(Y1338-W1338)/W1338)</f>
        <v/>
      </c>
      <c r="AA1338" s="7">
        <f>IF(COUNT(D1338:V1338)=0,"",INDEX($D$1:$V$1,MATCH(MIN(D1338:V1338),D1338:V1338,0)))</f>
        <v/>
      </c>
      <c r="AB1338" s="8" t="n">
        <v>102.17</v>
      </c>
      <c r="AC1338" s="10" t="n">
        <v>1</v>
      </c>
    </row>
    <row r="1339">
      <c r="A1339" s="7" t="inlineStr">
        <is>
          <t>MAT-30-019</t>
        </is>
      </c>
      <c r="B1339" s="4" t="inlineStr">
        <is>
          <t>Placa de pared para datos 3 puertos</t>
        </is>
      </c>
      <c r="C1339" s="7" t="inlineStr">
        <is>
          <t>unidad</t>
        </is>
      </c>
      <c r="D1339" s="8" t="n">
        <v>1196.92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>
        <f>IF(COUNT(D1339:V1339)=0,"",MIN(D1339:V1339))</f>
        <v/>
      </c>
      <c r="X1339" s="8">
        <f>IF(COUNT(D1339:V1339)=0,"",MEDIAN(D1339:V1339))</f>
        <v/>
      </c>
      <c r="Y1339" s="8">
        <f>IF(COUNT(D1339:V1339)=0,"",MAX(D1339:V1339))</f>
        <v/>
      </c>
      <c r="Z1339" s="9">
        <f>IF(OR(W1339="",W1339=0),"",(Y1339-W1339)/W1339)</f>
        <v/>
      </c>
      <c r="AA1339" s="7">
        <f>IF(COUNT(D1339:V1339)=0,"",INDEX($D$1:$V$1,MATCH(MIN(D1339:V1339),D1339:V1339,0)))</f>
        <v/>
      </c>
      <c r="AB1339" s="8" t="n">
        <v>1196.92</v>
      </c>
      <c r="AC1339" s="10" t="n">
        <v>1</v>
      </c>
    </row>
    <row r="1340">
      <c r="A1340" s="7" t="inlineStr">
        <is>
          <t>MAT-30-021</t>
        </is>
      </c>
      <c r="B1340" s="4" t="inlineStr">
        <is>
          <t>Equipo de red</t>
        </is>
      </c>
      <c r="C1340" s="7" t="inlineStr">
        <is>
          <t>unidad</t>
        </is>
      </c>
      <c r="D1340" s="8" t="n">
        <v>587.39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>
        <f>IF(COUNT(D1340:V1340)=0,"",MIN(D1340:V1340))</f>
        <v/>
      </c>
      <c r="X1340" s="8">
        <f>IF(COUNT(D1340:V1340)=0,"",MEDIAN(D1340:V1340))</f>
        <v/>
      </c>
      <c r="Y1340" s="8">
        <f>IF(COUNT(D1340:V1340)=0,"",MAX(D1340:V1340))</f>
        <v/>
      </c>
      <c r="Z1340" s="9">
        <f>IF(OR(W1340="",W1340=0),"",(Y1340-W1340)/W1340)</f>
        <v/>
      </c>
      <c r="AA1340" s="7">
        <f>IF(COUNT(D1340:V1340)=0,"",INDEX($D$1:$V$1,MATCH(MIN(D1340:V1340),D1340:V1340,0)))</f>
        <v/>
      </c>
      <c r="AB1340" s="8" t="n">
        <v>4902.12</v>
      </c>
      <c r="AC1340" s="10" t="n">
        <v>1</v>
      </c>
    </row>
    <row r="1341">
      <c r="A1341" s="7" t="inlineStr">
        <is>
          <t>MAT-30-022</t>
        </is>
      </c>
      <c r="B1341" s="4" t="inlineStr">
        <is>
          <t>Equipo de red 24 puertos</t>
        </is>
      </c>
      <c r="C1341" s="7" t="inlineStr">
        <is>
          <t>unidad</t>
        </is>
      </c>
      <c r="D1341" s="8" t="n">
        <v>16692.67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>
        <f>IF(COUNT(D1341:V1341)=0,"",MIN(D1341:V1341))</f>
        <v/>
      </c>
      <c r="X1341" s="8">
        <f>IF(COUNT(D1341:V1341)=0,"",MEDIAN(D1341:V1341))</f>
        <v/>
      </c>
      <c r="Y1341" s="8">
        <f>IF(COUNT(D1341:V1341)=0,"",MAX(D1341:V1341))</f>
        <v/>
      </c>
      <c r="Z1341" s="9">
        <f>IF(OR(W1341="",W1341=0),"",(Y1341-W1341)/W1341)</f>
        <v/>
      </c>
      <c r="AA1341" s="7">
        <f>IF(COUNT(D1341:V1341)=0,"",INDEX($D$1:$V$1,MATCH(MIN(D1341:V1341),D1341:V1341,0)))</f>
        <v/>
      </c>
      <c r="AB1341" s="8" t="n">
        <v>16692.67</v>
      </c>
      <c r="AC1341" s="10" t="n">
        <v>1</v>
      </c>
    </row>
    <row r="1342">
      <c r="A1342" s="7" t="inlineStr">
        <is>
          <t>MAT-30-027</t>
        </is>
      </c>
      <c r="B1342" s="4" t="inlineStr">
        <is>
          <t>Fuente de alimentación para sistemas 12 V</t>
        </is>
      </c>
      <c r="C1342" s="7" t="inlineStr">
        <is>
          <t>unidad</t>
        </is>
      </c>
      <c r="D1342" s="8" t="n">
        <v>1111.78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>
        <f>IF(COUNT(D1342:V1342)=0,"",MIN(D1342:V1342))</f>
        <v/>
      </c>
      <c r="X1342" s="8">
        <f>IF(COUNT(D1342:V1342)=0,"",MEDIAN(D1342:V1342))</f>
        <v/>
      </c>
      <c r="Y1342" s="8">
        <f>IF(COUNT(D1342:V1342)=0,"",MAX(D1342:V1342))</f>
        <v/>
      </c>
      <c r="Z1342" s="9">
        <f>IF(OR(W1342="",W1342=0),"",(Y1342-W1342)/W1342)</f>
        <v/>
      </c>
      <c r="AA1342" s="7">
        <f>IF(COUNT(D1342:V1342)=0,"",INDEX($D$1:$V$1,MATCH(MIN(D1342:V1342),D1342:V1342,0)))</f>
        <v/>
      </c>
      <c r="AB1342" s="8" t="n">
        <v>2813.06</v>
      </c>
      <c r="AC1342" s="10" t="n">
        <v>1</v>
      </c>
    </row>
    <row r="1343">
      <c r="A1343" s="7" t="inlineStr">
        <is>
          <t>MAT-30-028</t>
        </is>
      </c>
      <c r="B1343" s="4" t="inlineStr">
        <is>
          <t>Fuente de alimentación para sistemas 120 V</t>
        </is>
      </c>
      <c r="C1343" s="7" t="inlineStr">
        <is>
          <t>unidad</t>
        </is>
      </c>
      <c r="D1343" s="8" t="n">
        <v>906.34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>
        <f>IF(COUNT(D1343:V1343)=0,"",MIN(D1343:V1343))</f>
        <v/>
      </c>
      <c r="X1343" s="8">
        <f>IF(COUNT(D1343:V1343)=0,"",MEDIAN(D1343:V1343))</f>
        <v/>
      </c>
      <c r="Y1343" s="8">
        <f>IF(COUNT(D1343:V1343)=0,"",MAX(D1343:V1343))</f>
        <v/>
      </c>
      <c r="Z1343" s="9">
        <f>IF(OR(W1343="",W1343=0),"",(Y1343-W1343)/W1343)</f>
        <v/>
      </c>
      <c r="AA1343" s="7">
        <f>IF(COUNT(D1343:V1343)=0,"",INDEX($D$1:$V$1,MATCH(MIN(D1343:V1343),D1343:V1343,0)))</f>
        <v/>
      </c>
      <c r="AB1343" s="8" t="n">
        <v>1031.86</v>
      </c>
      <c r="AC1343" s="10" t="n">
        <v>1</v>
      </c>
    </row>
    <row r="1344">
      <c r="A1344" s="7" t="inlineStr">
        <is>
          <t>MAT-30-029</t>
        </is>
      </c>
      <c r="B1344" s="4" t="inlineStr">
        <is>
          <t>Fuente de alimentación para sistemas 24 V</t>
        </is>
      </c>
      <c r="C1344" s="7" t="inlineStr">
        <is>
          <t>unidad</t>
        </is>
      </c>
      <c r="D1344" s="8" t="n">
        <v>11089.49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>
        <f>IF(COUNT(D1344:V1344)=0,"",MIN(D1344:V1344))</f>
        <v/>
      </c>
      <c r="X1344" s="8">
        <f>IF(COUNT(D1344:V1344)=0,"",MEDIAN(D1344:V1344))</f>
        <v/>
      </c>
      <c r="Y1344" s="8">
        <f>IF(COUNT(D1344:V1344)=0,"",MAX(D1344:V1344))</f>
        <v/>
      </c>
      <c r="Z1344" s="9">
        <f>IF(OR(W1344="",W1344=0),"",(Y1344-W1344)/W1344)</f>
        <v/>
      </c>
      <c r="AA1344" s="7">
        <f>IF(COUNT(D1344:V1344)=0,"",INDEX($D$1:$V$1,MATCH(MIN(D1344:V1344),D1344:V1344,0)))</f>
        <v/>
      </c>
      <c r="AB1344" s="8" t="n">
        <v>13861.06</v>
      </c>
      <c r="AC1344" s="10" t="n">
        <v>1</v>
      </c>
    </row>
    <row r="1345">
      <c r="A1345" s="7" t="inlineStr">
        <is>
          <t>MAT-30-030</t>
        </is>
      </c>
      <c r="B1345" s="4" t="inlineStr">
        <is>
          <t>Fuente de alimentación para sistemas 275 V</t>
        </is>
      </c>
      <c r="C1345" s="7" t="inlineStr">
        <is>
          <t>unidad</t>
        </is>
      </c>
      <c r="D1345" s="8" t="n">
        <v>28.95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>
        <f>IF(COUNT(D1345:V1345)=0,"",MIN(D1345:V1345))</f>
        <v/>
      </c>
      <c r="X1345" s="8">
        <f>IF(COUNT(D1345:V1345)=0,"",MEDIAN(D1345:V1345))</f>
        <v/>
      </c>
      <c r="Y1345" s="8">
        <f>IF(COUNT(D1345:V1345)=0,"",MAX(D1345:V1345))</f>
        <v/>
      </c>
      <c r="Z1345" s="9">
        <f>IF(OR(W1345="",W1345=0),"",(Y1345-W1345)/W1345)</f>
        <v/>
      </c>
      <c r="AA1345" s="7">
        <f>IF(COUNT(D1345:V1345)=0,"",INDEX($D$1:$V$1,MATCH(MIN(D1345:V1345),D1345:V1345,0)))</f>
        <v/>
      </c>
      <c r="AB1345" s="8" t="n">
        <v>28.95</v>
      </c>
      <c r="AC1345" s="10" t="n">
        <v>1</v>
      </c>
    </row>
    <row r="1346">
      <c r="A1346" s="7" t="inlineStr">
        <is>
          <t>MAT-30-031</t>
        </is>
      </c>
      <c r="B1346" s="4" t="inlineStr">
        <is>
          <t>Fuente de alimentación para sistemas 277 V</t>
        </is>
      </c>
      <c r="C1346" s="7" t="inlineStr">
        <is>
          <t>unidad</t>
        </is>
      </c>
      <c r="D1346" s="8" t="n">
        <v>2150.5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>
        <f>IF(COUNT(D1346:V1346)=0,"",MIN(D1346:V1346))</f>
        <v/>
      </c>
      <c r="X1346" s="8">
        <f>IF(COUNT(D1346:V1346)=0,"",MEDIAN(D1346:V1346))</f>
        <v/>
      </c>
      <c r="Y1346" s="8">
        <f>IF(COUNT(D1346:V1346)=0,"",MAX(D1346:V1346))</f>
        <v/>
      </c>
      <c r="Z1346" s="9">
        <f>IF(OR(W1346="",W1346=0),"",(Y1346-W1346)/W1346)</f>
        <v/>
      </c>
      <c r="AA1346" s="7">
        <f>IF(COUNT(D1346:V1346)=0,"",INDEX($D$1:$V$1,MATCH(MIN(D1346:V1346),D1346:V1346,0)))</f>
        <v/>
      </c>
      <c r="AB1346" s="8" t="n">
        <v>2150.5</v>
      </c>
      <c r="AC1346" s="10" t="n">
        <v>1</v>
      </c>
    </row>
    <row r="1347">
      <c r="A1347" s="7" t="inlineStr">
        <is>
          <t>MAT-31-003</t>
        </is>
      </c>
      <c r="B1347" s="4" t="inlineStr">
        <is>
          <t>Interruptor inteligente 1 canales</t>
        </is>
      </c>
      <c r="C1347" s="7" t="inlineStr">
        <is>
          <t>unidad</t>
        </is>
      </c>
      <c r="D1347" s="8" t="n">
        <v>1089.61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>
        <f>IF(COUNT(D1347:V1347)=0,"",MIN(D1347:V1347))</f>
        <v/>
      </c>
      <c r="X1347" s="8">
        <f>IF(COUNT(D1347:V1347)=0,"",MEDIAN(D1347:V1347))</f>
        <v/>
      </c>
      <c r="Y1347" s="8">
        <f>IF(COUNT(D1347:V1347)=0,"",MAX(D1347:V1347))</f>
        <v/>
      </c>
      <c r="Z1347" s="9">
        <f>IF(OR(W1347="",W1347=0),"",(Y1347-W1347)/W1347)</f>
        <v/>
      </c>
      <c r="AA1347" s="7">
        <f>IF(COUNT(D1347:V1347)=0,"",INDEX($D$1:$V$1,MATCH(MIN(D1347:V1347),D1347:V1347,0)))</f>
        <v/>
      </c>
      <c r="AB1347" s="8" t="n">
        <v>1549.16</v>
      </c>
      <c r="AC1347" s="10" t="n">
        <v>1</v>
      </c>
    </row>
    <row r="1348">
      <c r="A1348" s="7" t="inlineStr">
        <is>
          <t>MAT-31-004</t>
        </is>
      </c>
      <c r="B1348" s="4" t="inlineStr">
        <is>
          <t>Interruptor inteligente 1 canales con neutro</t>
        </is>
      </c>
      <c r="C1348" s="7" t="inlineStr">
        <is>
          <t>unidad</t>
        </is>
      </c>
      <c r="D1348" s="8" t="n">
        <v>2892.27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>
        <f>IF(COUNT(D1348:V1348)=0,"",MIN(D1348:V1348))</f>
        <v/>
      </c>
      <c r="X1348" s="8">
        <f>IF(COUNT(D1348:V1348)=0,"",MEDIAN(D1348:V1348))</f>
        <v/>
      </c>
      <c r="Y1348" s="8">
        <f>IF(COUNT(D1348:V1348)=0,"",MAX(D1348:V1348))</f>
        <v/>
      </c>
      <c r="Z1348" s="9">
        <f>IF(OR(W1348="",W1348=0),"",(Y1348-W1348)/W1348)</f>
        <v/>
      </c>
      <c r="AA1348" s="7">
        <f>IF(COUNT(D1348:V1348)=0,"",INDEX($D$1:$V$1,MATCH(MIN(D1348:V1348),D1348:V1348,0)))</f>
        <v/>
      </c>
      <c r="AB1348" s="8" t="n">
        <v>2892.27</v>
      </c>
      <c r="AC1348" s="10" t="n">
        <v>1</v>
      </c>
    </row>
    <row r="1349">
      <c r="A1349" s="7" t="inlineStr">
        <is>
          <t>MAT-31-005</t>
        </is>
      </c>
      <c r="B1349" s="4" t="inlineStr">
        <is>
          <t>Interruptor inteligente 1 canales sin neutro</t>
        </is>
      </c>
      <c r="C1349" s="7" t="inlineStr">
        <is>
          <t>unidad</t>
        </is>
      </c>
      <c r="D1349" s="8" t="n">
        <v>2958.46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>
        <f>IF(COUNT(D1349:V1349)=0,"",MIN(D1349:V1349))</f>
        <v/>
      </c>
      <c r="X1349" s="8">
        <f>IF(COUNT(D1349:V1349)=0,"",MEDIAN(D1349:V1349))</f>
        <v/>
      </c>
      <c r="Y1349" s="8">
        <f>IF(COUNT(D1349:V1349)=0,"",MAX(D1349:V1349))</f>
        <v/>
      </c>
      <c r="Z1349" s="9">
        <f>IF(OR(W1349="",W1349=0),"",(Y1349-W1349)/W1349)</f>
        <v/>
      </c>
      <c r="AA1349" s="7">
        <f>IF(COUNT(D1349:V1349)=0,"",INDEX($D$1:$V$1,MATCH(MIN(D1349:V1349),D1349:V1349,0)))</f>
        <v/>
      </c>
      <c r="AB1349" s="8" t="n">
        <v>2958.46</v>
      </c>
      <c r="AC1349" s="10" t="n">
        <v>1</v>
      </c>
    </row>
    <row r="1350">
      <c r="A1350" s="7" t="inlineStr">
        <is>
          <t>MAT-31-006</t>
        </is>
      </c>
      <c r="B1350" s="4" t="inlineStr">
        <is>
          <t>Interruptor inteligente 2 canales</t>
        </is>
      </c>
      <c r="C1350" s="7" t="inlineStr">
        <is>
          <t>unidad</t>
        </is>
      </c>
      <c r="D1350" s="8" t="n">
        <v>1210.31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>
        <f>IF(COUNT(D1350:V1350)=0,"",MIN(D1350:V1350))</f>
        <v/>
      </c>
      <c r="X1350" s="8">
        <f>IF(COUNT(D1350:V1350)=0,"",MEDIAN(D1350:V1350))</f>
        <v/>
      </c>
      <c r="Y1350" s="8">
        <f>IF(COUNT(D1350:V1350)=0,"",MAX(D1350:V1350))</f>
        <v/>
      </c>
      <c r="Z1350" s="9">
        <f>IF(OR(W1350="",W1350=0),"",(Y1350-W1350)/W1350)</f>
        <v/>
      </c>
      <c r="AA1350" s="7">
        <f>IF(COUNT(D1350:V1350)=0,"",INDEX($D$1:$V$1,MATCH(MIN(D1350:V1350),D1350:V1350,0)))</f>
        <v/>
      </c>
      <c r="AB1350" s="8" t="n">
        <v>1632.51</v>
      </c>
      <c r="AC1350" s="10" t="n">
        <v>1</v>
      </c>
    </row>
    <row r="1351">
      <c r="A1351" s="7" t="inlineStr">
        <is>
          <t>MAT-31-007</t>
        </is>
      </c>
      <c r="B1351" s="4" t="inlineStr">
        <is>
          <t>Interruptor inteligente 2 canales con neutro</t>
        </is>
      </c>
      <c r="C1351" s="7" t="inlineStr">
        <is>
          <t>unidad</t>
        </is>
      </c>
      <c r="D1351" s="8" t="n">
        <v>2743.31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>
        <f>IF(COUNT(D1351:V1351)=0,"",MIN(D1351:V1351))</f>
        <v/>
      </c>
      <c r="X1351" s="8">
        <f>IF(COUNT(D1351:V1351)=0,"",MEDIAN(D1351:V1351))</f>
        <v/>
      </c>
      <c r="Y1351" s="8">
        <f>IF(COUNT(D1351:V1351)=0,"",MAX(D1351:V1351))</f>
        <v/>
      </c>
      <c r="Z1351" s="9">
        <f>IF(OR(W1351="",W1351=0),"",(Y1351-W1351)/W1351)</f>
        <v/>
      </c>
      <c r="AA1351" s="7">
        <f>IF(COUNT(D1351:V1351)=0,"",INDEX($D$1:$V$1,MATCH(MIN(D1351:V1351),D1351:V1351,0)))</f>
        <v/>
      </c>
      <c r="AB1351" s="8" t="n">
        <v>2743.31</v>
      </c>
      <c r="AC1351" s="10" t="n">
        <v>1</v>
      </c>
    </row>
    <row r="1352">
      <c r="A1352" s="7" t="inlineStr">
        <is>
          <t>MAT-31-008</t>
        </is>
      </c>
      <c r="B1352" s="4" t="inlineStr">
        <is>
          <t>Interruptor inteligente 2 canales sin neutro</t>
        </is>
      </c>
      <c r="C1352" s="7" t="inlineStr">
        <is>
          <t>unidad</t>
        </is>
      </c>
      <c r="D1352" s="8" t="n">
        <v>2743.31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>
        <f>IF(COUNT(D1352:V1352)=0,"",MIN(D1352:V1352))</f>
        <v/>
      </c>
      <c r="X1352" s="8">
        <f>IF(COUNT(D1352:V1352)=0,"",MEDIAN(D1352:V1352))</f>
        <v/>
      </c>
      <c r="Y1352" s="8">
        <f>IF(COUNT(D1352:V1352)=0,"",MAX(D1352:V1352))</f>
        <v/>
      </c>
      <c r="Z1352" s="9">
        <f>IF(OR(W1352="",W1352=0),"",(Y1352-W1352)/W1352)</f>
        <v/>
      </c>
      <c r="AA1352" s="7">
        <f>IF(COUNT(D1352:V1352)=0,"",INDEX($D$1:$V$1,MATCH(MIN(D1352:V1352),D1352:V1352,0)))</f>
        <v/>
      </c>
      <c r="AB1352" s="8" t="n">
        <v>2743.31</v>
      </c>
      <c r="AC1352" s="10" t="n">
        <v>1</v>
      </c>
    </row>
    <row r="1353">
      <c r="A1353" s="7" t="inlineStr">
        <is>
          <t>MAT-31-009</t>
        </is>
      </c>
      <c r="B1353" s="4" t="inlineStr">
        <is>
          <t>Interruptor inteligente 3 canales</t>
        </is>
      </c>
      <c r="C1353" s="7" t="inlineStr">
        <is>
          <t>unidad</t>
        </is>
      </c>
      <c r="D1353" s="8" t="n">
        <v>1497.83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>
        <f>IF(COUNT(D1353:V1353)=0,"",MIN(D1353:V1353))</f>
        <v/>
      </c>
      <c r="X1353" s="8">
        <f>IF(COUNT(D1353:V1353)=0,"",MEDIAN(D1353:V1353))</f>
        <v/>
      </c>
      <c r="Y1353" s="8">
        <f>IF(COUNT(D1353:V1353)=0,"",MAX(D1353:V1353))</f>
        <v/>
      </c>
      <c r="Z1353" s="9">
        <f>IF(OR(W1353="",W1353=0),"",(Y1353-W1353)/W1353)</f>
        <v/>
      </c>
      <c r="AA1353" s="7">
        <f>IF(COUNT(D1353:V1353)=0,"",INDEX($D$1:$V$1,MATCH(MIN(D1353:V1353),D1353:V1353,0)))</f>
        <v/>
      </c>
      <c r="AB1353" s="8" t="n">
        <v>4577.22</v>
      </c>
      <c r="AC1353" s="10" t="n">
        <v>1</v>
      </c>
    </row>
    <row r="1354">
      <c r="A1354" s="7" t="inlineStr">
        <is>
          <t>MAT-31-011</t>
        </is>
      </c>
      <c r="B1354" s="4" t="inlineStr">
        <is>
          <t>Central de domótica</t>
        </is>
      </c>
      <c r="C1354" s="7" t="inlineStr">
        <is>
          <t>unidad</t>
        </is>
      </c>
      <c r="D1354" s="8" t="n">
        <v>1143.26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>
        <f>IF(COUNT(D1354:V1354)=0,"",MIN(D1354:V1354))</f>
        <v/>
      </c>
      <c r="X1354" s="8">
        <f>IF(COUNT(D1354:V1354)=0,"",MEDIAN(D1354:V1354))</f>
        <v/>
      </c>
      <c r="Y1354" s="8">
        <f>IF(COUNT(D1354:V1354)=0,"",MAX(D1354:V1354))</f>
        <v/>
      </c>
      <c r="Z1354" s="9">
        <f>IF(OR(W1354="",W1354=0),"",(Y1354-W1354)/W1354)</f>
        <v/>
      </c>
      <c r="AA1354" s="7">
        <f>IF(COUNT(D1354:V1354)=0,"",INDEX($D$1:$V$1,MATCH(MIN(D1354:V1354),D1354:V1354,0)))</f>
        <v/>
      </c>
      <c r="AB1354" s="8" t="n">
        <v>5847.29</v>
      </c>
      <c r="AC1354" s="10" t="n">
        <v>1</v>
      </c>
    </row>
    <row r="1355">
      <c r="A1355" s="7" t="inlineStr">
        <is>
          <t>MAT-31-012</t>
        </is>
      </c>
      <c r="B1355" s="4" t="inlineStr">
        <is>
          <t>Kit de intercomunicador 4 apartamentos con video</t>
        </is>
      </c>
      <c r="C1355" s="7" t="inlineStr">
        <is>
          <t>juego</t>
        </is>
      </c>
      <c r="D1355" s="8" t="n">
        <v>32009.7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>
        <f>IF(COUNT(D1355:V1355)=0,"",MIN(D1355:V1355))</f>
        <v/>
      </c>
      <c r="X1355" s="8">
        <f>IF(COUNT(D1355:V1355)=0,"",MEDIAN(D1355:V1355))</f>
        <v/>
      </c>
      <c r="Y1355" s="8">
        <f>IF(COUNT(D1355:V1355)=0,"",MAX(D1355:V1355))</f>
        <v/>
      </c>
      <c r="Z1355" s="9">
        <f>IF(OR(W1355="",W1355=0),"",(Y1355-W1355)/W1355)</f>
        <v/>
      </c>
      <c r="AA1355" s="7">
        <f>IF(COUNT(D1355:V1355)=0,"",INDEX($D$1:$V$1,MATCH(MIN(D1355:V1355),D1355:V1355,0)))</f>
        <v/>
      </c>
      <c r="AB1355" s="8" t="n">
        <v>32009.7</v>
      </c>
      <c r="AC1355" s="10" t="n">
        <v>1</v>
      </c>
    </row>
    <row r="1356">
      <c r="A1356" s="7" t="inlineStr">
        <is>
          <t>MAT-31-013</t>
        </is>
      </c>
      <c r="B1356" s="4" t="inlineStr">
        <is>
          <t>Kit de intercomunicador 6 apartamentos con video</t>
        </is>
      </c>
      <c r="C1356" s="7" t="inlineStr">
        <is>
          <t>juego</t>
        </is>
      </c>
      <c r="D1356" s="8" t="n">
        <v>41504.58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>
        <f>IF(COUNT(D1356:V1356)=0,"",MIN(D1356:V1356))</f>
        <v/>
      </c>
      <c r="X1356" s="8">
        <f>IF(COUNT(D1356:V1356)=0,"",MEDIAN(D1356:V1356))</f>
        <v/>
      </c>
      <c r="Y1356" s="8">
        <f>IF(COUNT(D1356:V1356)=0,"",MAX(D1356:V1356))</f>
        <v/>
      </c>
      <c r="Z1356" s="9">
        <f>IF(OR(W1356="",W1356=0),"",(Y1356-W1356)/W1356)</f>
        <v/>
      </c>
      <c r="AA1356" s="7">
        <f>IF(COUNT(D1356:V1356)=0,"",INDEX($D$1:$V$1,MATCH(MIN(D1356:V1356),D1356:V1356,0)))</f>
        <v/>
      </c>
      <c r="AB1356" s="8" t="n">
        <v>41504.58</v>
      </c>
      <c r="AC1356" s="10" t="n">
        <v>1</v>
      </c>
    </row>
    <row r="1357">
      <c r="A1357" s="7" t="inlineStr">
        <is>
          <t>MAT-31-014</t>
        </is>
      </c>
      <c r="B1357" s="4" t="inlineStr">
        <is>
          <t>Kit de intercomunicador 8 apartamentos solo audio</t>
        </is>
      </c>
      <c r="C1357" s="7" t="inlineStr">
        <is>
          <t>juego</t>
        </is>
      </c>
      <c r="D1357" s="8" t="n">
        <v>16951.2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>
        <f>IF(COUNT(D1357:V1357)=0,"",MIN(D1357:V1357))</f>
        <v/>
      </c>
      <c r="X1357" s="8">
        <f>IF(COUNT(D1357:V1357)=0,"",MEDIAN(D1357:V1357))</f>
        <v/>
      </c>
      <c r="Y1357" s="8">
        <f>IF(COUNT(D1357:V1357)=0,"",MAX(D1357:V1357))</f>
        <v/>
      </c>
      <c r="Z1357" s="9">
        <f>IF(OR(W1357="",W1357=0),"",(Y1357-W1357)/W1357)</f>
        <v/>
      </c>
      <c r="AA1357" s="7">
        <f>IF(COUNT(D1357:V1357)=0,"",INDEX($D$1:$V$1,MATCH(MIN(D1357:V1357),D1357:V1357,0)))</f>
        <v/>
      </c>
      <c r="AB1357" s="8" t="n">
        <v>16951.2</v>
      </c>
      <c r="AC1357" s="10" t="n">
        <v>1</v>
      </c>
    </row>
    <row r="1358">
      <c r="A1358" s="7" t="inlineStr">
        <is>
          <t>MAT-31-015</t>
        </is>
      </c>
      <c r="B1358" s="4" t="inlineStr">
        <is>
          <t>Kit de intercomunicador 8 apartamentos con video</t>
        </is>
      </c>
      <c r="C1358" s="7" t="inlineStr">
        <is>
          <t>juego</t>
        </is>
      </c>
      <c r="D1358" s="8" t="n">
        <v>50715.2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>
        <f>IF(COUNT(D1358:V1358)=0,"",MIN(D1358:V1358))</f>
        <v/>
      </c>
      <c r="X1358" s="8">
        <f>IF(COUNT(D1358:V1358)=0,"",MEDIAN(D1358:V1358))</f>
        <v/>
      </c>
      <c r="Y1358" s="8">
        <f>IF(COUNT(D1358:V1358)=0,"",MAX(D1358:V1358))</f>
        <v/>
      </c>
      <c r="Z1358" s="9">
        <f>IF(OR(W1358="",W1358=0),"",(Y1358-W1358)/W1358)</f>
        <v/>
      </c>
      <c r="AA1358" s="7">
        <f>IF(COUNT(D1358:V1358)=0,"",INDEX($D$1:$V$1,MATCH(MIN(D1358:V1358),D1358:V1358,0)))</f>
        <v/>
      </c>
      <c r="AB1358" s="8" t="n">
        <v>50715.2</v>
      </c>
      <c r="AC1358" s="10" t="n">
        <v>1</v>
      </c>
    </row>
    <row r="1359">
      <c r="A1359" s="7" t="inlineStr">
        <is>
          <t>MAT-31-016</t>
        </is>
      </c>
      <c r="B1359" s="4" t="inlineStr">
        <is>
          <t>Kit de intercomunicador con video</t>
        </is>
      </c>
      <c r="C1359" s="7" t="inlineStr">
        <is>
          <t>juego</t>
        </is>
      </c>
      <c r="D1359" s="8" t="n">
        <v>8802.870000000001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>
        <f>IF(COUNT(D1359:V1359)=0,"",MIN(D1359:V1359))</f>
        <v/>
      </c>
      <c r="X1359" s="8">
        <f>IF(COUNT(D1359:V1359)=0,"",MEDIAN(D1359:V1359))</f>
        <v/>
      </c>
      <c r="Y1359" s="8">
        <f>IF(COUNT(D1359:V1359)=0,"",MAX(D1359:V1359))</f>
        <v/>
      </c>
      <c r="Z1359" s="9">
        <f>IF(OR(W1359="",W1359=0),"",(Y1359-W1359)/W1359)</f>
        <v/>
      </c>
      <c r="AA1359" s="7">
        <f>IF(COUNT(D1359:V1359)=0,"",INDEX($D$1:$V$1,MATCH(MIN(D1359:V1359),D1359:V1359,0)))</f>
        <v/>
      </c>
      <c r="AB1359" s="8" t="n">
        <v>12858.25</v>
      </c>
      <c r="AC1359" s="10" t="n">
        <v>1</v>
      </c>
    </row>
    <row r="1360">
      <c r="A1360" s="7" t="inlineStr">
        <is>
          <t>MAT-31-017</t>
        </is>
      </c>
      <c r="B1360" s="4" t="inlineStr">
        <is>
          <t>Estación de intercomunicador</t>
        </is>
      </c>
      <c r="C1360" s="7" t="inlineStr">
        <is>
          <t>unidad</t>
        </is>
      </c>
      <c r="D1360" s="8" t="n">
        <v>9200.34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>
        <f>IF(COUNT(D1360:V1360)=0,"",MIN(D1360:V1360))</f>
        <v/>
      </c>
      <c r="X1360" s="8">
        <f>IF(COUNT(D1360:V1360)=0,"",MEDIAN(D1360:V1360))</f>
        <v/>
      </c>
      <c r="Y1360" s="8">
        <f>IF(COUNT(D1360:V1360)=0,"",MAX(D1360:V1360))</f>
        <v/>
      </c>
      <c r="Z1360" s="9">
        <f>IF(OR(W1360="",W1360=0),"",(Y1360-W1360)/W1360)</f>
        <v/>
      </c>
      <c r="AA1360" s="7">
        <f>IF(COUNT(D1360:V1360)=0,"",INDEX($D$1:$V$1,MATCH(MIN(D1360:V1360),D1360:V1360,0)))</f>
        <v/>
      </c>
      <c r="AB1360" s="8" t="n">
        <v>9200.34</v>
      </c>
      <c r="AC1360" s="10" t="n">
        <v>1</v>
      </c>
    </row>
    <row r="1361">
      <c r="A1361" s="7" t="inlineStr">
        <is>
          <t>MAT-31-018</t>
        </is>
      </c>
      <c r="B1361" s="4" t="inlineStr">
        <is>
          <t>Estación de intercomunicador 7"</t>
        </is>
      </c>
      <c r="C1361" s="7" t="inlineStr">
        <is>
          <t>unidad</t>
        </is>
      </c>
      <c r="D1361" s="8" t="n">
        <v>14861.01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>
        <f>IF(COUNT(D1361:V1361)=0,"",MIN(D1361:V1361))</f>
        <v/>
      </c>
      <c r="X1361" s="8">
        <f>IF(COUNT(D1361:V1361)=0,"",MEDIAN(D1361:V1361))</f>
        <v/>
      </c>
      <c r="Y1361" s="8">
        <f>IF(COUNT(D1361:V1361)=0,"",MAX(D1361:V1361))</f>
        <v/>
      </c>
      <c r="Z1361" s="9">
        <f>IF(OR(W1361="",W1361=0),"",(Y1361-W1361)/W1361)</f>
        <v/>
      </c>
      <c r="AA1361" s="7">
        <f>IF(COUNT(D1361:V1361)=0,"",INDEX($D$1:$V$1,MATCH(MIN(D1361:V1361),D1361:V1361,0)))</f>
        <v/>
      </c>
      <c r="AB1361" s="8" t="n">
        <v>14861.01</v>
      </c>
      <c r="AC1361" s="10" t="n">
        <v>1</v>
      </c>
    </row>
    <row r="1362">
      <c r="A1362" s="7" t="inlineStr">
        <is>
          <t>MAT-31-019</t>
        </is>
      </c>
      <c r="B1362" s="4" t="inlineStr">
        <is>
          <t>Accesorio de intercomunicador</t>
        </is>
      </c>
      <c r="C1362" s="7" t="inlineStr">
        <is>
          <t>unidad</t>
        </is>
      </c>
      <c r="D1362" s="8" t="n">
        <v>305.08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>
        <f>IF(COUNT(D1362:V1362)=0,"",MIN(D1362:V1362))</f>
        <v/>
      </c>
      <c r="X1362" s="8">
        <f>IF(COUNT(D1362:V1362)=0,"",MEDIAN(D1362:V1362))</f>
        <v/>
      </c>
      <c r="Y1362" s="8">
        <f>IF(COUNT(D1362:V1362)=0,"",MAX(D1362:V1362))</f>
        <v/>
      </c>
      <c r="Z1362" s="9">
        <f>IF(OR(W1362="",W1362=0),"",(Y1362-W1362)/W1362)</f>
        <v/>
      </c>
      <c r="AA1362" s="7">
        <f>IF(COUNT(D1362:V1362)=0,"",INDEX($D$1:$V$1,MATCH(MIN(D1362:V1362),D1362:V1362,0)))</f>
        <v/>
      </c>
      <c r="AB1362" s="8" t="n">
        <v>1765.47</v>
      </c>
      <c r="AC1362" s="10" t="n">
        <v>1</v>
      </c>
    </row>
    <row r="1363">
      <c r="A1363" s="7" t="inlineStr">
        <is>
          <t>MAT-32-008</t>
        </is>
      </c>
      <c r="B1363" s="4" t="inlineStr">
        <is>
          <t>Tubo Acero Inoxidable SCH-40 1/2" x 20 pies</t>
        </is>
      </c>
      <c r="C1363" s="7" t="inlineStr">
        <is>
          <t>tubo</t>
        </is>
      </c>
      <c r="D1363" s="8" t="n"/>
      <c r="E1363" s="8" t="n">
        <v>3075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>
        <f>IF(COUNT(D1363:V1363)=0,"",MIN(D1363:V1363))</f>
        <v/>
      </c>
      <c r="X1363" s="8">
        <f>IF(COUNT(D1363:V1363)=0,"",MEDIAN(D1363:V1363))</f>
        <v/>
      </c>
      <c r="Y1363" s="8">
        <f>IF(COUNT(D1363:V1363)=0,"",MAX(D1363:V1363))</f>
        <v/>
      </c>
      <c r="Z1363" s="9">
        <f>IF(OR(W1363="",W1363=0),"",(Y1363-W1363)/W1363)</f>
        <v/>
      </c>
      <c r="AA1363" s="7">
        <f>IF(COUNT(D1363:V1363)=0,"",INDEX($D$1:$V$1,MATCH(MIN(D1363:V1363),D1363:V1363,0)))</f>
        <v/>
      </c>
      <c r="AB1363" s="8" t="n">
        <v>3075</v>
      </c>
      <c r="AC1363" s="10" t="n">
        <v>1</v>
      </c>
    </row>
    <row r="1364">
      <c r="A1364" s="7" t="inlineStr">
        <is>
          <t>MAT-32-009</t>
        </is>
      </c>
      <c r="B1364" s="4" t="inlineStr">
        <is>
          <t>Tubo CPVC SDR-11 1/2" x 10 pies</t>
        </is>
      </c>
      <c r="C1364" s="7" t="inlineStr">
        <is>
          <t>tubo</t>
        </is>
      </c>
      <c r="D1364" s="8" t="n"/>
      <c r="E1364" s="8" t="n">
        <v>231</v>
      </c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>
        <f>IF(COUNT(D1364:V1364)=0,"",MIN(D1364:V1364))</f>
        <v/>
      </c>
      <c r="X1364" s="8">
        <f>IF(COUNT(D1364:V1364)=0,"",MEDIAN(D1364:V1364))</f>
        <v/>
      </c>
      <c r="Y1364" s="8">
        <f>IF(COUNT(D1364:V1364)=0,"",MAX(D1364:V1364))</f>
        <v/>
      </c>
      <c r="Z1364" s="9">
        <f>IF(OR(W1364="",W1364=0),"",(Y1364-W1364)/W1364)</f>
        <v/>
      </c>
      <c r="AA1364" s="7">
        <f>IF(COUNT(D1364:V1364)=0,"",INDEX($D$1:$V$1,MATCH(MIN(D1364:V1364),D1364:V1364,0)))</f>
        <v/>
      </c>
      <c r="AB1364" s="8" t="n">
        <v>231</v>
      </c>
      <c r="AC1364" s="10" t="n">
        <v>1</v>
      </c>
    </row>
    <row r="1365">
      <c r="A1365" s="7" t="inlineStr">
        <is>
          <t>MAT-32-010</t>
        </is>
      </c>
      <c r="B1365" s="4" t="inlineStr">
        <is>
          <t>Tubo CPVC SDR-11 1" x 10 pies</t>
        </is>
      </c>
      <c r="C1365" s="7" t="inlineStr">
        <is>
          <t>tubo</t>
        </is>
      </c>
      <c r="D1365" s="8" t="n"/>
      <c r="E1365" s="8" t="n">
        <v>650</v>
      </c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>
        <f>IF(COUNT(D1365:V1365)=0,"",MIN(D1365:V1365))</f>
        <v/>
      </c>
      <c r="X1365" s="8">
        <f>IF(COUNT(D1365:V1365)=0,"",MEDIAN(D1365:V1365))</f>
        <v/>
      </c>
      <c r="Y1365" s="8">
        <f>IF(COUNT(D1365:V1365)=0,"",MAX(D1365:V1365))</f>
        <v/>
      </c>
      <c r="Z1365" s="9">
        <f>IF(OR(W1365="",W1365=0),"",(Y1365-W1365)/W1365)</f>
        <v/>
      </c>
      <c r="AA1365" s="7">
        <f>IF(COUNT(D1365:V1365)=0,"",INDEX($D$1:$V$1,MATCH(MIN(D1365:V1365),D1365:V1365,0)))</f>
        <v/>
      </c>
      <c r="AB1365" s="8" t="n">
        <v>650</v>
      </c>
      <c r="AC1365" s="10" t="n">
        <v>1</v>
      </c>
    </row>
    <row r="1366">
      <c r="A1366" s="7" t="inlineStr">
        <is>
          <t>MAT-32-011</t>
        </is>
      </c>
      <c r="B1366" s="4" t="inlineStr">
        <is>
          <t>Tubo CPVC SDR-11 3/4" x 10 pies</t>
        </is>
      </c>
      <c r="C1366" s="7" t="inlineStr">
        <is>
          <t>tubo</t>
        </is>
      </c>
      <c r="D1366" s="8" t="n"/>
      <c r="E1366" s="8" t="n">
        <v>347</v>
      </c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>
        <f>IF(COUNT(D1366:V1366)=0,"",MIN(D1366:V1366))</f>
        <v/>
      </c>
      <c r="X1366" s="8">
        <f>IF(COUNT(D1366:V1366)=0,"",MEDIAN(D1366:V1366))</f>
        <v/>
      </c>
      <c r="Y1366" s="8">
        <f>IF(COUNT(D1366:V1366)=0,"",MAX(D1366:V1366))</f>
        <v/>
      </c>
      <c r="Z1366" s="9">
        <f>IF(OR(W1366="",W1366=0),"",(Y1366-W1366)/W1366)</f>
        <v/>
      </c>
      <c r="AA1366" s="7">
        <f>IF(COUNT(D1366:V1366)=0,"",INDEX($D$1:$V$1,MATCH(MIN(D1366:V1366),D1366:V1366,0)))</f>
        <v/>
      </c>
      <c r="AB1366" s="8" t="n">
        <v>347</v>
      </c>
      <c r="AC1366" s="10" t="n">
        <v>1</v>
      </c>
    </row>
    <row r="1367">
      <c r="A1367" s="7" t="inlineStr">
        <is>
          <t>MAT-32-012</t>
        </is>
      </c>
      <c r="B1367" s="4" t="inlineStr">
        <is>
          <t>Tubo PVC DRENAJE 2" x 19 pies</t>
        </is>
      </c>
      <c r="C1367" s="7" t="inlineStr">
        <is>
          <t>tubo</t>
        </is>
      </c>
      <c r="D1367" s="8" t="n"/>
      <c r="E1367" s="8" t="n">
        <v>267</v>
      </c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>
        <f>IF(COUNT(D1367:V1367)=0,"",MIN(D1367:V1367))</f>
        <v/>
      </c>
      <c r="X1367" s="8">
        <f>IF(COUNT(D1367:V1367)=0,"",MEDIAN(D1367:V1367))</f>
        <v/>
      </c>
      <c r="Y1367" s="8">
        <f>IF(COUNT(D1367:V1367)=0,"",MAX(D1367:V1367))</f>
        <v/>
      </c>
      <c r="Z1367" s="9">
        <f>IF(OR(W1367="",W1367=0),"",(Y1367-W1367)/W1367)</f>
        <v/>
      </c>
      <c r="AA1367" s="7">
        <f>IF(COUNT(D1367:V1367)=0,"",INDEX($D$1:$V$1,MATCH(MIN(D1367:V1367),D1367:V1367,0)))</f>
        <v/>
      </c>
      <c r="AB1367" s="8" t="n">
        <v>498</v>
      </c>
      <c r="AC1367" s="10" t="n">
        <v>1</v>
      </c>
    </row>
    <row r="1368">
      <c r="A1368" s="7" t="inlineStr">
        <is>
          <t>MAT-32-013</t>
        </is>
      </c>
      <c r="B1368" s="4" t="inlineStr">
        <is>
          <t>Tubo PVC DRENAJE 3" x 19 pies</t>
        </is>
      </c>
      <c r="C1368" s="7" t="inlineStr">
        <is>
          <t>tubo</t>
        </is>
      </c>
      <c r="D1368" s="8" t="n"/>
      <c r="E1368" s="8" t="n">
        <v>784.26</v>
      </c>
      <c r="F1368" s="8" t="n"/>
      <c r="G1368" s="8" t="n">
        <v>967</v>
      </c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>
        <f>IF(COUNT(D1368:V1368)=0,"",MIN(D1368:V1368))</f>
        <v/>
      </c>
      <c r="X1368" s="8">
        <f>IF(COUNT(D1368:V1368)=0,"",MEDIAN(D1368:V1368))</f>
        <v/>
      </c>
      <c r="Y1368" s="8">
        <f>IF(COUNT(D1368:V1368)=0,"",MAX(D1368:V1368))</f>
        <v/>
      </c>
      <c r="Z1368" s="9">
        <f>IF(OR(W1368="",W1368=0),"",(Y1368-W1368)/W1368)</f>
        <v/>
      </c>
      <c r="AA1368" s="7">
        <f>IF(COUNT(D1368:V1368)=0,"",INDEX($D$1:$V$1,MATCH(MIN(D1368:V1368),D1368:V1368,0)))</f>
        <v/>
      </c>
      <c r="AB1368" s="8" t="n">
        <v>875.63</v>
      </c>
      <c r="AC1368" s="10" t="n">
        <v>2</v>
      </c>
    </row>
    <row r="1369">
      <c r="A1369" s="7" t="inlineStr">
        <is>
          <t>MAT-32-014</t>
        </is>
      </c>
      <c r="B1369" s="4" t="inlineStr">
        <is>
          <t>Tubo PVC DRENAJE 4" x 19 pies</t>
        </is>
      </c>
      <c r="C1369" s="7" t="inlineStr">
        <is>
          <t>tubo</t>
        </is>
      </c>
      <c r="D1369" s="8" t="n"/>
      <c r="E1369" s="8" t="n">
        <v>1041</v>
      </c>
      <c r="F1369" s="8" t="n"/>
      <c r="G1369" s="8" t="n">
        <v>1001</v>
      </c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>
        <f>IF(COUNT(D1369:V1369)=0,"",MIN(D1369:V1369))</f>
        <v/>
      </c>
      <c r="X1369" s="8">
        <f>IF(COUNT(D1369:V1369)=0,"",MEDIAN(D1369:V1369))</f>
        <v/>
      </c>
      <c r="Y1369" s="8">
        <f>IF(COUNT(D1369:V1369)=0,"",MAX(D1369:V1369))</f>
        <v/>
      </c>
      <c r="Z1369" s="9">
        <f>IF(OR(W1369="",W1369=0),"",(Y1369-W1369)/W1369)</f>
        <v/>
      </c>
      <c r="AA1369" s="7">
        <f>IF(COUNT(D1369:V1369)=0,"",INDEX($D$1:$V$1,MATCH(MIN(D1369:V1369),D1369:V1369,0)))</f>
        <v/>
      </c>
      <c r="AB1369" s="8" t="n">
        <v>1021</v>
      </c>
      <c r="AC1369" s="10" t="n">
        <v>2</v>
      </c>
    </row>
    <row r="1370">
      <c r="A1370" s="7" t="inlineStr">
        <is>
          <t>MAT-32-015</t>
        </is>
      </c>
      <c r="B1370" s="4" t="inlineStr">
        <is>
          <t>Tubo PVC DRENAJE 6" x 19 pies</t>
        </is>
      </c>
      <c r="C1370" s="7" t="inlineStr">
        <is>
          <t>tubo</t>
        </is>
      </c>
      <c r="D1370" s="8" t="n"/>
      <c r="E1370" s="8" t="n">
        <v>3133.17</v>
      </c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>
        <f>IF(COUNT(D1370:V1370)=0,"",MIN(D1370:V1370))</f>
        <v/>
      </c>
      <c r="X1370" s="8">
        <f>IF(COUNT(D1370:V1370)=0,"",MEDIAN(D1370:V1370))</f>
        <v/>
      </c>
      <c r="Y1370" s="8">
        <f>IF(COUNT(D1370:V1370)=0,"",MAX(D1370:V1370))</f>
        <v/>
      </c>
      <c r="Z1370" s="9">
        <f>IF(OR(W1370="",W1370=0),"",(Y1370-W1370)/W1370)</f>
        <v/>
      </c>
      <c r="AA1370" s="7">
        <f>IF(COUNT(D1370:V1370)=0,"",INDEX($D$1:$V$1,MATCH(MIN(D1370:V1370),D1370:V1370,0)))</f>
        <v/>
      </c>
      <c r="AB1370" s="8" t="n">
        <v>3133.17</v>
      </c>
      <c r="AC1370" s="10" t="n">
        <v>1</v>
      </c>
    </row>
    <row r="1371">
      <c r="A1371" s="7" t="inlineStr">
        <is>
          <t>MAT-32-016</t>
        </is>
      </c>
      <c r="B1371" s="4" t="inlineStr">
        <is>
          <t>Tubo PVC DRENAJE 8" x 19 pies</t>
        </is>
      </c>
      <c r="C1371" s="7" t="inlineStr">
        <is>
          <t>tubo</t>
        </is>
      </c>
      <c r="D1371" s="8" t="n"/>
      <c r="E1371" s="8" t="n">
        <v>5301.3</v>
      </c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>
        <f>IF(COUNT(D1371:V1371)=0,"",MIN(D1371:V1371))</f>
        <v/>
      </c>
      <c r="X1371" s="8">
        <f>IF(COUNT(D1371:V1371)=0,"",MEDIAN(D1371:V1371))</f>
        <v/>
      </c>
      <c r="Y1371" s="8">
        <f>IF(COUNT(D1371:V1371)=0,"",MAX(D1371:V1371))</f>
        <v/>
      </c>
      <c r="Z1371" s="9">
        <f>IF(OR(W1371="",W1371=0),"",(Y1371-W1371)/W1371)</f>
        <v/>
      </c>
      <c r="AA1371" s="7">
        <f>IF(COUNT(D1371:V1371)=0,"",INDEX($D$1:$V$1,MATCH(MIN(D1371:V1371),D1371:V1371,0)))</f>
        <v/>
      </c>
      <c r="AB1371" s="8" t="n">
        <v>5301.3</v>
      </c>
      <c r="AC1371" s="10" t="n">
        <v>1</v>
      </c>
    </row>
    <row r="1372">
      <c r="A1372" s="7" t="inlineStr">
        <is>
          <t>MAT-32-017</t>
        </is>
      </c>
      <c r="B1372" s="4" t="inlineStr">
        <is>
          <t>Tubo PVC SCH-40 1 1/2" x 19 pies</t>
        </is>
      </c>
      <c r="C1372" s="7" t="inlineStr">
        <is>
          <t>tubo</t>
        </is>
      </c>
      <c r="D1372" s="8" t="n"/>
      <c r="E1372" s="8" t="n"/>
      <c r="F1372" s="8" t="n"/>
      <c r="G1372" s="8" t="n">
        <v>944</v>
      </c>
      <c r="H1372" s="8" t="n"/>
      <c r="I1372" s="8" t="n"/>
      <c r="J1372" s="8" t="n"/>
      <c r="K1372" s="8" t="n"/>
      <c r="L1372" s="8" t="n">
        <v>535</v>
      </c>
      <c r="M1372" s="8" t="n"/>
      <c r="N1372" s="8" t="n"/>
      <c r="O1372" s="8" t="n">
        <v>898</v>
      </c>
      <c r="P1372" s="8" t="n"/>
      <c r="Q1372" s="8" t="n"/>
      <c r="R1372" s="8" t="n"/>
      <c r="S1372" s="8" t="n"/>
      <c r="T1372" s="8" t="n"/>
      <c r="U1372" s="8" t="n"/>
      <c r="V1372" s="8" t="n"/>
      <c r="W1372" s="8">
        <f>IF(COUNT(D1372:V1372)=0,"",MIN(D1372:V1372))</f>
        <v/>
      </c>
      <c r="X1372" s="8">
        <f>IF(COUNT(D1372:V1372)=0,"",MEDIAN(D1372:V1372))</f>
        <v/>
      </c>
      <c r="Y1372" s="8">
        <f>IF(COUNT(D1372:V1372)=0,"",MAX(D1372:V1372))</f>
        <v/>
      </c>
      <c r="Z1372" s="9">
        <f>IF(OR(W1372="",W1372=0),"",(Y1372-W1372)/W1372)</f>
        <v/>
      </c>
      <c r="AA1372" s="7">
        <f>IF(COUNT(D1372:V1372)=0,"",INDEX($D$1:$V$1,MATCH(MIN(D1372:V1372),D1372:V1372,0)))</f>
        <v/>
      </c>
      <c r="AB1372" s="8" t="n">
        <v>944</v>
      </c>
      <c r="AC1372" s="10" t="n">
        <v>3</v>
      </c>
    </row>
    <row r="1373">
      <c r="A1373" s="7" t="inlineStr">
        <is>
          <t>MAT-32-018</t>
        </is>
      </c>
      <c r="B1373" s="4" t="inlineStr">
        <is>
          <t>Tubo PVC SCH-40 1/2" x 19 pies</t>
        </is>
      </c>
      <c r="C1373" s="7" t="inlineStr">
        <is>
          <t>tubo</t>
        </is>
      </c>
      <c r="D1373" s="8" t="n"/>
      <c r="E1373" s="8" t="n">
        <v>275</v>
      </c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>
        <v>253.2</v>
      </c>
      <c r="P1373" s="8" t="n"/>
      <c r="Q1373" s="8" t="n"/>
      <c r="R1373" s="8" t="n"/>
      <c r="S1373" s="8" t="n"/>
      <c r="T1373" s="8" t="n"/>
      <c r="U1373" s="8" t="n"/>
      <c r="V1373" s="8" t="n"/>
      <c r="W1373" s="8">
        <f>IF(COUNT(D1373:V1373)=0,"",MIN(D1373:V1373))</f>
        <v/>
      </c>
      <c r="X1373" s="8">
        <f>IF(COUNT(D1373:V1373)=0,"",MEDIAN(D1373:V1373))</f>
        <v/>
      </c>
      <c r="Y1373" s="8">
        <f>IF(COUNT(D1373:V1373)=0,"",MAX(D1373:V1373))</f>
        <v/>
      </c>
      <c r="Z1373" s="9">
        <f>IF(OR(W1373="",W1373=0),"",(Y1373-W1373)/W1373)</f>
        <v/>
      </c>
      <c r="AA1373" s="7">
        <f>IF(COUNT(D1373:V1373)=0,"",INDEX($D$1:$V$1,MATCH(MIN(D1373:V1373),D1373:V1373,0)))</f>
        <v/>
      </c>
      <c r="AB1373" s="8" t="n">
        <v>298.78</v>
      </c>
      <c r="AC1373" s="10" t="n">
        <v>2</v>
      </c>
    </row>
    <row r="1374">
      <c r="A1374" s="7" t="inlineStr">
        <is>
          <t>MAT-32-019</t>
        </is>
      </c>
      <c r="B1374" s="4" t="inlineStr">
        <is>
          <t>Tubo PVC SCH-40 1" x 19 pies</t>
        </is>
      </c>
      <c r="C1374" s="7" t="inlineStr">
        <is>
          <t>tubo</t>
        </is>
      </c>
      <c r="D1374" s="8" t="n"/>
      <c r="E1374" s="8" t="n">
        <v>623</v>
      </c>
      <c r="F1374" s="8" t="n"/>
      <c r="G1374" s="8" t="n">
        <v>570</v>
      </c>
      <c r="H1374" s="8" t="n"/>
      <c r="I1374" s="8" t="n"/>
      <c r="J1374" s="8" t="n"/>
      <c r="K1374" s="8" t="n"/>
      <c r="L1374" s="8" t="n">
        <v>315</v>
      </c>
      <c r="M1374" s="8" t="n"/>
      <c r="N1374" s="8" t="n"/>
      <c r="O1374" s="8" t="n">
        <v>531.4</v>
      </c>
      <c r="P1374" s="8" t="n"/>
      <c r="Q1374" s="8" t="n"/>
      <c r="R1374" s="8" t="n"/>
      <c r="S1374" s="8" t="n"/>
      <c r="T1374" s="8" t="n"/>
      <c r="U1374" s="8" t="n"/>
      <c r="V1374" s="8" t="n"/>
      <c r="W1374" s="8">
        <f>IF(COUNT(D1374:V1374)=0,"",MIN(D1374:V1374))</f>
        <v/>
      </c>
      <c r="X1374" s="8">
        <f>IF(COUNT(D1374:V1374)=0,"",MEDIAN(D1374:V1374))</f>
        <v/>
      </c>
      <c r="Y1374" s="8">
        <f>IF(COUNT(D1374:V1374)=0,"",MAX(D1374:V1374))</f>
        <v/>
      </c>
      <c r="Z1374" s="9">
        <f>IF(OR(W1374="",W1374=0),"",(Y1374-W1374)/W1374)</f>
        <v/>
      </c>
      <c r="AA1374" s="7">
        <f>IF(COUNT(D1374:V1374)=0,"",INDEX($D$1:$V$1,MATCH(MIN(D1374:V1374),D1374:V1374,0)))</f>
        <v/>
      </c>
      <c r="AB1374" s="8" t="n">
        <v>596.5</v>
      </c>
      <c r="AC1374" s="10" t="n">
        <v>4</v>
      </c>
    </row>
    <row r="1375">
      <c r="A1375" s="7" t="inlineStr">
        <is>
          <t>MAT-32-020</t>
        </is>
      </c>
      <c r="B1375" s="4" t="inlineStr">
        <is>
          <t>Tubo PVC SCH-40 2" x 19 pies</t>
        </is>
      </c>
      <c r="C1375" s="7" t="inlineStr">
        <is>
          <t>tubo</t>
        </is>
      </c>
      <c r="D1375" s="8" t="n"/>
      <c r="E1375" s="8" t="n">
        <v>1416</v>
      </c>
      <c r="F1375" s="8" t="n"/>
      <c r="G1375" s="8" t="n"/>
      <c r="H1375" s="8" t="n"/>
      <c r="I1375" s="8" t="n"/>
      <c r="J1375" s="8" t="n"/>
      <c r="K1375" s="8" t="n"/>
      <c r="L1375" s="8" t="n">
        <v>745</v>
      </c>
      <c r="M1375" s="8" t="n"/>
      <c r="N1375" s="8" t="n"/>
      <c r="O1375" s="8" t="n">
        <v>1207.6</v>
      </c>
      <c r="P1375" s="8" t="n"/>
      <c r="Q1375" s="8" t="n"/>
      <c r="R1375" s="8" t="n"/>
      <c r="S1375" s="8" t="n"/>
      <c r="T1375" s="8" t="n"/>
      <c r="U1375" s="8" t="n"/>
      <c r="V1375" s="8" t="n"/>
      <c r="W1375" s="8">
        <f>IF(COUNT(D1375:V1375)=0,"",MIN(D1375:V1375))</f>
        <v/>
      </c>
      <c r="X1375" s="8">
        <f>IF(COUNT(D1375:V1375)=0,"",MEDIAN(D1375:V1375))</f>
        <v/>
      </c>
      <c r="Y1375" s="8">
        <f>IF(COUNT(D1375:V1375)=0,"",MAX(D1375:V1375))</f>
        <v/>
      </c>
      <c r="Z1375" s="9">
        <f>IF(OR(W1375="",W1375=0),"",(Y1375-W1375)/W1375)</f>
        <v/>
      </c>
      <c r="AA1375" s="7">
        <f>IF(COUNT(D1375:V1375)=0,"",INDEX($D$1:$V$1,MATCH(MIN(D1375:V1375),D1375:V1375,0)))</f>
        <v/>
      </c>
      <c r="AB1375" s="8" t="n">
        <v>1416</v>
      </c>
      <c r="AC1375" s="10" t="n">
        <v>3</v>
      </c>
    </row>
    <row r="1376">
      <c r="A1376" s="7" t="inlineStr">
        <is>
          <t>MAT-32-021</t>
        </is>
      </c>
      <c r="B1376" s="4" t="inlineStr">
        <is>
          <t>Tubo PVC SCH-40 2" x 9.5 pies</t>
        </is>
      </c>
      <c r="C1376" s="7" t="inlineStr">
        <is>
          <t>tubo</t>
        </is>
      </c>
      <c r="D1376" s="8" t="n"/>
      <c r="E1376" s="8" t="n">
        <v>698</v>
      </c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>
        <f>IF(COUNT(D1376:V1376)=0,"",MIN(D1376:V1376))</f>
        <v/>
      </c>
      <c r="X1376" s="8">
        <f>IF(COUNT(D1376:V1376)=0,"",MEDIAN(D1376:V1376))</f>
        <v/>
      </c>
      <c r="Y1376" s="8">
        <f>IF(COUNT(D1376:V1376)=0,"",MAX(D1376:V1376))</f>
        <v/>
      </c>
      <c r="Z1376" s="9">
        <f>IF(OR(W1376="",W1376=0),"",(Y1376-W1376)/W1376)</f>
        <v/>
      </c>
      <c r="AA1376" s="7">
        <f>IF(COUNT(D1376:V1376)=0,"",INDEX($D$1:$V$1,MATCH(MIN(D1376:V1376),D1376:V1376,0)))</f>
        <v/>
      </c>
      <c r="AB1376" s="8" t="n">
        <v>698</v>
      </c>
      <c r="AC1376" s="10" t="n">
        <v>1</v>
      </c>
    </row>
    <row r="1377">
      <c r="A1377" s="7" t="inlineStr">
        <is>
          <t>MAT-32-022</t>
        </is>
      </c>
      <c r="B1377" s="4" t="inlineStr">
        <is>
          <t>Tubo PVC SCH-40 3/4" x 19 pies</t>
        </is>
      </c>
      <c r="C1377" s="7" t="inlineStr">
        <is>
          <t>tubo</t>
        </is>
      </c>
      <c r="D1377" s="8" t="n"/>
      <c r="E1377" s="8" t="n">
        <v>217</v>
      </c>
      <c r="F1377" s="8" t="n"/>
      <c r="G1377" s="8" t="n">
        <v>388</v>
      </c>
      <c r="H1377" s="8" t="n"/>
      <c r="I1377" s="8" t="n"/>
      <c r="J1377" s="8" t="n"/>
      <c r="K1377" s="8" t="n"/>
      <c r="L1377" s="8" t="n">
        <v>235</v>
      </c>
      <c r="M1377" s="8" t="n"/>
      <c r="N1377" s="8" t="n"/>
      <c r="O1377" s="8" t="n">
        <v>358.9</v>
      </c>
      <c r="P1377" s="8" t="n"/>
      <c r="Q1377" s="8" t="n"/>
      <c r="R1377" s="8" t="n"/>
      <c r="S1377" s="8" t="n"/>
      <c r="T1377" s="8" t="n"/>
      <c r="U1377" s="8" t="n"/>
      <c r="V1377" s="8" t="n"/>
      <c r="W1377" s="8">
        <f>IF(COUNT(D1377:V1377)=0,"",MIN(D1377:V1377))</f>
        <v/>
      </c>
      <c r="X1377" s="8">
        <f>IF(COUNT(D1377:V1377)=0,"",MEDIAN(D1377:V1377))</f>
        <v/>
      </c>
      <c r="Y1377" s="8">
        <f>IF(COUNT(D1377:V1377)=0,"",MAX(D1377:V1377))</f>
        <v/>
      </c>
      <c r="Z1377" s="9">
        <f>IF(OR(W1377="",W1377=0),"",(Y1377-W1377)/W1377)</f>
        <v/>
      </c>
      <c r="AA1377" s="7">
        <f>IF(COUNT(D1377:V1377)=0,"",INDEX($D$1:$V$1,MATCH(MIN(D1377:V1377),D1377:V1377,0)))</f>
        <v/>
      </c>
      <c r="AB1377" s="8" t="n">
        <v>388</v>
      </c>
      <c r="AC1377" s="10" t="n">
        <v>4</v>
      </c>
    </row>
    <row r="1378">
      <c r="A1378" s="7" t="inlineStr">
        <is>
          <t>MAT-32-023</t>
        </is>
      </c>
      <c r="B1378" s="4" t="inlineStr">
        <is>
          <t>Tubo PVC SCH-40 3/4" x 9.5 pies</t>
        </is>
      </c>
      <c r="C1378" s="7" t="inlineStr">
        <is>
          <t>tubo</t>
        </is>
      </c>
      <c r="D1378" s="8" t="n"/>
      <c r="E1378" s="8" t="n">
        <v>154</v>
      </c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>
        <f>IF(COUNT(D1378:V1378)=0,"",MIN(D1378:V1378))</f>
        <v/>
      </c>
      <c r="X1378" s="8">
        <f>IF(COUNT(D1378:V1378)=0,"",MEDIAN(D1378:V1378))</f>
        <v/>
      </c>
      <c r="Y1378" s="8">
        <f>IF(COUNT(D1378:V1378)=0,"",MAX(D1378:V1378))</f>
        <v/>
      </c>
      <c r="Z1378" s="9">
        <f>IF(OR(W1378="",W1378=0),"",(Y1378-W1378)/W1378)</f>
        <v/>
      </c>
      <c r="AA1378" s="7">
        <f>IF(COUNT(D1378:V1378)=0,"",INDEX($D$1:$V$1,MATCH(MIN(D1378:V1378),D1378:V1378,0)))</f>
        <v/>
      </c>
      <c r="AB1378" s="8" t="n">
        <v>154</v>
      </c>
      <c r="AC1378" s="10" t="n">
        <v>1</v>
      </c>
    </row>
    <row r="1379">
      <c r="A1379" s="7" t="inlineStr">
        <is>
          <t>MAT-32-024</t>
        </is>
      </c>
      <c r="B1379" s="4" t="inlineStr">
        <is>
          <t>Tubo PVC SCH-40 3" x 19 pies</t>
        </is>
      </c>
      <c r="C1379" s="7" t="inlineStr">
        <is>
          <t>tubo</t>
        </is>
      </c>
      <c r="D1379" s="8" t="n"/>
      <c r="E1379" s="8" t="n">
        <v>2832</v>
      </c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>
        <v>2507.1</v>
      </c>
      <c r="P1379" s="8" t="n"/>
      <c r="Q1379" s="8" t="n"/>
      <c r="R1379" s="8" t="n"/>
      <c r="S1379" s="8" t="n"/>
      <c r="T1379" s="8" t="n"/>
      <c r="U1379" s="8" t="n"/>
      <c r="V1379" s="8" t="n"/>
      <c r="W1379" s="8">
        <f>IF(COUNT(D1379:V1379)=0,"",MIN(D1379:V1379))</f>
        <v/>
      </c>
      <c r="X1379" s="8">
        <f>IF(COUNT(D1379:V1379)=0,"",MEDIAN(D1379:V1379))</f>
        <v/>
      </c>
      <c r="Y1379" s="8">
        <f>IF(COUNT(D1379:V1379)=0,"",MAX(D1379:V1379))</f>
        <v/>
      </c>
      <c r="Z1379" s="9">
        <f>IF(OR(W1379="",W1379=0),"",(Y1379-W1379)/W1379)</f>
        <v/>
      </c>
      <c r="AA1379" s="7">
        <f>IF(COUNT(D1379:V1379)=0,"",INDEX($D$1:$V$1,MATCH(MIN(D1379:V1379),D1379:V1379,0)))</f>
        <v/>
      </c>
      <c r="AB1379" s="8" t="n">
        <v>2895.19</v>
      </c>
      <c r="AC1379" s="10" t="n">
        <v>2</v>
      </c>
    </row>
    <row r="1380">
      <c r="A1380" s="7" t="inlineStr">
        <is>
          <t>MAT-32-025</t>
        </is>
      </c>
      <c r="B1380" s="4" t="inlineStr">
        <is>
          <t>Tubo PVC SCH-40 4" x 19 pies</t>
        </is>
      </c>
      <c r="C1380" s="7" t="inlineStr">
        <is>
          <t>tubo</t>
        </is>
      </c>
      <c r="D1380" s="8" t="n"/>
      <c r="E1380" s="8" t="n">
        <v>4020.28</v>
      </c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>
        <v>3571.1</v>
      </c>
      <c r="P1380" s="8" t="n"/>
      <c r="Q1380" s="8" t="n"/>
      <c r="R1380" s="8" t="n"/>
      <c r="S1380" s="8" t="n"/>
      <c r="T1380" s="8" t="n"/>
      <c r="U1380" s="8" t="n"/>
      <c r="V1380" s="8" t="n"/>
      <c r="W1380" s="8">
        <f>IF(COUNT(D1380:V1380)=0,"",MIN(D1380:V1380))</f>
        <v/>
      </c>
      <c r="X1380" s="8">
        <f>IF(COUNT(D1380:V1380)=0,"",MEDIAN(D1380:V1380))</f>
        <v/>
      </c>
      <c r="Y1380" s="8">
        <f>IF(COUNT(D1380:V1380)=0,"",MAX(D1380:V1380))</f>
        <v/>
      </c>
      <c r="Z1380" s="9">
        <f>IF(OR(W1380="",W1380=0),"",(Y1380-W1380)/W1380)</f>
        <v/>
      </c>
      <c r="AA1380" s="7">
        <f>IF(COUNT(D1380:V1380)=0,"",INDEX($D$1:$V$1,MATCH(MIN(D1380:V1380),D1380:V1380,0)))</f>
        <v/>
      </c>
      <c r="AB1380" s="8" t="n">
        <v>4117.09</v>
      </c>
      <c r="AC1380" s="10" t="n">
        <v>2</v>
      </c>
    </row>
    <row r="1381">
      <c r="A1381" s="7" t="inlineStr">
        <is>
          <t>MAT-32-026</t>
        </is>
      </c>
      <c r="B1381" s="4" t="inlineStr">
        <is>
          <t>Tubo PVC SCH-40 6" x 19 pies</t>
        </is>
      </c>
      <c r="C1381" s="7" t="inlineStr">
        <is>
          <t>tubo</t>
        </is>
      </c>
      <c r="D1381" s="8" t="n"/>
      <c r="E1381" s="8" t="n">
        <v>7865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>
        <v>6907.8</v>
      </c>
      <c r="P1381" s="8" t="n"/>
      <c r="Q1381" s="8" t="n"/>
      <c r="R1381" s="8" t="n"/>
      <c r="S1381" s="8" t="n"/>
      <c r="T1381" s="8" t="n"/>
      <c r="U1381" s="8" t="n"/>
      <c r="V1381" s="8" t="n"/>
      <c r="W1381" s="8">
        <f>IF(COUNT(D1381:V1381)=0,"",MIN(D1381:V1381))</f>
        <v/>
      </c>
      <c r="X1381" s="8">
        <f>IF(COUNT(D1381:V1381)=0,"",MEDIAN(D1381:V1381))</f>
        <v/>
      </c>
      <c r="Y1381" s="8">
        <f>IF(COUNT(D1381:V1381)=0,"",MAX(D1381:V1381))</f>
        <v/>
      </c>
      <c r="Z1381" s="9">
        <f>IF(OR(W1381="",W1381=0),"",(Y1381-W1381)/W1381)</f>
        <v/>
      </c>
      <c r="AA1381" s="7">
        <f>IF(COUNT(D1381:V1381)=0,"",INDEX($D$1:$V$1,MATCH(MIN(D1381:V1381),D1381:V1381,0)))</f>
        <v/>
      </c>
      <c r="AB1381" s="8" t="n">
        <v>8008.1</v>
      </c>
      <c r="AC1381" s="10" t="n">
        <v>2</v>
      </c>
    </row>
    <row r="1382">
      <c r="A1382" s="7" t="inlineStr">
        <is>
          <t>MAT-32-027</t>
        </is>
      </c>
      <c r="B1382" s="4" t="inlineStr">
        <is>
          <t>Tubo PVC SCH-40 8" x 19 pies</t>
        </is>
      </c>
      <c r="C1382" s="7" t="inlineStr">
        <is>
          <t>tubo</t>
        </is>
      </c>
      <c r="D1382" s="8" t="n"/>
      <c r="E1382" s="8" t="n">
        <v>11841.41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>
        <v>10374.3</v>
      </c>
      <c r="P1382" s="8" t="n"/>
      <c r="Q1382" s="8" t="n"/>
      <c r="R1382" s="8" t="n"/>
      <c r="S1382" s="8" t="n"/>
      <c r="T1382" s="8" t="n"/>
      <c r="U1382" s="8" t="n"/>
      <c r="V1382" s="8" t="n"/>
      <c r="W1382" s="8">
        <f>IF(COUNT(D1382:V1382)=0,"",MIN(D1382:V1382))</f>
        <v/>
      </c>
      <c r="X1382" s="8">
        <f>IF(COUNT(D1382:V1382)=0,"",MEDIAN(D1382:V1382))</f>
        <v/>
      </c>
      <c r="Y1382" s="8">
        <f>IF(COUNT(D1382:V1382)=0,"",MAX(D1382:V1382))</f>
        <v/>
      </c>
      <c r="Z1382" s="9">
        <f>IF(OR(W1382="",W1382=0),"",(Y1382-W1382)/W1382)</f>
        <v/>
      </c>
      <c r="AA1382" s="7">
        <f>IF(COUNT(D1382:V1382)=0,"",INDEX($D$1:$V$1,MATCH(MIN(D1382:V1382),D1382:V1382,0)))</f>
        <v/>
      </c>
      <c r="AB1382" s="8" t="n">
        <v>12041.54</v>
      </c>
      <c r="AC1382" s="10" t="n">
        <v>2</v>
      </c>
    </row>
    <row r="1383">
      <c r="A1383" s="7" t="inlineStr">
        <is>
          <t>MAT-32-028</t>
        </is>
      </c>
      <c r="B1383" s="4" t="inlineStr">
        <is>
          <t>Tubo PVC SCH-80 1/2" x 19 pies</t>
        </is>
      </c>
      <c r="C1383" s="7" t="inlineStr">
        <is>
          <t>tubo</t>
        </is>
      </c>
      <c r="D1383" s="8" t="n"/>
      <c r="E1383" s="8" t="n">
        <v>465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>
        <f>IF(COUNT(D1383:V1383)=0,"",MIN(D1383:V1383))</f>
        <v/>
      </c>
      <c r="X1383" s="8">
        <f>IF(COUNT(D1383:V1383)=0,"",MEDIAN(D1383:V1383))</f>
        <v/>
      </c>
      <c r="Y1383" s="8">
        <f>IF(COUNT(D1383:V1383)=0,"",MAX(D1383:V1383))</f>
        <v/>
      </c>
      <c r="Z1383" s="9">
        <f>IF(OR(W1383="",W1383=0),"",(Y1383-W1383)/W1383)</f>
        <v/>
      </c>
      <c r="AA1383" s="7">
        <f>IF(COUNT(D1383:V1383)=0,"",INDEX($D$1:$V$1,MATCH(MIN(D1383:V1383),D1383:V1383,0)))</f>
        <v/>
      </c>
      <c r="AB1383" s="8" t="n">
        <v>1098.5</v>
      </c>
      <c r="AC1383" s="10" t="n">
        <v>1</v>
      </c>
    </row>
    <row r="1384">
      <c r="A1384" s="7" t="inlineStr">
        <is>
          <t>MAT-32-029</t>
        </is>
      </c>
      <c r="B1384" s="4" t="inlineStr">
        <is>
          <t>Tubo PVC SCH-80 1" x 19 pies</t>
        </is>
      </c>
      <c r="C1384" s="7" t="inlineStr">
        <is>
          <t>tubo</t>
        </is>
      </c>
      <c r="D1384" s="8" t="n"/>
      <c r="E1384" s="8" t="n">
        <v>905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>
        <f>IF(COUNT(D1384:V1384)=0,"",MIN(D1384:V1384))</f>
        <v/>
      </c>
      <c r="X1384" s="8">
        <f>IF(COUNT(D1384:V1384)=0,"",MEDIAN(D1384:V1384))</f>
        <v/>
      </c>
      <c r="Y1384" s="8">
        <f>IF(COUNT(D1384:V1384)=0,"",MAX(D1384:V1384))</f>
        <v/>
      </c>
      <c r="Z1384" s="9">
        <f>IF(OR(W1384="",W1384=0),"",(Y1384-W1384)/W1384)</f>
        <v/>
      </c>
      <c r="AA1384" s="7">
        <f>IF(COUNT(D1384:V1384)=0,"",INDEX($D$1:$V$1,MATCH(MIN(D1384:V1384),D1384:V1384,0)))</f>
        <v/>
      </c>
      <c r="AB1384" s="8" t="n">
        <v>905</v>
      </c>
      <c r="AC1384" s="10" t="n">
        <v>1</v>
      </c>
    </row>
    <row r="1385">
      <c r="A1385" s="7" t="inlineStr">
        <is>
          <t>MAT-32-030</t>
        </is>
      </c>
      <c r="B1385" s="4" t="inlineStr">
        <is>
          <t>Tubo PVC SCH-80 2" x 19 pies</t>
        </is>
      </c>
      <c r="C1385" s="7" t="inlineStr">
        <is>
          <t>tubo</t>
        </is>
      </c>
      <c r="D1385" s="8" t="n"/>
      <c r="E1385" s="8" t="n">
        <v>2276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>
        <f>IF(COUNT(D1385:V1385)=0,"",MIN(D1385:V1385))</f>
        <v/>
      </c>
      <c r="X1385" s="8">
        <f>IF(COUNT(D1385:V1385)=0,"",MEDIAN(D1385:V1385))</f>
        <v/>
      </c>
      <c r="Y1385" s="8">
        <f>IF(COUNT(D1385:V1385)=0,"",MAX(D1385:V1385))</f>
        <v/>
      </c>
      <c r="Z1385" s="9">
        <f>IF(OR(W1385="",W1385=0),"",(Y1385-W1385)/W1385)</f>
        <v/>
      </c>
      <c r="AA1385" s="7">
        <f>IF(COUNT(D1385:V1385)=0,"",INDEX($D$1:$V$1,MATCH(MIN(D1385:V1385),D1385:V1385,0)))</f>
        <v/>
      </c>
      <c r="AB1385" s="8" t="n">
        <v>2276</v>
      </c>
      <c r="AC1385" s="10" t="n">
        <v>1</v>
      </c>
    </row>
    <row r="1386">
      <c r="A1386" s="7" t="inlineStr">
        <is>
          <t>MAT-32-031</t>
        </is>
      </c>
      <c r="B1386" s="4" t="inlineStr">
        <is>
          <t>Tubo PVC SCH-80 3/4" x 19 pies</t>
        </is>
      </c>
      <c r="C1386" s="7" t="inlineStr">
        <is>
          <t>tubo</t>
        </is>
      </c>
      <c r="D1386" s="8" t="n"/>
      <c r="E1386" s="8" t="n">
        <v>621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>
        <f>IF(COUNT(D1386:V1386)=0,"",MIN(D1386:V1386))</f>
        <v/>
      </c>
      <c r="X1386" s="8">
        <f>IF(COUNT(D1386:V1386)=0,"",MEDIAN(D1386:V1386))</f>
        <v/>
      </c>
      <c r="Y1386" s="8">
        <f>IF(COUNT(D1386:V1386)=0,"",MAX(D1386:V1386))</f>
        <v/>
      </c>
      <c r="Z1386" s="9">
        <f>IF(OR(W1386="",W1386=0),"",(Y1386-W1386)/W1386)</f>
        <v/>
      </c>
      <c r="AA1386" s="7">
        <f>IF(COUNT(D1386:V1386)=0,"",INDEX($D$1:$V$1,MATCH(MIN(D1386:V1386),D1386:V1386,0)))</f>
        <v/>
      </c>
      <c r="AB1386" s="8" t="n">
        <v>621</v>
      </c>
      <c r="AC1386" s="10" t="n">
        <v>1</v>
      </c>
    </row>
    <row r="1387">
      <c r="A1387" s="7" t="inlineStr">
        <is>
          <t>MAT-32-032</t>
        </is>
      </c>
      <c r="B1387" s="4" t="inlineStr">
        <is>
          <t>Tubo PVC SCH-80 3" x 19 pies</t>
        </is>
      </c>
      <c r="C1387" s="7" t="inlineStr">
        <is>
          <t>tubo</t>
        </is>
      </c>
      <c r="D1387" s="8" t="n"/>
      <c r="E1387" s="8" t="n">
        <v>4177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>
        <f>IF(COUNT(D1387:V1387)=0,"",MIN(D1387:V1387))</f>
        <v/>
      </c>
      <c r="X1387" s="8">
        <f>IF(COUNT(D1387:V1387)=0,"",MEDIAN(D1387:V1387))</f>
        <v/>
      </c>
      <c r="Y1387" s="8">
        <f>IF(COUNT(D1387:V1387)=0,"",MAX(D1387:V1387))</f>
        <v/>
      </c>
      <c r="Z1387" s="9">
        <f>IF(OR(W1387="",W1387=0),"",(Y1387-W1387)/W1387)</f>
        <v/>
      </c>
      <c r="AA1387" s="7">
        <f>IF(COUNT(D1387:V1387)=0,"",INDEX($D$1:$V$1,MATCH(MIN(D1387:V1387),D1387:V1387,0)))</f>
        <v/>
      </c>
      <c r="AB1387" s="8" t="n">
        <v>4177</v>
      </c>
      <c r="AC1387" s="10" t="n">
        <v>1</v>
      </c>
    </row>
    <row r="1388">
      <c r="A1388" s="7" t="inlineStr">
        <is>
          <t>MAT-32-033</t>
        </is>
      </c>
      <c r="B1388" s="4" t="inlineStr">
        <is>
          <t>Tubo PVC SDR-13.5 1/2" x 19 pies</t>
        </is>
      </c>
      <c r="C1388" s="7" t="inlineStr">
        <is>
          <t>tubo</t>
        </is>
      </c>
      <c r="D1388" s="8" t="n"/>
      <c r="E1388" s="8" t="n">
        <v>181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>
        <f>IF(COUNT(D1388:V1388)=0,"",MIN(D1388:V1388))</f>
        <v/>
      </c>
      <c r="X1388" s="8">
        <f>IF(COUNT(D1388:V1388)=0,"",MEDIAN(D1388:V1388))</f>
        <v/>
      </c>
      <c r="Y1388" s="8">
        <f>IF(COUNT(D1388:V1388)=0,"",MAX(D1388:V1388))</f>
        <v/>
      </c>
      <c r="Z1388" s="9">
        <f>IF(OR(W1388="",W1388=0),"",(Y1388-W1388)/W1388)</f>
        <v/>
      </c>
      <c r="AA1388" s="7">
        <f>IF(COUNT(D1388:V1388)=0,"",INDEX($D$1:$V$1,MATCH(MIN(D1388:V1388),D1388:V1388,0)))</f>
        <v/>
      </c>
      <c r="AB1388" s="8" t="n">
        <v>181</v>
      </c>
      <c r="AC1388" s="10" t="n">
        <v>1</v>
      </c>
    </row>
    <row r="1389">
      <c r="A1389" s="7" t="inlineStr">
        <is>
          <t>MAT-32-034</t>
        </is>
      </c>
      <c r="B1389" s="4" t="inlineStr">
        <is>
          <t>Tubo PVC SDR-21 1" x 19 pies</t>
        </is>
      </c>
      <c r="C1389" s="7" t="inlineStr">
        <is>
          <t>tubo</t>
        </is>
      </c>
      <c r="D1389" s="8" t="n"/>
      <c r="E1389" s="8" t="n">
        <v>320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>
        <f>IF(COUNT(D1389:V1389)=0,"",MIN(D1389:V1389))</f>
        <v/>
      </c>
      <c r="X1389" s="8">
        <f>IF(COUNT(D1389:V1389)=0,"",MEDIAN(D1389:V1389))</f>
        <v/>
      </c>
      <c r="Y1389" s="8">
        <f>IF(COUNT(D1389:V1389)=0,"",MAX(D1389:V1389))</f>
        <v/>
      </c>
      <c r="Z1389" s="9">
        <f>IF(OR(W1389="",W1389=0),"",(Y1389-W1389)/W1389)</f>
        <v/>
      </c>
      <c r="AA1389" s="7">
        <f>IF(COUNT(D1389:V1389)=0,"",INDEX($D$1:$V$1,MATCH(MIN(D1389:V1389),D1389:V1389,0)))</f>
        <v/>
      </c>
      <c r="AB1389" s="8" t="n">
        <v>320</v>
      </c>
      <c r="AC1389" s="10" t="n">
        <v>1</v>
      </c>
    </row>
    <row r="1390">
      <c r="A1390" s="7" t="inlineStr">
        <is>
          <t>MAT-32-035</t>
        </is>
      </c>
      <c r="B1390" s="4" t="inlineStr">
        <is>
          <t>Tubo PVC SDR-21 1" x 9.5 pies</t>
        </is>
      </c>
      <c r="C1390" s="7" t="inlineStr">
        <is>
          <t>tubo</t>
        </is>
      </c>
      <c r="D1390" s="8" t="n"/>
      <c r="E1390" s="8" t="n">
        <v>176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>
        <f>IF(COUNT(D1390:V1390)=0,"",MIN(D1390:V1390))</f>
        <v/>
      </c>
      <c r="X1390" s="8">
        <f>IF(COUNT(D1390:V1390)=0,"",MEDIAN(D1390:V1390))</f>
        <v/>
      </c>
      <c r="Y1390" s="8">
        <f>IF(COUNT(D1390:V1390)=0,"",MAX(D1390:V1390))</f>
        <v/>
      </c>
      <c r="Z1390" s="9">
        <f>IF(OR(W1390="",W1390=0),"",(Y1390-W1390)/W1390)</f>
        <v/>
      </c>
      <c r="AA1390" s="7">
        <f>IF(COUNT(D1390:V1390)=0,"",INDEX($D$1:$V$1,MATCH(MIN(D1390:V1390),D1390:V1390,0)))</f>
        <v/>
      </c>
      <c r="AB1390" s="8" t="n">
        <v>176</v>
      </c>
      <c r="AC1390" s="10" t="n">
        <v>1</v>
      </c>
    </row>
    <row r="1391">
      <c r="A1391" s="7" t="inlineStr">
        <is>
          <t>MAT-32-036</t>
        </is>
      </c>
      <c r="B1391" s="4" t="inlineStr">
        <is>
          <t>Tubo PVC SDR-21 3/4" x 19 pies</t>
        </is>
      </c>
      <c r="C1391" s="7" t="inlineStr">
        <is>
          <t>tubo</t>
        </is>
      </c>
      <c r="D1391" s="8" t="n"/>
      <c r="E1391" s="8" t="n">
        <v>260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>
        <f>IF(COUNT(D1391:V1391)=0,"",MIN(D1391:V1391))</f>
        <v/>
      </c>
      <c r="X1391" s="8">
        <f>IF(COUNT(D1391:V1391)=0,"",MEDIAN(D1391:V1391))</f>
        <v/>
      </c>
      <c r="Y1391" s="8">
        <f>IF(COUNT(D1391:V1391)=0,"",MAX(D1391:V1391))</f>
        <v/>
      </c>
      <c r="Z1391" s="9">
        <f>IF(OR(W1391="",W1391=0),"",(Y1391-W1391)/W1391)</f>
        <v/>
      </c>
      <c r="AA1391" s="7">
        <f>IF(COUNT(D1391:V1391)=0,"",INDEX($D$1:$V$1,MATCH(MIN(D1391:V1391),D1391:V1391,0)))</f>
        <v/>
      </c>
      <c r="AB1391" s="8" t="n">
        <v>260</v>
      </c>
      <c r="AC1391" s="10" t="n">
        <v>1</v>
      </c>
    </row>
    <row r="1392">
      <c r="A1392" s="7" t="inlineStr">
        <is>
          <t>MAT-32-037</t>
        </is>
      </c>
      <c r="B1392" s="4" t="inlineStr">
        <is>
          <t>Tubo PVC SDR-21 3/4" x 9.5 pies</t>
        </is>
      </c>
      <c r="C1392" s="7" t="inlineStr">
        <is>
          <t>tubo</t>
        </is>
      </c>
      <c r="D1392" s="8" t="n"/>
      <c r="E1392" s="8" t="n">
        <v>146</v>
      </c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>
        <f>IF(COUNT(D1392:V1392)=0,"",MIN(D1392:V1392))</f>
        <v/>
      </c>
      <c r="X1392" s="8">
        <f>IF(COUNT(D1392:V1392)=0,"",MEDIAN(D1392:V1392))</f>
        <v/>
      </c>
      <c r="Y1392" s="8">
        <f>IF(COUNT(D1392:V1392)=0,"",MAX(D1392:V1392))</f>
        <v/>
      </c>
      <c r="Z1392" s="9">
        <f>IF(OR(W1392="",W1392=0),"",(Y1392-W1392)/W1392)</f>
        <v/>
      </c>
      <c r="AA1392" s="7">
        <f>IF(COUNT(D1392:V1392)=0,"",INDEX($D$1:$V$1,MATCH(MIN(D1392:V1392),D1392:V1392,0)))</f>
        <v/>
      </c>
      <c r="AB1392" s="8" t="n">
        <v>146</v>
      </c>
      <c r="AC1392" s="10" t="n">
        <v>1</v>
      </c>
    </row>
    <row r="1393">
      <c r="A1393" s="7" t="inlineStr">
        <is>
          <t>MAT-32-038</t>
        </is>
      </c>
      <c r="B1393" s="4" t="inlineStr">
        <is>
          <t>Tubo PVC SDR-26 1 1/2" x 19 pies</t>
        </is>
      </c>
      <c r="C1393" s="7" t="inlineStr">
        <is>
          <t>tubo</t>
        </is>
      </c>
      <c r="D1393" s="8" t="n"/>
      <c r="E1393" s="8" t="n"/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>
        <v>496.6</v>
      </c>
      <c r="P1393" s="8" t="n"/>
      <c r="Q1393" s="8" t="n"/>
      <c r="R1393" s="8" t="n"/>
      <c r="S1393" s="8" t="n"/>
      <c r="T1393" s="8" t="n"/>
      <c r="U1393" s="8" t="n"/>
      <c r="V1393" s="8" t="n"/>
      <c r="W1393" s="8">
        <f>IF(COUNT(D1393:V1393)=0,"",MIN(D1393:V1393))</f>
        <v/>
      </c>
      <c r="X1393" s="8">
        <f>IF(COUNT(D1393:V1393)=0,"",MEDIAN(D1393:V1393))</f>
        <v/>
      </c>
      <c r="Y1393" s="8">
        <f>IF(COUNT(D1393:V1393)=0,"",MAX(D1393:V1393))</f>
        <v/>
      </c>
      <c r="Z1393" s="9">
        <f>IF(OR(W1393="",W1393=0),"",(Y1393-W1393)/W1393)</f>
        <v/>
      </c>
      <c r="AA1393" s="7">
        <f>IF(COUNT(D1393:V1393)=0,"",INDEX($D$1:$V$1,MATCH(MIN(D1393:V1393),D1393:V1393,0)))</f>
        <v/>
      </c>
      <c r="AB1393" s="8" t="n">
        <v>585.99</v>
      </c>
      <c r="AC1393" s="10" t="n">
        <v>1</v>
      </c>
    </row>
    <row r="1394">
      <c r="A1394" s="7" t="inlineStr">
        <is>
          <t>MAT-32-039</t>
        </is>
      </c>
      <c r="B1394" s="4" t="inlineStr">
        <is>
          <t>Tubo PVC SDR-26 1/2" x 19 pies</t>
        </is>
      </c>
      <c r="C1394" s="7" t="inlineStr">
        <is>
          <t>tubo</t>
        </is>
      </c>
      <c r="D1394" s="8" t="n"/>
      <c r="E1394" s="8" t="n">
        <v>70.78</v>
      </c>
      <c r="F1394" s="8" t="n"/>
      <c r="G1394" s="8" t="n">
        <v>135</v>
      </c>
      <c r="H1394" s="8" t="n"/>
      <c r="I1394" s="8" t="n"/>
      <c r="J1394" s="8" t="n"/>
      <c r="K1394" s="8" t="n"/>
      <c r="L1394" s="8" t="n"/>
      <c r="M1394" s="8" t="n"/>
      <c r="N1394" s="8" t="n"/>
      <c r="O1394" s="8" t="n">
        <v>96.51000000000001</v>
      </c>
      <c r="P1394" s="8" t="n"/>
      <c r="Q1394" s="8" t="n"/>
      <c r="R1394" s="8" t="n"/>
      <c r="S1394" s="8" t="n"/>
      <c r="T1394" s="8" t="n"/>
      <c r="U1394" s="8" t="n"/>
      <c r="V1394" s="8" t="n"/>
      <c r="W1394" s="8">
        <f>IF(COUNT(D1394:V1394)=0,"",MIN(D1394:V1394))</f>
        <v/>
      </c>
      <c r="X1394" s="8">
        <f>IF(COUNT(D1394:V1394)=0,"",MEDIAN(D1394:V1394))</f>
        <v/>
      </c>
      <c r="Y1394" s="8">
        <f>IF(COUNT(D1394:V1394)=0,"",MAX(D1394:V1394))</f>
        <v/>
      </c>
      <c r="Z1394" s="9">
        <f>IF(OR(W1394="",W1394=0),"",(Y1394-W1394)/W1394)</f>
        <v/>
      </c>
      <c r="AA1394" s="7">
        <f>IF(COUNT(D1394:V1394)=0,"",INDEX($D$1:$V$1,MATCH(MIN(D1394:V1394),D1394:V1394,0)))</f>
        <v/>
      </c>
      <c r="AB1394" s="8" t="n">
        <v>113.88</v>
      </c>
      <c r="AC1394" s="10" t="n">
        <v>3</v>
      </c>
    </row>
    <row r="1395">
      <c r="A1395" s="7" t="inlineStr">
        <is>
          <t>MAT-32-040</t>
        </is>
      </c>
      <c r="B1395" s="4" t="inlineStr">
        <is>
          <t>Tubo PVC SDR-26 1/2" x 9.5 pies</t>
        </is>
      </c>
      <c r="C1395" s="7" t="inlineStr">
        <is>
          <t>tubo</t>
        </is>
      </c>
      <c r="D1395" s="8" t="n"/>
      <c r="E1395" s="8" t="n">
        <v>293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>
        <f>IF(COUNT(D1395:V1395)=0,"",MIN(D1395:V1395))</f>
        <v/>
      </c>
      <c r="X1395" s="8">
        <f>IF(COUNT(D1395:V1395)=0,"",MEDIAN(D1395:V1395))</f>
        <v/>
      </c>
      <c r="Y1395" s="8">
        <f>IF(COUNT(D1395:V1395)=0,"",MAX(D1395:V1395))</f>
        <v/>
      </c>
      <c r="Z1395" s="9">
        <f>IF(OR(W1395="",W1395=0),"",(Y1395-W1395)/W1395)</f>
        <v/>
      </c>
      <c r="AA1395" s="7">
        <f>IF(COUNT(D1395:V1395)=0,"",INDEX($D$1:$V$1,MATCH(MIN(D1395:V1395),D1395:V1395,0)))</f>
        <v/>
      </c>
      <c r="AB1395" s="8" t="n">
        <v>293</v>
      </c>
      <c r="AC1395" s="10" t="n">
        <v>1</v>
      </c>
    </row>
    <row r="1396">
      <c r="A1396" s="7" t="inlineStr">
        <is>
          <t>MAT-32-041</t>
        </is>
      </c>
      <c r="B1396" s="4" t="inlineStr">
        <is>
          <t>Tubo PVC SDR-26 1" x 19 pies</t>
        </is>
      </c>
      <c r="C1396" s="7" t="inlineStr">
        <is>
          <t>tubo</t>
        </is>
      </c>
      <c r="D1396" s="8" t="n"/>
      <c r="E1396" s="8" t="n">
        <v>269</v>
      </c>
      <c r="F1396" s="8" t="n"/>
      <c r="G1396" s="8" t="n">
        <v>305</v>
      </c>
      <c r="H1396" s="8" t="n"/>
      <c r="I1396" s="8" t="n"/>
      <c r="J1396" s="8" t="n"/>
      <c r="K1396" s="8" t="n"/>
      <c r="L1396" s="8" t="n"/>
      <c r="M1396" s="8" t="n"/>
      <c r="N1396" s="8" t="n"/>
      <c r="O1396" s="8" t="n">
        <v>249.2</v>
      </c>
      <c r="P1396" s="8" t="n"/>
      <c r="Q1396" s="8" t="n"/>
      <c r="R1396" s="8" t="n"/>
      <c r="S1396" s="8" t="n"/>
      <c r="T1396" s="8" t="n"/>
      <c r="U1396" s="8" t="n"/>
      <c r="V1396" s="8" t="n"/>
      <c r="W1396" s="8">
        <f>IF(COUNT(D1396:V1396)=0,"",MIN(D1396:V1396))</f>
        <v/>
      </c>
      <c r="X1396" s="8">
        <f>IF(COUNT(D1396:V1396)=0,"",MEDIAN(D1396:V1396))</f>
        <v/>
      </c>
      <c r="Y1396" s="8">
        <f>IF(COUNT(D1396:V1396)=0,"",MAX(D1396:V1396))</f>
        <v/>
      </c>
      <c r="Z1396" s="9">
        <f>IF(OR(W1396="",W1396=0),"",(Y1396-W1396)/W1396)</f>
        <v/>
      </c>
      <c r="AA1396" s="7">
        <f>IF(COUNT(D1396:V1396)=0,"",INDEX($D$1:$V$1,MATCH(MIN(D1396:V1396),D1396:V1396,0)))</f>
        <v/>
      </c>
      <c r="AB1396" s="8" t="n">
        <v>294.06</v>
      </c>
      <c r="AC1396" s="10" t="n">
        <v>3</v>
      </c>
    </row>
    <row r="1397">
      <c r="A1397" s="7" t="inlineStr">
        <is>
          <t>MAT-32-042</t>
        </is>
      </c>
      <c r="B1397" s="4" t="inlineStr">
        <is>
          <t>Tubo PVC SDR-26 1" x 9.5 pies</t>
        </is>
      </c>
      <c r="C1397" s="7" t="inlineStr">
        <is>
          <t>tubo</t>
        </is>
      </c>
      <c r="D1397" s="8" t="n"/>
      <c r="E1397" s="8" t="n">
        <v>150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>
        <f>IF(COUNT(D1397:V1397)=0,"",MIN(D1397:V1397))</f>
        <v/>
      </c>
      <c r="X1397" s="8">
        <f>IF(COUNT(D1397:V1397)=0,"",MEDIAN(D1397:V1397))</f>
        <v/>
      </c>
      <c r="Y1397" s="8">
        <f>IF(COUNT(D1397:V1397)=0,"",MAX(D1397:V1397))</f>
        <v/>
      </c>
      <c r="Z1397" s="9">
        <f>IF(OR(W1397="",W1397=0),"",(Y1397-W1397)/W1397)</f>
        <v/>
      </c>
      <c r="AA1397" s="7">
        <f>IF(COUNT(D1397:V1397)=0,"",INDEX($D$1:$V$1,MATCH(MIN(D1397:V1397),D1397:V1397,0)))</f>
        <v/>
      </c>
      <c r="AB1397" s="8" t="n">
        <v>150</v>
      </c>
      <c r="AC1397" s="10" t="n">
        <v>1</v>
      </c>
    </row>
    <row r="1398">
      <c r="A1398" s="7" t="inlineStr">
        <is>
          <t>MAT-32-043</t>
        </is>
      </c>
      <c r="B1398" s="4" t="inlineStr">
        <is>
          <t>Tubo PVC SDR-26 2" x 19 pies</t>
        </is>
      </c>
      <c r="C1398" s="7" t="inlineStr">
        <is>
          <t>tubo</t>
        </is>
      </c>
      <c r="D1398" s="8" t="n"/>
      <c r="E1398" s="8" t="n">
        <v>881.41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>
        <v>774</v>
      </c>
      <c r="P1398" s="8" t="n"/>
      <c r="Q1398" s="8" t="n"/>
      <c r="R1398" s="8" t="n"/>
      <c r="S1398" s="8" t="n"/>
      <c r="T1398" s="8" t="n"/>
      <c r="U1398" s="8" t="n"/>
      <c r="V1398" s="8" t="n"/>
      <c r="W1398" s="8">
        <f>IF(COUNT(D1398:V1398)=0,"",MIN(D1398:V1398))</f>
        <v/>
      </c>
      <c r="X1398" s="8">
        <f>IF(COUNT(D1398:V1398)=0,"",MEDIAN(D1398:V1398))</f>
        <v/>
      </c>
      <c r="Y1398" s="8">
        <f>IF(COUNT(D1398:V1398)=0,"",MAX(D1398:V1398))</f>
        <v/>
      </c>
      <c r="Z1398" s="9">
        <f>IF(OR(W1398="",W1398=0),"",(Y1398-W1398)/W1398)</f>
        <v/>
      </c>
      <c r="AA1398" s="7">
        <f>IF(COUNT(D1398:V1398)=0,"",INDEX($D$1:$V$1,MATCH(MIN(D1398:V1398),D1398:V1398,0)))</f>
        <v/>
      </c>
      <c r="AB1398" s="8" t="n">
        <v>897.37</v>
      </c>
      <c r="AC1398" s="10" t="n">
        <v>2</v>
      </c>
    </row>
    <row r="1399">
      <c r="A1399" s="7" t="inlineStr">
        <is>
          <t>MAT-32-044</t>
        </is>
      </c>
      <c r="B1399" s="4" t="inlineStr">
        <is>
          <t>Tubo PVC SDR-26 2" x 9.5 pies</t>
        </is>
      </c>
      <c r="C1399" s="7" t="inlineStr">
        <is>
          <t>tubo</t>
        </is>
      </c>
      <c r="D1399" s="8" t="n"/>
      <c r="E1399" s="8" t="n">
        <v>455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>
        <f>IF(COUNT(D1399:V1399)=0,"",MIN(D1399:V1399))</f>
        <v/>
      </c>
      <c r="X1399" s="8">
        <f>IF(COUNT(D1399:V1399)=0,"",MEDIAN(D1399:V1399))</f>
        <v/>
      </c>
      <c r="Y1399" s="8">
        <f>IF(COUNT(D1399:V1399)=0,"",MAX(D1399:V1399))</f>
        <v/>
      </c>
      <c r="Z1399" s="9">
        <f>IF(OR(W1399="",W1399=0),"",(Y1399-W1399)/W1399)</f>
        <v/>
      </c>
      <c r="AA1399" s="7">
        <f>IF(COUNT(D1399:V1399)=0,"",INDEX($D$1:$V$1,MATCH(MIN(D1399:V1399),D1399:V1399,0)))</f>
        <v/>
      </c>
      <c r="AB1399" s="8" t="n">
        <v>455</v>
      </c>
      <c r="AC1399" s="10" t="n">
        <v>1</v>
      </c>
    </row>
    <row r="1400">
      <c r="A1400" s="7" t="inlineStr">
        <is>
          <t>MAT-32-045</t>
        </is>
      </c>
      <c r="B1400" s="4" t="inlineStr">
        <is>
          <t>Tubo PVC SDR-26 3/4" x 19 pies</t>
        </is>
      </c>
      <c r="C1400" s="7" t="inlineStr">
        <is>
          <t>tubo</t>
        </is>
      </c>
      <c r="D1400" s="8" t="n"/>
      <c r="E1400" s="8" t="n">
        <v>175</v>
      </c>
      <c r="F1400" s="8" t="n"/>
      <c r="G1400" s="8" t="n">
        <v>175</v>
      </c>
      <c r="H1400" s="8" t="n"/>
      <c r="I1400" s="8" t="n"/>
      <c r="J1400" s="8" t="n"/>
      <c r="K1400" s="8" t="n"/>
      <c r="L1400" s="8" t="n">
        <v>90</v>
      </c>
      <c r="M1400" s="8" t="n"/>
      <c r="N1400" s="8" t="n"/>
      <c r="O1400" s="8" t="n">
        <v>153.5</v>
      </c>
      <c r="P1400" s="8" t="n"/>
      <c r="Q1400" s="8" t="n"/>
      <c r="R1400" s="8" t="n"/>
      <c r="S1400" s="8" t="n"/>
      <c r="T1400" s="8" t="n"/>
      <c r="U1400" s="8" t="n"/>
      <c r="V1400" s="8" t="n"/>
      <c r="W1400" s="8">
        <f>IF(COUNT(D1400:V1400)=0,"",MIN(D1400:V1400))</f>
        <v/>
      </c>
      <c r="X1400" s="8">
        <f>IF(COUNT(D1400:V1400)=0,"",MEDIAN(D1400:V1400))</f>
        <v/>
      </c>
      <c r="Y1400" s="8">
        <f>IF(COUNT(D1400:V1400)=0,"",MAX(D1400:V1400))</f>
        <v/>
      </c>
      <c r="Z1400" s="9">
        <f>IF(OR(W1400="",W1400=0),"",(Y1400-W1400)/W1400)</f>
        <v/>
      </c>
      <c r="AA1400" s="7">
        <f>IF(COUNT(D1400:V1400)=0,"",INDEX($D$1:$V$1,MATCH(MIN(D1400:V1400),D1400:V1400,0)))</f>
        <v/>
      </c>
      <c r="AB1400" s="8" t="n">
        <v>175</v>
      </c>
      <c r="AC1400" s="10" t="n">
        <v>4</v>
      </c>
    </row>
    <row r="1401">
      <c r="A1401" s="7" t="inlineStr">
        <is>
          <t>MAT-32-046</t>
        </is>
      </c>
      <c r="B1401" s="4" t="inlineStr">
        <is>
          <t>Tubo PVC SDR-26 3/4" x 9.5 pies</t>
        </is>
      </c>
      <c r="C1401" s="7" t="inlineStr">
        <is>
          <t>tubo</t>
        </is>
      </c>
      <c r="D1401" s="8" t="n"/>
      <c r="E1401" s="8" t="n">
        <v>94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 t="n"/>
      <c r="W1401" s="8">
        <f>IF(COUNT(D1401:V1401)=0,"",MIN(D1401:V1401))</f>
        <v/>
      </c>
      <c r="X1401" s="8">
        <f>IF(COUNT(D1401:V1401)=0,"",MEDIAN(D1401:V1401))</f>
        <v/>
      </c>
      <c r="Y1401" s="8">
        <f>IF(COUNT(D1401:V1401)=0,"",MAX(D1401:V1401))</f>
        <v/>
      </c>
      <c r="Z1401" s="9">
        <f>IF(OR(W1401="",W1401=0),"",(Y1401-W1401)/W1401)</f>
        <v/>
      </c>
      <c r="AA1401" s="7">
        <f>IF(COUNT(D1401:V1401)=0,"",INDEX($D$1:$V$1,MATCH(MIN(D1401:V1401),D1401:V1401,0)))</f>
        <v/>
      </c>
      <c r="AB1401" s="8" t="n">
        <v>94</v>
      </c>
      <c r="AC1401" s="10" t="n">
        <v>1</v>
      </c>
    </row>
    <row r="1402">
      <c r="A1402" s="7" t="inlineStr">
        <is>
          <t>MAT-32-047</t>
        </is>
      </c>
      <c r="B1402" s="4" t="inlineStr">
        <is>
          <t>Tubo PVC SDR-26 3" x 19 pies</t>
        </is>
      </c>
      <c r="C1402" s="7" t="inlineStr">
        <is>
          <t>tubo</t>
        </is>
      </c>
      <c r="D1402" s="8" t="n"/>
      <c r="E1402" s="8" t="n">
        <v>1928.2</v>
      </c>
      <c r="F1402" s="8" t="n"/>
      <c r="G1402" s="8" t="n">
        <v>2172</v>
      </c>
      <c r="H1402" s="8" t="n"/>
      <c r="I1402" s="8" t="n"/>
      <c r="J1402" s="8" t="n"/>
      <c r="K1402" s="8" t="n"/>
      <c r="L1402" s="8" t="n"/>
      <c r="M1402" s="8" t="n"/>
      <c r="N1402" s="8" t="n"/>
      <c r="O1402" s="8" t="n">
        <v>1693.3</v>
      </c>
      <c r="P1402" s="8" t="n"/>
      <c r="Q1402" s="8" t="n"/>
      <c r="R1402" s="8" t="n"/>
      <c r="S1402" s="8" t="n"/>
      <c r="T1402" s="8" t="n"/>
      <c r="U1402" s="8" t="n"/>
      <c r="V1402" s="8" t="n"/>
      <c r="W1402" s="8">
        <f>IF(COUNT(D1402:V1402)=0,"",MIN(D1402:V1402))</f>
        <v/>
      </c>
      <c r="X1402" s="8">
        <f>IF(COUNT(D1402:V1402)=0,"",MEDIAN(D1402:V1402))</f>
        <v/>
      </c>
      <c r="Y1402" s="8">
        <f>IF(COUNT(D1402:V1402)=0,"",MAX(D1402:V1402))</f>
        <v/>
      </c>
      <c r="Z1402" s="9">
        <f>IF(OR(W1402="",W1402=0),"",(Y1402-W1402)/W1402)</f>
        <v/>
      </c>
      <c r="AA1402" s="7">
        <f>IF(COUNT(D1402:V1402)=0,"",INDEX($D$1:$V$1,MATCH(MIN(D1402:V1402),D1402:V1402,0)))</f>
        <v/>
      </c>
      <c r="AB1402" s="8" t="n">
        <v>1998.09</v>
      </c>
      <c r="AC1402" s="10" t="n">
        <v>3</v>
      </c>
    </row>
    <row r="1403">
      <c r="A1403" s="7" t="inlineStr">
        <is>
          <t>MAT-32-048</t>
        </is>
      </c>
      <c r="B1403" s="4" t="inlineStr">
        <is>
          <t>Tubo PVC SDR-26 3" x 9.5 pies</t>
        </is>
      </c>
      <c r="C1403" s="7" t="inlineStr">
        <is>
          <t>tubo</t>
        </is>
      </c>
      <c r="D1403" s="8" t="n"/>
      <c r="E1403" s="8" t="n">
        <v>988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/>
      <c r="P1403" s="8" t="n"/>
      <c r="Q1403" s="8" t="n"/>
      <c r="R1403" s="8" t="n"/>
      <c r="S1403" s="8" t="n"/>
      <c r="T1403" s="8" t="n"/>
      <c r="U1403" s="8" t="n"/>
      <c r="V1403" s="8" t="n"/>
      <c r="W1403" s="8">
        <f>IF(COUNT(D1403:V1403)=0,"",MIN(D1403:V1403))</f>
        <v/>
      </c>
      <c r="X1403" s="8">
        <f>IF(COUNT(D1403:V1403)=0,"",MEDIAN(D1403:V1403))</f>
        <v/>
      </c>
      <c r="Y1403" s="8">
        <f>IF(COUNT(D1403:V1403)=0,"",MAX(D1403:V1403))</f>
        <v/>
      </c>
      <c r="Z1403" s="9">
        <f>IF(OR(W1403="",W1403=0),"",(Y1403-W1403)/W1403)</f>
        <v/>
      </c>
      <c r="AA1403" s="7">
        <f>IF(COUNT(D1403:V1403)=0,"",INDEX($D$1:$V$1,MATCH(MIN(D1403:V1403),D1403:V1403,0)))</f>
        <v/>
      </c>
      <c r="AB1403" s="8" t="n">
        <v>988</v>
      </c>
      <c r="AC1403" s="10" t="n">
        <v>1</v>
      </c>
    </row>
    <row r="1404">
      <c r="A1404" s="7" t="inlineStr">
        <is>
          <t>MAT-32-049</t>
        </is>
      </c>
      <c r="B1404" s="4" t="inlineStr">
        <is>
          <t>Tubo PVC SDR-26 4" x 19 pies</t>
        </is>
      </c>
      <c r="C1404" s="7" t="inlineStr">
        <is>
          <t>tubo</t>
        </is>
      </c>
      <c r="D1404" s="8" t="n"/>
      <c r="E1404" s="8" t="n">
        <v>3133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>
        <v>2781</v>
      </c>
      <c r="P1404" s="8" t="n"/>
      <c r="Q1404" s="8" t="n"/>
      <c r="R1404" s="8" t="n"/>
      <c r="S1404" s="8" t="n"/>
      <c r="T1404" s="8" t="n"/>
      <c r="U1404" s="8" t="n"/>
      <c r="V1404" s="8" t="n"/>
      <c r="W1404" s="8">
        <f>IF(COUNT(D1404:V1404)=0,"",MIN(D1404:V1404))</f>
        <v/>
      </c>
      <c r="X1404" s="8">
        <f>IF(COUNT(D1404:V1404)=0,"",MEDIAN(D1404:V1404))</f>
        <v/>
      </c>
      <c r="Y1404" s="8">
        <f>IF(COUNT(D1404:V1404)=0,"",MAX(D1404:V1404))</f>
        <v/>
      </c>
      <c r="Z1404" s="9">
        <f>IF(OR(W1404="",W1404=0),"",(Y1404-W1404)/W1404)</f>
        <v/>
      </c>
      <c r="AA1404" s="7">
        <f>IF(COUNT(D1404:V1404)=0,"",INDEX($D$1:$V$1,MATCH(MIN(D1404:V1404),D1404:V1404,0)))</f>
        <v/>
      </c>
      <c r="AB1404" s="8" t="n">
        <v>3207.29</v>
      </c>
      <c r="AC1404" s="10" t="n">
        <v>2</v>
      </c>
    </row>
    <row r="1405">
      <c r="A1405" s="7" t="inlineStr">
        <is>
          <t>MAT-32-050</t>
        </is>
      </c>
      <c r="B1405" s="4" t="inlineStr">
        <is>
          <t>Tubo PVC SDR-26 6" x 19 pies</t>
        </is>
      </c>
      <c r="C1405" s="7" t="inlineStr">
        <is>
          <t>tubo</t>
        </is>
      </c>
      <c r="D1405" s="8" t="n"/>
      <c r="E1405" s="8" t="n">
        <v>6884.88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>
        <v>6031</v>
      </c>
      <c r="P1405" s="8" t="n"/>
      <c r="Q1405" s="8" t="n"/>
      <c r="R1405" s="8" t="n"/>
      <c r="S1405" s="8" t="n"/>
      <c r="T1405" s="8" t="n"/>
      <c r="U1405" s="8" t="n"/>
      <c r="V1405" s="8" t="n"/>
      <c r="W1405" s="8">
        <f>IF(COUNT(D1405:V1405)=0,"",MIN(D1405:V1405))</f>
        <v/>
      </c>
      <c r="X1405" s="8">
        <f>IF(COUNT(D1405:V1405)=0,"",MEDIAN(D1405:V1405))</f>
        <v/>
      </c>
      <c r="Y1405" s="8">
        <f>IF(COUNT(D1405:V1405)=0,"",MAX(D1405:V1405))</f>
        <v/>
      </c>
      <c r="Z1405" s="9">
        <f>IF(OR(W1405="",W1405=0),"",(Y1405-W1405)/W1405)</f>
        <v/>
      </c>
      <c r="AA1405" s="7">
        <f>IF(COUNT(D1405:V1405)=0,"",INDEX($D$1:$V$1,MATCH(MIN(D1405:V1405),D1405:V1405,0)))</f>
        <v/>
      </c>
      <c r="AB1405" s="8" t="n">
        <v>7000.73</v>
      </c>
      <c r="AC1405" s="10" t="n">
        <v>2</v>
      </c>
    </row>
    <row r="1406">
      <c r="A1406" s="7" t="inlineStr">
        <is>
          <t>MAT-32-051</t>
        </is>
      </c>
      <c r="B1406" s="4" t="inlineStr">
        <is>
          <t>Tubo PVC SDR-26 8" x 19 pies</t>
        </is>
      </c>
      <c r="C1406" s="7" t="inlineStr">
        <is>
          <t>tubo</t>
        </is>
      </c>
      <c r="D1406" s="8" t="n"/>
      <c r="E1406" s="8" t="n">
        <v>11666.54</v>
      </c>
      <c r="F1406" s="8" t="n"/>
      <c r="G1406" s="8" t="n"/>
      <c r="H1406" s="8" t="n"/>
      <c r="I1406" s="8" t="n"/>
      <c r="J1406" s="8" t="n"/>
      <c r="K1406" s="8" t="n"/>
      <c r="L1406" s="8" t="n">
        <v>10360</v>
      </c>
      <c r="M1406" s="8" t="n"/>
      <c r="N1406" s="8" t="n"/>
      <c r="O1406" s="8" t="n">
        <v>10110.1</v>
      </c>
      <c r="P1406" s="8" t="n"/>
      <c r="Q1406" s="8" t="n"/>
      <c r="R1406" s="8" t="n"/>
      <c r="S1406" s="8" t="n"/>
      <c r="T1406" s="8" t="n"/>
      <c r="U1406" s="8" t="n"/>
      <c r="V1406" s="8" t="n"/>
      <c r="W1406" s="8">
        <f>IF(COUNT(D1406:V1406)=0,"",MIN(D1406:V1406))</f>
        <v/>
      </c>
      <c r="X1406" s="8">
        <f>IF(COUNT(D1406:V1406)=0,"",MEDIAN(D1406:V1406))</f>
        <v/>
      </c>
      <c r="Y1406" s="8">
        <f>IF(COUNT(D1406:V1406)=0,"",MAX(D1406:V1406))</f>
        <v/>
      </c>
      <c r="Z1406" s="9">
        <f>IF(OR(W1406="",W1406=0),"",(Y1406-W1406)/W1406)</f>
        <v/>
      </c>
      <c r="AA1406" s="7">
        <f>IF(COUNT(D1406:V1406)=0,"",INDEX($D$1:$V$1,MATCH(MIN(D1406:V1406),D1406:V1406,0)))</f>
        <v/>
      </c>
      <c r="AB1406" s="8" t="n">
        <v>11666.54</v>
      </c>
      <c r="AC1406" s="10" t="n">
        <v>3</v>
      </c>
    </row>
    <row r="1407">
      <c r="A1407" s="7" t="inlineStr">
        <is>
          <t>MAT-32-052</t>
        </is>
      </c>
      <c r="B1407" s="4" t="inlineStr">
        <is>
          <t>Tubo PVC SDR-32.5 10" x 19 pies</t>
        </is>
      </c>
      <c r="C1407" s="7" t="inlineStr">
        <is>
          <t>tubo</t>
        </is>
      </c>
      <c r="D1407" s="8" t="n"/>
      <c r="E1407" s="8" t="n">
        <v>15540.55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>
        <f>IF(COUNT(D1407:V1407)=0,"",MIN(D1407:V1407))</f>
        <v/>
      </c>
      <c r="X1407" s="8">
        <f>IF(COUNT(D1407:V1407)=0,"",MEDIAN(D1407:V1407))</f>
        <v/>
      </c>
      <c r="Y1407" s="8">
        <f>IF(COUNT(D1407:V1407)=0,"",MAX(D1407:V1407))</f>
        <v/>
      </c>
      <c r="Z1407" s="9">
        <f>IF(OR(W1407="",W1407=0),"",(Y1407-W1407)/W1407)</f>
        <v/>
      </c>
      <c r="AA1407" s="7">
        <f>IF(COUNT(D1407:V1407)=0,"",INDEX($D$1:$V$1,MATCH(MIN(D1407:V1407),D1407:V1407,0)))</f>
        <v/>
      </c>
      <c r="AB1407" s="8" t="n">
        <v>15540.55</v>
      </c>
      <c r="AC1407" s="10" t="n">
        <v>1</v>
      </c>
    </row>
    <row r="1408">
      <c r="A1408" s="7" t="inlineStr">
        <is>
          <t>MAT-32-053</t>
        </is>
      </c>
      <c r="B1408" s="4" t="inlineStr">
        <is>
          <t>Tubo PVC SDR-32.5 2" x 19 pies</t>
        </is>
      </c>
      <c r="C1408" s="7" t="inlineStr">
        <is>
          <t>tubo</t>
        </is>
      </c>
      <c r="D1408" s="8" t="n"/>
      <c r="E1408" s="8" t="n">
        <v>711.42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>
        <f>IF(COUNT(D1408:V1408)=0,"",MIN(D1408:V1408))</f>
        <v/>
      </c>
      <c r="X1408" s="8">
        <f>IF(COUNT(D1408:V1408)=0,"",MEDIAN(D1408:V1408))</f>
        <v/>
      </c>
      <c r="Y1408" s="8">
        <f>IF(COUNT(D1408:V1408)=0,"",MAX(D1408:V1408))</f>
        <v/>
      </c>
      <c r="Z1408" s="9">
        <f>IF(OR(W1408="",W1408=0),"",(Y1408-W1408)/W1408)</f>
        <v/>
      </c>
      <c r="AA1408" s="7">
        <f>IF(COUNT(D1408:V1408)=0,"",INDEX($D$1:$V$1,MATCH(MIN(D1408:V1408),D1408:V1408,0)))</f>
        <v/>
      </c>
      <c r="AB1408" s="8" t="n">
        <v>711.42</v>
      </c>
      <c r="AC1408" s="10" t="n">
        <v>1</v>
      </c>
    </row>
    <row r="1409">
      <c r="A1409" s="7" t="inlineStr">
        <is>
          <t>MAT-32-054</t>
        </is>
      </c>
      <c r="B1409" s="4" t="inlineStr">
        <is>
          <t>Tubo PVC SDR-32.5 3" x 19 pies</t>
        </is>
      </c>
      <c r="C1409" s="7" t="inlineStr">
        <is>
          <t>tubo</t>
        </is>
      </c>
      <c r="D1409" s="8" t="n"/>
      <c r="E1409" s="8" t="n">
        <v>1549.5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>
        <f>IF(COUNT(D1409:V1409)=0,"",MIN(D1409:V1409))</f>
        <v/>
      </c>
      <c r="X1409" s="8">
        <f>IF(COUNT(D1409:V1409)=0,"",MEDIAN(D1409:V1409))</f>
        <v/>
      </c>
      <c r="Y1409" s="8">
        <f>IF(COUNT(D1409:V1409)=0,"",MAX(D1409:V1409))</f>
        <v/>
      </c>
      <c r="Z1409" s="9">
        <f>IF(OR(W1409="",W1409=0),"",(Y1409-W1409)/W1409)</f>
        <v/>
      </c>
      <c r="AA1409" s="7">
        <f>IF(COUNT(D1409:V1409)=0,"",INDEX($D$1:$V$1,MATCH(MIN(D1409:V1409),D1409:V1409,0)))</f>
        <v/>
      </c>
      <c r="AB1409" s="8" t="n">
        <v>1549.5</v>
      </c>
      <c r="AC1409" s="10" t="n">
        <v>1</v>
      </c>
    </row>
    <row r="1410">
      <c r="A1410" s="7" t="inlineStr">
        <is>
          <t>MAT-32-055</t>
        </is>
      </c>
      <c r="B1410" s="4" t="inlineStr">
        <is>
          <t>Tubo PVC SDR-32.5 4" x 19 pies</t>
        </is>
      </c>
      <c r="C1410" s="7" t="inlineStr">
        <is>
          <t>tubo</t>
        </is>
      </c>
      <c r="D1410" s="8" t="n"/>
      <c r="E1410" s="8" t="n">
        <v>2548.33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>
        <f>IF(COUNT(D1410:V1410)=0,"",MIN(D1410:V1410))</f>
        <v/>
      </c>
      <c r="X1410" s="8">
        <f>IF(COUNT(D1410:V1410)=0,"",MEDIAN(D1410:V1410))</f>
        <v/>
      </c>
      <c r="Y1410" s="8">
        <f>IF(COUNT(D1410:V1410)=0,"",MAX(D1410:V1410))</f>
        <v/>
      </c>
      <c r="Z1410" s="9">
        <f>IF(OR(W1410="",W1410=0),"",(Y1410-W1410)/W1410)</f>
        <v/>
      </c>
      <c r="AA1410" s="7">
        <f>IF(COUNT(D1410:V1410)=0,"",INDEX($D$1:$V$1,MATCH(MIN(D1410:V1410),D1410:V1410,0)))</f>
        <v/>
      </c>
      <c r="AB1410" s="8" t="n">
        <v>2548.33</v>
      </c>
      <c r="AC1410" s="10" t="n">
        <v>1</v>
      </c>
    </row>
    <row r="1411">
      <c r="A1411" s="7" t="inlineStr">
        <is>
          <t>MAT-32-056</t>
        </is>
      </c>
      <c r="B1411" s="4" t="inlineStr">
        <is>
          <t>Tubo PVC SDR-32.5 6" x 19 pies</t>
        </is>
      </c>
      <c r="C1411" s="7" t="inlineStr">
        <is>
          <t>tubo</t>
        </is>
      </c>
      <c r="D1411" s="8" t="n"/>
      <c r="E1411" s="8" t="n">
        <v>9381.73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8" t="n"/>
      <c r="V1411" s="8" t="n"/>
      <c r="W1411" s="8">
        <f>IF(COUNT(D1411:V1411)=0,"",MIN(D1411:V1411))</f>
        <v/>
      </c>
      <c r="X1411" s="8">
        <f>IF(COUNT(D1411:V1411)=0,"",MEDIAN(D1411:V1411))</f>
        <v/>
      </c>
      <c r="Y1411" s="8">
        <f>IF(COUNT(D1411:V1411)=0,"",MAX(D1411:V1411))</f>
        <v/>
      </c>
      <c r="Z1411" s="9">
        <f>IF(OR(W1411="",W1411=0),"",(Y1411-W1411)/W1411)</f>
        <v/>
      </c>
      <c r="AA1411" s="7">
        <f>IF(COUNT(D1411:V1411)=0,"",INDEX($D$1:$V$1,MATCH(MIN(D1411:V1411),D1411:V1411,0)))</f>
        <v/>
      </c>
      <c r="AB1411" s="8" t="n">
        <v>9381.73</v>
      </c>
      <c r="AC1411" s="10" t="n">
        <v>1</v>
      </c>
    </row>
    <row r="1412">
      <c r="A1412" s="7" t="inlineStr">
        <is>
          <t>MAT-32-057</t>
        </is>
      </c>
      <c r="B1412" s="4" t="inlineStr">
        <is>
          <t>Tubo PVC SDR-32.5 8" x 19 pies</t>
        </is>
      </c>
      <c r="C1412" s="7" t="inlineStr">
        <is>
          <t>tubo</t>
        </is>
      </c>
      <c r="D1412" s="8" t="n"/>
      <c r="E1412" s="8" t="n">
        <v>9381.73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>
        <f>IF(COUNT(D1412:V1412)=0,"",MIN(D1412:V1412))</f>
        <v/>
      </c>
      <c r="X1412" s="8">
        <f>IF(COUNT(D1412:V1412)=0,"",MEDIAN(D1412:V1412))</f>
        <v/>
      </c>
      <c r="Y1412" s="8">
        <f>IF(COUNT(D1412:V1412)=0,"",MAX(D1412:V1412))</f>
        <v/>
      </c>
      <c r="Z1412" s="9">
        <f>IF(OR(W1412="",W1412=0),"",(Y1412-W1412)/W1412)</f>
        <v/>
      </c>
      <c r="AA1412" s="7">
        <f>IF(COUNT(D1412:V1412)=0,"",INDEX($D$1:$V$1,MATCH(MIN(D1412:V1412),D1412:V1412,0)))</f>
        <v/>
      </c>
      <c r="AB1412" s="8" t="n">
        <v>9381.73</v>
      </c>
      <c r="AC1412" s="10" t="n">
        <v>1</v>
      </c>
    </row>
    <row r="1413">
      <c r="A1413" s="7" t="inlineStr">
        <is>
          <t>MAT-32-058</t>
        </is>
      </c>
      <c r="B1413" s="4" t="inlineStr">
        <is>
          <t>Tubo PVC SDR-41 1 1/2" x 19 pies</t>
        </is>
      </c>
      <c r="C1413" s="7" t="inlineStr">
        <is>
          <t>tubo</t>
        </is>
      </c>
      <c r="D1413" s="8" t="n"/>
      <c r="E1413" s="8" t="n"/>
      <c r="F1413" s="8" t="n"/>
      <c r="G1413" s="8" t="n">
        <v>453</v>
      </c>
      <c r="H1413" s="8" t="n"/>
      <c r="I1413" s="8" t="n"/>
      <c r="J1413" s="8" t="n"/>
      <c r="K1413" s="8" t="n"/>
      <c r="L1413" s="8" t="n"/>
      <c r="M1413" s="8" t="n"/>
      <c r="N1413" s="8" t="n"/>
      <c r="O1413" s="8" t="n">
        <v>337.8</v>
      </c>
      <c r="P1413" s="8" t="n"/>
      <c r="Q1413" s="8" t="n"/>
      <c r="R1413" s="8" t="n"/>
      <c r="S1413" s="8" t="n"/>
      <c r="T1413" s="8" t="n"/>
      <c r="U1413" s="8" t="n"/>
      <c r="V1413" s="8" t="n"/>
      <c r="W1413" s="8">
        <f>IF(COUNT(D1413:V1413)=0,"",MIN(D1413:V1413))</f>
        <v/>
      </c>
      <c r="X1413" s="8">
        <f>IF(COUNT(D1413:V1413)=0,"",MEDIAN(D1413:V1413))</f>
        <v/>
      </c>
      <c r="Y1413" s="8">
        <f>IF(COUNT(D1413:V1413)=0,"",MAX(D1413:V1413))</f>
        <v/>
      </c>
      <c r="Z1413" s="9">
        <f>IF(OR(W1413="",W1413=0),"",(Y1413-W1413)/W1413)</f>
        <v/>
      </c>
      <c r="AA1413" s="7">
        <f>IF(COUNT(D1413:V1413)=0,"",INDEX($D$1:$V$1,MATCH(MIN(D1413:V1413),D1413:V1413,0)))</f>
        <v/>
      </c>
      <c r="AB1413" s="8" t="n">
        <v>425.8</v>
      </c>
      <c r="AC1413" s="10" t="n">
        <v>2</v>
      </c>
    </row>
    <row r="1414">
      <c r="A1414" s="7" t="inlineStr">
        <is>
          <t>MAT-32-059</t>
        </is>
      </c>
      <c r="B1414" s="4" t="inlineStr">
        <is>
          <t>Tubo PVC SDR-41 1/2" x 19 pies</t>
        </is>
      </c>
      <c r="C1414" s="7" t="inlineStr">
        <is>
          <t>tubo</t>
        </is>
      </c>
      <c r="D1414" s="8" t="n"/>
      <c r="E1414" s="8" t="n">
        <v>386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>
        <f>IF(COUNT(D1414:V1414)=0,"",MIN(D1414:V1414))</f>
        <v/>
      </c>
      <c r="X1414" s="8">
        <f>IF(COUNT(D1414:V1414)=0,"",MEDIAN(D1414:V1414))</f>
        <v/>
      </c>
      <c r="Y1414" s="8">
        <f>IF(COUNT(D1414:V1414)=0,"",MAX(D1414:V1414))</f>
        <v/>
      </c>
      <c r="Z1414" s="9">
        <f>IF(OR(W1414="",W1414=0),"",(Y1414-W1414)/W1414)</f>
        <v/>
      </c>
      <c r="AA1414" s="7">
        <f>IF(COUNT(D1414:V1414)=0,"",INDEX($D$1:$V$1,MATCH(MIN(D1414:V1414),D1414:V1414,0)))</f>
        <v/>
      </c>
      <c r="AB1414" s="8" t="n">
        <v>386</v>
      </c>
      <c r="AC1414" s="10" t="n">
        <v>1</v>
      </c>
    </row>
    <row r="1415">
      <c r="A1415" s="7" t="inlineStr">
        <is>
          <t>MAT-32-060</t>
        </is>
      </c>
      <c r="B1415" s="4" t="inlineStr">
        <is>
          <t>Tubo PVC SDR-41 1/2" x 9.5 pies</t>
        </is>
      </c>
      <c r="C1415" s="7" t="inlineStr">
        <is>
          <t>tubo</t>
        </is>
      </c>
      <c r="D1415" s="8" t="n"/>
      <c r="E1415" s="8" t="n">
        <v>202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>
        <f>IF(COUNT(D1415:V1415)=0,"",MIN(D1415:V1415))</f>
        <v/>
      </c>
      <c r="X1415" s="8">
        <f>IF(COUNT(D1415:V1415)=0,"",MEDIAN(D1415:V1415))</f>
        <v/>
      </c>
      <c r="Y1415" s="8">
        <f>IF(COUNT(D1415:V1415)=0,"",MAX(D1415:V1415))</f>
        <v/>
      </c>
      <c r="Z1415" s="9">
        <f>IF(OR(W1415="",W1415=0),"",(Y1415-W1415)/W1415)</f>
        <v/>
      </c>
      <c r="AA1415" s="7">
        <f>IF(COUNT(D1415:V1415)=0,"",INDEX($D$1:$V$1,MATCH(MIN(D1415:V1415),D1415:V1415,0)))</f>
        <v/>
      </c>
      <c r="AB1415" s="8" t="n">
        <v>202</v>
      </c>
      <c r="AC1415" s="10" t="n">
        <v>1</v>
      </c>
    </row>
    <row r="1416">
      <c r="A1416" s="7" t="inlineStr">
        <is>
          <t>MAT-32-061</t>
        </is>
      </c>
      <c r="B1416" s="4" t="inlineStr">
        <is>
          <t>Tubo PVC SDR-41 10" x 19 pies</t>
        </is>
      </c>
      <c r="C1416" s="7" t="inlineStr">
        <is>
          <t>tubo</t>
        </is>
      </c>
      <c r="D1416" s="8" t="n"/>
      <c r="E1416" s="8" t="n">
        <v>12736.57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>
        <f>IF(COUNT(D1416:V1416)=0,"",MIN(D1416:V1416))</f>
        <v/>
      </c>
      <c r="X1416" s="8">
        <f>IF(COUNT(D1416:V1416)=0,"",MEDIAN(D1416:V1416))</f>
        <v/>
      </c>
      <c r="Y1416" s="8">
        <f>IF(COUNT(D1416:V1416)=0,"",MAX(D1416:V1416))</f>
        <v/>
      </c>
      <c r="Z1416" s="9">
        <f>IF(OR(W1416="",W1416=0),"",(Y1416-W1416)/W1416)</f>
        <v/>
      </c>
      <c r="AA1416" s="7">
        <f>IF(COUNT(D1416:V1416)=0,"",INDEX($D$1:$V$1,MATCH(MIN(D1416:V1416),D1416:V1416,0)))</f>
        <v/>
      </c>
      <c r="AB1416" s="8" t="n">
        <v>12736.57</v>
      </c>
      <c r="AC1416" s="10" t="n">
        <v>1</v>
      </c>
    </row>
    <row r="1417">
      <c r="A1417" s="7" t="inlineStr">
        <is>
          <t>MAT-32-062</t>
        </is>
      </c>
      <c r="B1417" s="4" t="inlineStr">
        <is>
          <t>Tubo PVC SDR-41 12" x 19 pies</t>
        </is>
      </c>
      <c r="C1417" s="7" t="inlineStr">
        <is>
          <t>tubo</t>
        </is>
      </c>
      <c r="D1417" s="8" t="n"/>
      <c r="E1417" s="8" t="n">
        <v>17906.86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>
        <f>IF(COUNT(D1417:V1417)=0,"",MIN(D1417:V1417))</f>
        <v/>
      </c>
      <c r="X1417" s="8">
        <f>IF(COUNT(D1417:V1417)=0,"",MEDIAN(D1417:V1417))</f>
        <v/>
      </c>
      <c r="Y1417" s="8">
        <f>IF(COUNT(D1417:V1417)=0,"",MAX(D1417:V1417))</f>
        <v/>
      </c>
      <c r="Z1417" s="9">
        <f>IF(OR(W1417="",W1417=0),"",(Y1417-W1417)/W1417)</f>
        <v/>
      </c>
      <c r="AA1417" s="7">
        <f>IF(COUNT(D1417:V1417)=0,"",INDEX($D$1:$V$1,MATCH(MIN(D1417:V1417),D1417:V1417,0)))</f>
        <v/>
      </c>
      <c r="AB1417" s="8" t="n">
        <v>17906.86</v>
      </c>
      <c r="AC1417" s="10" t="n">
        <v>1</v>
      </c>
    </row>
    <row r="1418">
      <c r="A1418" s="7" t="inlineStr">
        <is>
          <t>MAT-32-063</t>
        </is>
      </c>
      <c r="B1418" s="4" t="inlineStr">
        <is>
          <t>Tubo PVC SDR-41 2" x 19 pies</t>
        </is>
      </c>
      <c r="C1418" s="7" t="inlineStr">
        <is>
          <t>tubo</t>
        </is>
      </c>
      <c r="D1418" s="8" t="n"/>
      <c r="E1418" s="8" t="n">
        <v>561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>
        <v>496.9</v>
      </c>
      <c r="P1418" s="8" t="n"/>
      <c r="Q1418" s="8" t="n"/>
      <c r="R1418" s="8" t="n"/>
      <c r="S1418" s="8" t="n"/>
      <c r="T1418" s="8" t="n"/>
      <c r="U1418" s="8" t="n"/>
      <c r="V1418" s="8" t="n"/>
      <c r="W1418" s="8">
        <f>IF(COUNT(D1418:V1418)=0,"",MIN(D1418:V1418))</f>
        <v/>
      </c>
      <c r="X1418" s="8">
        <f>IF(COUNT(D1418:V1418)=0,"",MEDIAN(D1418:V1418))</f>
        <v/>
      </c>
      <c r="Y1418" s="8">
        <f>IF(COUNT(D1418:V1418)=0,"",MAX(D1418:V1418))</f>
        <v/>
      </c>
      <c r="Z1418" s="9">
        <f>IF(OR(W1418="",W1418=0),"",(Y1418-W1418)/W1418)</f>
        <v/>
      </c>
      <c r="AA1418" s="7">
        <f>IF(COUNT(D1418:V1418)=0,"",INDEX($D$1:$V$1,MATCH(MIN(D1418:V1418),D1418:V1418,0)))</f>
        <v/>
      </c>
      <c r="AB1418" s="8" t="n">
        <v>573.67</v>
      </c>
      <c r="AC1418" s="10" t="n">
        <v>2</v>
      </c>
    </row>
    <row r="1419">
      <c r="A1419" s="7" t="inlineStr">
        <is>
          <t>MAT-32-064</t>
        </is>
      </c>
      <c r="B1419" s="4" t="inlineStr">
        <is>
          <t>Tubo PVC SDR-41 3" x 19 pies</t>
        </is>
      </c>
      <c r="C1419" s="7" t="inlineStr">
        <is>
          <t>tubo</t>
        </is>
      </c>
      <c r="D1419" s="8" t="n"/>
      <c r="E1419" s="8" t="n">
        <v>990</v>
      </c>
      <c r="F1419" s="8" t="n"/>
      <c r="G1419" s="8" t="n">
        <v>1150</v>
      </c>
      <c r="H1419" s="8" t="n"/>
      <c r="I1419" s="8" t="n"/>
      <c r="J1419" s="8" t="n"/>
      <c r="K1419" s="8" t="n"/>
      <c r="L1419" s="8" t="n">
        <v>670</v>
      </c>
      <c r="M1419" s="8" t="n"/>
      <c r="N1419" s="8" t="n"/>
      <c r="O1419" s="8" t="n">
        <v>918.5</v>
      </c>
      <c r="P1419" s="8" t="n"/>
      <c r="Q1419" s="8" t="n"/>
      <c r="R1419" s="8" t="n"/>
      <c r="S1419" s="8" t="n"/>
      <c r="T1419" s="8" t="n"/>
      <c r="U1419" s="8" t="n"/>
      <c r="V1419" s="8" t="n"/>
      <c r="W1419" s="8">
        <f>IF(COUNT(D1419:V1419)=0,"",MIN(D1419:V1419))</f>
        <v/>
      </c>
      <c r="X1419" s="8">
        <f>IF(COUNT(D1419:V1419)=0,"",MEDIAN(D1419:V1419))</f>
        <v/>
      </c>
      <c r="Y1419" s="8">
        <f>IF(COUNT(D1419:V1419)=0,"",MAX(D1419:V1419))</f>
        <v/>
      </c>
      <c r="Z1419" s="9">
        <f>IF(OR(W1419="",W1419=0),"",(Y1419-W1419)/W1419)</f>
        <v/>
      </c>
      <c r="AA1419" s="7">
        <f>IF(COUNT(D1419:V1419)=0,"",INDEX($D$1:$V$1,MATCH(MIN(D1419:V1419),D1419:V1419,0)))</f>
        <v/>
      </c>
      <c r="AB1419" s="8" t="n">
        <v>1036.92</v>
      </c>
      <c r="AC1419" s="10" t="n">
        <v>4</v>
      </c>
    </row>
    <row r="1420">
      <c r="A1420" s="7" t="inlineStr">
        <is>
          <t>MAT-32-065</t>
        </is>
      </c>
      <c r="B1420" s="4" t="inlineStr">
        <is>
          <t>Tubo PVC SDR-41 4" x 19 pies</t>
        </is>
      </c>
      <c r="C1420" s="7" t="inlineStr">
        <is>
          <t>tubo</t>
        </is>
      </c>
      <c r="D1420" s="8" t="n"/>
      <c r="E1420" s="8" t="n">
        <v>1738.6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>
        <v>1527</v>
      </c>
      <c r="P1420" s="8" t="n"/>
      <c r="Q1420" s="8" t="n"/>
      <c r="R1420" s="8" t="n"/>
      <c r="S1420" s="8" t="n"/>
      <c r="T1420" s="8" t="n"/>
      <c r="U1420" s="8" t="n"/>
      <c r="V1420" s="8" t="n"/>
      <c r="W1420" s="8">
        <f>IF(COUNT(D1420:V1420)=0,"",MIN(D1420:V1420))</f>
        <v/>
      </c>
      <c r="X1420" s="8">
        <f>IF(COUNT(D1420:V1420)=0,"",MEDIAN(D1420:V1420))</f>
        <v/>
      </c>
      <c r="Y1420" s="8">
        <f>IF(COUNT(D1420:V1420)=0,"",MAX(D1420:V1420))</f>
        <v/>
      </c>
      <c r="Z1420" s="9">
        <f>IF(OR(W1420="",W1420=0),"",(Y1420-W1420)/W1420)</f>
        <v/>
      </c>
      <c r="AA1420" s="7">
        <f>IF(COUNT(D1420:V1420)=0,"",INDEX($D$1:$V$1,MATCH(MIN(D1420:V1420),D1420:V1420,0)))</f>
        <v/>
      </c>
      <c r="AB1420" s="8" t="n">
        <v>1770.23</v>
      </c>
      <c r="AC1420" s="10" t="n">
        <v>2</v>
      </c>
    </row>
    <row r="1421">
      <c r="A1421" s="7" t="inlineStr">
        <is>
          <t>MAT-32-066</t>
        </is>
      </c>
      <c r="B1421" s="4" t="inlineStr">
        <is>
          <t>Tubo PVC SDR-41 4" x 9.5 pies</t>
        </is>
      </c>
      <c r="C1421" s="7" t="inlineStr">
        <is>
          <t>tubo</t>
        </is>
      </c>
      <c r="D1421" s="8" t="n"/>
      <c r="E1421" s="8" t="n">
        <v>868</v>
      </c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>
        <f>IF(COUNT(D1421:V1421)=0,"",MIN(D1421:V1421))</f>
        <v/>
      </c>
      <c r="X1421" s="8">
        <f>IF(COUNT(D1421:V1421)=0,"",MEDIAN(D1421:V1421))</f>
        <v/>
      </c>
      <c r="Y1421" s="8">
        <f>IF(COUNT(D1421:V1421)=0,"",MAX(D1421:V1421))</f>
        <v/>
      </c>
      <c r="Z1421" s="9">
        <f>IF(OR(W1421="",W1421=0),"",(Y1421-W1421)/W1421)</f>
        <v/>
      </c>
      <c r="AA1421" s="7">
        <f>IF(COUNT(D1421:V1421)=0,"",INDEX($D$1:$V$1,MATCH(MIN(D1421:V1421),D1421:V1421,0)))</f>
        <v/>
      </c>
      <c r="AB1421" s="8" t="n">
        <v>868</v>
      </c>
      <c r="AC1421" s="10" t="n">
        <v>1</v>
      </c>
    </row>
    <row r="1422">
      <c r="A1422" s="7" t="inlineStr">
        <is>
          <t>MAT-32-067</t>
        </is>
      </c>
      <c r="B1422" s="4" t="inlineStr">
        <is>
          <t>Tubo PVC SDR-41 6" x 19 pies</t>
        </is>
      </c>
      <c r="C1422" s="7" t="inlineStr">
        <is>
          <t>tubo</t>
        </is>
      </c>
      <c r="D1422" s="8" t="n"/>
      <c r="E1422" s="8" t="n">
        <v>4920.87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>
        <v>4322</v>
      </c>
      <c r="P1422" s="8" t="n"/>
      <c r="Q1422" s="8" t="n"/>
      <c r="R1422" s="8" t="n"/>
      <c r="S1422" s="8" t="n"/>
      <c r="T1422" s="8" t="n"/>
      <c r="U1422" s="8" t="n"/>
      <c r="V1422" s="8" t="n"/>
      <c r="W1422" s="8">
        <f>IF(COUNT(D1422:V1422)=0,"",MIN(D1422:V1422))</f>
        <v/>
      </c>
      <c r="X1422" s="8">
        <f>IF(COUNT(D1422:V1422)=0,"",MEDIAN(D1422:V1422))</f>
        <v/>
      </c>
      <c r="Y1422" s="8">
        <f>IF(COUNT(D1422:V1422)=0,"",MAX(D1422:V1422))</f>
        <v/>
      </c>
      <c r="Z1422" s="9">
        <f>IF(OR(W1422="",W1422=0),"",(Y1422-W1422)/W1422)</f>
        <v/>
      </c>
      <c r="AA1422" s="7">
        <f>IF(COUNT(D1422:V1422)=0,"",INDEX($D$1:$V$1,MATCH(MIN(D1422:V1422),D1422:V1422,0)))</f>
        <v/>
      </c>
      <c r="AB1422" s="8" t="n">
        <v>5010.42</v>
      </c>
      <c r="AC1422" s="10" t="n">
        <v>2</v>
      </c>
    </row>
    <row r="1423">
      <c r="A1423" s="7" t="inlineStr">
        <is>
          <t>MAT-32-068</t>
        </is>
      </c>
      <c r="B1423" s="4" t="inlineStr">
        <is>
          <t>Tubo PVC SDR-41 8" x 19 pies</t>
        </is>
      </c>
      <c r="C1423" s="7" t="inlineStr">
        <is>
          <t>tubo</t>
        </is>
      </c>
      <c r="D1423" s="8" t="n"/>
      <c r="E1423" s="8" t="n">
        <v>7570</v>
      </c>
      <c r="F1423" s="8" t="n"/>
      <c r="G1423" s="8" t="n"/>
      <c r="H1423" s="8" t="n"/>
      <c r="I1423" s="8" t="n"/>
      <c r="J1423" s="8" t="n"/>
      <c r="K1423" s="8" t="n"/>
      <c r="L1423" s="8" t="n">
        <v>4819.99</v>
      </c>
      <c r="M1423" s="8" t="n"/>
      <c r="N1423" s="8" t="n"/>
      <c r="O1423" s="8" t="n">
        <v>6720.9</v>
      </c>
      <c r="P1423" s="8" t="n"/>
      <c r="Q1423" s="8" t="n"/>
      <c r="R1423" s="8" t="n"/>
      <c r="S1423" s="8" t="n"/>
      <c r="T1423" s="8" t="n"/>
      <c r="U1423" s="8" t="n"/>
      <c r="V1423" s="8" t="n"/>
      <c r="W1423" s="8">
        <f>IF(COUNT(D1423:V1423)=0,"",MIN(D1423:V1423))</f>
        <v/>
      </c>
      <c r="X1423" s="8">
        <f>IF(COUNT(D1423:V1423)=0,"",MEDIAN(D1423:V1423))</f>
        <v/>
      </c>
      <c r="Y1423" s="8">
        <f>IF(COUNT(D1423:V1423)=0,"",MAX(D1423:V1423))</f>
        <v/>
      </c>
      <c r="Z1423" s="9">
        <f>IF(OR(W1423="",W1423=0),"",(Y1423-W1423)/W1423)</f>
        <v/>
      </c>
      <c r="AA1423" s="7">
        <f>IF(COUNT(D1423:V1423)=0,"",INDEX($D$1:$V$1,MATCH(MIN(D1423:V1423),D1423:V1423,0)))</f>
        <v/>
      </c>
      <c r="AB1423" s="8" t="n">
        <v>7570</v>
      </c>
      <c r="AC1423" s="10" t="n">
        <v>3</v>
      </c>
    </row>
    <row r="1424">
      <c r="A1424" s="7" t="inlineStr">
        <is>
          <t>MAT-32-069</t>
        </is>
      </c>
      <c r="B1424" s="4" t="inlineStr">
        <is>
          <t>Abrazadera de manguera 1 1/2"</t>
        </is>
      </c>
      <c r="C1424" s="7" t="inlineStr">
        <is>
          <t>unidad</t>
        </is>
      </c>
      <c r="D1424" s="8" t="n"/>
      <c r="E1424" s="8" t="n"/>
      <c r="F1424" s="8" t="n"/>
      <c r="G1424" s="8" t="n">
        <v>39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>
        <f>IF(COUNT(D1424:V1424)=0,"",MIN(D1424:V1424))</f>
        <v/>
      </c>
      <c r="X1424" s="8">
        <f>IF(COUNT(D1424:V1424)=0,"",MEDIAN(D1424:V1424))</f>
        <v/>
      </c>
      <c r="Y1424" s="8">
        <f>IF(COUNT(D1424:V1424)=0,"",MAX(D1424:V1424))</f>
        <v/>
      </c>
      <c r="Z1424" s="9">
        <f>IF(OR(W1424="",W1424=0),"",(Y1424-W1424)/W1424)</f>
        <v/>
      </c>
      <c r="AA1424" s="7">
        <f>IF(COUNT(D1424:V1424)=0,"",INDEX($D$1:$V$1,MATCH(MIN(D1424:V1424),D1424:V1424,0)))</f>
        <v/>
      </c>
      <c r="AB1424" s="8" t="n">
        <v>53</v>
      </c>
      <c r="AC1424" s="10" t="n">
        <v>1</v>
      </c>
    </row>
    <row r="1425">
      <c r="A1425" s="7" t="inlineStr">
        <is>
          <t>MAT-32-070</t>
        </is>
      </c>
      <c r="B1425" s="4" t="inlineStr">
        <is>
          <t>Abrazadera de manguera 1/2"</t>
        </is>
      </c>
      <c r="C1425" s="7" t="inlineStr">
        <is>
          <t>unidad</t>
        </is>
      </c>
      <c r="D1425" s="8" t="n"/>
      <c r="E1425" s="8" t="n"/>
      <c r="F1425" s="8" t="n"/>
      <c r="G1425" s="8" t="n">
        <v>53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>
        <f>IF(COUNT(D1425:V1425)=0,"",MIN(D1425:V1425))</f>
        <v/>
      </c>
      <c r="X1425" s="8">
        <f>IF(COUNT(D1425:V1425)=0,"",MEDIAN(D1425:V1425))</f>
        <v/>
      </c>
      <c r="Y1425" s="8">
        <f>IF(COUNT(D1425:V1425)=0,"",MAX(D1425:V1425))</f>
        <v/>
      </c>
      <c r="Z1425" s="9">
        <f>IF(OR(W1425="",W1425=0),"",(Y1425-W1425)/W1425)</f>
        <v/>
      </c>
      <c r="AA1425" s="7">
        <f>IF(COUNT(D1425:V1425)=0,"",INDEX($D$1:$V$1,MATCH(MIN(D1425:V1425),D1425:V1425,0)))</f>
        <v/>
      </c>
      <c r="AB1425" s="8" t="n">
        <v>53</v>
      </c>
      <c r="AC1425" s="10" t="n">
        <v>1</v>
      </c>
    </row>
    <row r="1426">
      <c r="A1426" s="7" t="inlineStr">
        <is>
          <t>MAT-32-071</t>
        </is>
      </c>
      <c r="B1426" s="4" t="inlineStr">
        <is>
          <t>Abrazadera de manguera 1"</t>
        </is>
      </c>
      <c r="C1426" s="7" t="inlineStr">
        <is>
          <t>unidad</t>
        </is>
      </c>
      <c r="D1426" s="8" t="n"/>
      <c r="E1426" s="8" t="n"/>
      <c r="F1426" s="8" t="n"/>
      <c r="G1426" s="8" t="n">
        <v>56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 t="n"/>
      <c r="W1426" s="8">
        <f>IF(COUNT(D1426:V1426)=0,"",MIN(D1426:V1426))</f>
        <v/>
      </c>
      <c r="X1426" s="8">
        <f>IF(COUNT(D1426:V1426)=0,"",MEDIAN(D1426:V1426))</f>
        <v/>
      </c>
      <c r="Y1426" s="8">
        <f>IF(COUNT(D1426:V1426)=0,"",MAX(D1426:V1426))</f>
        <v/>
      </c>
      <c r="Z1426" s="9">
        <f>IF(OR(W1426="",W1426=0),"",(Y1426-W1426)/W1426)</f>
        <v/>
      </c>
      <c r="AA1426" s="7">
        <f>IF(COUNT(D1426:V1426)=0,"",INDEX($D$1:$V$1,MATCH(MIN(D1426:V1426),D1426:V1426,0)))</f>
        <v/>
      </c>
      <c r="AB1426" s="8" t="n">
        <v>56</v>
      </c>
      <c r="AC1426" s="10" t="n">
        <v>1</v>
      </c>
    </row>
    <row r="1427">
      <c r="A1427" s="7" t="inlineStr">
        <is>
          <t>MAT-32-072</t>
        </is>
      </c>
      <c r="B1427" s="4" t="inlineStr">
        <is>
          <t>Abrazadera de manguera 2"</t>
        </is>
      </c>
      <c r="C1427" s="7" t="inlineStr">
        <is>
          <t>unidad</t>
        </is>
      </c>
      <c r="D1427" s="8" t="n"/>
      <c r="E1427" s="8" t="n"/>
      <c r="F1427" s="8" t="n"/>
      <c r="G1427" s="8" t="n">
        <v>68</v>
      </c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 t="n"/>
      <c r="W1427" s="8">
        <f>IF(COUNT(D1427:V1427)=0,"",MIN(D1427:V1427))</f>
        <v/>
      </c>
      <c r="X1427" s="8">
        <f>IF(COUNT(D1427:V1427)=0,"",MEDIAN(D1427:V1427))</f>
        <v/>
      </c>
      <c r="Y1427" s="8">
        <f>IF(COUNT(D1427:V1427)=0,"",MAX(D1427:V1427))</f>
        <v/>
      </c>
      <c r="Z1427" s="9">
        <f>IF(OR(W1427="",W1427=0),"",(Y1427-W1427)/W1427)</f>
        <v/>
      </c>
      <c r="AA1427" s="7">
        <f>IF(COUNT(D1427:V1427)=0,"",INDEX($D$1:$V$1,MATCH(MIN(D1427:V1427),D1427:V1427,0)))</f>
        <v/>
      </c>
      <c r="AB1427" s="8" t="n">
        <v>68</v>
      </c>
      <c r="AC1427" s="10" t="n">
        <v>1</v>
      </c>
    </row>
    <row r="1428">
      <c r="A1428" s="7" t="inlineStr">
        <is>
          <t>MAT-32-073</t>
        </is>
      </c>
      <c r="B1428" s="4" t="inlineStr">
        <is>
          <t>Abrazadera de manguera 3/4"</t>
        </is>
      </c>
      <c r="C1428" s="7" t="inlineStr">
        <is>
          <t>unidad</t>
        </is>
      </c>
      <c r="D1428" s="8" t="n"/>
      <c r="E1428" s="8" t="n"/>
      <c r="F1428" s="8" t="n"/>
      <c r="G1428" s="8" t="n">
        <v>65</v>
      </c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 t="n"/>
      <c r="W1428" s="8">
        <f>IF(COUNT(D1428:V1428)=0,"",MIN(D1428:V1428))</f>
        <v/>
      </c>
      <c r="X1428" s="8">
        <f>IF(COUNT(D1428:V1428)=0,"",MEDIAN(D1428:V1428))</f>
        <v/>
      </c>
      <c r="Y1428" s="8">
        <f>IF(COUNT(D1428:V1428)=0,"",MAX(D1428:V1428))</f>
        <v/>
      </c>
      <c r="Z1428" s="9">
        <f>IF(OR(W1428="",W1428=0),"",(Y1428-W1428)/W1428)</f>
        <v/>
      </c>
      <c r="AA1428" s="7">
        <f>IF(COUNT(D1428:V1428)=0,"",INDEX($D$1:$V$1,MATCH(MIN(D1428:V1428),D1428:V1428,0)))</f>
        <v/>
      </c>
      <c r="AB1428" s="8" t="n">
        <v>65</v>
      </c>
      <c r="AC1428" s="10" t="n">
        <v>1</v>
      </c>
    </row>
    <row r="1429">
      <c r="A1429" s="7" t="inlineStr">
        <is>
          <t>MAT-32-074</t>
        </is>
      </c>
      <c r="B1429" s="4" t="inlineStr">
        <is>
          <t>Adaptador hembra de bronce 12" x 1/2"</t>
        </is>
      </c>
      <c r="C1429" s="7" t="inlineStr">
        <is>
          <t>unidad</t>
        </is>
      </c>
      <c r="D1429" s="8" t="n"/>
      <c r="E1429" s="8" t="n">
        <v>265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>
        <f>IF(COUNT(D1429:V1429)=0,"",MIN(D1429:V1429))</f>
        <v/>
      </c>
      <c r="X1429" s="8">
        <f>IF(COUNT(D1429:V1429)=0,"",MEDIAN(D1429:V1429))</f>
        <v/>
      </c>
      <c r="Y1429" s="8">
        <f>IF(COUNT(D1429:V1429)=0,"",MAX(D1429:V1429))</f>
        <v/>
      </c>
      <c r="Z1429" s="9">
        <f>IF(OR(W1429="",W1429=0),"",(Y1429-W1429)/W1429)</f>
        <v/>
      </c>
      <c r="AA1429" s="7">
        <f>IF(COUNT(D1429:V1429)=0,"",INDEX($D$1:$V$1,MATCH(MIN(D1429:V1429),D1429:V1429,0)))</f>
        <v/>
      </c>
      <c r="AB1429" s="8" t="n">
        <v>265</v>
      </c>
      <c r="AC1429" s="10" t="n">
        <v>1</v>
      </c>
    </row>
    <row r="1430">
      <c r="A1430" s="7" t="inlineStr">
        <is>
          <t>MAT-32-075</t>
        </is>
      </c>
      <c r="B1430" s="4" t="inlineStr">
        <is>
          <t>Adaptador hembra de bronce 12" x 3/8"</t>
        </is>
      </c>
      <c r="C1430" s="7" t="inlineStr">
        <is>
          <t>unidad</t>
        </is>
      </c>
      <c r="D1430" s="8" t="n"/>
      <c r="E1430" s="8" t="n">
        <v>282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>
        <f>IF(COUNT(D1430:V1430)=0,"",MIN(D1430:V1430))</f>
        <v/>
      </c>
      <c r="X1430" s="8">
        <f>IF(COUNT(D1430:V1430)=0,"",MEDIAN(D1430:V1430))</f>
        <v/>
      </c>
      <c r="Y1430" s="8">
        <f>IF(COUNT(D1430:V1430)=0,"",MAX(D1430:V1430))</f>
        <v/>
      </c>
      <c r="Z1430" s="9">
        <f>IF(OR(W1430="",W1430=0),"",(Y1430-W1430)/W1430)</f>
        <v/>
      </c>
      <c r="AA1430" s="7">
        <f>IF(COUNT(D1430:V1430)=0,"",INDEX($D$1:$V$1,MATCH(MIN(D1430:V1430),D1430:V1430,0)))</f>
        <v/>
      </c>
      <c r="AB1430" s="8" t="n">
        <v>282</v>
      </c>
      <c r="AC1430" s="10" t="n">
        <v>1</v>
      </c>
    </row>
    <row r="1431">
      <c r="A1431" s="7" t="inlineStr">
        <is>
          <t>MAT-32-076</t>
        </is>
      </c>
      <c r="B1431" s="4" t="inlineStr">
        <is>
          <t>Adaptador hembra de bronce 15" x 1/2"</t>
        </is>
      </c>
      <c r="C1431" s="7" t="inlineStr">
        <is>
          <t>unidad</t>
        </is>
      </c>
      <c r="D1431" s="8" t="n"/>
      <c r="E1431" s="8" t="n">
        <v>204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>
        <f>IF(COUNT(D1431:V1431)=0,"",MIN(D1431:V1431))</f>
        <v/>
      </c>
      <c r="X1431" s="8">
        <f>IF(COUNT(D1431:V1431)=0,"",MEDIAN(D1431:V1431))</f>
        <v/>
      </c>
      <c r="Y1431" s="8">
        <f>IF(COUNT(D1431:V1431)=0,"",MAX(D1431:V1431))</f>
        <v/>
      </c>
      <c r="Z1431" s="9">
        <f>IF(OR(W1431="",W1431=0),"",(Y1431-W1431)/W1431)</f>
        <v/>
      </c>
      <c r="AA1431" s="7">
        <f>IF(COUNT(D1431:V1431)=0,"",INDEX($D$1:$V$1,MATCH(MIN(D1431:V1431),D1431:V1431,0)))</f>
        <v/>
      </c>
      <c r="AB1431" s="8" t="n">
        <v>204</v>
      </c>
      <c r="AC1431" s="10" t="n">
        <v>1</v>
      </c>
    </row>
    <row r="1432">
      <c r="A1432" s="7" t="inlineStr">
        <is>
          <t>MAT-32-077</t>
        </is>
      </c>
      <c r="B1432" s="4" t="inlineStr">
        <is>
          <t>Adaptador hembra de bronce 15" x 3/4"</t>
        </is>
      </c>
      <c r="C1432" s="7" t="inlineStr">
        <is>
          <t>unidad</t>
        </is>
      </c>
      <c r="D1432" s="8" t="n"/>
      <c r="E1432" s="8" t="n">
        <v>349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>
        <f>IF(COUNT(D1432:V1432)=0,"",MIN(D1432:V1432))</f>
        <v/>
      </c>
      <c r="X1432" s="8">
        <f>IF(COUNT(D1432:V1432)=0,"",MEDIAN(D1432:V1432))</f>
        <v/>
      </c>
      <c r="Y1432" s="8">
        <f>IF(COUNT(D1432:V1432)=0,"",MAX(D1432:V1432))</f>
        <v/>
      </c>
      <c r="Z1432" s="9">
        <f>IF(OR(W1432="",W1432=0),"",(Y1432-W1432)/W1432)</f>
        <v/>
      </c>
      <c r="AA1432" s="7">
        <f>IF(COUNT(D1432:V1432)=0,"",INDEX($D$1:$V$1,MATCH(MIN(D1432:V1432),D1432:V1432,0)))</f>
        <v/>
      </c>
      <c r="AB1432" s="8" t="n">
        <v>349</v>
      </c>
      <c r="AC1432" s="10" t="n">
        <v>1</v>
      </c>
    </row>
    <row r="1433">
      <c r="A1433" s="7" t="inlineStr">
        <is>
          <t>MAT-32-078</t>
        </is>
      </c>
      <c r="B1433" s="4" t="inlineStr">
        <is>
          <t>Adaptador hembra de bronce 15" x 3/8"</t>
        </is>
      </c>
      <c r="C1433" s="7" t="inlineStr">
        <is>
          <t>unidad</t>
        </is>
      </c>
      <c r="D1433" s="8" t="n"/>
      <c r="E1433" s="8" t="n">
        <v>279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>
        <f>IF(COUNT(D1433:V1433)=0,"",MIN(D1433:V1433))</f>
        <v/>
      </c>
      <c r="X1433" s="8">
        <f>IF(COUNT(D1433:V1433)=0,"",MEDIAN(D1433:V1433))</f>
        <v/>
      </c>
      <c r="Y1433" s="8">
        <f>IF(COUNT(D1433:V1433)=0,"",MAX(D1433:V1433))</f>
        <v/>
      </c>
      <c r="Z1433" s="9">
        <f>IF(OR(W1433="",W1433=0),"",(Y1433-W1433)/W1433)</f>
        <v/>
      </c>
      <c r="AA1433" s="7">
        <f>IF(COUNT(D1433:V1433)=0,"",INDEX($D$1:$V$1,MATCH(MIN(D1433:V1433),D1433:V1433,0)))</f>
        <v/>
      </c>
      <c r="AB1433" s="8" t="n">
        <v>279</v>
      </c>
      <c r="AC1433" s="10" t="n">
        <v>1</v>
      </c>
    </row>
    <row r="1434">
      <c r="A1434" s="7" t="inlineStr">
        <is>
          <t>MAT-32-079</t>
        </is>
      </c>
      <c r="B1434" s="4" t="inlineStr">
        <is>
          <t>Adaptador hembra de bronce 18" x 1/2"</t>
        </is>
      </c>
      <c r="C1434" s="7" t="inlineStr">
        <is>
          <t>unidad</t>
        </is>
      </c>
      <c r="D1434" s="8" t="n"/>
      <c r="E1434" s="8" t="n">
        <v>253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>
        <f>IF(COUNT(D1434:V1434)=0,"",MIN(D1434:V1434))</f>
        <v/>
      </c>
      <c r="X1434" s="8">
        <f>IF(COUNT(D1434:V1434)=0,"",MEDIAN(D1434:V1434))</f>
        <v/>
      </c>
      <c r="Y1434" s="8">
        <f>IF(COUNT(D1434:V1434)=0,"",MAX(D1434:V1434))</f>
        <v/>
      </c>
      <c r="Z1434" s="9">
        <f>IF(OR(W1434="",W1434=0),"",(Y1434-W1434)/W1434)</f>
        <v/>
      </c>
      <c r="AA1434" s="7">
        <f>IF(COUNT(D1434:V1434)=0,"",INDEX($D$1:$V$1,MATCH(MIN(D1434:V1434),D1434:V1434,0)))</f>
        <v/>
      </c>
      <c r="AB1434" s="8" t="n">
        <v>253</v>
      </c>
      <c r="AC1434" s="10" t="n">
        <v>1</v>
      </c>
    </row>
    <row r="1435">
      <c r="A1435" s="7" t="inlineStr">
        <is>
          <t>MAT-32-080</t>
        </is>
      </c>
      <c r="B1435" s="4" t="inlineStr">
        <is>
          <t>Adaptador hembra de bronce 18" x 3/4"</t>
        </is>
      </c>
      <c r="C1435" s="7" t="inlineStr">
        <is>
          <t>unidad</t>
        </is>
      </c>
      <c r="D1435" s="8" t="n"/>
      <c r="E1435" s="8" t="n">
        <v>356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>
        <f>IF(COUNT(D1435:V1435)=0,"",MIN(D1435:V1435))</f>
        <v/>
      </c>
      <c r="X1435" s="8">
        <f>IF(COUNT(D1435:V1435)=0,"",MEDIAN(D1435:V1435))</f>
        <v/>
      </c>
      <c r="Y1435" s="8">
        <f>IF(COUNT(D1435:V1435)=0,"",MAX(D1435:V1435))</f>
        <v/>
      </c>
      <c r="Z1435" s="9">
        <f>IF(OR(W1435="",W1435=0),"",(Y1435-W1435)/W1435)</f>
        <v/>
      </c>
      <c r="AA1435" s="7">
        <f>IF(COUNT(D1435:V1435)=0,"",INDEX($D$1:$V$1,MATCH(MIN(D1435:V1435),D1435:V1435,0)))</f>
        <v/>
      </c>
      <c r="AB1435" s="8" t="n">
        <v>356</v>
      </c>
      <c r="AC1435" s="10" t="n">
        <v>1</v>
      </c>
    </row>
    <row r="1436">
      <c r="A1436" s="7" t="inlineStr">
        <is>
          <t>MAT-32-081</t>
        </is>
      </c>
      <c r="B1436" s="4" t="inlineStr">
        <is>
          <t>Adaptador hembra de bronce 25" x 3/4"</t>
        </is>
      </c>
      <c r="C1436" s="7" t="inlineStr">
        <is>
          <t>unidad</t>
        </is>
      </c>
      <c r="D1436" s="8" t="n"/>
      <c r="E1436" s="8" t="n">
        <v>423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>
        <f>IF(COUNT(D1436:V1436)=0,"",MIN(D1436:V1436))</f>
        <v/>
      </c>
      <c r="X1436" s="8">
        <f>IF(COUNT(D1436:V1436)=0,"",MEDIAN(D1436:V1436))</f>
        <v/>
      </c>
      <c r="Y1436" s="8">
        <f>IF(COUNT(D1436:V1436)=0,"",MAX(D1436:V1436))</f>
        <v/>
      </c>
      <c r="Z1436" s="9">
        <f>IF(OR(W1436="",W1436=0),"",(Y1436-W1436)/W1436)</f>
        <v/>
      </c>
      <c r="AA1436" s="7">
        <f>IF(COUNT(D1436:V1436)=0,"",INDEX($D$1:$V$1,MATCH(MIN(D1436:V1436),D1436:V1436,0)))</f>
        <v/>
      </c>
      <c r="AB1436" s="8" t="n">
        <v>423</v>
      </c>
      <c r="AC1436" s="10" t="n">
        <v>1</v>
      </c>
    </row>
    <row r="1437">
      <c r="A1437" s="7" t="inlineStr">
        <is>
          <t>MAT-32-082</t>
        </is>
      </c>
      <c r="B1437" s="4" t="inlineStr">
        <is>
          <t>Adaptador hembra de bronce 3/8" x 1/2"</t>
        </is>
      </c>
      <c r="C1437" s="7" t="inlineStr">
        <is>
          <t>unidad</t>
        </is>
      </c>
      <c r="D1437" s="8" t="n"/>
      <c r="E1437" s="8" t="n">
        <v>135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>
        <f>IF(COUNT(D1437:V1437)=0,"",MIN(D1437:V1437))</f>
        <v/>
      </c>
      <c r="X1437" s="8">
        <f>IF(COUNT(D1437:V1437)=0,"",MEDIAN(D1437:V1437))</f>
        <v/>
      </c>
      <c r="Y1437" s="8">
        <f>IF(COUNT(D1437:V1437)=0,"",MAX(D1437:V1437))</f>
        <v/>
      </c>
      <c r="Z1437" s="9">
        <f>IF(OR(W1437="",W1437=0),"",(Y1437-W1437)/W1437)</f>
        <v/>
      </c>
      <c r="AA1437" s="7">
        <f>IF(COUNT(D1437:V1437)=0,"",INDEX($D$1:$V$1,MATCH(MIN(D1437:V1437),D1437:V1437,0)))</f>
        <v/>
      </c>
      <c r="AB1437" s="8" t="n">
        <v>144.5</v>
      </c>
      <c r="AC1437" s="10" t="n">
        <v>1</v>
      </c>
    </row>
    <row r="1438">
      <c r="A1438" s="7" t="inlineStr">
        <is>
          <t>MAT-32-083</t>
        </is>
      </c>
      <c r="B1438" s="4" t="inlineStr">
        <is>
          <t>Adaptador hembra de bronce 3/8" x 1/4"</t>
        </is>
      </c>
      <c r="C1438" s="7" t="inlineStr">
        <is>
          <t>unidad</t>
        </is>
      </c>
      <c r="D1438" s="8" t="n"/>
      <c r="E1438" s="8" t="n">
        <v>104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>
        <f>IF(COUNT(D1438:V1438)=0,"",MIN(D1438:V1438))</f>
        <v/>
      </c>
      <c r="X1438" s="8">
        <f>IF(COUNT(D1438:V1438)=0,"",MEDIAN(D1438:V1438))</f>
        <v/>
      </c>
      <c r="Y1438" s="8">
        <f>IF(COUNT(D1438:V1438)=0,"",MAX(D1438:V1438))</f>
        <v/>
      </c>
      <c r="Z1438" s="9">
        <f>IF(OR(W1438="",W1438=0),"",(Y1438-W1438)/W1438)</f>
        <v/>
      </c>
      <c r="AA1438" s="7">
        <f>IF(COUNT(D1438:V1438)=0,"",INDEX($D$1:$V$1,MATCH(MIN(D1438:V1438),D1438:V1438,0)))</f>
        <v/>
      </c>
      <c r="AB1438" s="8" t="n">
        <v>104</v>
      </c>
      <c r="AC1438" s="10" t="n">
        <v>1</v>
      </c>
    </row>
    <row r="1439">
      <c r="A1439" s="7" t="inlineStr">
        <is>
          <t>MAT-32-084</t>
        </is>
      </c>
      <c r="B1439" s="4" t="inlineStr">
        <is>
          <t>Adaptador hembra de bronce 3/8" x 3/4"</t>
        </is>
      </c>
      <c r="C1439" s="7" t="inlineStr">
        <is>
          <t>unidad</t>
        </is>
      </c>
      <c r="D1439" s="8" t="n"/>
      <c r="E1439" s="8" t="n">
        <v>183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>
        <f>IF(COUNT(D1439:V1439)=0,"",MIN(D1439:V1439))</f>
        <v/>
      </c>
      <c r="X1439" s="8">
        <f>IF(COUNT(D1439:V1439)=0,"",MEDIAN(D1439:V1439))</f>
        <v/>
      </c>
      <c r="Y1439" s="8">
        <f>IF(COUNT(D1439:V1439)=0,"",MAX(D1439:V1439))</f>
        <v/>
      </c>
      <c r="Z1439" s="9">
        <f>IF(OR(W1439="",W1439=0),"",(Y1439-W1439)/W1439)</f>
        <v/>
      </c>
      <c r="AA1439" s="7">
        <f>IF(COUNT(D1439:V1439)=0,"",INDEX($D$1:$V$1,MATCH(MIN(D1439:V1439),D1439:V1439,0)))</f>
        <v/>
      </c>
      <c r="AB1439" s="8" t="n">
        <v>183</v>
      </c>
      <c r="AC1439" s="10" t="n">
        <v>1</v>
      </c>
    </row>
    <row r="1440">
      <c r="A1440" s="7" t="inlineStr">
        <is>
          <t>MAT-32-085</t>
        </is>
      </c>
      <c r="B1440" s="4" t="inlineStr">
        <is>
          <t>Adaptador hembra de bronce 3/8" x 3/8"</t>
        </is>
      </c>
      <c r="C1440" s="7" t="inlineStr">
        <is>
          <t>unidad</t>
        </is>
      </c>
      <c r="D1440" s="8" t="n"/>
      <c r="E1440" s="8" t="n">
        <v>90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>
        <f>IF(COUNT(D1440:V1440)=0,"",MIN(D1440:V1440))</f>
        <v/>
      </c>
      <c r="X1440" s="8">
        <f>IF(COUNT(D1440:V1440)=0,"",MEDIAN(D1440:V1440))</f>
        <v/>
      </c>
      <c r="Y1440" s="8">
        <f>IF(COUNT(D1440:V1440)=0,"",MAX(D1440:V1440))</f>
        <v/>
      </c>
      <c r="Z1440" s="9">
        <f>IF(OR(W1440="",W1440=0),"",(Y1440-W1440)/W1440)</f>
        <v/>
      </c>
      <c r="AA1440" s="7">
        <f>IF(COUNT(D1440:V1440)=0,"",INDEX($D$1:$V$1,MATCH(MIN(D1440:V1440),D1440:V1440,0)))</f>
        <v/>
      </c>
      <c r="AB1440" s="8" t="n">
        <v>90</v>
      </c>
      <c r="AC1440" s="10" t="n">
        <v>1</v>
      </c>
    </row>
    <row r="1441">
      <c r="A1441" s="7" t="inlineStr">
        <is>
          <t>MAT-32-086</t>
        </is>
      </c>
      <c r="B1441" s="4" t="inlineStr">
        <is>
          <t>Adaptador hembra de bronce 32" x 1"</t>
        </is>
      </c>
      <c r="C1441" s="7" t="inlineStr">
        <is>
          <t>unidad</t>
        </is>
      </c>
      <c r="D1441" s="8" t="n"/>
      <c r="E1441" s="8" t="n">
        <v>535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>
        <f>IF(COUNT(D1441:V1441)=0,"",MIN(D1441:V1441))</f>
        <v/>
      </c>
      <c r="X1441" s="8">
        <f>IF(COUNT(D1441:V1441)=0,"",MEDIAN(D1441:V1441))</f>
        <v/>
      </c>
      <c r="Y1441" s="8">
        <f>IF(COUNT(D1441:V1441)=0,"",MAX(D1441:V1441))</f>
        <v/>
      </c>
      <c r="Z1441" s="9">
        <f>IF(OR(W1441="",W1441=0),"",(Y1441-W1441)/W1441)</f>
        <v/>
      </c>
      <c r="AA1441" s="7">
        <f>IF(COUNT(D1441:V1441)=0,"",INDEX($D$1:$V$1,MATCH(MIN(D1441:V1441),D1441:V1441,0)))</f>
        <v/>
      </c>
      <c r="AB1441" s="8" t="n">
        <v>535</v>
      </c>
      <c r="AC1441" s="10" t="n">
        <v>1</v>
      </c>
    </row>
    <row r="1442">
      <c r="A1442" s="7" t="inlineStr">
        <is>
          <t>MAT-32-087</t>
        </is>
      </c>
      <c r="B1442" s="4" t="inlineStr">
        <is>
          <t>Adaptador hembra de CPVC 1/2"</t>
        </is>
      </c>
      <c r="C1442" s="7" t="inlineStr">
        <is>
          <t>unidad</t>
        </is>
      </c>
      <c r="D1442" s="8" t="n"/>
      <c r="E1442" s="8" t="n">
        <v>11.01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>
        <f>IF(COUNT(D1442:V1442)=0,"",MIN(D1442:V1442))</f>
        <v/>
      </c>
      <c r="X1442" s="8">
        <f>IF(COUNT(D1442:V1442)=0,"",MEDIAN(D1442:V1442))</f>
        <v/>
      </c>
      <c r="Y1442" s="8">
        <f>IF(COUNT(D1442:V1442)=0,"",MAX(D1442:V1442))</f>
        <v/>
      </c>
      <c r="Z1442" s="9">
        <f>IF(OR(W1442="",W1442=0),"",(Y1442-W1442)/W1442)</f>
        <v/>
      </c>
      <c r="AA1442" s="7">
        <f>IF(COUNT(D1442:V1442)=0,"",INDEX($D$1:$V$1,MATCH(MIN(D1442:V1442),D1442:V1442,0)))</f>
        <v/>
      </c>
      <c r="AB1442" s="8" t="n">
        <v>11.01</v>
      </c>
      <c r="AC1442" s="10" t="n">
        <v>1</v>
      </c>
    </row>
    <row r="1443">
      <c r="A1443" s="7" t="inlineStr">
        <is>
          <t>MAT-32-088</t>
        </is>
      </c>
      <c r="B1443" s="4" t="inlineStr">
        <is>
          <t>Adaptador hembra de CPVC 1"</t>
        </is>
      </c>
      <c r="C1443" s="7" t="inlineStr">
        <is>
          <t>unidad</t>
        </is>
      </c>
      <c r="D1443" s="8" t="n"/>
      <c r="E1443" s="8" t="n">
        <v>26.25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>
        <f>IF(COUNT(D1443:V1443)=0,"",MIN(D1443:V1443))</f>
        <v/>
      </c>
      <c r="X1443" s="8">
        <f>IF(COUNT(D1443:V1443)=0,"",MEDIAN(D1443:V1443))</f>
        <v/>
      </c>
      <c r="Y1443" s="8">
        <f>IF(COUNT(D1443:V1443)=0,"",MAX(D1443:V1443))</f>
        <v/>
      </c>
      <c r="Z1443" s="9">
        <f>IF(OR(W1443="",W1443=0),"",(Y1443-W1443)/W1443)</f>
        <v/>
      </c>
      <c r="AA1443" s="7">
        <f>IF(COUNT(D1443:V1443)=0,"",INDEX($D$1:$V$1,MATCH(MIN(D1443:V1443),D1443:V1443,0)))</f>
        <v/>
      </c>
      <c r="AB1443" s="8" t="n">
        <v>26.25</v>
      </c>
      <c r="AC1443" s="10" t="n">
        <v>1</v>
      </c>
    </row>
    <row r="1444">
      <c r="A1444" s="7" t="inlineStr">
        <is>
          <t>MAT-32-089</t>
        </is>
      </c>
      <c r="B1444" s="4" t="inlineStr">
        <is>
          <t>Adaptador hembra de CPVC 3/4"</t>
        </is>
      </c>
      <c r="C1444" s="7" t="inlineStr">
        <is>
          <t>unidad</t>
        </is>
      </c>
      <c r="D1444" s="8" t="n"/>
      <c r="E1444" s="8" t="n">
        <v>27.22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>
        <f>IF(COUNT(D1444:V1444)=0,"",MIN(D1444:V1444))</f>
        <v/>
      </c>
      <c r="X1444" s="8">
        <f>IF(COUNT(D1444:V1444)=0,"",MEDIAN(D1444:V1444))</f>
        <v/>
      </c>
      <c r="Y1444" s="8">
        <f>IF(COUNT(D1444:V1444)=0,"",MAX(D1444:V1444))</f>
        <v/>
      </c>
      <c r="Z1444" s="9">
        <f>IF(OR(W1444="",W1444=0),"",(Y1444-W1444)/W1444)</f>
        <v/>
      </c>
      <c r="AA1444" s="7">
        <f>IF(COUNT(D1444:V1444)=0,"",INDEX($D$1:$V$1,MATCH(MIN(D1444:V1444),D1444:V1444,0)))</f>
        <v/>
      </c>
      <c r="AB1444" s="8" t="n">
        <v>27.22</v>
      </c>
      <c r="AC1444" s="10" t="n">
        <v>1</v>
      </c>
    </row>
    <row r="1445">
      <c r="A1445" s="7" t="inlineStr">
        <is>
          <t>MAT-32-090</t>
        </is>
      </c>
      <c r="B1445" s="4" t="inlineStr">
        <is>
          <t>Adaptador hembra de plástico 5/8"</t>
        </is>
      </c>
      <c r="C1445" s="7" t="inlineStr">
        <is>
          <t>unidad</t>
        </is>
      </c>
      <c r="D1445" s="8" t="n"/>
      <c r="E1445" s="8" t="n">
        <v>106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>
        <f>IF(COUNT(D1445:V1445)=0,"",MIN(D1445:V1445))</f>
        <v/>
      </c>
      <c r="X1445" s="8">
        <f>IF(COUNT(D1445:V1445)=0,"",MEDIAN(D1445:V1445))</f>
        <v/>
      </c>
      <c r="Y1445" s="8">
        <f>IF(COUNT(D1445:V1445)=0,"",MAX(D1445:V1445))</f>
        <v/>
      </c>
      <c r="Z1445" s="9">
        <f>IF(OR(W1445="",W1445=0),"",(Y1445-W1445)/W1445)</f>
        <v/>
      </c>
      <c r="AA1445" s="7">
        <f>IF(COUNT(D1445:V1445)=0,"",INDEX($D$1:$V$1,MATCH(MIN(D1445:V1445),D1445:V1445,0)))</f>
        <v/>
      </c>
      <c r="AB1445" s="8" t="n">
        <v>106</v>
      </c>
      <c r="AC1445" s="10" t="n">
        <v>1</v>
      </c>
    </row>
    <row r="1446">
      <c r="A1446" s="7" t="inlineStr">
        <is>
          <t>MAT-32-091</t>
        </is>
      </c>
      <c r="B1446" s="4" t="inlineStr">
        <is>
          <t>Adaptador hembra de PPR 20 mm</t>
        </is>
      </c>
      <c r="C1446" s="7" t="inlineStr">
        <is>
          <t>unidad</t>
        </is>
      </c>
      <c r="D1446" s="8" t="n"/>
      <c r="E1446" s="8" t="n">
        <v>58.58</v>
      </c>
      <c r="F1446" s="8" t="n"/>
      <c r="G1446" s="8" t="n">
        <v>172</v>
      </c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>
        <f>IF(COUNT(D1446:V1446)=0,"",MIN(D1446:V1446))</f>
        <v/>
      </c>
      <c r="X1446" s="8">
        <f>IF(COUNT(D1446:V1446)=0,"",MEDIAN(D1446:V1446))</f>
        <v/>
      </c>
      <c r="Y1446" s="8">
        <f>IF(COUNT(D1446:V1446)=0,"",MAX(D1446:V1446))</f>
        <v/>
      </c>
      <c r="Z1446" s="9">
        <f>IF(OR(W1446="",W1446=0),"",(Y1446-W1446)/W1446)</f>
        <v/>
      </c>
      <c r="AA1446" s="7">
        <f>IF(COUNT(D1446:V1446)=0,"",INDEX($D$1:$V$1,MATCH(MIN(D1446:V1446),D1446:V1446,0)))</f>
        <v/>
      </c>
      <c r="AB1446" s="8" t="n">
        <v>69</v>
      </c>
      <c r="AC1446" s="10" t="n">
        <v>2</v>
      </c>
    </row>
    <row r="1447">
      <c r="A1447" s="7" t="inlineStr">
        <is>
          <t>MAT-32-092</t>
        </is>
      </c>
      <c r="B1447" s="4" t="inlineStr">
        <is>
          <t>Adaptador hembra de PPR 25 mm</t>
        </is>
      </c>
      <c r="C1447" s="7" t="inlineStr">
        <is>
          <t>unidad</t>
        </is>
      </c>
      <c r="D1447" s="8" t="n"/>
      <c r="E1447" s="8" t="n">
        <v>60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>
        <f>IF(COUNT(D1447:V1447)=0,"",MIN(D1447:V1447))</f>
        <v/>
      </c>
      <c r="X1447" s="8">
        <f>IF(COUNT(D1447:V1447)=0,"",MEDIAN(D1447:V1447))</f>
        <v/>
      </c>
      <c r="Y1447" s="8">
        <f>IF(COUNT(D1447:V1447)=0,"",MAX(D1447:V1447))</f>
        <v/>
      </c>
      <c r="Z1447" s="9">
        <f>IF(OR(W1447="",W1447=0),"",(Y1447-W1447)/W1447)</f>
        <v/>
      </c>
      <c r="AA1447" s="7">
        <f>IF(COUNT(D1447:V1447)=0,"",INDEX($D$1:$V$1,MATCH(MIN(D1447:V1447),D1447:V1447,0)))</f>
        <v/>
      </c>
      <c r="AB1447" s="8" t="n">
        <v>68</v>
      </c>
      <c r="AC1447" s="10" t="n">
        <v>1</v>
      </c>
    </row>
    <row r="1448">
      <c r="A1448" s="7" t="inlineStr">
        <is>
          <t>MAT-32-093</t>
        </is>
      </c>
      <c r="B1448" s="4" t="inlineStr">
        <is>
          <t>Adaptador hembra de PPR 32 mm</t>
        </is>
      </c>
      <c r="C1448" s="7" t="inlineStr">
        <is>
          <t>unidad</t>
        </is>
      </c>
      <c r="D1448" s="8" t="n"/>
      <c r="E1448" s="8" t="n">
        <v>56.64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>
        <f>IF(COUNT(D1448:V1448)=0,"",MIN(D1448:V1448))</f>
        <v/>
      </c>
      <c r="X1448" s="8">
        <f>IF(COUNT(D1448:V1448)=0,"",MEDIAN(D1448:V1448))</f>
        <v/>
      </c>
      <c r="Y1448" s="8">
        <f>IF(COUNT(D1448:V1448)=0,"",MAX(D1448:V1448))</f>
        <v/>
      </c>
      <c r="Z1448" s="9">
        <f>IF(OR(W1448="",W1448=0),"",(Y1448-W1448)/W1448)</f>
        <v/>
      </c>
      <c r="AA1448" s="7">
        <f>IF(COUNT(D1448:V1448)=0,"",INDEX($D$1:$V$1,MATCH(MIN(D1448:V1448),D1448:V1448,0)))</f>
        <v/>
      </c>
      <c r="AB1448" s="8" t="n">
        <v>80</v>
      </c>
      <c r="AC1448" s="10" t="n">
        <v>1</v>
      </c>
    </row>
    <row r="1449">
      <c r="A1449" s="7" t="inlineStr">
        <is>
          <t>MAT-32-094</t>
        </is>
      </c>
      <c r="B1449" s="4" t="inlineStr">
        <is>
          <t>Adaptador hembra de PPR 50 mm</t>
        </is>
      </c>
      <c r="C1449" s="7" t="inlineStr">
        <is>
          <t>unidad</t>
        </is>
      </c>
      <c r="D1449" s="8" t="n"/>
      <c r="E1449" s="8" t="n">
        <v>270</v>
      </c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>
        <f>IF(COUNT(D1449:V1449)=0,"",MIN(D1449:V1449))</f>
        <v/>
      </c>
      <c r="X1449" s="8">
        <f>IF(COUNT(D1449:V1449)=0,"",MEDIAN(D1449:V1449))</f>
        <v/>
      </c>
      <c r="Y1449" s="8">
        <f>IF(COUNT(D1449:V1449)=0,"",MAX(D1449:V1449))</f>
        <v/>
      </c>
      <c r="Z1449" s="9">
        <f>IF(OR(W1449="",W1449=0),"",(Y1449-W1449)/W1449)</f>
        <v/>
      </c>
      <c r="AA1449" s="7">
        <f>IF(COUNT(D1449:V1449)=0,"",INDEX($D$1:$V$1,MATCH(MIN(D1449:V1449),D1449:V1449,0)))</f>
        <v/>
      </c>
      <c r="AB1449" s="8" t="n">
        <v>270</v>
      </c>
      <c r="AC1449" s="10" t="n">
        <v>1</v>
      </c>
    </row>
    <row r="1450">
      <c r="A1450" s="7" t="inlineStr">
        <is>
          <t>MAT-32-095</t>
        </is>
      </c>
      <c r="B1450" s="4" t="inlineStr">
        <is>
          <t>Adaptador hembra de PVC 1 1/2"</t>
        </is>
      </c>
      <c r="C1450" s="7" t="inlineStr">
        <is>
          <t>unidad</t>
        </is>
      </c>
      <c r="D1450" s="8" t="n"/>
      <c r="E1450" s="8" t="n">
        <v>19.21</v>
      </c>
      <c r="F1450" s="8" t="n"/>
      <c r="G1450" s="8" t="n">
        <v>75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>
        <f>IF(COUNT(D1450:V1450)=0,"",MIN(D1450:V1450))</f>
        <v/>
      </c>
      <c r="X1450" s="8">
        <f>IF(COUNT(D1450:V1450)=0,"",MEDIAN(D1450:V1450))</f>
        <v/>
      </c>
      <c r="Y1450" s="8">
        <f>IF(COUNT(D1450:V1450)=0,"",MAX(D1450:V1450))</f>
        <v/>
      </c>
      <c r="Z1450" s="9">
        <f>IF(OR(W1450="",W1450=0),"",(Y1450-W1450)/W1450)</f>
        <v/>
      </c>
      <c r="AA1450" s="7">
        <f>IF(COUNT(D1450:V1450)=0,"",INDEX($D$1:$V$1,MATCH(MIN(D1450:V1450),D1450:V1450,0)))</f>
        <v/>
      </c>
      <c r="AB1450" s="8" t="n">
        <v>47.15</v>
      </c>
      <c r="AC1450" s="10" t="n">
        <v>2</v>
      </c>
    </row>
    <row r="1451">
      <c r="A1451" s="7" t="inlineStr">
        <is>
          <t>MAT-32-096</t>
        </is>
      </c>
      <c r="B1451" s="4" t="inlineStr">
        <is>
          <t>Adaptador hembra de PVC 1/2"</t>
        </is>
      </c>
      <c r="C1451" s="7" t="inlineStr">
        <is>
          <t>unidad</t>
        </is>
      </c>
      <c r="D1451" s="8" t="n"/>
      <c r="E1451" s="8" t="n">
        <v>4.73</v>
      </c>
      <c r="F1451" s="8" t="n"/>
      <c r="G1451" s="8" t="n">
        <v>20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>
        <f>IF(COUNT(D1451:V1451)=0,"",MIN(D1451:V1451))</f>
        <v/>
      </c>
      <c r="X1451" s="8">
        <f>IF(COUNT(D1451:V1451)=0,"",MEDIAN(D1451:V1451))</f>
        <v/>
      </c>
      <c r="Y1451" s="8">
        <f>IF(COUNT(D1451:V1451)=0,"",MAX(D1451:V1451))</f>
        <v/>
      </c>
      <c r="Z1451" s="9">
        <f>IF(OR(W1451="",W1451=0),"",(Y1451-W1451)/W1451)</f>
        <v/>
      </c>
      <c r="AA1451" s="7">
        <f>IF(COUNT(D1451:V1451)=0,"",INDEX($D$1:$V$1,MATCH(MIN(D1451:V1451),D1451:V1451,0)))</f>
        <v/>
      </c>
      <c r="AB1451" s="8" t="n">
        <v>10.51</v>
      </c>
      <c r="AC1451" s="10" t="n">
        <v>2</v>
      </c>
    </row>
    <row r="1452">
      <c r="A1452" s="7" t="inlineStr">
        <is>
          <t>MAT-32-097</t>
        </is>
      </c>
      <c r="B1452" s="4" t="inlineStr">
        <is>
          <t>Adaptador hembra de PVC 1"</t>
        </is>
      </c>
      <c r="C1452" s="7" t="inlineStr">
        <is>
          <t>unidad</t>
        </is>
      </c>
      <c r="D1452" s="8" t="n"/>
      <c r="E1452" s="8" t="n">
        <v>11.28</v>
      </c>
      <c r="F1452" s="8" t="n"/>
      <c r="G1452" s="8" t="n">
        <v>45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>
        <f>IF(COUNT(D1452:V1452)=0,"",MIN(D1452:V1452))</f>
        <v/>
      </c>
      <c r="X1452" s="8">
        <f>IF(COUNT(D1452:V1452)=0,"",MEDIAN(D1452:V1452))</f>
        <v/>
      </c>
      <c r="Y1452" s="8">
        <f>IF(COUNT(D1452:V1452)=0,"",MAX(D1452:V1452))</f>
        <v/>
      </c>
      <c r="Z1452" s="9">
        <f>IF(OR(W1452="",W1452=0),"",(Y1452-W1452)/W1452)</f>
        <v/>
      </c>
      <c r="AA1452" s="7">
        <f>IF(COUNT(D1452:V1452)=0,"",INDEX($D$1:$V$1,MATCH(MIN(D1452:V1452),D1452:V1452,0)))</f>
        <v/>
      </c>
      <c r="AB1452" s="8" t="n">
        <v>23.63</v>
      </c>
      <c r="AC1452" s="10" t="n">
        <v>2</v>
      </c>
    </row>
    <row r="1453">
      <c r="A1453" s="7" t="inlineStr">
        <is>
          <t>MAT-32-098</t>
        </is>
      </c>
      <c r="B1453" s="4" t="inlineStr">
        <is>
          <t>Adaptador hembra de PVC 2"</t>
        </is>
      </c>
      <c r="C1453" s="7" t="inlineStr">
        <is>
          <t>unidad</t>
        </is>
      </c>
      <c r="D1453" s="8" t="n"/>
      <c r="E1453" s="8" t="n">
        <v>27.15</v>
      </c>
      <c r="F1453" s="8" t="n"/>
      <c r="G1453" s="8" t="n">
        <v>130</v>
      </c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>
        <f>IF(COUNT(D1453:V1453)=0,"",MIN(D1453:V1453))</f>
        <v/>
      </c>
      <c r="X1453" s="8">
        <f>IF(COUNT(D1453:V1453)=0,"",MEDIAN(D1453:V1453))</f>
        <v/>
      </c>
      <c r="Y1453" s="8">
        <f>IF(COUNT(D1453:V1453)=0,"",MAX(D1453:V1453))</f>
        <v/>
      </c>
      <c r="Z1453" s="9">
        <f>IF(OR(W1453="",W1453=0),"",(Y1453-W1453)/W1453)</f>
        <v/>
      </c>
      <c r="AA1453" s="7">
        <f>IF(COUNT(D1453:V1453)=0,"",INDEX($D$1:$V$1,MATCH(MIN(D1453:V1453),D1453:V1453,0)))</f>
        <v/>
      </c>
      <c r="AB1453" s="8" t="n">
        <v>67.28</v>
      </c>
      <c r="AC1453" s="10" t="n">
        <v>2</v>
      </c>
    </row>
    <row r="1454">
      <c r="A1454" s="7" t="inlineStr">
        <is>
          <t>MAT-32-099</t>
        </is>
      </c>
      <c r="B1454" s="4" t="inlineStr">
        <is>
          <t>Adaptador hembra de PVC 3/4"</t>
        </is>
      </c>
      <c r="C1454" s="7" t="inlineStr">
        <is>
          <t>unidad</t>
        </is>
      </c>
      <c r="D1454" s="8" t="n"/>
      <c r="E1454" s="8" t="n">
        <v>6.78</v>
      </c>
      <c r="F1454" s="8" t="n"/>
      <c r="G1454" s="8" t="n">
        <v>26</v>
      </c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>
        <f>IF(COUNT(D1454:V1454)=0,"",MIN(D1454:V1454))</f>
        <v/>
      </c>
      <c r="X1454" s="8">
        <f>IF(COUNT(D1454:V1454)=0,"",MEDIAN(D1454:V1454))</f>
        <v/>
      </c>
      <c r="Y1454" s="8">
        <f>IF(COUNT(D1454:V1454)=0,"",MAX(D1454:V1454))</f>
        <v/>
      </c>
      <c r="Z1454" s="9">
        <f>IF(OR(W1454="",W1454=0),"",(Y1454-W1454)/W1454)</f>
        <v/>
      </c>
      <c r="AA1454" s="7">
        <f>IF(COUNT(D1454:V1454)=0,"",INDEX($D$1:$V$1,MATCH(MIN(D1454:V1454),D1454:V1454,0)))</f>
        <v/>
      </c>
      <c r="AB1454" s="8" t="n">
        <v>25.11</v>
      </c>
      <c r="AC1454" s="10" t="n">
        <v>2</v>
      </c>
    </row>
    <row r="1455">
      <c r="A1455" s="7" t="inlineStr">
        <is>
          <t>MAT-32-100</t>
        </is>
      </c>
      <c r="B1455" s="4" t="inlineStr">
        <is>
          <t>Adaptador hembra de PVC 3"</t>
        </is>
      </c>
      <c r="C1455" s="7" t="inlineStr">
        <is>
          <t>unidad</t>
        </is>
      </c>
      <c r="D1455" s="8" t="n"/>
      <c r="E1455" s="8" t="n">
        <v>70.8</v>
      </c>
      <c r="F1455" s="8" t="n"/>
      <c r="G1455" s="8" t="n">
        <v>177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>
        <f>IF(COUNT(D1455:V1455)=0,"",MIN(D1455:V1455))</f>
        <v/>
      </c>
      <c r="X1455" s="8">
        <f>IF(COUNT(D1455:V1455)=0,"",MEDIAN(D1455:V1455))</f>
        <v/>
      </c>
      <c r="Y1455" s="8">
        <f>IF(COUNT(D1455:V1455)=0,"",MAX(D1455:V1455))</f>
        <v/>
      </c>
      <c r="Z1455" s="9">
        <f>IF(OR(W1455="",W1455=0),"",(Y1455-W1455)/W1455)</f>
        <v/>
      </c>
      <c r="AA1455" s="7">
        <f>IF(COUNT(D1455:V1455)=0,"",INDEX($D$1:$V$1,MATCH(MIN(D1455:V1455),D1455:V1455,0)))</f>
        <v/>
      </c>
      <c r="AB1455" s="8" t="n">
        <v>81.23</v>
      </c>
      <c r="AC1455" s="10" t="n">
        <v>2</v>
      </c>
    </row>
    <row r="1456">
      <c r="A1456" s="7" t="inlineStr">
        <is>
          <t>MAT-32-101</t>
        </is>
      </c>
      <c r="B1456" s="4" t="inlineStr">
        <is>
          <t>Adaptador hembra de PVC 4"</t>
        </is>
      </c>
      <c r="C1456" s="7" t="inlineStr">
        <is>
          <t>unidad</t>
        </is>
      </c>
      <c r="D1456" s="8" t="n"/>
      <c r="E1456" s="8" t="n">
        <v>94</v>
      </c>
      <c r="F1456" s="8" t="n"/>
      <c r="G1456" s="8" t="n">
        <v>172</v>
      </c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>
        <f>IF(COUNT(D1456:V1456)=0,"",MIN(D1456:V1456))</f>
        <v/>
      </c>
      <c r="X1456" s="8">
        <f>IF(COUNT(D1456:V1456)=0,"",MEDIAN(D1456:V1456))</f>
        <v/>
      </c>
      <c r="Y1456" s="8">
        <f>IF(COUNT(D1456:V1456)=0,"",MAX(D1456:V1456))</f>
        <v/>
      </c>
      <c r="Z1456" s="9">
        <f>IF(OR(W1456="",W1456=0),"",(Y1456-W1456)/W1456)</f>
        <v/>
      </c>
      <c r="AA1456" s="7">
        <f>IF(COUNT(D1456:V1456)=0,"",INDEX($D$1:$V$1,MATCH(MIN(D1456:V1456),D1456:V1456,0)))</f>
        <v/>
      </c>
      <c r="AB1456" s="8" t="n">
        <v>128.31</v>
      </c>
      <c r="AC1456" s="10" t="n">
        <v>2</v>
      </c>
    </row>
    <row r="1457">
      <c r="A1457" s="7" t="inlineStr">
        <is>
          <t>MAT-32-102</t>
        </is>
      </c>
      <c r="B1457" s="4" t="inlineStr">
        <is>
          <t>Adaptador hembra de PVC 6"</t>
        </is>
      </c>
      <c r="C1457" s="7" t="inlineStr">
        <is>
          <t>unidad</t>
        </is>
      </c>
      <c r="D1457" s="8" t="n"/>
      <c r="E1457" s="8" t="n">
        <v>790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>
        <f>IF(COUNT(D1457:V1457)=0,"",MIN(D1457:V1457))</f>
        <v/>
      </c>
      <c r="X1457" s="8">
        <f>IF(COUNT(D1457:V1457)=0,"",MEDIAN(D1457:V1457))</f>
        <v/>
      </c>
      <c r="Y1457" s="8">
        <f>IF(COUNT(D1457:V1457)=0,"",MAX(D1457:V1457))</f>
        <v/>
      </c>
      <c r="Z1457" s="9">
        <f>IF(OR(W1457="",W1457=0),"",(Y1457-W1457)/W1457)</f>
        <v/>
      </c>
      <c r="AA1457" s="7">
        <f>IF(COUNT(D1457:V1457)=0,"",INDEX($D$1:$V$1,MATCH(MIN(D1457:V1457),D1457:V1457,0)))</f>
        <v/>
      </c>
      <c r="AB1457" s="8" t="n">
        <v>790</v>
      </c>
      <c r="AC1457" s="10" t="n">
        <v>1</v>
      </c>
    </row>
    <row r="1458">
      <c r="A1458" s="7" t="inlineStr">
        <is>
          <t>MAT-32-103</t>
        </is>
      </c>
      <c r="B1458" s="4" t="inlineStr">
        <is>
          <t>Adaptador macho de bronce 0.31" x 3/8"</t>
        </is>
      </c>
      <c r="C1458" s="7" t="inlineStr">
        <is>
          <t>unidad</t>
        </is>
      </c>
      <c r="D1458" s="8" t="n"/>
      <c r="E1458" s="8" t="n">
        <v>88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>
        <f>IF(COUNT(D1458:V1458)=0,"",MIN(D1458:V1458))</f>
        <v/>
      </c>
      <c r="X1458" s="8">
        <f>IF(COUNT(D1458:V1458)=0,"",MEDIAN(D1458:V1458))</f>
        <v/>
      </c>
      <c r="Y1458" s="8">
        <f>IF(COUNT(D1458:V1458)=0,"",MAX(D1458:V1458))</f>
        <v/>
      </c>
      <c r="Z1458" s="9">
        <f>IF(OR(W1458="",W1458=0),"",(Y1458-W1458)/W1458)</f>
        <v/>
      </c>
      <c r="AA1458" s="7">
        <f>IF(COUNT(D1458:V1458)=0,"",INDEX($D$1:$V$1,MATCH(MIN(D1458:V1458),D1458:V1458,0)))</f>
        <v/>
      </c>
      <c r="AB1458" s="8" t="n">
        <v>88</v>
      </c>
      <c r="AC1458" s="10" t="n">
        <v>1</v>
      </c>
    </row>
    <row r="1459">
      <c r="A1459" s="7" t="inlineStr">
        <is>
          <t>MAT-32-104</t>
        </is>
      </c>
      <c r="B1459" s="4" t="inlineStr">
        <is>
          <t>Adaptador macho de bronce 1/2" x 1/2"</t>
        </is>
      </c>
      <c r="C1459" s="7" t="inlineStr">
        <is>
          <t>unidad</t>
        </is>
      </c>
      <c r="D1459" s="8" t="n"/>
      <c r="E1459" s="8" t="n">
        <v>111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>
        <f>IF(COUNT(D1459:V1459)=0,"",MIN(D1459:V1459))</f>
        <v/>
      </c>
      <c r="X1459" s="8">
        <f>IF(COUNT(D1459:V1459)=0,"",MEDIAN(D1459:V1459))</f>
        <v/>
      </c>
      <c r="Y1459" s="8">
        <f>IF(COUNT(D1459:V1459)=0,"",MAX(D1459:V1459))</f>
        <v/>
      </c>
      <c r="Z1459" s="9">
        <f>IF(OR(W1459="",W1459=0),"",(Y1459-W1459)/W1459)</f>
        <v/>
      </c>
      <c r="AA1459" s="7">
        <f>IF(COUNT(D1459:V1459)=0,"",INDEX($D$1:$V$1,MATCH(MIN(D1459:V1459),D1459:V1459,0)))</f>
        <v/>
      </c>
      <c r="AB1459" s="8" t="n">
        <v>154</v>
      </c>
      <c r="AC1459" s="10" t="n">
        <v>1</v>
      </c>
    </row>
    <row r="1460">
      <c r="A1460" s="7" t="inlineStr">
        <is>
          <t>MAT-32-105</t>
        </is>
      </c>
      <c r="B1460" s="4" t="inlineStr">
        <is>
          <t>Adaptador macho de bronce 1/2" x 3/4"</t>
        </is>
      </c>
      <c r="C1460" s="7" t="inlineStr">
        <is>
          <t>unidad</t>
        </is>
      </c>
      <c r="D1460" s="8" t="n"/>
      <c r="E1460" s="8" t="n">
        <v>196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>
        <f>IF(COUNT(D1460:V1460)=0,"",MIN(D1460:V1460))</f>
        <v/>
      </c>
      <c r="X1460" s="8">
        <f>IF(COUNT(D1460:V1460)=0,"",MEDIAN(D1460:V1460))</f>
        <v/>
      </c>
      <c r="Y1460" s="8">
        <f>IF(COUNT(D1460:V1460)=0,"",MAX(D1460:V1460))</f>
        <v/>
      </c>
      <c r="Z1460" s="9">
        <f>IF(OR(W1460="",W1460=0),"",(Y1460-W1460)/W1460)</f>
        <v/>
      </c>
      <c r="AA1460" s="7">
        <f>IF(COUNT(D1460:V1460)=0,"",INDEX($D$1:$V$1,MATCH(MIN(D1460:V1460),D1460:V1460,0)))</f>
        <v/>
      </c>
      <c r="AB1460" s="8" t="n">
        <v>196</v>
      </c>
      <c r="AC1460" s="10" t="n">
        <v>1</v>
      </c>
    </row>
    <row r="1461">
      <c r="A1461" s="7" t="inlineStr">
        <is>
          <t>MAT-32-106</t>
        </is>
      </c>
      <c r="B1461" s="4" t="inlineStr">
        <is>
          <t>Adaptador macho de bronce 1/2" x 3/8"</t>
        </is>
      </c>
      <c r="C1461" s="7" t="inlineStr">
        <is>
          <t>unidad</t>
        </is>
      </c>
      <c r="D1461" s="8" t="n"/>
      <c r="E1461" s="8" t="n">
        <v>94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>
        <f>IF(COUNT(D1461:V1461)=0,"",MIN(D1461:V1461))</f>
        <v/>
      </c>
      <c r="X1461" s="8">
        <f>IF(COUNT(D1461:V1461)=0,"",MEDIAN(D1461:V1461))</f>
        <v/>
      </c>
      <c r="Y1461" s="8">
        <f>IF(COUNT(D1461:V1461)=0,"",MAX(D1461:V1461))</f>
        <v/>
      </c>
      <c r="Z1461" s="9">
        <f>IF(OR(W1461="",W1461=0),"",(Y1461-W1461)/W1461)</f>
        <v/>
      </c>
      <c r="AA1461" s="7">
        <f>IF(COUNT(D1461:V1461)=0,"",INDEX($D$1:$V$1,MATCH(MIN(D1461:V1461),D1461:V1461,0)))</f>
        <v/>
      </c>
      <c r="AB1461" s="8" t="n">
        <v>115.5</v>
      </c>
      <c r="AC1461" s="10" t="n">
        <v>1</v>
      </c>
    </row>
    <row r="1462">
      <c r="A1462" s="7" t="inlineStr">
        <is>
          <t>MAT-32-107</t>
        </is>
      </c>
      <c r="B1462" s="4" t="inlineStr">
        <is>
          <t>Adaptador macho de bronce 1/4" x 1/2"</t>
        </is>
      </c>
      <c r="C1462" s="7" t="inlineStr">
        <is>
          <t>unidad</t>
        </is>
      </c>
      <c r="D1462" s="8" t="n"/>
      <c r="E1462" s="8" t="n">
        <v>120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>
        <f>IF(COUNT(D1462:V1462)=0,"",MIN(D1462:V1462))</f>
        <v/>
      </c>
      <c r="X1462" s="8">
        <f>IF(COUNT(D1462:V1462)=0,"",MEDIAN(D1462:V1462))</f>
        <v/>
      </c>
      <c r="Y1462" s="8">
        <f>IF(COUNT(D1462:V1462)=0,"",MAX(D1462:V1462))</f>
        <v/>
      </c>
      <c r="Z1462" s="9">
        <f>IF(OR(W1462="",W1462=0),"",(Y1462-W1462)/W1462)</f>
        <v/>
      </c>
      <c r="AA1462" s="7">
        <f>IF(COUNT(D1462:V1462)=0,"",INDEX($D$1:$V$1,MATCH(MIN(D1462:V1462),D1462:V1462,0)))</f>
        <v/>
      </c>
      <c r="AB1462" s="8" t="n">
        <v>120</v>
      </c>
      <c r="AC1462" s="10" t="n">
        <v>1</v>
      </c>
    </row>
    <row r="1463">
      <c r="A1463" s="7" t="inlineStr">
        <is>
          <t>MAT-32-108</t>
        </is>
      </c>
      <c r="B1463" s="4" t="inlineStr">
        <is>
          <t>Adaptador macho de bronce 1/4" x 1/4"</t>
        </is>
      </c>
      <c r="C1463" s="7" t="inlineStr">
        <is>
          <t>unidad</t>
        </is>
      </c>
      <c r="D1463" s="8" t="n"/>
      <c r="E1463" s="8" t="n">
        <v>62.17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>
        <f>IF(COUNT(D1463:V1463)=0,"",MIN(D1463:V1463))</f>
        <v/>
      </c>
      <c r="X1463" s="8">
        <f>IF(COUNT(D1463:V1463)=0,"",MEDIAN(D1463:V1463))</f>
        <v/>
      </c>
      <c r="Y1463" s="8">
        <f>IF(COUNT(D1463:V1463)=0,"",MAX(D1463:V1463))</f>
        <v/>
      </c>
      <c r="Z1463" s="9">
        <f>IF(OR(W1463="",W1463=0),"",(Y1463-W1463)/W1463)</f>
        <v/>
      </c>
      <c r="AA1463" s="7">
        <f>IF(COUNT(D1463:V1463)=0,"",INDEX($D$1:$V$1,MATCH(MIN(D1463:V1463),D1463:V1463,0)))</f>
        <v/>
      </c>
      <c r="AB1463" s="8" t="n">
        <v>75.09</v>
      </c>
      <c r="AC1463" s="10" t="n">
        <v>1</v>
      </c>
    </row>
    <row r="1464">
      <c r="A1464" s="7" t="inlineStr">
        <is>
          <t>MAT-32-109</t>
        </is>
      </c>
      <c r="B1464" s="4" t="inlineStr">
        <is>
          <t>Adaptador macho de bronce 1/4" x 1/8"</t>
        </is>
      </c>
      <c r="C1464" s="7" t="inlineStr">
        <is>
          <t>unidad</t>
        </is>
      </c>
      <c r="D1464" s="8" t="n"/>
      <c r="E1464" s="8" t="n">
        <v>43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>
        <f>IF(COUNT(D1464:V1464)=0,"",MIN(D1464:V1464))</f>
        <v/>
      </c>
      <c r="X1464" s="8">
        <f>IF(COUNT(D1464:V1464)=0,"",MEDIAN(D1464:V1464))</f>
        <v/>
      </c>
      <c r="Y1464" s="8">
        <f>IF(COUNT(D1464:V1464)=0,"",MAX(D1464:V1464))</f>
        <v/>
      </c>
      <c r="Z1464" s="9">
        <f>IF(OR(W1464="",W1464=0),"",(Y1464-W1464)/W1464)</f>
        <v/>
      </c>
      <c r="AA1464" s="7">
        <f>IF(COUNT(D1464:V1464)=0,"",INDEX($D$1:$V$1,MATCH(MIN(D1464:V1464),D1464:V1464,0)))</f>
        <v/>
      </c>
      <c r="AB1464" s="8" t="n">
        <v>51.5</v>
      </c>
      <c r="AC1464" s="10" t="n">
        <v>1</v>
      </c>
    </row>
    <row r="1465">
      <c r="A1465" s="7" t="inlineStr">
        <is>
          <t>MAT-32-110</t>
        </is>
      </c>
      <c r="B1465" s="4" t="inlineStr">
        <is>
          <t>Adaptador macho de bronce 1/4" x 3/8"</t>
        </is>
      </c>
      <c r="C1465" s="7" t="inlineStr">
        <is>
          <t>unidad</t>
        </is>
      </c>
      <c r="D1465" s="8" t="n"/>
      <c r="E1465" s="8" t="n">
        <v>81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>
        <f>IF(COUNT(D1465:V1465)=0,"",MIN(D1465:V1465))</f>
        <v/>
      </c>
      <c r="X1465" s="8">
        <f>IF(COUNT(D1465:V1465)=0,"",MEDIAN(D1465:V1465))</f>
        <v/>
      </c>
      <c r="Y1465" s="8">
        <f>IF(COUNT(D1465:V1465)=0,"",MAX(D1465:V1465))</f>
        <v/>
      </c>
      <c r="Z1465" s="9">
        <f>IF(OR(W1465="",W1465=0),"",(Y1465-W1465)/W1465)</f>
        <v/>
      </c>
      <c r="AA1465" s="7">
        <f>IF(COUNT(D1465:V1465)=0,"",INDEX($D$1:$V$1,MATCH(MIN(D1465:V1465),D1465:V1465,0)))</f>
        <v/>
      </c>
      <c r="AB1465" s="8" t="n">
        <v>81</v>
      </c>
      <c r="AC1465" s="10" t="n">
        <v>1</v>
      </c>
    </row>
    <row r="1466">
      <c r="A1466" s="7" t="inlineStr">
        <is>
          <t>MAT-32-111</t>
        </is>
      </c>
      <c r="B1466" s="4" t="inlineStr">
        <is>
          <t>Adaptador macho de bronce 12" x 1/2"</t>
        </is>
      </c>
      <c r="C1466" s="7" t="inlineStr">
        <is>
          <t>unidad</t>
        </is>
      </c>
      <c r="D1466" s="8" t="n"/>
      <c r="E1466" s="8" t="n">
        <v>232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>
        <f>IF(COUNT(D1466:V1466)=0,"",MIN(D1466:V1466))</f>
        <v/>
      </c>
      <c r="X1466" s="8">
        <f>IF(COUNT(D1466:V1466)=0,"",MEDIAN(D1466:V1466))</f>
        <v/>
      </c>
      <c r="Y1466" s="8">
        <f>IF(COUNT(D1466:V1466)=0,"",MAX(D1466:V1466))</f>
        <v/>
      </c>
      <c r="Z1466" s="9">
        <f>IF(OR(W1466="",W1466=0),"",(Y1466-W1466)/W1466)</f>
        <v/>
      </c>
      <c r="AA1466" s="7">
        <f>IF(COUNT(D1466:V1466)=0,"",INDEX($D$1:$V$1,MATCH(MIN(D1466:V1466),D1466:V1466,0)))</f>
        <v/>
      </c>
      <c r="AB1466" s="8" t="n">
        <v>232</v>
      </c>
      <c r="AC1466" s="10" t="n">
        <v>1</v>
      </c>
    </row>
    <row r="1467">
      <c r="A1467" s="7" t="inlineStr">
        <is>
          <t>MAT-32-112</t>
        </is>
      </c>
      <c r="B1467" s="4" t="inlineStr">
        <is>
          <t>Adaptador macho de bronce 12" x 3/8"</t>
        </is>
      </c>
      <c r="C1467" s="7" t="inlineStr">
        <is>
          <t>unidad</t>
        </is>
      </c>
      <c r="D1467" s="8" t="n"/>
      <c r="E1467" s="8" t="n">
        <v>326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>
        <f>IF(COUNT(D1467:V1467)=0,"",MIN(D1467:V1467))</f>
        <v/>
      </c>
      <c r="X1467" s="8">
        <f>IF(COUNT(D1467:V1467)=0,"",MEDIAN(D1467:V1467))</f>
        <v/>
      </c>
      <c r="Y1467" s="8">
        <f>IF(COUNT(D1467:V1467)=0,"",MAX(D1467:V1467))</f>
        <v/>
      </c>
      <c r="Z1467" s="9">
        <f>IF(OR(W1467="",W1467=0),"",(Y1467-W1467)/W1467)</f>
        <v/>
      </c>
      <c r="AA1467" s="7">
        <f>IF(COUNT(D1467:V1467)=0,"",INDEX($D$1:$V$1,MATCH(MIN(D1467:V1467),D1467:V1467,0)))</f>
        <v/>
      </c>
      <c r="AB1467" s="8" t="n">
        <v>326</v>
      </c>
      <c r="AC1467" s="10" t="n">
        <v>1</v>
      </c>
    </row>
    <row r="1468">
      <c r="A1468" s="7" t="inlineStr">
        <is>
          <t>MAT-32-113</t>
        </is>
      </c>
      <c r="B1468" s="4" t="inlineStr">
        <is>
          <t>Adaptador macho de bronce 15" x 1/2"</t>
        </is>
      </c>
      <c r="C1468" s="7" t="inlineStr">
        <is>
          <t>unidad</t>
        </is>
      </c>
      <c r="D1468" s="8" t="n"/>
      <c r="E1468" s="8" t="n">
        <v>205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>
        <f>IF(COUNT(D1468:V1468)=0,"",MIN(D1468:V1468))</f>
        <v/>
      </c>
      <c r="X1468" s="8">
        <f>IF(COUNT(D1468:V1468)=0,"",MEDIAN(D1468:V1468))</f>
        <v/>
      </c>
      <c r="Y1468" s="8">
        <f>IF(COUNT(D1468:V1468)=0,"",MAX(D1468:V1468))</f>
        <v/>
      </c>
      <c r="Z1468" s="9">
        <f>IF(OR(W1468="",W1468=0),"",(Y1468-W1468)/W1468)</f>
        <v/>
      </c>
      <c r="AA1468" s="7">
        <f>IF(COUNT(D1468:V1468)=0,"",INDEX($D$1:$V$1,MATCH(MIN(D1468:V1468),D1468:V1468,0)))</f>
        <v/>
      </c>
      <c r="AB1468" s="8" t="n">
        <v>205</v>
      </c>
      <c r="AC1468" s="10" t="n">
        <v>1</v>
      </c>
    </row>
    <row r="1469">
      <c r="A1469" s="7" t="inlineStr">
        <is>
          <t>MAT-32-114</t>
        </is>
      </c>
      <c r="B1469" s="4" t="inlineStr">
        <is>
          <t>Adaptador macho de bronce 15" x 3/4"</t>
        </is>
      </c>
      <c r="C1469" s="7" t="inlineStr">
        <is>
          <t>unidad</t>
        </is>
      </c>
      <c r="D1469" s="8" t="n"/>
      <c r="E1469" s="8" t="n">
        <v>377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>
        <f>IF(COUNT(D1469:V1469)=0,"",MIN(D1469:V1469))</f>
        <v/>
      </c>
      <c r="X1469" s="8">
        <f>IF(COUNT(D1469:V1469)=0,"",MEDIAN(D1469:V1469))</f>
        <v/>
      </c>
      <c r="Y1469" s="8">
        <f>IF(COUNT(D1469:V1469)=0,"",MAX(D1469:V1469))</f>
        <v/>
      </c>
      <c r="Z1469" s="9">
        <f>IF(OR(W1469="",W1469=0),"",(Y1469-W1469)/W1469)</f>
        <v/>
      </c>
      <c r="AA1469" s="7">
        <f>IF(COUNT(D1469:V1469)=0,"",INDEX($D$1:$V$1,MATCH(MIN(D1469:V1469),D1469:V1469,0)))</f>
        <v/>
      </c>
      <c r="AB1469" s="8" t="n">
        <v>377</v>
      </c>
      <c r="AC1469" s="10" t="n">
        <v>1</v>
      </c>
    </row>
    <row r="1470">
      <c r="A1470" s="7" t="inlineStr">
        <is>
          <t>MAT-32-115</t>
        </is>
      </c>
      <c r="B1470" s="4" t="inlineStr">
        <is>
          <t>Adaptador macho de bronce 15" x 3/8"</t>
        </is>
      </c>
      <c r="C1470" s="7" t="inlineStr">
        <is>
          <t>unidad</t>
        </is>
      </c>
      <c r="D1470" s="8" t="n"/>
      <c r="E1470" s="8" t="n">
        <v>309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>
        <f>IF(COUNT(D1470:V1470)=0,"",MIN(D1470:V1470))</f>
        <v/>
      </c>
      <c r="X1470" s="8">
        <f>IF(COUNT(D1470:V1470)=0,"",MEDIAN(D1470:V1470))</f>
        <v/>
      </c>
      <c r="Y1470" s="8">
        <f>IF(COUNT(D1470:V1470)=0,"",MAX(D1470:V1470))</f>
        <v/>
      </c>
      <c r="Z1470" s="9">
        <f>IF(OR(W1470="",W1470=0),"",(Y1470-W1470)/W1470)</f>
        <v/>
      </c>
      <c r="AA1470" s="7">
        <f>IF(COUNT(D1470:V1470)=0,"",INDEX($D$1:$V$1,MATCH(MIN(D1470:V1470),D1470:V1470,0)))</f>
        <v/>
      </c>
      <c r="AB1470" s="8" t="n">
        <v>309</v>
      </c>
      <c r="AC1470" s="10" t="n">
        <v>1</v>
      </c>
    </row>
    <row r="1471">
      <c r="A1471" s="7" t="inlineStr">
        <is>
          <t>MAT-32-116</t>
        </is>
      </c>
      <c r="B1471" s="4" t="inlineStr">
        <is>
          <t>Adaptador macho de bronce 18" x 1/2"</t>
        </is>
      </c>
      <c r="C1471" s="7" t="inlineStr">
        <is>
          <t>unidad</t>
        </is>
      </c>
      <c r="D1471" s="8" t="n"/>
      <c r="E1471" s="8" t="n">
        <v>232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>
        <f>IF(COUNT(D1471:V1471)=0,"",MIN(D1471:V1471))</f>
        <v/>
      </c>
      <c r="X1471" s="8">
        <f>IF(COUNT(D1471:V1471)=0,"",MEDIAN(D1471:V1471))</f>
        <v/>
      </c>
      <c r="Y1471" s="8">
        <f>IF(COUNT(D1471:V1471)=0,"",MAX(D1471:V1471))</f>
        <v/>
      </c>
      <c r="Z1471" s="9">
        <f>IF(OR(W1471="",W1471=0),"",(Y1471-W1471)/W1471)</f>
        <v/>
      </c>
      <c r="AA1471" s="7">
        <f>IF(COUNT(D1471:V1471)=0,"",INDEX($D$1:$V$1,MATCH(MIN(D1471:V1471),D1471:V1471,0)))</f>
        <v/>
      </c>
      <c r="AB1471" s="8" t="n">
        <v>232</v>
      </c>
      <c r="AC1471" s="10" t="n">
        <v>1</v>
      </c>
    </row>
    <row r="1472">
      <c r="A1472" s="7" t="inlineStr">
        <is>
          <t>MAT-32-117</t>
        </is>
      </c>
      <c r="B1472" s="4" t="inlineStr">
        <is>
          <t>Adaptador macho de bronce 18" x 3/4"</t>
        </is>
      </c>
      <c r="C1472" s="7" t="inlineStr">
        <is>
          <t>unidad</t>
        </is>
      </c>
      <c r="D1472" s="8" t="n"/>
      <c r="E1472" s="8" t="n">
        <v>315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>
        <f>IF(COUNT(D1472:V1472)=0,"",MIN(D1472:V1472))</f>
        <v/>
      </c>
      <c r="X1472" s="8">
        <f>IF(COUNT(D1472:V1472)=0,"",MEDIAN(D1472:V1472))</f>
        <v/>
      </c>
      <c r="Y1472" s="8">
        <f>IF(COUNT(D1472:V1472)=0,"",MAX(D1472:V1472))</f>
        <v/>
      </c>
      <c r="Z1472" s="9">
        <f>IF(OR(W1472="",W1472=0),"",(Y1472-W1472)/W1472)</f>
        <v/>
      </c>
      <c r="AA1472" s="7">
        <f>IF(COUNT(D1472:V1472)=0,"",INDEX($D$1:$V$1,MATCH(MIN(D1472:V1472),D1472:V1472,0)))</f>
        <v/>
      </c>
      <c r="AB1472" s="8" t="n">
        <v>315</v>
      </c>
      <c r="AC1472" s="10" t="n">
        <v>1</v>
      </c>
    </row>
    <row r="1473">
      <c r="A1473" s="7" t="inlineStr">
        <is>
          <t>MAT-32-118</t>
        </is>
      </c>
      <c r="B1473" s="4" t="inlineStr">
        <is>
          <t>Adaptador macho de bronce 25" x 3/4"</t>
        </is>
      </c>
      <c r="C1473" s="7" t="inlineStr">
        <is>
          <t>unidad</t>
        </is>
      </c>
      <c r="D1473" s="8" t="n"/>
      <c r="E1473" s="8" t="n">
        <v>390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>
        <f>IF(COUNT(D1473:V1473)=0,"",MIN(D1473:V1473))</f>
        <v/>
      </c>
      <c r="X1473" s="8">
        <f>IF(COUNT(D1473:V1473)=0,"",MEDIAN(D1473:V1473))</f>
        <v/>
      </c>
      <c r="Y1473" s="8">
        <f>IF(COUNT(D1473:V1473)=0,"",MAX(D1473:V1473))</f>
        <v/>
      </c>
      <c r="Z1473" s="9">
        <f>IF(OR(W1473="",W1473=0),"",(Y1473-W1473)/W1473)</f>
        <v/>
      </c>
      <c r="AA1473" s="7">
        <f>IF(COUNT(D1473:V1473)=0,"",INDEX($D$1:$V$1,MATCH(MIN(D1473:V1473),D1473:V1473,0)))</f>
        <v/>
      </c>
      <c r="AB1473" s="8" t="n">
        <v>390</v>
      </c>
      <c r="AC1473" s="10" t="n">
        <v>1</v>
      </c>
    </row>
    <row r="1474">
      <c r="A1474" s="7" t="inlineStr">
        <is>
          <t>MAT-32-119</t>
        </is>
      </c>
      <c r="B1474" s="4" t="inlineStr">
        <is>
          <t>Adaptador macho de bronce 3/8" x 1/2"</t>
        </is>
      </c>
      <c r="C1474" s="7" t="inlineStr">
        <is>
          <t>unidad</t>
        </is>
      </c>
      <c r="D1474" s="8" t="n"/>
      <c r="E1474" s="8" t="n">
        <v>149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>
        <f>IF(COUNT(D1474:V1474)=0,"",MIN(D1474:V1474))</f>
        <v/>
      </c>
      <c r="X1474" s="8">
        <f>IF(COUNT(D1474:V1474)=0,"",MEDIAN(D1474:V1474))</f>
        <v/>
      </c>
      <c r="Y1474" s="8">
        <f>IF(COUNT(D1474:V1474)=0,"",MAX(D1474:V1474))</f>
        <v/>
      </c>
      <c r="Z1474" s="9">
        <f>IF(OR(W1474="",W1474=0),"",(Y1474-W1474)/W1474)</f>
        <v/>
      </c>
      <c r="AA1474" s="7">
        <f>IF(COUNT(D1474:V1474)=0,"",INDEX($D$1:$V$1,MATCH(MIN(D1474:V1474),D1474:V1474,0)))</f>
        <v/>
      </c>
      <c r="AB1474" s="8" t="n">
        <v>149</v>
      </c>
      <c r="AC1474" s="10" t="n">
        <v>1</v>
      </c>
    </row>
    <row r="1475">
      <c r="A1475" s="7" t="inlineStr">
        <is>
          <t>MAT-32-120</t>
        </is>
      </c>
      <c r="B1475" s="4" t="inlineStr">
        <is>
          <t>Adaptador macho de bronce 3/8" x 3/8"</t>
        </is>
      </c>
      <c r="C1475" s="7" t="inlineStr">
        <is>
          <t>unidad</t>
        </is>
      </c>
      <c r="D1475" s="8" t="n"/>
      <c r="E1475" s="8" t="n">
        <v>68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>
        <f>IF(COUNT(D1475:V1475)=0,"",MIN(D1475:V1475))</f>
        <v/>
      </c>
      <c r="X1475" s="8">
        <f>IF(COUNT(D1475:V1475)=0,"",MEDIAN(D1475:V1475))</f>
        <v/>
      </c>
      <c r="Y1475" s="8">
        <f>IF(COUNT(D1475:V1475)=0,"",MAX(D1475:V1475))</f>
        <v/>
      </c>
      <c r="Z1475" s="9">
        <f>IF(OR(W1475="",W1475=0),"",(Y1475-W1475)/W1475)</f>
        <v/>
      </c>
      <c r="AA1475" s="7">
        <f>IF(COUNT(D1475:V1475)=0,"",INDEX($D$1:$V$1,MATCH(MIN(D1475:V1475),D1475:V1475,0)))</f>
        <v/>
      </c>
      <c r="AB1475" s="8" t="n">
        <v>78</v>
      </c>
      <c r="AC1475" s="10" t="n">
        <v>1</v>
      </c>
    </row>
    <row r="1476">
      <c r="A1476" s="7" t="inlineStr">
        <is>
          <t>MAT-32-121</t>
        </is>
      </c>
      <c r="B1476" s="4" t="inlineStr">
        <is>
          <t>Adaptador macho de bronce 32" x 1"</t>
        </is>
      </c>
      <c r="C1476" s="7" t="inlineStr">
        <is>
          <t>unidad</t>
        </is>
      </c>
      <c r="D1476" s="8" t="n"/>
      <c r="E1476" s="8" t="n">
        <v>597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>
        <f>IF(COUNT(D1476:V1476)=0,"",MIN(D1476:V1476))</f>
        <v/>
      </c>
      <c r="X1476" s="8">
        <f>IF(COUNT(D1476:V1476)=0,"",MEDIAN(D1476:V1476))</f>
        <v/>
      </c>
      <c r="Y1476" s="8">
        <f>IF(COUNT(D1476:V1476)=0,"",MAX(D1476:V1476))</f>
        <v/>
      </c>
      <c r="Z1476" s="9">
        <f>IF(OR(W1476="",W1476=0),"",(Y1476-W1476)/W1476)</f>
        <v/>
      </c>
      <c r="AA1476" s="7">
        <f>IF(COUNT(D1476:V1476)=0,"",INDEX($D$1:$V$1,MATCH(MIN(D1476:V1476),D1476:V1476,0)))</f>
        <v/>
      </c>
      <c r="AB1476" s="8" t="n">
        <v>597</v>
      </c>
      <c r="AC1476" s="10" t="n">
        <v>1</v>
      </c>
    </row>
    <row r="1477">
      <c r="A1477" s="7" t="inlineStr">
        <is>
          <t>MAT-32-122</t>
        </is>
      </c>
      <c r="B1477" s="4" t="inlineStr">
        <is>
          <t>Adaptador macho de bronce 5/8" x 1/2"</t>
        </is>
      </c>
      <c r="C1477" s="7" t="inlineStr">
        <is>
          <t>unidad</t>
        </is>
      </c>
      <c r="D1477" s="8" t="n"/>
      <c r="E1477" s="8" t="n">
        <v>152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>
        <f>IF(COUNT(D1477:V1477)=0,"",MIN(D1477:V1477))</f>
        <v/>
      </c>
      <c r="X1477" s="8">
        <f>IF(COUNT(D1477:V1477)=0,"",MEDIAN(D1477:V1477))</f>
        <v/>
      </c>
      <c r="Y1477" s="8">
        <f>IF(COUNT(D1477:V1477)=0,"",MAX(D1477:V1477))</f>
        <v/>
      </c>
      <c r="Z1477" s="9">
        <f>IF(OR(W1477="",W1477=0),"",(Y1477-W1477)/W1477)</f>
        <v/>
      </c>
      <c r="AA1477" s="7">
        <f>IF(COUNT(D1477:V1477)=0,"",INDEX($D$1:$V$1,MATCH(MIN(D1477:V1477),D1477:V1477,0)))</f>
        <v/>
      </c>
      <c r="AB1477" s="8" t="n">
        <v>152</v>
      </c>
      <c r="AC1477" s="10" t="n">
        <v>1</v>
      </c>
    </row>
    <row r="1478">
      <c r="A1478" s="7" t="inlineStr">
        <is>
          <t>MAT-32-123</t>
        </is>
      </c>
      <c r="B1478" s="4" t="inlineStr">
        <is>
          <t>Adaptador macho de cobre 1" x 1 1/8"</t>
        </is>
      </c>
      <c r="C1478" s="7" t="inlineStr">
        <is>
          <t>unidad</t>
        </is>
      </c>
      <c r="D1478" s="8" t="n"/>
      <c r="E1478" s="8" t="n">
        <v>119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>
        <f>IF(COUNT(D1478:V1478)=0,"",MIN(D1478:V1478))</f>
        <v/>
      </c>
      <c r="X1478" s="8">
        <f>IF(COUNT(D1478:V1478)=0,"",MEDIAN(D1478:V1478))</f>
        <v/>
      </c>
      <c r="Y1478" s="8">
        <f>IF(COUNT(D1478:V1478)=0,"",MAX(D1478:V1478))</f>
        <v/>
      </c>
      <c r="Z1478" s="9">
        <f>IF(OR(W1478="",W1478=0),"",(Y1478-W1478)/W1478)</f>
        <v/>
      </c>
      <c r="AA1478" s="7">
        <f>IF(COUNT(D1478:V1478)=0,"",INDEX($D$1:$V$1,MATCH(MIN(D1478:V1478),D1478:V1478,0)))</f>
        <v/>
      </c>
      <c r="AB1478" s="8" t="n">
        <v>119</v>
      </c>
      <c r="AC1478" s="10" t="n">
        <v>1</v>
      </c>
    </row>
    <row r="1479">
      <c r="A1479" s="7" t="inlineStr">
        <is>
          <t>MAT-32-124</t>
        </is>
      </c>
      <c r="B1479" s="4" t="inlineStr">
        <is>
          <t>Adaptador macho de CPVC 1/2"</t>
        </is>
      </c>
      <c r="C1479" s="7" t="inlineStr">
        <is>
          <t>unidad</t>
        </is>
      </c>
      <c r="D1479" s="8" t="n"/>
      <c r="E1479" s="8" t="n">
        <v>13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>
        <f>IF(COUNT(D1479:V1479)=0,"",MIN(D1479:V1479))</f>
        <v/>
      </c>
      <c r="X1479" s="8">
        <f>IF(COUNT(D1479:V1479)=0,"",MEDIAN(D1479:V1479))</f>
        <v/>
      </c>
      <c r="Y1479" s="8">
        <f>IF(COUNT(D1479:V1479)=0,"",MAX(D1479:V1479))</f>
        <v/>
      </c>
      <c r="Z1479" s="9">
        <f>IF(OR(W1479="",W1479=0),"",(Y1479-W1479)/W1479)</f>
        <v/>
      </c>
      <c r="AA1479" s="7">
        <f>IF(COUNT(D1479:V1479)=0,"",INDEX($D$1:$V$1,MATCH(MIN(D1479:V1479),D1479:V1479,0)))</f>
        <v/>
      </c>
      <c r="AB1479" s="8" t="n">
        <v>13</v>
      </c>
      <c r="AC1479" s="10" t="n">
        <v>1</v>
      </c>
    </row>
    <row r="1480">
      <c r="A1480" s="7" t="inlineStr">
        <is>
          <t>MAT-32-125</t>
        </is>
      </c>
      <c r="B1480" s="4" t="inlineStr">
        <is>
          <t>Adaptador macho de CPVC 1"</t>
        </is>
      </c>
      <c r="C1480" s="7" t="inlineStr">
        <is>
          <t>unidad</t>
        </is>
      </c>
      <c r="D1480" s="8" t="n"/>
      <c r="E1480" s="8" t="n">
        <v>32.71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>
        <f>IF(COUNT(D1480:V1480)=0,"",MIN(D1480:V1480))</f>
        <v/>
      </c>
      <c r="X1480" s="8">
        <f>IF(COUNT(D1480:V1480)=0,"",MEDIAN(D1480:V1480))</f>
        <v/>
      </c>
      <c r="Y1480" s="8">
        <f>IF(COUNT(D1480:V1480)=0,"",MAX(D1480:V1480))</f>
        <v/>
      </c>
      <c r="Z1480" s="9">
        <f>IF(OR(W1480="",W1480=0),"",(Y1480-W1480)/W1480)</f>
        <v/>
      </c>
      <c r="AA1480" s="7">
        <f>IF(COUNT(D1480:V1480)=0,"",INDEX($D$1:$V$1,MATCH(MIN(D1480:V1480),D1480:V1480,0)))</f>
        <v/>
      </c>
      <c r="AB1480" s="8" t="n">
        <v>32.71</v>
      </c>
      <c r="AC1480" s="10" t="n">
        <v>1</v>
      </c>
    </row>
    <row r="1481">
      <c r="A1481" s="7" t="inlineStr">
        <is>
          <t>MAT-32-126</t>
        </is>
      </c>
      <c r="B1481" s="4" t="inlineStr">
        <is>
          <t>Adaptador macho de CPVC 3/4"</t>
        </is>
      </c>
      <c r="C1481" s="7" t="inlineStr">
        <is>
          <t>unidad</t>
        </is>
      </c>
      <c r="D1481" s="8" t="n"/>
      <c r="E1481" s="8" t="n">
        <v>18.22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>
        <f>IF(COUNT(D1481:V1481)=0,"",MIN(D1481:V1481))</f>
        <v/>
      </c>
      <c r="X1481" s="8">
        <f>IF(COUNT(D1481:V1481)=0,"",MEDIAN(D1481:V1481))</f>
        <v/>
      </c>
      <c r="Y1481" s="8">
        <f>IF(COUNT(D1481:V1481)=0,"",MAX(D1481:V1481))</f>
        <v/>
      </c>
      <c r="Z1481" s="9">
        <f>IF(OR(W1481="",W1481=0),"",(Y1481-W1481)/W1481)</f>
        <v/>
      </c>
      <c r="AA1481" s="7">
        <f>IF(COUNT(D1481:V1481)=0,"",INDEX($D$1:$V$1,MATCH(MIN(D1481:V1481),D1481:V1481,0)))</f>
        <v/>
      </c>
      <c r="AB1481" s="8" t="n">
        <v>18.22</v>
      </c>
      <c r="AC1481" s="10" t="n">
        <v>1</v>
      </c>
    </row>
    <row r="1482">
      <c r="A1482" s="7" t="inlineStr">
        <is>
          <t>MAT-32-127</t>
        </is>
      </c>
      <c r="B1482" s="4" t="inlineStr">
        <is>
          <t>Adaptador macho de plástico 1/2"</t>
        </is>
      </c>
      <c r="C1482" s="7" t="inlineStr">
        <is>
          <t>unidad</t>
        </is>
      </c>
      <c r="D1482" s="8" t="n"/>
      <c r="E1482" s="8" t="n">
        <v>155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>
        <f>IF(COUNT(D1482:V1482)=0,"",MIN(D1482:V1482))</f>
        <v/>
      </c>
      <c r="X1482" s="8">
        <f>IF(COUNT(D1482:V1482)=0,"",MEDIAN(D1482:V1482))</f>
        <v/>
      </c>
      <c r="Y1482" s="8">
        <f>IF(COUNT(D1482:V1482)=0,"",MAX(D1482:V1482))</f>
        <v/>
      </c>
      <c r="Z1482" s="9">
        <f>IF(OR(W1482="",W1482=0),"",(Y1482-W1482)/W1482)</f>
        <v/>
      </c>
      <c r="AA1482" s="7">
        <f>IF(COUNT(D1482:V1482)=0,"",INDEX($D$1:$V$1,MATCH(MIN(D1482:V1482),D1482:V1482,0)))</f>
        <v/>
      </c>
      <c r="AB1482" s="8" t="n">
        <v>155</v>
      </c>
      <c r="AC1482" s="10" t="n">
        <v>1</v>
      </c>
    </row>
    <row r="1483">
      <c r="A1483" s="7" t="inlineStr">
        <is>
          <t>MAT-32-128</t>
        </is>
      </c>
      <c r="B1483" s="4" t="inlineStr">
        <is>
          <t>Adaptador macho de plástico 1"</t>
        </is>
      </c>
      <c r="C1483" s="7" t="inlineStr">
        <is>
          <t>unidad</t>
        </is>
      </c>
      <c r="D1483" s="8" t="n"/>
      <c r="E1483" s="8" t="n">
        <v>190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>
        <f>IF(COUNT(D1483:V1483)=0,"",MIN(D1483:V1483))</f>
        <v/>
      </c>
      <c r="X1483" s="8">
        <f>IF(COUNT(D1483:V1483)=0,"",MEDIAN(D1483:V1483))</f>
        <v/>
      </c>
      <c r="Y1483" s="8">
        <f>IF(COUNT(D1483:V1483)=0,"",MAX(D1483:V1483))</f>
        <v/>
      </c>
      <c r="Z1483" s="9">
        <f>IF(OR(W1483="",W1483=0),"",(Y1483-W1483)/W1483)</f>
        <v/>
      </c>
      <c r="AA1483" s="7">
        <f>IF(COUNT(D1483:V1483)=0,"",INDEX($D$1:$V$1,MATCH(MIN(D1483:V1483),D1483:V1483,0)))</f>
        <v/>
      </c>
      <c r="AB1483" s="8" t="n">
        <v>190</v>
      </c>
      <c r="AC1483" s="10" t="n">
        <v>1</v>
      </c>
    </row>
    <row r="1484">
      <c r="A1484" s="7" t="inlineStr">
        <is>
          <t>MAT-32-129</t>
        </is>
      </c>
      <c r="B1484" s="4" t="inlineStr">
        <is>
          <t>Adaptador macho de plástico 2"</t>
        </is>
      </c>
      <c r="C1484" s="7" t="inlineStr">
        <is>
          <t>unidad</t>
        </is>
      </c>
      <c r="D1484" s="8" t="n"/>
      <c r="E1484" s="8" t="n">
        <v>285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>
        <f>IF(COUNT(D1484:V1484)=0,"",MIN(D1484:V1484))</f>
        <v/>
      </c>
      <c r="X1484" s="8">
        <f>IF(COUNT(D1484:V1484)=0,"",MEDIAN(D1484:V1484))</f>
        <v/>
      </c>
      <c r="Y1484" s="8">
        <f>IF(COUNT(D1484:V1484)=0,"",MAX(D1484:V1484))</f>
        <v/>
      </c>
      <c r="Z1484" s="9">
        <f>IF(OR(W1484="",W1484=0),"",(Y1484-W1484)/W1484)</f>
        <v/>
      </c>
      <c r="AA1484" s="7">
        <f>IF(COUNT(D1484:V1484)=0,"",INDEX($D$1:$V$1,MATCH(MIN(D1484:V1484),D1484:V1484,0)))</f>
        <v/>
      </c>
      <c r="AB1484" s="8" t="n">
        <v>285</v>
      </c>
      <c r="AC1484" s="10" t="n">
        <v>1</v>
      </c>
    </row>
    <row r="1485">
      <c r="A1485" s="7" t="inlineStr">
        <is>
          <t>MAT-32-130</t>
        </is>
      </c>
      <c r="B1485" s="4" t="inlineStr">
        <is>
          <t>Adaptador macho de plástico 3/4" x 0"</t>
        </is>
      </c>
      <c r="C1485" s="7" t="inlineStr">
        <is>
          <t>unidad</t>
        </is>
      </c>
      <c r="D1485" s="8" t="n"/>
      <c r="E1485" s="8" t="n">
        <v>187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>
        <f>IF(COUNT(D1485:V1485)=0,"",MIN(D1485:V1485))</f>
        <v/>
      </c>
      <c r="X1485" s="8">
        <f>IF(COUNT(D1485:V1485)=0,"",MEDIAN(D1485:V1485))</f>
        <v/>
      </c>
      <c r="Y1485" s="8">
        <f>IF(COUNT(D1485:V1485)=0,"",MAX(D1485:V1485))</f>
        <v/>
      </c>
      <c r="Z1485" s="9">
        <f>IF(OR(W1485="",W1485=0),"",(Y1485-W1485)/W1485)</f>
        <v/>
      </c>
      <c r="AA1485" s="7">
        <f>IF(COUNT(D1485:V1485)=0,"",INDEX($D$1:$V$1,MATCH(MIN(D1485:V1485),D1485:V1485,0)))</f>
        <v/>
      </c>
      <c r="AB1485" s="8" t="n">
        <v>187</v>
      </c>
      <c r="AC1485" s="10" t="n">
        <v>1</v>
      </c>
    </row>
    <row r="1486">
      <c r="A1486" s="7" t="inlineStr">
        <is>
          <t>MAT-32-131</t>
        </is>
      </c>
      <c r="B1486" s="4" t="inlineStr">
        <is>
          <t>Adaptador macho de PPR 20 mm</t>
        </is>
      </c>
      <c r="C1486" s="7" t="inlineStr">
        <is>
          <t>unidad</t>
        </is>
      </c>
      <c r="D1486" s="8" t="n"/>
      <c r="E1486" s="8" t="n">
        <v>63.5</v>
      </c>
      <c r="F1486" s="8" t="n"/>
      <c r="G1486" s="8" t="n">
        <v>188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>
        <f>IF(COUNT(D1486:V1486)=0,"",MIN(D1486:V1486))</f>
        <v/>
      </c>
      <c r="X1486" s="8">
        <f>IF(COUNT(D1486:V1486)=0,"",MEDIAN(D1486:V1486))</f>
        <v/>
      </c>
      <c r="Y1486" s="8">
        <f>IF(COUNT(D1486:V1486)=0,"",MAX(D1486:V1486))</f>
        <v/>
      </c>
      <c r="Z1486" s="9">
        <f>IF(OR(W1486="",W1486=0),"",(Y1486-W1486)/W1486)</f>
        <v/>
      </c>
      <c r="AA1486" s="7">
        <f>IF(COUNT(D1486:V1486)=0,"",INDEX($D$1:$V$1,MATCH(MIN(D1486:V1486),D1486:V1486,0)))</f>
        <v/>
      </c>
      <c r="AB1486" s="8" t="n">
        <v>136.06</v>
      </c>
      <c r="AC1486" s="10" t="n">
        <v>2</v>
      </c>
    </row>
    <row r="1487">
      <c r="A1487" s="7" t="inlineStr">
        <is>
          <t>MAT-32-132</t>
        </is>
      </c>
      <c r="B1487" s="4" t="inlineStr">
        <is>
          <t>Adaptador macho de PPR 25 mm</t>
        </is>
      </c>
      <c r="C1487" s="7" t="inlineStr">
        <is>
          <t>unidad</t>
        </is>
      </c>
      <c r="D1487" s="8" t="n"/>
      <c r="E1487" s="8" t="n">
        <v>74.16</v>
      </c>
      <c r="F1487" s="8" t="n"/>
      <c r="G1487" s="8" t="n">
        <v>253</v>
      </c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>
        <f>IF(COUNT(D1487:V1487)=0,"",MIN(D1487:V1487))</f>
        <v/>
      </c>
      <c r="X1487" s="8">
        <f>IF(COUNT(D1487:V1487)=0,"",MEDIAN(D1487:V1487))</f>
        <v/>
      </c>
      <c r="Y1487" s="8">
        <f>IF(COUNT(D1487:V1487)=0,"",MAX(D1487:V1487))</f>
        <v/>
      </c>
      <c r="Z1487" s="9">
        <f>IF(OR(W1487="",W1487=0),"",(Y1487-W1487)/W1487)</f>
        <v/>
      </c>
      <c r="AA1487" s="7">
        <f>IF(COUNT(D1487:V1487)=0,"",INDEX($D$1:$V$1,MATCH(MIN(D1487:V1487),D1487:V1487,0)))</f>
        <v/>
      </c>
      <c r="AB1487" s="8" t="n">
        <v>91</v>
      </c>
      <c r="AC1487" s="10" t="n">
        <v>2</v>
      </c>
    </row>
    <row r="1488">
      <c r="A1488" s="7" t="inlineStr">
        <is>
          <t>MAT-32-133</t>
        </is>
      </c>
      <c r="B1488" s="4" t="inlineStr">
        <is>
          <t>Adaptador macho de PPR 32 mm</t>
        </is>
      </c>
      <c r="C1488" s="7" t="inlineStr">
        <is>
          <t>unidad</t>
        </is>
      </c>
      <c r="D1488" s="8" t="n"/>
      <c r="E1488" s="8" t="n">
        <v>78.15000000000001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>
        <f>IF(COUNT(D1488:V1488)=0,"",MIN(D1488:V1488))</f>
        <v/>
      </c>
      <c r="X1488" s="8">
        <f>IF(COUNT(D1488:V1488)=0,"",MEDIAN(D1488:V1488))</f>
        <v/>
      </c>
      <c r="Y1488" s="8">
        <f>IF(COUNT(D1488:V1488)=0,"",MAX(D1488:V1488))</f>
        <v/>
      </c>
      <c r="Z1488" s="9">
        <f>IF(OR(W1488="",W1488=0),"",(Y1488-W1488)/W1488)</f>
        <v/>
      </c>
      <c r="AA1488" s="7">
        <f>IF(COUNT(D1488:V1488)=0,"",INDEX($D$1:$V$1,MATCH(MIN(D1488:V1488),D1488:V1488,0)))</f>
        <v/>
      </c>
      <c r="AB1488" s="8" t="n">
        <v>83.45</v>
      </c>
      <c r="AC1488" s="10" t="n">
        <v>1</v>
      </c>
    </row>
    <row r="1489">
      <c r="A1489" s="7" t="inlineStr">
        <is>
          <t>MAT-32-134</t>
        </is>
      </c>
      <c r="B1489" s="4" t="inlineStr">
        <is>
          <t>Adaptador macho de PPR 50 mm</t>
        </is>
      </c>
      <c r="C1489" s="7" t="inlineStr">
        <is>
          <t>unidad</t>
        </is>
      </c>
      <c r="D1489" s="8" t="n"/>
      <c r="E1489" s="8" t="n">
        <v>310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>
        <f>IF(COUNT(D1489:V1489)=0,"",MIN(D1489:V1489))</f>
        <v/>
      </c>
      <c r="X1489" s="8">
        <f>IF(COUNT(D1489:V1489)=0,"",MEDIAN(D1489:V1489))</f>
        <v/>
      </c>
      <c r="Y1489" s="8">
        <f>IF(COUNT(D1489:V1489)=0,"",MAX(D1489:V1489))</f>
        <v/>
      </c>
      <c r="Z1489" s="9">
        <f>IF(OR(W1489="",W1489=0),"",(Y1489-W1489)/W1489)</f>
        <v/>
      </c>
      <c r="AA1489" s="7">
        <f>IF(COUNT(D1489:V1489)=0,"",INDEX($D$1:$V$1,MATCH(MIN(D1489:V1489),D1489:V1489,0)))</f>
        <v/>
      </c>
      <c r="AB1489" s="8" t="n">
        <v>310</v>
      </c>
      <c r="AC1489" s="10" t="n">
        <v>1</v>
      </c>
    </row>
    <row r="1490">
      <c r="A1490" s="7" t="inlineStr">
        <is>
          <t>MAT-32-135</t>
        </is>
      </c>
      <c r="B1490" s="4" t="inlineStr">
        <is>
          <t>Adaptador macho de PVC 1 1/2"</t>
        </is>
      </c>
      <c r="C1490" s="7" t="inlineStr">
        <is>
          <t>unidad</t>
        </is>
      </c>
      <c r="D1490" s="8" t="n"/>
      <c r="E1490" s="8" t="n">
        <v>19.31</v>
      </c>
      <c r="F1490" s="8" t="n"/>
      <c r="G1490" s="8" t="n">
        <v>95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>
        <f>IF(COUNT(D1490:V1490)=0,"",MIN(D1490:V1490))</f>
        <v/>
      </c>
      <c r="X1490" s="8">
        <f>IF(COUNT(D1490:V1490)=0,"",MEDIAN(D1490:V1490))</f>
        <v/>
      </c>
      <c r="Y1490" s="8">
        <f>IF(COUNT(D1490:V1490)=0,"",MAX(D1490:V1490))</f>
        <v/>
      </c>
      <c r="Z1490" s="9">
        <f>IF(OR(W1490="",W1490=0),"",(Y1490-W1490)/W1490)</f>
        <v/>
      </c>
      <c r="AA1490" s="7">
        <f>IF(COUNT(D1490:V1490)=0,"",INDEX($D$1:$V$1,MATCH(MIN(D1490:V1490),D1490:V1490,0)))</f>
        <v/>
      </c>
      <c r="AB1490" s="8" t="n">
        <v>34.5</v>
      </c>
      <c r="AC1490" s="10" t="n">
        <v>2</v>
      </c>
    </row>
    <row r="1491">
      <c r="A1491" s="7" t="inlineStr">
        <is>
          <t>MAT-32-136</t>
        </is>
      </c>
      <c r="B1491" s="4" t="inlineStr">
        <is>
          <t>Adaptador macho de PVC 1/2"</t>
        </is>
      </c>
      <c r="C1491" s="7" t="inlineStr">
        <is>
          <t>unidad</t>
        </is>
      </c>
      <c r="D1491" s="8" t="n"/>
      <c r="E1491" s="8" t="n">
        <v>4.08</v>
      </c>
      <c r="F1491" s="8" t="n"/>
      <c r="G1491" s="8" t="n">
        <v>26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>
        <f>IF(COUNT(D1491:V1491)=0,"",MIN(D1491:V1491))</f>
        <v/>
      </c>
      <c r="X1491" s="8">
        <f>IF(COUNT(D1491:V1491)=0,"",MEDIAN(D1491:V1491))</f>
        <v/>
      </c>
      <c r="Y1491" s="8">
        <f>IF(COUNT(D1491:V1491)=0,"",MAX(D1491:V1491))</f>
        <v/>
      </c>
      <c r="Z1491" s="9">
        <f>IF(OR(W1491="",W1491=0),"",(Y1491-W1491)/W1491)</f>
        <v/>
      </c>
      <c r="AA1491" s="7">
        <f>IF(COUNT(D1491:V1491)=0,"",INDEX($D$1:$V$1,MATCH(MIN(D1491:V1491),D1491:V1491,0)))</f>
        <v/>
      </c>
      <c r="AB1491" s="8" t="n">
        <v>5.36</v>
      </c>
      <c r="AC1491" s="10" t="n">
        <v>2</v>
      </c>
    </row>
    <row r="1492">
      <c r="A1492" s="7" t="inlineStr">
        <is>
          <t>MAT-32-137</t>
        </is>
      </c>
      <c r="B1492" s="4" t="inlineStr">
        <is>
          <t>Adaptador macho de PVC 1"</t>
        </is>
      </c>
      <c r="C1492" s="7" t="inlineStr">
        <is>
          <t>unidad</t>
        </is>
      </c>
      <c r="D1492" s="8" t="n"/>
      <c r="E1492" s="8" t="n">
        <v>8.73</v>
      </c>
      <c r="F1492" s="8" t="n"/>
      <c r="G1492" s="8" t="n">
        <v>40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>
        <f>IF(COUNT(D1492:V1492)=0,"",MIN(D1492:V1492))</f>
        <v/>
      </c>
      <c r="X1492" s="8">
        <f>IF(COUNT(D1492:V1492)=0,"",MEDIAN(D1492:V1492))</f>
        <v/>
      </c>
      <c r="Y1492" s="8">
        <f>IF(COUNT(D1492:V1492)=0,"",MAX(D1492:V1492))</f>
        <v/>
      </c>
      <c r="Z1492" s="9">
        <f>IF(OR(W1492="",W1492=0),"",(Y1492-W1492)/W1492)</f>
        <v/>
      </c>
      <c r="AA1492" s="7">
        <f>IF(COUNT(D1492:V1492)=0,"",INDEX($D$1:$V$1,MATCH(MIN(D1492:V1492),D1492:V1492,0)))</f>
        <v/>
      </c>
      <c r="AB1492" s="8" t="n">
        <v>18.2</v>
      </c>
      <c r="AC1492" s="10" t="n">
        <v>2</v>
      </c>
    </row>
    <row r="1493">
      <c r="A1493" s="7" t="inlineStr">
        <is>
          <t>MAT-32-138</t>
        </is>
      </c>
      <c r="B1493" s="4" t="inlineStr">
        <is>
          <t>Adaptador macho de PVC 2"</t>
        </is>
      </c>
      <c r="C1493" s="7" t="inlineStr">
        <is>
          <t>unidad</t>
        </is>
      </c>
      <c r="D1493" s="8" t="n"/>
      <c r="E1493" s="8" t="n">
        <v>28.05</v>
      </c>
      <c r="F1493" s="8" t="n"/>
      <c r="G1493" s="8" t="n">
        <v>105</v>
      </c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>
        <f>IF(COUNT(D1493:V1493)=0,"",MIN(D1493:V1493))</f>
        <v/>
      </c>
      <c r="X1493" s="8">
        <f>IF(COUNT(D1493:V1493)=0,"",MEDIAN(D1493:V1493))</f>
        <v/>
      </c>
      <c r="Y1493" s="8">
        <f>IF(COUNT(D1493:V1493)=0,"",MAX(D1493:V1493))</f>
        <v/>
      </c>
      <c r="Z1493" s="9">
        <f>IF(OR(W1493="",W1493=0),"",(Y1493-W1493)/W1493)</f>
        <v/>
      </c>
      <c r="AA1493" s="7">
        <f>IF(COUNT(D1493:V1493)=0,"",INDEX($D$1:$V$1,MATCH(MIN(D1493:V1493),D1493:V1493,0)))</f>
        <v/>
      </c>
      <c r="AB1493" s="8" t="n">
        <v>60.76</v>
      </c>
      <c r="AC1493" s="10" t="n">
        <v>2</v>
      </c>
    </row>
    <row r="1494">
      <c r="A1494" s="7" t="inlineStr">
        <is>
          <t>MAT-32-139</t>
        </is>
      </c>
      <c r="B1494" s="4" t="inlineStr">
        <is>
          <t>Adaptador macho de PVC 3/4"</t>
        </is>
      </c>
      <c r="C1494" s="7" t="inlineStr">
        <is>
          <t>unidad</t>
        </is>
      </c>
      <c r="D1494" s="8" t="n"/>
      <c r="E1494" s="8" t="n">
        <v>5.62</v>
      </c>
      <c r="F1494" s="8" t="n"/>
      <c r="G1494" s="8" t="n">
        <v>26</v>
      </c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>
        <f>IF(COUNT(D1494:V1494)=0,"",MIN(D1494:V1494))</f>
        <v/>
      </c>
      <c r="X1494" s="8">
        <f>IF(COUNT(D1494:V1494)=0,"",MEDIAN(D1494:V1494))</f>
        <v/>
      </c>
      <c r="Y1494" s="8">
        <f>IF(COUNT(D1494:V1494)=0,"",MAX(D1494:V1494))</f>
        <v/>
      </c>
      <c r="Z1494" s="9">
        <f>IF(OR(W1494="",W1494=0),"",(Y1494-W1494)/W1494)</f>
        <v/>
      </c>
      <c r="AA1494" s="7">
        <f>IF(COUNT(D1494:V1494)=0,"",INDEX($D$1:$V$1,MATCH(MIN(D1494:V1494),D1494:V1494,0)))</f>
        <v/>
      </c>
      <c r="AB1494" s="8" t="n">
        <v>10.75</v>
      </c>
      <c r="AC1494" s="10" t="n">
        <v>2</v>
      </c>
    </row>
    <row r="1495">
      <c r="A1495" s="7" t="inlineStr">
        <is>
          <t>MAT-32-140</t>
        </is>
      </c>
      <c r="B1495" s="4" t="inlineStr">
        <is>
          <t>Adaptador macho de PVC 3"</t>
        </is>
      </c>
      <c r="C1495" s="7" t="inlineStr">
        <is>
          <t>unidad</t>
        </is>
      </c>
      <c r="D1495" s="8" t="n"/>
      <c r="E1495" s="8" t="n">
        <v>85</v>
      </c>
      <c r="F1495" s="8" t="n"/>
      <c r="G1495" s="8" t="n">
        <v>271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>
        <f>IF(COUNT(D1495:V1495)=0,"",MIN(D1495:V1495))</f>
        <v/>
      </c>
      <c r="X1495" s="8">
        <f>IF(COUNT(D1495:V1495)=0,"",MEDIAN(D1495:V1495))</f>
        <v/>
      </c>
      <c r="Y1495" s="8">
        <f>IF(COUNT(D1495:V1495)=0,"",MAX(D1495:V1495))</f>
        <v/>
      </c>
      <c r="Z1495" s="9">
        <f>IF(OR(W1495="",W1495=0),"",(Y1495-W1495)/W1495)</f>
        <v/>
      </c>
      <c r="AA1495" s="7">
        <f>IF(COUNT(D1495:V1495)=0,"",INDEX($D$1:$V$1,MATCH(MIN(D1495:V1495),D1495:V1495,0)))</f>
        <v/>
      </c>
      <c r="AB1495" s="8" t="n">
        <v>157</v>
      </c>
      <c r="AC1495" s="10" t="n">
        <v>2</v>
      </c>
    </row>
    <row r="1496">
      <c r="A1496" s="7" t="inlineStr">
        <is>
          <t>MAT-32-141</t>
        </is>
      </c>
      <c r="B1496" s="4" t="inlineStr">
        <is>
          <t>Adaptador macho de PVC 4"</t>
        </is>
      </c>
      <c r="C1496" s="7" t="inlineStr">
        <is>
          <t>unidad</t>
        </is>
      </c>
      <c r="D1496" s="8" t="n"/>
      <c r="E1496" s="8" t="n">
        <v>120</v>
      </c>
      <c r="F1496" s="8" t="n"/>
      <c r="G1496" s="8" t="n">
        <v>291</v>
      </c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>
        <f>IF(COUNT(D1496:V1496)=0,"",MIN(D1496:V1496))</f>
        <v/>
      </c>
      <c r="X1496" s="8">
        <f>IF(COUNT(D1496:V1496)=0,"",MEDIAN(D1496:V1496))</f>
        <v/>
      </c>
      <c r="Y1496" s="8">
        <f>IF(COUNT(D1496:V1496)=0,"",MAX(D1496:V1496))</f>
        <v/>
      </c>
      <c r="Z1496" s="9">
        <f>IF(OR(W1496="",W1496=0),"",(Y1496-W1496)/W1496)</f>
        <v/>
      </c>
      <c r="AA1496" s="7">
        <f>IF(COUNT(D1496:V1496)=0,"",INDEX($D$1:$V$1,MATCH(MIN(D1496:V1496),D1496:V1496,0)))</f>
        <v/>
      </c>
      <c r="AB1496" s="8" t="n">
        <v>234.99</v>
      </c>
      <c r="AC1496" s="10" t="n">
        <v>2</v>
      </c>
    </row>
    <row r="1497">
      <c r="A1497" s="7" t="inlineStr">
        <is>
          <t>MAT-32-142</t>
        </is>
      </c>
      <c r="B1497" s="4" t="inlineStr">
        <is>
          <t>Adaptador macho de PVC 6"</t>
        </is>
      </c>
      <c r="C1497" s="7" t="inlineStr">
        <is>
          <t>unidad</t>
        </is>
      </c>
      <c r="D1497" s="8" t="n"/>
      <c r="E1497" s="8" t="n">
        <v>567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>
        <f>IF(COUNT(D1497:V1497)=0,"",MIN(D1497:V1497))</f>
        <v/>
      </c>
      <c r="X1497" s="8">
        <f>IF(COUNT(D1497:V1497)=0,"",MEDIAN(D1497:V1497))</f>
        <v/>
      </c>
      <c r="Y1497" s="8">
        <f>IF(COUNT(D1497:V1497)=0,"",MAX(D1497:V1497))</f>
        <v/>
      </c>
      <c r="Z1497" s="9">
        <f>IF(OR(W1497="",W1497=0),"",(Y1497-W1497)/W1497)</f>
        <v/>
      </c>
      <c r="AA1497" s="7">
        <f>IF(COUNT(D1497:V1497)=0,"",INDEX($D$1:$V$1,MATCH(MIN(D1497:V1497),D1497:V1497,0)))</f>
        <v/>
      </c>
      <c r="AB1497" s="8" t="n">
        <v>567</v>
      </c>
      <c r="AC1497" s="10" t="n">
        <v>1</v>
      </c>
    </row>
    <row r="1498">
      <c r="A1498" s="7" t="inlineStr">
        <is>
          <t>MAT-32-143</t>
        </is>
      </c>
      <c r="B1498" s="4" t="inlineStr">
        <is>
          <t>Adaptador de bronce 7/8" x 1/2"</t>
        </is>
      </c>
      <c r="C1498" s="7" t="inlineStr">
        <is>
          <t>unidad</t>
        </is>
      </c>
      <c r="D1498" s="8" t="n"/>
      <c r="E1498" s="8" t="n">
        <v>176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>
        <f>IF(COUNT(D1498:V1498)=0,"",MIN(D1498:V1498))</f>
        <v/>
      </c>
      <c r="X1498" s="8">
        <f>IF(COUNT(D1498:V1498)=0,"",MEDIAN(D1498:V1498))</f>
        <v/>
      </c>
      <c r="Y1498" s="8">
        <f>IF(COUNT(D1498:V1498)=0,"",MAX(D1498:V1498))</f>
        <v/>
      </c>
      <c r="Z1498" s="9">
        <f>IF(OR(W1498="",W1498=0),"",(Y1498-W1498)/W1498)</f>
        <v/>
      </c>
      <c r="AA1498" s="7">
        <f>IF(COUNT(D1498:V1498)=0,"",INDEX($D$1:$V$1,MATCH(MIN(D1498:V1498),D1498:V1498,0)))</f>
        <v/>
      </c>
      <c r="AB1498" s="8" t="n">
        <v>176</v>
      </c>
      <c r="AC1498" s="10" t="n">
        <v>1</v>
      </c>
    </row>
    <row r="1499">
      <c r="A1499" s="7" t="inlineStr">
        <is>
          <t>MAT-32-144</t>
        </is>
      </c>
      <c r="B1499" s="4" t="inlineStr">
        <is>
          <t>Anilla de cobre 0.19"</t>
        </is>
      </c>
      <c r="C1499" s="7" t="inlineStr">
        <is>
          <t>unidad</t>
        </is>
      </c>
      <c r="D1499" s="8" t="n"/>
      <c r="E1499" s="8" t="n"/>
      <c r="F1499" s="8" t="n"/>
      <c r="G1499" s="8" t="n">
        <v>31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>
        <f>IF(COUNT(D1499:V1499)=0,"",MIN(D1499:V1499))</f>
        <v/>
      </c>
      <c r="X1499" s="8">
        <f>IF(COUNT(D1499:V1499)=0,"",MEDIAN(D1499:V1499))</f>
        <v/>
      </c>
      <c r="Y1499" s="8">
        <f>IF(COUNT(D1499:V1499)=0,"",MAX(D1499:V1499))</f>
        <v/>
      </c>
      <c r="Z1499" s="9">
        <f>IF(OR(W1499="",W1499=0),"",(Y1499-W1499)/W1499)</f>
        <v/>
      </c>
      <c r="AA1499" s="7">
        <f>IF(COUNT(D1499:V1499)=0,"",INDEX($D$1:$V$1,MATCH(MIN(D1499:V1499),D1499:V1499,0)))</f>
        <v/>
      </c>
      <c r="AB1499" s="8" t="n">
        <v>31</v>
      </c>
      <c r="AC1499" s="10" t="n">
        <v>1</v>
      </c>
    </row>
    <row r="1500">
      <c r="A1500" s="7" t="inlineStr">
        <is>
          <t>MAT-32-145</t>
        </is>
      </c>
      <c r="B1500" s="4" t="inlineStr">
        <is>
          <t>Anilla de cobre 0.31"</t>
        </is>
      </c>
      <c r="C1500" s="7" t="inlineStr">
        <is>
          <t>unidad</t>
        </is>
      </c>
      <c r="D1500" s="8" t="n"/>
      <c r="E1500" s="8" t="n"/>
      <c r="F1500" s="8" t="n"/>
      <c r="G1500" s="8" t="n">
        <v>19</v>
      </c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>
        <f>IF(COUNT(D1500:V1500)=0,"",MIN(D1500:V1500))</f>
        <v/>
      </c>
      <c r="X1500" s="8">
        <f>IF(COUNT(D1500:V1500)=0,"",MEDIAN(D1500:V1500))</f>
        <v/>
      </c>
      <c r="Y1500" s="8">
        <f>IF(COUNT(D1500:V1500)=0,"",MAX(D1500:V1500))</f>
        <v/>
      </c>
      <c r="Z1500" s="9">
        <f>IF(OR(W1500="",W1500=0),"",(Y1500-W1500)/W1500)</f>
        <v/>
      </c>
      <c r="AA1500" s="7">
        <f>IF(COUNT(D1500:V1500)=0,"",INDEX($D$1:$V$1,MATCH(MIN(D1500:V1500),D1500:V1500,0)))</f>
        <v/>
      </c>
      <c r="AB1500" s="8" t="n">
        <v>19</v>
      </c>
      <c r="AC1500" s="10" t="n">
        <v>1</v>
      </c>
    </row>
    <row r="1501">
      <c r="A1501" s="7" t="inlineStr">
        <is>
          <t>MAT-32-146</t>
        </is>
      </c>
      <c r="B1501" s="4" t="inlineStr">
        <is>
          <t>Anilla de cobre 1/2"</t>
        </is>
      </c>
      <c r="C1501" s="7" t="inlineStr">
        <is>
          <t>unidad</t>
        </is>
      </c>
      <c r="D1501" s="8" t="n"/>
      <c r="E1501" s="8" t="n"/>
      <c r="F1501" s="8" t="n"/>
      <c r="G1501" s="8" t="n">
        <v>32</v>
      </c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>
        <f>IF(COUNT(D1501:V1501)=0,"",MIN(D1501:V1501))</f>
        <v/>
      </c>
      <c r="X1501" s="8">
        <f>IF(COUNT(D1501:V1501)=0,"",MEDIAN(D1501:V1501))</f>
        <v/>
      </c>
      <c r="Y1501" s="8">
        <f>IF(COUNT(D1501:V1501)=0,"",MAX(D1501:V1501))</f>
        <v/>
      </c>
      <c r="Z1501" s="9">
        <f>IF(OR(W1501="",W1501=0),"",(Y1501-W1501)/W1501)</f>
        <v/>
      </c>
      <c r="AA1501" s="7">
        <f>IF(COUNT(D1501:V1501)=0,"",INDEX($D$1:$V$1,MATCH(MIN(D1501:V1501),D1501:V1501,0)))</f>
        <v/>
      </c>
      <c r="AB1501" s="8" t="n">
        <v>32</v>
      </c>
      <c r="AC1501" s="10" t="n">
        <v>1</v>
      </c>
    </row>
    <row r="1502">
      <c r="A1502" s="7" t="inlineStr">
        <is>
          <t>MAT-32-147</t>
        </is>
      </c>
      <c r="B1502" s="4" t="inlineStr">
        <is>
          <t>Anilla de cobre 1/4"</t>
        </is>
      </c>
      <c r="C1502" s="7" t="inlineStr">
        <is>
          <t>unidad</t>
        </is>
      </c>
      <c r="D1502" s="8" t="n"/>
      <c r="E1502" s="8" t="n"/>
      <c r="F1502" s="8" t="n"/>
      <c r="G1502" s="8" t="n">
        <v>31</v>
      </c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>
        <f>IF(COUNT(D1502:V1502)=0,"",MIN(D1502:V1502))</f>
        <v/>
      </c>
      <c r="X1502" s="8">
        <f>IF(COUNT(D1502:V1502)=0,"",MEDIAN(D1502:V1502))</f>
        <v/>
      </c>
      <c r="Y1502" s="8">
        <f>IF(COUNT(D1502:V1502)=0,"",MAX(D1502:V1502))</f>
        <v/>
      </c>
      <c r="Z1502" s="9">
        <f>IF(OR(W1502="",W1502=0),"",(Y1502-W1502)/W1502)</f>
        <v/>
      </c>
      <c r="AA1502" s="7">
        <f>IF(COUNT(D1502:V1502)=0,"",INDEX($D$1:$V$1,MATCH(MIN(D1502:V1502),D1502:V1502,0)))</f>
        <v/>
      </c>
      <c r="AB1502" s="8" t="n">
        <v>31</v>
      </c>
      <c r="AC1502" s="10" t="n">
        <v>1</v>
      </c>
    </row>
    <row r="1503">
      <c r="A1503" s="7" t="inlineStr">
        <is>
          <t>MAT-32-148</t>
        </is>
      </c>
      <c r="B1503" s="4" t="inlineStr">
        <is>
          <t>Anilla de cobre 3/8"</t>
        </is>
      </c>
      <c r="C1503" s="7" t="inlineStr">
        <is>
          <t>unidad</t>
        </is>
      </c>
      <c r="D1503" s="8" t="n"/>
      <c r="E1503" s="8" t="n"/>
      <c r="F1503" s="8" t="n"/>
      <c r="G1503" s="8" t="n">
        <v>31</v>
      </c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>
        <f>IF(COUNT(D1503:V1503)=0,"",MIN(D1503:V1503))</f>
        <v/>
      </c>
      <c r="X1503" s="8">
        <f>IF(COUNT(D1503:V1503)=0,"",MEDIAN(D1503:V1503))</f>
        <v/>
      </c>
      <c r="Y1503" s="8">
        <f>IF(COUNT(D1503:V1503)=0,"",MAX(D1503:V1503))</f>
        <v/>
      </c>
      <c r="Z1503" s="9">
        <f>IF(OR(W1503="",W1503=0),"",(Y1503-W1503)/W1503)</f>
        <v/>
      </c>
      <c r="AA1503" s="7">
        <f>IF(COUNT(D1503:V1503)=0,"",INDEX($D$1:$V$1,MATCH(MIN(D1503:V1503),D1503:V1503,0)))</f>
        <v/>
      </c>
      <c r="AB1503" s="8" t="n">
        <v>31</v>
      </c>
      <c r="AC1503" s="10" t="n">
        <v>1</v>
      </c>
    </row>
    <row r="1504">
      <c r="A1504" s="7" t="inlineStr">
        <is>
          <t>MAT-32-149</t>
        </is>
      </c>
      <c r="B1504" s="4" t="inlineStr">
        <is>
          <t>Codo de 45° de CPVC 1/2"</t>
        </is>
      </c>
      <c r="C1504" s="7" t="inlineStr">
        <is>
          <t>unidad</t>
        </is>
      </c>
      <c r="D1504" s="8" t="n"/>
      <c r="E1504" s="8" t="n">
        <v>10.5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>
        <f>IF(COUNT(D1504:V1504)=0,"",MIN(D1504:V1504))</f>
        <v/>
      </c>
      <c r="X1504" s="8">
        <f>IF(COUNT(D1504:V1504)=0,"",MEDIAN(D1504:V1504))</f>
        <v/>
      </c>
      <c r="Y1504" s="8">
        <f>IF(COUNT(D1504:V1504)=0,"",MAX(D1504:V1504))</f>
        <v/>
      </c>
      <c r="Z1504" s="9">
        <f>IF(OR(W1504="",W1504=0),"",(Y1504-W1504)/W1504)</f>
        <v/>
      </c>
      <c r="AA1504" s="7">
        <f>IF(COUNT(D1504:V1504)=0,"",INDEX($D$1:$V$1,MATCH(MIN(D1504:V1504),D1504:V1504,0)))</f>
        <v/>
      </c>
      <c r="AB1504" s="8" t="n">
        <v>10.5</v>
      </c>
      <c r="AC1504" s="10" t="n">
        <v>1</v>
      </c>
    </row>
    <row r="1505">
      <c r="A1505" s="7" t="inlineStr">
        <is>
          <t>MAT-32-150</t>
        </is>
      </c>
      <c r="B1505" s="4" t="inlineStr">
        <is>
          <t>Codo de 45° de CPVC 1"</t>
        </is>
      </c>
      <c r="C1505" s="7" t="inlineStr">
        <is>
          <t>unidad</t>
        </is>
      </c>
      <c r="D1505" s="8" t="n"/>
      <c r="E1505" s="8" t="n">
        <v>33.39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>
        <f>IF(COUNT(D1505:V1505)=0,"",MIN(D1505:V1505))</f>
        <v/>
      </c>
      <c r="X1505" s="8">
        <f>IF(COUNT(D1505:V1505)=0,"",MEDIAN(D1505:V1505))</f>
        <v/>
      </c>
      <c r="Y1505" s="8">
        <f>IF(COUNT(D1505:V1505)=0,"",MAX(D1505:V1505))</f>
        <v/>
      </c>
      <c r="Z1505" s="9">
        <f>IF(OR(W1505="",W1505=0),"",(Y1505-W1505)/W1505)</f>
        <v/>
      </c>
      <c r="AA1505" s="7">
        <f>IF(COUNT(D1505:V1505)=0,"",INDEX($D$1:$V$1,MATCH(MIN(D1505:V1505),D1505:V1505,0)))</f>
        <v/>
      </c>
      <c r="AB1505" s="8" t="n">
        <v>33.39</v>
      </c>
      <c r="AC1505" s="10" t="n">
        <v>1</v>
      </c>
    </row>
    <row r="1506">
      <c r="A1506" s="7" t="inlineStr">
        <is>
          <t>MAT-32-151</t>
        </is>
      </c>
      <c r="B1506" s="4" t="inlineStr">
        <is>
          <t>Codo de 45° de CPVC 3/4"</t>
        </is>
      </c>
      <c r="C1506" s="7" t="inlineStr">
        <is>
          <t>unidad</t>
        </is>
      </c>
      <c r="D1506" s="8" t="n"/>
      <c r="E1506" s="8" t="n">
        <v>25.61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>
        <f>IF(COUNT(D1506:V1506)=0,"",MIN(D1506:V1506))</f>
        <v/>
      </c>
      <c r="X1506" s="8">
        <f>IF(COUNT(D1506:V1506)=0,"",MEDIAN(D1506:V1506))</f>
        <v/>
      </c>
      <c r="Y1506" s="8">
        <f>IF(COUNT(D1506:V1506)=0,"",MAX(D1506:V1506))</f>
        <v/>
      </c>
      <c r="Z1506" s="9">
        <f>IF(OR(W1506="",W1506=0),"",(Y1506-W1506)/W1506)</f>
        <v/>
      </c>
      <c r="AA1506" s="7">
        <f>IF(COUNT(D1506:V1506)=0,"",INDEX($D$1:$V$1,MATCH(MIN(D1506:V1506),D1506:V1506,0)))</f>
        <v/>
      </c>
      <c r="AB1506" s="8" t="n">
        <v>25.61</v>
      </c>
      <c r="AC1506" s="10" t="n">
        <v>1</v>
      </c>
    </row>
    <row r="1507">
      <c r="A1507" s="7" t="inlineStr">
        <is>
          <t>MAT-32-152</t>
        </is>
      </c>
      <c r="B1507" s="4" t="inlineStr">
        <is>
          <t>Codo de 45° de HG 1 1/2"</t>
        </is>
      </c>
      <c r="C1507" s="7" t="inlineStr">
        <is>
          <t>unidad</t>
        </is>
      </c>
      <c r="D1507" s="8" t="n"/>
      <c r="E1507" s="8" t="n">
        <v>120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>
        <f>IF(COUNT(D1507:V1507)=0,"",MIN(D1507:V1507))</f>
        <v/>
      </c>
      <c r="X1507" s="8">
        <f>IF(COUNT(D1507:V1507)=0,"",MEDIAN(D1507:V1507))</f>
        <v/>
      </c>
      <c r="Y1507" s="8">
        <f>IF(COUNT(D1507:V1507)=0,"",MAX(D1507:V1507))</f>
        <v/>
      </c>
      <c r="Z1507" s="9">
        <f>IF(OR(W1507="",W1507=0),"",(Y1507-W1507)/W1507)</f>
        <v/>
      </c>
      <c r="AA1507" s="7">
        <f>IF(COUNT(D1507:V1507)=0,"",INDEX($D$1:$V$1,MATCH(MIN(D1507:V1507),D1507:V1507,0)))</f>
        <v/>
      </c>
      <c r="AB1507" s="8" t="n">
        <v>120</v>
      </c>
      <c r="AC1507" s="10" t="n">
        <v>1</v>
      </c>
    </row>
    <row r="1508">
      <c r="A1508" s="7" t="inlineStr">
        <is>
          <t>MAT-32-153</t>
        </is>
      </c>
      <c r="B1508" s="4" t="inlineStr">
        <is>
          <t>Codo de 45° de HG 1/2"</t>
        </is>
      </c>
      <c r="C1508" s="7" t="inlineStr">
        <is>
          <t>unidad</t>
        </is>
      </c>
      <c r="D1508" s="8" t="n"/>
      <c r="E1508" s="8" t="n">
        <v>25.82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>
        <f>IF(COUNT(D1508:V1508)=0,"",MIN(D1508:V1508))</f>
        <v/>
      </c>
      <c r="X1508" s="8">
        <f>IF(COUNT(D1508:V1508)=0,"",MEDIAN(D1508:V1508))</f>
        <v/>
      </c>
      <c r="Y1508" s="8">
        <f>IF(COUNT(D1508:V1508)=0,"",MAX(D1508:V1508))</f>
        <v/>
      </c>
      <c r="Z1508" s="9">
        <f>IF(OR(W1508="",W1508=0),"",(Y1508-W1508)/W1508)</f>
        <v/>
      </c>
      <c r="AA1508" s="7">
        <f>IF(COUNT(D1508:V1508)=0,"",INDEX($D$1:$V$1,MATCH(MIN(D1508:V1508),D1508:V1508,0)))</f>
        <v/>
      </c>
      <c r="AB1508" s="8" t="n">
        <v>25.82</v>
      </c>
      <c r="AC1508" s="10" t="n">
        <v>1</v>
      </c>
    </row>
    <row r="1509">
      <c r="A1509" s="7" t="inlineStr">
        <is>
          <t>MAT-32-154</t>
        </is>
      </c>
      <c r="B1509" s="4" t="inlineStr">
        <is>
          <t>Codo de 45° de HG 1/4"</t>
        </is>
      </c>
      <c r="C1509" s="7" t="inlineStr">
        <is>
          <t>unidad</t>
        </is>
      </c>
      <c r="D1509" s="8" t="n"/>
      <c r="E1509" s="8" t="n">
        <v>35.9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>
        <f>IF(COUNT(D1509:V1509)=0,"",MIN(D1509:V1509))</f>
        <v/>
      </c>
      <c r="X1509" s="8">
        <f>IF(COUNT(D1509:V1509)=0,"",MEDIAN(D1509:V1509))</f>
        <v/>
      </c>
      <c r="Y1509" s="8">
        <f>IF(COUNT(D1509:V1509)=0,"",MAX(D1509:V1509))</f>
        <v/>
      </c>
      <c r="Z1509" s="9">
        <f>IF(OR(W1509="",W1509=0),"",(Y1509-W1509)/W1509)</f>
        <v/>
      </c>
      <c r="AA1509" s="7">
        <f>IF(COUNT(D1509:V1509)=0,"",INDEX($D$1:$V$1,MATCH(MIN(D1509:V1509),D1509:V1509,0)))</f>
        <v/>
      </c>
      <c r="AB1509" s="8" t="n">
        <v>35.9</v>
      </c>
      <c r="AC1509" s="10" t="n">
        <v>1</v>
      </c>
    </row>
    <row r="1510">
      <c r="A1510" s="7" t="inlineStr">
        <is>
          <t>MAT-32-155</t>
        </is>
      </c>
      <c r="B1510" s="4" t="inlineStr">
        <is>
          <t>Codo de 45° de HG 1"</t>
        </is>
      </c>
      <c r="C1510" s="7" t="inlineStr">
        <is>
          <t>unidad</t>
        </is>
      </c>
      <c r="D1510" s="8" t="n"/>
      <c r="E1510" s="8" t="n">
        <v>57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>
        <f>IF(COUNT(D1510:V1510)=0,"",MIN(D1510:V1510))</f>
        <v/>
      </c>
      <c r="X1510" s="8">
        <f>IF(COUNT(D1510:V1510)=0,"",MEDIAN(D1510:V1510))</f>
        <v/>
      </c>
      <c r="Y1510" s="8">
        <f>IF(COUNT(D1510:V1510)=0,"",MAX(D1510:V1510))</f>
        <v/>
      </c>
      <c r="Z1510" s="9">
        <f>IF(OR(W1510="",W1510=0),"",(Y1510-W1510)/W1510)</f>
        <v/>
      </c>
      <c r="AA1510" s="7">
        <f>IF(COUNT(D1510:V1510)=0,"",INDEX($D$1:$V$1,MATCH(MIN(D1510:V1510),D1510:V1510,0)))</f>
        <v/>
      </c>
      <c r="AB1510" s="8" t="n">
        <v>57</v>
      </c>
      <c r="AC1510" s="10" t="n">
        <v>1</v>
      </c>
    </row>
    <row r="1511">
      <c r="A1511" s="7" t="inlineStr">
        <is>
          <t>MAT-32-156</t>
        </is>
      </c>
      <c r="B1511" s="4" t="inlineStr">
        <is>
          <t>Codo de 45° de HG 2"</t>
        </is>
      </c>
      <c r="C1511" s="7" t="inlineStr">
        <is>
          <t>unidad</t>
        </is>
      </c>
      <c r="D1511" s="8" t="n"/>
      <c r="E1511" s="8" t="n">
        <v>181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>
        <f>IF(COUNT(D1511:V1511)=0,"",MIN(D1511:V1511))</f>
        <v/>
      </c>
      <c r="X1511" s="8">
        <f>IF(COUNT(D1511:V1511)=0,"",MEDIAN(D1511:V1511))</f>
        <v/>
      </c>
      <c r="Y1511" s="8">
        <f>IF(COUNT(D1511:V1511)=0,"",MAX(D1511:V1511))</f>
        <v/>
      </c>
      <c r="Z1511" s="9">
        <f>IF(OR(W1511="",W1511=0),"",(Y1511-W1511)/W1511)</f>
        <v/>
      </c>
      <c r="AA1511" s="7">
        <f>IF(COUNT(D1511:V1511)=0,"",INDEX($D$1:$V$1,MATCH(MIN(D1511:V1511),D1511:V1511,0)))</f>
        <v/>
      </c>
      <c r="AB1511" s="8" t="n">
        <v>181</v>
      </c>
      <c r="AC1511" s="10" t="n">
        <v>1</v>
      </c>
    </row>
    <row r="1512">
      <c r="A1512" s="7" t="inlineStr">
        <is>
          <t>MAT-32-157</t>
        </is>
      </c>
      <c r="B1512" s="4" t="inlineStr">
        <is>
          <t>Codo de 45° de HG 3/8"</t>
        </is>
      </c>
      <c r="C1512" s="7" t="inlineStr">
        <is>
          <t>unidad</t>
        </is>
      </c>
      <c r="D1512" s="8" t="n"/>
      <c r="E1512" s="8" t="n">
        <v>4.27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>
        <f>IF(COUNT(D1512:V1512)=0,"",MIN(D1512:V1512))</f>
        <v/>
      </c>
      <c r="X1512" s="8">
        <f>IF(COUNT(D1512:V1512)=0,"",MEDIAN(D1512:V1512))</f>
        <v/>
      </c>
      <c r="Y1512" s="8">
        <f>IF(COUNT(D1512:V1512)=0,"",MAX(D1512:V1512))</f>
        <v/>
      </c>
      <c r="Z1512" s="9">
        <f>IF(OR(W1512="",W1512=0),"",(Y1512-W1512)/W1512)</f>
        <v/>
      </c>
      <c r="AA1512" s="7">
        <f>IF(COUNT(D1512:V1512)=0,"",INDEX($D$1:$V$1,MATCH(MIN(D1512:V1512),D1512:V1512,0)))</f>
        <v/>
      </c>
      <c r="AB1512" s="8" t="n">
        <v>4.27</v>
      </c>
      <c r="AC1512" s="10" t="n">
        <v>1</v>
      </c>
    </row>
    <row r="1513">
      <c r="A1513" s="7" t="inlineStr">
        <is>
          <t>MAT-32-158</t>
        </is>
      </c>
      <c r="B1513" s="4" t="inlineStr">
        <is>
          <t>Codo de 45° de PPR 20 mm</t>
        </is>
      </c>
      <c r="C1513" s="7" t="inlineStr">
        <is>
          <t>unidad</t>
        </is>
      </c>
      <c r="D1513" s="8" t="n"/>
      <c r="E1513" s="8" t="n">
        <v>5.85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>
        <f>IF(COUNT(D1513:V1513)=0,"",MIN(D1513:V1513))</f>
        <v/>
      </c>
      <c r="X1513" s="8">
        <f>IF(COUNT(D1513:V1513)=0,"",MEDIAN(D1513:V1513))</f>
        <v/>
      </c>
      <c r="Y1513" s="8">
        <f>IF(COUNT(D1513:V1513)=0,"",MAX(D1513:V1513))</f>
        <v/>
      </c>
      <c r="Z1513" s="9">
        <f>IF(OR(W1513="",W1513=0),"",(Y1513-W1513)/W1513)</f>
        <v/>
      </c>
      <c r="AA1513" s="7">
        <f>IF(COUNT(D1513:V1513)=0,"",INDEX($D$1:$V$1,MATCH(MIN(D1513:V1513),D1513:V1513,0)))</f>
        <v/>
      </c>
      <c r="AB1513" s="8" t="n">
        <v>5.85</v>
      </c>
      <c r="AC1513" s="10" t="n">
        <v>1</v>
      </c>
    </row>
    <row r="1514">
      <c r="A1514" s="7" t="inlineStr">
        <is>
          <t>MAT-32-159</t>
        </is>
      </c>
      <c r="B1514" s="4" t="inlineStr">
        <is>
          <t>Codo de 45° de PPR 25 mm</t>
        </is>
      </c>
      <c r="C1514" s="7" t="inlineStr">
        <is>
          <t>unidad</t>
        </is>
      </c>
      <c r="D1514" s="8" t="n"/>
      <c r="E1514" s="8" t="n">
        <v>8.08</v>
      </c>
      <c r="F1514" s="8" t="n"/>
      <c r="G1514" s="8" t="n">
        <v>37</v>
      </c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>
        <f>IF(COUNT(D1514:V1514)=0,"",MIN(D1514:V1514))</f>
        <v/>
      </c>
      <c r="X1514" s="8">
        <f>IF(COUNT(D1514:V1514)=0,"",MEDIAN(D1514:V1514))</f>
        <v/>
      </c>
      <c r="Y1514" s="8">
        <f>IF(COUNT(D1514:V1514)=0,"",MAX(D1514:V1514))</f>
        <v/>
      </c>
      <c r="Z1514" s="9">
        <f>IF(OR(W1514="",W1514=0),"",(Y1514-W1514)/W1514)</f>
        <v/>
      </c>
      <c r="AA1514" s="7">
        <f>IF(COUNT(D1514:V1514)=0,"",INDEX($D$1:$V$1,MATCH(MIN(D1514:V1514),D1514:V1514,0)))</f>
        <v/>
      </c>
      <c r="AB1514" s="8" t="n">
        <v>22.54</v>
      </c>
      <c r="AC1514" s="10" t="n">
        <v>2</v>
      </c>
    </row>
    <row r="1515">
      <c r="A1515" s="7" t="inlineStr">
        <is>
          <t>MAT-32-160</t>
        </is>
      </c>
      <c r="B1515" s="4" t="inlineStr">
        <is>
          <t>Codo de 45° de PPR 32 mm</t>
        </is>
      </c>
      <c r="C1515" s="7" t="inlineStr">
        <is>
          <t>unidad</t>
        </is>
      </c>
      <c r="D1515" s="8" t="n"/>
      <c r="E1515" s="8" t="n">
        <v>14.42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>
        <f>IF(COUNT(D1515:V1515)=0,"",MIN(D1515:V1515))</f>
        <v/>
      </c>
      <c r="X1515" s="8">
        <f>IF(COUNT(D1515:V1515)=0,"",MEDIAN(D1515:V1515))</f>
        <v/>
      </c>
      <c r="Y1515" s="8">
        <f>IF(COUNT(D1515:V1515)=0,"",MAX(D1515:V1515))</f>
        <v/>
      </c>
      <c r="Z1515" s="9">
        <f>IF(OR(W1515="",W1515=0),"",(Y1515-W1515)/W1515)</f>
        <v/>
      </c>
      <c r="AA1515" s="7">
        <f>IF(COUNT(D1515:V1515)=0,"",INDEX($D$1:$V$1,MATCH(MIN(D1515:V1515),D1515:V1515,0)))</f>
        <v/>
      </c>
      <c r="AB1515" s="8" t="n">
        <v>14.42</v>
      </c>
      <c r="AC1515" s="10" t="n">
        <v>1</v>
      </c>
    </row>
    <row r="1516">
      <c r="A1516" s="7" t="inlineStr">
        <is>
          <t>MAT-32-161</t>
        </is>
      </c>
      <c r="B1516" s="4" t="inlineStr">
        <is>
          <t>Codo de 45° de PPR 50 mm</t>
        </is>
      </c>
      <c r="C1516" s="7" t="inlineStr">
        <is>
          <t>unidad</t>
        </is>
      </c>
      <c r="D1516" s="8" t="n"/>
      <c r="E1516" s="8" t="n">
        <v>46.63</v>
      </c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>
        <f>IF(COUNT(D1516:V1516)=0,"",MIN(D1516:V1516))</f>
        <v/>
      </c>
      <c r="X1516" s="8">
        <f>IF(COUNT(D1516:V1516)=0,"",MEDIAN(D1516:V1516))</f>
        <v/>
      </c>
      <c r="Y1516" s="8">
        <f>IF(COUNT(D1516:V1516)=0,"",MAX(D1516:V1516))</f>
        <v/>
      </c>
      <c r="Z1516" s="9">
        <f>IF(OR(W1516="",W1516=0),"",(Y1516-W1516)/W1516)</f>
        <v/>
      </c>
      <c r="AA1516" s="7">
        <f>IF(COUNT(D1516:V1516)=0,"",INDEX($D$1:$V$1,MATCH(MIN(D1516:V1516),D1516:V1516,0)))</f>
        <v/>
      </c>
      <c r="AB1516" s="8" t="n">
        <v>46.63</v>
      </c>
      <c r="AC1516" s="10" t="n">
        <v>1</v>
      </c>
    </row>
    <row r="1517">
      <c r="A1517" s="7" t="inlineStr">
        <is>
          <t>MAT-32-162</t>
        </is>
      </c>
      <c r="B1517" s="4" t="inlineStr">
        <is>
          <t>Codo de 45° de PVC drenaje 1 1/2"</t>
        </is>
      </c>
      <c r="C1517" s="7" t="inlineStr">
        <is>
          <t>unidad</t>
        </is>
      </c>
      <c r="D1517" s="8" t="n"/>
      <c r="E1517" s="8" t="n">
        <v>11</v>
      </c>
      <c r="F1517" s="8" t="n"/>
      <c r="G1517" s="8" t="n">
        <v>45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>
        <f>IF(COUNT(D1517:V1517)=0,"",MIN(D1517:V1517))</f>
        <v/>
      </c>
      <c r="X1517" s="8">
        <f>IF(COUNT(D1517:V1517)=0,"",MEDIAN(D1517:V1517))</f>
        <v/>
      </c>
      <c r="Y1517" s="8">
        <f>IF(COUNT(D1517:V1517)=0,"",MAX(D1517:V1517))</f>
        <v/>
      </c>
      <c r="Z1517" s="9">
        <f>IF(OR(W1517="",W1517=0),"",(Y1517-W1517)/W1517)</f>
        <v/>
      </c>
      <c r="AA1517" s="7">
        <f>IF(COUNT(D1517:V1517)=0,"",INDEX($D$1:$V$1,MATCH(MIN(D1517:V1517),D1517:V1517,0)))</f>
        <v/>
      </c>
      <c r="AB1517" s="8" t="n">
        <v>14.84</v>
      </c>
      <c r="AC1517" s="10" t="n">
        <v>2</v>
      </c>
    </row>
    <row r="1518">
      <c r="A1518" s="7" t="inlineStr">
        <is>
          <t>MAT-32-163</t>
        </is>
      </c>
      <c r="B1518" s="4" t="inlineStr">
        <is>
          <t>Codo de 45° de PVC drenaje 2"</t>
        </is>
      </c>
      <c r="C1518" s="7" t="inlineStr">
        <is>
          <t>unidad</t>
        </is>
      </c>
      <c r="D1518" s="8" t="n"/>
      <c r="E1518" s="8" t="n">
        <v>15.6</v>
      </c>
      <c r="F1518" s="8" t="n"/>
      <c r="G1518" s="8" t="n">
        <v>55</v>
      </c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>
        <f>IF(COUNT(D1518:V1518)=0,"",MIN(D1518:V1518))</f>
        <v/>
      </c>
      <c r="X1518" s="8">
        <f>IF(COUNT(D1518:V1518)=0,"",MEDIAN(D1518:V1518))</f>
        <v/>
      </c>
      <c r="Y1518" s="8">
        <f>IF(COUNT(D1518:V1518)=0,"",MAX(D1518:V1518))</f>
        <v/>
      </c>
      <c r="Z1518" s="9">
        <f>IF(OR(W1518="",W1518=0),"",(Y1518-W1518)/W1518)</f>
        <v/>
      </c>
      <c r="AA1518" s="7">
        <f>IF(COUNT(D1518:V1518)=0,"",INDEX($D$1:$V$1,MATCH(MIN(D1518:V1518),D1518:V1518,0)))</f>
        <v/>
      </c>
      <c r="AB1518" s="8" t="n">
        <v>20.33</v>
      </c>
      <c r="AC1518" s="10" t="n">
        <v>2</v>
      </c>
    </row>
    <row r="1519">
      <c r="A1519" s="7" t="inlineStr">
        <is>
          <t>MAT-32-164</t>
        </is>
      </c>
      <c r="B1519" s="4" t="inlineStr">
        <is>
          <t>Codo de 45° de PVC drenaje 3"</t>
        </is>
      </c>
      <c r="C1519" s="7" t="inlineStr">
        <is>
          <t>unidad</t>
        </is>
      </c>
      <c r="D1519" s="8" t="n"/>
      <c r="E1519" s="8" t="n">
        <v>41</v>
      </c>
      <c r="F1519" s="8" t="n"/>
      <c r="G1519" s="8" t="n">
        <v>85</v>
      </c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>
        <f>IF(COUNT(D1519:V1519)=0,"",MIN(D1519:V1519))</f>
        <v/>
      </c>
      <c r="X1519" s="8">
        <f>IF(COUNT(D1519:V1519)=0,"",MEDIAN(D1519:V1519))</f>
        <v/>
      </c>
      <c r="Y1519" s="8">
        <f>IF(COUNT(D1519:V1519)=0,"",MAX(D1519:V1519))</f>
        <v/>
      </c>
      <c r="Z1519" s="9">
        <f>IF(OR(W1519="",W1519=0),"",(Y1519-W1519)/W1519)</f>
        <v/>
      </c>
      <c r="AA1519" s="7">
        <f>IF(COUNT(D1519:V1519)=0,"",INDEX($D$1:$V$1,MATCH(MIN(D1519:V1519),D1519:V1519,0)))</f>
        <v/>
      </c>
      <c r="AB1519" s="8" t="n">
        <v>55.48</v>
      </c>
      <c r="AC1519" s="10" t="n">
        <v>2</v>
      </c>
    </row>
    <row r="1520">
      <c r="A1520" s="7" t="inlineStr">
        <is>
          <t>MAT-32-165</t>
        </is>
      </c>
      <c r="B1520" s="4" t="inlineStr">
        <is>
          <t>Codo de 45° de PVC drenaje 4"</t>
        </is>
      </c>
      <c r="C1520" s="7" t="inlineStr">
        <is>
          <t>unidad</t>
        </is>
      </c>
      <c r="D1520" s="8" t="n"/>
      <c r="E1520" s="8" t="n">
        <v>66</v>
      </c>
      <c r="F1520" s="8" t="n"/>
      <c r="G1520" s="8" t="n">
        <v>135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>
        <f>IF(COUNT(D1520:V1520)=0,"",MIN(D1520:V1520))</f>
        <v/>
      </c>
      <c r="X1520" s="8">
        <f>IF(COUNT(D1520:V1520)=0,"",MEDIAN(D1520:V1520))</f>
        <v/>
      </c>
      <c r="Y1520" s="8">
        <f>IF(COUNT(D1520:V1520)=0,"",MAX(D1520:V1520))</f>
        <v/>
      </c>
      <c r="Z1520" s="9">
        <f>IF(OR(W1520="",W1520=0),"",(Y1520-W1520)/W1520)</f>
        <v/>
      </c>
      <c r="AA1520" s="7">
        <f>IF(COUNT(D1520:V1520)=0,"",INDEX($D$1:$V$1,MATCH(MIN(D1520:V1520),D1520:V1520,0)))</f>
        <v/>
      </c>
      <c r="AB1520" s="8" t="n">
        <v>90.86</v>
      </c>
      <c r="AC1520" s="10" t="n">
        <v>2</v>
      </c>
    </row>
    <row r="1521">
      <c r="A1521" s="7" t="inlineStr">
        <is>
          <t>MAT-32-166</t>
        </is>
      </c>
      <c r="B1521" s="4" t="inlineStr">
        <is>
          <t>Codo de 45° de PVC drenaje 6"</t>
        </is>
      </c>
      <c r="C1521" s="7" t="inlineStr">
        <is>
          <t>unidad</t>
        </is>
      </c>
      <c r="D1521" s="8" t="n"/>
      <c r="E1521" s="8" t="n">
        <v>445</v>
      </c>
      <c r="F1521" s="8" t="n"/>
      <c r="G1521" s="8" t="n">
        <v>612</v>
      </c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>
        <f>IF(COUNT(D1521:V1521)=0,"",MIN(D1521:V1521))</f>
        <v/>
      </c>
      <c r="X1521" s="8">
        <f>IF(COUNT(D1521:V1521)=0,"",MEDIAN(D1521:V1521))</f>
        <v/>
      </c>
      <c r="Y1521" s="8">
        <f>IF(COUNT(D1521:V1521)=0,"",MAX(D1521:V1521))</f>
        <v/>
      </c>
      <c r="Z1521" s="9">
        <f>IF(OR(W1521="",W1521=0),"",(Y1521-W1521)/W1521)</f>
        <v/>
      </c>
      <c r="AA1521" s="7">
        <f>IF(COUNT(D1521:V1521)=0,"",INDEX($D$1:$V$1,MATCH(MIN(D1521:V1521),D1521:V1521,0)))</f>
        <v/>
      </c>
      <c r="AB1521" s="8" t="n">
        <v>528.5</v>
      </c>
      <c r="AC1521" s="10" t="n">
        <v>2</v>
      </c>
    </row>
    <row r="1522">
      <c r="A1522" s="7" t="inlineStr">
        <is>
          <t>MAT-32-167</t>
        </is>
      </c>
      <c r="B1522" s="4" t="inlineStr">
        <is>
          <t>Codo de 45° de PVC 1 1/2"</t>
        </is>
      </c>
      <c r="C1522" s="7" t="inlineStr">
        <is>
          <t>unidad</t>
        </is>
      </c>
      <c r="D1522" s="8" t="n"/>
      <c r="E1522" s="8" t="n">
        <v>101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>
        <f>IF(COUNT(D1522:V1522)=0,"",MIN(D1522:V1522))</f>
        <v/>
      </c>
      <c r="X1522" s="8">
        <f>IF(COUNT(D1522:V1522)=0,"",MEDIAN(D1522:V1522))</f>
        <v/>
      </c>
      <c r="Y1522" s="8">
        <f>IF(COUNT(D1522:V1522)=0,"",MAX(D1522:V1522))</f>
        <v/>
      </c>
      <c r="Z1522" s="9">
        <f>IF(OR(W1522="",W1522=0),"",(Y1522-W1522)/W1522)</f>
        <v/>
      </c>
      <c r="AA1522" s="7">
        <f>IF(COUNT(D1522:V1522)=0,"",INDEX($D$1:$V$1,MATCH(MIN(D1522:V1522),D1522:V1522,0)))</f>
        <v/>
      </c>
      <c r="AB1522" s="8" t="n">
        <v>101</v>
      </c>
      <c r="AC1522" s="10" t="n">
        <v>1</v>
      </c>
    </row>
    <row r="1523">
      <c r="A1523" s="7" t="inlineStr">
        <is>
          <t>MAT-32-168</t>
        </is>
      </c>
      <c r="B1523" s="4" t="inlineStr">
        <is>
          <t>Codo de 45° de PVC 1/2"</t>
        </is>
      </c>
      <c r="C1523" s="7" t="inlineStr">
        <is>
          <t>unidad</t>
        </is>
      </c>
      <c r="D1523" s="8" t="n"/>
      <c r="E1523" s="8" t="n">
        <v>12.69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>
        <f>IF(COUNT(D1523:V1523)=0,"",MIN(D1523:V1523))</f>
        <v/>
      </c>
      <c r="X1523" s="8">
        <f>IF(COUNT(D1523:V1523)=0,"",MEDIAN(D1523:V1523))</f>
        <v/>
      </c>
      <c r="Y1523" s="8">
        <f>IF(COUNT(D1523:V1523)=0,"",MAX(D1523:V1523))</f>
        <v/>
      </c>
      <c r="Z1523" s="9">
        <f>IF(OR(W1523="",W1523=0),"",(Y1523-W1523)/W1523)</f>
        <v/>
      </c>
      <c r="AA1523" s="7">
        <f>IF(COUNT(D1523:V1523)=0,"",INDEX($D$1:$V$1,MATCH(MIN(D1523:V1523),D1523:V1523,0)))</f>
        <v/>
      </c>
      <c r="AB1523" s="8" t="n">
        <v>12.69</v>
      </c>
      <c r="AC1523" s="10" t="n">
        <v>1</v>
      </c>
    </row>
    <row r="1524">
      <c r="A1524" s="7" t="inlineStr">
        <is>
          <t>MAT-32-169</t>
        </is>
      </c>
      <c r="B1524" s="4" t="inlineStr">
        <is>
          <t>Codo de 45° de PVC 1"</t>
        </is>
      </c>
      <c r="C1524" s="7" t="inlineStr">
        <is>
          <t>unidad</t>
        </is>
      </c>
      <c r="D1524" s="8" t="n"/>
      <c r="E1524" s="8" t="n">
        <v>33.87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>
        <f>IF(COUNT(D1524:V1524)=0,"",MIN(D1524:V1524))</f>
        <v/>
      </c>
      <c r="X1524" s="8">
        <f>IF(COUNT(D1524:V1524)=0,"",MEDIAN(D1524:V1524))</f>
        <v/>
      </c>
      <c r="Y1524" s="8">
        <f>IF(COUNT(D1524:V1524)=0,"",MAX(D1524:V1524))</f>
        <v/>
      </c>
      <c r="Z1524" s="9">
        <f>IF(OR(W1524="",W1524=0),"",(Y1524-W1524)/W1524)</f>
        <v/>
      </c>
      <c r="AA1524" s="7">
        <f>IF(COUNT(D1524:V1524)=0,"",INDEX($D$1:$V$1,MATCH(MIN(D1524:V1524),D1524:V1524,0)))</f>
        <v/>
      </c>
      <c r="AB1524" s="8" t="n">
        <v>33.87</v>
      </c>
      <c r="AC1524" s="10" t="n">
        <v>1</v>
      </c>
    </row>
    <row r="1525">
      <c r="A1525" s="7" t="inlineStr">
        <is>
          <t>MAT-32-170</t>
        </is>
      </c>
      <c r="B1525" s="4" t="inlineStr">
        <is>
          <t>Codo de 45° de PVC 2"</t>
        </is>
      </c>
      <c r="C1525" s="7" t="inlineStr">
        <is>
          <t>unidad</t>
        </is>
      </c>
      <c r="D1525" s="8" t="n"/>
      <c r="E1525" s="8" t="n">
        <v>85.05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>
        <f>IF(COUNT(D1525:V1525)=0,"",MIN(D1525:V1525))</f>
        <v/>
      </c>
      <c r="X1525" s="8">
        <f>IF(COUNT(D1525:V1525)=0,"",MEDIAN(D1525:V1525))</f>
        <v/>
      </c>
      <c r="Y1525" s="8">
        <f>IF(COUNT(D1525:V1525)=0,"",MAX(D1525:V1525))</f>
        <v/>
      </c>
      <c r="Z1525" s="9">
        <f>IF(OR(W1525="",W1525=0),"",(Y1525-W1525)/W1525)</f>
        <v/>
      </c>
      <c r="AA1525" s="7">
        <f>IF(COUNT(D1525:V1525)=0,"",INDEX($D$1:$V$1,MATCH(MIN(D1525:V1525),D1525:V1525,0)))</f>
        <v/>
      </c>
      <c r="AB1525" s="8" t="n">
        <v>85.05</v>
      </c>
      <c r="AC1525" s="10" t="n">
        <v>1</v>
      </c>
    </row>
    <row r="1526">
      <c r="A1526" s="7" t="inlineStr">
        <is>
          <t>MAT-32-171</t>
        </is>
      </c>
      <c r="B1526" s="4" t="inlineStr">
        <is>
          <t>Codo de 45° de PVC 3/4"</t>
        </is>
      </c>
      <c r="C1526" s="7" t="inlineStr">
        <is>
          <t>unidad</t>
        </is>
      </c>
      <c r="D1526" s="8" t="n"/>
      <c r="E1526" s="8" t="n">
        <v>20.29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>
        <f>IF(COUNT(D1526:V1526)=0,"",MIN(D1526:V1526))</f>
        <v/>
      </c>
      <c r="X1526" s="8">
        <f>IF(COUNT(D1526:V1526)=0,"",MEDIAN(D1526:V1526))</f>
        <v/>
      </c>
      <c r="Y1526" s="8">
        <f>IF(COUNT(D1526:V1526)=0,"",MAX(D1526:V1526))</f>
        <v/>
      </c>
      <c r="Z1526" s="9">
        <f>IF(OR(W1526="",W1526=0),"",(Y1526-W1526)/W1526)</f>
        <v/>
      </c>
      <c r="AA1526" s="7">
        <f>IF(COUNT(D1526:V1526)=0,"",INDEX($D$1:$V$1,MATCH(MIN(D1526:V1526),D1526:V1526,0)))</f>
        <v/>
      </c>
      <c r="AB1526" s="8" t="n">
        <v>20.29</v>
      </c>
      <c r="AC1526" s="10" t="n">
        <v>1</v>
      </c>
    </row>
    <row r="1527">
      <c r="A1527" s="7" t="inlineStr">
        <is>
          <t>MAT-32-172</t>
        </is>
      </c>
      <c r="B1527" s="4" t="inlineStr">
        <is>
          <t>Codo de 45° de PVC presión 1 1/2"</t>
        </is>
      </c>
      <c r="C1527" s="7" t="inlineStr">
        <is>
          <t>unidad</t>
        </is>
      </c>
      <c r="D1527" s="8" t="n"/>
      <c r="E1527" s="8" t="n">
        <v>29.55</v>
      </c>
      <c r="F1527" s="8" t="n"/>
      <c r="G1527" s="8" t="n">
        <v>65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>
        <f>IF(COUNT(D1527:V1527)=0,"",MIN(D1527:V1527))</f>
        <v/>
      </c>
      <c r="X1527" s="8">
        <f>IF(COUNT(D1527:V1527)=0,"",MEDIAN(D1527:V1527))</f>
        <v/>
      </c>
      <c r="Y1527" s="8">
        <f>IF(COUNT(D1527:V1527)=0,"",MAX(D1527:V1527))</f>
        <v/>
      </c>
      <c r="Z1527" s="9">
        <f>IF(OR(W1527="",W1527=0),"",(Y1527-W1527)/W1527)</f>
        <v/>
      </c>
      <c r="AA1527" s="7">
        <f>IF(COUNT(D1527:V1527)=0,"",INDEX($D$1:$V$1,MATCH(MIN(D1527:V1527),D1527:V1527,0)))</f>
        <v/>
      </c>
      <c r="AB1527" s="8" t="n">
        <v>47.28</v>
      </c>
      <c r="AC1527" s="10" t="n">
        <v>2</v>
      </c>
    </row>
    <row r="1528">
      <c r="A1528" s="7" t="inlineStr">
        <is>
          <t>MAT-32-173</t>
        </is>
      </c>
      <c r="B1528" s="4" t="inlineStr">
        <is>
          <t>Codo de 45° de PVC presión 1/2"</t>
        </is>
      </c>
      <c r="C1528" s="7" t="inlineStr">
        <is>
          <t>unidad</t>
        </is>
      </c>
      <c r="D1528" s="8" t="n"/>
      <c r="E1528" s="8" t="n">
        <v>4.75</v>
      </c>
      <c r="F1528" s="8" t="n"/>
      <c r="G1528" s="8" t="n">
        <v>35</v>
      </c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>
        <f>IF(COUNT(D1528:V1528)=0,"",MIN(D1528:V1528))</f>
        <v/>
      </c>
      <c r="X1528" s="8">
        <f>IF(COUNT(D1528:V1528)=0,"",MEDIAN(D1528:V1528))</f>
        <v/>
      </c>
      <c r="Y1528" s="8">
        <f>IF(COUNT(D1528:V1528)=0,"",MAX(D1528:V1528))</f>
        <v/>
      </c>
      <c r="Z1528" s="9">
        <f>IF(OR(W1528="",W1528=0),"",(Y1528-W1528)/W1528)</f>
        <v/>
      </c>
      <c r="AA1528" s="7">
        <f>IF(COUNT(D1528:V1528)=0,"",INDEX($D$1:$V$1,MATCH(MIN(D1528:V1528),D1528:V1528,0)))</f>
        <v/>
      </c>
      <c r="AB1528" s="8" t="n">
        <v>7.08</v>
      </c>
      <c r="AC1528" s="10" t="n">
        <v>2</v>
      </c>
    </row>
    <row r="1529">
      <c r="A1529" s="7" t="inlineStr">
        <is>
          <t>MAT-32-174</t>
        </is>
      </c>
      <c r="B1529" s="4" t="inlineStr">
        <is>
          <t>Codo de 45° de PVC presión 1"</t>
        </is>
      </c>
      <c r="C1529" s="7" t="inlineStr">
        <is>
          <t>unidad</t>
        </is>
      </c>
      <c r="D1529" s="8" t="n"/>
      <c r="E1529" s="8" t="n">
        <v>14.1</v>
      </c>
      <c r="F1529" s="8" t="n"/>
      <c r="G1529" s="8" t="n">
        <v>90</v>
      </c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>
        <f>IF(COUNT(D1529:V1529)=0,"",MIN(D1529:V1529))</f>
        <v/>
      </c>
      <c r="X1529" s="8">
        <f>IF(COUNT(D1529:V1529)=0,"",MEDIAN(D1529:V1529))</f>
        <v/>
      </c>
      <c r="Y1529" s="8">
        <f>IF(COUNT(D1529:V1529)=0,"",MAX(D1529:V1529))</f>
        <v/>
      </c>
      <c r="Z1529" s="9">
        <f>IF(OR(W1529="",W1529=0),"",(Y1529-W1529)/W1529)</f>
        <v/>
      </c>
      <c r="AA1529" s="7">
        <f>IF(COUNT(D1529:V1529)=0,"",INDEX($D$1:$V$1,MATCH(MIN(D1529:V1529),D1529:V1529,0)))</f>
        <v/>
      </c>
      <c r="AB1529" s="8" t="n">
        <v>22.03</v>
      </c>
      <c r="AC1529" s="10" t="n">
        <v>2</v>
      </c>
    </row>
    <row r="1530">
      <c r="A1530" s="7" t="inlineStr">
        <is>
          <t>MAT-32-175</t>
        </is>
      </c>
      <c r="B1530" s="4" t="inlineStr">
        <is>
          <t>Codo de 45° de PVC presión 2"</t>
        </is>
      </c>
      <c r="C1530" s="7" t="inlineStr">
        <is>
          <t>unidad</t>
        </is>
      </c>
      <c r="D1530" s="8" t="n"/>
      <c r="E1530" s="8" t="n">
        <v>33.12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>
        <f>IF(COUNT(D1530:V1530)=0,"",MIN(D1530:V1530))</f>
        <v/>
      </c>
      <c r="X1530" s="8">
        <f>IF(COUNT(D1530:V1530)=0,"",MEDIAN(D1530:V1530))</f>
        <v/>
      </c>
      <c r="Y1530" s="8">
        <f>IF(COUNT(D1530:V1530)=0,"",MAX(D1530:V1530))</f>
        <v/>
      </c>
      <c r="Z1530" s="9">
        <f>IF(OR(W1530="",W1530=0),"",(Y1530-W1530)/W1530)</f>
        <v/>
      </c>
      <c r="AA1530" s="7">
        <f>IF(COUNT(D1530:V1530)=0,"",INDEX($D$1:$V$1,MATCH(MIN(D1530:V1530),D1530:V1530,0)))</f>
        <v/>
      </c>
      <c r="AB1530" s="8" t="n">
        <v>40.63</v>
      </c>
      <c r="AC1530" s="10" t="n">
        <v>1</v>
      </c>
    </row>
    <row r="1531">
      <c r="A1531" s="7" t="inlineStr">
        <is>
          <t>MAT-32-176</t>
        </is>
      </c>
      <c r="B1531" s="4" t="inlineStr">
        <is>
          <t>Codo de 45° de PVC presión 3/4"</t>
        </is>
      </c>
      <c r="C1531" s="7" t="inlineStr">
        <is>
          <t>unidad</t>
        </is>
      </c>
      <c r="D1531" s="8" t="n"/>
      <c r="E1531" s="8" t="n">
        <v>9.050000000000001</v>
      </c>
      <c r="F1531" s="8" t="n"/>
      <c r="G1531" s="8" t="n">
        <v>25</v>
      </c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>
        <f>IF(COUNT(D1531:V1531)=0,"",MIN(D1531:V1531))</f>
        <v/>
      </c>
      <c r="X1531" s="8">
        <f>IF(COUNT(D1531:V1531)=0,"",MEDIAN(D1531:V1531))</f>
        <v/>
      </c>
      <c r="Y1531" s="8">
        <f>IF(COUNT(D1531:V1531)=0,"",MAX(D1531:V1531))</f>
        <v/>
      </c>
      <c r="Z1531" s="9">
        <f>IF(OR(W1531="",W1531=0),"",(Y1531-W1531)/W1531)</f>
        <v/>
      </c>
      <c r="AA1531" s="7">
        <f>IF(COUNT(D1531:V1531)=0,"",INDEX($D$1:$V$1,MATCH(MIN(D1531:V1531),D1531:V1531,0)))</f>
        <v/>
      </c>
      <c r="AB1531" s="8" t="n">
        <v>12.38</v>
      </c>
      <c r="AC1531" s="10" t="n">
        <v>2</v>
      </c>
    </row>
    <row r="1532">
      <c r="A1532" s="7" t="inlineStr">
        <is>
          <t>MAT-32-177</t>
        </is>
      </c>
      <c r="B1532" s="4" t="inlineStr">
        <is>
          <t>Codo de 45° de PVC presión 3"</t>
        </is>
      </c>
      <c r="C1532" s="7" t="inlineStr">
        <is>
          <t>unidad</t>
        </is>
      </c>
      <c r="D1532" s="8" t="n"/>
      <c r="E1532" s="8" t="n">
        <v>142.32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>
        <f>IF(COUNT(D1532:V1532)=0,"",MIN(D1532:V1532))</f>
        <v/>
      </c>
      <c r="X1532" s="8">
        <f>IF(COUNT(D1532:V1532)=0,"",MEDIAN(D1532:V1532))</f>
        <v/>
      </c>
      <c r="Y1532" s="8">
        <f>IF(COUNT(D1532:V1532)=0,"",MAX(D1532:V1532))</f>
        <v/>
      </c>
      <c r="Z1532" s="9">
        <f>IF(OR(W1532="",W1532=0),"",(Y1532-W1532)/W1532)</f>
        <v/>
      </c>
      <c r="AA1532" s="7">
        <f>IF(COUNT(D1532:V1532)=0,"",INDEX($D$1:$V$1,MATCH(MIN(D1532:V1532),D1532:V1532,0)))</f>
        <v/>
      </c>
      <c r="AB1532" s="8" t="n">
        <v>142.32</v>
      </c>
      <c r="AC1532" s="10" t="n">
        <v>1</v>
      </c>
    </row>
    <row r="1533">
      <c r="A1533" s="7" t="inlineStr">
        <is>
          <t>MAT-32-178</t>
        </is>
      </c>
      <c r="B1533" s="4" t="inlineStr">
        <is>
          <t>Codo de 45° de PVC presión 4"</t>
        </is>
      </c>
      <c r="C1533" s="7" t="inlineStr">
        <is>
          <t>unidad</t>
        </is>
      </c>
      <c r="D1533" s="8" t="n"/>
      <c r="E1533" s="8" t="n">
        <v>273.86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>
        <f>IF(COUNT(D1533:V1533)=0,"",MIN(D1533:V1533))</f>
        <v/>
      </c>
      <c r="X1533" s="8">
        <f>IF(COUNT(D1533:V1533)=0,"",MEDIAN(D1533:V1533))</f>
        <v/>
      </c>
      <c r="Y1533" s="8">
        <f>IF(COUNT(D1533:V1533)=0,"",MAX(D1533:V1533))</f>
        <v/>
      </c>
      <c r="Z1533" s="9">
        <f>IF(OR(W1533="",W1533=0),"",(Y1533-W1533)/W1533)</f>
        <v/>
      </c>
      <c r="AA1533" s="7">
        <f>IF(COUNT(D1533:V1533)=0,"",INDEX($D$1:$V$1,MATCH(MIN(D1533:V1533),D1533:V1533,0)))</f>
        <v/>
      </c>
      <c r="AB1533" s="8" t="n">
        <v>273.86</v>
      </c>
      <c r="AC1533" s="10" t="n">
        <v>1</v>
      </c>
    </row>
    <row r="1534">
      <c r="A1534" s="7" t="inlineStr">
        <is>
          <t>MAT-32-179</t>
        </is>
      </c>
      <c r="B1534" s="4" t="inlineStr">
        <is>
          <t>Codo de 45° de PVC presión 6"</t>
        </is>
      </c>
      <c r="C1534" s="7" t="inlineStr">
        <is>
          <t>unidad</t>
        </is>
      </c>
      <c r="D1534" s="8" t="n"/>
      <c r="E1534" s="8" t="n">
        <v>576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>
        <f>IF(COUNT(D1534:V1534)=0,"",MIN(D1534:V1534))</f>
        <v/>
      </c>
      <c r="X1534" s="8">
        <f>IF(COUNT(D1534:V1534)=0,"",MEDIAN(D1534:V1534))</f>
        <v/>
      </c>
      <c r="Y1534" s="8">
        <f>IF(COUNT(D1534:V1534)=0,"",MAX(D1534:V1534))</f>
        <v/>
      </c>
      <c r="Z1534" s="9">
        <f>IF(OR(W1534="",W1534=0),"",(Y1534-W1534)/W1534)</f>
        <v/>
      </c>
      <c r="AA1534" s="7">
        <f>IF(COUNT(D1534:V1534)=0,"",INDEX($D$1:$V$1,MATCH(MIN(D1534:V1534),D1534:V1534,0)))</f>
        <v/>
      </c>
      <c r="AB1534" s="8" t="n">
        <v>745.5</v>
      </c>
      <c r="AC1534" s="10" t="n">
        <v>1</v>
      </c>
    </row>
    <row r="1535">
      <c r="A1535" s="7" t="inlineStr">
        <is>
          <t>MAT-32-180</t>
        </is>
      </c>
      <c r="B1535" s="4" t="inlineStr">
        <is>
          <t>Codo de 45° de PVC presión 8"</t>
        </is>
      </c>
      <c r="C1535" s="7" t="inlineStr">
        <is>
          <t>unidad</t>
        </is>
      </c>
      <c r="D1535" s="8" t="n"/>
      <c r="E1535" s="8" t="n">
        <v>4409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>
        <f>IF(COUNT(D1535:V1535)=0,"",MIN(D1535:V1535))</f>
        <v/>
      </c>
      <c r="X1535" s="8">
        <f>IF(COUNT(D1535:V1535)=0,"",MEDIAN(D1535:V1535))</f>
        <v/>
      </c>
      <c r="Y1535" s="8">
        <f>IF(COUNT(D1535:V1535)=0,"",MAX(D1535:V1535))</f>
        <v/>
      </c>
      <c r="Z1535" s="9">
        <f>IF(OR(W1535="",W1535=0),"",(Y1535-W1535)/W1535)</f>
        <v/>
      </c>
      <c r="AA1535" s="7">
        <f>IF(COUNT(D1535:V1535)=0,"",INDEX($D$1:$V$1,MATCH(MIN(D1535:V1535),D1535:V1535,0)))</f>
        <v/>
      </c>
      <c r="AB1535" s="8" t="n">
        <v>4409</v>
      </c>
      <c r="AC1535" s="10" t="n">
        <v>1</v>
      </c>
    </row>
    <row r="1536">
      <c r="A1536" s="7" t="inlineStr">
        <is>
          <t>MAT-32-181</t>
        </is>
      </c>
      <c r="B1536" s="4" t="inlineStr">
        <is>
          <t>Codo de 90° de cobre 1 1/8"</t>
        </is>
      </c>
      <c r="C1536" s="7" t="inlineStr">
        <is>
          <t>unidad</t>
        </is>
      </c>
      <c r="D1536" s="8" t="n"/>
      <c r="E1536" s="8" t="n">
        <v>380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>
        <f>IF(COUNT(D1536:V1536)=0,"",MIN(D1536:V1536))</f>
        <v/>
      </c>
      <c r="X1536" s="8">
        <f>IF(COUNT(D1536:V1536)=0,"",MEDIAN(D1536:V1536))</f>
        <v/>
      </c>
      <c r="Y1536" s="8">
        <f>IF(COUNT(D1536:V1536)=0,"",MAX(D1536:V1536))</f>
        <v/>
      </c>
      <c r="Z1536" s="9">
        <f>IF(OR(W1536="",W1536=0),"",(Y1536-W1536)/W1536)</f>
        <v/>
      </c>
      <c r="AA1536" s="7">
        <f>IF(COUNT(D1536:V1536)=0,"",INDEX($D$1:$V$1,MATCH(MIN(D1536:V1536),D1536:V1536,0)))</f>
        <v/>
      </c>
      <c r="AB1536" s="8" t="n">
        <v>380</v>
      </c>
      <c r="AC1536" s="10" t="n">
        <v>1</v>
      </c>
    </row>
    <row r="1537">
      <c r="A1537" s="7" t="inlineStr">
        <is>
          <t>MAT-32-182</t>
        </is>
      </c>
      <c r="B1537" s="4" t="inlineStr">
        <is>
          <t>Codo de 90° de cobre 1/2"</t>
        </is>
      </c>
      <c r="C1537" s="7" t="inlineStr">
        <is>
          <t>unidad</t>
        </is>
      </c>
      <c r="D1537" s="8" t="n"/>
      <c r="E1537" s="8" t="n">
        <v>49.82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>
        <f>IF(COUNT(D1537:V1537)=0,"",MIN(D1537:V1537))</f>
        <v/>
      </c>
      <c r="X1537" s="8">
        <f>IF(COUNT(D1537:V1537)=0,"",MEDIAN(D1537:V1537))</f>
        <v/>
      </c>
      <c r="Y1537" s="8">
        <f>IF(COUNT(D1537:V1537)=0,"",MAX(D1537:V1537))</f>
        <v/>
      </c>
      <c r="Z1537" s="9">
        <f>IF(OR(W1537="",W1537=0),"",(Y1537-W1537)/W1537)</f>
        <v/>
      </c>
      <c r="AA1537" s="7">
        <f>IF(COUNT(D1537:V1537)=0,"",INDEX($D$1:$V$1,MATCH(MIN(D1537:V1537),D1537:V1537,0)))</f>
        <v/>
      </c>
      <c r="AB1537" s="8" t="n">
        <v>49.82</v>
      </c>
      <c r="AC1537" s="10" t="n">
        <v>1</v>
      </c>
    </row>
    <row r="1538">
      <c r="A1538" s="7" t="inlineStr">
        <is>
          <t>MAT-32-183</t>
        </is>
      </c>
      <c r="B1538" s="4" t="inlineStr">
        <is>
          <t>Codo de 90° de cobre 3/4"</t>
        </is>
      </c>
      <c r="C1538" s="7" t="inlineStr">
        <is>
          <t>unidad</t>
        </is>
      </c>
      <c r="D1538" s="8" t="n"/>
      <c r="E1538" s="8" t="n">
        <v>107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>
        <f>IF(COUNT(D1538:V1538)=0,"",MIN(D1538:V1538))</f>
        <v/>
      </c>
      <c r="X1538" s="8">
        <f>IF(COUNT(D1538:V1538)=0,"",MEDIAN(D1538:V1538))</f>
        <v/>
      </c>
      <c r="Y1538" s="8">
        <f>IF(COUNT(D1538:V1538)=0,"",MAX(D1538:V1538))</f>
        <v/>
      </c>
      <c r="Z1538" s="9">
        <f>IF(OR(W1538="",W1538=0),"",(Y1538-W1538)/W1538)</f>
        <v/>
      </c>
      <c r="AA1538" s="7">
        <f>IF(COUNT(D1538:V1538)=0,"",INDEX($D$1:$V$1,MATCH(MIN(D1538:V1538),D1538:V1538,0)))</f>
        <v/>
      </c>
      <c r="AB1538" s="8" t="n">
        <v>107</v>
      </c>
      <c r="AC1538" s="10" t="n">
        <v>1</v>
      </c>
    </row>
    <row r="1539">
      <c r="A1539" s="7" t="inlineStr">
        <is>
          <t>MAT-32-184</t>
        </is>
      </c>
      <c r="B1539" s="4" t="inlineStr">
        <is>
          <t>Codo de 90° de cobre 3/8"</t>
        </is>
      </c>
      <c r="C1539" s="7" t="inlineStr">
        <is>
          <t>unidad</t>
        </is>
      </c>
      <c r="D1539" s="8" t="n"/>
      <c r="E1539" s="8" t="n">
        <v>46.98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>
        <f>IF(COUNT(D1539:V1539)=0,"",MIN(D1539:V1539))</f>
        <v/>
      </c>
      <c r="X1539" s="8">
        <f>IF(COUNT(D1539:V1539)=0,"",MEDIAN(D1539:V1539))</f>
        <v/>
      </c>
      <c r="Y1539" s="8">
        <f>IF(COUNT(D1539:V1539)=0,"",MAX(D1539:V1539))</f>
        <v/>
      </c>
      <c r="Z1539" s="9">
        <f>IF(OR(W1539="",W1539=0),"",(Y1539-W1539)/W1539)</f>
        <v/>
      </c>
      <c r="AA1539" s="7">
        <f>IF(COUNT(D1539:V1539)=0,"",INDEX($D$1:$V$1,MATCH(MIN(D1539:V1539),D1539:V1539,0)))</f>
        <v/>
      </c>
      <c r="AB1539" s="8" t="n">
        <v>46.98</v>
      </c>
      <c r="AC1539" s="10" t="n">
        <v>1</v>
      </c>
    </row>
    <row r="1540">
      <c r="A1540" s="7" t="inlineStr">
        <is>
          <t>MAT-32-185</t>
        </is>
      </c>
      <c r="B1540" s="4" t="inlineStr">
        <is>
          <t>Codo de 90° de cobre 5/8"</t>
        </is>
      </c>
      <c r="C1540" s="7" t="inlineStr">
        <is>
          <t>unidad</t>
        </is>
      </c>
      <c r="D1540" s="8" t="n"/>
      <c r="E1540" s="8" t="n">
        <v>80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>
        <f>IF(COUNT(D1540:V1540)=0,"",MIN(D1540:V1540))</f>
        <v/>
      </c>
      <c r="X1540" s="8">
        <f>IF(COUNT(D1540:V1540)=0,"",MEDIAN(D1540:V1540))</f>
        <v/>
      </c>
      <c r="Y1540" s="8">
        <f>IF(COUNT(D1540:V1540)=0,"",MAX(D1540:V1540))</f>
        <v/>
      </c>
      <c r="Z1540" s="9">
        <f>IF(OR(W1540="",W1540=0),"",(Y1540-W1540)/W1540)</f>
        <v/>
      </c>
      <c r="AA1540" s="7">
        <f>IF(COUNT(D1540:V1540)=0,"",INDEX($D$1:$V$1,MATCH(MIN(D1540:V1540),D1540:V1540,0)))</f>
        <v/>
      </c>
      <c r="AB1540" s="8" t="n">
        <v>80</v>
      </c>
      <c r="AC1540" s="10" t="n">
        <v>1</v>
      </c>
    </row>
    <row r="1541">
      <c r="A1541" s="7" t="inlineStr">
        <is>
          <t>MAT-32-186</t>
        </is>
      </c>
      <c r="B1541" s="4" t="inlineStr">
        <is>
          <t>Codo de 90° de cobre 7/8"</t>
        </is>
      </c>
      <c r="C1541" s="7" t="inlineStr">
        <is>
          <t>unidad</t>
        </is>
      </c>
      <c r="D1541" s="8" t="n"/>
      <c r="E1541" s="8" t="n">
        <v>159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>
        <f>IF(COUNT(D1541:V1541)=0,"",MIN(D1541:V1541))</f>
        <v/>
      </c>
      <c r="X1541" s="8">
        <f>IF(COUNT(D1541:V1541)=0,"",MEDIAN(D1541:V1541))</f>
        <v/>
      </c>
      <c r="Y1541" s="8">
        <f>IF(COUNT(D1541:V1541)=0,"",MAX(D1541:V1541))</f>
        <v/>
      </c>
      <c r="Z1541" s="9">
        <f>IF(OR(W1541="",W1541=0),"",(Y1541-W1541)/W1541)</f>
        <v/>
      </c>
      <c r="AA1541" s="7">
        <f>IF(COUNT(D1541:V1541)=0,"",INDEX($D$1:$V$1,MATCH(MIN(D1541:V1541),D1541:V1541,0)))</f>
        <v/>
      </c>
      <c r="AB1541" s="8" t="n">
        <v>159</v>
      </c>
      <c r="AC1541" s="10" t="n">
        <v>1</v>
      </c>
    </row>
    <row r="1542">
      <c r="A1542" s="7" t="inlineStr">
        <is>
          <t>MAT-32-187</t>
        </is>
      </c>
      <c r="B1542" s="4" t="inlineStr">
        <is>
          <t>Codo de 90° de CPVC 1/2"</t>
        </is>
      </c>
      <c r="C1542" s="7" t="inlineStr">
        <is>
          <t>unidad</t>
        </is>
      </c>
      <c r="D1542" s="8" t="n"/>
      <c r="E1542" s="8" t="n">
        <v>10.61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>
        <f>IF(COUNT(D1542:V1542)=0,"",MIN(D1542:V1542))</f>
        <v/>
      </c>
      <c r="X1542" s="8">
        <f>IF(COUNT(D1542:V1542)=0,"",MEDIAN(D1542:V1542))</f>
        <v/>
      </c>
      <c r="Y1542" s="8">
        <f>IF(COUNT(D1542:V1542)=0,"",MAX(D1542:V1542))</f>
        <v/>
      </c>
      <c r="Z1542" s="9">
        <f>IF(OR(W1542="",W1542=0),"",(Y1542-W1542)/W1542)</f>
        <v/>
      </c>
      <c r="AA1542" s="7">
        <f>IF(COUNT(D1542:V1542)=0,"",INDEX($D$1:$V$1,MATCH(MIN(D1542:V1542),D1542:V1542,0)))</f>
        <v/>
      </c>
      <c r="AB1542" s="8" t="n">
        <v>10.61</v>
      </c>
      <c r="AC1542" s="10" t="n">
        <v>1</v>
      </c>
    </row>
    <row r="1543">
      <c r="A1543" s="7" t="inlineStr">
        <is>
          <t>MAT-32-188</t>
        </is>
      </c>
      <c r="B1543" s="4" t="inlineStr">
        <is>
          <t>Codo de 90° de CPVC 1"</t>
        </is>
      </c>
      <c r="C1543" s="7" t="inlineStr">
        <is>
          <t>unidad</t>
        </is>
      </c>
      <c r="D1543" s="8" t="n"/>
      <c r="E1543" s="8" t="n">
        <v>45.15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>
        <f>IF(COUNT(D1543:V1543)=0,"",MIN(D1543:V1543))</f>
        <v/>
      </c>
      <c r="X1543" s="8">
        <f>IF(COUNT(D1543:V1543)=0,"",MEDIAN(D1543:V1543))</f>
        <v/>
      </c>
      <c r="Y1543" s="8">
        <f>IF(COUNT(D1543:V1543)=0,"",MAX(D1543:V1543))</f>
        <v/>
      </c>
      <c r="Z1543" s="9">
        <f>IF(OR(W1543="",W1543=0),"",(Y1543-W1543)/W1543)</f>
        <v/>
      </c>
      <c r="AA1543" s="7">
        <f>IF(COUNT(D1543:V1543)=0,"",INDEX($D$1:$V$1,MATCH(MIN(D1543:V1543),D1543:V1543,0)))</f>
        <v/>
      </c>
      <c r="AB1543" s="8" t="n">
        <v>45.15</v>
      </c>
      <c r="AC1543" s="10" t="n">
        <v>1</v>
      </c>
    </row>
    <row r="1544">
      <c r="A1544" s="7" t="inlineStr">
        <is>
          <t>MAT-32-189</t>
        </is>
      </c>
      <c r="B1544" s="4" t="inlineStr">
        <is>
          <t>Codo de 90° de CPVC 3/4"</t>
        </is>
      </c>
      <c r="C1544" s="7" t="inlineStr">
        <is>
          <t>unidad</t>
        </is>
      </c>
      <c r="D1544" s="8" t="n"/>
      <c r="E1544" s="8" t="n">
        <v>15.75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>
        <f>IF(COUNT(D1544:V1544)=0,"",MIN(D1544:V1544))</f>
        <v/>
      </c>
      <c r="X1544" s="8">
        <f>IF(COUNT(D1544:V1544)=0,"",MEDIAN(D1544:V1544))</f>
        <v/>
      </c>
      <c r="Y1544" s="8">
        <f>IF(COUNT(D1544:V1544)=0,"",MAX(D1544:V1544))</f>
        <v/>
      </c>
      <c r="Z1544" s="9">
        <f>IF(OR(W1544="",W1544=0),"",(Y1544-W1544)/W1544)</f>
        <v/>
      </c>
      <c r="AA1544" s="7">
        <f>IF(COUNT(D1544:V1544)=0,"",INDEX($D$1:$V$1,MATCH(MIN(D1544:V1544),D1544:V1544,0)))</f>
        <v/>
      </c>
      <c r="AB1544" s="8" t="n">
        <v>15.75</v>
      </c>
      <c r="AC1544" s="10" t="n">
        <v>1</v>
      </c>
    </row>
    <row r="1545">
      <c r="A1545" s="7" t="inlineStr">
        <is>
          <t>MAT-32-190</t>
        </is>
      </c>
      <c r="B1545" s="4" t="inlineStr">
        <is>
          <t>Codo de 90° de HG 1 1/2"</t>
        </is>
      </c>
      <c r="C1545" s="7" t="inlineStr">
        <is>
          <t>unidad</t>
        </is>
      </c>
      <c r="D1545" s="8" t="n"/>
      <c r="E1545" s="8" t="n">
        <v>106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>
        <f>IF(COUNT(D1545:V1545)=0,"",MIN(D1545:V1545))</f>
        <v/>
      </c>
      <c r="X1545" s="8">
        <f>IF(COUNT(D1545:V1545)=0,"",MEDIAN(D1545:V1545))</f>
        <v/>
      </c>
      <c r="Y1545" s="8">
        <f>IF(COUNT(D1545:V1545)=0,"",MAX(D1545:V1545))</f>
        <v/>
      </c>
      <c r="Z1545" s="9">
        <f>IF(OR(W1545="",W1545=0),"",(Y1545-W1545)/W1545)</f>
        <v/>
      </c>
      <c r="AA1545" s="7">
        <f>IF(COUNT(D1545:V1545)=0,"",INDEX($D$1:$V$1,MATCH(MIN(D1545:V1545),D1545:V1545,0)))</f>
        <v/>
      </c>
      <c r="AB1545" s="8" t="n">
        <v>106</v>
      </c>
      <c r="AC1545" s="10" t="n">
        <v>1</v>
      </c>
    </row>
    <row r="1546">
      <c r="A1546" s="7" t="inlineStr">
        <is>
          <t>MAT-32-191</t>
        </is>
      </c>
      <c r="B1546" s="4" t="inlineStr">
        <is>
          <t>Codo de 90° de HG 1 1/4"</t>
        </is>
      </c>
      <c r="C1546" s="7" t="inlineStr">
        <is>
          <t>unidad</t>
        </is>
      </c>
      <c r="D1546" s="8" t="n"/>
      <c r="E1546" s="8" t="n">
        <v>87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>
        <f>IF(COUNT(D1546:V1546)=0,"",MIN(D1546:V1546))</f>
        <v/>
      </c>
      <c r="X1546" s="8">
        <f>IF(COUNT(D1546:V1546)=0,"",MEDIAN(D1546:V1546))</f>
        <v/>
      </c>
      <c r="Y1546" s="8">
        <f>IF(COUNT(D1546:V1546)=0,"",MAX(D1546:V1546))</f>
        <v/>
      </c>
      <c r="Z1546" s="9">
        <f>IF(OR(W1546="",W1546=0),"",(Y1546-W1546)/W1546)</f>
        <v/>
      </c>
      <c r="AA1546" s="7">
        <f>IF(COUNT(D1546:V1546)=0,"",INDEX($D$1:$V$1,MATCH(MIN(D1546:V1546),D1546:V1546,0)))</f>
        <v/>
      </c>
      <c r="AB1546" s="8" t="n">
        <v>87</v>
      </c>
      <c r="AC1546" s="10" t="n">
        <v>1</v>
      </c>
    </row>
    <row r="1547">
      <c r="A1547" s="7" t="inlineStr">
        <is>
          <t>MAT-32-192</t>
        </is>
      </c>
      <c r="B1547" s="4" t="inlineStr">
        <is>
          <t>Codo de 90° de HG 1/2"</t>
        </is>
      </c>
      <c r="C1547" s="7" t="inlineStr">
        <is>
          <t>unidad</t>
        </is>
      </c>
      <c r="D1547" s="8" t="n"/>
      <c r="E1547" s="8" t="n">
        <v>24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>
        <f>IF(COUNT(D1547:V1547)=0,"",MIN(D1547:V1547))</f>
        <v/>
      </c>
      <c r="X1547" s="8">
        <f>IF(COUNT(D1547:V1547)=0,"",MEDIAN(D1547:V1547))</f>
        <v/>
      </c>
      <c r="Y1547" s="8">
        <f>IF(COUNT(D1547:V1547)=0,"",MAX(D1547:V1547))</f>
        <v/>
      </c>
      <c r="Z1547" s="9">
        <f>IF(OR(W1547="",W1547=0),"",(Y1547-W1547)/W1547)</f>
        <v/>
      </c>
      <c r="AA1547" s="7">
        <f>IF(COUNT(D1547:V1547)=0,"",INDEX($D$1:$V$1,MATCH(MIN(D1547:V1547),D1547:V1547,0)))</f>
        <v/>
      </c>
      <c r="AB1547" s="8" t="n">
        <v>24</v>
      </c>
      <c r="AC1547" s="10" t="n">
        <v>1</v>
      </c>
    </row>
    <row r="1548">
      <c r="A1548" s="7" t="inlineStr">
        <is>
          <t>MAT-32-193</t>
        </is>
      </c>
      <c r="B1548" s="4" t="inlineStr">
        <is>
          <t>Codo de 90° de HG 1/4"</t>
        </is>
      </c>
      <c r="C1548" s="7" t="inlineStr">
        <is>
          <t>unidad</t>
        </is>
      </c>
      <c r="D1548" s="8" t="n"/>
      <c r="E1548" s="8" t="n">
        <v>38.35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>
        <f>IF(COUNT(D1548:V1548)=0,"",MIN(D1548:V1548))</f>
        <v/>
      </c>
      <c r="X1548" s="8">
        <f>IF(COUNT(D1548:V1548)=0,"",MEDIAN(D1548:V1548))</f>
        <v/>
      </c>
      <c r="Y1548" s="8">
        <f>IF(COUNT(D1548:V1548)=0,"",MAX(D1548:V1548))</f>
        <v/>
      </c>
      <c r="Z1548" s="9">
        <f>IF(OR(W1548="",W1548=0),"",(Y1548-W1548)/W1548)</f>
        <v/>
      </c>
      <c r="AA1548" s="7">
        <f>IF(COUNT(D1548:V1548)=0,"",INDEX($D$1:$V$1,MATCH(MIN(D1548:V1548),D1548:V1548,0)))</f>
        <v/>
      </c>
      <c r="AB1548" s="8" t="n">
        <v>38.35</v>
      </c>
      <c r="AC1548" s="10" t="n">
        <v>1</v>
      </c>
    </row>
    <row r="1549">
      <c r="A1549" s="7" t="inlineStr">
        <is>
          <t>MAT-32-194</t>
        </is>
      </c>
      <c r="B1549" s="4" t="inlineStr">
        <is>
          <t>Codo de 90° de HG 1"</t>
        </is>
      </c>
      <c r="C1549" s="7" t="inlineStr">
        <is>
          <t>unidad</t>
        </is>
      </c>
      <c r="D1549" s="8" t="n"/>
      <c r="E1549" s="8" t="n">
        <v>51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>
        <f>IF(COUNT(D1549:V1549)=0,"",MIN(D1549:V1549))</f>
        <v/>
      </c>
      <c r="X1549" s="8">
        <f>IF(COUNT(D1549:V1549)=0,"",MEDIAN(D1549:V1549))</f>
        <v/>
      </c>
      <c r="Y1549" s="8">
        <f>IF(COUNT(D1549:V1549)=0,"",MAX(D1549:V1549))</f>
        <v/>
      </c>
      <c r="Z1549" s="9">
        <f>IF(OR(W1549="",W1549=0),"",(Y1549-W1549)/W1549)</f>
        <v/>
      </c>
      <c r="AA1549" s="7">
        <f>IF(COUNT(D1549:V1549)=0,"",INDEX($D$1:$V$1,MATCH(MIN(D1549:V1549),D1549:V1549,0)))</f>
        <v/>
      </c>
      <c r="AB1549" s="8" t="n">
        <v>51</v>
      </c>
      <c r="AC1549" s="10" t="n">
        <v>1</v>
      </c>
    </row>
    <row r="1550">
      <c r="A1550" s="7" t="inlineStr">
        <is>
          <t>MAT-32-195</t>
        </is>
      </c>
      <c r="B1550" s="4" t="inlineStr">
        <is>
          <t>Codo de 90° de HG 2"</t>
        </is>
      </c>
      <c r="C1550" s="7" t="inlineStr">
        <is>
          <t>unidad</t>
        </is>
      </c>
      <c r="D1550" s="8" t="n"/>
      <c r="E1550" s="8" t="n">
        <v>170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>
        <f>IF(COUNT(D1550:V1550)=0,"",MIN(D1550:V1550))</f>
        <v/>
      </c>
      <c r="X1550" s="8">
        <f>IF(COUNT(D1550:V1550)=0,"",MEDIAN(D1550:V1550))</f>
        <v/>
      </c>
      <c r="Y1550" s="8">
        <f>IF(COUNT(D1550:V1550)=0,"",MAX(D1550:V1550))</f>
        <v/>
      </c>
      <c r="Z1550" s="9">
        <f>IF(OR(W1550="",W1550=0),"",(Y1550-W1550)/W1550)</f>
        <v/>
      </c>
      <c r="AA1550" s="7">
        <f>IF(COUNT(D1550:V1550)=0,"",INDEX($D$1:$V$1,MATCH(MIN(D1550:V1550),D1550:V1550,0)))</f>
        <v/>
      </c>
      <c r="AB1550" s="8" t="n">
        <v>170</v>
      </c>
      <c r="AC1550" s="10" t="n">
        <v>1</v>
      </c>
    </row>
    <row r="1551">
      <c r="A1551" s="7" t="inlineStr">
        <is>
          <t>MAT-32-196</t>
        </is>
      </c>
      <c r="B1551" s="4" t="inlineStr">
        <is>
          <t>Codo de 90° de HG 3/4"</t>
        </is>
      </c>
      <c r="C1551" s="7" t="inlineStr">
        <is>
          <t>unidad</t>
        </is>
      </c>
      <c r="D1551" s="8" t="n"/>
      <c r="E1551" s="8" t="n">
        <v>34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>
        <f>IF(COUNT(D1551:V1551)=0,"",MIN(D1551:V1551))</f>
        <v/>
      </c>
      <c r="X1551" s="8">
        <f>IF(COUNT(D1551:V1551)=0,"",MEDIAN(D1551:V1551))</f>
        <v/>
      </c>
      <c r="Y1551" s="8">
        <f>IF(COUNT(D1551:V1551)=0,"",MAX(D1551:V1551))</f>
        <v/>
      </c>
      <c r="Z1551" s="9">
        <f>IF(OR(W1551="",W1551=0),"",(Y1551-W1551)/W1551)</f>
        <v/>
      </c>
      <c r="AA1551" s="7">
        <f>IF(COUNT(D1551:V1551)=0,"",INDEX($D$1:$V$1,MATCH(MIN(D1551:V1551),D1551:V1551,0)))</f>
        <v/>
      </c>
      <c r="AB1551" s="8" t="n">
        <v>34</v>
      </c>
      <c r="AC1551" s="10" t="n">
        <v>1</v>
      </c>
    </row>
    <row r="1552">
      <c r="A1552" s="7" t="inlineStr">
        <is>
          <t>MAT-32-197</t>
        </is>
      </c>
      <c r="B1552" s="4" t="inlineStr">
        <is>
          <t>Codo de 90° de HG 3/8"</t>
        </is>
      </c>
      <c r="C1552" s="7" t="inlineStr">
        <is>
          <t>unidad</t>
        </is>
      </c>
      <c r="D1552" s="8" t="n"/>
      <c r="E1552" s="8" t="n">
        <v>51.55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>
        <f>IF(COUNT(D1552:V1552)=0,"",MIN(D1552:V1552))</f>
        <v/>
      </c>
      <c r="X1552" s="8">
        <f>IF(COUNT(D1552:V1552)=0,"",MEDIAN(D1552:V1552))</f>
        <v/>
      </c>
      <c r="Y1552" s="8">
        <f>IF(COUNT(D1552:V1552)=0,"",MAX(D1552:V1552))</f>
        <v/>
      </c>
      <c r="Z1552" s="9">
        <f>IF(OR(W1552="",W1552=0),"",(Y1552-W1552)/W1552)</f>
        <v/>
      </c>
      <c r="AA1552" s="7">
        <f>IF(COUNT(D1552:V1552)=0,"",INDEX($D$1:$V$1,MATCH(MIN(D1552:V1552),D1552:V1552,0)))</f>
        <v/>
      </c>
      <c r="AB1552" s="8" t="n">
        <v>51.55</v>
      </c>
      <c r="AC1552" s="10" t="n">
        <v>1</v>
      </c>
    </row>
    <row r="1553">
      <c r="A1553" s="7" t="inlineStr">
        <is>
          <t>MAT-32-198</t>
        </is>
      </c>
      <c r="B1553" s="4" t="inlineStr">
        <is>
          <t>Codo de 90° de HG 3"</t>
        </is>
      </c>
      <c r="C1553" s="7" t="inlineStr">
        <is>
          <t>unidad</t>
        </is>
      </c>
      <c r="D1553" s="8" t="n"/>
      <c r="E1553" s="8" t="n">
        <v>464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>
        <f>IF(COUNT(D1553:V1553)=0,"",MIN(D1553:V1553))</f>
        <v/>
      </c>
      <c r="X1553" s="8">
        <f>IF(COUNT(D1553:V1553)=0,"",MEDIAN(D1553:V1553))</f>
        <v/>
      </c>
      <c r="Y1553" s="8">
        <f>IF(COUNT(D1553:V1553)=0,"",MAX(D1553:V1553))</f>
        <v/>
      </c>
      <c r="Z1553" s="9">
        <f>IF(OR(W1553="",W1553=0),"",(Y1553-W1553)/W1553)</f>
        <v/>
      </c>
      <c r="AA1553" s="7">
        <f>IF(COUNT(D1553:V1553)=0,"",INDEX($D$1:$V$1,MATCH(MIN(D1553:V1553),D1553:V1553,0)))</f>
        <v/>
      </c>
      <c r="AB1553" s="8" t="n">
        <v>464</v>
      </c>
      <c r="AC1553" s="10" t="n">
        <v>1</v>
      </c>
    </row>
    <row r="1554">
      <c r="A1554" s="7" t="inlineStr">
        <is>
          <t>MAT-32-199</t>
        </is>
      </c>
      <c r="B1554" s="4" t="inlineStr">
        <is>
          <t>Codo de 90° de HG 4"</t>
        </is>
      </c>
      <c r="C1554" s="7" t="inlineStr">
        <is>
          <t>unidad</t>
        </is>
      </c>
      <c r="D1554" s="8" t="n"/>
      <c r="E1554" s="8" t="n">
        <v>840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>
        <f>IF(COUNT(D1554:V1554)=0,"",MIN(D1554:V1554))</f>
        <v/>
      </c>
      <c r="X1554" s="8">
        <f>IF(COUNT(D1554:V1554)=0,"",MEDIAN(D1554:V1554))</f>
        <v/>
      </c>
      <c r="Y1554" s="8">
        <f>IF(COUNT(D1554:V1554)=0,"",MAX(D1554:V1554))</f>
        <v/>
      </c>
      <c r="Z1554" s="9">
        <f>IF(OR(W1554="",W1554=0),"",(Y1554-W1554)/W1554)</f>
        <v/>
      </c>
      <c r="AA1554" s="7">
        <f>IF(COUNT(D1554:V1554)=0,"",INDEX($D$1:$V$1,MATCH(MIN(D1554:V1554),D1554:V1554,0)))</f>
        <v/>
      </c>
      <c r="AB1554" s="8" t="n">
        <v>840</v>
      </c>
      <c r="AC1554" s="10" t="n">
        <v>1</v>
      </c>
    </row>
    <row r="1555">
      <c r="A1555" s="7" t="inlineStr">
        <is>
          <t>MAT-32-200</t>
        </is>
      </c>
      <c r="B1555" s="4" t="inlineStr">
        <is>
          <t>Codo de 90° de plástico 50"</t>
        </is>
      </c>
      <c r="C1555" s="7" t="inlineStr">
        <is>
          <t>unidad</t>
        </is>
      </c>
      <c r="D1555" s="8" t="n"/>
      <c r="E1555" s="8" t="n">
        <v>315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>
        <f>IF(COUNT(D1555:V1555)=0,"",MIN(D1555:V1555))</f>
        <v/>
      </c>
      <c r="X1555" s="8">
        <f>IF(COUNT(D1555:V1555)=0,"",MEDIAN(D1555:V1555))</f>
        <v/>
      </c>
      <c r="Y1555" s="8">
        <f>IF(COUNT(D1555:V1555)=0,"",MAX(D1555:V1555))</f>
        <v/>
      </c>
      <c r="Z1555" s="9">
        <f>IF(OR(W1555="",W1555=0),"",(Y1555-W1555)/W1555)</f>
        <v/>
      </c>
      <c r="AA1555" s="7">
        <f>IF(COUNT(D1555:V1555)=0,"",INDEX($D$1:$V$1,MATCH(MIN(D1555:V1555),D1555:V1555,0)))</f>
        <v/>
      </c>
      <c r="AB1555" s="8" t="n">
        <v>315</v>
      </c>
      <c r="AC1555" s="10" t="n">
        <v>1</v>
      </c>
    </row>
    <row r="1556">
      <c r="A1556" s="7" t="inlineStr">
        <is>
          <t>MAT-32-201</t>
        </is>
      </c>
      <c r="B1556" s="4" t="inlineStr">
        <is>
          <t>Codo de 90° de plástico 63"</t>
        </is>
      </c>
      <c r="C1556" s="7" t="inlineStr">
        <is>
          <t>unidad</t>
        </is>
      </c>
      <c r="D1556" s="8" t="n"/>
      <c r="E1556" s="8" t="n">
        <v>370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>
        <f>IF(COUNT(D1556:V1556)=0,"",MIN(D1556:V1556))</f>
        <v/>
      </c>
      <c r="X1556" s="8">
        <f>IF(COUNT(D1556:V1556)=0,"",MEDIAN(D1556:V1556))</f>
        <v/>
      </c>
      <c r="Y1556" s="8">
        <f>IF(COUNT(D1556:V1556)=0,"",MAX(D1556:V1556))</f>
        <v/>
      </c>
      <c r="Z1556" s="9">
        <f>IF(OR(W1556="",W1556=0),"",(Y1556-W1556)/W1556)</f>
        <v/>
      </c>
      <c r="AA1556" s="7">
        <f>IF(COUNT(D1556:V1556)=0,"",INDEX($D$1:$V$1,MATCH(MIN(D1556:V1556),D1556:V1556,0)))</f>
        <v/>
      </c>
      <c r="AB1556" s="8" t="n">
        <v>415</v>
      </c>
      <c r="AC1556" s="10" t="n">
        <v>1</v>
      </c>
    </row>
    <row r="1557">
      <c r="A1557" s="7" t="inlineStr">
        <is>
          <t>MAT-32-202</t>
        </is>
      </c>
      <c r="B1557" s="4" t="inlineStr">
        <is>
          <t>Codo de 90° de PPR 20 mm</t>
        </is>
      </c>
      <c r="C1557" s="7" t="inlineStr">
        <is>
          <t>unidad</t>
        </is>
      </c>
      <c r="D1557" s="8" t="n"/>
      <c r="E1557" s="8" t="n">
        <v>6.25</v>
      </c>
      <c r="F1557" s="8" t="n"/>
      <c r="G1557" s="8" t="n">
        <v>33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>
        <f>IF(COUNT(D1557:V1557)=0,"",MIN(D1557:V1557))</f>
        <v/>
      </c>
      <c r="X1557" s="8">
        <f>IF(COUNT(D1557:V1557)=0,"",MEDIAN(D1557:V1557))</f>
        <v/>
      </c>
      <c r="Y1557" s="8">
        <f>IF(COUNT(D1557:V1557)=0,"",MAX(D1557:V1557))</f>
        <v/>
      </c>
      <c r="Z1557" s="9">
        <f>IF(OR(W1557="",W1557=0),"",(Y1557-W1557)/W1557)</f>
        <v/>
      </c>
      <c r="AA1557" s="7">
        <f>IF(COUNT(D1557:V1557)=0,"",INDEX($D$1:$V$1,MATCH(MIN(D1557:V1557),D1557:V1557,0)))</f>
        <v/>
      </c>
      <c r="AB1557" s="8" t="n">
        <v>19.63</v>
      </c>
      <c r="AC1557" s="10" t="n">
        <v>2</v>
      </c>
    </row>
    <row r="1558">
      <c r="A1558" s="7" t="inlineStr">
        <is>
          <t>MAT-32-203</t>
        </is>
      </c>
      <c r="B1558" s="4" t="inlineStr">
        <is>
          <t>Codo de 90° de PPR 25 mm</t>
        </is>
      </c>
      <c r="C1558" s="7" t="inlineStr">
        <is>
          <t>unidad</t>
        </is>
      </c>
      <c r="D1558" s="8" t="n"/>
      <c r="E1558" s="8" t="n">
        <v>9.92</v>
      </c>
      <c r="F1558" s="8" t="n"/>
      <c r="G1558" s="8" t="n">
        <v>40</v>
      </c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>
        <f>IF(COUNT(D1558:V1558)=0,"",MIN(D1558:V1558))</f>
        <v/>
      </c>
      <c r="X1558" s="8">
        <f>IF(COUNT(D1558:V1558)=0,"",MEDIAN(D1558:V1558))</f>
        <v/>
      </c>
      <c r="Y1558" s="8">
        <f>IF(COUNT(D1558:V1558)=0,"",MAX(D1558:V1558))</f>
        <v/>
      </c>
      <c r="Z1558" s="9">
        <f>IF(OR(W1558="",W1558=0),"",(Y1558-W1558)/W1558)</f>
        <v/>
      </c>
      <c r="AA1558" s="7">
        <f>IF(COUNT(D1558:V1558)=0,"",INDEX($D$1:$V$1,MATCH(MIN(D1558:V1558),D1558:V1558,0)))</f>
        <v/>
      </c>
      <c r="AB1558" s="8" t="n">
        <v>24.96</v>
      </c>
      <c r="AC1558" s="10" t="n">
        <v>2</v>
      </c>
    </row>
    <row r="1559">
      <c r="A1559" s="7" t="inlineStr">
        <is>
          <t>MAT-32-204</t>
        </is>
      </c>
      <c r="B1559" s="4" t="inlineStr">
        <is>
          <t>Codo de 90° de PPR 32 mm</t>
        </is>
      </c>
      <c r="C1559" s="7" t="inlineStr">
        <is>
          <t>unidad</t>
        </is>
      </c>
      <c r="D1559" s="8" t="n"/>
      <c r="E1559" s="8" t="n">
        <v>17.67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>
        <f>IF(COUNT(D1559:V1559)=0,"",MIN(D1559:V1559))</f>
        <v/>
      </c>
      <c r="X1559" s="8">
        <f>IF(COUNT(D1559:V1559)=0,"",MEDIAN(D1559:V1559))</f>
        <v/>
      </c>
      <c r="Y1559" s="8">
        <f>IF(COUNT(D1559:V1559)=0,"",MAX(D1559:V1559))</f>
        <v/>
      </c>
      <c r="Z1559" s="9">
        <f>IF(OR(W1559="",W1559=0),"",(Y1559-W1559)/W1559)</f>
        <v/>
      </c>
      <c r="AA1559" s="7">
        <f>IF(COUNT(D1559:V1559)=0,"",INDEX($D$1:$V$1,MATCH(MIN(D1559:V1559),D1559:V1559,0)))</f>
        <v/>
      </c>
      <c r="AB1559" s="8" t="n">
        <v>17.67</v>
      </c>
      <c r="AC1559" s="10" t="n">
        <v>1</v>
      </c>
    </row>
    <row r="1560">
      <c r="A1560" s="7" t="inlineStr">
        <is>
          <t>MAT-32-205</t>
        </is>
      </c>
      <c r="B1560" s="4" t="inlineStr">
        <is>
          <t>Codo de 90° de PPR 50 mm</t>
        </is>
      </c>
      <c r="C1560" s="7" t="inlineStr">
        <is>
          <t>unidad</t>
        </is>
      </c>
      <c r="D1560" s="8" t="n"/>
      <c r="E1560" s="8" t="n">
        <v>60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>
        <f>IF(COUNT(D1560:V1560)=0,"",MIN(D1560:V1560))</f>
        <v/>
      </c>
      <c r="X1560" s="8">
        <f>IF(COUNT(D1560:V1560)=0,"",MEDIAN(D1560:V1560))</f>
        <v/>
      </c>
      <c r="Y1560" s="8">
        <f>IF(COUNT(D1560:V1560)=0,"",MAX(D1560:V1560))</f>
        <v/>
      </c>
      <c r="Z1560" s="9">
        <f>IF(OR(W1560="",W1560=0),"",(Y1560-W1560)/W1560)</f>
        <v/>
      </c>
      <c r="AA1560" s="7">
        <f>IF(COUNT(D1560:V1560)=0,"",INDEX($D$1:$V$1,MATCH(MIN(D1560:V1560),D1560:V1560,0)))</f>
        <v/>
      </c>
      <c r="AB1560" s="8" t="n">
        <v>60</v>
      </c>
      <c r="AC1560" s="10" t="n">
        <v>1</v>
      </c>
    </row>
    <row r="1561">
      <c r="A1561" s="7" t="inlineStr">
        <is>
          <t>MAT-32-206</t>
        </is>
      </c>
      <c r="B1561" s="4" t="inlineStr">
        <is>
          <t>Codo de 90° de PVC drenaje 1 1/2"</t>
        </is>
      </c>
      <c r="C1561" s="7" t="inlineStr">
        <is>
          <t>unidad</t>
        </is>
      </c>
      <c r="D1561" s="8" t="n"/>
      <c r="E1561" s="8" t="n">
        <v>17.32</v>
      </c>
      <c r="F1561" s="8" t="n"/>
      <c r="G1561" s="8" t="n">
        <v>30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>
        <f>IF(COUNT(D1561:V1561)=0,"",MIN(D1561:V1561))</f>
        <v/>
      </c>
      <c r="X1561" s="8">
        <f>IF(COUNT(D1561:V1561)=0,"",MEDIAN(D1561:V1561))</f>
        <v/>
      </c>
      <c r="Y1561" s="8">
        <f>IF(COUNT(D1561:V1561)=0,"",MAX(D1561:V1561))</f>
        <v/>
      </c>
      <c r="Z1561" s="9">
        <f>IF(OR(W1561="",W1561=0),"",(Y1561-W1561)/W1561)</f>
        <v/>
      </c>
      <c r="AA1561" s="7">
        <f>IF(COUNT(D1561:V1561)=0,"",INDEX($D$1:$V$1,MATCH(MIN(D1561:V1561),D1561:V1561,0)))</f>
        <v/>
      </c>
      <c r="AB1561" s="8" t="n">
        <v>23.66</v>
      </c>
      <c r="AC1561" s="10" t="n">
        <v>2</v>
      </c>
    </row>
    <row r="1562">
      <c r="A1562" s="7" t="inlineStr">
        <is>
          <t>MAT-32-207</t>
        </is>
      </c>
      <c r="B1562" s="4" t="inlineStr">
        <is>
          <t>Codo de 90° de PVC drenaje 2"</t>
        </is>
      </c>
      <c r="C1562" s="7" t="inlineStr">
        <is>
          <t>unidad</t>
        </is>
      </c>
      <c r="D1562" s="8" t="n"/>
      <c r="E1562" s="8" t="n">
        <v>16.01</v>
      </c>
      <c r="F1562" s="8" t="n"/>
      <c r="G1562" s="8" t="n">
        <v>35</v>
      </c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>
        <f>IF(COUNT(D1562:V1562)=0,"",MIN(D1562:V1562))</f>
        <v/>
      </c>
      <c r="X1562" s="8">
        <f>IF(COUNT(D1562:V1562)=0,"",MEDIAN(D1562:V1562))</f>
        <v/>
      </c>
      <c r="Y1562" s="8">
        <f>IF(COUNT(D1562:V1562)=0,"",MAX(D1562:V1562))</f>
        <v/>
      </c>
      <c r="Z1562" s="9">
        <f>IF(OR(W1562="",W1562=0),"",(Y1562-W1562)/W1562)</f>
        <v/>
      </c>
      <c r="AA1562" s="7">
        <f>IF(COUNT(D1562:V1562)=0,"",INDEX($D$1:$V$1,MATCH(MIN(D1562:V1562),D1562:V1562,0)))</f>
        <v/>
      </c>
      <c r="AB1562" s="8" t="n">
        <v>26.8</v>
      </c>
      <c r="AC1562" s="10" t="n">
        <v>2</v>
      </c>
    </row>
    <row r="1563">
      <c r="A1563" s="7" t="inlineStr">
        <is>
          <t>MAT-32-208</t>
        </is>
      </c>
      <c r="B1563" s="4" t="inlineStr">
        <is>
          <t>Codo de 90° de PVC drenaje 3"</t>
        </is>
      </c>
      <c r="C1563" s="7" t="inlineStr">
        <is>
          <t>unidad</t>
        </is>
      </c>
      <c r="D1563" s="8" t="n"/>
      <c r="E1563" s="8" t="n">
        <v>54.53</v>
      </c>
      <c r="F1563" s="8" t="n"/>
      <c r="G1563" s="8" t="n">
        <v>95</v>
      </c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>
        <f>IF(COUNT(D1563:V1563)=0,"",MIN(D1563:V1563))</f>
        <v/>
      </c>
      <c r="X1563" s="8">
        <f>IF(COUNT(D1563:V1563)=0,"",MEDIAN(D1563:V1563))</f>
        <v/>
      </c>
      <c r="Y1563" s="8">
        <f>IF(COUNT(D1563:V1563)=0,"",MAX(D1563:V1563))</f>
        <v/>
      </c>
      <c r="Z1563" s="9">
        <f>IF(OR(W1563="",W1563=0),"",(Y1563-W1563)/W1563)</f>
        <v/>
      </c>
      <c r="AA1563" s="7">
        <f>IF(COUNT(D1563:V1563)=0,"",INDEX($D$1:$V$1,MATCH(MIN(D1563:V1563),D1563:V1563,0)))</f>
        <v/>
      </c>
      <c r="AB1563" s="8" t="n">
        <v>75.16</v>
      </c>
      <c r="AC1563" s="10" t="n">
        <v>2</v>
      </c>
    </row>
    <row r="1564">
      <c r="A1564" s="7" t="inlineStr">
        <is>
          <t>MAT-32-209</t>
        </is>
      </c>
      <c r="B1564" s="4" t="inlineStr">
        <is>
          <t>Codo de 90° de PVC drenaje 4"</t>
        </is>
      </c>
      <c r="C1564" s="7" t="inlineStr">
        <is>
          <t>unidad</t>
        </is>
      </c>
      <c r="D1564" s="8" t="n"/>
      <c r="E1564" s="8" t="n">
        <v>89.5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>
        <f>IF(COUNT(D1564:V1564)=0,"",MIN(D1564:V1564))</f>
        <v/>
      </c>
      <c r="X1564" s="8">
        <f>IF(COUNT(D1564:V1564)=0,"",MEDIAN(D1564:V1564))</f>
        <v/>
      </c>
      <c r="Y1564" s="8">
        <f>IF(COUNT(D1564:V1564)=0,"",MAX(D1564:V1564))</f>
        <v/>
      </c>
      <c r="Z1564" s="9">
        <f>IF(OR(W1564="",W1564=0),"",(Y1564-W1564)/W1564)</f>
        <v/>
      </c>
      <c r="AA1564" s="7">
        <f>IF(COUNT(D1564:V1564)=0,"",INDEX($D$1:$V$1,MATCH(MIN(D1564:V1564),D1564:V1564,0)))</f>
        <v/>
      </c>
      <c r="AB1564" s="8" t="n">
        <v>113.88</v>
      </c>
      <c r="AC1564" s="10" t="n">
        <v>1</v>
      </c>
    </row>
    <row r="1565">
      <c r="A1565" s="7" t="inlineStr">
        <is>
          <t>MAT-32-210</t>
        </is>
      </c>
      <c r="B1565" s="4" t="inlineStr">
        <is>
          <t>Codo de 90° de PVC drenaje 6"</t>
        </is>
      </c>
      <c r="C1565" s="7" t="inlineStr">
        <is>
          <t>unidad</t>
        </is>
      </c>
      <c r="D1565" s="8" t="n"/>
      <c r="E1565" s="8" t="n">
        <v>256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>
        <f>IF(COUNT(D1565:V1565)=0,"",MIN(D1565:V1565))</f>
        <v/>
      </c>
      <c r="X1565" s="8">
        <f>IF(COUNT(D1565:V1565)=0,"",MEDIAN(D1565:V1565))</f>
        <v/>
      </c>
      <c r="Y1565" s="8">
        <f>IF(COUNT(D1565:V1565)=0,"",MAX(D1565:V1565))</f>
        <v/>
      </c>
      <c r="Z1565" s="9">
        <f>IF(OR(W1565="",W1565=0),"",(Y1565-W1565)/W1565)</f>
        <v/>
      </c>
      <c r="AA1565" s="7">
        <f>IF(COUNT(D1565:V1565)=0,"",INDEX($D$1:$V$1,MATCH(MIN(D1565:V1565),D1565:V1565,0)))</f>
        <v/>
      </c>
      <c r="AB1565" s="8" t="n">
        <v>360.5</v>
      </c>
      <c r="AC1565" s="10" t="n">
        <v>1</v>
      </c>
    </row>
    <row r="1566">
      <c r="A1566" s="7" t="inlineStr">
        <is>
          <t>MAT-32-211</t>
        </is>
      </c>
      <c r="B1566" s="4" t="inlineStr">
        <is>
          <t>Codo de 90° de PVC 1 1/2"</t>
        </is>
      </c>
      <c r="C1566" s="7" t="inlineStr">
        <is>
          <t>unidad</t>
        </is>
      </c>
      <c r="D1566" s="8" t="n"/>
      <c r="E1566" s="8" t="n">
        <v>70.2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>
        <f>IF(COUNT(D1566:V1566)=0,"",MIN(D1566:V1566))</f>
        <v/>
      </c>
      <c r="X1566" s="8">
        <f>IF(COUNT(D1566:V1566)=0,"",MEDIAN(D1566:V1566))</f>
        <v/>
      </c>
      <c r="Y1566" s="8">
        <f>IF(COUNT(D1566:V1566)=0,"",MAX(D1566:V1566))</f>
        <v/>
      </c>
      <c r="Z1566" s="9">
        <f>IF(OR(W1566="",W1566=0),"",(Y1566-W1566)/W1566)</f>
        <v/>
      </c>
      <c r="AA1566" s="7">
        <f>IF(COUNT(D1566:V1566)=0,"",INDEX($D$1:$V$1,MATCH(MIN(D1566:V1566),D1566:V1566,0)))</f>
        <v/>
      </c>
      <c r="AB1566" s="8" t="n">
        <v>70.2</v>
      </c>
      <c r="AC1566" s="10" t="n">
        <v>1</v>
      </c>
    </row>
    <row r="1567">
      <c r="A1567" s="7" t="inlineStr">
        <is>
          <t>MAT-32-212</t>
        </is>
      </c>
      <c r="B1567" s="4" t="inlineStr">
        <is>
          <t>Codo de 90° de PVC 1"</t>
        </is>
      </c>
      <c r="C1567" s="7" t="inlineStr">
        <is>
          <t>unidad</t>
        </is>
      </c>
      <c r="D1567" s="8" t="n"/>
      <c r="E1567" s="8" t="n">
        <v>40.38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>
        <f>IF(COUNT(D1567:V1567)=0,"",MIN(D1567:V1567))</f>
        <v/>
      </c>
      <c r="X1567" s="8">
        <f>IF(COUNT(D1567:V1567)=0,"",MEDIAN(D1567:V1567))</f>
        <v/>
      </c>
      <c r="Y1567" s="8">
        <f>IF(COUNT(D1567:V1567)=0,"",MAX(D1567:V1567))</f>
        <v/>
      </c>
      <c r="Z1567" s="9">
        <f>IF(OR(W1567="",W1567=0),"",(Y1567-W1567)/W1567)</f>
        <v/>
      </c>
      <c r="AA1567" s="7">
        <f>IF(COUNT(D1567:V1567)=0,"",INDEX($D$1:$V$1,MATCH(MIN(D1567:V1567),D1567:V1567,0)))</f>
        <v/>
      </c>
      <c r="AB1567" s="8" t="n">
        <v>40.38</v>
      </c>
      <c r="AC1567" s="10" t="n">
        <v>1</v>
      </c>
    </row>
    <row r="1568">
      <c r="A1568" s="7" t="inlineStr">
        <is>
          <t>MAT-32-213</t>
        </is>
      </c>
      <c r="B1568" s="4" t="inlineStr">
        <is>
          <t>Codo de 90° de PVC 2"</t>
        </is>
      </c>
      <c r="C1568" s="7" t="inlineStr">
        <is>
          <t>unidad</t>
        </is>
      </c>
      <c r="D1568" s="8" t="n"/>
      <c r="E1568" s="8" t="n">
        <v>120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>
        <f>IF(COUNT(D1568:V1568)=0,"",MIN(D1568:V1568))</f>
        <v/>
      </c>
      <c r="X1568" s="8">
        <f>IF(COUNT(D1568:V1568)=0,"",MEDIAN(D1568:V1568))</f>
        <v/>
      </c>
      <c r="Y1568" s="8">
        <f>IF(COUNT(D1568:V1568)=0,"",MAX(D1568:V1568))</f>
        <v/>
      </c>
      <c r="Z1568" s="9">
        <f>IF(OR(W1568="",W1568=0),"",(Y1568-W1568)/W1568)</f>
        <v/>
      </c>
      <c r="AA1568" s="7">
        <f>IF(COUNT(D1568:V1568)=0,"",INDEX($D$1:$V$1,MATCH(MIN(D1568:V1568),D1568:V1568,0)))</f>
        <v/>
      </c>
      <c r="AB1568" s="8" t="n">
        <v>120</v>
      </c>
      <c r="AC1568" s="10" t="n">
        <v>1</v>
      </c>
    </row>
    <row r="1569">
      <c r="A1569" s="7" t="inlineStr">
        <is>
          <t>MAT-32-214</t>
        </is>
      </c>
      <c r="B1569" s="4" t="inlineStr">
        <is>
          <t>Codo de 90° de PVC 3/4"</t>
        </is>
      </c>
      <c r="C1569" s="7" t="inlineStr">
        <is>
          <t>unidad</t>
        </is>
      </c>
      <c r="D1569" s="8" t="n"/>
      <c r="E1569" s="8" t="n">
        <v>22.22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>
        <f>IF(COUNT(D1569:V1569)=0,"",MIN(D1569:V1569))</f>
        <v/>
      </c>
      <c r="X1569" s="8">
        <f>IF(COUNT(D1569:V1569)=0,"",MEDIAN(D1569:V1569))</f>
        <v/>
      </c>
      <c r="Y1569" s="8">
        <f>IF(COUNT(D1569:V1569)=0,"",MAX(D1569:V1569))</f>
        <v/>
      </c>
      <c r="Z1569" s="9">
        <f>IF(OR(W1569="",W1569=0),"",(Y1569-W1569)/W1569)</f>
        <v/>
      </c>
      <c r="AA1569" s="7">
        <f>IF(COUNT(D1569:V1569)=0,"",INDEX($D$1:$V$1,MATCH(MIN(D1569:V1569),D1569:V1569,0)))</f>
        <v/>
      </c>
      <c r="AB1569" s="8" t="n">
        <v>22.22</v>
      </c>
      <c r="AC1569" s="10" t="n">
        <v>1</v>
      </c>
    </row>
    <row r="1570">
      <c r="A1570" s="7" t="inlineStr">
        <is>
          <t>MAT-32-215</t>
        </is>
      </c>
      <c r="B1570" s="4" t="inlineStr">
        <is>
          <t>Codo de 90° de PVC presión 1 1/2"</t>
        </is>
      </c>
      <c r="C1570" s="7" t="inlineStr">
        <is>
          <t>unidad</t>
        </is>
      </c>
      <c r="D1570" s="8" t="n"/>
      <c r="E1570" s="8" t="n">
        <v>28.52</v>
      </c>
      <c r="F1570" s="8" t="n"/>
      <c r="G1570" s="8" t="n">
        <v>55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>
        <f>IF(COUNT(D1570:V1570)=0,"",MIN(D1570:V1570))</f>
        <v/>
      </c>
      <c r="X1570" s="8">
        <f>IF(COUNT(D1570:V1570)=0,"",MEDIAN(D1570:V1570))</f>
        <v/>
      </c>
      <c r="Y1570" s="8">
        <f>IF(COUNT(D1570:V1570)=0,"",MAX(D1570:V1570))</f>
        <v/>
      </c>
      <c r="Z1570" s="9">
        <f>IF(OR(W1570="",W1570=0),"",(Y1570-W1570)/W1570)</f>
        <v/>
      </c>
      <c r="AA1570" s="7">
        <f>IF(COUNT(D1570:V1570)=0,"",INDEX($D$1:$V$1,MATCH(MIN(D1570:V1570),D1570:V1570,0)))</f>
        <v/>
      </c>
      <c r="AB1570" s="8" t="n">
        <v>44.53</v>
      </c>
      <c r="AC1570" s="10" t="n">
        <v>2</v>
      </c>
    </row>
    <row r="1571">
      <c r="A1571" s="7" t="inlineStr">
        <is>
          <t>MAT-32-216</t>
        </is>
      </c>
      <c r="B1571" s="4" t="inlineStr">
        <is>
          <t>Codo de 90° de PVC presión 1/2"</t>
        </is>
      </c>
      <c r="C1571" s="7" t="inlineStr">
        <is>
          <t>unidad</t>
        </is>
      </c>
      <c r="D1571" s="8" t="n"/>
      <c r="E1571" s="8" t="n">
        <v>5.75</v>
      </c>
      <c r="F1571" s="8" t="n"/>
      <c r="G1571" s="8" t="n">
        <v>15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>
        <f>IF(COUNT(D1571:V1571)=0,"",MIN(D1571:V1571))</f>
        <v/>
      </c>
      <c r="X1571" s="8">
        <f>IF(COUNT(D1571:V1571)=0,"",MEDIAN(D1571:V1571))</f>
        <v/>
      </c>
      <c r="Y1571" s="8">
        <f>IF(COUNT(D1571:V1571)=0,"",MAX(D1571:V1571))</f>
        <v/>
      </c>
      <c r="Z1571" s="9">
        <f>IF(OR(W1571="",W1571=0),"",(Y1571-W1571)/W1571)</f>
        <v/>
      </c>
      <c r="AA1571" s="7">
        <f>IF(COUNT(D1571:V1571)=0,"",INDEX($D$1:$V$1,MATCH(MIN(D1571:V1571),D1571:V1571,0)))</f>
        <v/>
      </c>
      <c r="AB1571" s="8" t="n">
        <v>10</v>
      </c>
      <c r="AC1571" s="10" t="n">
        <v>2</v>
      </c>
    </row>
    <row r="1572">
      <c r="A1572" s="7" t="inlineStr">
        <is>
          <t>MAT-32-217</t>
        </is>
      </c>
      <c r="B1572" s="4" t="inlineStr">
        <is>
          <t>Codo de 90° de PVC presión 1"</t>
        </is>
      </c>
      <c r="C1572" s="7" t="inlineStr">
        <is>
          <t>unidad</t>
        </is>
      </c>
      <c r="D1572" s="8" t="n"/>
      <c r="E1572" s="8" t="n">
        <v>11.38</v>
      </c>
      <c r="F1572" s="8" t="n"/>
      <c r="G1572" s="8" t="n">
        <v>27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>
        <f>IF(COUNT(D1572:V1572)=0,"",MIN(D1572:V1572))</f>
        <v/>
      </c>
      <c r="X1572" s="8">
        <f>IF(COUNT(D1572:V1572)=0,"",MEDIAN(D1572:V1572))</f>
        <v/>
      </c>
      <c r="Y1572" s="8">
        <f>IF(COUNT(D1572:V1572)=0,"",MAX(D1572:V1572))</f>
        <v/>
      </c>
      <c r="Z1572" s="9">
        <f>IF(OR(W1572="",W1572=0),"",(Y1572-W1572)/W1572)</f>
        <v/>
      </c>
      <c r="AA1572" s="7">
        <f>IF(COUNT(D1572:V1572)=0,"",INDEX($D$1:$V$1,MATCH(MIN(D1572:V1572),D1572:V1572,0)))</f>
        <v/>
      </c>
      <c r="AB1572" s="8" t="n">
        <v>20.05</v>
      </c>
      <c r="AC1572" s="10" t="n">
        <v>2</v>
      </c>
    </row>
    <row r="1573">
      <c r="A1573" s="7" t="inlineStr">
        <is>
          <t>MAT-32-218</t>
        </is>
      </c>
      <c r="B1573" s="4" t="inlineStr">
        <is>
          <t>Codo de 90° de PVC presión 2"</t>
        </is>
      </c>
      <c r="C1573" s="7" t="inlineStr">
        <is>
          <t>unidad</t>
        </is>
      </c>
      <c r="D1573" s="8" t="n"/>
      <c r="E1573" s="8" t="n">
        <v>46.28</v>
      </c>
      <c r="F1573" s="8" t="n"/>
      <c r="G1573" s="8" t="n">
        <v>145</v>
      </c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>
        <f>IF(COUNT(D1573:V1573)=0,"",MIN(D1573:V1573))</f>
        <v/>
      </c>
      <c r="X1573" s="8">
        <f>IF(COUNT(D1573:V1573)=0,"",MEDIAN(D1573:V1573))</f>
        <v/>
      </c>
      <c r="Y1573" s="8">
        <f>IF(COUNT(D1573:V1573)=0,"",MAX(D1573:V1573))</f>
        <v/>
      </c>
      <c r="Z1573" s="9">
        <f>IF(OR(W1573="",W1573=0),"",(Y1573-W1573)/W1573)</f>
        <v/>
      </c>
      <c r="AA1573" s="7">
        <f>IF(COUNT(D1573:V1573)=0,"",INDEX($D$1:$V$1,MATCH(MIN(D1573:V1573),D1573:V1573,0)))</f>
        <v/>
      </c>
      <c r="AB1573" s="8" t="n">
        <v>67.15000000000001</v>
      </c>
      <c r="AC1573" s="10" t="n">
        <v>2</v>
      </c>
    </row>
    <row r="1574">
      <c r="A1574" s="7" t="inlineStr">
        <is>
          <t>MAT-32-219</t>
        </is>
      </c>
      <c r="B1574" s="4" t="inlineStr">
        <is>
          <t>Codo de 90° de PVC presión 3/4"</t>
        </is>
      </c>
      <c r="C1574" s="7" t="inlineStr">
        <is>
          <t>unidad</t>
        </is>
      </c>
      <c r="D1574" s="8" t="n"/>
      <c r="E1574" s="8" t="n">
        <v>8.42</v>
      </c>
      <c r="F1574" s="8" t="n"/>
      <c r="G1574" s="8" t="n">
        <v>15</v>
      </c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>
        <f>IF(COUNT(D1574:V1574)=0,"",MIN(D1574:V1574))</f>
        <v/>
      </c>
      <c r="X1574" s="8">
        <f>IF(COUNT(D1574:V1574)=0,"",MEDIAN(D1574:V1574))</f>
        <v/>
      </c>
      <c r="Y1574" s="8">
        <f>IF(COUNT(D1574:V1574)=0,"",MAX(D1574:V1574))</f>
        <v/>
      </c>
      <c r="Z1574" s="9">
        <f>IF(OR(W1574="",W1574=0),"",(Y1574-W1574)/W1574)</f>
        <v/>
      </c>
      <c r="AA1574" s="7">
        <f>IF(COUNT(D1574:V1574)=0,"",INDEX($D$1:$V$1,MATCH(MIN(D1574:V1574),D1574:V1574,0)))</f>
        <v/>
      </c>
      <c r="AB1574" s="8" t="n">
        <v>12.15</v>
      </c>
      <c r="AC1574" s="10" t="n">
        <v>2</v>
      </c>
    </row>
    <row r="1575">
      <c r="A1575" s="7" t="inlineStr">
        <is>
          <t>MAT-32-220</t>
        </is>
      </c>
      <c r="B1575" s="4" t="inlineStr">
        <is>
          <t>Codo de 90° de PVC presión 3"</t>
        </is>
      </c>
      <c r="C1575" s="7" t="inlineStr">
        <is>
          <t>unidad</t>
        </is>
      </c>
      <c r="D1575" s="8" t="n"/>
      <c r="E1575" s="8" t="n">
        <v>126</v>
      </c>
      <c r="F1575" s="8" t="n"/>
      <c r="G1575" s="8" t="n">
        <v>233</v>
      </c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>
        <f>IF(COUNT(D1575:V1575)=0,"",MIN(D1575:V1575))</f>
        <v/>
      </c>
      <c r="X1575" s="8">
        <f>IF(COUNT(D1575:V1575)=0,"",MEDIAN(D1575:V1575))</f>
        <v/>
      </c>
      <c r="Y1575" s="8">
        <f>IF(COUNT(D1575:V1575)=0,"",MAX(D1575:V1575))</f>
        <v/>
      </c>
      <c r="Z1575" s="9">
        <f>IF(OR(W1575="",W1575=0),"",(Y1575-W1575)/W1575)</f>
        <v/>
      </c>
      <c r="AA1575" s="7">
        <f>IF(COUNT(D1575:V1575)=0,"",INDEX($D$1:$V$1,MATCH(MIN(D1575:V1575),D1575:V1575,0)))</f>
        <v/>
      </c>
      <c r="AB1575" s="8" t="n">
        <v>187.35</v>
      </c>
      <c r="AC1575" s="10" t="n">
        <v>2</v>
      </c>
    </row>
    <row r="1576">
      <c r="A1576" s="7" t="inlineStr">
        <is>
          <t>MAT-32-221</t>
        </is>
      </c>
      <c r="B1576" s="4" t="inlineStr">
        <is>
          <t>Codo de 90° de PVC presión 4"</t>
        </is>
      </c>
      <c r="C1576" s="7" t="inlineStr">
        <is>
          <t>unidad</t>
        </is>
      </c>
      <c r="D1576" s="8" t="n"/>
      <c r="E1576" s="8" t="n">
        <v>206</v>
      </c>
      <c r="F1576" s="8" t="n"/>
      <c r="G1576" s="8" t="n">
        <v>370</v>
      </c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>
        <f>IF(COUNT(D1576:V1576)=0,"",MIN(D1576:V1576))</f>
        <v/>
      </c>
      <c r="X1576" s="8">
        <f>IF(COUNT(D1576:V1576)=0,"",MEDIAN(D1576:V1576))</f>
        <v/>
      </c>
      <c r="Y1576" s="8">
        <f>IF(COUNT(D1576:V1576)=0,"",MAX(D1576:V1576))</f>
        <v/>
      </c>
      <c r="Z1576" s="9">
        <f>IF(OR(W1576="",W1576=0),"",(Y1576-W1576)/W1576)</f>
        <v/>
      </c>
      <c r="AA1576" s="7">
        <f>IF(COUNT(D1576:V1576)=0,"",INDEX($D$1:$V$1,MATCH(MIN(D1576:V1576),D1576:V1576,0)))</f>
        <v/>
      </c>
      <c r="AB1576" s="8" t="n">
        <v>309.43</v>
      </c>
      <c r="AC1576" s="10" t="n">
        <v>2</v>
      </c>
    </row>
    <row r="1577">
      <c r="A1577" s="7" t="inlineStr">
        <is>
          <t>MAT-32-222</t>
        </is>
      </c>
      <c r="B1577" s="4" t="inlineStr">
        <is>
          <t>Codo de 90° de PVC presión 6"</t>
        </is>
      </c>
      <c r="C1577" s="7" t="inlineStr">
        <is>
          <t>unidad</t>
        </is>
      </c>
      <c r="D1577" s="8" t="n"/>
      <c r="E1577" s="8" t="n">
        <v>710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>
        <f>IF(COUNT(D1577:V1577)=0,"",MIN(D1577:V1577))</f>
        <v/>
      </c>
      <c r="X1577" s="8">
        <f>IF(COUNT(D1577:V1577)=0,"",MEDIAN(D1577:V1577))</f>
        <v/>
      </c>
      <c r="Y1577" s="8">
        <f>IF(COUNT(D1577:V1577)=0,"",MAX(D1577:V1577))</f>
        <v/>
      </c>
      <c r="Z1577" s="9">
        <f>IF(OR(W1577="",W1577=0),"",(Y1577-W1577)/W1577)</f>
        <v/>
      </c>
      <c r="AA1577" s="7">
        <f>IF(COUNT(D1577:V1577)=0,"",INDEX($D$1:$V$1,MATCH(MIN(D1577:V1577),D1577:V1577,0)))</f>
        <v/>
      </c>
      <c r="AB1577" s="8" t="n">
        <v>787.5</v>
      </c>
      <c r="AC1577" s="10" t="n">
        <v>1</v>
      </c>
    </row>
    <row r="1578">
      <c r="A1578" s="7" t="inlineStr">
        <is>
          <t>MAT-32-223</t>
        </is>
      </c>
      <c r="B1578" s="4" t="inlineStr">
        <is>
          <t>Codo de 90° de PVC presión 8"</t>
        </is>
      </c>
      <c r="C1578" s="7" t="inlineStr">
        <is>
          <t>unidad</t>
        </is>
      </c>
      <c r="D1578" s="8" t="n"/>
      <c r="E1578" s="8" t="n">
        <v>4205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>
        <f>IF(COUNT(D1578:V1578)=0,"",MIN(D1578:V1578))</f>
        <v/>
      </c>
      <c r="X1578" s="8">
        <f>IF(COUNT(D1578:V1578)=0,"",MEDIAN(D1578:V1578))</f>
        <v/>
      </c>
      <c r="Y1578" s="8">
        <f>IF(COUNT(D1578:V1578)=0,"",MAX(D1578:V1578))</f>
        <v/>
      </c>
      <c r="Z1578" s="9">
        <f>IF(OR(W1578="",W1578=0),"",(Y1578-W1578)/W1578)</f>
        <v/>
      </c>
      <c r="AA1578" s="7">
        <f>IF(COUNT(D1578:V1578)=0,"",INDEX($D$1:$V$1,MATCH(MIN(D1578:V1578),D1578:V1578,0)))</f>
        <v/>
      </c>
      <c r="AB1578" s="8" t="n">
        <v>4205</v>
      </c>
      <c r="AC1578" s="10" t="n">
        <v>1</v>
      </c>
    </row>
    <row r="1579">
      <c r="A1579" s="7" t="inlineStr">
        <is>
          <t>MAT-32-224</t>
        </is>
      </c>
      <c r="B1579" s="4" t="inlineStr">
        <is>
          <t>Codo de bronce 1/2"</t>
        </is>
      </c>
      <c r="C1579" s="7" t="inlineStr">
        <is>
          <t>unidad</t>
        </is>
      </c>
      <c r="D1579" s="8" t="n"/>
      <c r="E1579" s="8" t="n">
        <v>195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>
        <f>IF(COUNT(D1579:V1579)=0,"",MIN(D1579:V1579))</f>
        <v/>
      </c>
      <c r="X1579" s="8">
        <f>IF(COUNT(D1579:V1579)=0,"",MEDIAN(D1579:V1579))</f>
        <v/>
      </c>
      <c r="Y1579" s="8">
        <f>IF(COUNT(D1579:V1579)=0,"",MAX(D1579:V1579))</f>
        <v/>
      </c>
      <c r="Z1579" s="9">
        <f>IF(OR(W1579="",W1579=0),"",(Y1579-W1579)/W1579)</f>
        <v/>
      </c>
      <c r="AA1579" s="7">
        <f>IF(COUNT(D1579:V1579)=0,"",INDEX($D$1:$V$1,MATCH(MIN(D1579:V1579),D1579:V1579,0)))</f>
        <v/>
      </c>
      <c r="AB1579" s="8" t="n">
        <v>195</v>
      </c>
      <c r="AC1579" s="10" t="n">
        <v>1</v>
      </c>
    </row>
    <row r="1580">
      <c r="A1580" s="7" t="inlineStr">
        <is>
          <t>MAT-32-225</t>
        </is>
      </c>
      <c r="B1580" s="4" t="inlineStr">
        <is>
          <t>Codo de bronce 1/4"</t>
        </is>
      </c>
      <c r="C1580" s="7" t="inlineStr">
        <is>
          <t>unidad</t>
        </is>
      </c>
      <c r="D1580" s="8" t="n"/>
      <c r="E1580" s="8" t="n">
        <v>60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>
        <f>IF(COUNT(D1580:V1580)=0,"",MIN(D1580:V1580))</f>
        <v/>
      </c>
      <c r="X1580" s="8">
        <f>IF(COUNT(D1580:V1580)=0,"",MEDIAN(D1580:V1580))</f>
        <v/>
      </c>
      <c r="Y1580" s="8">
        <f>IF(COUNT(D1580:V1580)=0,"",MAX(D1580:V1580))</f>
        <v/>
      </c>
      <c r="Z1580" s="9">
        <f>IF(OR(W1580="",W1580=0),"",(Y1580-W1580)/W1580)</f>
        <v/>
      </c>
      <c r="AA1580" s="7">
        <f>IF(COUNT(D1580:V1580)=0,"",INDEX($D$1:$V$1,MATCH(MIN(D1580:V1580),D1580:V1580,0)))</f>
        <v/>
      </c>
      <c r="AB1580" s="8" t="n">
        <v>65</v>
      </c>
      <c r="AC1580" s="10" t="n">
        <v>1</v>
      </c>
    </row>
    <row r="1581">
      <c r="A1581" s="7" t="inlineStr">
        <is>
          <t>MAT-32-226</t>
        </is>
      </c>
      <c r="B1581" s="4" t="inlineStr">
        <is>
          <t>Codo de bronce 12"</t>
        </is>
      </c>
      <c r="C1581" s="7" t="inlineStr">
        <is>
          <t>unidad</t>
        </is>
      </c>
      <c r="D1581" s="8" t="n"/>
      <c r="E1581" s="8" t="n">
        <v>407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>
        <f>IF(COUNT(D1581:V1581)=0,"",MIN(D1581:V1581))</f>
        <v/>
      </c>
      <c r="X1581" s="8">
        <f>IF(COUNT(D1581:V1581)=0,"",MEDIAN(D1581:V1581))</f>
        <v/>
      </c>
      <c r="Y1581" s="8">
        <f>IF(COUNT(D1581:V1581)=0,"",MAX(D1581:V1581))</f>
        <v/>
      </c>
      <c r="Z1581" s="9">
        <f>IF(OR(W1581="",W1581=0),"",(Y1581-W1581)/W1581)</f>
        <v/>
      </c>
      <c r="AA1581" s="7">
        <f>IF(COUNT(D1581:V1581)=0,"",INDEX($D$1:$V$1,MATCH(MIN(D1581:V1581),D1581:V1581,0)))</f>
        <v/>
      </c>
      <c r="AB1581" s="8" t="n">
        <v>407</v>
      </c>
      <c r="AC1581" s="10" t="n">
        <v>1</v>
      </c>
    </row>
    <row r="1582">
      <c r="A1582" s="7" t="inlineStr">
        <is>
          <t>MAT-32-227</t>
        </is>
      </c>
      <c r="B1582" s="4" t="inlineStr">
        <is>
          <t>Codo de bronce 12" x 1/2"</t>
        </is>
      </c>
      <c r="C1582" s="7" t="inlineStr">
        <is>
          <t>unidad</t>
        </is>
      </c>
      <c r="D1582" s="8" t="n"/>
      <c r="E1582" s="8" t="n">
        <v>279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>
        <f>IF(COUNT(D1582:V1582)=0,"",MIN(D1582:V1582))</f>
        <v/>
      </c>
      <c r="X1582" s="8">
        <f>IF(COUNT(D1582:V1582)=0,"",MEDIAN(D1582:V1582))</f>
        <v/>
      </c>
      <c r="Y1582" s="8">
        <f>IF(COUNT(D1582:V1582)=0,"",MAX(D1582:V1582))</f>
        <v/>
      </c>
      <c r="Z1582" s="9">
        <f>IF(OR(W1582="",W1582=0),"",(Y1582-W1582)/W1582)</f>
        <v/>
      </c>
      <c r="AA1582" s="7">
        <f>IF(COUNT(D1582:V1582)=0,"",INDEX($D$1:$V$1,MATCH(MIN(D1582:V1582),D1582:V1582,0)))</f>
        <v/>
      </c>
      <c r="AB1582" s="8" t="n">
        <v>287</v>
      </c>
      <c r="AC1582" s="10" t="n">
        <v>1</v>
      </c>
    </row>
    <row r="1583">
      <c r="A1583" s="7" t="inlineStr">
        <is>
          <t>MAT-32-228</t>
        </is>
      </c>
      <c r="B1583" s="4" t="inlineStr">
        <is>
          <t>Codo de bronce 15"</t>
        </is>
      </c>
      <c r="C1583" s="7" t="inlineStr">
        <is>
          <t>unidad</t>
        </is>
      </c>
      <c r="D1583" s="8" t="n"/>
      <c r="E1583" s="8" t="n">
        <v>422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>
        <f>IF(COUNT(D1583:V1583)=0,"",MIN(D1583:V1583))</f>
        <v/>
      </c>
      <c r="X1583" s="8">
        <f>IF(COUNT(D1583:V1583)=0,"",MEDIAN(D1583:V1583))</f>
        <v/>
      </c>
      <c r="Y1583" s="8">
        <f>IF(COUNT(D1583:V1583)=0,"",MAX(D1583:V1583))</f>
        <v/>
      </c>
      <c r="Z1583" s="9">
        <f>IF(OR(W1583="",W1583=0),"",(Y1583-W1583)/W1583)</f>
        <v/>
      </c>
      <c r="AA1583" s="7">
        <f>IF(COUNT(D1583:V1583)=0,"",INDEX($D$1:$V$1,MATCH(MIN(D1583:V1583),D1583:V1583,0)))</f>
        <v/>
      </c>
      <c r="AB1583" s="8" t="n">
        <v>432</v>
      </c>
      <c r="AC1583" s="10" t="n">
        <v>1</v>
      </c>
    </row>
    <row r="1584">
      <c r="A1584" s="7" t="inlineStr">
        <is>
          <t>MAT-32-229</t>
        </is>
      </c>
      <c r="B1584" s="4" t="inlineStr">
        <is>
          <t>Codo de bronce 15" x 1/2"</t>
        </is>
      </c>
      <c r="C1584" s="7" t="inlineStr">
        <is>
          <t>unidad</t>
        </is>
      </c>
      <c r="D1584" s="8" t="n"/>
      <c r="E1584" s="8" t="n">
        <v>269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>
        <f>IF(COUNT(D1584:V1584)=0,"",MIN(D1584:V1584))</f>
        <v/>
      </c>
      <c r="X1584" s="8">
        <f>IF(COUNT(D1584:V1584)=0,"",MEDIAN(D1584:V1584))</f>
        <v/>
      </c>
      <c r="Y1584" s="8">
        <f>IF(COUNT(D1584:V1584)=0,"",MAX(D1584:V1584))</f>
        <v/>
      </c>
      <c r="Z1584" s="9">
        <f>IF(OR(W1584="",W1584=0),"",(Y1584-W1584)/W1584)</f>
        <v/>
      </c>
      <c r="AA1584" s="7">
        <f>IF(COUNT(D1584:V1584)=0,"",INDEX($D$1:$V$1,MATCH(MIN(D1584:V1584),D1584:V1584,0)))</f>
        <v/>
      </c>
      <c r="AB1584" s="8" t="n">
        <v>294.5</v>
      </c>
      <c r="AC1584" s="10" t="n">
        <v>1</v>
      </c>
    </row>
    <row r="1585">
      <c r="A1585" s="7" t="inlineStr">
        <is>
          <t>MAT-32-230</t>
        </is>
      </c>
      <c r="B1585" s="4" t="inlineStr">
        <is>
          <t>Codo de bronce 15" x 3/4"</t>
        </is>
      </c>
      <c r="C1585" s="7" t="inlineStr">
        <is>
          <t>unidad</t>
        </is>
      </c>
      <c r="D1585" s="8" t="n"/>
      <c r="E1585" s="8" t="n">
        <v>430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>
        <f>IF(COUNT(D1585:V1585)=0,"",MIN(D1585:V1585))</f>
        <v/>
      </c>
      <c r="X1585" s="8">
        <f>IF(COUNT(D1585:V1585)=0,"",MEDIAN(D1585:V1585))</f>
        <v/>
      </c>
      <c r="Y1585" s="8">
        <f>IF(COUNT(D1585:V1585)=0,"",MAX(D1585:V1585))</f>
        <v/>
      </c>
      <c r="Z1585" s="9">
        <f>IF(OR(W1585="",W1585=0),"",(Y1585-W1585)/W1585)</f>
        <v/>
      </c>
      <c r="AA1585" s="7">
        <f>IF(COUNT(D1585:V1585)=0,"",INDEX($D$1:$V$1,MATCH(MIN(D1585:V1585),D1585:V1585,0)))</f>
        <v/>
      </c>
      <c r="AB1585" s="8" t="n">
        <v>430</v>
      </c>
      <c r="AC1585" s="10" t="n">
        <v>1</v>
      </c>
    </row>
    <row r="1586">
      <c r="A1586" s="7" t="inlineStr">
        <is>
          <t>MAT-32-231</t>
        </is>
      </c>
      <c r="B1586" s="4" t="inlineStr">
        <is>
          <t>Codo de bronce 18"</t>
        </is>
      </c>
      <c r="C1586" s="7" t="inlineStr">
        <is>
          <t>unidad</t>
        </is>
      </c>
      <c r="D1586" s="8" t="n"/>
      <c r="E1586" s="8" t="n">
        <v>592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>
        <f>IF(COUNT(D1586:V1586)=0,"",MIN(D1586:V1586))</f>
        <v/>
      </c>
      <c r="X1586" s="8">
        <f>IF(COUNT(D1586:V1586)=0,"",MEDIAN(D1586:V1586))</f>
        <v/>
      </c>
      <c r="Y1586" s="8">
        <f>IF(COUNT(D1586:V1586)=0,"",MAX(D1586:V1586))</f>
        <v/>
      </c>
      <c r="Z1586" s="9">
        <f>IF(OR(W1586="",W1586=0),"",(Y1586-W1586)/W1586)</f>
        <v/>
      </c>
      <c r="AA1586" s="7">
        <f>IF(COUNT(D1586:V1586)=0,"",INDEX($D$1:$V$1,MATCH(MIN(D1586:V1586),D1586:V1586,0)))</f>
        <v/>
      </c>
      <c r="AB1586" s="8" t="n">
        <v>592</v>
      </c>
      <c r="AC1586" s="10" t="n">
        <v>1</v>
      </c>
    </row>
    <row r="1587">
      <c r="A1587" s="7" t="inlineStr">
        <is>
          <t>MAT-32-232</t>
        </is>
      </c>
      <c r="B1587" s="4" t="inlineStr">
        <is>
          <t>Codo de bronce 18" x 1/2"</t>
        </is>
      </c>
      <c r="C1587" s="7" t="inlineStr">
        <is>
          <t>unidad</t>
        </is>
      </c>
      <c r="D1587" s="8" t="n"/>
      <c r="E1587" s="8" t="n">
        <v>370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>
        <f>IF(COUNT(D1587:V1587)=0,"",MIN(D1587:V1587))</f>
        <v/>
      </c>
      <c r="X1587" s="8">
        <f>IF(COUNT(D1587:V1587)=0,"",MEDIAN(D1587:V1587))</f>
        <v/>
      </c>
      <c r="Y1587" s="8">
        <f>IF(COUNT(D1587:V1587)=0,"",MAX(D1587:V1587))</f>
        <v/>
      </c>
      <c r="Z1587" s="9">
        <f>IF(OR(W1587="",W1587=0),"",(Y1587-W1587)/W1587)</f>
        <v/>
      </c>
      <c r="AA1587" s="7">
        <f>IF(COUNT(D1587:V1587)=0,"",INDEX($D$1:$V$1,MATCH(MIN(D1587:V1587),D1587:V1587,0)))</f>
        <v/>
      </c>
      <c r="AB1587" s="8" t="n">
        <v>421</v>
      </c>
      <c r="AC1587" s="10" t="n">
        <v>1</v>
      </c>
    </row>
    <row r="1588">
      <c r="A1588" s="7" t="inlineStr">
        <is>
          <t>MAT-32-233</t>
        </is>
      </c>
      <c r="B1588" s="4" t="inlineStr">
        <is>
          <t>Codo de bronce 18" x 3/4"</t>
        </is>
      </c>
      <c r="C1588" s="7" t="inlineStr">
        <is>
          <t>unidad</t>
        </is>
      </c>
      <c r="D1588" s="8" t="n"/>
      <c r="E1588" s="8" t="n">
        <v>415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>
        <f>IF(COUNT(D1588:V1588)=0,"",MIN(D1588:V1588))</f>
        <v/>
      </c>
      <c r="X1588" s="8">
        <f>IF(COUNT(D1588:V1588)=0,"",MEDIAN(D1588:V1588))</f>
        <v/>
      </c>
      <c r="Y1588" s="8">
        <f>IF(COUNT(D1588:V1588)=0,"",MAX(D1588:V1588))</f>
        <v/>
      </c>
      <c r="Z1588" s="9">
        <f>IF(OR(W1588="",W1588=0),"",(Y1588-W1588)/W1588)</f>
        <v/>
      </c>
      <c r="AA1588" s="7">
        <f>IF(COUNT(D1588:V1588)=0,"",INDEX($D$1:$V$1,MATCH(MIN(D1588:V1588),D1588:V1588,0)))</f>
        <v/>
      </c>
      <c r="AB1588" s="8" t="n">
        <v>499</v>
      </c>
      <c r="AC1588" s="10" t="n">
        <v>1</v>
      </c>
    </row>
    <row r="1589">
      <c r="A1589" s="7" t="inlineStr">
        <is>
          <t>MAT-32-234</t>
        </is>
      </c>
      <c r="B1589" s="4" t="inlineStr">
        <is>
          <t>Codo de bronce 25 mm</t>
        </is>
      </c>
      <c r="C1589" s="7" t="inlineStr">
        <is>
          <t>unidad</t>
        </is>
      </c>
      <c r="D1589" s="8" t="n"/>
      <c r="E1589" s="8" t="n">
        <v>724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>
        <f>IF(COUNT(D1589:V1589)=0,"",MIN(D1589:V1589))</f>
        <v/>
      </c>
      <c r="X1589" s="8">
        <f>IF(COUNT(D1589:V1589)=0,"",MEDIAN(D1589:V1589))</f>
        <v/>
      </c>
      <c r="Y1589" s="8">
        <f>IF(COUNT(D1589:V1589)=0,"",MAX(D1589:V1589))</f>
        <v/>
      </c>
      <c r="Z1589" s="9">
        <f>IF(OR(W1589="",W1589=0),"",(Y1589-W1589)/W1589)</f>
        <v/>
      </c>
      <c r="AA1589" s="7">
        <f>IF(COUNT(D1589:V1589)=0,"",INDEX($D$1:$V$1,MATCH(MIN(D1589:V1589),D1589:V1589,0)))</f>
        <v/>
      </c>
      <c r="AB1589" s="8" t="n">
        <v>724</v>
      </c>
      <c r="AC1589" s="10" t="n">
        <v>1</v>
      </c>
    </row>
    <row r="1590">
      <c r="A1590" s="7" t="inlineStr">
        <is>
          <t>MAT-32-235</t>
        </is>
      </c>
      <c r="B1590" s="4" t="inlineStr">
        <is>
          <t>Codo de bronce 25"</t>
        </is>
      </c>
      <c r="C1590" s="7" t="inlineStr">
        <is>
          <t>unidad</t>
        </is>
      </c>
      <c r="D1590" s="8" t="n"/>
      <c r="E1590" s="8" t="n">
        <v>500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>
        <f>IF(COUNT(D1590:V1590)=0,"",MIN(D1590:V1590))</f>
        <v/>
      </c>
      <c r="X1590" s="8">
        <f>IF(COUNT(D1590:V1590)=0,"",MEDIAN(D1590:V1590))</f>
        <v/>
      </c>
      <c r="Y1590" s="8">
        <f>IF(COUNT(D1590:V1590)=0,"",MAX(D1590:V1590))</f>
        <v/>
      </c>
      <c r="Z1590" s="9">
        <f>IF(OR(W1590="",W1590=0),"",(Y1590-W1590)/W1590)</f>
        <v/>
      </c>
      <c r="AA1590" s="7">
        <f>IF(COUNT(D1590:V1590)=0,"",INDEX($D$1:$V$1,MATCH(MIN(D1590:V1590),D1590:V1590,0)))</f>
        <v/>
      </c>
      <c r="AB1590" s="8" t="n">
        <v>500</v>
      </c>
      <c r="AC1590" s="10" t="n">
        <v>1</v>
      </c>
    </row>
    <row r="1591">
      <c r="A1591" s="7" t="inlineStr">
        <is>
          <t>MAT-32-236</t>
        </is>
      </c>
      <c r="B1591" s="4" t="inlineStr">
        <is>
          <t>Codo de bronce 3/8"</t>
        </is>
      </c>
      <c r="C1591" s="7" t="inlineStr">
        <is>
          <t>unidad</t>
        </is>
      </c>
      <c r="D1591" s="8" t="n"/>
      <c r="E1591" s="8" t="n">
        <v>99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>
        <f>IF(COUNT(D1591:V1591)=0,"",MIN(D1591:V1591))</f>
        <v/>
      </c>
      <c r="X1591" s="8">
        <f>IF(COUNT(D1591:V1591)=0,"",MEDIAN(D1591:V1591))</f>
        <v/>
      </c>
      <c r="Y1591" s="8">
        <f>IF(COUNT(D1591:V1591)=0,"",MAX(D1591:V1591))</f>
        <v/>
      </c>
      <c r="Z1591" s="9">
        <f>IF(OR(W1591="",W1591=0),"",(Y1591-W1591)/W1591)</f>
        <v/>
      </c>
      <c r="AA1591" s="7">
        <f>IF(COUNT(D1591:V1591)=0,"",INDEX($D$1:$V$1,MATCH(MIN(D1591:V1591),D1591:V1591,0)))</f>
        <v/>
      </c>
      <c r="AB1591" s="8" t="n">
        <v>147</v>
      </c>
      <c r="AC1591" s="10" t="n">
        <v>1</v>
      </c>
    </row>
    <row r="1592">
      <c r="A1592" s="7" t="inlineStr">
        <is>
          <t>MAT-32-237</t>
        </is>
      </c>
      <c r="B1592" s="4" t="inlineStr">
        <is>
          <t>Codo de bronce 32 mm</t>
        </is>
      </c>
      <c r="C1592" s="7" t="inlineStr">
        <is>
          <t>unidad</t>
        </is>
      </c>
      <c r="D1592" s="8" t="n"/>
      <c r="E1592" s="8" t="n">
        <v>1429</v>
      </c>
      <c r="F1592" s="8" t="n"/>
      <c r="G1592" s="8" t="n"/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>
        <f>IF(COUNT(D1592:V1592)=0,"",MIN(D1592:V1592))</f>
        <v/>
      </c>
      <c r="X1592" s="8">
        <f>IF(COUNT(D1592:V1592)=0,"",MEDIAN(D1592:V1592))</f>
        <v/>
      </c>
      <c r="Y1592" s="8">
        <f>IF(COUNT(D1592:V1592)=0,"",MAX(D1592:V1592))</f>
        <v/>
      </c>
      <c r="Z1592" s="9">
        <f>IF(OR(W1592="",W1592=0),"",(Y1592-W1592)/W1592)</f>
        <v/>
      </c>
      <c r="AA1592" s="7">
        <f>IF(COUNT(D1592:V1592)=0,"",INDEX($D$1:$V$1,MATCH(MIN(D1592:V1592),D1592:V1592,0)))</f>
        <v/>
      </c>
      <c r="AB1592" s="8" t="n">
        <v>1429</v>
      </c>
      <c r="AC1592" s="10" t="n">
        <v>1</v>
      </c>
    </row>
    <row r="1593">
      <c r="A1593" s="7" t="inlineStr">
        <is>
          <t>MAT-32-238</t>
        </is>
      </c>
      <c r="B1593" s="4" t="inlineStr">
        <is>
          <t>Codo de bronce 32"</t>
        </is>
      </c>
      <c r="C1593" s="7" t="inlineStr">
        <is>
          <t>unidad</t>
        </is>
      </c>
      <c r="D1593" s="8" t="n"/>
      <c r="E1593" s="8" t="n">
        <v>882</v>
      </c>
      <c r="F1593" s="8" t="n"/>
      <c r="G1593" s="8" t="n"/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>
        <f>IF(COUNT(D1593:V1593)=0,"",MIN(D1593:V1593))</f>
        <v/>
      </c>
      <c r="X1593" s="8">
        <f>IF(COUNT(D1593:V1593)=0,"",MEDIAN(D1593:V1593))</f>
        <v/>
      </c>
      <c r="Y1593" s="8">
        <f>IF(COUNT(D1593:V1593)=0,"",MAX(D1593:V1593))</f>
        <v/>
      </c>
      <c r="Z1593" s="9">
        <f>IF(OR(W1593="",W1593=0),"",(Y1593-W1593)/W1593)</f>
        <v/>
      </c>
      <c r="AA1593" s="7">
        <f>IF(COUNT(D1593:V1593)=0,"",INDEX($D$1:$V$1,MATCH(MIN(D1593:V1593),D1593:V1593,0)))</f>
        <v/>
      </c>
      <c r="AB1593" s="8" t="n">
        <v>882</v>
      </c>
      <c r="AC1593" s="10" t="n">
        <v>1</v>
      </c>
    </row>
    <row r="1594">
      <c r="A1594" s="7" t="inlineStr">
        <is>
          <t>MAT-32-239</t>
        </is>
      </c>
      <c r="B1594" s="4" t="inlineStr">
        <is>
          <t>Codo de HG 1 1/2"</t>
        </is>
      </c>
      <c r="C1594" s="7" t="inlineStr">
        <is>
          <t>unidad</t>
        </is>
      </c>
      <c r="D1594" s="8" t="n"/>
      <c r="E1594" s="8" t="n">
        <v>134</v>
      </c>
      <c r="F1594" s="8" t="n"/>
      <c r="G1594" s="8" t="n">
        <v>234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>
        <f>IF(COUNT(D1594:V1594)=0,"",MIN(D1594:V1594))</f>
        <v/>
      </c>
      <c r="X1594" s="8">
        <f>IF(COUNT(D1594:V1594)=0,"",MEDIAN(D1594:V1594))</f>
        <v/>
      </c>
      <c r="Y1594" s="8">
        <f>IF(COUNT(D1594:V1594)=0,"",MAX(D1594:V1594))</f>
        <v/>
      </c>
      <c r="Z1594" s="9">
        <f>IF(OR(W1594="",W1594=0),"",(Y1594-W1594)/W1594)</f>
        <v/>
      </c>
      <c r="AA1594" s="7">
        <f>IF(COUNT(D1594:V1594)=0,"",INDEX($D$1:$V$1,MATCH(MIN(D1594:V1594),D1594:V1594,0)))</f>
        <v/>
      </c>
      <c r="AB1594" s="8" t="n">
        <v>184</v>
      </c>
      <c r="AC1594" s="10" t="n">
        <v>2</v>
      </c>
    </row>
    <row r="1595">
      <c r="A1595" s="7" t="inlineStr">
        <is>
          <t>MAT-32-240</t>
        </is>
      </c>
      <c r="B1595" s="4" t="inlineStr">
        <is>
          <t>Codo de HG 1 1/4"</t>
        </is>
      </c>
      <c r="C1595" s="7" t="inlineStr">
        <is>
          <t>unidad</t>
        </is>
      </c>
      <c r="D1595" s="8" t="n"/>
      <c r="E1595" s="8" t="n"/>
      <c r="F1595" s="8" t="n"/>
      <c r="G1595" s="8" t="n">
        <v>130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>
        <f>IF(COUNT(D1595:V1595)=0,"",MIN(D1595:V1595))</f>
        <v/>
      </c>
      <c r="X1595" s="8">
        <f>IF(COUNT(D1595:V1595)=0,"",MEDIAN(D1595:V1595))</f>
        <v/>
      </c>
      <c r="Y1595" s="8">
        <f>IF(COUNT(D1595:V1595)=0,"",MAX(D1595:V1595))</f>
        <v/>
      </c>
      <c r="Z1595" s="9">
        <f>IF(OR(W1595="",W1595=0),"",(Y1595-W1595)/W1595)</f>
        <v/>
      </c>
      <c r="AA1595" s="7">
        <f>IF(COUNT(D1595:V1595)=0,"",INDEX($D$1:$V$1,MATCH(MIN(D1595:V1595),D1595:V1595,0)))</f>
        <v/>
      </c>
      <c r="AB1595" s="8" t="n">
        <v>130</v>
      </c>
      <c r="AC1595" s="10" t="n">
        <v>1</v>
      </c>
    </row>
    <row r="1596">
      <c r="A1596" s="7" t="inlineStr">
        <is>
          <t>MAT-32-241</t>
        </is>
      </c>
      <c r="B1596" s="4" t="inlineStr">
        <is>
          <t>Codo de HG 1/2"</t>
        </is>
      </c>
      <c r="C1596" s="7" t="inlineStr">
        <is>
          <t>unidad</t>
        </is>
      </c>
      <c r="D1596" s="8" t="n"/>
      <c r="E1596" s="8" t="n">
        <v>26</v>
      </c>
      <c r="F1596" s="8" t="n"/>
      <c r="G1596" s="8" t="n">
        <v>30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>
        <f>IF(COUNT(D1596:V1596)=0,"",MIN(D1596:V1596))</f>
        <v/>
      </c>
      <c r="X1596" s="8">
        <f>IF(COUNT(D1596:V1596)=0,"",MEDIAN(D1596:V1596))</f>
        <v/>
      </c>
      <c r="Y1596" s="8">
        <f>IF(COUNT(D1596:V1596)=0,"",MAX(D1596:V1596))</f>
        <v/>
      </c>
      <c r="Z1596" s="9">
        <f>IF(OR(W1596="",W1596=0),"",(Y1596-W1596)/W1596)</f>
        <v/>
      </c>
      <c r="AA1596" s="7">
        <f>IF(COUNT(D1596:V1596)=0,"",INDEX($D$1:$V$1,MATCH(MIN(D1596:V1596),D1596:V1596,0)))</f>
        <v/>
      </c>
      <c r="AB1596" s="8" t="n">
        <v>28</v>
      </c>
      <c r="AC1596" s="10" t="n">
        <v>2</v>
      </c>
    </row>
    <row r="1597">
      <c r="A1597" s="7" t="inlineStr">
        <is>
          <t>MAT-32-242</t>
        </is>
      </c>
      <c r="B1597" s="4" t="inlineStr">
        <is>
          <t>Codo de HG 1/4"</t>
        </is>
      </c>
      <c r="C1597" s="7" t="inlineStr">
        <is>
          <t>unidad</t>
        </is>
      </c>
      <c r="D1597" s="8" t="n"/>
      <c r="E1597" s="8" t="n"/>
      <c r="F1597" s="8" t="n"/>
      <c r="G1597" s="8" t="n">
        <v>75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>
        <f>IF(COUNT(D1597:V1597)=0,"",MIN(D1597:V1597))</f>
        <v/>
      </c>
      <c r="X1597" s="8">
        <f>IF(COUNT(D1597:V1597)=0,"",MEDIAN(D1597:V1597))</f>
        <v/>
      </c>
      <c r="Y1597" s="8">
        <f>IF(COUNT(D1597:V1597)=0,"",MAX(D1597:V1597))</f>
        <v/>
      </c>
      <c r="Z1597" s="9">
        <f>IF(OR(W1597="",W1597=0),"",(Y1597-W1597)/W1597)</f>
        <v/>
      </c>
      <c r="AA1597" s="7">
        <f>IF(COUNT(D1597:V1597)=0,"",INDEX($D$1:$V$1,MATCH(MIN(D1597:V1597),D1597:V1597,0)))</f>
        <v/>
      </c>
      <c r="AB1597" s="8" t="n">
        <v>75</v>
      </c>
      <c r="AC1597" s="10" t="n">
        <v>1</v>
      </c>
    </row>
    <row r="1598">
      <c r="A1598" s="7" t="inlineStr">
        <is>
          <t>MAT-32-243</t>
        </is>
      </c>
      <c r="B1598" s="4" t="inlineStr">
        <is>
          <t>Codo de HG 1"</t>
        </is>
      </c>
      <c r="C1598" s="7" t="inlineStr">
        <is>
          <t>unidad</t>
        </is>
      </c>
      <c r="D1598" s="8" t="n"/>
      <c r="E1598" s="8" t="n"/>
      <c r="F1598" s="8" t="n"/>
      <c r="G1598" s="8" t="n">
        <v>65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>
        <f>IF(COUNT(D1598:V1598)=0,"",MIN(D1598:V1598))</f>
        <v/>
      </c>
      <c r="X1598" s="8">
        <f>IF(COUNT(D1598:V1598)=0,"",MEDIAN(D1598:V1598))</f>
        <v/>
      </c>
      <c r="Y1598" s="8">
        <f>IF(COUNT(D1598:V1598)=0,"",MAX(D1598:V1598))</f>
        <v/>
      </c>
      <c r="Z1598" s="9">
        <f>IF(OR(W1598="",W1598=0),"",(Y1598-W1598)/W1598)</f>
        <v/>
      </c>
      <c r="AA1598" s="7">
        <f>IF(COUNT(D1598:V1598)=0,"",INDEX($D$1:$V$1,MATCH(MIN(D1598:V1598),D1598:V1598,0)))</f>
        <v/>
      </c>
      <c r="AB1598" s="8" t="n">
        <v>65</v>
      </c>
      <c r="AC1598" s="10" t="n">
        <v>1</v>
      </c>
    </row>
    <row r="1599">
      <c r="A1599" s="7" t="inlineStr">
        <is>
          <t>MAT-32-244</t>
        </is>
      </c>
      <c r="B1599" s="4" t="inlineStr">
        <is>
          <t>Codo de HG 2"</t>
        </is>
      </c>
      <c r="C1599" s="7" t="inlineStr">
        <is>
          <t>unidad</t>
        </is>
      </c>
      <c r="D1599" s="8" t="n"/>
      <c r="E1599" s="8" t="n">
        <v>191</v>
      </c>
      <c r="F1599" s="8" t="n"/>
      <c r="G1599" s="8" t="n">
        <v>291</v>
      </c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>
        <f>IF(COUNT(D1599:V1599)=0,"",MIN(D1599:V1599))</f>
        <v/>
      </c>
      <c r="X1599" s="8">
        <f>IF(COUNT(D1599:V1599)=0,"",MEDIAN(D1599:V1599))</f>
        <v/>
      </c>
      <c r="Y1599" s="8">
        <f>IF(COUNT(D1599:V1599)=0,"",MAX(D1599:V1599))</f>
        <v/>
      </c>
      <c r="Z1599" s="9">
        <f>IF(OR(W1599="",W1599=0),"",(Y1599-W1599)/W1599)</f>
        <v/>
      </c>
      <c r="AA1599" s="7">
        <f>IF(COUNT(D1599:V1599)=0,"",INDEX($D$1:$V$1,MATCH(MIN(D1599:V1599),D1599:V1599,0)))</f>
        <v/>
      </c>
      <c r="AB1599" s="8" t="n">
        <v>241</v>
      </c>
      <c r="AC1599" s="10" t="n">
        <v>2</v>
      </c>
    </row>
    <row r="1600">
      <c r="A1600" s="7" t="inlineStr">
        <is>
          <t>MAT-32-245</t>
        </is>
      </c>
      <c r="B1600" s="4" t="inlineStr">
        <is>
          <t>Codo de HG 3/4"</t>
        </is>
      </c>
      <c r="C1600" s="7" t="inlineStr">
        <is>
          <t>unidad</t>
        </is>
      </c>
      <c r="D1600" s="8" t="n"/>
      <c r="E1600" s="8" t="n"/>
      <c r="F1600" s="8" t="n"/>
      <c r="G1600" s="8" t="n">
        <v>51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>
        <f>IF(COUNT(D1600:V1600)=0,"",MIN(D1600:V1600))</f>
        <v/>
      </c>
      <c r="X1600" s="8">
        <f>IF(COUNT(D1600:V1600)=0,"",MEDIAN(D1600:V1600))</f>
        <v/>
      </c>
      <c r="Y1600" s="8">
        <f>IF(COUNT(D1600:V1600)=0,"",MAX(D1600:V1600))</f>
        <v/>
      </c>
      <c r="Z1600" s="9">
        <f>IF(OR(W1600="",W1600=0),"",(Y1600-W1600)/W1600)</f>
        <v/>
      </c>
      <c r="AA1600" s="7">
        <f>IF(COUNT(D1600:V1600)=0,"",INDEX($D$1:$V$1,MATCH(MIN(D1600:V1600),D1600:V1600,0)))</f>
        <v/>
      </c>
      <c r="AB1600" s="8" t="n">
        <v>51</v>
      </c>
      <c r="AC1600" s="10" t="n">
        <v>1</v>
      </c>
    </row>
    <row r="1601">
      <c r="A1601" s="7" t="inlineStr">
        <is>
          <t>MAT-32-246</t>
        </is>
      </c>
      <c r="B1601" s="4" t="inlineStr">
        <is>
          <t>Codo de HG 3/8"</t>
        </is>
      </c>
      <c r="C1601" s="7" t="inlineStr">
        <is>
          <t>unidad</t>
        </is>
      </c>
      <c r="D1601" s="8" t="n"/>
      <c r="E1601" s="8" t="n"/>
      <c r="F1601" s="8" t="n"/>
      <c r="G1601" s="8" t="n">
        <v>50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>
        <f>IF(COUNT(D1601:V1601)=0,"",MIN(D1601:V1601))</f>
        <v/>
      </c>
      <c r="X1601" s="8">
        <f>IF(COUNT(D1601:V1601)=0,"",MEDIAN(D1601:V1601))</f>
        <v/>
      </c>
      <c r="Y1601" s="8">
        <f>IF(COUNT(D1601:V1601)=0,"",MAX(D1601:V1601))</f>
        <v/>
      </c>
      <c r="Z1601" s="9">
        <f>IF(OR(W1601="",W1601=0),"",(Y1601-W1601)/W1601)</f>
        <v/>
      </c>
      <c r="AA1601" s="7">
        <f>IF(COUNT(D1601:V1601)=0,"",INDEX($D$1:$V$1,MATCH(MIN(D1601:V1601),D1601:V1601,0)))</f>
        <v/>
      </c>
      <c r="AB1601" s="8" t="n">
        <v>50</v>
      </c>
      <c r="AC1601" s="10" t="n">
        <v>1</v>
      </c>
    </row>
    <row r="1602">
      <c r="A1602" s="7" t="inlineStr">
        <is>
          <t>MAT-32-247</t>
        </is>
      </c>
      <c r="B1602" s="4" t="inlineStr">
        <is>
          <t>Codo de niquelado 1/2"</t>
        </is>
      </c>
      <c r="C1602" s="7" t="inlineStr">
        <is>
          <t>unidad</t>
        </is>
      </c>
      <c r="D1602" s="8" t="n"/>
      <c r="E1602" s="8" t="n"/>
      <c r="F1602" s="8" t="n"/>
      <c r="G1602" s="8" t="n">
        <v>363</v>
      </c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>
        <f>IF(COUNT(D1602:V1602)=0,"",MIN(D1602:V1602))</f>
        <v/>
      </c>
      <c r="X1602" s="8">
        <f>IF(COUNT(D1602:V1602)=0,"",MEDIAN(D1602:V1602))</f>
        <v/>
      </c>
      <c r="Y1602" s="8">
        <f>IF(COUNT(D1602:V1602)=0,"",MAX(D1602:V1602))</f>
        <v/>
      </c>
      <c r="Z1602" s="9">
        <f>IF(OR(W1602="",W1602=0),"",(Y1602-W1602)/W1602)</f>
        <v/>
      </c>
      <c r="AA1602" s="7">
        <f>IF(COUNT(D1602:V1602)=0,"",INDEX($D$1:$V$1,MATCH(MIN(D1602:V1602),D1602:V1602,0)))</f>
        <v/>
      </c>
      <c r="AB1602" s="8" t="n">
        <v>363</v>
      </c>
      <c r="AC1602" s="10" t="n">
        <v>1</v>
      </c>
    </row>
    <row r="1603">
      <c r="A1603" s="7" t="inlineStr">
        <is>
          <t>MAT-32-248</t>
        </is>
      </c>
      <c r="B1603" s="4" t="inlineStr">
        <is>
          <t>Codo de plástico 16 mm</t>
        </is>
      </c>
      <c r="C1603" s="7" t="inlineStr">
        <is>
          <t>unidad</t>
        </is>
      </c>
      <c r="D1603" s="8" t="n"/>
      <c r="E1603" s="8" t="n">
        <v>28.58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>
        <f>IF(COUNT(D1603:V1603)=0,"",MIN(D1603:V1603))</f>
        <v/>
      </c>
      <c r="X1603" s="8">
        <f>IF(COUNT(D1603:V1603)=0,"",MEDIAN(D1603:V1603))</f>
        <v/>
      </c>
      <c r="Y1603" s="8">
        <f>IF(COUNT(D1603:V1603)=0,"",MAX(D1603:V1603))</f>
        <v/>
      </c>
      <c r="Z1603" s="9">
        <f>IF(OR(W1603="",W1603=0),"",(Y1603-W1603)/W1603)</f>
        <v/>
      </c>
      <c r="AA1603" s="7">
        <f>IF(COUNT(D1603:V1603)=0,"",INDEX($D$1:$V$1,MATCH(MIN(D1603:V1603),D1603:V1603,0)))</f>
        <v/>
      </c>
      <c r="AB1603" s="8" t="n">
        <v>28.58</v>
      </c>
      <c r="AC1603" s="10" t="n">
        <v>1</v>
      </c>
    </row>
    <row r="1604">
      <c r="A1604" s="7" t="inlineStr">
        <is>
          <t>MAT-32-249</t>
        </is>
      </c>
      <c r="B1604" s="4" t="inlineStr">
        <is>
          <t>Codo de PPR 20 mm</t>
        </is>
      </c>
      <c r="C1604" s="7" t="inlineStr">
        <is>
          <t>unidad</t>
        </is>
      </c>
      <c r="D1604" s="8" t="n"/>
      <c r="E1604" s="8" t="n">
        <v>8.59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>
        <f>IF(COUNT(D1604:V1604)=0,"",MIN(D1604:V1604))</f>
        <v/>
      </c>
      <c r="X1604" s="8">
        <f>IF(COUNT(D1604:V1604)=0,"",MEDIAN(D1604:V1604))</f>
        <v/>
      </c>
      <c r="Y1604" s="8">
        <f>IF(COUNT(D1604:V1604)=0,"",MAX(D1604:V1604))</f>
        <v/>
      </c>
      <c r="Z1604" s="9">
        <f>IF(OR(W1604="",W1604=0),"",(Y1604-W1604)/W1604)</f>
        <v/>
      </c>
      <c r="AA1604" s="7">
        <f>IF(COUNT(D1604:V1604)=0,"",INDEX($D$1:$V$1,MATCH(MIN(D1604:V1604),D1604:V1604,0)))</f>
        <v/>
      </c>
      <c r="AB1604" s="8" t="n">
        <v>65.56999999999999</v>
      </c>
      <c r="AC1604" s="10" t="n">
        <v>1</v>
      </c>
    </row>
    <row r="1605">
      <c r="A1605" s="7" t="inlineStr">
        <is>
          <t>MAT-32-250</t>
        </is>
      </c>
      <c r="B1605" s="4" t="inlineStr">
        <is>
          <t>Codo de PPR 25 mm</t>
        </is>
      </c>
      <c r="C1605" s="7" t="inlineStr">
        <is>
          <t>unidad</t>
        </is>
      </c>
      <c r="D1605" s="8" t="n"/>
      <c r="E1605" s="8" t="n">
        <v>15.37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>
        <f>IF(COUNT(D1605:V1605)=0,"",MIN(D1605:V1605))</f>
        <v/>
      </c>
      <c r="X1605" s="8">
        <f>IF(COUNT(D1605:V1605)=0,"",MEDIAN(D1605:V1605))</f>
        <v/>
      </c>
      <c r="Y1605" s="8">
        <f>IF(COUNT(D1605:V1605)=0,"",MAX(D1605:V1605))</f>
        <v/>
      </c>
      <c r="Z1605" s="9">
        <f>IF(OR(W1605="",W1605=0),"",(Y1605-W1605)/W1605)</f>
        <v/>
      </c>
      <c r="AA1605" s="7">
        <f>IF(COUNT(D1605:V1605)=0,"",INDEX($D$1:$V$1,MATCH(MIN(D1605:V1605),D1605:V1605,0)))</f>
        <v/>
      </c>
      <c r="AB1605" s="8" t="n">
        <v>80</v>
      </c>
      <c r="AC1605" s="10" t="n">
        <v>1</v>
      </c>
    </row>
    <row r="1606">
      <c r="A1606" s="7" t="inlineStr">
        <is>
          <t>MAT-32-251</t>
        </is>
      </c>
      <c r="B1606" s="4" t="inlineStr">
        <is>
          <t>Codo de PPR 32 mm</t>
        </is>
      </c>
      <c r="C1606" s="7" t="inlineStr">
        <is>
          <t>unidad</t>
        </is>
      </c>
      <c r="D1606" s="8" t="n"/>
      <c r="E1606" s="8" t="n">
        <v>87.15000000000001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>
        <f>IF(COUNT(D1606:V1606)=0,"",MIN(D1606:V1606))</f>
        <v/>
      </c>
      <c r="X1606" s="8">
        <f>IF(COUNT(D1606:V1606)=0,"",MEDIAN(D1606:V1606))</f>
        <v/>
      </c>
      <c r="Y1606" s="8">
        <f>IF(COUNT(D1606:V1606)=0,"",MAX(D1606:V1606))</f>
        <v/>
      </c>
      <c r="Z1606" s="9">
        <f>IF(OR(W1606="",W1606=0),"",(Y1606-W1606)/W1606)</f>
        <v/>
      </c>
      <c r="AA1606" s="7">
        <f>IF(COUNT(D1606:V1606)=0,"",INDEX($D$1:$V$1,MATCH(MIN(D1606:V1606),D1606:V1606,0)))</f>
        <v/>
      </c>
      <c r="AB1606" s="8" t="n">
        <v>92.89</v>
      </c>
      <c r="AC1606" s="10" t="n">
        <v>1</v>
      </c>
    </row>
    <row r="1607">
      <c r="A1607" s="7" t="inlineStr">
        <is>
          <t>MAT-32-252</t>
        </is>
      </c>
      <c r="B1607" s="4" t="inlineStr">
        <is>
          <t>Codo de PVC 1" x 1"</t>
        </is>
      </c>
      <c r="C1607" s="7" t="inlineStr">
        <is>
          <t>unidad</t>
        </is>
      </c>
      <c r="D1607" s="8" t="n"/>
      <c r="E1607" s="8" t="n">
        <v>47.12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>
        <f>IF(COUNT(D1607:V1607)=0,"",MIN(D1607:V1607))</f>
        <v/>
      </c>
      <c r="X1607" s="8">
        <f>IF(COUNT(D1607:V1607)=0,"",MEDIAN(D1607:V1607))</f>
        <v/>
      </c>
      <c r="Y1607" s="8">
        <f>IF(COUNT(D1607:V1607)=0,"",MAX(D1607:V1607))</f>
        <v/>
      </c>
      <c r="Z1607" s="9">
        <f>IF(OR(W1607="",W1607=0),"",(Y1607-W1607)/W1607)</f>
        <v/>
      </c>
      <c r="AA1607" s="7">
        <f>IF(COUNT(D1607:V1607)=0,"",INDEX($D$1:$V$1,MATCH(MIN(D1607:V1607),D1607:V1607,0)))</f>
        <v/>
      </c>
      <c r="AB1607" s="8" t="n">
        <v>47.12</v>
      </c>
      <c r="AC1607" s="10" t="n">
        <v>1</v>
      </c>
    </row>
    <row r="1608">
      <c r="A1608" s="7" t="inlineStr">
        <is>
          <t>MAT-32-253</t>
        </is>
      </c>
      <c r="B1608" s="4" t="inlineStr">
        <is>
          <t>Codo de PVC 3/4"</t>
        </is>
      </c>
      <c r="C1608" s="7" t="inlineStr">
        <is>
          <t>unidad</t>
        </is>
      </c>
      <c r="D1608" s="8" t="n"/>
      <c r="E1608" s="8" t="n">
        <v>40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>
        <f>IF(COUNT(D1608:V1608)=0,"",MIN(D1608:V1608))</f>
        <v/>
      </c>
      <c r="X1608" s="8">
        <f>IF(COUNT(D1608:V1608)=0,"",MEDIAN(D1608:V1608))</f>
        <v/>
      </c>
      <c r="Y1608" s="8">
        <f>IF(COUNT(D1608:V1608)=0,"",MAX(D1608:V1608))</f>
        <v/>
      </c>
      <c r="Z1608" s="9">
        <f>IF(OR(W1608="",W1608=0),"",(Y1608-W1608)/W1608)</f>
        <v/>
      </c>
      <c r="AA1608" s="7">
        <f>IF(COUNT(D1608:V1608)=0,"",INDEX($D$1:$V$1,MATCH(MIN(D1608:V1608),D1608:V1608,0)))</f>
        <v/>
      </c>
      <c r="AB1608" s="8" t="n">
        <v>40</v>
      </c>
      <c r="AC1608" s="10" t="n">
        <v>1</v>
      </c>
    </row>
    <row r="1609">
      <c r="A1609" s="7" t="inlineStr">
        <is>
          <t>MAT-32-254</t>
        </is>
      </c>
      <c r="B1609" s="4" t="inlineStr">
        <is>
          <t>Codo niple de bronce 3/8"</t>
        </is>
      </c>
      <c r="C1609" s="7" t="inlineStr">
        <is>
          <t>unidad</t>
        </is>
      </c>
      <c r="D1609" s="8" t="n"/>
      <c r="E1609" s="8" t="n"/>
      <c r="F1609" s="8" t="n"/>
      <c r="G1609" s="8" t="n">
        <v>179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>
        <f>IF(COUNT(D1609:V1609)=0,"",MIN(D1609:V1609))</f>
        <v/>
      </c>
      <c r="X1609" s="8">
        <f>IF(COUNT(D1609:V1609)=0,"",MEDIAN(D1609:V1609))</f>
        <v/>
      </c>
      <c r="Y1609" s="8">
        <f>IF(COUNT(D1609:V1609)=0,"",MAX(D1609:V1609))</f>
        <v/>
      </c>
      <c r="Z1609" s="9">
        <f>IF(OR(W1609="",W1609=0),"",(Y1609-W1609)/W1609)</f>
        <v/>
      </c>
      <c r="AA1609" s="7">
        <f>IF(COUNT(D1609:V1609)=0,"",INDEX($D$1:$V$1,MATCH(MIN(D1609:V1609),D1609:V1609,0)))</f>
        <v/>
      </c>
      <c r="AB1609" s="8" t="n">
        <v>179</v>
      </c>
      <c r="AC1609" s="10" t="n">
        <v>1</v>
      </c>
    </row>
    <row r="1610">
      <c r="A1610" s="7" t="inlineStr">
        <is>
          <t>MAT-32-255</t>
        </is>
      </c>
      <c r="B1610" s="4" t="inlineStr">
        <is>
          <t>Codo niple de HG 1 1/2"</t>
        </is>
      </c>
      <c r="C1610" s="7" t="inlineStr">
        <is>
          <t>unidad</t>
        </is>
      </c>
      <c r="D1610" s="8" t="n"/>
      <c r="E1610" s="8" t="n"/>
      <c r="F1610" s="8" t="n"/>
      <c r="G1610" s="8" t="n">
        <v>215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>
        <f>IF(COUNT(D1610:V1610)=0,"",MIN(D1610:V1610))</f>
        <v/>
      </c>
      <c r="X1610" s="8">
        <f>IF(COUNT(D1610:V1610)=0,"",MEDIAN(D1610:V1610))</f>
        <v/>
      </c>
      <c r="Y1610" s="8">
        <f>IF(COUNT(D1610:V1610)=0,"",MAX(D1610:V1610))</f>
        <v/>
      </c>
      <c r="Z1610" s="9">
        <f>IF(OR(W1610="",W1610=0),"",(Y1610-W1610)/W1610)</f>
        <v/>
      </c>
      <c r="AA1610" s="7">
        <f>IF(COUNT(D1610:V1610)=0,"",INDEX($D$1:$V$1,MATCH(MIN(D1610:V1610),D1610:V1610,0)))</f>
        <v/>
      </c>
      <c r="AB1610" s="8" t="n">
        <v>215</v>
      </c>
      <c r="AC1610" s="10" t="n">
        <v>1</v>
      </c>
    </row>
    <row r="1611">
      <c r="A1611" s="7" t="inlineStr">
        <is>
          <t>MAT-32-256</t>
        </is>
      </c>
      <c r="B1611" s="4" t="inlineStr">
        <is>
          <t>Codo niple de HG 1 1/4"</t>
        </is>
      </c>
      <c r="C1611" s="7" t="inlineStr">
        <is>
          <t>unidad</t>
        </is>
      </c>
      <c r="D1611" s="8" t="n"/>
      <c r="E1611" s="8" t="n"/>
      <c r="F1611" s="8" t="n"/>
      <c r="G1611" s="8" t="n">
        <v>160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>
        <f>IF(COUNT(D1611:V1611)=0,"",MIN(D1611:V1611))</f>
        <v/>
      </c>
      <c r="X1611" s="8">
        <f>IF(COUNT(D1611:V1611)=0,"",MEDIAN(D1611:V1611))</f>
        <v/>
      </c>
      <c r="Y1611" s="8">
        <f>IF(COUNT(D1611:V1611)=0,"",MAX(D1611:V1611))</f>
        <v/>
      </c>
      <c r="Z1611" s="9">
        <f>IF(OR(W1611="",W1611=0),"",(Y1611-W1611)/W1611)</f>
        <v/>
      </c>
      <c r="AA1611" s="7">
        <f>IF(COUNT(D1611:V1611)=0,"",INDEX($D$1:$V$1,MATCH(MIN(D1611:V1611),D1611:V1611,0)))</f>
        <v/>
      </c>
      <c r="AB1611" s="8" t="n">
        <v>160</v>
      </c>
      <c r="AC1611" s="10" t="n">
        <v>1</v>
      </c>
    </row>
    <row r="1612">
      <c r="A1612" s="7" t="inlineStr">
        <is>
          <t>MAT-32-257</t>
        </is>
      </c>
      <c r="B1612" s="4" t="inlineStr">
        <is>
          <t>Codo niple de HG 1/2"</t>
        </is>
      </c>
      <c r="C1612" s="7" t="inlineStr">
        <is>
          <t>unidad</t>
        </is>
      </c>
      <c r="D1612" s="8" t="n"/>
      <c r="E1612" s="8" t="n"/>
      <c r="F1612" s="8" t="n"/>
      <c r="G1612" s="8" t="n">
        <v>45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>
        <f>IF(COUNT(D1612:V1612)=0,"",MIN(D1612:V1612))</f>
        <v/>
      </c>
      <c r="X1612" s="8">
        <f>IF(COUNT(D1612:V1612)=0,"",MEDIAN(D1612:V1612))</f>
        <v/>
      </c>
      <c r="Y1612" s="8">
        <f>IF(COUNT(D1612:V1612)=0,"",MAX(D1612:V1612))</f>
        <v/>
      </c>
      <c r="Z1612" s="9">
        <f>IF(OR(W1612="",W1612=0),"",(Y1612-W1612)/W1612)</f>
        <v/>
      </c>
      <c r="AA1612" s="7">
        <f>IF(COUNT(D1612:V1612)=0,"",INDEX($D$1:$V$1,MATCH(MIN(D1612:V1612),D1612:V1612,0)))</f>
        <v/>
      </c>
      <c r="AB1612" s="8" t="n">
        <v>45</v>
      </c>
      <c r="AC1612" s="10" t="n">
        <v>1</v>
      </c>
    </row>
    <row r="1613">
      <c r="A1613" s="7" t="inlineStr">
        <is>
          <t>MAT-32-258</t>
        </is>
      </c>
      <c r="B1613" s="4" t="inlineStr">
        <is>
          <t>Codo niple de HG 1/4"</t>
        </is>
      </c>
      <c r="C1613" s="7" t="inlineStr">
        <is>
          <t>unidad</t>
        </is>
      </c>
      <c r="D1613" s="8" t="n"/>
      <c r="E1613" s="8" t="n"/>
      <c r="F1613" s="8" t="n"/>
      <c r="G1613" s="8" t="n">
        <v>39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>
        <f>IF(COUNT(D1613:V1613)=0,"",MIN(D1613:V1613))</f>
        <v/>
      </c>
      <c r="X1613" s="8">
        <f>IF(COUNT(D1613:V1613)=0,"",MEDIAN(D1613:V1613))</f>
        <v/>
      </c>
      <c r="Y1613" s="8">
        <f>IF(COUNT(D1613:V1613)=0,"",MAX(D1613:V1613))</f>
        <v/>
      </c>
      <c r="Z1613" s="9">
        <f>IF(OR(W1613="",W1613=0),"",(Y1613-W1613)/W1613)</f>
        <v/>
      </c>
      <c r="AA1613" s="7">
        <f>IF(COUNT(D1613:V1613)=0,"",INDEX($D$1:$V$1,MATCH(MIN(D1613:V1613),D1613:V1613,0)))</f>
        <v/>
      </c>
      <c r="AB1613" s="8" t="n">
        <v>39</v>
      </c>
      <c r="AC1613" s="10" t="n">
        <v>1</v>
      </c>
    </row>
    <row r="1614">
      <c r="A1614" s="7" t="inlineStr">
        <is>
          <t>MAT-32-259</t>
        </is>
      </c>
      <c r="B1614" s="4" t="inlineStr">
        <is>
          <t>Codo niple de HG 1"</t>
        </is>
      </c>
      <c r="C1614" s="7" t="inlineStr">
        <is>
          <t>unidad</t>
        </is>
      </c>
      <c r="D1614" s="8" t="n"/>
      <c r="E1614" s="8" t="n"/>
      <c r="F1614" s="8" t="n"/>
      <c r="G1614" s="8" t="n">
        <v>149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>
        <f>IF(COUNT(D1614:V1614)=0,"",MIN(D1614:V1614))</f>
        <v/>
      </c>
      <c r="X1614" s="8">
        <f>IF(COUNT(D1614:V1614)=0,"",MEDIAN(D1614:V1614))</f>
        <v/>
      </c>
      <c r="Y1614" s="8">
        <f>IF(COUNT(D1614:V1614)=0,"",MAX(D1614:V1614))</f>
        <v/>
      </c>
      <c r="Z1614" s="9">
        <f>IF(OR(W1614="",W1614=0),"",(Y1614-W1614)/W1614)</f>
        <v/>
      </c>
      <c r="AA1614" s="7">
        <f>IF(COUNT(D1614:V1614)=0,"",INDEX($D$1:$V$1,MATCH(MIN(D1614:V1614),D1614:V1614,0)))</f>
        <v/>
      </c>
      <c r="AB1614" s="8" t="n">
        <v>149</v>
      </c>
      <c r="AC1614" s="10" t="n">
        <v>1</v>
      </c>
    </row>
    <row r="1615">
      <c r="A1615" s="7" t="inlineStr">
        <is>
          <t>MAT-32-260</t>
        </is>
      </c>
      <c r="B1615" s="4" t="inlineStr">
        <is>
          <t>Codo niple de HG 2"</t>
        </is>
      </c>
      <c r="C1615" s="7" t="inlineStr">
        <is>
          <t>unidad</t>
        </is>
      </c>
      <c r="D1615" s="8" t="n"/>
      <c r="E1615" s="8" t="n"/>
      <c r="F1615" s="8" t="n"/>
      <c r="G1615" s="8" t="n">
        <v>266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>
        <f>IF(COUNT(D1615:V1615)=0,"",MIN(D1615:V1615))</f>
        <v/>
      </c>
      <c r="X1615" s="8">
        <f>IF(COUNT(D1615:V1615)=0,"",MEDIAN(D1615:V1615))</f>
        <v/>
      </c>
      <c r="Y1615" s="8">
        <f>IF(COUNT(D1615:V1615)=0,"",MAX(D1615:V1615))</f>
        <v/>
      </c>
      <c r="Z1615" s="9">
        <f>IF(OR(W1615="",W1615=0),"",(Y1615-W1615)/W1615)</f>
        <v/>
      </c>
      <c r="AA1615" s="7">
        <f>IF(COUNT(D1615:V1615)=0,"",INDEX($D$1:$V$1,MATCH(MIN(D1615:V1615),D1615:V1615,0)))</f>
        <v/>
      </c>
      <c r="AB1615" s="8" t="n">
        <v>266</v>
      </c>
      <c r="AC1615" s="10" t="n">
        <v>1</v>
      </c>
    </row>
    <row r="1616">
      <c r="A1616" s="7" t="inlineStr">
        <is>
          <t>MAT-32-261</t>
        </is>
      </c>
      <c r="B1616" s="4" t="inlineStr">
        <is>
          <t>Codo niple de HG 3/4"</t>
        </is>
      </c>
      <c r="C1616" s="7" t="inlineStr">
        <is>
          <t>unidad</t>
        </is>
      </c>
      <c r="D1616" s="8" t="n"/>
      <c r="E1616" s="8" t="n"/>
      <c r="F1616" s="8" t="n"/>
      <c r="G1616" s="8" t="n">
        <v>92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>
        <f>IF(COUNT(D1616:V1616)=0,"",MIN(D1616:V1616))</f>
        <v/>
      </c>
      <c r="X1616" s="8">
        <f>IF(COUNT(D1616:V1616)=0,"",MEDIAN(D1616:V1616))</f>
        <v/>
      </c>
      <c r="Y1616" s="8">
        <f>IF(COUNT(D1616:V1616)=0,"",MAX(D1616:V1616))</f>
        <v/>
      </c>
      <c r="Z1616" s="9">
        <f>IF(OR(W1616="",W1616=0),"",(Y1616-W1616)/W1616)</f>
        <v/>
      </c>
      <c r="AA1616" s="7">
        <f>IF(COUNT(D1616:V1616)=0,"",INDEX($D$1:$V$1,MATCH(MIN(D1616:V1616),D1616:V1616,0)))</f>
        <v/>
      </c>
      <c r="AB1616" s="8" t="n">
        <v>92</v>
      </c>
      <c r="AC1616" s="10" t="n">
        <v>1</v>
      </c>
    </row>
    <row r="1617">
      <c r="A1617" s="7" t="inlineStr">
        <is>
          <t>MAT-32-262</t>
        </is>
      </c>
      <c r="B1617" s="4" t="inlineStr">
        <is>
          <t>Codo niple de niquelado 1/2"</t>
        </is>
      </c>
      <c r="C1617" s="7" t="inlineStr">
        <is>
          <t>unidad</t>
        </is>
      </c>
      <c r="D1617" s="8" t="n"/>
      <c r="E1617" s="8" t="n"/>
      <c r="F1617" s="8" t="n"/>
      <c r="G1617" s="8" t="n">
        <v>333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>
        <f>IF(COUNT(D1617:V1617)=0,"",MIN(D1617:V1617))</f>
        <v/>
      </c>
      <c r="X1617" s="8">
        <f>IF(COUNT(D1617:V1617)=0,"",MEDIAN(D1617:V1617))</f>
        <v/>
      </c>
      <c r="Y1617" s="8">
        <f>IF(COUNT(D1617:V1617)=0,"",MAX(D1617:V1617))</f>
        <v/>
      </c>
      <c r="Z1617" s="9">
        <f>IF(OR(W1617="",W1617=0),"",(Y1617-W1617)/W1617)</f>
        <v/>
      </c>
      <c r="AA1617" s="7">
        <f>IF(COUNT(D1617:V1617)=0,"",INDEX($D$1:$V$1,MATCH(MIN(D1617:V1617),D1617:V1617,0)))</f>
        <v/>
      </c>
      <c r="AB1617" s="8" t="n">
        <v>333</v>
      </c>
      <c r="AC1617" s="10" t="n">
        <v>1</v>
      </c>
    </row>
    <row r="1618">
      <c r="A1618" s="7" t="inlineStr">
        <is>
          <t>MAT-32-263</t>
        </is>
      </c>
      <c r="B1618" s="4" t="inlineStr">
        <is>
          <t>Coupling de HG 1 1/2"</t>
        </is>
      </c>
      <c r="C1618" s="7" t="inlineStr">
        <is>
          <t>unidad</t>
        </is>
      </c>
      <c r="D1618" s="8" t="n"/>
      <c r="E1618" s="8" t="n"/>
      <c r="F1618" s="8" t="n"/>
      <c r="G1618" s="8" t="n">
        <v>199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>
        <f>IF(COUNT(D1618:V1618)=0,"",MIN(D1618:V1618))</f>
        <v/>
      </c>
      <c r="X1618" s="8">
        <f>IF(COUNT(D1618:V1618)=0,"",MEDIAN(D1618:V1618))</f>
        <v/>
      </c>
      <c r="Y1618" s="8">
        <f>IF(COUNT(D1618:V1618)=0,"",MAX(D1618:V1618))</f>
        <v/>
      </c>
      <c r="Z1618" s="9">
        <f>IF(OR(W1618="",W1618=0),"",(Y1618-W1618)/W1618)</f>
        <v/>
      </c>
      <c r="AA1618" s="7">
        <f>IF(COUNT(D1618:V1618)=0,"",INDEX($D$1:$V$1,MATCH(MIN(D1618:V1618),D1618:V1618,0)))</f>
        <v/>
      </c>
      <c r="AB1618" s="8" t="n">
        <v>199</v>
      </c>
      <c r="AC1618" s="10" t="n">
        <v>1</v>
      </c>
    </row>
    <row r="1619">
      <c r="A1619" s="7" t="inlineStr">
        <is>
          <t>MAT-32-264</t>
        </is>
      </c>
      <c r="B1619" s="4" t="inlineStr">
        <is>
          <t>Coupling de HG 1 1/4"</t>
        </is>
      </c>
      <c r="C1619" s="7" t="inlineStr">
        <is>
          <t>unidad</t>
        </is>
      </c>
      <c r="D1619" s="8" t="n"/>
      <c r="E1619" s="8" t="n"/>
      <c r="F1619" s="8" t="n"/>
      <c r="G1619" s="8" t="n">
        <v>141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>
        <f>IF(COUNT(D1619:V1619)=0,"",MIN(D1619:V1619))</f>
        <v/>
      </c>
      <c r="X1619" s="8">
        <f>IF(COUNT(D1619:V1619)=0,"",MEDIAN(D1619:V1619))</f>
        <v/>
      </c>
      <c r="Y1619" s="8">
        <f>IF(COUNT(D1619:V1619)=0,"",MAX(D1619:V1619))</f>
        <v/>
      </c>
      <c r="Z1619" s="9">
        <f>IF(OR(W1619="",W1619=0),"",(Y1619-W1619)/W1619)</f>
        <v/>
      </c>
      <c r="AA1619" s="7">
        <f>IF(COUNT(D1619:V1619)=0,"",INDEX($D$1:$V$1,MATCH(MIN(D1619:V1619),D1619:V1619,0)))</f>
        <v/>
      </c>
      <c r="AB1619" s="8" t="n">
        <v>141</v>
      </c>
      <c r="AC1619" s="10" t="n">
        <v>1</v>
      </c>
    </row>
    <row r="1620">
      <c r="A1620" s="7" t="inlineStr">
        <is>
          <t>MAT-32-265</t>
        </is>
      </c>
      <c r="B1620" s="4" t="inlineStr">
        <is>
          <t>Coupling de HG 1/2"</t>
        </is>
      </c>
      <c r="C1620" s="7" t="inlineStr">
        <is>
          <t>unidad</t>
        </is>
      </c>
      <c r="D1620" s="8" t="n"/>
      <c r="E1620" s="8" t="n"/>
      <c r="F1620" s="8" t="n"/>
      <c r="G1620" s="8" t="n">
        <v>25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>
        <f>IF(COUNT(D1620:V1620)=0,"",MIN(D1620:V1620))</f>
        <v/>
      </c>
      <c r="X1620" s="8">
        <f>IF(COUNT(D1620:V1620)=0,"",MEDIAN(D1620:V1620))</f>
        <v/>
      </c>
      <c r="Y1620" s="8">
        <f>IF(COUNT(D1620:V1620)=0,"",MAX(D1620:V1620))</f>
        <v/>
      </c>
      <c r="Z1620" s="9">
        <f>IF(OR(W1620="",W1620=0),"",(Y1620-W1620)/W1620)</f>
        <v/>
      </c>
      <c r="AA1620" s="7">
        <f>IF(COUNT(D1620:V1620)=0,"",INDEX($D$1:$V$1,MATCH(MIN(D1620:V1620),D1620:V1620,0)))</f>
        <v/>
      </c>
      <c r="AB1620" s="8" t="n">
        <v>25</v>
      </c>
      <c r="AC1620" s="10" t="n">
        <v>1</v>
      </c>
    </row>
    <row r="1621">
      <c r="A1621" s="7" t="inlineStr">
        <is>
          <t>MAT-32-266</t>
        </is>
      </c>
      <c r="B1621" s="4" t="inlineStr">
        <is>
          <t>Coupling de HG 1"</t>
        </is>
      </c>
      <c r="C1621" s="7" t="inlineStr">
        <is>
          <t>unidad</t>
        </is>
      </c>
      <c r="D1621" s="8" t="n"/>
      <c r="E1621" s="8" t="n"/>
      <c r="F1621" s="8" t="n"/>
      <c r="G1621" s="8" t="n">
        <v>65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>
        <f>IF(COUNT(D1621:V1621)=0,"",MIN(D1621:V1621))</f>
        <v/>
      </c>
      <c r="X1621" s="8">
        <f>IF(COUNT(D1621:V1621)=0,"",MEDIAN(D1621:V1621))</f>
        <v/>
      </c>
      <c r="Y1621" s="8">
        <f>IF(COUNT(D1621:V1621)=0,"",MAX(D1621:V1621))</f>
        <v/>
      </c>
      <c r="Z1621" s="9">
        <f>IF(OR(W1621="",W1621=0),"",(Y1621-W1621)/W1621)</f>
        <v/>
      </c>
      <c r="AA1621" s="7">
        <f>IF(COUNT(D1621:V1621)=0,"",INDEX($D$1:$V$1,MATCH(MIN(D1621:V1621),D1621:V1621,0)))</f>
        <v/>
      </c>
      <c r="AB1621" s="8" t="n">
        <v>65</v>
      </c>
      <c r="AC1621" s="10" t="n">
        <v>1</v>
      </c>
    </row>
    <row r="1622">
      <c r="A1622" s="7" t="inlineStr">
        <is>
          <t>MAT-32-267</t>
        </is>
      </c>
      <c r="B1622" s="4" t="inlineStr">
        <is>
          <t>Coupling de HG 2"</t>
        </is>
      </c>
      <c r="C1622" s="7" t="inlineStr">
        <is>
          <t>unidad</t>
        </is>
      </c>
      <c r="D1622" s="8" t="n"/>
      <c r="E1622" s="8" t="n"/>
      <c r="F1622" s="8" t="n"/>
      <c r="G1622" s="8" t="n">
        <v>237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>
        <f>IF(COUNT(D1622:V1622)=0,"",MIN(D1622:V1622))</f>
        <v/>
      </c>
      <c r="X1622" s="8">
        <f>IF(COUNT(D1622:V1622)=0,"",MEDIAN(D1622:V1622))</f>
        <v/>
      </c>
      <c r="Y1622" s="8">
        <f>IF(COUNT(D1622:V1622)=0,"",MAX(D1622:V1622))</f>
        <v/>
      </c>
      <c r="Z1622" s="9">
        <f>IF(OR(W1622="",W1622=0),"",(Y1622-W1622)/W1622)</f>
        <v/>
      </c>
      <c r="AA1622" s="7">
        <f>IF(COUNT(D1622:V1622)=0,"",INDEX($D$1:$V$1,MATCH(MIN(D1622:V1622),D1622:V1622,0)))</f>
        <v/>
      </c>
      <c r="AB1622" s="8" t="n">
        <v>237</v>
      </c>
      <c r="AC1622" s="10" t="n">
        <v>1</v>
      </c>
    </row>
    <row r="1623">
      <c r="A1623" s="7" t="inlineStr">
        <is>
          <t>MAT-32-268</t>
        </is>
      </c>
      <c r="B1623" s="4" t="inlineStr">
        <is>
          <t>Coupling de HG 3/4"</t>
        </is>
      </c>
      <c r="C1623" s="7" t="inlineStr">
        <is>
          <t>unidad</t>
        </is>
      </c>
      <c r="D1623" s="8" t="n"/>
      <c r="E1623" s="8" t="n"/>
      <c r="F1623" s="8" t="n"/>
      <c r="G1623" s="8" t="n">
        <v>35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>
        <f>IF(COUNT(D1623:V1623)=0,"",MIN(D1623:V1623))</f>
        <v/>
      </c>
      <c r="X1623" s="8">
        <f>IF(COUNT(D1623:V1623)=0,"",MEDIAN(D1623:V1623))</f>
        <v/>
      </c>
      <c r="Y1623" s="8">
        <f>IF(COUNT(D1623:V1623)=0,"",MAX(D1623:V1623))</f>
        <v/>
      </c>
      <c r="Z1623" s="9">
        <f>IF(OR(W1623="",W1623=0),"",(Y1623-W1623)/W1623)</f>
        <v/>
      </c>
      <c r="AA1623" s="7">
        <f>IF(COUNT(D1623:V1623)=0,"",INDEX($D$1:$V$1,MATCH(MIN(D1623:V1623),D1623:V1623,0)))</f>
        <v/>
      </c>
      <c r="AB1623" s="8" t="n">
        <v>35</v>
      </c>
      <c r="AC1623" s="10" t="n">
        <v>1</v>
      </c>
    </row>
    <row r="1624">
      <c r="A1624" s="7" t="inlineStr">
        <is>
          <t>MAT-32-269</t>
        </is>
      </c>
      <c r="B1624" s="4" t="inlineStr">
        <is>
          <t>Coupling de HG 3/8"</t>
        </is>
      </c>
      <c r="C1624" s="7" t="inlineStr">
        <is>
          <t>unidad</t>
        </is>
      </c>
      <c r="D1624" s="8" t="n"/>
      <c r="E1624" s="8" t="n"/>
      <c r="F1624" s="8" t="n"/>
      <c r="G1624" s="8" t="n">
        <v>42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>
        <f>IF(COUNT(D1624:V1624)=0,"",MIN(D1624:V1624))</f>
        <v/>
      </c>
      <c r="X1624" s="8">
        <f>IF(COUNT(D1624:V1624)=0,"",MEDIAN(D1624:V1624))</f>
        <v/>
      </c>
      <c r="Y1624" s="8">
        <f>IF(COUNT(D1624:V1624)=0,"",MAX(D1624:V1624))</f>
        <v/>
      </c>
      <c r="Z1624" s="9">
        <f>IF(OR(W1624="",W1624=0),"",(Y1624-W1624)/W1624)</f>
        <v/>
      </c>
      <c r="AA1624" s="7">
        <f>IF(COUNT(D1624:V1624)=0,"",INDEX($D$1:$V$1,MATCH(MIN(D1624:V1624),D1624:V1624,0)))</f>
        <v/>
      </c>
      <c r="AB1624" s="8" t="n">
        <v>42</v>
      </c>
      <c r="AC1624" s="10" t="n">
        <v>1</v>
      </c>
    </row>
    <row r="1625">
      <c r="A1625" s="7" t="inlineStr">
        <is>
          <t>MAT-32-270</t>
        </is>
      </c>
      <c r="B1625" s="4" t="inlineStr">
        <is>
          <t>Coupling de niquelado 1/2"</t>
        </is>
      </c>
      <c r="C1625" s="7" t="inlineStr">
        <is>
          <t>unidad</t>
        </is>
      </c>
      <c r="D1625" s="8" t="n"/>
      <c r="E1625" s="8" t="n"/>
      <c r="F1625" s="8" t="n"/>
      <c r="G1625" s="8" t="n">
        <v>247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>
        <f>IF(COUNT(D1625:V1625)=0,"",MIN(D1625:V1625))</f>
        <v/>
      </c>
      <c r="X1625" s="8">
        <f>IF(COUNT(D1625:V1625)=0,"",MEDIAN(D1625:V1625))</f>
        <v/>
      </c>
      <c r="Y1625" s="8">
        <f>IF(COUNT(D1625:V1625)=0,"",MAX(D1625:V1625))</f>
        <v/>
      </c>
      <c r="Z1625" s="9">
        <f>IF(OR(W1625="",W1625=0),"",(Y1625-W1625)/W1625)</f>
        <v/>
      </c>
      <c r="AA1625" s="7">
        <f>IF(COUNT(D1625:V1625)=0,"",INDEX($D$1:$V$1,MATCH(MIN(D1625:V1625),D1625:V1625,0)))</f>
        <v/>
      </c>
      <c r="AB1625" s="8" t="n">
        <v>247</v>
      </c>
      <c r="AC1625" s="10" t="n">
        <v>1</v>
      </c>
    </row>
    <row r="1626">
      <c r="A1626" s="7" t="inlineStr">
        <is>
          <t>MAT-32-271</t>
        </is>
      </c>
      <c r="B1626" s="4" t="inlineStr">
        <is>
          <t>Coupling de PPR 25 mm</t>
        </is>
      </c>
      <c r="C1626" s="7" t="inlineStr">
        <is>
          <t>unidad</t>
        </is>
      </c>
      <c r="D1626" s="8" t="n"/>
      <c r="E1626" s="8" t="n"/>
      <c r="F1626" s="8" t="n"/>
      <c r="G1626" s="8" t="n">
        <v>40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>
        <f>IF(COUNT(D1626:V1626)=0,"",MIN(D1626:V1626))</f>
        <v/>
      </c>
      <c r="X1626" s="8">
        <f>IF(COUNT(D1626:V1626)=0,"",MEDIAN(D1626:V1626))</f>
        <v/>
      </c>
      <c r="Y1626" s="8">
        <f>IF(COUNT(D1626:V1626)=0,"",MAX(D1626:V1626))</f>
        <v/>
      </c>
      <c r="Z1626" s="9">
        <f>IF(OR(W1626="",W1626=0),"",(Y1626-W1626)/W1626)</f>
        <v/>
      </c>
      <c r="AA1626" s="7">
        <f>IF(COUNT(D1626:V1626)=0,"",INDEX($D$1:$V$1,MATCH(MIN(D1626:V1626),D1626:V1626,0)))</f>
        <v/>
      </c>
      <c r="AB1626" s="8" t="n">
        <v>40</v>
      </c>
      <c r="AC1626" s="10" t="n">
        <v>1</v>
      </c>
    </row>
    <row r="1627">
      <c r="A1627" s="7" t="inlineStr">
        <is>
          <t>MAT-32-272</t>
        </is>
      </c>
      <c r="B1627" s="4" t="inlineStr">
        <is>
          <t>Coupling de PPR 32 mm</t>
        </is>
      </c>
      <c r="C1627" s="7" t="inlineStr">
        <is>
          <t>unidad</t>
        </is>
      </c>
      <c r="D1627" s="8" t="n"/>
      <c r="E1627" s="8" t="n"/>
      <c r="F1627" s="8" t="n"/>
      <c r="G1627" s="8" t="n">
        <v>35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>
        <f>IF(COUNT(D1627:V1627)=0,"",MIN(D1627:V1627))</f>
        <v/>
      </c>
      <c r="X1627" s="8">
        <f>IF(COUNT(D1627:V1627)=0,"",MEDIAN(D1627:V1627))</f>
        <v/>
      </c>
      <c r="Y1627" s="8">
        <f>IF(COUNT(D1627:V1627)=0,"",MAX(D1627:V1627))</f>
        <v/>
      </c>
      <c r="Z1627" s="9">
        <f>IF(OR(W1627="",W1627=0),"",(Y1627-W1627)/W1627)</f>
        <v/>
      </c>
      <c r="AA1627" s="7">
        <f>IF(COUNT(D1627:V1627)=0,"",INDEX($D$1:$V$1,MATCH(MIN(D1627:V1627),D1627:V1627,0)))</f>
        <v/>
      </c>
      <c r="AB1627" s="8" t="n">
        <v>35</v>
      </c>
      <c r="AC1627" s="10" t="n">
        <v>1</v>
      </c>
    </row>
    <row r="1628">
      <c r="A1628" s="7" t="inlineStr">
        <is>
          <t>MAT-32-273</t>
        </is>
      </c>
      <c r="B1628" s="4" t="inlineStr">
        <is>
          <t>Coupling de PVC presión 1 1/2"</t>
        </is>
      </c>
      <c r="C1628" s="7" t="inlineStr">
        <is>
          <t>unidad</t>
        </is>
      </c>
      <c r="D1628" s="8" t="n"/>
      <c r="E1628" s="8" t="n"/>
      <c r="F1628" s="8" t="n"/>
      <c r="G1628" s="8" t="n">
        <v>65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>
        <f>IF(COUNT(D1628:V1628)=0,"",MIN(D1628:V1628))</f>
        <v/>
      </c>
      <c r="X1628" s="8">
        <f>IF(COUNT(D1628:V1628)=0,"",MEDIAN(D1628:V1628))</f>
        <v/>
      </c>
      <c r="Y1628" s="8">
        <f>IF(COUNT(D1628:V1628)=0,"",MAX(D1628:V1628))</f>
        <v/>
      </c>
      <c r="Z1628" s="9">
        <f>IF(OR(W1628="",W1628=0),"",(Y1628-W1628)/W1628)</f>
        <v/>
      </c>
      <c r="AA1628" s="7">
        <f>IF(COUNT(D1628:V1628)=0,"",INDEX($D$1:$V$1,MATCH(MIN(D1628:V1628),D1628:V1628,0)))</f>
        <v/>
      </c>
      <c r="AB1628" s="8" t="n">
        <v>65</v>
      </c>
      <c r="AC1628" s="10" t="n">
        <v>1</v>
      </c>
    </row>
    <row r="1629">
      <c r="A1629" s="7" t="inlineStr">
        <is>
          <t>MAT-32-274</t>
        </is>
      </c>
      <c r="B1629" s="4" t="inlineStr">
        <is>
          <t>Coupling de PVC presión 1/2"</t>
        </is>
      </c>
      <c r="C1629" s="7" t="inlineStr">
        <is>
          <t>unidad</t>
        </is>
      </c>
      <c r="D1629" s="8" t="n"/>
      <c r="E1629" s="8" t="n"/>
      <c r="F1629" s="8" t="n"/>
      <c r="G1629" s="8" t="n">
        <v>27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>
        <f>IF(COUNT(D1629:V1629)=0,"",MIN(D1629:V1629))</f>
        <v/>
      </c>
      <c r="X1629" s="8">
        <f>IF(COUNT(D1629:V1629)=0,"",MEDIAN(D1629:V1629))</f>
        <v/>
      </c>
      <c r="Y1629" s="8">
        <f>IF(COUNT(D1629:V1629)=0,"",MAX(D1629:V1629))</f>
        <v/>
      </c>
      <c r="Z1629" s="9">
        <f>IF(OR(W1629="",W1629=0),"",(Y1629-W1629)/W1629)</f>
        <v/>
      </c>
      <c r="AA1629" s="7">
        <f>IF(COUNT(D1629:V1629)=0,"",INDEX($D$1:$V$1,MATCH(MIN(D1629:V1629),D1629:V1629,0)))</f>
        <v/>
      </c>
      <c r="AB1629" s="8" t="n">
        <v>27</v>
      </c>
      <c r="AC1629" s="10" t="n">
        <v>1</v>
      </c>
    </row>
    <row r="1630">
      <c r="A1630" s="7" t="inlineStr">
        <is>
          <t>MAT-32-275</t>
        </is>
      </c>
      <c r="B1630" s="4" t="inlineStr">
        <is>
          <t>Coupling de PVC presión 1"</t>
        </is>
      </c>
      <c r="C1630" s="7" t="inlineStr">
        <is>
          <t>unidad</t>
        </is>
      </c>
      <c r="D1630" s="8" t="n"/>
      <c r="E1630" s="8" t="n"/>
      <c r="F1630" s="8" t="n"/>
      <c r="G1630" s="8" t="n">
        <v>41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>
        <f>IF(COUNT(D1630:V1630)=0,"",MIN(D1630:V1630))</f>
        <v/>
      </c>
      <c r="X1630" s="8">
        <f>IF(COUNT(D1630:V1630)=0,"",MEDIAN(D1630:V1630))</f>
        <v/>
      </c>
      <c r="Y1630" s="8">
        <f>IF(COUNT(D1630:V1630)=0,"",MAX(D1630:V1630))</f>
        <v/>
      </c>
      <c r="Z1630" s="9">
        <f>IF(OR(W1630="",W1630=0),"",(Y1630-W1630)/W1630)</f>
        <v/>
      </c>
      <c r="AA1630" s="7">
        <f>IF(COUNT(D1630:V1630)=0,"",INDEX($D$1:$V$1,MATCH(MIN(D1630:V1630),D1630:V1630,0)))</f>
        <v/>
      </c>
      <c r="AB1630" s="8" t="n">
        <v>41</v>
      </c>
      <c r="AC1630" s="10" t="n">
        <v>1</v>
      </c>
    </row>
    <row r="1631">
      <c r="A1631" s="7" t="inlineStr">
        <is>
          <t>MAT-32-276</t>
        </is>
      </c>
      <c r="B1631" s="4" t="inlineStr">
        <is>
          <t>Coupling de PVC presión 2"</t>
        </is>
      </c>
      <c r="C1631" s="7" t="inlineStr">
        <is>
          <t>unidad</t>
        </is>
      </c>
      <c r="D1631" s="8" t="n"/>
      <c r="E1631" s="8" t="n"/>
      <c r="F1631" s="8" t="n"/>
      <c r="G1631" s="8" t="n">
        <v>95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>
        <f>IF(COUNT(D1631:V1631)=0,"",MIN(D1631:V1631))</f>
        <v/>
      </c>
      <c r="X1631" s="8">
        <f>IF(COUNT(D1631:V1631)=0,"",MEDIAN(D1631:V1631))</f>
        <v/>
      </c>
      <c r="Y1631" s="8">
        <f>IF(COUNT(D1631:V1631)=0,"",MAX(D1631:V1631))</f>
        <v/>
      </c>
      <c r="Z1631" s="9">
        <f>IF(OR(W1631="",W1631=0),"",(Y1631-W1631)/W1631)</f>
        <v/>
      </c>
      <c r="AA1631" s="7">
        <f>IF(COUNT(D1631:V1631)=0,"",INDEX($D$1:$V$1,MATCH(MIN(D1631:V1631),D1631:V1631,0)))</f>
        <v/>
      </c>
      <c r="AB1631" s="8" t="n">
        <v>95</v>
      </c>
      <c r="AC1631" s="10" t="n">
        <v>1</v>
      </c>
    </row>
    <row r="1632">
      <c r="A1632" s="7" t="inlineStr">
        <is>
          <t>MAT-32-277</t>
        </is>
      </c>
      <c r="B1632" s="4" t="inlineStr">
        <is>
          <t>Coupling de PVC presión 3/4"</t>
        </is>
      </c>
      <c r="C1632" s="7" t="inlineStr">
        <is>
          <t>unidad</t>
        </is>
      </c>
      <c r="D1632" s="8" t="n"/>
      <c r="E1632" s="8" t="n"/>
      <c r="F1632" s="8" t="n"/>
      <c r="G1632" s="8" t="n">
        <v>26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>
        <f>IF(COUNT(D1632:V1632)=0,"",MIN(D1632:V1632))</f>
        <v/>
      </c>
      <c r="X1632" s="8">
        <f>IF(COUNT(D1632:V1632)=0,"",MEDIAN(D1632:V1632))</f>
        <v/>
      </c>
      <c r="Y1632" s="8">
        <f>IF(COUNT(D1632:V1632)=0,"",MAX(D1632:V1632))</f>
        <v/>
      </c>
      <c r="Z1632" s="9">
        <f>IF(OR(W1632="",W1632=0),"",(Y1632-W1632)/W1632)</f>
        <v/>
      </c>
      <c r="AA1632" s="7">
        <f>IF(COUNT(D1632:V1632)=0,"",INDEX($D$1:$V$1,MATCH(MIN(D1632:V1632),D1632:V1632,0)))</f>
        <v/>
      </c>
      <c r="AB1632" s="8" t="n">
        <v>26</v>
      </c>
      <c r="AC1632" s="10" t="n">
        <v>1</v>
      </c>
    </row>
    <row r="1633">
      <c r="A1633" s="7" t="inlineStr">
        <is>
          <t>MAT-32-278</t>
        </is>
      </c>
      <c r="B1633" s="4" t="inlineStr">
        <is>
          <t>Coupling de PVC presión 3"</t>
        </is>
      </c>
      <c r="C1633" s="7" t="inlineStr">
        <is>
          <t>unidad</t>
        </is>
      </c>
      <c r="D1633" s="8" t="n"/>
      <c r="E1633" s="8" t="n"/>
      <c r="F1633" s="8" t="n"/>
      <c r="G1633" s="8" t="n">
        <v>215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>
        <f>IF(COUNT(D1633:V1633)=0,"",MIN(D1633:V1633))</f>
        <v/>
      </c>
      <c r="X1633" s="8">
        <f>IF(COUNT(D1633:V1633)=0,"",MEDIAN(D1633:V1633))</f>
        <v/>
      </c>
      <c r="Y1633" s="8">
        <f>IF(COUNT(D1633:V1633)=0,"",MAX(D1633:V1633))</f>
        <v/>
      </c>
      <c r="Z1633" s="9">
        <f>IF(OR(W1633="",W1633=0),"",(Y1633-W1633)/W1633)</f>
        <v/>
      </c>
      <c r="AA1633" s="7">
        <f>IF(COUNT(D1633:V1633)=0,"",INDEX($D$1:$V$1,MATCH(MIN(D1633:V1633),D1633:V1633,0)))</f>
        <v/>
      </c>
      <c r="AB1633" s="8" t="n">
        <v>215</v>
      </c>
      <c r="AC1633" s="10" t="n">
        <v>1</v>
      </c>
    </row>
    <row r="1634">
      <c r="A1634" s="7" t="inlineStr">
        <is>
          <t>MAT-32-279</t>
        </is>
      </c>
      <c r="B1634" s="4" t="inlineStr">
        <is>
          <t>Coupling de PVC presión 4"</t>
        </is>
      </c>
      <c r="C1634" s="7" t="inlineStr">
        <is>
          <t>unidad</t>
        </is>
      </c>
      <c r="D1634" s="8" t="n"/>
      <c r="E1634" s="8" t="n"/>
      <c r="F1634" s="8" t="n"/>
      <c r="G1634" s="8" t="n">
        <v>335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>
        <f>IF(COUNT(D1634:V1634)=0,"",MIN(D1634:V1634))</f>
        <v/>
      </c>
      <c r="X1634" s="8">
        <f>IF(COUNT(D1634:V1634)=0,"",MEDIAN(D1634:V1634))</f>
        <v/>
      </c>
      <c r="Y1634" s="8">
        <f>IF(COUNT(D1634:V1634)=0,"",MAX(D1634:V1634))</f>
        <v/>
      </c>
      <c r="Z1634" s="9">
        <f>IF(OR(W1634="",W1634=0),"",(Y1634-W1634)/W1634)</f>
        <v/>
      </c>
      <c r="AA1634" s="7">
        <f>IF(COUNT(D1634:V1634)=0,"",INDEX($D$1:$V$1,MATCH(MIN(D1634:V1634),D1634:V1634,0)))</f>
        <v/>
      </c>
      <c r="AB1634" s="8" t="n">
        <v>335</v>
      </c>
      <c r="AC1634" s="10" t="n">
        <v>1</v>
      </c>
    </row>
    <row r="1635">
      <c r="A1635" s="7" t="inlineStr">
        <is>
          <t>MAT-32-280</t>
        </is>
      </c>
      <c r="B1635" s="4" t="inlineStr">
        <is>
          <t>Cruz de PVC presión 1"</t>
        </is>
      </c>
      <c r="C1635" s="7" t="inlineStr">
        <is>
          <t>unidad</t>
        </is>
      </c>
      <c r="D1635" s="8" t="n"/>
      <c r="E1635" s="8" t="n"/>
      <c r="F1635" s="8" t="n"/>
      <c r="G1635" s="8" t="n">
        <v>136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>
        <f>IF(COUNT(D1635:V1635)=0,"",MIN(D1635:V1635))</f>
        <v/>
      </c>
      <c r="X1635" s="8">
        <f>IF(COUNT(D1635:V1635)=0,"",MEDIAN(D1635:V1635))</f>
        <v/>
      </c>
      <c r="Y1635" s="8">
        <f>IF(COUNT(D1635:V1635)=0,"",MAX(D1635:V1635))</f>
        <v/>
      </c>
      <c r="Z1635" s="9">
        <f>IF(OR(W1635="",W1635=0),"",(Y1635-W1635)/W1635)</f>
        <v/>
      </c>
      <c r="AA1635" s="7">
        <f>IF(COUNT(D1635:V1635)=0,"",INDEX($D$1:$V$1,MATCH(MIN(D1635:V1635),D1635:V1635,0)))</f>
        <v/>
      </c>
      <c r="AB1635" s="8" t="n">
        <v>136</v>
      </c>
      <c r="AC1635" s="10" t="n">
        <v>1</v>
      </c>
    </row>
    <row r="1636">
      <c r="A1636" s="7" t="inlineStr">
        <is>
          <t>MAT-32-281</t>
        </is>
      </c>
      <c r="B1636" s="4" t="inlineStr">
        <is>
          <t>Fitting de manguera 1/2" x 1/4"</t>
        </is>
      </c>
      <c r="C1636" s="7" t="inlineStr">
        <is>
          <t>unidad</t>
        </is>
      </c>
      <c r="D1636" s="8" t="n"/>
      <c r="E1636" s="8" t="n"/>
      <c r="F1636" s="8" t="n"/>
      <c r="G1636" s="8" t="n">
        <v>165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>
        <f>IF(COUNT(D1636:V1636)=0,"",MIN(D1636:V1636))</f>
        <v/>
      </c>
      <c r="X1636" s="8">
        <f>IF(COUNT(D1636:V1636)=0,"",MEDIAN(D1636:V1636))</f>
        <v/>
      </c>
      <c r="Y1636" s="8">
        <f>IF(COUNT(D1636:V1636)=0,"",MAX(D1636:V1636))</f>
        <v/>
      </c>
      <c r="Z1636" s="9">
        <f>IF(OR(W1636="",W1636=0),"",(Y1636-W1636)/W1636)</f>
        <v/>
      </c>
      <c r="AA1636" s="7">
        <f>IF(COUNT(D1636:V1636)=0,"",INDEX($D$1:$V$1,MATCH(MIN(D1636:V1636),D1636:V1636,0)))</f>
        <v/>
      </c>
      <c r="AB1636" s="8" t="n">
        <v>165</v>
      </c>
      <c r="AC1636" s="10" t="n">
        <v>1</v>
      </c>
    </row>
    <row r="1637">
      <c r="A1637" s="7" t="inlineStr">
        <is>
          <t>MAT-32-282</t>
        </is>
      </c>
      <c r="B1637" s="4" t="inlineStr">
        <is>
          <t>Fitting de manguera 1/2" x 3/8"</t>
        </is>
      </c>
      <c r="C1637" s="7" t="inlineStr">
        <is>
          <t>unidad</t>
        </is>
      </c>
      <c r="D1637" s="8" t="n"/>
      <c r="E1637" s="8" t="n"/>
      <c r="F1637" s="8" t="n"/>
      <c r="G1637" s="8" t="n">
        <v>205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>
        <f>IF(COUNT(D1637:V1637)=0,"",MIN(D1637:V1637))</f>
        <v/>
      </c>
      <c r="X1637" s="8">
        <f>IF(COUNT(D1637:V1637)=0,"",MEDIAN(D1637:V1637))</f>
        <v/>
      </c>
      <c r="Y1637" s="8">
        <f>IF(COUNT(D1637:V1637)=0,"",MAX(D1637:V1637))</f>
        <v/>
      </c>
      <c r="Z1637" s="9">
        <f>IF(OR(W1637="",W1637=0),"",(Y1637-W1637)/W1637)</f>
        <v/>
      </c>
      <c r="AA1637" s="7">
        <f>IF(COUNT(D1637:V1637)=0,"",INDEX($D$1:$V$1,MATCH(MIN(D1637:V1637),D1637:V1637,0)))</f>
        <v/>
      </c>
      <c r="AB1637" s="8" t="n">
        <v>205</v>
      </c>
      <c r="AC1637" s="10" t="n">
        <v>1</v>
      </c>
    </row>
    <row r="1638">
      <c r="A1638" s="7" t="inlineStr">
        <is>
          <t>MAT-32-283</t>
        </is>
      </c>
      <c r="B1638" s="4" t="inlineStr">
        <is>
          <t>Fitting de manguera 1/4" x 3/8"</t>
        </is>
      </c>
      <c r="C1638" s="7" t="inlineStr">
        <is>
          <t>unidad</t>
        </is>
      </c>
      <c r="D1638" s="8" t="n"/>
      <c r="E1638" s="8" t="n"/>
      <c r="F1638" s="8" t="n"/>
      <c r="G1638" s="8" t="n">
        <v>122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>
        <f>IF(COUNT(D1638:V1638)=0,"",MIN(D1638:V1638))</f>
        <v/>
      </c>
      <c r="X1638" s="8">
        <f>IF(COUNT(D1638:V1638)=0,"",MEDIAN(D1638:V1638))</f>
        <v/>
      </c>
      <c r="Y1638" s="8">
        <f>IF(COUNT(D1638:V1638)=0,"",MAX(D1638:V1638))</f>
        <v/>
      </c>
      <c r="Z1638" s="9">
        <f>IF(OR(W1638="",W1638=0),"",(Y1638-W1638)/W1638)</f>
        <v/>
      </c>
      <c r="AA1638" s="7">
        <f>IF(COUNT(D1638:V1638)=0,"",INDEX($D$1:$V$1,MATCH(MIN(D1638:V1638),D1638:V1638,0)))</f>
        <v/>
      </c>
      <c r="AB1638" s="8" t="n">
        <v>122</v>
      </c>
      <c r="AC1638" s="10" t="n">
        <v>1</v>
      </c>
    </row>
    <row r="1639">
      <c r="A1639" s="7" t="inlineStr">
        <is>
          <t>MAT-32-284</t>
        </is>
      </c>
      <c r="B1639" s="4" t="inlineStr">
        <is>
          <t>Fitting de manguera 3/8" x 1/4"</t>
        </is>
      </c>
      <c r="C1639" s="7" t="inlineStr">
        <is>
          <t>unidad</t>
        </is>
      </c>
      <c r="D1639" s="8" t="n"/>
      <c r="E1639" s="8" t="n"/>
      <c r="F1639" s="8" t="n"/>
      <c r="G1639" s="8" t="n">
        <v>102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>
        <f>IF(COUNT(D1639:V1639)=0,"",MIN(D1639:V1639))</f>
        <v/>
      </c>
      <c r="X1639" s="8">
        <f>IF(COUNT(D1639:V1639)=0,"",MEDIAN(D1639:V1639))</f>
        <v/>
      </c>
      <c r="Y1639" s="8">
        <f>IF(COUNT(D1639:V1639)=0,"",MAX(D1639:V1639))</f>
        <v/>
      </c>
      <c r="Z1639" s="9">
        <f>IF(OR(W1639="",W1639=0),"",(Y1639-W1639)/W1639)</f>
        <v/>
      </c>
      <c r="AA1639" s="7">
        <f>IF(COUNT(D1639:V1639)=0,"",INDEX($D$1:$V$1,MATCH(MIN(D1639:V1639),D1639:V1639,0)))</f>
        <v/>
      </c>
      <c r="AB1639" s="8" t="n">
        <v>102</v>
      </c>
      <c r="AC1639" s="10" t="n">
        <v>1</v>
      </c>
    </row>
    <row r="1640">
      <c r="A1640" s="7" t="inlineStr">
        <is>
          <t>MAT-32-285</t>
        </is>
      </c>
      <c r="B1640" s="4" t="inlineStr">
        <is>
          <t>Junta de PVC 1 1/2"</t>
        </is>
      </c>
      <c r="C1640" s="7" t="inlineStr">
        <is>
          <t>unidad</t>
        </is>
      </c>
      <c r="D1640" s="8" t="n"/>
      <c r="E1640" s="8" t="n"/>
      <c r="F1640" s="8" t="n"/>
      <c r="G1640" s="8" t="n">
        <v>308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>
        <f>IF(COUNT(D1640:V1640)=0,"",MIN(D1640:V1640))</f>
        <v/>
      </c>
      <c r="X1640" s="8">
        <f>IF(COUNT(D1640:V1640)=0,"",MEDIAN(D1640:V1640))</f>
        <v/>
      </c>
      <c r="Y1640" s="8">
        <f>IF(COUNT(D1640:V1640)=0,"",MAX(D1640:V1640))</f>
        <v/>
      </c>
      <c r="Z1640" s="9">
        <f>IF(OR(W1640="",W1640=0),"",(Y1640-W1640)/W1640)</f>
        <v/>
      </c>
      <c r="AA1640" s="7">
        <f>IF(COUNT(D1640:V1640)=0,"",INDEX($D$1:$V$1,MATCH(MIN(D1640:V1640),D1640:V1640,0)))</f>
        <v/>
      </c>
      <c r="AB1640" s="8" t="n">
        <v>308</v>
      </c>
      <c r="AC1640" s="10" t="n">
        <v>1</v>
      </c>
    </row>
    <row r="1641">
      <c r="A1641" s="7" t="inlineStr">
        <is>
          <t>MAT-32-286</t>
        </is>
      </c>
      <c r="B1641" s="4" t="inlineStr">
        <is>
          <t>Junta de PVC 1/2"</t>
        </is>
      </c>
      <c r="C1641" s="7" t="inlineStr">
        <is>
          <t>unidad</t>
        </is>
      </c>
      <c r="D1641" s="8" t="n"/>
      <c r="E1641" s="8" t="n"/>
      <c r="F1641" s="8" t="n"/>
      <c r="G1641" s="8" t="n">
        <v>86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>
        <f>IF(COUNT(D1641:V1641)=0,"",MIN(D1641:V1641))</f>
        <v/>
      </c>
      <c r="X1641" s="8">
        <f>IF(COUNT(D1641:V1641)=0,"",MEDIAN(D1641:V1641))</f>
        <v/>
      </c>
      <c r="Y1641" s="8">
        <f>IF(COUNT(D1641:V1641)=0,"",MAX(D1641:V1641))</f>
        <v/>
      </c>
      <c r="Z1641" s="9">
        <f>IF(OR(W1641="",W1641=0),"",(Y1641-W1641)/W1641)</f>
        <v/>
      </c>
      <c r="AA1641" s="7">
        <f>IF(COUNT(D1641:V1641)=0,"",INDEX($D$1:$V$1,MATCH(MIN(D1641:V1641),D1641:V1641,0)))</f>
        <v/>
      </c>
      <c r="AB1641" s="8" t="n">
        <v>86</v>
      </c>
      <c r="AC1641" s="10" t="n">
        <v>1</v>
      </c>
    </row>
    <row r="1642">
      <c r="A1642" s="7" t="inlineStr">
        <is>
          <t>MAT-32-287</t>
        </is>
      </c>
      <c r="B1642" s="4" t="inlineStr">
        <is>
          <t>Junta de PVC 1"</t>
        </is>
      </c>
      <c r="C1642" s="7" t="inlineStr">
        <is>
          <t>unidad</t>
        </is>
      </c>
      <c r="D1642" s="8" t="n"/>
      <c r="E1642" s="8" t="n"/>
      <c r="F1642" s="8" t="n"/>
      <c r="G1642" s="8" t="n">
        <v>160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>
        <f>IF(COUNT(D1642:V1642)=0,"",MIN(D1642:V1642))</f>
        <v/>
      </c>
      <c r="X1642" s="8">
        <f>IF(COUNT(D1642:V1642)=0,"",MEDIAN(D1642:V1642))</f>
        <v/>
      </c>
      <c r="Y1642" s="8">
        <f>IF(COUNT(D1642:V1642)=0,"",MAX(D1642:V1642))</f>
        <v/>
      </c>
      <c r="Z1642" s="9">
        <f>IF(OR(W1642="",W1642=0),"",(Y1642-W1642)/W1642)</f>
        <v/>
      </c>
      <c r="AA1642" s="7">
        <f>IF(COUNT(D1642:V1642)=0,"",INDEX($D$1:$V$1,MATCH(MIN(D1642:V1642),D1642:V1642,0)))</f>
        <v/>
      </c>
      <c r="AB1642" s="8" t="n">
        <v>160</v>
      </c>
      <c r="AC1642" s="10" t="n">
        <v>1</v>
      </c>
    </row>
    <row r="1643">
      <c r="A1643" s="7" t="inlineStr">
        <is>
          <t>MAT-32-288</t>
        </is>
      </c>
      <c r="B1643" s="4" t="inlineStr">
        <is>
          <t>Junta de PVC 3/4"</t>
        </is>
      </c>
      <c r="C1643" s="7" t="inlineStr">
        <is>
          <t>unidad</t>
        </is>
      </c>
      <c r="D1643" s="8" t="n"/>
      <c r="E1643" s="8" t="n"/>
      <c r="F1643" s="8" t="n"/>
      <c r="G1643" s="8" t="n">
        <v>135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>
        <f>IF(COUNT(D1643:V1643)=0,"",MIN(D1643:V1643))</f>
        <v/>
      </c>
      <c r="X1643" s="8">
        <f>IF(COUNT(D1643:V1643)=0,"",MEDIAN(D1643:V1643))</f>
        <v/>
      </c>
      <c r="Y1643" s="8">
        <f>IF(COUNT(D1643:V1643)=0,"",MAX(D1643:V1643))</f>
        <v/>
      </c>
      <c r="Z1643" s="9">
        <f>IF(OR(W1643="",W1643=0),"",(Y1643-W1643)/W1643)</f>
        <v/>
      </c>
      <c r="AA1643" s="7">
        <f>IF(COUNT(D1643:V1643)=0,"",INDEX($D$1:$V$1,MATCH(MIN(D1643:V1643),D1643:V1643,0)))</f>
        <v/>
      </c>
      <c r="AB1643" s="8" t="n">
        <v>135</v>
      </c>
      <c r="AC1643" s="10" t="n">
        <v>1</v>
      </c>
    </row>
    <row r="1644">
      <c r="A1644" s="7" t="inlineStr">
        <is>
          <t>MAT-32-289</t>
        </is>
      </c>
      <c r="B1644" s="4" t="inlineStr">
        <is>
          <t>Niple de bronce 1/2" x 2"</t>
        </is>
      </c>
      <c r="C1644" s="7" t="inlineStr">
        <is>
          <t>unidad</t>
        </is>
      </c>
      <c r="D1644" s="8" t="n"/>
      <c r="E1644" s="8" t="n">
        <v>133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>
        <f>IF(COUNT(D1644:V1644)=0,"",MIN(D1644:V1644))</f>
        <v/>
      </c>
      <c r="X1644" s="8">
        <f>IF(COUNT(D1644:V1644)=0,"",MEDIAN(D1644:V1644))</f>
        <v/>
      </c>
      <c r="Y1644" s="8">
        <f>IF(COUNT(D1644:V1644)=0,"",MAX(D1644:V1644))</f>
        <v/>
      </c>
      <c r="Z1644" s="9">
        <f>IF(OR(W1644="",W1644=0),"",(Y1644-W1644)/W1644)</f>
        <v/>
      </c>
      <c r="AA1644" s="7">
        <f>IF(COUNT(D1644:V1644)=0,"",INDEX($D$1:$V$1,MATCH(MIN(D1644:V1644),D1644:V1644,0)))</f>
        <v/>
      </c>
      <c r="AB1644" s="8" t="n">
        <v>133</v>
      </c>
      <c r="AC1644" s="10" t="n">
        <v>1</v>
      </c>
    </row>
    <row r="1645">
      <c r="A1645" s="7" t="inlineStr">
        <is>
          <t>MAT-32-290</t>
        </is>
      </c>
      <c r="B1645" s="4" t="inlineStr">
        <is>
          <t>Niple de bronce 1/2" x 3"</t>
        </is>
      </c>
      <c r="C1645" s="7" t="inlineStr">
        <is>
          <t>unidad</t>
        </is>
      </c>
      <c r="D1645" s="8" t="n"/>
      <c r="E1645" s="8" t="n">
        <v>192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>
        <f>IF(COUNT(D1645:V1645)=0,"",MIN(D1645:V1645))</f>
        <v/>
      </c>
      <c r="X1645" s="8">
        <f>IF(COUNT(D1645:V1645)=0,"",MEDIAN(D1645:V1645))</f>
        <v/>
      </c>
      <c r="Y1645" s="8">
        <f>IF(COUNT(D1645:V1645)=0,"",MAX(D1645:V1645))</f>
        <v/>
      </c>
      <c r="Z1645" s="9">
        <f>IF(OR(W1645="",W1645=0),"",(Y1645-W1645)/W1645)</f>
        <v/>
      </c>
      <c r="AA1645" s="7">
        <f>IF(COUNT(D1645:V1645)=0,"",INDEX($D$1:$V$1,MATCH(MIN(D1645:V1645),D1645:V1645,0)))</f>
        <v/>
      </c>
      <c r="AB1645" s="8" t="n">
        <v>192</v>
      </c>
      <c r="AC1645" s="10" t="n">
        <v>1</v>
      </c>
    </row>
    <row r="1646">
      <c r="A1646" s="7" t="inlineStr">
        <is>
          <t>MAT-32-291</t>
        </is>
      </c>
      <c r="B1646" s="4" t="inlineStr">
        <is>
          <t>Niple de bronce 1/4" x 1 1/2"</t>
        </is>
      </c>
      <c r="C1646" s="7" t="inlineStr">
        <is>
          <t>unidad</t>
        </is>
      </c>
      <c r="D1646" s="8" t="n"/>
      <c r="E1646" s="8" t="n">
        <v>66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>
        <f>IF(COUNT(D1646:V1646)=0,"",MIN(D1646:V1646))</f>
        <v/>
      </c>
      <c r="X1646" s="8">
        <f>IF(COUNT(D1646:V1646)=0,"",MEDIAN(D1646:V1646))</f>
        <v/>
      </c>
      <c r="Y1646" s="8">
        <f>IF(COUNT(D1646:V1646)=0,"",MAX(D1646:V1646))</f>
        <v/>
      </c>
      <c r="Z1646" s="9">
        <f>IF(OR(W1646="",W1646=0),"",(Y1646-W1646)/W1646)</f>
        <v/>
      </c>
      <c r="AA1646" s="7">
        <f>IF(COUNT(D1646:V1646)=0,"",INDEX($D$1:$V$1,MATCH(MIN(D1646:V1646),D1646:V1646,0)))</f>
        <v/>
      </c>
      <c r="AB1646" s="8" t="n">
        <v>66</v>
      </c>
      <c r="AC1646" s="10" t="n">
        <v>1</v>
      </c>
    </row>
    <row r="1647">
      <c r="A1647" s="7" t="inlineStr">
        <is>
          <t>MAT-32-292</t>
        </is>
      </c>
      <c r="B1647" s="4" t="inlineStr">
        <is>
          <t>Niple de bronce 1/4" x 3"</t>
        </is>
      </c>
      <c r="C1647" s="7" t="inlineStr">
        <is>
          <t>unidad</t>
        </is>
      </c>
      <c r="D1647" s="8" t="n"/>
      <c r="E1647" s="8" t="n">
        <v>165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>
        <f>IF(COUNT(D1647:V1647)=0,"",MIN(D1647:V1647))</f>
        <v/>
      </c>
      <c r="X1647" s="8">
        <f>IF(COUNT(D1647:V1647)=0,"",MEDIAN(D1647:V1647))</f>
        <v/>
      </c>
      <c r="Y1647" s="8">
        <f>IF(COUNT(D1647:V1647)=0,"",MAX(D1647:V1647))</f>
        <v/>
      </c>
      <c r="Z1647" s="9">
        <f>IF(OR(W1647="",W1647=0),"",(Y1647-W1647)/W1647)</f>
        <v/>
      </c>
      <c r="AA1647" s="7">
        <f>IF(COUNT(D1647:V1647)=0,"",INDEX($D$1:$V$1,MATCH(MIN(D1647:V1647),D1647:V1647,0)))</f>
        <v/>
      </c>
      <c r="AB1647" s="8" t="n">
        <v>165</v>
      </c>
      <c r="AC1647" s="10" t="n">
        <v>1</v>
      </c>
    </row>
    <row r="1648">
      <c r="A1648" s="7" t="inlineStr">
        <is>
          <t>MAT-32-293</t>
        </is>
      </c>
      <c r="B1648" s="4" t="inlineStr">
        <is>
          <t>Niple de bronce 1/8" x 1 1/2"</t>
        </is>
      </c>
      <c r="C1648" s="7" t="inlineStr">
        <is>
          <t>unidad</t>
        </is>
      </c>
      <c r="D1648" s="8" t="n"/>
      <c r="E1648" s="8" t="n">
        <v>51</v>
      </c>
      <c r="F1648" s="8" t="n"/>
      <c r="G1648" s="8" t="n"/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>
        <f>IF(COUNT(D1648:V1648)=0,"",MIN(D1648:V1648))</f>
        <v/>
      </c>
      <c r="X1648" s="8">
        <f>IF(COUNT(D1648:V1648)=0,"",MEDIAN(D1648:V1648))</f>
        <v/>
      </c>
      <c r="Y1648" s="8">
        <f>IF(COUNT(D1648:V1648)=0,"",MAX(D1648:V1648))</f>
        <v/>
      </c>
      <c r="Z1648" s="9">
        <f>IF(OR(W1648="",W1648=0),"",(Y1648-W1648)/W1648)</f>
        <v/>
      </c>
      <c r="AA1648" s="7">
        <f>IF(COUNT(D1648:V1648)=0,"",INDEX($D$1:$V$1,MATCH(MIN(D1648:V1648),D1648:V1648,0)))</f>
        <v/>
      </c>
      <c r="AB1648" s="8" t="n">
        <v>51</v>
      </c>
      <c r="AC1648" s="10" t="n">
        <v>1</v>
      </c>
    </row>
    <row r="1649">
      <c r="A1649" s="7" t="inlineStr">
        <is>
          <t>MAT-32-294</t>
        </is>
      </c>
      <c r="B1649" s="4" t="inlineStr">
        <is>
          <t>Niple de bronce 3/8" x 1 1/2"</t>
        </is>
      </c>
      <c r="C1649" s="7" t="inlineStr">
        <is>
          <t>unidad</t>
        </is>
      </c>
      <c r="D1649" s="8" t="n"/>
      <c r="E1649" s="8" t="n">
        <v>87</v>
      </c>
      <c r="F1649" s="8" t="n"/>
      <c r="G1649" s="8" t="n"/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>
        <f>IF(COUNT(D1649:V1649)=0,"",MIN(D1649:V1649))</f>
        <v/>
      </c>
      <c r="X1649" s="8">
        <f>IF(COUNT(D1649:V1649)=0,"",MEDIAN(D1649:V1649))</f>
        <v/>
      </c>
      <c r="Y1649" s="8">
        <f>IF(COUNT(D1649:V1649)=0,"",MAX(D1649:V1649))</f>
        <v/>
      </c>
      <c r="Z1649" s="9">
        <f>IF(OR(W1649="",W1649=0),"",(Y1649-W1649)/W1649)</f>
        <v/>
      </c>
      <c r="AA1649" s="7">
        <f>IF(COUNT(D1649:V1649)=0,"",INDEX($D$1:$V$1,MATCH(MIN(D1649:V1649),D1649:V1649,0)))</f>
        <v/>
      </c>
      <c r="AB1649" s="8" t="n">
        <v>87</v>
      </c>
      <c r="AC1649" s="10" t="n">
        <v>1</v>
      </c>
    </row>
    <row r="1650">
      <c r="A1650" s="7" t="inlineStr">
        <is>
          <t>MAT-32-295</t>
        </is>
      </c>
      <c r="B1650" s="4" t="inlineStr">
        <is>
          <t>Niple de bronce 3/8" x 2"</t>
        </is>
      </c>
      <c r="C1650" s="7" t="inlineStr">
        <is>
          <t>unidad</t>
        </is>
      </c>
      <c r="D1650" s="8" t="n"/>
      <c r="E1650" s="8" t="n">
        <v>90</v>
      </c>
      <c r="F1650" s="8" t="n"/>
      <c r="G1650" s="8" t="n"/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>
        <f>IF(COUNT(D1650:V1650)=0,"",MIN(D1650:V1650))</f>
        <v/>
      </c>
      <c r="X1650" s="8">
        <f>IF(COUNT(D1650:V1650)=0,"",MEDIAN(D1650:V1650))</f>
        <v/>
      </c>
      <c r="Y1650" s="8">
        <f>IF(COUNT(D1650:V1650)=0,"",MAX(D1650:V1650))</f>
        <v/>
      </c>
      <c r="Z1650" s="9">
        <f>IF(OR(W1650="",W1650=0),"",(Y1650-W1650)/W1650)</f>
        <v/>
      </c>
      <c r="AA1650" s="7">
        <f>IF(COUNT(D1650:V1650)=0,"",INDEX($D$1:$V$1,MATCH(MIN(D1650:V1650),D1650:V1650,0)))</f>
        <v/>
      </c>
      <c r="AB1650" s="8" t="n">
        <v>90</v>
      </c>
      <c r="AC1650" s="10" t="n">
        <v>1</v>
      </c>
    </row>
    <row r="1651">
      <c r="A1651" s="7" t="inlineStr">
        <is>
          <t>MAT-32-296</t>
        </is>
      </c>
      <c r="B1651" s="4" t="inlineStr">
        <is>
          <t>Niple de cobre 1/4" x 1 1/2"</t>
        </is>
      </c>
      <c r="C1651" s="7" t="inlineStr">
        <is>
          <t>unidad</t>
        </is>
      </c>
      <c r="D1651" s="8" t="n"/>
      <c r="E1651" s="8" t="n"/>
      <c r="F1651" s="8" t="n"/>
      <c r="G1651" s="8" t="n">
        <v>121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>
        <f>IF(COUNT(D1651:V1651)=0,"",MIN(D1651:V1651))</f>
        <v/>
      </c>
      <c r="X1651" s="8">
        <f>IF(COUNT(D1651:V1651)=0,"",MEDIAN(D1651:V1651))</f>
        <v/>
      </c>
      <c r="Y1651" s="8">
        <f>IF(COUNT(D1651:V1651)=0,"",MAX(D1651:V1651))</f>
        <v/>
      </c>
      <c r="Z1651" s="9">
        <f>IF(OR(W1651="",W1651=0),"",(Y1651-W1651)/W1651)</f>
        <v/>
      </c>
      <c r="AA1651" s="7">
        <f>IF(COUNT(D1651:V1651)=0,"",INDEX($D$1:$V$1,MATCH(MIN(D1651:V1651),D1651:V1651,0)))</f>
        <v/>
      </c>
      <c r="AB1651" s="8" t="n">
        <v>121</v>
      </c>
      <c r="AC1651" s="10" t="n">
        <v>1</v>
      </c>
    </row>
    <row r="1652">
      <c r="A1652" s="7" t="inlineStr">
        <is>
          <t>MAT-32-297</t>
        </is>
      </c>
      <c r="B1652" s="4" t="inlineStr">
        <is>
          <t>Niple de cobre 3/4" x 3"</t>
        </is>
      </c>
      <c r="C1652" s="7" t="inlineStr">
        <is>
          <t>unidad</t>
        </is>
      </c>
      <c r="D1652" s="8" t="n"/>
      <c r="E1652" s="8" t="n"/>
      <c r="F1652" s="8" t="n"/>
      <c r="G1652" s="8" t="n">
        <v>230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>
        <f>IF(COUNT(D1652:V1652)=0,"",MIN(D1652:V1652))</f>
        <v/>
      </c>
      <c r="X1652" s="8">
        <f>IF(COUNT(D1652:V1652)=0,"",MEDIAN(D1652:V1652))</f>
        <v/>
      </c>
      <c r="Y1652" s="8">
        <f>IF(COUNT(D1652:V1652)=0,"",MAX(D1652:V1652))</f>
        <v/>
      </c>
      <c r="Z1652" s="9">
        <f>IF(OR(W1652="",W1652=0),"",(Y1652-W1652)/W1652)</f>
        <v/>
      </c>
      <c r="AA1652" s="7">
        <f>IF(COUNT(D1652:V1652)=0,"",INDEX($D$1:$V$1,MATCH(MIN(D1652:V1652),D1652:V1652,0)))</f>
        <v/>
      </c>
      <c r="AB1652" s="8" t="n">
        <v>230</v>
      </c>
      <c r="AC1652" s="10" t="n">
        <v>1</v>
      </c>
    </row>
    <row r="1653">
      <c r="A1653" s="7" t="inlineStr">
        <is>
          <t>MAT-32-298</t>
        </is>
      </c>
      <c r="B1653" s="4" t="inlineStr">
        <is>
          <t>Niple de cobre 3/8" x 1 1/2"</t>
        </is>
      </c>
      <c r="C1653" s="7" t="inlineStr">
        <is>
          <t>unidad</t>
        </is>
      </c>
      <c r="D1653" s="8" t="n"/>
      <c r="E1653" s="8" t="n"/>
      <c r="F1653" s="8" t="n"/>
      <c r="G1653" s="8" t="n">
        <v>193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>
        <f>IF(COUNT(D1653:V1653)=0,"",MIN(D1653:V1653))</f>
        <v/>
      </c>
      <c r="X1653" s="8">
        <f>IF(COUNT(D1653:V1653)=0,"",MEDIAN(D1653:V1653))</f>
        <v/>
      </c>
      <c r="Y1653" s="8">
        <f>IF(COUNT(D1653:V1653)=0,"",MAX(D1653:V1653))</f>
        <v/>
      </c>
      <c r="Z1653" s="9">
        <f>IF(OR(W1653="",W1653=0),"",(Y1653-W1653)/W1653)</f>
        <v/>
      </c>
      <c r="AA1653" s="7">
        <f>IF(COUNT(D1653:V1653)=0,"",INDEX($D$1:$V$1,MATCH(MIN(D1653:V1653),D1653:V1653,0)))</f>
        <v/>
      </c>
      <c r="AB1653" s="8" t="n">
        <v>193</v>
      </c>
      <c r="AC1653" s="10" t="n">
        <v>1</v>
      </c>
    </row>
    <row r="1654">
      <c r="A1654" s="7" t="inlineStr">
        <is>
          <t>MAT-32-299</t>
        </is>
      </c>
      <c r="B1654" s="4" t="inlineStr">
        <is>
          <t>Niple de cobre 3/8" x 1"</t>
        </is>
      </c>
      <c r="C1654" s="7" t="inlineStr">
        <is>
          <t>unidad</t>
        </is>
      </c>
      <c r="D1654" s="8" t="n"/>
      <c r="E1654" s="8" t="n"/>
      <c r="F1654" s="8" t="n"/>
      <c r="G1654" s="8" t="n">
        <v>177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>
        <f>IF(COUNT(D1654:V1654)=0,"",MIN(D1654:V1654))</f>
        <v/>
      </c>
      <c r="X1654" s="8">
        <f>IF(COUNT(D1654:V1654)=0,"",MEDIAN(D1654:V1654))</f>
        <v/>
      </c>
      <c r="Y1654" s="8">
        <f>IF(COUNT(D1654:V1654)=0,"",MAX(D1654:V1654))</f>
        <v/>
      </c>
      <c r="Z1654" s="9">
        <f>IF(OR(W1654="",W1654=0),"",(Y1654-W1654)/W1654)</f>
        <v/>
      </c>
      <c r="AA1654" s="7">
        <f>IF(COUNT(D1654:V1654)=0,"",INDEX($D$1:$V$1,MATCH(MIN(D1654:V1654),D1654:V1654,0)))</f>
        <v/>
      </c>
      <c r="AB1654" s="8" t="n">
        <v>177</v>
      </c>
      <c r="AC1654" s="10" t="n">
        <v>1</v>
      </c>
    </row>
    <row r="1655">
      <c r="A1655" s="7" t="inlineStr">
        <is>
          <t>MAT-32-300</t>
        </is>
      </c>
      <c r="B1655" s="4" t="inlineStr">
        <is>
          <t>Niple de cobre 3/8" x 2"</t>
        </is>
      </c>
      <c r="C1655" s="7" t="inlineStr">
        <is>
          <t>unidad</t>
        </is>
      </c>
      <c r="D1655" s="8" t="n"/>
      <c r="E1655" s="8" t="n"/>
      <c r="F1655" s="8" t="n"/>
      <c r="G1655" s="8" t="n">
        <v>189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>
        <f>IF(COUNT(D1655:V1655)=0,"",MIN(D1655:V1655))</f>
        <v/>
      </c>
      <c r="X1655" s="8">
        <f>IF(COUNT(D1655:V1655)=0,"",MEDIAN(D1655:V1655))</f>
        <v/>
      </c>
      <c r="Y1655" s="8">
        <f>IF(COUNT(D1655:V1655)=0,"",MAX(D1655:V1655))</f>
        <v/>
      </c>
      <c r="Z1655" s="9">
        <f>IF(OR(W1655="",W1655=0),"",(Y1655-W1655)/W1655)</f>
        <v/>
      </c>
      <c r="AA1655" s="7">
        <f>IF(COUNT(D1655:V1655)=0,"",INDEX($D$1:$V$1,MATCH(MIN(D1655:V1655),D1655:V1655,0)))</f>
        <v/>
      </c>
      <c r="AB1655" s="8" t="n">
        <v>189</v>
      </c>
      <c r="AC1655" s="10" t="n">
        <v>1</v>
      </c>
    </row>
    <row r="1656">
      <c r="A1656" s="7" t="inlineStr">
        <is>
          <t>MAT-32-301</t>
        </is>
      </c>
      <c r="B1656" s="4" t="inlineStr">
        <is>
          <t>Niple de HG 1 1/2" x 10"</t>
        </is>
      </c>
      <c r="C1656" s="7" t="inlineStr">
        <is>
          <t>unidad</t>
        </is>
      </c>
      <c r="D1656" s="8" t="n"/>
      <c r="E1656" s="8" t="n"/>
      <c r="F1656" s="8" t="n"/>
      <c r="G1656" s="8" t="n">
        <v>372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>
        <f>IF(COUNT(D1656:V1656)=0,"",MIN(D1656:V1656))</f>
        <v/>
      </c>
      <c r="X1656" s="8">
        <f>IF(COUNT(D1656:V1656)=0,"",MEDIAN(D1656:V1656))</f>
        <v/>
      </c>
      <c r="Y1656" s="8">
        <f>IF(COUNT(D1656:V1656)=0,"",MAX(D1656:V1656))</f>
        <v/>
      </c>
      <c r="Z1656" s="9">
        <f>IF(OR(W1656="",W1656=0),"",(Y1656-W1656)/W1656)</f>
        <v/>
      </c>
      <c r="AA1656" s="7">
        <f>IF(COUNT(D1656:V1656)=0,"",INDEX($D$1:$V$1,MATCH(MIN(D1656:V1656),D1656:V1656,0)))</f>
        <v/>
      </c>
      <c r="AB1656" s="8" t="n">
        <v>372</v>
      </c>
      <c r="AC1656" s="10" t="n">
        <v>1</v>
      </c>
    </row>
    <row r="1657">
      <c r="A1657" s="7" t="inlineStr">
        <is>
          <t>MAT-32-302</t>
        </is>
      </c>
      <c r="B1657" s="4" t="inlineStr">
        <is>
          <t>Niple de HG 1 1/2" x 2 1/2"</t>
        </is>
      </c>
      <c r="C1657" s="7" t="inlineStr">
        <is>
          <t>unidad</t>
        </is>
      </c>
      <c r="D1657" s="8" t="n"/>
      <c r="E1657" s="8" t="n">
        <v>82</v>
      </c>
      <c r="F1657" s="8" t="n"/>
      <c r="G1657" s="8" t="n"/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>
        <f>IF(COUNT(D1657:V1657)=0,"",MIN(D1657:V1657))</f>
        <v/>
      </c>
      <c r="X1657" s="8">
        <f>IF(COUNT(D1657:V1657)=0,"",MEDIAN(D1657:V1657))</f>
        <v/>
      </c>
      <c r="Y1657" s="8">
        <f>IF(COUNT(D1657:V1657)=0,"",MAX(D1657:V1657))</f>
        <v/>
      </c>
      <c r="Z1657" s="9">
        <f>IF(OR(W1657="",W1657=0),"",(Y1657-W1657)/W1657)</f>
        <v/>
      </c>
      <c r="AA1657" s="7">
        <f>IF(COUNT(D1657:V1657)=0,"",INDEX($D$1:$V$1,MATCH(MIN(D1657:V1657),D1657:V1657,0)))</f>
        <v/>
      </c>
      <c r="AB1657" s="8" t="n">
        <v>82</v>
      </c>
      <c r="AC1657" s="10" t="n">
        <v>1</v>
      </c>
    </row>
    <row r="1658">
      <c r="A1658" s="7" t="inlineStr">
        <is>
          <t>MAT-32-303</t>
        </is>
      </c>
      <c r="B1658" s="4" t="inlineStr">
        <is>
          <t>Niple de HG 1 1/2" x 2"</t>
        </is>
      </c>
      <c r="C1658" s="7" t="inlineStr">
        <is>
          <t>unidad</t>
        </is>
      </c>
      <c r="D1658" s="8" t="n"/>
      <c r="E1658" s="8" t="n">
        <v>85</v>
      </c>
      <c r="F1658" s="8" t="n"/>
      <c r="G1658" s="8" t="n"/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>
        <f>IF(COUNT(D1658:V1658)=0,"",MIN(D1658:V1658))</f>
        <v/>
      </c>
      <c r="X1658" s="8">
        <f>IF(COUNT(D1658:V1658)=0,"",MEDIAN(D1658:V1658))</f>
        <v/>
      </c>
      <c r="Y1658" s="8">
        <f>IF(COUNT(D1658:V1658)=0,"",MAX(D1658:V1658))</f>
        <v/>
      </c>
      <c r="Z1658" s="9">
        <f>IF(OR(W1658="",W1658=0),"",(Y1658-W1658)/W1658)</f>
        <v/>
      </c>
      <c r="AA1658" s="7">
        <f>IF(COUNT(D1658:V1658)=0,"",INDEX($D$1:$V$1,MATCH(MIN(D1658:V1658),D1658:V1658,0)))</f>
        <v/>
      </c>
      <c r="AB1658" s="8" t="n">
        <v>85</v>
      </c>
      <c r="AC1658" s="10" t="n">
        <v>1</v>
      </c>
    </row>
    <row r="1659">
      <c r="A1659" s="7" t="inlineStr">
        <is>
          <t>MAT-32-304</t>
        </is>
      </c>
      <c r="B1659" s="4" t="inlineStr">
        <is>
          <t>Niple de HG 1 1/2" x 3"</t>
        </is>
      </c>
      <c r="C1659" s="7" t="inlineStr">
        <is>
          <t>unidad</t>
        </is>
      </c>
      <c r="D1659" s="8" t="n"/>
      <c r="E1659" s="8" t="n">
        <v>102</v>
      </c>
      <c r="F1659" s="8" t="n"/>
      <c r="G1659" s="8" t="n">
        <v>187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>
        <f>IF(COUNT(D1659:V1659)=0,"",MIN(D1659:V1659))</f>
        <v/>
      </c>
      <c r="X1659" s="8">
        <f>IF(COUNT(D1659:V1659)=0,"",MEDIAN(D1659:V1659))</f>
        <v/>
      </c>
      <c r="Y1659" s="8">
        <f>IF(COUNT(D1659:V1659)=0,"",MAX(D1659:V1659))</f>
        <v/>
      </c>
      <c r="Z1659" s="9">
        <f>IF(OR(W1659="",W1659=0),"",(Y1659-W1659)/W1659)</f>
        <v/>
      </c>
      <c r="AA1659" s="7">
        <f>IF(COUNT(D1659:V1659)=0,"",INDEX($D$1:$V$1,MATCH(MIN(D1659:V1659),D1659:V1659,0)))</f>
        <v/>
      </c>
      <c r="AB1659" s="8" t="n">
        <v>144.5</v>
      </c>
      <c r="AC1659" s="10" t="n">
        <v>2</v>
      </c>
    </row>
    <row r="1660">
      <c r="A1660" s="7" t="inlineStr">
        <is>
          <t>MAT-32-305</t>
        </is>
      </c>
      <c r="B1660" s="4" t="inlineStr">
        <is>
          <t>Niple de HG 1 1/2" x 4"</t>
        </is>
      </c>
      <c r="C1660" s="7" t="inlineStr">
        <is>
          <t>unidad</t>
        </is>
      </c>
      <c r="D1660" s="8" t="n"/>
      <c r="E1660" s="8" t="n">
        <v>104</v>
      </c>
      <c r="F1660" s="8" t="n"/>
      <c r="G1660" s="8" t="n">
        <v>257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>
        <f>IF(COUNT(D1660:V1660)=0,"",MIN(D1660:V1660))</f>
        <v/>
      </c>
      <c r="X1660" s="8">
        <f>IF(COUNT(D1660:V1660)=0,"",MEDIAN(D1660:V1660))</f>
        <v/>
      </c>
      <c r="Y1660" s="8">
        <f>IF(COUNT(D1660:V1660)=0,"",MAX(D1660:V1660))</f>
        <v/>
      </c>
      <c r="Z1660" s="9">
        <f>IF(OR(W1660="",W1660=0),"",(Y1660-W1660)/W1660)</f>
        <v/>
      </c>
      <c r="AA1660" s="7">
        <f>IF(COUNT(D1660:V1660)=0,"",INDEX($D$1:$V$1,MATCH(MIN(D1660:V1660),D1660:V1660,0)))</f>
        <v/>
      </c>
      <c r="AB1660" s="8" t="n">
        <v>180.5</v>
      </c>
      <c r="AC1660" s="10" t="n">
        <v>2</v>
      </c>
    </row>
    <row r="1661">
      <c r="A1661" s="7" t="inlineStr">
        <is>
          <t>MAT-32-306</t>
        </is>
      </c>
      <c r="B1661" s="4" t="inlineStr">
        <is>
          <t>Niple de HG 1 1/2" x 5"</t>
        </is>
      </c>
      <c r="C1661" s="7" t="inlineStr">
        <is>
          <t>unidad</t>
        </is>
      </c>
      <c r="D1661" s="8" t="n"/>
      <c r="E1661" s="8" t="n">
        <v>150</v>
      </c>
      <c r="F1661" s="8" t="n"/>
      <c r="G1661" s="8" t="n"/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>
        <f>IF(COUNT(D1661:V1661)=0,"",MIN(D1661:V1661))</f>
        <v/>
      </c>
      <c r="X1661" s="8">
        <f>IF(COUNT(D1661:V1661)=0,"",MEDIAN(D1661:V1661))</f>
        <v/>
      </c>
      <c r="Y1661" s="8">
        <f>IF(COUNT(D1661:V1661)=0,"",MAX(D1661:V1661))</f>
        <v/>
      </c>
      <c r="Z1661" s="9">
        <f>IF(OR(W1661="",W1661=0),"",(Y1661-W1661)/W1661)</f>
        <v/>
      </c>
      <c r="AA1661" s="7">
        <f>IF(COUNT(D1661:V1661)=0,"",INDEX($D$1:$V$1,MATCH(MIN(D1661:V1661),D1661:V1661,0)))</f>
        <v/>
      </c>
      <c r="AB1661" s="8" t="n">
        <v>150</v>
      </c>
      <c r="AC1661" s="10" t="n">
        <v>1</v>
      </c>
    </row>
    <row r="1662">
      <c r="A1662" s="7" t="inlineStr">
        <is>
          <t>MAT-32-307</t>
        </is>
      </c>
      <c r="B1662" s="4" t="inlineStr">
        <is>
          <t>Niple de HG 1 1/2" x 6"</t>
        </is>
      </c>
      <c r="C1662" s="7" t="inlineStr">
        <is>
          <t>unidad</t>
        </is>
      </c>
      <c r="D1662" s="8" t="n"/>
      <c r="E1662" s="8" t="n">
        <v>141</v>
      </c>
      <c r="F1662" s="8" t="n"/>
      <c r="G1662" s="8" t="n">
        <v>379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>
        <f>IF(COUNT(D1662:V1662)=0,"",MIN(D1662:V1662))</f>
        <v/>
      </c>
      <c r="X1662" s="8">
        <f>IF(COUNT(D1662:V1662)=0,"",MEDIAN(D1662:V1662))</f>
        <v/>
      </c>
      <c r="Y1662" s="8">
        <f>IF(COUNT(D1662:V1662)=0,"",MAX(D1662:V1662))</f>
        <v/>
      </c>
      <c r="Z1662" s="9">
        <f>IF(OR(W1662="",W1662=0),"",(Y1662-W1662)/W1662)</f>
        <v/>
      </c>
      <c r="AA1662" s="7">
        <f>IF(COUNT(D1662:V1662)=0,"",INDEX($D$1:$V$1,MATCH(MIN(D1662:V1662),D1662:V1662,0)))</f>
        <v/>
      </c>
      <c r="AB1662" s="8" t="n">
        <v>260</v>
      </c>
      <c r="AC1662" s="10" t="n">
        <v>2</v>
      </c>
    </row>
    <row r="1663">
      <c r="A1663" s="7" t="inlineStr">
        <is>
          <t>MAT-32-308</t>
        </is>
      </c>
      <c r="B1663" s="4" t="inlineStr">
        <is>
          <t>Niple de HG 1 1/4" x 2"</t>
        </is>
      </c>
      <c r="C1663" s="7" t="inlineStr">
        <is>
          <t>unidad</t>
        </is>
      </c>
      <c r="D1663" s="8" t="n"/>
      <c r="E1663" s="8" t="n"/>
      <c r="F1663" s="8" t="n"/>
      <c r="G1663" s="8" t="n">
        <v>170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>
        <f>IF(COUNT(D1663:V1663)=0,"",MIN(D1663:V1663))</f>
        <v/>
      </c>
      <c r="X1663" s="8">
        <f>IF(COUNT(D1663:V1663)=0,"",MEDIAN(D1663:V1663))</f>
        <v/>
      </c>
      <c r="Y1663" s="8">
        <f>IF(COUNT(D1663:V1663)=0,"",MAX(D1663:V1663))</f>
        <v/>
      </c>
      <c r="Z1663" s="9">
        <f>IF(OR(W1663="",W1663=0),"",(Y1663-W1663)/W1663)</f>
        <v/>
      </c>
      <c r="AA1663" s="7">
        <f>IF(COUNT(D1663:V1663)=0,"",INDEX($D$1:$V$1,MATCH(MIN(D1663:V1663),D1663:V1663,0)))</f>
        <v/>
      </c>
      <c r="AB1663" s="8" t="n">
        <v>170</v>
      </c>
      <c r="AC1663" s="10" t="n">
        <v>1</v>
      </c>
    </row>
    <row r="1664">
      <c r="A1664" s="7" t="inlineStr">
        <is>
          <t>MAT-32-309</t>
        </is>
      </c>
      <c r="B1664" s="4" t="inlineStr">
        <is>
          <t>Niple de HG 1 1/4" x 3"</t>
        </is>
      </c>
      <c r="C1664" s="7" t="inlineStr">
        <is>
          <t>unidad</t>
        </is>
      </c>
      <c r="D1664" s="8" t="n"/>
      <c r="E1664" s="8" t="n">
        <v>78</v>
      </c>
      <c r="F1664" s="8" t="n"/>
      <c r="G1664" s="8" t="n">
        <v>174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>
        <f>IF(COUNT(D1664:V1664)=0,"",MIN(D1664:V1664))</f>
        <v/>
      </c>
      <c r="X1664" s="8">
        <f>IF(COUNT(D1664:V1664)=0,"",MEDIAN(D1664:V1664))</f>
        <v/>
      </c>
      <c r="Y1664" s="8">
        <f>IF(COUNT(D1664:V1664)=0,"",MAX(D1664:V1664))</f>
        <v/>
      </c>
      <c r="Z1664" s="9">
        <f>IF(OR(W1664="",W1664=0),"",(Y1664-W1664)/W1664)</f>
        <v/>
      </c>
      <c r="AA1664" s="7">
        <f>IF(COUNT(D1664:V1664)=0,"",INDEX($D$1:$V$1,MATCH(MIN(D1664:V1664),D1664:V1664,0)))</f>
        <v/>
      </c>
      <c r="AB1664" s="8" t="n">
        <v>126</v>
      </c>
      <c r="AC1664" s="10" t="n">
        <v>2</v>
      </c>
    </row>
    <row r="1665">
      <c r="A1665" s="7" t="inlineStr">
        <is>
          <t>MAT-32-310</t>
        </is>
      </c>
      <c r="B1665" s="4" t="inlineStr">
        <is>
          <t>Niple de HG 1 1/4" x 4"</t>
        </is>
      </c>
      <c r="C1665" s="7" t="inlineStr">
        <is>
          <t>unidad</t>
        </is>
      </c>
      <c r="D1665" s="8" t="n"/>
      <c r="E1665" s="8" t="n">
        <v>101</v>
      </c>
      <c r="F1665" s="8" t="n"/>
      <c r="G1665" s="8" t="n">
        <v>191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>
        <f>IF(COUNT(D1665:V1665)=0,"",MIN(D1665:V1665))</f>
        <v/>
      </c>
      <c r="X1665" s="8">
        <f>IF(COUNT(D1665:V1665)=0,"",MEDIAN(D1665:V1665))</f>
        <v/>
      </c>
      <c r="Y1665" s="8">
        <f>IF(COUNT(D1665:V1665)=0,"",MAX(D1665:V1665))</f>
        <v/>
      </c>
      <c r="Z1665" s="9">
        <f>IF(OR(W1665="",W1665=0),"",(Y1665-W1665)/W1665)</f>
        <v/>
      </c>
      <c r="AA1665" s="7">
        <f>IF(COUNT(D1665:V1665)=0,"",INDEX($D$1:$V$1,MATCH(MIN(D1665:V1665),D1665:V1665,0)))</f>
        <v/>
      </c>
      <c r="AB1665" s="8" t="n">
        <v>146</v>
      </c>
      <c r="AC1665" s="10" t="n">
        <v>2</v>
      </c>
    </row>
    <row r="1666">
      <c r="A1666" s="7" t="inlineStr">
        <is>
          <t>MAT-32-311</t>
        </is>
      </c>
      <c r="B1666" s="4" t="inlineStr">
        <is>
          <t>Niple de HG 1 1/4" x 5"</t>
        </is>
      </c>
      <c r="C1666" s="7" t="inlineStr">
        <is>
          <t>unidad</t>
        </is>
      </c>
      <c r="D1666" s="8" t="n"/>
      <c r="E1666" s="8" t="n">
        <v>98</v>
      </c>
      <c r="F1666" s="8" t="n"/>
      <c r="G1666" s="8" t="n"/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>
        <f>IF(COUNT(D1666:V1666)=0,"",MIN(D1666:V1666))</f>
        <v/>
      </c>
      <c r="X1666" s="8">
        <f>IF(COUNT(D1666:V1666)=0,"",MEDIAN(D1666:V1666))</f>
        <v/>
      </c>
      <c r="Y1666" s="8">
        <f>IF(COUNT(D1666:V1666)=0,"",MAX(D1666:V1666))</f>
        <v/>
      </c>
      <c r="Z1666" s="9">
        <f>IF(OR(W1666="",W1666=0),"",(Y1666-W1666)/W1666)</f>
        <v/>
      </c>
      <c r="AA1666" s="7">
        <f>IF(COUNT(D1666:V1666)=0,"",INDEX($D$1:$V$1,MATCH(MIN(D1666:V1666),D1666:V1666,0)))</f>
        <v/>
      </c>
      <c r="AB1666" s="8" t="n">
        <v>98</v>
      </c>
      <c r="AC1666" s="10" t="n">
        <v>1</v>
      </c>
    </row>
    <row r="1667">
      <c r="A1667" s="7" t="inlineStr">
        <is>
          <t>MAT-32-312</t>
        </is>
      </c>
      <c r="B1667" s="4" t="inlineStr">
        <is>
          <t>Niple de HG 1 1/4" x 6"</t>
        </is>
      </c>
      <c r="C1667" s="7" t="inlineStr">
        <is>
          <t>unidad</t>
        </is>
      </c>
      <c r="D1667" s="8" t="n"/>
      <c r="E1667" s="8" t="n">
        <v>118</v>
      </c>
      <c r="F1667" s="8" t="n"/>
      <c r="G1667" s="8" t="n">
        <v>236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>
        <f>IF(COUNT(D1667:V1667)=0,"",MIN(D1667:V1667))</f>
        <v/>
      </c>
      <c r="X1667" s="8">
        <f>IF(COUNT(D1667:V1667)=0,"",MEDIAN(D1667:V1667))</f>
        <v/>
      </c>
      <c r="Y1667" s="8">
        <f>IF(COUNT(D1667:V1667)=0,"",MAX(D1667:V1667))</f>
        <v/>
      </c>
      <c r="Z1667" s="9">
        <f>IF(OR(W1667="",W1667=0),"",(Y1667-W1667)/W1667)</f>
        <v/>
      </c>
      <c r="AA1667" s="7">
        <f>IF(COUNT(D1667:V1667)=0,"",INDEX($D$1:$V$1,MATCH(MIN(D1667:V1667),D1667:V1667,0)))</f>
        <v/>
      </c>
      <c r="AB1667" s="8" t="n">
        <v>177</v>
      </c>
      <c r="AC1667" s="10" t="n">
        <v>2</v>
      </c>
    </row>
    <row r="1668">
      <c r="A1668" s="7" t="inlineStr">
        <is>
          <t>MAT-32-313</t>
        </is>
      </c>
      <c r="B1668" s="4" t="inlineStr">
        <is>
          <t>Niple de HG 1/2" x 1 1/2"</t>
        </is>
      </c>
      <c r="C1668" s="7" t="inlineStr">
        <is>
          <t>unidad</t>
        </is>
      </c>
      <c r="D1668" s="8" t="n"/>
      <c r="E1668" s="8" t="n">
        <v>17.47</v>
      </c>
      <c r="F1668" s="8" t="n"/>
      <c r="G1668" s="8" t="n">
        <v>75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>
        <f>IF(COUNT(D1668:V1668)=0,"",MIN(D1668:V1668))</f>
        <v/>
      </c>
      <c r="X1668" s="8">
        <f>IF(COUNT(D1668:V1668)=0,"",MEDIAN(D1668:V1668))</f>
        <v/>
      </c>
      <c r="Y1668" s="8">
        <f>IF(COUNT(D1668:V1668)=0,"",MAX(D1668:V1668))</f>
        <v/>
      </c>
      <c r="Z1668" s="9">
        <f>IF(OR(W1668="",W1668=0),"",(Y1668-W1668)/W1668)</f>
        <v/>
      </c>
      <c r="AA1668" s="7">
        <f>IF(COUNT(D1668:V1668)=0,"",INDEX($D$1:$V$1,MATCH(MIN(D1668:V1668),D1668:V1668,0)))</f>
        <v/>
      </c>
      <c r="AB1668" s="8" t="n">
        <v>46.24</v>
      </c>
      <c r="AC1668" s="10" t="n">
        <v>2</v>
      </c>
    </row>
    <row r="1669">
      <c r="A1669" s="7" t="inlineStr">
        <is>
          <t>MAT-32-314</t>
        </is>
      </c>
      <c r="B1669" s="4" t="inlineStr">
        <is>
          <t>Niple de HG 1/2" x 10"</t>
        </is>
      </c>
      <c r="C1669" s="7" t="inlineStr">
        <is>
          <t>unidad</t>
        </is>
      </c>
      <c r="D1669" s="8" t="n"/>
      <c r="E1669" s="8" t="n">
        <v>115</v>
      </c>
      <c r="F1669" s="8" t="n"/>
      <c r="G1669" s="8" t="n">
        <v>199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>
        <f>IF(COUNT(D1669:V1669)=0,"",MIN(D1669:V1669))</f>
        <v/>
      </c>
      <c r="X1669" s="8">
        <f>IF(COUNT(D1669:V1669)=0,"",MEDIAN(D1669:V1669))</f>
        <v/>
      </c>
      <c r="Y1669" s="8">
        <f>IF(COUNT(D1669:V1669)=0,"",MAX(D1669:V1669))</f>
        <v/>
      </c>
      <c r="Z1669" s="9">
        <f>IF(OR(W1669="",W1669=0),"",(Y1669-W1669)/W1669)</f>
        <v/>
      </c>
      <c r="AA1669" s="7">
        <f>IF(COUNT(D1669:V1669)=0,"",INDEX($D$1:$V$1,MATCH(MIN(D1669:V1669),D1669:V1669,0)))</f>
        <v/>
      </c>
      <c r="AB1669" s="8" t="n">
        <v>157</v>
      </c>
      <c r="AC1669" s="10" t="n">
        <v>2</v>
      </c>
    </row>
    <row r="1670">
      <c r="A1670" s="7" t="inlineStr">
        <is>
          <t>MAT-32-315</t>
        </is>
      </c>
      <c r="B1670" s="4" t="inlineStr">
        <is>
          <t>Niple de HG 1/2" x 12"</t>
        </is>
      </c>
      <c r="C1670" s="7" t="inlineStr">
        <is>
          <t>unidad</t>
        </is>
      </c>
      <c r="D1670" s="8" t="n"/>
      <c r="E1670" s="8" t="n">
        <v>119</v>
      </c>
      <c r="F1670" s="8" t="n"/>
      <c r="G1670" s="8" t="n">
        <v>259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>
        <f>IF(COUNT(D1670:V1670)=0,"",MIN(D1670:V1670))</f>
        <v/>
      </c>
      <c r="X1670" s="8">
        <f>IF(COUNT(D1670:V1670)=0,"",MEDIAN(D1670:V1670))</f>
        <v/>
      </c>
      <c r="Y1670" s="8">
        <f>IF(COUNT(D1670:V1670)=0,"",MAX(D1670:V1670))</f>
        <v/>
      </c>
      <c r="Z1670" s="9">
        <f>IF(OR(W1670="",W1670=0),"",(Y1670-W1670)/W1670)</f>
        <v/>
      </c>
      <c r="AA1670" s="7">
        <f>IF(COUNT(D1670:V1670)=0,"",INDEX($D$1:$V$1,MATCH(MIN(D1670:V1670),D1670:V1670,0)))</f>
        <v/>
      </c>
      <c r="AB1670" s="8" t="n">
        <v>189</v>
      </c>
      <c r="AC1670" s="10" t="n">
        <v>2</v>
      </c>
    </row>
    <row r="1671">
      <c r="A1671" s="7" t="inlineStr">
        <is>
          <t>MAT-32-316</t>
        </is>
      </c>
      <c r="B1671" s="4" t="inlineStr">
        <is>
          <t>Niple de HG 1/2" x 1"</t>
        </is>
      </c>
      <c r="C1671" s="7" t="inlineStr">
        <is>
          <t>unidad</t>
        </is>
      </c>
      <c r="D1671" s="8" t="n"/>
      <c r="E1671" s="8" t="n">
        <v>16.38</v>
      </c>
      <c r="F1671" s="8" t="n"/>
      <c r="G1671" s="8" t="n">
        <v>67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>
        <f>IF(COUNT(D1671:V1671)=0,"",MIN(D1671:V1671))</f>
        <v/>
      </c>
      <c r="X1671" s="8">
        <f>IF(COUNT(D1671:V1671)=0,"",MEDIAN(D1671:V1671))</f>
        <v/>
      </c>
      <c r="Y1671" s="8">
        <f>IF(COUNT(D1671:V1671)=0,"",MAX(D1671:V1671))</f>
        <v/>
      </c>
      <c r="Z1671" s="9">
        <f>IF(OR(W1671="",W1671=0),"",(Y1671-W1671)/W1671)</f>
        <v/>
      </c>
      <c r="AA1671" s="7">
        <f>IF(COUNT(D1671:V1671)=0,"",INDEX($D$1:$V$1,MATCH(MIN(D1671:V1671),D1671:V1671,0)))</f>
        <v/>
      </c>
      <c r="AB1671" s="8" t="n">
        <v>41.69</v>
      </c>
      <c r="AC1671" s="10" t="n">
        <v>2</v>
      </c>
    </row>
    <row r="1672">
      <c r="A1672" s="7" t="inlineStr">
        <is>
          <t>MAT-32-317</t>
        </is>
      </c>
      <c r="B1672" s="4" t="inlineStr">
        <is>
          <t>Niple de HG 1/2" x 2 1/2"</t>
        </is>
      </c>
      <c r="C1672" s="7" t="inlineStr">
        <is>
          <t>unidad</t>
        </is>
      </c>
      <c r="D1672" s="8" t="n"/>
      <c r="E1672" s="8" t="n">
        <v>24.02</v>
      </c>
      <c r="F1672" s="8" t="n"/>
      <c r="G1672" s="8" t="n">
        <v>65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>
        <f>IF(COUNT(D1672:V1672)=0,"",MIN(D1672:V1672))</f>
        <v/>
      </c>
      <c r="X1672" s="8">
        <f>IF(COUNT(D1672:V1672)=0,"",MEDIAN(D1672:V1672))</f>
        <v/>
      </c>
      <c r="Y1672" s="8">
        <f>IF(COUNT(D1672:V1672)=0,"",MAX(D1672:V1672))</f>
        <v/>
      </c>
      <c r="Z1672" s="9">
        <f>IF(OR(W1672="",W1672=0),"",(Y1672-W1672)/W1672)</f>
        <v/>
      </c>
      <c r="AA1672" s="7">
        <f>IF(COUNT(D1672:V1672)=0,"",INDEX($D$1:$V$1,MATCH(MIN(D1672:V1672),D1672:V1672,0)))</f>
        <v/>
      </c>
      <c r="AB1672" s="8" t="n">
        <v>44.51</v>
      </c>
      <c r="AC1672" s="10" t="n">
        <v>2</v>
      </c>
    </row>
    <row r="1673">
      <c r="A1673" s="7" t="inlineStr">
        <is>
          <t>MAT-32-318</t>
        </is>
      </c>
      <c r="B1673" s="4" t="inlineStr">
        <is>
          <t>Niple de HG 1/2" x 2"</t>
        </is>
      </c>
      <c r="C1673" s="7" t="inlineStr">
        <is>
          <t>unidad</t>
        </is>
      </c>
      <c r="D1673" s="8" t="n"/>
      <c r="E1673" s="8" t="n">
        <v>19.66</v>
      </c>
      <c r="F1673" s="8" t="n"/>
      <c r="G1673" s="8" t="n">
        <v>65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>
        <f>IF(COUNT(D1673:V1673)=0,"",MIN(D1673:V1673))</f>
        <v/>
      </c>
      <c r="X1673" s="8">
        <f>IF(COUNT(D1673:V1673)=0,"",MEDIAN(D1673:V1673))</f>
        <v/>
      </c>
      <c r="Y1673" s="8">
        <f>IF(COUNT(D1673:V1673)=0,"",MAX(D1673:V1673))</f>
        <v/>
      </c>
      <c r="Z1673" s="9">
        <f>IF(OR(W1673="",W1673=0),"",(Y1673-W1673)/W1673)</f>
        <v/>
      </c>
      <c r="AA1673" s="7">
        <f>IF(COUNT(D1673:V1673)=0,"",INDEX($D$1:$V$1,MATCH(MIN(D1673:V1673),D1673:V1673,0)))</f>
        <v/>
      </c>
      <c r="AB1673" s="8" t="n">
        <v>42.33</v>
      </c>
      <c r="AC1673" s="10" t="n">
        <v>2</v>
      </c>
    </row>
    <row r="1674">
      <c r="A1674" s="7" t="inlineStr">
        <is>
          <t>MAT-32-319</t>
        </is>
      </c>
      <c r="B1674" s="4" t="inlineStr">
        <is>
          <t>Niple de HG 1/2" x 3"</t>
        </is>
      </c>
      <c r="C1674" s="7" t="inlineStr">
        <is>
          <t>unidad</t>
        </is>
      </c>
      <c r="D1674" s="8" t="n"/>
      <c r="E1674" s="8" t="n">
        <v>27.3</v>
      </c>
      <c r="F1674" s="8" t="n"/>
      <c r="G1674" s="8" t="n">
        <v>65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>
        <f>IF(COUNT(D1674:V1674)=0,"",MIN(D1674:V1674))</f>
        <v/>
      </c>
      <c r="X1674" s="8">
        <f>IF(COUNT(D1674:V1674)=0,"",MEDIAN(D1674:V1674))</f>
        <v/>
      </c>
      <c r="Y1674" s="8">
        <f>IF(COUNT(D1674:V1674)=0,"",MAX(D1674:V1674))</f>
        <v/>
      </c>
      <c r="Z1674" s="9">
        <f>IF(OR(W1674="",W1674=0),"",(Y1674-W1674)/W1674)</f>
        <v/>
      </c>
      <c r="AA1674" s="7">
        <f>IF(COUNT(D1674:V1674)=0,"",INDEX($D$1:$V$1,MATCH(MIN(D1674:V1674),D1674:V1674,0)))</f>
        <v/>
      </c>
      <c r="AB1674" s="8" t="n">
        <v>46.15</v>
      </c>
      <c r="AC1674" s="10" t="n">
        <v>2</v>
      </c>
    </row>
    <row r="1675">
      <c r="A1675" s="7" t="inlineStr">
        <is>
          <t>MAT-32-320</t>
        </is>
      </c>
      <c r="B1675" s="4" t="inlineStr">
        <is>
          <t>Niple de HG 1/2" x 4"</t>
        </is>
      </c>
      <c r="C1675" s="7" t="inlineStr">
        <is>
          <t>unidad</t>
        </is>
      </c>
      <c r="D1675" s="8" t="n"/>
      <c r="E1675" s="8" t="n">
        <v>34.5</v>
      </c>
      <c r="F1675" s="8" t="n"/>
      <c r="G1675" s="8" t="n">
        <v>155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>
        <f>IF(COUNT(D1675:V1675)=0,"",MIN(D1675:V1675))</f>
        <v/>
      </c>
      <c r="X1675" s="8">
        <f>IF(COUNT(D1675:V1675)=0,"",MEDIAN(D1675:V1675))</f>
        <v/>
      </c>
      <c r="Y1675" s="8">
        <f>IF(COUNT(D1675:V1675)=0,"",MAX(D1675:V1675))</f>
        <v/>
      </c>
      <c r="Z1675" s="9">
        <f>IF(OR(W1675="",W1675=0),"",(Y1675-W1675)/W1675)</f>
        <v/>
      </c>
      <c r="AA1675" s="7">
        <f>IF(COUNT(D1675:V1675)=0,"",INDEX($D$1:$V$1,MATCH(MIN(D1675:V1675),D1675:V1675,0)))</f>
        <v/>
      </c>
      <c r="AB1675" s="8" t="n">
        <v>94.75</v>
      </c>
      <c r="AC1675" s="10" t="n">
        <v>2</v>
      </c>
    </row>
    <row r="1676">
      <c r="A1676" s="7" t="inlineStr">
        <is>
          <t>MAT-32-321</t>
        </is>
      </c>
      <c r="B1676" s="4" t="inlineStr">
        <is>
          <t>Niple de HG 1/2" x 5"</t>
        </is>
      </c>
      <c r="C1676" s="7" t="inlineStr">
        <is>
          <t>unidad</t>
        </is>
      </c>
      <c r="D1676" s="8" t="n"/>
      <c r="E1676" s="8" t="n">
        <v>41.5</v>
      </c>
      <c r="F1676" s="8" t="n"/>
      <c r="G1676" s="8" t="n">
        <v>182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>
        <f>IF(COUNT(D1676:V1676)=0,"",MIN(D1676:V1676))</f>
        <v/>
      </c>
      <c r="X1676" s="8">
        <f>IF(COUNT(D1676:V1676)=0,"",MEDIAN(D1676:V1676))</f>
        <v/>
      </c>
      <c r="Y1676" s="8">
        <f>IF(COUNT(D1676:V1676)=0,"",MAX(D1676:V1676))</f>
        <v/>
      </c>
      <c r="Z1676" s="9">
        <f>IF(OR(W1676="",W1676=0),"",(Y1676-W1676)/W1676)</f>
        <v/>
      </c>
      <c r="AA1676" s="7">
        <f>IF(COUNT(D1676:V1676)=0,"",INDEX($D$1:$V$1,MATCH(MIN(D1676:V1676),D1676:V1676,0)))</f>
        <v/>
      </c>
      <c r="AB1676" s="8" t="n">
        <v>111.75</v>
      </c>
      <c r="AC1676" s="10" t="n">
        <v>2</v>
      </c>
    </row>
    <row r="1677">
      <c r="A1677" s="7" t="inlineStr">
        <is>
          <t>MAT-32-322</t>
        </is>
      </c>
      <c r="B1677" s="4" t="inlineStr">
        <is>
          <t>Niple de HG 1/2" x 6"</t>
        </is>
      </c>
      <c r="C1677" s="7" t="inlineStr">
        <is>
          <t>unidad</t>
        </is>
      </c>
      <c r="D1677" s="8" t="n"/>
      <c r="E1677" s="8" t="n">
        <v>70</v>
      </c>
      <c r="F1677" s="8" t="n"/>
      <c r="G1677" s="8" t="n">
        <v>49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>
        <f>IF(COUNT(D1677:V1677)=0,"",MIN(D1677:V1677))</f>
        <v/>
      </c>
      <c r="X1677" s="8">
        <f>IF(COUNT(D1677:V1677)=0,"",MEDIAN(D1677:V1677))</f>
        <v/>
      </c>
      <c r="Y1677" s="8">
        <f>IF(COUNT(D1677:V1677)=0,"",MAX(D1677:V1677))</f>
        <v/>
      </c>
      <c r="Z1677" s="9">
        <f>IF(OR(W1677="",W1677=0),"",(Y1677-W1677)/W1677)</f>
        <v/>
      </c>
      <c r="AA1677" s="7">
        <f>IF(COUNT(D1677:V1677)=0,"",INDEX($D$1:$V$1,MATCH(MIN(D1677:V1677),D1677:V1677,0)))</f>
        <v/>
      </c>
      <c r="AB1677" s="8" t="n">
        <v>59.5</v>
      </c>
      <c r="AC1677" s="10" t="n">
        <v>2</v>
      </c>
    </row>
    <row r="1678">
      <c r="A1678" s="7" t="inlineStr">
        <is>
          <t>MAT-32-323</t>
        </is>
      </c>
      <c r="B1678" s="4" t="inlineStr">
        <is>
          <t>Niple de HG 1/2" x 8"</t>
        </is>
      </c>
      <c r="C1678" s="7" t="inlineStr">
        <is>
          <t>unidad</t>
        </is>
      </c>
      <c r="D1678" s="8" t="n"/>
      <c r="E1678" s="8" t="n">
        <v>77</v>
      </c>
      <c r="F1678" s="8" t="n"/>
      <c r="G1678" s="8" t="n">
        <v>187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>
        <f>IF(COUNT(D1678:V1678)=0,"",MIN(D1678:V1678))</f>
        <v/>
      </c>
      <c r="X1678" s="8">
        <f>IF(COUNT(D1678:V1678)=0,"",MEDIAN(D1678:V1678))</f>
        <v/>
      </c>
      <c r="Y1678" s="8">
        <f>IF(COUNT(D1678:V1678)=0,"",MAX(D1678:V1678))</f>
        <v/>
      </c>
      <c r="Z1678" s="9">
        <f>IF(OR(W1678="",W1678=0),"",(Y1678-W1678)/W1678)</f>
        <v/>
      </c>
      <c r="AA1678" s="7">
        <f>IF(COUNT(D1678:V1678)=0,"",INDEX($D$1:$V$1,MATCH(MIN(D1678:V1678),D1678:V1678,0)))</f>
        <v/>
      </c>
      <c r="AB1678" s="8" t="n">
        <v>132</v>
      </c>
      <c r="AC1678" s="10" t="n">
        <v>2</v>
      </c>
    </row>
    <row r="1679">
      <c r="A1679" s="7" t="inlineStr">
        <is>
          <t>MAT-32-324</t>
        </is>
      </c>
      <c r="B1679" s="4" t="inlineStr">
        <is>
          <t>Niple de HG 1/4" x 1 1/2"</t>
        </is>
      </c>
      <c r="C1679" s="7" t="inlineStr">
        <is>
          <t>unidad</t>
        </is>
      </c>
      <c r="D1679" s="8" t="n"/>
      <c r="E1679" s="8" t="n">
        <v>27.3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>
        <f>IF(COUNT(D1679:V1679)=0,"",MIN(D1679:V1679))</f>
        <v/>
      </c>
      <c r="X1679" s="8">
        <f>IF(COUNT(D1679:V1679)=0,"",MEDIAN(D1679:V1679))</f>
        <v/>
      </c>
      <c r="Y1679" s="8">
        <f>IF(COUNT(D1679:V1679)=0,"",MAX(D1679:V1679))</f>
        <v/>
      </c>
      <c r="Z1679" s="9">
        <f>IF(OR(W1679="",W1679=0),"",(Y1679-W1679)/W1679)</f>
        <v/>
      </c>
      <c r="AA1679" s="7">
        <f>IF(COUNT(D1679:V1679)=0,"",INDEX($D$1:$V$1,MATCH(MIN(D1679:V1679),D1679:V1679,0)))</f>
        <v/>
      </c>
      <c r="AB1679" s="8" t="n">
        <v>27.3</v>
      </c>
      <c r="AC1679" s="10" t="n">
        <v>1</v>
      </c>
    </row>
    <row r="1680">
      <c r="A1680" s="7" t="inlineStr">
        <is>
          <t>MAT-32-325</t>
        </is>
      </c>
      <c r="B1680" s="4" t="inlineStr">
        <is>
          <t>Niple de HG 1/4" x 2"</t>
        </is>
      </c>
      <c r="C1680" s="7" t="inlineStr">
        <is>
          <t>unidad</t>
        </is>
      </c>
      <c r="D1680" s="8" t="n"/>
      <c r="E1680" s="8" t="n">
        <v>29.45</v>
      </c>
      <c r="F1680" s="8" t="n"/>
      <c r="G1680" s="8" t="n">
        <v>170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>
        <f>IF(COUNT(D1680:V1680)=0,"",MIN(D1680:V1680))</f>
        <v/>
      </c>
      <c r="X1680" s="8">
        <f>IF(COUNT(D1680:V1680)=0,"",MEDIAN(D1680:V1680))</f>
        <v/>
      </c>
      <c r="Y1680" s="8">
        <f>IF(COUNT(D1680:V1680)=0,"",MAX(D1680:V1680))</f>
        <v/>
      </c>
      <c r="Z1680" s="9">
        <f>IF(OR(W1680="",W1680=0),"",(Y1680-W1680)/W1680)</f>
        <v/>
      </c>
      <c r="AA1680" s="7">
        <f>IF(COUNT(D1680:V1680)=0,"",INDEX($D$1:$V$1,MATCH(MIN(D1680:V1680),D1680:V1680,0)))</f>
        <v/>
      </c>
      <c r="AB1680" s="8" t="n">
        <v>99.73</v>
      </c>
      <c r="AC1680" s="10" t="n">
        <v>2</v>
      </c>
    </row>
    <row r="1681">
      <c r="A1681" s="7" t="inlineStr">
        <is>
          <t>MAT-32-326</t>
        </is>
      </c>
      <c r="B1681" s="4" t="inlineStr">
        <is>
          <t>Niple de HG 1/4" x 3"</t>
        </is>
      </c>
      <c r="C1681" s="7" t="inlineStr">
        <is>
          <t>unidad</t>
        </is>
      </c>
      <c r="D1681" s="8" t="n"/>
      <c r="E1681" s="8" t="n">
        <v>26.76</v>
      </c>
      <c r="F1681" s="8" t="n"/>
      <c r="G1681" s="8" t="n"/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>
        <f>IF(COUNT(D1681:V1681)=0,"",MIN(D1681:V1681))</f>
        <v/>
      </c>
      <c r="X1681" s="8">
        <f>IF(COUNT(D1681:V1681)=0,"",MEDIAN(D1681:V1681))</f>
        <v/>
      </c>
      <c r="Y1681" s="8">
        <f>IF(COUNT(D1681:V1681)=0,"",MAX(D1681:V1681))</f>
        <v/>
      </c>
      <c r="Z1681" s="9">
        <f>IF(OR(W1681="",W1681=0),"",(Y1681-W1681)/W1681)</f>
        <v/>
      </c>
      <c r="AA1681" s="7">
        <f>IF(COUNT(D1681:V1681)=0,"",INDEX($D$1:$V$1,MATCH(MIN(D1681:V1681),D1681:V1681,0)))</f>
        <v/>
      </c>
      <c r="AB1681" s="8" t="n">
        <v>26.76</v>
      </c>
      <c r="AC1681" s="10" t="n">
        <v>1</v>
      </c>
    </row>
    <row r="1682">
      <c r="A1682" s="7" t="inlineStr">
        <is>
          <t>MAT-32-327</t>
        </is>
      </c>
      <c r="B1682" s="4" t="inlineStr">
        <is>
          <t>Niple de HG 1/4" x 4"</t>
        </is>
      </c>
      <c r="C1682" s="7" t="inlineStr">
        <is>
          <t>unidad</t>
        </is>
      </c>
      <c r="D1682" s="8" t="n"/>
      <c r="E1682" s="8" t="n">
        <v>35.88</v>
      </c>
      <c r="F1682" s="8" t="n"/>
      <c r="G1682" s="8" t="n">
        <v>204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>
        <f>IF(COUNT(D1682:V1682)=0,"",MIN(D1682:V1682))</f>
        <v/>
      </c>
      <c r="X1682" s="8">
        <f>IF(COUNT(D1682:V1682)=0,"",MEDIAN(D1682:V1682))</f>
        <v/>
      </c>
      <c r="Y1682" s="8">
        <f>IF(COUNT(D1682:V1682)=0,"",MAX(D1682:V1682))</f>
        <v/>
      </c>
      <c r="Z1682" s="9">
        <f>IF(OR(W1682="",W1682=0),"",(Y1682-W1682)/W1682)</f>
        <v/>
      </c>
      <c r="AA1682" s="7">
        <f>IF(COUNT(D1682:V1682)=0,"",INDEX($D$1:$V$1,MATCH(MIN(D1682:V1682),D1682:V1682,0)))</f>
        <v/>
      </c>
      <c r="AB1682" s="8" t="n">
        <v>119.94</v>
      </c>
      <c r="AC1682" s="10" t="n">
        <v>2</v>
      </c>
    </row>
    <row r="1683">
      <c r="A1683" s="7" t="inlineStr">
        <is>
          <t>MAT-32-328</t>
        </is>
      </c>
      <c r="B1683" s="4" t="inlineStr">
        <is>
          <t>Niple de HG 1" x 1 1/2"</t>
        </is>
      </c>
      <c r="C1683" s="7" t="inlineStr">
        <is>
          <t>unidad</t>
        </is>
      </c>
      <c r="D1683" s="8" t="n"/>
      <c r="E1683" s="8" t="n">
        <v>38.22</v>
      </c>
      <c r="F1683" s="8" t="n"/>
      <c r="G1683" s="8" t="n"/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>
        <f>IF(COUNT(D1683:V1683)=0,"",MIN(D1683:V1683))</f>
        <v/>
      </c>
      <c r="X1683" s="8">
        <f>IF(COUNT(D1683:V1683)=0,"",MEDIAN(D1683:V1683))</f>
        <v/>
      </c>
      <c r="Y1683" s="8">
        <f>IF(COUNT(D1683:V1683)=0,"",MAX(D1683:V1683))</f>
        <v/>
      </c>
      <c r="Z1683" s="9">
        <f>IF(OR(W1683="",W1683=0),"",(Y1683-W1683)/W1683)</f>
        <v/>
      </c>
      <c r="AA1683" s="7">
        <f>IF(COUNT(D1683:V1683)=0,"",INDEX($D$1:$V$1,MATCH(MIN(D1683:V1683),D1683:V1683,0)))</f>
        <v/>
      </c>
      <c r="AB1683" s="8" t="n">
        <v>38.22</v>
      </c>
      <c r="AC1683" s="10" t="n">
        <v>1</v>
      </c>
    </row>
    <row r="1684">
      <c r="A1684" s="7" t="inlineStr">
        <is>
          <t>MAT-32-329</t>
        </is>
      </c>
      <c r="B1684" s="4" t="inlineStr">
        <is>
          <t>Niple de HG 1" x 10"</t>
        </is>
      </c>
      <c r="C1684" s="7" t="inlineStr">
        <is>
          <t>unidad</t>
        </is>
      </c>
      <c r="D1684" s="8" t="n"/>
      <c r="E1684" s="8" t="n"/>
      <c r="F1684" s="8" t="n"/>
      <c r="G1684" s="8" t="n">
        <v>344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>
        <f>IF(COUNT(D1684:V1684)=0,"",MIN(D1684:V1684))</f>
        <v/>
      </c>
      <c r="X1684" s="8">
        <f>IF(COUNT(D1684:V1684)=0,"",MEDIAN(D1684:V1684))</f>
        <v/>
      </c>
      <c r="Y1684" s="8">
        <f>IF(COUNT(D1684:V1684)=0,"",MAX(D1684:V1684))</f>
        <v/>
      </c>
      <c r="Z1684" s="9">
        <f>IF(OR(W1684="",W1684=0),"",(Y1684-W1684)/W1684)</f>
        <v/>
      </c>
      <c r="AA1684" s="7">
        <f>IF(COUNT(D1684:V1684)=0,"",INDEX($D$1:$V$1,MATCH(MIN(D1684:V1684),D1684:V1684,0)))</f>
        <v/>
      </c>
      <c r="AB1684" s="8" t="n">
        <v>344</v>
      </c>
      <c r="AC1684" s="10" t="n">
        <v>1</v>
      </c>
    </row>
    <row r="1685">
      <c r="A1685" s="7" t="inlineStr">
        <is>
          <t>MAT-32-330</t>
        </is>
      </c>
      <c r="B1685" s="4" t="inlineStr">
        <is>
          <t>Niple de HG 1" x 2 1/2"</t>
        </is>
      </c>
      <c r="C1685" s="7" t="inlineStr">
        <is>
          <t>unidad</t>
        </is>
      </c>
      <c r="D1685" s="8" t="n"/>
      <c r="E1685" s="8" t="n">
        <v>45.86</v>
      </c>
      <c r="F1685" s="8" t="n"/>
      <c r="G1685" s="8" t="n">
        <v>130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>
        <f>IF(COUNT(D1685:V1685)=0,"",MIN(D1685:V1685))</f>
        <v/>
      </c>
      <c r="X1685" s="8">
        <f>IF(COUNT(D1685:V1685)=0,"",MEDIAN(D1685:V1685))</f>
        <v/>
      </c>
      <c r="Y1685" s="8">
        <f>IF(COUNT(D1685:V1685)=0,"",MAX(D1685:V1685))</f>
        <v/>
      </c>
      <c r="Z1685" s="9">
        <f>IF(OR(W1685="",W1685=0),"",(Y1685-W1685)/W1685)</f>
        <v/>
      </c>
      <c r="AA1685" s="7">
        <f>IF(COUNT(D1685:V1685)=0,"",INDEX($D$1:$V$1,MATCH(MIN(D1685:V1685),D1685:V1685,0)))</f>
        <v/>
      </c>
      <c r="AB1685" s="8" t="n">
        <v>87.93000000000001</v>
      </c>
      <c r="AC1685" s="10" t="n">
        <v>2</v>
      </c>
    </row>
    <row r="1686">
      <c r="A1686" s="7" t="inlineStr">
        <is>
          <t>MAT-32-331</t>
        </is>
      </c>
      <c r="B1686" s="4" t="inlineStr">
        <is>
          <t>Niple de HG 1" x 2"</t>
        </is>
      </c>
      <c r="C1686" s="7" t="inlineStr">
        <is>
          <t>unidad</t>
        </is>
      </c>
      <c r="D1686" s="8" t="n"/>
      <c r="E1686" s="8" t="n">
        <v>48.61</v>
      </c>
      <c r="F1686" s="8" t="n"/>
      <c r="G1686" s="8" t="n">
        <v>53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>
        <f>IF(COUNT(D1686:V1686)=0,"",MIN(D1686:V1686))</f>
        <v/>
      </c>
      <c r="X1686" s="8">
        <f>IF(COUNT(D1686:V1686)=0,"",MEDIAN(D1686:V1686))</f>
        <v/>
      </c>
      <c r="Y1686" s="8">
        <f>IF(COUNT(D1686:V1686)=0,"",MAX(D1686:V1686))</f>
        <v/>
      </c>
      <c r="Z1686" s="9">
        <f>IF(OR(W1686="",W1686=0),"",(Y1686-W1686)/W1686)</f>
        <v/>
      </c>
      <c r="AA1686" s="7">
        <f>IF(COUNT(D1686:V1686)=0,"",INDEX($D$1:$V$1,MATCH(MIN(D1686:V1686),D1686:V1686,0)))</f>
        <v/>
      </c>
      <c r="AB1686" s="8" t="n">
        <v>50.81</v>
      </c>
      <c r="AC1686" s="10" t="n">
        <v>2</v>
      </c>
    </row>
    <row r="1687">
      <c r="A1687" s="7" t="inlineStr">
        <is>
          <t>MAT-32-332</t>
        </is>
      </c>
      <c r="B1687" s="4" t="inlineStr">
        <is>
          <t>Niple de HG 1" x 3"</t>
        </is>
      </c>
      <c r="C1687" s="7" t="inlineStr">
        <is>
          <t>unidad</t>
        </is>
      </c>
      <c r="D1687" s="8" t="n"/>
      <c r="E1687" s="8" t="n"/>
      <c r="F1687" s="8" t="n"/>
      <c r="G1687" s="8" t="n">
        <v>63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>
        <f>IF(COUNT(D1687:V1687)=0,"",MIN(D1687:V1687))</f>
        <v/>
      </c>
      <c r="X1687" s="8">
        <f>IF(COUNT(D1687:V1687)=0,"",MEDIAN(D1687:V1687))</f>
        <v/>
      </c>
      <c r="Y1687" s="8">
        <f>IF(COUNT(D1687:V1687)=0,"",MAX(D1687:V1687))</f>
        <v/>
      </c>
      <c r="Z1687" s="9">
        <f>IF(OR(W1687="",W1687=0),"",(Y1687-W1687)/W1687)</f>
        <v/>
      </c>
      <c r="AA1687" s="7">
        <f>IF(COUNT(D1687:V1687)=0,"",INDEX($D$1:$V$1,MATCH(MIN(D1687:V1687),D1687:V1687,0)))</f>
        <v/>
      </c>
      <c r="AB1687" s="8" t="n">
        <v>63</v>
      </c>
      <c r="AC1687" s="10" t="n">
        <v>1</v>
      </c>
    </row>
    <row r="1688">
      <c r="A1688" s="7" t="inlineStr">
        <is>
          <t>MAT-32-333</t>
        </is>
      </c>
      <c r="B1688" s="4" t="inlineStr">
        <is>
          <t>Niple de HG 1" x 4"</t>
        </is>
      </c>
      <c r="C1688" s="7" t="inlineStr">
        <is>
          <t>unidad</t>
        </is>
      </c>
      <c r="D1688" s="8" t="n"/>
      <c r="E1688" s="8" t="n">
        <v>88</v>
      </c>
      <c r="F1688" s="8" t="n"/>
      <c r="G1688" s="8" t="n">
        <v>65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>
        <f>IF(COUNT(D1688:V1688)=0,"",MIN(D1688:V1688))</f>
        <v/>
      </c>
      <c r="X1688" s="8">
        <f>IF(COUNT(D1688:V1688)=0,"",MEDIAN(D1688:V1688))</f>
        <v/>
      </c>
      <c r="Y1688" s="8">
        <f>IF(COUNT(D1688:V1688)=0,"",MAX(D1688:V1688))</f>
        <v/>
      </c>
      <c r="Z1688" s="9">
        <f>IF(OR(W1688="",W1688=0),"",(Y1688-W1688)/W1688)</f>
        <v/>
      </c>
      <c r="AA1688" s="7">
        <f>IF(COUNT(D1688:V1688)=0,"",INDEX($D$1:$V$1,MATCH(MIN(D1688:V1688),D1688:V1688,0)))</f>
        <v/>
      </c>
      <c r="AB1688" s="8" t="n">
        <v>76.5</v>
      </c>
      <c r="AC1688" s="10" t="n">
        <v>2</v>
      </c>
    </row>
    <row r="1689">
      <c r="A1689" s="7" t="inlineStr">
        <is>
          <t>MAT-32-334</t>
        </is>
      </c>
      <c r="B1689" s="4" t="inlineStr">
        <is>
          <t>Niple de HG 1" x 5"</t>
        </is>
      </c>
      <c r="C1689" s="7" t="inlineStr">
        <is>
          <t>unidad</t>
        </is>
      </c>
      <c r="D1689" s="8" t="n"/>
      <c r="E1689" s="8" t="n">
        <v>108</v>
      </c>
      <c r="F1689" s="8" t="n"/>
      <c r="G1689" s="8" t="n">
        <v>31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>
        <f>IF(COUNT(D1689:V1689)=0,"",MIN(D1689:V1689))</f>
        <v/>
      </c>
      <c r="X1689" s="8">
        <f>IF(COUNT(D1689:V1689)=0,"",MEDIAN(D1689:V1689))</f>
        <v/>
      </c>
      <c r="Y1689" s="8">
        <f>IF(COUNT(D1689:V1689)=0,"",MAX(D1689:V1689))</f>
        <v/>
      </c>
      <c r="Z1689" s="9">
        <f>IF(OR(W1689="",W1689=0),"",(Y1689-W1689)/W1689)</f>
        <v/>
      </c>
      <c r="AA1689" s="7">
        <f>IF(COUNT(D1689:V1689)=0,"",INDEX($D$1:$V$1,MATCH(MIN(D1689:V1689),D1689:V1689,0)))</f>
        <v/>
      </c>
      <c r="AB1689" s="8" t="n">
        <v>69.5</v>
      </c>
      <c r="AC1689" s="10" t="n">
        <v>2</v>
      </c>
    </row>
    <row r="1690">
      <c r="A1690" s="7" t="inlineStr">
        <is>
          <t>MAT-32-335</t>
        </is>
      </c>
      <c r="B1690" s="4" t="inlineStr">
        <is>
          <t>Niple de HG 1" x 6"</t>
        </is>
      </c>
      <c r="C1690" s="7" t="inlineStr">
        <is>
          <t>unidad</t>
        </is>
      </c>
      <c r="D1690" s="8" t="n"/>
      <c r="E1690" s="8" t="n">
        <v>91</v>
      </c>
      <c r="F1690" s="8" t="n"/>
      <c r="G1690" s="8" t="n">
        <v>86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>
        <f>IF(COUNT(D1690:V1690)=0,"",MIN(D1690:V1690))</f>
        <v/>
      </c>
      <c r="X1690" s="8">
        <f>IF(COUNT(D1690:V1690)=0,"",MEDIAN(D1690:V1690))</f>
        <v/>
      </c>
      <c r="Y1690" s="8">
        <f>IF(COUNT(D1690:V1690)=0,"",MAX(D1690:V1690))</f>
        <v/>
      </c>
      <c r="Z1690" s="9">
        <f>IF(OR(W1690="",W1690=0),"",(Y1690-W1690)/W1690)</f>
        <v/>
      </c>
      <c r="AA1690" s="7">
        <f>IF(COUNT(D1690:V1690)=0,"",INDEX($D$1:$V$1,MATCH(MIN(D1690:V1690),D1690:V1690,0)))</f>
        <v/>
      </c>
      <c r="AB1690" s="8" t="n">
        <v>88.5</v>
      </c>
      <c r="AC1690" s="10" t="n">
        <v>2</v>
      </c>
    </row>
    <row r="1691">
      <c r="A1691" s="7" t="inlineStr">
        <is>
          <t>MAT-32-336</t>
        </is>
      </c>
      <c r="B1691" s="4" t="inlineStr">
        <is>
          <t>Niple de HG 2" x 2"</t>
        </is>
      </c>
      <c r="C1691" s="7" t="inlineStr">
        <is>
          <t>unidad</t>
        </is>
      </c>
      <c r="D1691" s="8" t="n"/>
      <c r="E1691" s="8" t="n">
        <v>78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>
        <f>IF(COUNT(D1691:V1691)=0,"",MIN(D1691:V1691))</f>
        <v/>
      </c>
      <c r="X1691" s="8">
        <f>IF(COUNT(D1691:V1691)=0,"",MEDIAN(D1691:V1691))</f>
        <v/>
      </c>
      <c r="Y1691" s="8">
        <f>IF(COUNT(D1691:V1691)=0,"",MAX(D1691:V1691))</f>
        <v/>
      </c>
      <c r="Z1691" s="9">
        <f>IF(OR(W1691="",W1691=0),"",(Y1691-W1691)/W1691)</f>
        <v/>
      </c>
      <c r="AA1691" s="7">
        <f>IF(COUNT(D1691:V1691)=0,"",INDEX($D$1:$V$1,MATCH(MIN(D1691:V1691),D1691:V1691,0)))</f>
        <v/>
      </c>
      <c r="AB1691" s="8" t="n">
        <v>78</v>
      </c>
      <c r="AC1691" s="10" t="n">
        <v>1</v>
      </c>
    </row>
    <row r="1692">
      <c r="A1692" s="7" t="inlineStr">
        <is>
          <t>MAT-32-337</t>
        </is>
      </c>
      <c r="B1692" s="4" t="inlineStr">
        <is>
          <t>Niple de HG 2" x 3"</t>
        </is>
      </c>
      <c r="C1692" s="7" t="inlineStr">
        <is>
          <t>unidad</t>
        </is>
      </c>
      <c r="D1692" s="8" t="n"/>
      <c r="E1692" s="8" t="n">
        <v>99</v>
      </c>
      <c r="F1692" s="8" t="n"/>
      <c r="G1692" s="8" t="n">
        <v>338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>
        <f>IF(COUNT(D1692:V1692)=0,"",MIN(D1692:V1692))</f>
        <v/>
      </c>
      <c r="X1692" s="8">
        <f>IF(COUNT(D1692:V1692)=0,"",MEDIAN(D1692:V1692))</f>
        <v/>
      </c>
      <c r="Y1692" s="8">
        <f>IF(COUNT(D1692:V1692)=0,"",MAX(D1692:V1692))</f>
        <v/>
      </c>
      <c r="Z1692" s="9">
        <f>IF(OR(W1692="",W1692=0),"",(Y1692-W1692)/W1692)</f>
        <v/>
      </c>
      <c r="AA1692" s="7">
        <f>IF(COUNT(D1692:V1692)=0,"",INDEX($D$1:$V$1,MATCH(MIN(D1692:V1692),D1692:V1692,0)))</f>
        <v/>
      </c>
      <c r="AB1692" s="8" t="n">
        <v>218.5</v>
      </c>
      <c r="AC1692" s="10" t="n">
        <v>2</v>
      </c>
    </row>
    <row r="1693">
      <c r="A1693" s="7" t="inlineStr">
        <is>
          <t>MAT-32-338</t>
        </is>
      </c>
      <c r="B1693" s="4" t="inlineStr">
        <is>
          <t>Niple de HG 2" x 4"</t>
        </is>
      </c>
      <c r="C1693" s="7" t="inlineStr">
        <is>
          <t>unidad</t>
        </is>
      </c>
      <c r="D1693" s="8" t="n"/>
      <c r="E1693" s="8" t="n">
        <v>123</v>
      </c>
      <c r="F1693" s="8" t="n"/>
      <c r="G1693" s="8" t="n">
        <v>368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>
        <f>IF(COUNT(D1693:V1693)=0,"",MIN(D1693:V1693))</f>
        <v/>
      </c>
      <c r="X1693" s="8">
        <f>IF(COUNT(D1693:V1693)=0,"",MEDIAN(D1693:V1693))</f>
        <v/>
      </c>
      <c r="Y1693" s="8">
        <f>IF(COUNT(D1693:V1693)=0,"",MAX(D1693:V1693))</f>
        <v/>
      </c>
      <c r="Z1693" s="9">
        <f>IF(OR(W1693="",W1693=0),"",(Y1693-W1693)/W1693)</f>
        <v/>
      </c>
      <c r="AA1693" s="7">
        <f>IF(COUNT(D1693:V1693)=0,"",INDEX($D$1:$V$1,MATCH(MIN(D1693:V1693),D1693:V1693,0)))</f>
        <v/>
      </c>
      <c r="AB1693" s="8" t="n">
        <v>245.5</v>
      </c>
      <c r="AC1693" s="10" t="n">
        <v>2</v>
      </c>
    </row>
    <row r="1694">
      <c r="A1694" s="7" t="inlineStr">
        <is>
          <t>MAT-32-339</t>
        </is>
      </c>
      <c r="B1694" s="4" t="inlineStr">
        <is>
          <t>Niple de HG 2" x 5"</t>
        </is>
      </c>
      <c r="C1694" s="7" t="inlineStr">
        <is>
          <t>unidad</t>
        </is>
      </c>
      <c r="D1694" s="8" t="n"/>
      <c r="E1694" s="8" t="n">
        <v>188</v>
      </c>
      <c r="F1694" s="8" t="n"/>
      <c r="G1694" s="8" t="n">
        <v>257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>
        <f>IF(COUNT(D1694:V1694)=0,"",MIN(D1694:V1694))</f>
        <v/>
      </c>
      <c r="X1694" s="8">
        <f>IF(COUNT(D1694:V1694)=0,"",MEDIAN(D1694:V1694))</f>
        <v/>
      </c>
      <c r="Y1694" s="8">
        <f>IF(COUNT(D1694:V1694)=0,"",MAX(D1694:V1694))</f>
        <v/>
      </c>
      <c r="Z1694" s="9">
        <f>IF(OR(W1694="",W1694=0),"",(Y1694-W1694)/W1694)</f>
        <v/>
      </c>
      <c r="AA1694" s="7">
        <f>IF(COUNT(D1694:V1694)=0,"",INDEX($D$1:$V$1,MATCH(MIN(D1694:V1694),D1694:V1694,0)))</f>
        <v/>
      </c>
      <c r="AB1694" s="8" t="n">
        <v>222.5</v>
      </c>
      <c r="AC1694" s="10" t="n">
        <v>2</v>
      </c>
    </row>
    <row r="1695">
      <c r="A1695" s="7" t="inlineStr">
        <is>
          <t>MAT-32-340</t>
        </is>
      </c>
      <c r="B1695" s="4" t="inlineStr">
        <is>
          <t>Niple de HG 2" x 6"</t>
        </is>
      </c>
      <c r="C1695" s="7" t="inlineStr">
        <is>
          <t>unidad</t>
        </is>
      </c>
      <c r="D1695" s="8" t="n"/>
      <c r="E1695" s="8" t="n">
        <v>234</v>
      </c>
      <c r="F1695" s="8" t="n"/>
      <c r="G1695" s="8" t="n"/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>
        <f>IF(COUNT(D1695:V1695)=0,"",MIN(D1695:V1695))</f>
        <v/>
      </c>
      <c r="X1695" s="8">
        <f>IF(COUNT(D1695:V1695)=0,"",MEDIAN(D1695:V1695))</f>
        <v/>
      </c>
      <c r="Y1695" s="8">
        <f>IF(COUNT(D1695:V1695)=0,"",MAX(D1695:V1695))</f>
        <v/>
      </c>
      <c r="Z1695" s="9">
        <f>IF(OR(W1695="",W1695=0),"",(Y1695-W1695)/W1695)</f>
        <v/>
      </c>
      <c r="AA1695" s="7">
        <f>IF(COUNT(D1695:V1695)=0,"",INDEX($D$1:$V$1,MATCH(MIN(D1695:V1695),D1695:V1695,0)))</f>
        <v/>
      </c>
      <c r="AB1695" s="8" t="n">
        <v>234</v>
      </c>
      <c r="AC1695" s="10" t="n">
        <v>1</v>
      </c>
    </row>
    <row r="1696">
      <c r="A1696" s="7" t="inlineStr">
        <is>
          <t>MAT-32-341</t>
        </is>
      </c>
      <c r="B1696" s="4" t="inlineStr">
        <is>
          <t>Niple de HG 3/4" x 1 1/2"</t>
        </is>
      </c>
      <c r="C1696" s="7" t="inlineStr">
        <is>
          <t>unidad</t>
        </is>
      </c>
      <c r="D1696" s="8" t="n"/>
      <c r="E1696" s="8" t="n">
        <v>25.12</v>
      </c>
      <c r="F1696" s="8" t="n"/>
      <c r="G1696" s="8" t="n">
        <v>77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>
        <f>IF(COUNT(D1696:V1696)=0,"",MIN(D1696:V1696))</f>
        <v/>
      </c>
      <c r="X1696" s="8">
        <f>IF(COUNT(D1696:V1696)=0,"",MEDIAN(D1696:V1696))</f>
        <v/>
      </c>
      <c r="Y1696" s="8">
        <f>IF(COUNT(D1696:V1696)=0,"",MAX(D1696:V1696))</f>
        <v/>
      </c>
      <c r="Z1696" s="9">
        <f>IF(OR(W1696="",W1696=0),"",(Y1696-W1696)/W1696)</f>
        <v/>
      </c>
      <c r="AA1696" s="7">
        <f>IF(COUNT(D1696:V1696)=0,"",INDEX($D$1:$V$1,MATCH(MIN(D1696:V1696),D1696:V1696,0)))</f>
        <v/>
      </c>
      <c r="AB1696" s="8" t="n">
        <v>51.06</v>
      </c>
      <c r="AC1696" s="10" t="n">
        <v>2</v>
      </c>
    </row>
    <row r="1697">
      <c r="A1697" s="7" t="inlineStr">
        <is>
          <t>MAT-32-342</t>
        </is>
      </c>
      <c r="B1697" s="4" t="inlineStr">
        <is>
          <t>Niple de HG 3/4" x 10"</t>
        </is>
      </c>
      <c r="C1697" s="7" t="inlineStr">
        <is>
          <t>unidad</t>
        </is>
      </c>
      <c r="D1697" s="8" t="n"/>
      <c r="E1697" s="8" t="n">
        <v>88</v>
      </c>
      <c r="F1697" s="8" t="n"/>
      <c r="G1697" s="8" t="n"/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>
        <f>IF(COUNT(D1697:V1697)=0,"",MIN(D1697:V1697))</f>
        <v/>
      </c>
      <c r="X1697" s="8">
        <f>IF(COUNT(D1697:V1697)=0,"",MEDIAN(D1697:V1697))</f>
        <v/>
      </c>
      <c r="Y1697" s="8">
        <f>IF(COUNT(D1697:V1697)=0,"",MAX(D1697:V1697))</f>
        <v/>
      </c>
      <c r="Z1697" s="9">
        <f>IF(OR(W1697="",W1697=0),"",(Y1697-W1697)/W1697)</f>
        <v/>
      </c>
      <c r="AA1697" s="7">
        <f>IF(COUNT(D1697:V1697)=0,"",INDEX($D$1:$V$1,MATCH(MIN(D1697:V1697),D1697:V1697,0)))</f>
        <v/>
      </c>
      <c r="AB1697" s="8" t="n">
        <v>88</v>
      </c>
      <c r="AC1697" s="10" t="n">
        <v>1</v>
      </c>
    </row>
    <row r="1698">
      <c r="A1698" s="7" t="inlineStr">
        <is>
          <t>MAT-32-343</t>
        </is>
      </c>
      <c r="B1698" s="4" t="inlineStr">
        <is>
          <t>Niple de HG 3/4" x 12"</t>
        </is>
      </c>
      <c r="C1698" s="7" t="inlineStr">
        <is>
          <t>unidad</t>
        </is>
      </c>
      <c r="D1698" s="8" t="n"/>
      <c r="E1698" s="8" t="n">
        <v>109</v>
      </c>
      <c r="F1698" s="8" t="n"/>
      <c r="G1698" s="8" t="n"/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>
        <f>IF(COUNT(D1698:V1698)=0,"",MIN(D1698:V1698))</f>
        <v/>
      </c>
      <c r="X1698" s="8">
        <f>IF(COUNT(D1698:V1698)=0,"",MEDIAN(D1698:V1698))</f>
        <v/>
      </c>
      <c r="Y1698" s="8">
        <f>IF(COUNT(D1698:V1698)=0,"",MAX(D1698:V1698))</f>
        <v/>
      </c>
      <c r="Z1698" s="9">
        <f>IF(OR(W1698="",W1698=0),"",(Y1698-W1698)/W1698)</f>
        <v/>
      </c>
      <c r="AA1698" s="7">
        <f>IF(COUNT(D1698:V1698)=0,"",INDEX($D$1:$V$1,MATCH(MIN(D1698:V1698),D1698:V1698,0)))</f>
        <v/>
      </c>
      <c r="AB1698" s="8" t="n">
        <v>109</v>
      </c>
      <c r="AC1698" s="10" t="n">
        <v>1</v>
      </c>
    </row>
    <row r="1699">
      <c r="A1699" s="7" t="inlineStr">
        <is>
          <t>MAT-32-344</t>
        </is>
      </c>
      <c r="B1699" s="4" t="inlineStr">
        <is>
          <t>Niple de HG 3/4" x 1"</t>
        </is>
      </c>
      <c r="C1699" s="7" t="inlineStr">
        <is>
          <t>unidad</t>
        </is>
      </c>
      <c r="D1699" s="8" t="n"/>
      <c r="E1699" s="8" t="n">
        <v>21.54</v>
      </c>
      <c r="F1699" s="8" t="n"/>
      <c r="G1699" s="8" t="n">
        <v>62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>
        <f>IF(COUNT(D1699:V1699)=0,"",MIN(D1699:V1699))</f>
        <v/>
      </c>
      <c r="X1699" s="8">
        <f>IF(COUNT(D1699:V1699)=0,"",MEDIAN(D1699:V1699))</f>
        <v/>
      </c>
      <c r="Y1699" s="8">
        <f>IF(COUNT(D1699:V1699)=0,"",MAX(D1699:V1699))</f>
        <v/>
      </c>
      <c r="Z1699" s="9">
        <f>IF(OR(W1699="",W1699=0),"",(Y1699-W1699)/W1699)</f>
        <v/>
      </c>
      <c r="AA1699" s="7">
        <f>IF(COUNT(D1699:V1699)=0,"",INDEX($D$1:$V$1,MATCH(MIN(D1699:V1699),D1699:V1699,0)))</f>
        <v/>
      </c>
      <c r="AB1699" s="8" t="n">
        <v>41.77</v>
      </c>
      <c r="AC1699" s="10" t="n">
        <v>2</v>
      </c>
    </row>
    <row r="1700">
      <c r="A1700" s="7" t="inlineStr">
        <is>
          <t>MAT-32-345</t>
        </is>
      </c>
      <c r="B1700" s="4" t="inlineStr">
        <is>
          <t>Niple de HG 3/4" x 2 1/2"</t>
        </is>
      </c>
      <c r="C1700" s="7" t="inlineStr">
        <is>
          <t>unidad</t>
        </is>
      </c>
      <c r="D1700" s="8" t="n"/>
      <c r="E1700" s="8" t="n">
        <v>27.3</v>
      </c>
      <c r="F1700" s="8" t="n"/>
      <c r="G1700" s="8" t="n">
        <v>131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>
        <f>IF(COUNT(D1700:V1700)=0,"",MIN(D1700:V1700))</f>
        <v/>
      </c>
      <c r="X1700" s="8">
        <f>IF(COUNT(D1700:V1700)=0,"",MEDIAN(D1700:V1700))</f>
        <v/>
      </c>
      <c r="Y1700" s="8">
        <f>IF(COUNT(D1700:V1700)=0,"",MAX(D1700:V1700))</f>
        <v/>
      </c>
      <c r="Z1700" s="9">
        <f>IF(OR(W1700="",W1700=0),"",(Y1700-W1700)/W1700)</f>
        <v/>
      </c>
      <c r="AA1700" s="7">
        <f>IF(COUNT(D1700:V1700)=0,"",INDEX($D$1:$V$1,MATCH(MIN(D1700:V1700),D1700:V1700,0)))</f>
        <v/>
      </c>
      <c r="AB1700" s="8" t="n">
        <v>79.15000000000001</v>
      </c>
      <c r="AC1700" s="10" t="n">
        <v>2</v>
      </c>
    </row>
    <row r="1701">
      <c r="A1701" s="7" t="inlineStr">
        <is>
          <t>MAT-32-346</t>
        </is>
      </c>
      <c r="B1701" s="4" t="inlineStr">
        <is>
          <t>Niple de HG 3/4" x 2"</t>
        </is>
      </c>
      <c r="C1701" s="7" t="inlineStr">
        <is>
          <t>unidad</t>
        </is>
      </c>
      <c r="D1701" s="8" t="n"/>
      <c r="E1701" s="8" t="n">
        <v>21.84</v>
      </c>
      <c r="F1701" s="8" t="n"/>
      <c r="G1701" s="8" t="n">
        <v>120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>
        <f>IF(COUNT(D1701:V1701)=0,"",MIN(D1701:V1701))</f>
        <v/>
      </c>
      <c r="X1701" s="8">
        <f>IF(COUNT(D1701:V1701)=0,"",MEDIAN(D1701:V1701))</f>
        <v/>
      </c>
      <c r="Y1701" s="8">
        <f>IF(COUNT(D1701:V1701)=0,"",MAX(D1701:V1701))</f>
        <v/>
      </c>
      <c r="Z1701" s="9">
        <f>IF(OR(W1701="",W1701=0),"",(Y1701-W1701)/W1701)</f>
        <v/>
      </c>
      <c r="AA1701" s="7">
        <f>IF(COUNT(D1701:V1701)=0,"",INDEX($D$1:$V$1,MATCH(MIN(D1701:V1701),D1701:V1701,0)))</f>
        <v/>
      </c>
      <c r="AB1701" s="8" t="n">
        <v>70.92</v>
      </c>
      <c r="AC1701" s="10" t="n">
        <v>2</v>
      </c>
    </row>
    <row r="1702">
      <c r="A1702" s="7" t="inlineStr">
        <is>
          <t>MAT-32-347</t>
        </is>
      </c>
      <c r="B1702" s="4" t="inlineStr">
        <is>
          <t>Niple de HG 3/4" x 3 1/2"</t>
        </is>
      </c>
      <c r="C1702" s="7" t="inlineStr">
        <is>
          <t>unidad</t>
        </is>
      </c>
      <c r="D1702" s="8" t="n"/>
      <c r="E1702" s="8" t="n">
        <v>35.35</v>
      </c>
      <c r="F1702" s="8" t="n"/>
      <c r="G1702" s="8" t="n"/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>
        <f>IF(COUNT(D1702:V1702)=0,"",MIN(D1702:V1702))</f>
        <v/>
      </c>
      <c r="X1702" s="8">
        <f>IF(COUNT(D1702:V1702)=0,"",MEDIAN(D1702:V1702))</f>
        <v/>
      </c>
      <c r="Y1702" s="8">
        <f>IF(COUNT(D1702:V1702)=0,"",MAX(D1702:V1702))</f>
        <v/>
      </c>
      <c r="Z1702" s="9">
        <f>IF(OR(W1702="",W1702=0),"",(Y1702-W1702)/W1702)</f>
        <v/>
      </c>
      <c r="AA1702" s="7">
        <f>IF(COUNT(D1702:V1702)=0,"",INDEX($D$1:$V$1,MATCH(MIN(D1702:V1702),D1702:V1702,0)))</f>
        <v/>
      </c>
      <c r="AB1702" s="8" t="n">
        <v>35.35</v>
      </c>
      <c r="AC1702" s="10" t="n">
        <v>1</v>
      </c>
    </row>
    <row r="1703">
      <c r="A1703" s="7" t="inlineStr">
        <is>
          <t>MAT-32-348</t>
        </is>
      </c>
      <c r="B1703" s="4" t="inlineStr">
        <is>
          <t>Niple de HG 3/4" x 3"</t>
        </is>
      </c>
      <c r="C1703" s="7" t="inlineStr">
        <is>
          <t>unidad</t>
        </is>
      </c>
      <c r="D1703" s="8" t="n"/>
      <c r="E1703" s="8" t="n">
        <v>33.77</v>
      </c>
      <c r="F1703" s="8" t="n"/>
      <c r="G1703" s="8" t="n">
        <v>149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>
        <f>IF(COUNT(D1703:V1703)=0,"",MIN(D1703:V1703))</f>
        <v/>
      </c>
      <c r="X1703" s="8">
        <f>IF(COUNT(D1703:V1703)=0,"",MEDIAN(D1703:V1703))</f>
        <v/>
      </c>
      <c r="Y1703" s="8">
        <f>IF(COUNT(D1703:V1703)=0,"",MAX(D1703:V1703))</f>
        <v/>
      </c>
      <c r="Z1703" s="9">
        <f>IF(OR(W1703="",W1703=0),"",(Y1703-W1703)/W1703)</f>
        <v/>
      </c>
      <c r="AA1703" s="7">
        <f>IF(COUNT(D1703:V1703)=0,"",INDEX($D$1:$V$1,MATCH(MIN(D1703:V1703),D1703:V1703,0)))</f>
        <v/>
      </c>
      <c r="AB1703" s="8" t="n">
        <v>91.39</v>
      </c>
      <c r="AC1703" s="10" t="n">
        <v>2</v>
      </c>
    </row>
    <row r="1704">
      <c r="A1704" s="7" t="inlineStr">
        <is>
          <t>MAT-32-349</t>
        </is>
      </c>
      <c r="B1704" s="4" t="inlineStr">
        <is>
          <t>Niple de HG 3/4" x 4"</t>
        </is>
      </c>
      <c r="C1704" s="7" t="inlineStr">
        <is>
          <t>unidad</t>
        </is>
      </c>
      <c r="D1704" s="8" t="n"/>
      <c r="E1704" s="8" t="n">
        <v>51</v>
      </c>
      <c r="F1704" s="8" t="n"/>
      <c r="G1704" s="8" t="n">
        <v>160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>
        <f>IF(COUNT(D1704:V1704)=0,"",MIN(D1704:V1704))</f>
        <v/>
      </c>
      <c r="X1704" s="8">
        <f>IF(COUNT(D1704:V1704)=0,"",MEDIAN(D1704:V1704))</f>
        <v/>
      </c>
      <c r="Y1704" s="8">
        <f>IF(COUNT(D1704:V1704)=0,"",MAX(D1704:V1704))</f>
        <v/>
      </c>
      <c r="Z1704" s="9">
        <f>IF(OR(W1704="",W1704=0),"",(Y1704-W1704)/W1704)</f>
        <v/>
      </c>
      <c r="AA1704" s="7">
        <f>IF(COUNT(D1704:V1704)=0,"",INDEX($D$1:$V$1,MATCH(MIN(D1704:V1704),D1704:V1704,0)))</f>
        <v/>
      </c>
      <c r="AB1704" s="8" t="n">
        <v>105.5</v>
      </c>
      <c r="AC1704" s="10" t="n">
        <v>2</v>
      </c>
    </row>
    <row r="1705">
      <c r="A1705" s="7" t="inlineStr">
        <is>
          <t>MAT-32-350</t>
        </is>
      </c>
      <c r="B1705" s="4" t="inlineStr">
        <is>
          <t>Niple de HG 3/4" x 5"</t>
        </is>
      </c>
      <c r="C1705" s="7" t="inlineStr">
        <is>
          <t>unidad</t>
        </is>
      </c>
      <c r="D1705" s="8" t="n"/>
      <c r="E1705" s="8" t="n">
        <v>54</v>
      </c>
      <c r="F1705" s="8" t="n"/>
      <c r="G1705" s="8" t="n">
        <v>194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>
        <f>IF(COUNT(D1705:V1705)=0,"",MIN(D1705:V1705))</f>
        <v/>
      </c>
      <c r="X1705" s="8">
        <f>IF(COUNT(D1705:V1705)=0,"",MEDIAN(D1705:V1705))</f>
        <v/>
      </c>
      <c r="Y1705" s="8">
        <f>IF(COUNT(D1705:V1705)=0,"",MAX(D1705:V1705))</f>
        <v/>
      </c>
      <c r="Z1705" s="9">
        <f>IF(OR(W1705="",W1705=0),"",(Y1705-W1705)/W1705)</f>
        <v/>
      </c>
      <c r="AA1705" s="7">
        <f>IF(COUNT(D1705:V1705)=0,"",INDEX($D$1:$V$1,MATCH(MIN(D1705:V1705),D1705:V1705,0)))</f>
        <v/>
      </c>
      <c r="AB1705" s="8" t="n">
        <v>124</v>
      </c>
      <c r="AC1705" s="10" t="n">
        <v>2</v>
      </c>
    </row>
    <row r="1706">
      <c r="A1706" s="7" t="inlineStr">
        <is>
          <t>MAT-32-351</t>
        </is>
      </c>
      <c r="B1706" s="4" t="inlineStr">
        <is>
          <t>Niple de HG 3/4" x 6"</t>
        </is>
      </c>
      <c r="C1706" s="7" t="inlineStr">
        <is>
          <t>unidad</t>
        </is>
      </c>
      <c r="D1706" s="8" t="n"/>
      <c r="E1706" s="8" t="n">
        <v>87</v>
      </c>
      <c r="F1706" s="8" t="n"/>
      <c r="G1706" s="8" t="n">
        <v>248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>
        <f>IF(COUNT(D1706:V1706)=0,"",MIN(D1706:V1706))</f>
        <v/>
      </c>
      <c r="X1706" s="8">
        <f>IF(COUNT(D1706:V1706)=0,"",MEDIAN(D1706:V1706))</f>
        <v/>
      </c>
      <c r="Y1706" s="8">
        <f>IF(COUNT(D1706:V1706)=0,"",MAX(D1706:V1706))</f>
        <v/>
      </c>
      <c r="Z1706" s="9">
        <f>IF(OR(W1706="",W1706=0),"",(Y1706-W1706)/W1706)</f>
        <v/>
      </c>
      <c r="AA1706" s="7">
        <f>IF(COUNT(D1706:V1706)=0,"",INDEX($D$1:$V$1,MATCH(MIN(D1706:V1706),D1706:V1706,0)))</f>
        <v/>
      </c>
      <c r="AB1706" s="8" t="n">
        <v>167.5</v>
      </c>
      <c r="AC1706" s="10" t="n">
        <v>2</v>
      </c>
    </row>
    <row r="1707">
      <c r="A1707" s="7" t="inlineStr">
        <is>
          <t>MAT-32-352</t>
        </is>
      </c>
      <c r="B1707" s="4" t="inlineStr">
        <is>
          <t>Niple de HG 3/4" x 8"</t>
        </is>
      </c>
      <c r="C1707" s="7" t="inlineStr">
        <is>
          <t>unidad</t>
        </is>
      </c>
      <c r="D1707" s="8" t="n"/>
      <c r="E1707" s="8" t="n">
        <v>81</v>
      </c>
      <c r="F1707" s="8" t="n"/>
      <c r="G1707" s="8" t="n"/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>
        <f>IF(COUNT(D1707:V1707)=0,"",MIN(D1707:V1707))</f>
        <v/>
      </c>
      <c r="X1707" s="8">
        <f>IF(COUNT(D1707:V1707)=0,"",MEDIAN(D1707:V1707))</f>
        <v/>
      </c>
      <c r="Y1707" s="8">
        <f>IF(COUNT(D1707:V1707)=0,"",MAX(D1707:V1707))</f>
        <v/>
      </c>
      <c r="Z1707" s="9">
        <f>IF(OR(W1707="",W1707=0),"",(Y1707-W1707)/W1707)</f>
        <v/>
      </c>
      <c r="AA1707" s="7">
        <f>IF(COUNT(D1707:V1707)=0,"",INDEX($D$1:$V$1,MATCH(MIN(D1707:V1707),D1707:V1707,0)))</f>
        <v/>
      </c>
      <c r="AB1707" s="8" t="n">
        <v>81</v>
      </c>
      <c r="AC1707" s="10" t="n">
        <v>1</v>
      </c>
    </row>
    <row r="1708">
      <c r="A1708" s="7" t="inlineStr">
        <is>
          <t>MAT-32-353</t>
        </is>
      </c>
      <c r="B1708" s="4" t="inlineStr">
        <is>
          <t>Niple de HG 3/8" x 2 1/2"</t>
        </is>
      </c>
      <c r="C1708" s="7" t="inlineStr">
        <is>
          <t>unidad</t>
        </is>
      </c>
      <c r="D1708" s="8" t="n"/>
      <c r="E1708" s="8" t="n">
        <v>24.74</v>
      </c>
      <c r="F1708" s="8" t="n"/>
      <c r="G1708" s="8" t="n">
        <v>155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>
        <f>IF(COUNT(D1708:V1708)=0,"",MIN(D1708:V1708))</f>
        <v/>
      </c>
      <c r="X1708" s="8">
        <f>IF(COUNT(D1708:V1708)=0,"",MEDIAN(D1708:V1708))</f>
        <v/>
      </c>
      <c r="Y1708" s="8">
        <f>IF(COUNT(D1708:V1708)=0,"",MAX(D1708:V1708))</f>
        <v/>
      </c>
      <c r="Z1708" s="9">
        <f>IF(OR(W1708="",W1708=0),"",(Y1708-W1708)/W1708)</f>
        <v/>
      </c>
      <c r="AA1708" s="7">
        <f>IF(COUNT(D1708:V1708)=0,"",INDEX($D$1:$V$1,MATCH(MIN(D1708:V1708),D1708:V1708,0)))</f>
        <v/>
      </c>
      <c r="AB1708" s="8" t="n">
        <v>89.87</v>
      </c>
      <c r="AC1708" s="10" t="n">
        <v>2</v>
      </c>
    </row>
    <row r="1709">
      <c r="A1709" s="7" t="inlineStr">
        <is>
          <t>MAT-32-354</t>
        </is>
      </c>
      <c r="B1709" s="4" t="inlineStr">
        <is>
          <t>Niple de HG 3/8" x 2"</t>
        </is>
      </c>
      <c r="C1709" s="7" t="inlineStr">
        <is>
          <t>unidad</t>
        </is>
      </c>
      <c r="D1709" s="8" t="n"/>
      <c r="E1709" s="8" t="n">
        <v>61.6</v>
      </c>
      <c r="F1709" s="8" t="n"/>
      <c r="G1709" s="8" t="n">
        <v>160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>
        <f>IF(COUNT(D1709:V1709)=0,"",MIN(D1709:V1709))</f>
        <v/>
      </c>
      <c r="X1709" s="8">
        <f>IF(COUNT(D1709:V1709)=0,"",MEDIAN(D1709:V1709))</f>
        <v/>
      </c>
      <c r="Y1709" s="8">
        <f>IF(COUNT(D1709:V1709)=0,"",MAX(D1709:V1709))</f>
        <v/>
      </c>
      <c r="Z1709" s="9">
        <f>IF(OR(W1709="",W1709=0),"",(Y1709-W1709)/W1709)</f>
        <v/>
      </c>
      <c r="AA1709" s="7">
        <f>IF(COUNT(D1709:V1709)=0,"",INDEX($D$1:$V$1,MATCH(MIN(D1709:V1709),D1709:V1709,0)))</f>
        <v/>
      </c>
      <c r="AB1709" s="8" t="n">
        <v>110.8</v>
      </c>
      <c r="AC1709" s="10" t="n">
        <v>2</v>
      </c>
    </row>
    <row r="1710">
      <c r="A1710" s="7" t="inlineStr">
        <is>
          <t>MAT-32-355</t>
        </is>
      </c>
      <c r="B1710" s="4" t="inlineStr">
        <is>
          <t>Niple de HG 3/8" x 3 1/2"</t>
        </is>
      </c>
      <c r="C1710" s="7" t="inlineStr">
        <is>
          <t>unidad</t>
        </is>
      </c>
      <c r="D1710" s="8" t="n"/>
      <c r="E1710" s="8" t="n"/>
      <c r="F1710" s="8" t="n"/>
      <c r="G1710" s="8" t="n">
        <v>194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>
        <f>IF(COUNT(D1710:V1710)=0,"",MIN(D1710:V1710))</f>
        <v/>
      </c>
      <c r="X1710" s="8">
        <f>IF(COUNT(D1710:V1710)=0,"",MEDIAN(D1710:V1710))</f>
        <v/>
      </c>
      <c r="Y1710" s="8">
        <f>IF(COUNT(D1710:V1710)=0,"",MAX(D1710:V1710))</f>
        <v/>
      </c>
      <c r="Z1710" s="9">
        <f>IF(OR(W1710="",W1710=0),"",(Y1710-W1710)/W1710)</f>
        <v/>
      </c>
      <c r="AA1710" s="7">
        <f>IF(COUNT(D1710:V1710)=0,"",INDEX($D$1:$V$1,MATCH(MIN(D1710:V1710),D1710:V1710,0)))</f>
        <v/>
      </c>
      <c r="AB1710" s="8" t="n">
        <v>194</v>
      </c>
      <c r="AC1710" s="10" t="n">
        <v>1</v>
      </c>
    </row>
    <row r="1711">
      <c r="A1711" s="7" t="inlineStr">
        <is>
          <t>MAT-32-356</t>
        </is>
      </c>
      <c r="B1711" s="4" t="inlineStr">
        <is>
          <t>Niple de HG 3/8" x 3"</t>
        </is>
      </c>
      <c r="C1711" s="7" t="inlineStr">
        <is>
          <t>unidad</t>
        </is>
      </c>
      <c r="D1711" s="8" t="n"/>
      <c r="E1711" s="8" t="n">
        <v>27.3</v>
      </c>
      <c r="F1711" s="8" t="n"/>
      <c r="G1711" s="8" t="n">
        <v>185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>
        <f>IF(COUNT(D1711:V1711)=0,"",MIN(D1711:V1711))</f>
        <v/>
      </c>
      <c r="X1711" s="8">
        <f>IF(COUNT(D1711:V1711)=0,"",MEDIAN(D1711:V1711))</f>
        <v/>
      </c>
      <c r="Y1711" s="8">
        <f>IF(COUNT(D1711:V1711)=0,"",MAX(D1711:V1711))</f>
        <v/>
      </c>
      <c r="Z1711" s="9">
        <f>IF(OR(W1711="",W1711=0),"",(Y1711-W1711)/W1711)</f>
        <v/>
      </c>
      <c r="AA1711" s="7">
        <f>IF(COUNT(D1711:V1711)=0,"",INDEX($D$1:$V$1,MATCH(MIN(D1711:V1711),D1711:V1711,0)))</f>
        <v/>
      </c>
      <c r="AB1711" s="8" t="n">
        <v>106.15</v>
      </c>
      <c r="AC1711" s="10" t="n">
        <v>2</v>
      </c>
    </row>
    <row r="1712">
      <c r="A1712" s="7" t="inlineStr">
        <is>
          <t>MAT-32-357</t>
        </is>
      </c>
      <c r="B1712" s="4" t="inlineStr">
        <is>
          <t>Niple de HG 3/8" x 4 1/2"</t>
        </is>
      </c>
      <c r="C1712" s="7" t="inlineStr">
        <is>
          <t>unidad</t>
        </is>
      </c>
      <c r="D1712" s="8" t="n"/>
      <c r="E1712" s="8" t="n"/>
      <c r="F1712" s="8" t="n"/>
      <c r="G1712" s="8" t="n">
        <v>194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>
        <f>IF(COUNT(D1712:V1712)=0,"",MIN(D1712:V1712))</f>
        <v/>
      </c>
      <c r="X1712" s="8">
        <f>IF(COUNT(D1712:V1712)=0,"",MEDIAN(D1712:V1712))</f>
        <v/>
      </c>
      <c r="Y1712" s="8">
        <f>IF(COUNT(D1712:V1712)=0,"",MAX(D1712:V1712))</f>
        <v/>
      </c>
      <c r="Z1712" s="9">
        <f>IF(OR(W1712="",W1712=0),"",(Y1712-W1712)/W1712)</f>
        <v/>
      </c>
      <c r="AA1712" s="7">
        <f>IF(COUNT(D1712:V1712)=0,"",INDEX($D$1:$V$1,MATCH(MIN(D1712:V1712),D1712:V1712,0)))</f>
        <v/>
      </c>
      <c r="AB1712" s="8" t="n">
        <v>194</v>
      </c>
      <c r="AC1712" s="10" t="n">
        <v>1</v>
      </c>
    </row>
    <row r="1713">
      <c r="A1713" s="7" t="inlineStr">
        <is>
          <t>MAT-32-359</t>
        </is>
      </c>
      <c r="B1713" s="4" t="inlineStr">
        <is>
          <t>Niple de HG 3/8" x 5 1/2"</t>
        </is>
      </c>
      <c r="C1713" s="7" t="inlineStr">
        <is>
          <t>unidad</t>
        </is>
      </c>
      <c r="D1713" s="8" t="n"/>
      <c r="E1713" s="8" t="n"/>
      <c r="F1713" s="8" t="n"/>
      <c r="G1713" s="8" t="n">
        <v>229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>
        <f>IF(COUNT(D1713:V1713)=0,"",MIN(D1713:V1713))</f>
        <v/>
      </c>
      <c r="X1713" s="8">
        <f>IF(COUNT(D1713:V1713)=0,"",MEDIAN(D1713:V1713))</f>
        <v/>
      </c>
      <c r="Y1713" s="8">
        <f>IF(COUNT(D1713:V1713)=0,"",MAX(D1713:V1713))</f>
        <v/>
      </c>
      <c r="Z1713" s="9">
        <f>IF(OR(W1713="",W1713=0),"",(Y1713-W1713)/W1713)</f>
        <v/>
      </c>
      <c r="AA1713" s="7">
        <f>IF(COUNT(D1713:V1713)=0,"",INDEX($D$1:$V$1,MATCH(MIN(D1713:V1713),D1713:V1713,0)))</f>
        <v/>
      </c>
      <c r="AB1713" s="8" t="n">
        <v>229</v>
      </c>
      <c r="AC1713" s="10" t="n">
        <v>1</v>
      </c>
    </row>
    <row r="1714">
      <c r="A1714" s="7" t="inlineStr">
        <is>
          <t>MAT-32-360</t>
        </is>
      </c>
      <c r="B1714" s="4" t="inlineStr">
        <is>
          <t>Niple de HG 3/8" x 5"</t>
        </is>
      </c>
      <c r="C1714" s="7" t="inlineStr">
        <is>
          <t>unidad</t>
        </is>
      </c>
      <c r="D1714" s="8" t="n"/>
      <c r="E1714" s="8" t="n"/>
      <c r="F1714" s="8" t="n"/>
      <c r="G1714" s="8" t="n">
        <v>255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>
        <f>IF(COUNT(D1714:V1714)=0,"",MIN(D1714:V1714))</f>
        <v/>
      </c>
      <c r="X1714" s="8">
        <f>IF(COUNT(D1714:V1714)=0,"",MEDIAN(D1714:V1714))</f>
        <v/>
      </c>
      <c r="Y1714" s="8">
        <f>IF(COUNT(D1714:V1714)=0,"",MAX(D1714:V1714))</f>
        <v/>
      </c>
      <c r="Z1714" s="9">
        <f>IF(OR(W1714="",W1714=0),"",(Y1714-W1714)/W1714)</f>
        <v/>
      </c>
      <c r="AA1714" s="7">
        <f>IF(COUNT(D1714:V1714)=0,"",INDEX($D$1:$V$1,MATCH(MIN(D1714:V1714),D1714:V1714,0)))</f>
        <v/>
      </c>
      <c r="AB1714" s="8" t="n">
        <v>255</v>
      </c>
      <c r="AC1714" s="10" t="n">
        <v>1</v>
      </c>
    </row>
    <row r="1715">
      <c r="A1715" s="7" t="inlineStr">
        <is>
          <t>MAT-32-361</t>
        </is>
      </c>
      <c r="B1715" s="4" t="inlineStr">
        <is>
          <t>Niple de HG 3/8" x 6"</t>
        </is>
      </c>
      <c r="C1715" s="7" t="inlineStr">
        <is>
          <t>unidad</t>
        </is>
      </c>
      <c r="D1715" s="8" t="n"/>
      <c r="E1715" s="8" t="n"/>
      <c r="F1715" s="8" t="n"/>
      <c r="G1715" s="8" t="n">
        <v>327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>
        <f>IF(COUNT(D1715:V1715)=0,"",MIN(D1715:V1715))</f>
        <v/>
      </c>
      <c r="X1715" s="8">
        <f>IF(COUNT(D1715:V1715)=0,"",MEDIAN(D1715:V1715))</f>
        <v/>
      </c>
      <c r="Y1715" s="8">
        <f>IF(COUNT(D1715:V1715)=0,"",MAX(D1715:V1715))</f>
        <v/>
      </c>
      <c r="Z1715" s="9">
        <f>IF(OR(W1715="",W1715=0),"",(Y1715-W1715)/W1715)</f>
        <v/>
      </c>
      <c r="AA1715" s="7">
        <f>IF(COUNT(D1715:V1715)=0,"",INDEX($D$1:$V$1,MATCH(MIN(D1715:V1715),D1715:V1715,0)))</f>
        <v/>
      </c>
      <c r="AB1715" s="8" t="n">
        <v>327</v>
      </c>
      <c r="AC1715" s="10" t="n">
        <v>1</v>
      </c>
    </row>
    <row r="1716">
      <c r="A1716" s="7" t="inlineStr">
        <is>
          <t>MAT-32-362</t>
        </is>
      </c>
      <c r="B1716" s="4" t="inlineStr">
        <is>
          <t>Niple de HG 3" x 4"</t>
        </is>
      </c>
      <c r="C1716" s="7" t="inlineStr">
        <is>
          <t>unidad</t>
        </is>
      </c>
      <c r="D1716" s="8" t="n"/>
      <c r="E1716" s="8" t="n">
        <v>277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>
        <f>IF(COUNT(D1716:V1716)=0,"",MIN(D1716:V1716))</f>
        <v/>
      </c>
      <c r="X1716" s="8">
        <f>IF(COUNT(D1716:V1716)=0,"",MEDIAN(D1716:V1716))</f>
        <v/>
      </c>
      <c r="Y1716" s="8">
        <f>IF(COUNT(D1716:V1716)=0,"",MAX(D1716:V1716))</f>
        <v/>
      </c>
      <c r="Z1716" s="9">
        <f>IF(OR(W1716="",W1716=0),"",(Y1716-W1716)/W1716)</f>
        <v/>
      </c>
      <c r="AA1716" s="7">
        <f>IF(COUNT(D1716:V1716)=0,"",INDEX($D$1:$V$1,MATCH(MIN(D1716:V1716),D1716:V1716,0)))</f>
        <v/>
      </c>
      <c r="AB1716" s="8" t="n">
        <v>277</v>
      </c>
      <c r="AC1716" s="10" t="n">
        <v>1</v>
      </c>
    </row>
    <row r="1717">
      <c r="A1717" s="7" t="inlineStr">
        <is>
          <t>MAT-32-363</t>
        </is>
      </c>
      <c r="B1717" s="4" t="inlineStr">
        <is>
          <t>Niple de niquelado 1/2" x 1 1/2"</t>
        </is>
      </c>
      <c r="C1717" s="7" t="inlineStr">
        <is>
          <t>unidad</t>
        </is>
      </c>
      <c r="D1717" s="8" t="n"/>
      <c r="E1717" s="8" t="n">
        <v>17</v>
      </c>
      <c r="F1717" s="8" t="n"/>
      <c r="G1717" s="8" t="n"/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>
        <f>IF(COUNT(D1717:V1717)=0,"",MIN(D1717:V1717))</f>
        <v/>
      </c>
      <c r="X1717" s="8">
        <f>IF(COUNT(D1717:V1717)=0,"",MEDIAN(D1717:V1717))</f>
        <v/>
      </c>
      <c r="Y1717" s="8">
        <f>IF(COUNT(D1717:V1717)=0,"",MAX(D1717:V1717))</f>
        <v/>
      </c>
      <c r="Z1717" s="9">
        <f>IF(OR(W1717="",W1717=0),"",(Y1717-W1717)/W1717)</f>
        <v/>
      </c>
      <c r="AA1717" s="7">
        <f>IF(COUNT(D1717:V1717)=0,"",INDEX($D$1:$V$1,MATCH(MIN(D1717:V1717),D1717:V1717,0)))</f>
        <v/>
      </c>
      <c r="AB1717" s="8" t="n">
        <v>17</v>
      </c>
      <c r="AC1717" s="10" t="n">
        <v>1</v>
      </c>
    </row>
    <row r="1718">
      <c r="A1718" s="7" t="inlineStr">
        <is>
          <t>MAT-32-364</t>
        </is>
      </c>
      <c r="B1718" s="4" t="inlineStr">
        <is>
          <t>Niple de niquelado 1/2" x 2 1/2"</t>
        </is>
      </c>
      <c r="C1718" s="7" t="inlineStr">
        <is>
          <t>unidad</t>
        </is>
      </c>
      <c r="D1718" s="8" t="n"/>
      <c r="E1718" s="8" t="n">
        <v>24</v>
      </c>
      <c r="F1718" s="8" t="n"/>
      <c r="G1718" s="8" t="n">
        <v>59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>
        <f>IF(COUNT(D1718:V1718)=0,"",MIN(D1718:V1718))</f>
        <v/>
      </c>
      <c r="X1718" s="8">
        <f>IF(COUNT(D1718:V1718)=0,"",MEDIAN(D1718:V1718))</f>
        <v/>
      </c>
      <c r="Y1718" s="8">
        <f>IF(COUNT(D1718:V1718)=0,"",MAX(D1718:V1718))</f>
        <v/>
      </c>
      <c r="Z1718" s="9">
        <f>IF(OR(W1718="",W1718=0),"",(Y1718-W1718)/W1718)</f>
        <v/>
      </c>
      <c r="AA1718" s="7">
        <f>IF(COUNT(D1718:V1718)=0,"",INDEX($D$1:$V$1,MATCH(MIN(D1718:V1718),D1718:V1718,0)))</f>
        <v/>
      </c>
      <c r="AB1718" s="8" t="n">
        <v>144.5</v>
      </c>
      <c r="AC1718" s="10" t="n">
        <v>2</v>
      </c>
    </row>
    <row r="1719">
      <c r="A1719" s="7" t="inlineStr">
        <is>
          <t>MAT-32-365</t>
        </is>
      </c>
      <c r="B1719" s="4" t="inlineStr">
        <is>
          <t>Niple de niquelado 1/2" x 2"</t>
        </is>
      </c>
      <c r="C1719" s="7" t="inlineStr">
        <is>
          <t>unidad</t>
        </is>
      </c>
      <c r="D1719" s="8" t="n"/>
      <c r="E1719" s="8" t="n">
        <v>15.75</v>
      </c>
      <c r="F1719" s="8" t="n"/>
      <c r="G1719" s="8" t="n">
        <v>52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>
        <f>IF(COUNT(D1719:V1719)=0,"",MIN(D1719:V1719))</f>
        <v/>
      </c>
      <c r="X1719" s="8">
        <f>IF(COUNT(D1719:V1719)=0,"",MEDIAN(D1719:V1719))</f>
        <v/>
      </c>
      <c r="Y1719" s="8">
        <f>IF(COUNT(D1719:V1719)=0,"",MAX(D1719:V1719))</f>
        <v/>
      </c>
      <c r="Z1719" s="9">
        <f>IF(OR(W1719="",W1719=0),"",(Y1719-W1719)/W1719)</f>
        <v/>
      </c>
      <c r="AA1719" s="7">
        <f>IF(COUNT(D1719:V1719)=0,"",INDEX($D$1:$V$1,MATCH(MIN(D1719:V1719),D1719:V1719,0)))</f>
        <v/>
      </c>
      <c r="AB1719" s="8" t="n">
        <v>101</v>
      </c>
      <c r="AC1719" s="10" t="n">
        <v>2</v>
      </c>
    </row>
    <row r="1720">
      <c r="A1720" s="7" t="inlineStr">
        <is>
          <t>MAT-32-368</t>
        </is>
      </c>
      <c r="B1720" s="4" t="inlineStr">
        <is>
          <t>Niple de niquelado 3/8" x 2 1/2"</t>
        </is>
      </c>
      <c r="C1720" s="7" t="inlineStr">
        <is>
          <t>unidad</t>
        </is>
      </c>
      <c r="D1720" s="8" t="n"/>
      <c r="E1720" s="8" t="n">
        <v>24.04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>
        <f>IF(COUNT(D1720:V1720)=0,"",MIN(D1720:V1720))</f>
        <v/>
      </c>
      <c r="X1720" s="8">
        <f>IF(COUNT(D1720:V1720)=0,"",MEDIAN(D1720:V1720))</f>
        <v/>
      </c>
      <c r="Y1720" s="8">
        <f>IF(COUNT(D1720:V1720)=0,"",MAX(D1720:V1720))</f>
        <v/>
      </c>
      <c r="Z1720" s="9">
        <f>IF(OR(W1720="",W1720=0),"",(Y1720-W1720)/W1720)</f>
        <v/>
      </c>
      <c r="AA1720" s="7">
        <f>IF(COUNT(D1720:V1720)=0,"",INDEX($D$1:$V$1,MATCH(MIN(D1720:V1720),D1720:V1720,0)))</f>
        <v/>
      </c>
      <c r="AB1720" s="8" t="n">
        <v>24.04</v>
      </c>
      <c r="AC1720" s="10" t="n">
        <v>1</v>
      </c>
    </row>
    <row r="1721">
      <c r="A1721" s="7" t="inlineStr">
        <is>
          <t>MAT-32-369</t>
        </is>
      </c>
      <c r="B1721" s="4" t="inlineStr">
        <is>
          <t>Niple de niquelado 3/8" x 2"</t>
        </is>
      </c>
      <c r="C1721" s="7" t="inlineStr">
        <is>
          <t>unidad</t>
        </is>
      </c>
      <c r="D1721" s="8" t="n"/>
      <c r="E1721" s="8" t="n"/>
      <c r="F1721" s="8" t="n"/>
      <c r="G1721" s="8" t="n">
        <v>47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>
        <f>IF(COUNT(D1721:V1721)=0,"",MIN(D1721:V1721))</f>
        <v/>
      </c>
      <c r="X1721" s="8">
        <f>IF(COUNT(D1721:V1721)=0,"",MEDIAN(D1721:V1721))</f>
        <v/>
      </c>
      <c r="Y1721" s="8">
        <f>IF(COUNT(D1721:V1721)=0,"",MAX(D1721:V1721))</f>
        <v/>
      </c>
      <c r="Z1721" s="9">
        <f>IF(OR(W1721="",W1721=0),"",(Y1721-W1721)/W1721)</f>
        <v/>
      </c>
      <c r="AA1721" s="7">
        <f>IF(COUNT(D1721:V1721)=0,"",INDEX($D$1:$V$1,MATCH(MIN(D1721:V1721),D1721:V1721,0)))</f>
        <v/>
      </c>
      <c r="AB1721" s="8" t="n">
        <v>47</v>
      </c>
      <c r="AC1721" s="10" t="n">
        <v>1</v>
      </c>
    </row>
    <row r="1722">
      <c r="A1722" s="7" t="inlineStr">
        <is>
          <t>MAT-32-370</t>
        </is>
      </c>
      <c r="B1722" s="4" t="inlineStr">
        <is>
          <t>Niple de niquelado 3/8" x 3"</t>
        </is>
      </c>
      <c r="C1722" s="7" t="inlineStr">
        <is>
          <t>unidad</t>
        </is>
      </c>
      <c r="D1722" s="8" t="n"/>
      <c r="E1722" s="8" t="n">
        <v>26.25</v>
      </c>
      <c r="F1722" s="8" t="n"/>
      <c r="G1722" s="8" t="n">
        <v>59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>
        <f>IF(COUNT(D1722:V1722)=0,"",MIN(D1722:V1722))</f>
        <v/>
      </c>
      <c r="X1722" s="8">
        <f>IF(COUNT(D1722:V1722)=0,"",MEDIAN(D1722:V1722))</f>
        <v/>
      </c>
      <c r="Y1722" s="8">
        <f>IF(COUNT(D1722:V1722)=0,"",MAX(D1722:V1722))</f>
        <v/>
      </c>
      <c r="Z1722" s="9">
        <f>IF(OR(W1722="",W1722=0),"",(Y1722-W1722)/W1722)</f>
        <v/>
      </c>
      <c r="AA1722" s="7">
        <f>IF(COUNT(D1722:V1722)=0,"",INDEX($D$1:$V$1,MATCH(MIN(D1722:V1722),D1722:V1722,0)))</f>
        <v/>
      </c>
      <c r="AB1722" s="8" t="n">
        <v>42.63</v>
      </c>
      <c r="AC1722" s="10" t="n">
        <v>2</v>
      </c>
    </row>
    <row r="1723">
      <c r="A1723" s="7" t="inlineStr">
        <is>
          <t>MAT-32-371</t>
        </is>
      </c>
      <c r="B1723" s="4" t="inlineStr">
        <is>
          <t>Reducción bushing de bronce 1/2" x 1/4"</t>
        </is>
      </c>
      <c r="C1723" s="7" t="inlineStr">
        <is>
          <t>unidad</t>
        </is>
      </c>
      <c r="D1723" s="8" t="n"/>
      <c r="E1723" s="8" t="n">
        <v>90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>
        <f>IF(COUNT(D1723:V1723)=0,"",MIN(D1723:V1723))</f>
        <v/>
      </c>
      <c r="X1723" s="8">
        <f>IF(COUNT(D1723:V1723)=0,"",MEDIAN(D1723:V1723))</f>
        <v/>
      </c>
      <c r="Y1723" s="8">
        <f>IF(COUNT(D1723:V1723)=0,"",MAX(D1723:V1723))</f>
        <v/>
      </c>
      <c r="Z1723" s="9">
        <f>IF(OR(W1723="",W1723=0),"",(Y1723-W1723)/W1723)</f>
        <v/>
      </c>
      <c r="AA1723" s="7">
        <f>IF(COUNT(D1723:V1723)=0,"",INDEX($D$1:$V$1,MATCH(MIN(D1723:V1723),D1723:V1723,0)))</f>
        <v/>
      </c>
      <c r="AB1723" s="8" t="n">
        <v>90</v>
      </c>
      <c r="AC1723" s="10" t="n">
        <v>1</v>
      </c>
    </row>
    <row r="1724">
      <c r="A1724" s="7" t="inlineStr">
        <is>
          <t>MAT-32-372</t>
        </is>
      </c>
      <c r="B1724" s="4" t="inlineStr">
        <is>
          <t>Reducción bushing de bronce 1/2" x 1/8"</t>
        </is>
      </c>
      <c r="C1724" s="7" t="inlineStr">
        <is>
          <t>unidad</t>
        </is>
      </c>
      <c r="D1724" s="8" t="n"/>
      <c r="E1724" s="8" t="n">
        <v>102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>
        <f>IF(COUNT(D1724:V1724)=0,"",MIN(D1724:V1724))</f>
        <v/>
      </c>
      <c r="X1724" s="8">
        <f>IF(COUNT(D1724:V1724)=0,"",MEDIAN(D1724:V1724))</f>
        <v/>
      </c>
      <c r="Y1724" s="8">
        <f>IF(COUNT(D1724:V1724)=0,"",MAX(D1724:V1724))</f>
        <v/>
      </c>
      <c r="Z1724" s="9">
        <f>IF(OR(W1724="",W1724=0),"",(Y1724-W1724)/W1724)</f>
        <v/>
      </c>
      <c r="AA1724" s="7">
        <f>IF(COUNT(D1724:V1724)=0,"",INDEX($D$1:$V$1,MATCH(MIN(D1724:V1724),D1724:V1724,0)))</f>
        <v/>
      </c>
      <c r="AB1724" s="8" t="n">
        <v>102</v>
      </c>
      <c r="AC1724" s="10" t="n">
        <v>1</v>
      </c>
    </row>
    <row r="1725">
      <c r="A1725" s="7" t="inlineStr">
        <is>
          <t>MAT-32-373</t>
        </is>
      </c>
      <c r="B1725" s="4" t="inlineStr">
        <is>
          <t>Reducción bushing de bronce 1/2" x 3/8"</t>
        </is>
      </c>
      <c r="C1725" s="7" t="inlineStr">
        <is>
          <t>unidad</t>
        </is>
      </c>
      <c r="D1725" s="8" t="n"/>
      <c r="E1725" s="8" t="n">
        <v>81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>
        <f>IF(COUNT(D1725:V1725)=0,"",MIN(D1725:V1725))</f>
        <v/>
      </c>
      <c r="X1725" s="8">
        <f>IF(COUNT(D1725:V1725)=0,"",MEDIAN(D1725:V1725))</f>
        <v/>
      </c>
      <c r="Y1725" s="8">
        <f>IF(COUNT(D1725:V1725)=0,"",MAX(D1725:V1725))</f>
        <v/>
      </c>
      <c r="Z1725" s="9">
        <f>IF(OR(W1725="",W1725=0),"",(Y1725-W1725)/W1725)</f>
        <v/>
      </c>
      <c r="AA1725" s="7">
        <f>IF(COUNT(D1725:V1725)=0,"",INDEX($D$1:$V$1,MATCH(MIN(D1725:V1725),D1725:V1725,0)))</f>
        <v/>
      </c>
      <c r="AB1725" s="8" t="n">
        <v>81</v>
      </c>
      <c r="AC1725" s="10" t="n">
        <v>1</v>
      </c>
    </row>
    <row r="1726">
      <c r="A1726" s="7" t="inlineStr">
        <is>
          <t>MAT-32-374</t>
        </is>
      </c>
      <c r="B1726" s="4" t="inlineStr">
        <is>
          <t>Reducción bushing de bronce 1/4" x 1/8"</t>
        </is>
      </c>
      <c r="C1726" s="7" t="inlineStr">
        <is>
          <t>unidad</t>
        </is>
      </c>
      <c r="D1726" s="8" t="n"/>
      <c r="E1726" s="8" t="n">
        <v>27.47</v>
      </c>
      <c r="F1726" s="8" t="n"/>
      <c r="G1726" s="8" t="n"/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>
        <f>IF(COUNT(D1726:V1726)=0,"",MIN(D1726:V1726))</f>
        <v/>
      </c>
      <c r="X1726" s="8">
        <f>IF(COUNT(D1726:V1726)=0,"",MEDIAN(D1726:V1726))</f>
        <v/>
      </c>
      <c r="Y1726" s="8">
        <f>IF(COUNT(D1726:V1726)=0,"",MAX(D1726:V1726))</f>
        <v/>
      </c>
      <c r="Z1726" s="9">
        <f>IF(OR(W1726="",W1726=0),"",(Y1726-W1726)/W1726)</f>
        <v/>
      </c>
      <c r="AA1726" s="7">
        <f>IF(COUNT(D1726:V1726)=0,"",INDEX($D$1:$V$1,MATCH(MIN(D1726:V1726),D1726:V1726,0)))</f>
        <v/>
      </c>
      <c r="AB1726" s="8" t="n">
        <v>27.47</v>
      </c>
      <c r="AC1726" s="10" t="n">
        <v>1</v>
      </c>
    </row>
    <row r="1727">
      <c r="A1727" s="7" t="inlineStr">
        <is>
          <t>MAT-32-375</t>
        </is>
      </c>
      <c r="B1727" s="4" t="inlineStr">
        <is>
          <t>Reducción bushing de bronce 1/4" x 3/8"</t>
        </is>
      </c>
      <c r="C1727" s="7" t="inlineStr">
        <is>
          <t>unidad</t>
        </is>
      </c>
      <c r="D1727" s="8" t="n"/>
      <c r="E1727" s="8" t="n"/>
      <c r="F1727" s="8" t="n"/>
      <c r="G1727" s="8" t="n">
        <v>132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>
        <f>IF(COUNT(D1727:V1727)=0,"",MIN(D1727:V1727))</f>
        <v/>
      </c>
      <c r="X1727" s="8">
        <f>IF(COUNT(D1727:V1727)=0,"",MEDIAN(D1727:V1727))</f>
        <v/>
      </c>
      <c r="Y1727" s="8">
        <f>IF(COUNT(D1727:V1727)=0,"",MAX(D1727:V1727))</f>
        <v/>
      </c>
      <c r="Z1727" s="9">
        <f>IF(OR(W1727="",W1727=0),"",(Y1727-W1727)/W1727)</f>
        <v/>
      </c>
      <c r="AA1727" s="7">
        <f>IF(COUNT(D1727:V1727)=0,"",INDEX($D$1:$V$1,MATCH(MIN(D1727:V1727),D1727:V1727,0)))</f>
        <v/>
      </c>
      <c r="AB1727" s="8" t="n">
        <v>132</v>
      </c>
      <c r="AC1727" s="10" t="n">
        <v>1</v>
      </c>
    </row>
    <row r="1728">
      <c r="A1728" s="7" t="inlineStr">
        <is>
          <t>MAT-32-376</t>
        </is>
      </c>
      <c r="B1728" s="4" t="inlineStr">
        <is>
          <t>Reducción bushing de bronce 1/8" x 1/4"</t>
        </is>
      </c>
      <c r="C1728" s="7" t="inlineStr">
        <is>
          <t>unidad</t>
        </is>
      </c>
      <c r="D1728" s="8" t="n"/>
      <c r="E1728" s="8" t="n"/>
      <c r="F1728" s="8" t="n"/>
      <c r="G1728" s="8" t="n">
        <v>101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>
        <f>IF(COUNT(D1728:V1728)=0,"",MIN(D1728:V1728))</f>
        <v/>
      </c>
      <c r="X1728" s="8">
        <f>IF(COUNT(D1728:V1728)=0,"",MEDIAN(D1728:V1728))</f>
        <v/>
      </c>
      <c r="Y1728" s="8">
        <f>IF(COUNT(D1728:V1728)=0,"",MAX(D1728:V1728))</f>
        <v/>
      </c>
      <c r="Z1728" s="9">
        <f>IF(OR(W1728="",W1728=0),"",(Y1728-W1728)/W1728)</f>
        <v/>
      </c>
      <c r="AA1728" s="7">
        <f>IF(COUNT(D1728:V1728)=0,"",INDEX($D$1:$V$1,MATCH(MIN(D1728:V1728),D1728:V1728,0)))</f>
        <v/>
      </c>
      <c r="AB1728" s="8" t="n">
        <v>101</v>
      </c>
      <c r="AC1728" s="10" t="n">
        <v>1</v>
      </c>
    </row>
    <row r="1729">
      <c r="A1729" s="7" t="inlineStr">
        <is>
          <t>MAT-32-377</t>
        </is>
      </c>
      <c r="B1729" s="4" t="inlineStr">
        <is>
          <t>Reducción bushing de bronce 1/8" x 3/8"</t>
        </is>
      </c>
      <c r="C1729" s="7" t="inlineStr">
        <is>
          <t>unidad</t>
        </is>
      </c>
      <c r="D1729" s="8" t="n"/>
      <c r="E1729" s="8" t="n"/>
      <c r="F1729" s="8" t="n"/>
      <c r="G1729" s="8" t="n">
        <v>77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>
        <f>IF(COUNT(D1729:V1729)=0,"",MIN(D1729:V1729))</f>
        <v/>
      </c>
      <c r="X1729" s="8">
        <f>IF(COUNT(D1729:V1729)=0,"",MEDIAN(D1729:V1729))</f>
        <v/>
      </c>
      <c r="Y1729" s="8">
        <f>IF(COUNT(D1729:V1729)=0,"",MAX(D1729:V1729))</f>
        <v/>
      </c>
      <c r="Z1729" s="9">
        <f>IF(OR(W1729="",W1729=0),"",(Y1729-W1729)/W1729)</f>
        <v/>
      </c>
      <c r="AA1729" s="7">
        <f>IF(COUNT(D1729:V1729)=0,"",INDEX($D$1:$V$1,MATCH(MIN(D1729:V1729),D1729:V1729,0)))</f>
        <v/>
      </c>
      <c r="AB1729" s="8" t="n">
        <v>77</v>
      </c>
      <c r="AC1729" s="10" t="n">
        <v>1</v>
      </c>
    </row>
    <row r="1730">
      <c r="A1730" s="7" t="inlineStr">
        <is>
          <t>MAT-32-378</t>
        </is>
      </c>
      <c r="B1730" s="4" t="inlineStr">
        <is>
          <t>Reducción bushing de bronce 1" x 3/4"</t>
        </is>
      </c>
      <c r="C1730" s="7" t="inlineStr">
        <is>
          <t>unidad</t>
        </is>
      </c>
      <c r="D1730" s="8" t="n"/>
      <c r="E1730" s="8" t="n">
        <v>202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>
        <f>IF(COUNT(D1730:V1730)=0,"",MIN(D1730:V1730))</f>
        <v/>
      </c>
      <c r="X1730" s="8">
        <f>IF(COUNT(D1730:V1730)=0,"",MEDIAN(D1730:V1730))</f>
        <v/>
      </c>
      <c r="Y1730" s="8">
        <f>IF(COUNT(D1730:V1730)=0,"",MAX(D1730:V1730))</f>
        <v/>
      </c>
      <c r="Z1730" s="9">
        <f>IF(OR(W1730="",W1730=0),"",(Y1730-W1730)/W1730)</f>
        <v/>
      </c>
      <c r="AA1730" s="7">
        <f>IF(COUNT(D1730:V1730)=0,"",INDEX($D$1:$V$1,MATCH(MIN(D1730:V1730),D1730:V1730,0)))</f>
        <v/>
      </c>
      <c r="AB1730" s="8" t="n">
        <v>202</v>
      </c>
      <c r="AC1730" s="10" t="n">
        <v>1</v>
      </c>
    </row>
    <row r="1731">
      <c r="A1731" s="7" t="inlineStr">
        <is>
          <t>MAT-32-379</t>
        </is>
      </c>
      <c r="B1731" s="4" t="inlineStr">
        <is>
          <t>Reducción bushing de bronce 3/4" x 1/2"</t>
        </is>
      </c>
      <c r="C1731" s="7" t="inlineStr">
        <is>
          <t>unidad</t>
        </is>
      </c>
      <c r="D1731" s="8" t="n"/>
      <c r="E1731" s="8" t="n">
        <v>97.88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>
        <f>IF(COUNT(D1731:V1731)=0,"",MIN(D1731:V1731))</f>
        <v/>
      </c>
      <c r="X1731" s="8">
        <f>IF(COUNT(D1731:V1731)=0,"",MEDIAN(D1731:V1731))</f>
        <v/>
      </c>
      <c r="Y1731" s="8">
        <f>IF(COUNT(D1731:V1731)=0,"",MAX(D1731:V1731))</f>
        <v/>
      </c>
      <c r="Z1731" s="9">
        <f>IF(OR(W1731="",W1731=0),"",(Y1731-W1731)/W1731)</f>
        <v/>
      </c>
      <c r="AA1731" s="7">
        <f>IF(COUNT(D1731:V1731)=0,"",INDEX($D$1:$V$1,MATCH(MIN(D1731:V1731),D1731:V1731,0)))</f>
        <v/>
      </c>
      <c r="AB1731" s="8" t="n">
        <v>97.88</v>
      </c>
      <c r="AC1731" s="10" t="n">
        <v>1</v>
      </c>
    </row>
    <row r="1732">
      <c r="A1732" s="7" t="inlineStr">
        <is>
          <t>MAT-32-380</t>
        </is>
      </c>
      <c r="B1732" s="4" t="inlineStr">
        <is>
          <t>Reducción bushing de bronce 3/4" x 3/8"</t>
        </is>
      </c>
      <c r="C1732" s="7" t="inlineStr">
        <is>
          <t>unidad</t>
        </is>
      </c>
      <c r="D1732" s="8" t="n"/>
      <c r="E1732" s="8" t="n">
        <v>137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>
        <f>IF(COUNT(D1732:V1732)=0,"",MIN(D1732:V1732))</f>
        <v/>
      </c>
      <c r="X1732" s="8">
        <f>IF(COUNT(D1732:V1732)=0,"",MEDIAN(D1732:V1732))</f>
        <v/>
      </c>
      <c r="Y1732" s="8">
        <f>IF(COUNT(D1732:V1732)=0,"",MAX(D1732:V1732))</f>
        <v/>
      </c>
      <c r="Z1732" s="9">
        <f>IF(OR(W1732="",W1732=0),"",(Y1732-W1732)/W1732)</f>
        <v/>
      </c>
      <c r="AA1732" s="7">
        <f>IF(COUNT(D1732:V1732)=0,"",INDEX($D$1:$V$1,MATCH(MIN(D1732:V1732),D1732:V1732,0)))</f>
        <v/>
      </c>
      <c r="AB1732" s="8" t="n">
        <v>137</v>
      </c>
      <c r="AC1732" s="10" t="n">
        <v>1</v>
      </c>
    </row>
    <row r="1733">
      <c r="A1733" s="7" t="inlineStr">
        <is>
          <t>MAT-32-381</t>
        </is>
      </c>
      <c r="B1733" s="4" t="inlineStr">
        <is>
          <t>Reducción bushing de bronce 3/8"</t>
        </is>
      </c>
      <c r="C1733" s="7" t="inlineStr">
        <is>
          <t>unidad</t>
        </is>
      </c>
      <c r="D1733" s="8" t="n"/>
      <c r="E1733" s="8" t="n">
        <v>78.73999999999999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>
        <f>IF(COUNT(D1733:V1733)=0,"",MIN(D1733:V1733))</f>
        <v/>
      </c>
      <c r="X1733" s="8">
        <f>IF(COUNT(D1733:V1733)=0,"",MEDIAN(D1733:V1733))</f>
        <v/>
      </c>
      <c r="Y1733" s="8">
        <f>IF(COUNT(D1733:V1733)=0,"",MAX(D1733:V1733))</f>
        <v/>
      </c>
      <c r="Z1733" s="9">
        <f>IF(OR(W1733="",W1733=0),"",(Y1733-W1733)/W1733)</f>
        <v/>
      </c>
      <c r="AA1733" s="7">
        <f>IF(COUNT(D1733:V1733)=0,"",INDEX($D$1:$V$1,MATCH(MIN(D1733:V1733),D1733:V1733,0)))</f>
        <v/>
      </c>
      <c r="AB1733" s="8" t="n">
        <v>78.73999999999999</v>
      </c>
      <c r="AC1733" s="10" t="n">
        <v>1</v>
      </c>
    </row>
    <row r="1734">
      <c r="A1734" s="7" t="inlineStr">
        <is>
          <t>MAT-32-382</t>
        </is>
      </c>
      <c r="B1734" s="4" t="inlineStr">
        <is>
          <t>Reducción bushing de bronce 3/8" x 1/8"</t>
        </is>
      </c>
      <c r="C1734" s="7" t="inlineStr">
        <is>
          <t>unidad</t>
        </is>
      </c>
      <c r="D1734" s="8" t="n"/>
      <c r="E1734" s="8" t="n">
        <v>57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>
        <f>IF(COUNT(D1734:V1734)=0,"",MIN(D1734:V1734))</f>
        <v/>
      </c>
      <c r="X1734" s="8">
        <f>IF(COUNT(D1734:V1734)=0,"",MEDIAN(D1734:V1734))</f>
        <v/>
      </c>
      <c r="Y1734" s="8">
        <f>IF(COUNT(D1734:V1734)=0,"",MAX(D1734:V1734))</f>
        <v/>
      </c>
      <c r="Z1734" s="9">
        <f>IF(OR(W1734="",W1734=0),"",(Y1734-W1734)/W1734)</f>
        <v/>
      </c>
      <c r="AA1734" s="7">
        <f>IF(COUNT(D1734:V1734)=0,"",INDEX($D$1:$V$1,MATCH(MIN(D1734:V1734),D1734:V1734,0)))</f>
        <v/>
      </c>
      <c r="AB1734" s="8" t="n">
        <v>57</v>
      </c>
      <c r="AC1734" s="10" t="n">
        <v>1</v>
      </c>
    </row>
    <row r="1735">
      <c r="A1735" s="7" t="inlineStr">
        <is>
          <t>MAT-32-383</t>
        </is>
      </c>
      <c r="B1735" s="4" t="inlineStr">
        <is>
          <t>Reducción bushing de CPVC 1" x 1/2"</t>
        </is>
      </c>
      <c r="C1735" s="7" t="inlineStr">
        <is>
          <t>unidad</t>
        </is>
      </c>
      <c r="D1735" s="8" t="n"/>
      <c r="E1735" s="8" t="n">
        <v>45.68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>
        <f>IF(COUNT(D1735:V1735)=0,"",MIN(D1735:V1735))</f>
        <v/>
      </c>
      <c r="X1735" s="8">
        <f>IF(COUNT(D1735:V1735)=0,"",MEDIAN(D1735:V1735))</f>
        <v/>
      </c>
      <c r="Y1735" s="8">
        <f>IF(COUNT(D1735:V1735)=0,"",MAX(D1735:V1735))</f>
        <v/>
      </c>
      <c r="Z1735" s="9">
        <f>IF(OR(W1735="",W1735=0),"",(Y1735-W1735)/W1735)</f>
        <v/>
      </c>
      <c r="AA1735" s="7">
        <f>IF(COUNT(D1735:V1735)=0,"",INDEX($D$1:$V$1,MATCH(MIN(D1735:V1735),D1735:V1735,0)))</f>
        <v/>
      </c>
      <c r="AB1735" s="8" t="n">
        <v>45.68</v>
      </c>
      <c r="AC1735" s="10" t="n">
        <v>1</v>
      </c>
    </row>
    <row r="1736">
      <c r="A1736" s="7" t="inlineStr">
        <is>
          <t>MAT-32-384</t>
        </is>
      </c>
      <c r="B1736" s="4" t="inlineStr">
        <is>
          <t>Reducción bushing de CPVC 1" x 3/4"</t>
        </is>
      </c>
      <c r="C1736" s="7" t="inlineStr">
        <is>
          <t>unidad</t>
        </is>
      </c>
      <c r="D1736" s="8" t="n"/>
      <c r="E1736" s="8" t="n">
        <v>13.97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>
        <f>IF(COUNT(D1736:V1736)=0,"",MIN(D1736:V1736))</f>
        <v/>
      </c>
      <c r="X1736" s="8">
        <f>IF(COUNT(D1736:V1736)=0,"",MEDIAN(D1736:V1736))</f>
        <v/>
      </c>
      <c r="Y1736" s="8">
        <f>IF(COUNT(D1736:V1736)=0,"",MAX(D1736:V1736))</f>
        <v/>
      </c>
      <c r="Z1736" s="9">
        <f>IF(OR(W1736="",W1736=0),"",(Y1736-W1736)/W1736)</f>
        <v/>
      </c>
      <c r="AA1736" s="7">
        <f>IF(COUNT(D1736:V1736)=0,"",INDEX($D$1:$V$1,MATCH(MIN(D1736:V1736),D1736:V1736,0)))</f>
        <v/>
      </c>
      <c r="AB1736" s="8" t="n">
        <v>13.97</v>
      </c>
      <c r="AC1736" s="10" t="n">
        <v>1</v>
      </c>
    </row>
    <row r="1737">
      <c r="A1737" s="7" t="inlineStr">
        <is>
          <t>MAT-32-385</t>
        </is>
      </c>
      <c r="B1737" s="4" t="inlineStr">
        <is>
          <t>Reducción bushing de CPVC 2" x 1"</t>
        </is>
      </c>
      <c r="C1737" s="7" t="inlineStr">
        <is>
          <t>unidad</t>
        </is>
      </c>
      <c r="D1737" s="8" t="n"/>
      <c r="E1737" s="8" t="n">
        <v>322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>
        <f>IF(COUNT(D1737:V1737)=0,"",MIN(D1737:V1737))</f>
        <v/>
      </c>
      <c r="X1737" s="8">
        <f>IF(COUNT(D1737:V1737)=0,"",MEDIAN(D1737:V1737))</f>
        <v/>
      </c>
      <c r="Y1737" s="8">
        <f>IF(COUNT(D1737:V1737)=0,"",MAX(D1737:V1737))</f>
        <v/>
      </c>
      <c r="Z1737" s="9">
        <f>IF(OR(W1737="",W1737=0),"",(Y1737-W1737)/W1737)</f>
        <v/>
      </c>
      <c r="AA1737" s="7">
        <f>IF(COUNT(D1737:V1737)=0,"",INDEX($D$1:$V$1,MATCH(MIN(D1737:V1737),D1737:V1737,0)))</f>
        <v/>
      </c>
      <c r="AB1737" s="8" t="n">
        <v>322</v>
      </c>
      <c r="AC1737" s="10" t="n">
        <v>1</v>
      </c>
    </row>
    <row r="1738">
      <c r="A1738" s="7" t="inlineStr">
        <is>
          <t>MAT-32-386</t>
        </is>
      </c>
      <c r="B1738" s="4" t="inlineStr">
        <is>
          <t>Reducción bushing de CPVC 3/4" x 1/2"</t>
        </is>
      </c>
      <c r="C1738" s="7" t="inlineStr">
        <is>
          <t>unidad</t>
        </is>
      </c>
      <c r="D1738" s="8" t="n"/>
      <c r="E1738" s="8" t="n">
        <v>10.62</v>
      </c>
      <c r="F1738" s="8" t="n"/>
      <c r="G1738" s="8" t="n"/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>
        <f>IF(COUNT(D1738:V1738)=0,"",MIN(D1738:V1738))</f>
        <v/>
      </c>
      <c r="X1738" s="8">
        <f>IF(COUNT(D1738:V1738)=0,"",MEDIAN(D1738:V1738))</f>
        <v/>
      </c>
      <c r="Y1738" s="8">
        <f>IF(COUNT(D1738:V1738)=0,"",MAX(D1738:V1738))</f>
        <v/>
      </c>
      <c r="Z1738" s="9">
        <f>IF(OR(W1738="",W1738=0),"",(Y1738-W1738)/W1738)</f>
        <v/>
      </c>
      <c r="AA1738" s="7">
        <f>IF(COUNT(D1738:V1738)=0,"",INDEX($D$1:$V$1,MATCH(MIN(D1738:V1738),D1738:V1738,0)))</f>
        <v/>
      </c>
      <c r="AB1738" s="8" t="n">
        <v>10.62</v>
      </c>
      <c r="AC1738" s="10" t="n">
        <v>1</v>
      </c>
    </row>
    <row r="1739">
      <c r="A1739" s="7" t="inlineStr">
        <is>
          <t>MAT-32-387</t>
        </is>
      </c>
      <c r="B1739" s="4" t="inlineStr">
        <is>
          <t>Reducción bushing de HG 1 1/2" x 1 1/4"</t>
        </is>
      </c>
      <c r="C1739" s="7" t="inlineStr">
        <is>
          <t>unidad</t>
        </is>
      </c>
      <c r="D1739" s="8" t="n"/>
      <c r="E1739" s="8" t="n">
        <v>125</v>
      </c>
      <c r="F1739" s="8" t="n"/>
      <c r="G1739" s="8" t="n">
        <v>247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>
        <f>IF(COUNT(D1739:V1739)=0,"",MIN(D1739:V1739))</f>
        <v/>
      </c>
      <c r="X1739" s="8">
        <f>IF(COUNT(D1739:V1739)=0,"",MEDIAN(D1739:V1739))</f>
        <v/>
      </c>
      <c r="Y1739" s="8">
        <f>IF(COUNT(D1739:V1739)=0,"",MAX(D1739:V1739))</f>
        <v/>
      </c>
      <c r="Z1739" s="9">
        <f>IF(OR(W1739="",W1739=0),"",(Y1739-W1739)/W1739)</f>
        <v/>
      </c>
      <c r="AA1739" s="7">
        <f>IF(COUNT(D1739:V1739)=0,"",INDEX($D$1:$V$1,MATCH(MIN(D1739:V1739),D1739:V1739,0)))</f>
        <v/>
      </c>
      <c r="AB1739" s="8" t="n">
        <v>186</v>
      </c>
      <c r="AC1739" s="10" t="n">
        <v>2</v>
      </c>
    </row>
    <row r="1740">
      <c r="A1740" s="7" t="inlineStr">
        <is>
          <t>MAT-32-388</t>
        </is>
      </c>
      <c r="B1740" s="4" t="inlineStr">
        <is>
          <t>Reducción bushing de HG 1 1/2" x 1/2"</t>
        </is>
      </c>
      <c r="C1740" s="7" t="inlineStr">
        <is>
          <t>unidad</t>
        </is>
      </c>
      <c r="D1740" s="8" t="n"/>
      <c r="E1740" s="8" t="n">
        <v>76</v>
      </c>
      <c r="F1740" s="8" t="n"/>
      <c r="G1740" s="8" t="n">
        <v>103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>
        <f>IF(COUNT(D1740:V1740)=0,"",MIN(D1740:V1740))</f>
        <v/>
      </c>
      <c r="X1740" s="8">
        <f>IF(COUNT(D1740:V1740)=0,"",MEDIAN(D1740:V1740))</f>
        <v/>
      </c>
      <c r="Y1740" s="8">
        <f>IF(COUNT(D1740:V1740)=0,"",MAX(D1740:V1740))</f>
        <v/>
      </c>
      <c r="Z1740" s="9">
        <f>IF(OR(W1740="",W1740=0),"",(Y1740-W1740)/W1740)</f>
        <v/>
      </c>
      <c r="AA1740" s="7">
        <f>IF(COUNT(D1740:V1740)=0,"",INDEX($D$1:$V$1,MATCH(MIN(D1740:V1740),D1740:V1740,0)))</f>
        <v/>
      </c>
      <c r="AB1740" s="8" t="n">
        <v>89.5</v>
      </c>
      <c r="AC1740" s="10" t="n">
        <v>2</v>
      </c>
    </row>
    <row r="1741">
      <c r="A1741" s="7" t="inlineStr">
        <is>
          <t>MAT-32-389</t>
        </is>
      </c>
      <c r="B1741" s="4" t="inlineStr">
        <is>
          <t>Reducción bushing de HG 1 1/2" x 1"</t>
        </is>
      </c>
      <c r="C1741" s="7" t="inlineStr">
        <is>
          <t>unidad</t>
        </is>
      </c>
      <c r="D1741" s="8" t="n"/>
      <c r="E1741" s="8" t="n">
        <v>67</v>
      </c>
      <c r="F1741" s="8" t="n"/>
      <c r="G1741" s="8" t="n">
        <v>214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>
        <f>IF(COUNT(D1741:V1741)=0,"",MIN(D1741:V1741))</f>
        <v/>
      </c>
      <c r="X1741" s="8">
        <f>IF(COUNT(D1741:V1741)=0,"",MEDIAN(D1741:V1741))</f>
        <v/>
      </c>
      <c r="Y1741" s="8">
        <f>IF(COUNT(D1741:V1741)=0,"",MAX(D1741:V1741))</f>
        <v/>
      </c>
      <c r="Z1741" s="9">
        <f>IF(OR(W1741="",W1741=0),"",(Y1741-W1741)/W1741)</f>
        <v/>
      </c>
      <c r="AA1741" s="7">
        <f>IF(COUNT(D1741:V1741)=0,"",INDEX($D$1:$V$1,MATCH(MIN(D1741:V1741),D1741:V1741,0)))</f>
        <v/>
      </c>
      <c r="AB1741" s="8" t="n">
        <v>140.5</v>
      </c>
      <c r="AC1741" s="10" t="n">
        <v>2</v>
      </c>
    </row>
    <row r="1742">
      <c r="A1742" s="7" t="inlineStr">
        <is>
          <t>MAT-32-390</t>
        </is>
      </c>
      <c r="B1742" s="4" t="inlineStr">
        <is>
          <t>Reducción bushing de HG 1 1/2" x 3/4"</t>
        </is>
      </c>
      <c r="C1742" s="7" t="inlineStr">
        <is>
          <t>unidad</t>
        </is>
      </c>
      <c r="D1742" s="8" t="n"/>
      <c r="E1742" s="8" t="n">
        <v>110</v>
      </c>
      <c r="F1742" s="8" t="n"/>
      <c r="G1742" s="8" t="n">
        <v>87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>
        <f>IF(COUNT(D1742:V1742)=0,"",MIN(D1742:V1742))</f>
        <v/>
      </c>
      <c r="X1742" s="8">
        <f>IF(COUNT(D1742:V1742)=0,"",MEDIAN(D1742:V1742))</f>
        <v/>
      </c>
      <c r="Y1742" s="8">
        <f>IF(COUNT(D1742:V1742)=0,"",MAX(D1742:V1742))</f>
        <v/>
      </c>
      <c r="Z1742" s="9">
        <f>IF(OR(W1742="",W1742=0),"",(Y1742-W1742)/W1742)</f>
        <v/>
      </c>
      <c r="AA1742" s="7">
        <f>IF(COUNT(D1742:V1742)=0,"",INDEX($D$1:$V$1,MATCH(MIN(D1742:V1742),D1742:V1742,0)))</f>
        <v/>
      </c>
      <c r="AB1742" s="8" t="n">
        <v>98.5</v>
      </c>
      <c r="AC1742" s="10" t="n">
        <v>2</v>
      </c>
    </row>
    <row r="1743">
      <c r="A1743" s="7" t="inlineStr">
        <is>
          <t>MAT-32-391</t>
        </is>
      </c>
      <c r="B1743" s="4" t="inlineStr">
        <is>
          <t>Reducción bushing de HG 1 1/4" x 1/2"</t>
        </is>
      </c>
      <c r="C1743" s="7" t="inlineStr">
        <is>
          <t>unidad</t>
        </is>
      </c>
      <c r="D1743" s="8" t="n"/>
      <c r="E1743" s="8" t="n">
        <v>87</v>
      </c>
      <c r="F1743" s="8" t="n"/>
      <c r="G1743" s="8" t="n">
        <v>61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>
        <f>IF(COUNT(D1743:V1743)=0,"",MIN(D1743:V1743))</f>
        <v/>
      </c>
      <c r="X1743" s="8">
        <f>IF(COUNT(D1743:V1743)=0,"",MEDIAN(D1743:V1743))</f>
        <v/>
      </c>
      <c r="Y1743" s="8">
        <f>IF(COUNT(D1743:V1743)=0,"",MAX(D1743:V1743))</f>
        <v/>
      </c>
      <c r="Z1743" s="9">
        <f>IF(OR(W1743="",W1743=0),"",(Y1743-W1743)/W1743)</f>
        <v/>
      </c>
      <c r="AA1743" s="7">
        <f>IF(COUNT(D1743:V1743)=0,"",INDEX($D$1:$V$1,MATCH(MIN(D1743:V1743),D1743:V1743,0)))</f>
        <v/>
      </c>
      <c r="AB1743" s="8" t="n">
        <v>74</v>
      </c>
      <c r="AC1743" s="10" t="n">
        <v>2</v>
      </c>
    </row>
    <row r="1744">
      <c r="A1744" s="7" t="inlineStr">
        <is>
          <t>MAT-32-392</t>
        </is>
      </c>
      <c r="B1744" s="4" t="inlineStr">
        <is>
          <t>Reducción bushing de HG 1 1/4" x 1"</t>
        </is>
      </c>
      <c r="C1744" s="7" t="inlineStr">
        <is>
          <t>unidad</t>
        </is>
      </c>
      <c r="D1744" s="8" t="n"/>
      <c r="E1744" s="8" t="n">
        <v>51</v>
      </c>
      <c r="F1744" s="8" t="n"/>
      <c r="G1744" s="8" t="n">
        <v>198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>
        <f>IF(COUNT(D1744:V1744)=0,"",MIN(D1744:V1744))</f>
        <v/>
      </c>
      <c r="X1744" s="8">
        <f>IF(COUNT(D1744:V1744)=0,"",MEDIAN(D1744:V1744))</f>
        <v/>
      </c>
      <c r="Y1744" s="8">
        <f>IF(COUNT(D1744:V1744)=0,"",MAX(D1744:V1744))</f>
        <v/>
      </c>
      <c r="Z1744" s="9">
        <f>IF(OR(W1744="",W1744=0),"",(Y1744-W1744)/W1744)</f>
        <v/>
      </c>
      <c r="AA1744" s="7">
        <f>IF(COUNT(D1744:V1744)=0,"",INDEX($D$1:$V$1,MATCH(MIN(D1744:V1744),D1744:V1744,0)))</f>
        <v/>
      </c>
      <c r="AB1744" s="8" t="n">
        <v>124.5</v>
      </c>
      <c r="AC1744" s="10" t="n">
        <v>2</v>
      </c>
    </row>
    <row r="1745">
      <c r="A1745" s="7" t="inlineStr">
        <is>
          <t>MAT-32-393</t>
        </is>
      </c>
      <c r="B1745" s="4" t="inlineStr">
        <is>
          <t>Reducción bushing de HG 1 1/4" x 3/4"</t>
        </is>
      </c>
      <c r="C1745" s="7" t="inlineStr">
        <is>
          <t>unidad</t>
        </is>
      </c>
      <c r="D1745" s="8" t="n"/>
      <c r="E1745" s="8" t="n">
        <v>50</v>
      </c>
      <c r="F1745" s="8" t="n"/>
      <c r="G1745" s="8" t="n"/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>
        <f>IF(COUNT(D1745:V1745)=0,"",MIN(D1745:V1745))</f>
        <v/>
      </c>
      <c r="X1745" s="8">
        <f>IF(COUNT(D1745:V1745)=0,"",MEDIAN(D1745:V1745))</f>
        <v/>
      </c>
      <c r="Y1745" s="8">
        <f>IF(COUNT(D1745:V1745)=0,"",MAX(D1745:V1745))</f>
        <v/>
      </c>
      <c r="Z1745" s="9">
        <f>IF(OR(W1745="",W1745=0),"",(Y1745-W1745)/W1745)</f>
        <v/>
      </c>
      <c r="AA1745" s="7">
        <f>IF(COUNT(D1745:V1745)=0,"",INDEX($D$1:$V$1,MATCH(MIN(D1745:V1745),D1745:V1745,0)))</f>
        <v/>
      </c>
      <c r="AB1745" s="8" t="n">
        <v>50</v>
      </c>
      <c r="AC1745" s="10" t="n">
        <v>1</v>
      </c>
    </row>
    <row r="1746">
      <c r="A1746" s="7" t="inlineStr">
        <is>
          <t>MAT-32-394</t>
        </is>
      </c>
      <c r="B1746" s="4" t="inlineStr">
        <is>
          <t>Reducción bushing de HG 1/2" x 1/4"</t>
        </is>
      </c>
      <c r="C1746" s="7" t="inlineStr">
        <is>
          <t>unidad</t>
        </is>
      </c>
      <c r="D1746" s="8" t="n"/>
      <c r="E1746" s="8" t="n"/>
      <c r="F1746" s="8" t="n"/>
      <c r="G1746" s="8" t="n">
        <v>80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>
        <f>IF(COUNT(D1746:V1746)=0,"",MIN(D1746:V1746))</f>
        <v/>
      </c>
      <c r="X1746" s="8">
        <f>IF(COUNT(D1746:V1746)=0,"",MEDIAN(D1746:V1746))</f>
        <v/>
      </c>
      <c r="Y1746" s="8">
        <f>IF(COUNT(D1746:V1746)=0,"",MAX(D1746:V1746))</f>
        <v/>
      </c>
      <c r="Z1746" s="9">
        <f>IF(OR(W1746="",W1746=0),"",(Y1746-W1746)/W1746)</f>
        <v/>
      </c>
      <c r="AA1746" s="7">
        <f>IF(COUNT(D1746:V1746)=0,"",INDEX($D$1:$V$1,MATCH(MIN(D1746:V1746),D1746:V1746,0)))</f>
        <v/>
      </c>
      <c r="AB1746" s="8" t="n">
        <v>80</v>
      </c>
      <c r="AC1746" s="10" t="n">
        <v>1</v>
      </c>
    </row>
    <row r="1747">
      <c r="A1747" s="7" t="inlineStr">
        <is>
          <t>MAT-32-395</t>
        </is>
      </c>
      <c r="B1747" s="4" t="inlineStr">
        <is>
          <t>Reducción bushing de HG 1/2" x 3/8"</t>
        </is>
      </c>
      <c r="C1747" s="7" t="inlineStr">
        <is>
          <t>unidad</t>
        </is>
      </c>
      <c r="D1747" s="8" t="n"/>
      <c r="E1747" s="8" t="n">
        <v>25</v>
      </c>
      <c r="F1747" s="8" t="n"/>
      <c r="G1747" s="8" t="n">
        <v>65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>
        <f>IF(COUNT(D1747:V1747)=0,"",MIN(D1747:V1747))</f>
        <v/>
      </c>
      <c r="X1747" s="8">
        <f>IF(COUNT(D1747:V1747)=0,"",MEDIAN(D1747:V1747))</f>
        <v/>
      </c>
      <c r="Y1747" s="8">
        <f>IF(COUNT(D1747:V1747)=0,"",MAX(D1747:V1747))</f>
        <v/>
      </c>
      <c r="Z1747" s="9">
        <f>IF(OR(W1747="",W1747=0),"",(Y1747-W1747)/W1747)</f>
        <v/>
      </c>
      <c r="AA1747" s="7">
        <f>IF(COUNT(D1747:V1747)=0,"",INDEX($D$1:$V$1,MATCH(MIN(D1747:V1747),D1747:V1747,0)))</f>
        <v/>
      </c>
      <c r="AB1747" s="8" t="n">
        <v>45</v>
      </c>
      <c r="AC1747" s="10" t="n">
        <v>2</v>
      </c>
    </row>
    <row r="1748">
      <c r="A1748" s="7" t="inlineStr">
        <is>
          <t>MAT-32-396</t>
        </is>
      </c>
      <c r="B1748" s="4" t="inlineStr">
        <is>
          <t>Reducción bushing de HG 1" x 1/2"</t>
        </is>
      </c>
      <c r="C1748" s="7" t="inlineStr">
        <is>
          <t>unidad</t>
        </is>
      </c>
      <c r="D1748" s="8" t="n"/>
      <c r="E1748" s="8" t="n">
        <v>40</v>
      </c>
      <c r="F1748" s="8" t="n"/>
      <c r="G1748" s="8" t="n">
        <v>92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>
        <f>IF(COUNT(D1748:V1748)=0,"",MIN(D1748:V1748))</f>
        <v/>
      </c>
      <c r="X1748" s="8">
        <f>IF(COUNT(D1748:V1748)=0,"",MEDIAN(D1748:V1748))</f>
        <v/>
      </c>
      <c r="Y1748" s="8">
        <f>IF(COUNT(D1748:V1748)=0,"",MAX(D1748:V1748))</f>
        <v/>
      </c>
      <c r="Z1748" s="9">
        <f>IF(OR(W1748="",W1748=0),"",(Y1748-W1748)/W1748)</f>
        <v/>
      </c>
      <c r="AA1748" s="7">
        <f>IF(COUNT(D1748:V1748)=0,"",INDEX($D$1:$V$1,MATCH(MIN(D1748:V1748),D1748:V1748,0)))</f>
        <v/>
      </c>
      <c r="AB1748" s="8" t="n">
        <v>66</v>
      </c>
      <c r="AC1748" s="10" t="n">
        <v>2</v>
      </c>
    </row>
    <row r="1749">
      <c r="A1749" s="7" t="inlineStr">
        <is>
          <t>MAT-32-397</t>
        </is>
      </c>
      <c r="B1749" s="4" t="inlineStr">
        <is>
          <t>Reducción bushing de HG 1" x 1/4"</t>
        </is>
      </c>
      <c r="C1749" s="7" t="inlineStr">
        <is>
          <t>unidad</t>
        </is>
      </c>
      <c r="D1749" s="8" t="n"/>
      <c r="E1749" s="8" t="n">
        <v>58.94</v>
      </c>
      <c r="F1749" s="8" t="n"/>
      <c r="G1749" s="8" t="n"/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>
        <f>IF(COUNT(D1749:V1749)=0,"",MIN(D1749:V1749))</f>
        <v/>
      </c>
      <c r="X1749" s="8">
        <f>IF(COUNT(D1749:V1749)=0,"",MEDIAN(D1749:V1749))</f>
        <v/>
      </c>
      <c r="Y1749" s="8">
        <f>IF(COUNT(D1749:V1749)=0,"",MAX(D1749:V1749))</f>
        <v/>
      </c>
      <c r="Z1749" s="9">
        <f>IF(OR(W1749="",W1749=0),"",(Y1749-W1749)/W1749)</f>
        <v/>
      </c>
      <c r="AA1749" s="7">
        <f>IF(COUNT(D1749:V1749)=0,"",INDEX($D$1:$V$1,MATCH(MIN(D1749:V1749),D1749:V1749,0)))</f>
        <v/>
      </c>
      <c r="AB1749" s="8" t="n">
        <v>58.94</v>
      </c>
      <c r="AC1749" s="10" t="n">
        <v>1</v>
      </c>
    </row>
    <row r="1750">
      <c r="A1750" s="7" t="inlineStr">
        <is>
          <t>MAT-32-398</t>
        </is>
      </c>
      <c r="B1750" s="4" t="inlineStr">
        <is>
          <t>Reducción bushing de HG 1" x 3/4"</t>
        </is>
      </c>
      <c r="C1750" s="7" t="inlineStr">
        <is>
          <t>unidad</t>
        </is>
      </c>
      <c r="D1750" s="8" t="n"/>
      <c r="E1750" s="8" t="n">
        <v>31</v>
      </c>
      <c r="F1750" s="8" t="n"/>
      <c r="G1750" s="8" t="n">
        <v>97</v>
      </c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>
        <f>IF(COUNT(D1750:V1750)=0,"",MIN(D1750:V1750))</f>
        <v/>
      </c>
      <c r="X1750" s="8">
        <f>IF(COUNT(D1750:V1750)=0,"",MEDIAN(D1750:V1750))</f>
        <v/>
      </c>
      <c r="Y1750" s="8">
        <f>IF(COUNT(D1750:V1750)=0,"",MAX(D1750:V1750))</f>
        <v/>
      </c>
      <c r="Z1750" s="9">
        <f>IF(OR(W1750="",W1750=0),"",(Y1750-W1750)/W1750)</f>
        <v/>
      </c>
      <c r="AA1750" s="7">
        <f>IF(COUNT(D1750:V1750)=0,"",INDEX($D$1:$V$1,MATCH(MIN(D1750:V1750),D1750:V1750,0)))</f>
        <v/>
      </c>
      <c r="AB1750" s="8" t="n">
        <v>64</v>
      </c>
      <c r="AC1750" s="10" t="n">
        <v>2</v>
      </c>
    </row>
    <row r="1751">
      <c r="A1751" s="7" t="inlineStr">
        <is>
          <t>MAT-32-399</t>
        </is>
      </c>
      <c r="B1751" s="4" t="inlineStr">
        <is>
          <t>Reducción bushing de HG 2 1/2" x 2"</t>
        </is>
      </c>
      <c r="C1751" s="7" t="inlineStr">
        <is>
          <t>unidad</t>
        </is>
      </c>
      <c r="D1751" s="8" t="n"/>
      <c r="E1751" s="8" t="n">
        <v>52.64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>
        <f>IF(COUNT(D1751:V1751)=0,"",MIN(D1751:V1751))</f>
        <v/>
      </c>
      <c r="X1751" s="8">
        <f>IF(COUNT(D1751:V1751)=0,"",MEDIAN(D1751:V1751))</f>
        <v/>
      </c>
      <c r="Y1751" s="8">
        <f>IF(COUNT(D1751:V1751)=0,"",MAX(D1751:V1751))</f>
        <v/>
      </c>
      <c r="Z1751" s="9">
        <f>IF(OR(W1751="",W1751=0),"",(Y1751-W1751)/W1751)</f>
        <v/>
      </c>
      <c r="AA1751" s="7">
        <f>IF(COUNT(D1751:V1751)=0,"",INDEX($D$1:$V$1,MATCH(MIN(D1751:V1751),D1751:V1751,0)))</f>
        <v/>
      </c>
      <c r="AB1751" s="8" t="n">
        <v>52.64</v>
      </c>
      <c r="AC1751" s="10" t="n">
        <v>1</v>
      </c>
    </row>
    <row r="1752">
      <c r="A1752" s="7" t="inlineStr">
        <is>
          <t>MAT-32-400</t>
        </is>
      </c>
      <c r="B1752" s="4" t="inlineStr">
        <is>
          <t>Reducción bushing de HG 2" x 1 1/2"</t>
        </is>
      </c>
      <c r="C1752" s="7" t="inlineStr">
        <is>
          <t>unidad</t>
        </is>
      </c>
      <c r="D1752" s="8" t="n"/>
      <c r="E1752" s="8" t="n">
        <v>94</v>
      </c>
      <c r="F1752" s="8" t="n"/>
      <c r="G1752" s="8" t="n">
        <v>189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>
        <f>IF(COUNT(D1752:V1752)=0,"",MIN(D1752:V1752))</f>
        <v/>
      </c>
      <c r="X1752" s="8">
        <f>IF(COUNT(D1752:V1752)=0,"",MEDIAN(D1752:V1752))</f>
        <v/>
      </c>
      <c r="Y1752" s="8">
        <f>IF(COUNT(D1752:V1752)=0,"",MAX(D1752:V1752))</f>
        <v/>
      </c>
      <c r="Z1752" s="9">
        <f>IF(OR(W1752="",W1752=0),"",(Y1752-W1752)/W1752)</f>
        <v/>
      </c>
      <c r="AA1752" s="7">
        <f>IF(COUNT(D1752:V1752)=0,"",INDEX($D$1:$V$1,MATCH(MIN(D1752:V1752),D1752:V1752,0)))</f>
        <v/>
      </c>
      <c r="AB1752" s="8" t="n">
        <v>141.5</v>
      </c>
      <c r="AC1752" s="10" t="n">
        <v>2</v>
      </c>
    </row>
    <row r="1753">
      <c r="A1753" s="7" t="inlineStr">
        <is>
          <t>MAT-32-401</t>
        </is>
      </c>
      <c r="B1753" s="4" t="inlineStr">
        <is>
          <t>Reducción bushing de HG 2" x 1 1/4"</t>
        </is>
      </c>
      <c r="C1753" s="7" t="inlineStr">
        <is>
          <t>unidad</t>
        </is>
      </c>
      <c r="D1753" s="8" t="n"/>
      <c r="E1753" s="8" t="n">
        <v>95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>
        <f>IF(COUNT(D1753:V1753)=0,"",MIN(D1753:V1753))</f>
        <v/>
      </c>
      <c r="X1753" s="8">
        <f>IF(COUNT(D1753:V1753)=0,"",MEDIAN(D1753:V1753))</f>
        <v/>
      </c>
      <c r="Y1753" s="8">
        <f>IF(COUNT(D1753:V1753)=0,"",MAX(D1753:V1753))</f>
        <v/>
      </c>
      <c r="Z1753" s="9">
        <f>IF(OR(W1753="",W1753=0),"",(Y1753-W1753)/W1753)</f>
        <v/>
      </c>
      <c r="AA1753" s="7">
        <f>IF(COUNT(D1753:V1753)=0,"",INDEX($D$1:$V$1,MATCH(MIN(D1753:V1753),D1753:V1753,0)))</f>
        <v/>
      </c>
      <c r="AB1753" s="8" t="n">
        <v>95</v>
      </c>
      <c r="AC1753" s="10" t="n">
        <v>1</v>
      </c>
    </row>
    <row r="1754">
      <c r="A1754" s="7" t="inlineStr">
        <is>
          <t>MAT-32-402</t>
        </is>
      </c>
      <c r="B1754" s="4" t="inlineStr">
        <is>
          <t>Reducción bushing de HG 2" x 1/2"</t>
        </is>
      </c>
      <c r="C1754" s="7" t="inlineStr">
        <is>
          <t>unidad</t>
        </is>
      </c>
      <c r="D1754" s="8" t="n"/>
      <c r="E1754" s="8" t="n">
        <v>140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>
        <f>IF(COUNT(D1754:V1754)=0,"",MIN(D1754:V1754))</f>
        <v/>
      </c>
      <c r="X1754" s="8">
        <f>IF(COUNT(D1754:V1754)=0,"",MEDIAN(D1754:V1754))</f>
        <v/>
      </c>
      <c r="Y1754" s="8">
        <f>IF(COUNT(D1754:V1754)=0,"",MAX(D1754:V1754))</f>
        <v/>
      </c>
      <c r="Z1754" s="9">
        <f>IF(OR(W1754="",W1754=0),"",(Y1754-W1754)/W1754)</f>
        <v/>
      </c>
      <c r="AA1754" s="7">
        <f>IF(COUNT(D1754:V1754)=0,"",INDEX($D$1:$V$1,MATCH(MIN(D1754:V1754),D1754:V1754,0)))</f>
        <v/>
      </c>
      <c r="AB1754" s="8" t="n">
        <v>140</v>
      </c>
      <c r="AC1754" s="10" t="n">
        <v>1</v>
      </c>
    </row>
    <row r="1755">
      <c r="A1755" s="7" t="inlineStr">
        <is>
          <t>MAT-32-403</t>
        </is>
      </c>
      <c r="B1755" s="4" t="inlineStr">
        <is>
          <t>Reducción bushing de HG 2" x 1"</t>
        </is>
      </c>
      <c r="C1755" s="7" t="inlineStr">
        <is>
          <t>unidad</t>
        </is>
      </c>
      <c r="D1755" s="8" t="n"/>
      <c r="E1755" s="8" t="n">
        <v>95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>
        <f>IF(COUNT(D1755:V1755)=0,"",MIN(D1755:V1755))</f>
        <v/>
      </c>
      <c r="X1755" s="8">
        <f>IF(COUNT(D1755:V1755)=0,"",MEDIAN(D1755:V1755))</f>
        <v/>
      </c>
      <c r="Y1755" s="8">
        <f>IF(COUNT(D1755:V1755)=0,"",MAX(D1755:V1755))</f>
        <v/>
      </c>
      <c r="Z1755" s="9">
        <f>IF(OR(W1755="",W1755=0),"",(Y1755-W1755)/W1755)</f>
        <v/>
      </c>
      <c r="AA1755" s="7">
        <f>IF(COUNT(D1755:V1755)=0,"",INDEX($D$1:$V$1,MATCH(MIN(D1755:V1755),D1755:V1755,0)))</f>
        <v/>
      </c>
      <c r="AB1755" s="8" t="n">
        <v>95</v>
      </c>
      <c r="AC1755" s="10" t="n">
        <v>1</v>
      </c>
    </row>
    <row r="1756">
      <c r="A1756" s="7" t="inlineStr">
        <is>
          <t>MAT-32-404</t>
        </is>
      </c>
      <c r="B1756" s="4" t="inlineStr">
        <is>
          <t>Reducción bushing de HG 3/4" x 1/2"</t>
        </is>
      </c>
      <c r="C1756" s="7" t="inlineStr">
        <is>
          <t>unidad</t>
        </is>
      </c>
      <c r="D1756" s="8" t="n"/>
      <c r="E1756" s="8" t="n">
        <v>25</v>
      </c>
      <c r="F1756" s="8" t="n"/>
      <c r="G1756" s="8" t="n">
        <v>75</v>
      </c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>
        <f>IF(COUNT(D1756:V1756)=0,"",MIN(D1756:V1756))</f>
        <v/>
      </c>
      <c r="X1756" s="8">
        <f>IF(COUNT(D1756:V1756)=0,"",MEDIAN(D1756:V1756))</f>
        <v/>
      </c>
      <c r="Y1756" s="8">
        <f>IF(COUNT(D1756:V1756)=0,"",MAX(D1756:V1756))</f>
        <v/>
      </c>
      <c r="Z1756" s="9">
        <f>IF(OR(W1756="",W1756=0),"",(Y1756-W1756)/W1756)</f>
        <v/>
      </c>
      <c r="AA1756" s="7">
        <f>IF(COUNT(D1756:V1756)=0,"",INDEX($D$1:$V$1,MATCH(MIN(D1756:V1756),D1756:V1756,0)))</f>
        <v/>
      </c>
      <c r="AB1756" s="8" t="n">
        <v>50</v>
      </c>
      <c r="AC1756" s="10" t="n">
        <v>2</v>
      </c>
    </row>
    <row r="1757">
      <c r="A1757" s="7" t="inlineStr">
        <is>
          <t>MAT-32-405</t>
        </is>
      </c>
      <c r="B1757" s="4" t="inlineStr">
        <is>
          <t>Reducción bushing de HG 3/4" x 1/4"</t>
        </is>
      </c>
      <c r="C1757" s="7" t="inlineStr">
        <is>
          <t>unidad</t>
        </is>
      </c>
      <c r="D1757" s="8" t="n"/>
      <c r="E1757" s="8" t="n">
        <v>25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>
        <f>IF(COUNT(D1757:V1757)=0,"",MIN(D1757:V1757))</f>
        <v/>
      </c>
      <c r="X1757" s="8">
        <f>IF(COUNT(D1757:V1757)=0,"",MEDIAN(D1757:V1757))</f>
        <v/>
      </c>
      <c r="Y1757" s="8">
        <f>IF(COUNT(D1757:V1757)=0,"",MAX(D1757:V1757))</f>
        <v/>
      </c>
      <c r="Z1757" s="9">
        <f>IF(OR(W1757="",W1757=0),"",(Y1757-W1757)/W1757)</f>
        <v/>
      </c>
      <c r="AA1757" s="7">
        <f>IF(COUNT(D1757:V1757)=0,"",INDEX($D$1:$V$1,MATCH(MIN(D1757:V1757),D1757:V1757,0)))</f>
        <v/>
      </c>
      <c r="AB1757" s="8" t="n">
        <v>25</v>
      </c>
      <c r="AC1757" s="10" t="n">
        <v>1</v>
      </c>
    </row>
    <row r="1758">
      <c r="A1758" s="7" t="inlineStr">
        <is>
          <t>MAT-32-406</t>
        </is>
      </c>
      <c r="B1758" s="4" t="inlineStr">
        <is>
          <t>Reducción bushing de HG 3/4" x 3/8"</t>
        </is>
      </c>
      <c r="C1758" s="7" t="inlineStr">
        <is>
          <t>unidad</t>
        </is>
      </c>
      <c r="D1758" s="8" t="n"/>
      <c r="E1758" s="8" t="n">
        <v>67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>
        <f>IF(COUNT(D1758:V1758)=0,"",MIN(D1758:V1758))</f>
        <v/>
      </c>
      <c r="X1758" s="8">
        <f>IF(COUNT(D1758:V1758)=0,"",MEDIAN(D1758:V1758))</f>
        <v/>
      </c>
      <c r="Y1758" s="8">
        <f>IF(COUNT(D1758:V1758)=0,"",MAX(D1758:V1758))</f>
        <v/>
      </c>
      <c r="Z1758" s="9">
        <f>IF(OR(W1758="",W1758=0),"",(Y1758-W1758)/W1758)</f>
        <v/>
      </c>
      <c r="AA1758" s="7">
        <f>IF(COUNT(D1758:V1758)=0,"",INDEX($D$1:$V$1,MATCH(MIN(D1758:V1758),D1758:V1758,0)))</f>
        <v/>
      </c>
      <c r="AB1758" s="8" t="n">
        <v>67</v>
      </c>
      <c r="AC1758" s="10" t="n">
        <v>1</v>
      </c>
    </row>
    <row r="1759">
      <c r="A1759" s="7" t="inlineStr">
        <is>
          <t>MAT-32-407</t>
        </is>
      </c>
      <c r="B1759" s="4" t="inlineStr">
        <is>
          <t>Reducción bushing de HG 3/8" x 1/4"</t>
        </is>
      </c>
      <c r="C1759" s="7" t="inlineStr">
        <is>
          <t>unidad</t>
        </is>
      </c>
      <c r="D1759" s="8" t="n"/>
      <c r="E1759" s="8" t="n">
        <v>34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>
        <f>IF(COUNT(D1759:V1759)=0,"",MIN(D1759:V1759))</f>
        <v/>
      </c>
      <c r="X1759" s="8">
        <f>IF(COUNT(D1759:V1759)=0,"",MEDIAN(D1759:V1759))</f>
        <v/>
      </c>
      <c r="Y1759" s="8">
        <f>IF(COUNT(D1759:V1759)=0,"",MAX(D1759:V1759))</f>
        <v/>
      </c>
      <c r="Z1759" s="9">
        <f>IF(OR(W1759="",W1759=0),"",(Y1759-W1759)/W1759)</f>
        <v/>
      </c>
      <c r="AA1759" s="7">
        <f>IF(COUNT(D1759:V1759)=0,"",INDEX($D$1:$V$1,MATCH(MIN(D1759:V1759),D1759:V1759,0)))</f>
        <v/>
      </c>
      <c r="AB1759" s="8" t="n">
        <v>34</v>
      </c>
      <c r="AC1759" s="10" t="n">
        <v>1</v>
      </c>
    </row>
    <row r="1760">
      <c r="A1760" s="7" t="inlineStr">
        <is>
          <t>MAT-32-408</t>
        </is>
      </c>
      <c r="B1760" s="4" t="inlineStr">
        <is>
          <t>Reducción bushing de HG 3" x 2"</t>
        </is>
      </c>
      <c r="C1760" s="7" t="inlineStr">
        <is>
          <t>unidad</t>
        </is>
      </c>
      <c r="D1760" s="8" t="n"/>
      <c r="E1760" s="8" t="n">
        <v>261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>
        <f>IF(COUNT(D1760:V1760)=0,"",MIN(D1760:V1760))</f>
        <v/>
      </c>
      <c r="X1760" s="8">
        <f>IF(COUNT(D1760:V1760)=0,"",MEDIAN(D1760:V1760))</f>
        <v/>
      </c>
      <c r="Y1760" s="8">
        <f>IF(COUNT(D1760:V1760)=0,"",MAX(D1760:V1760))</f>
        <v/>
      </c>
      <c r="Z1760" s="9">
        <f>IF(OR(W1760="",W1760=0),"",(Y1760-W1760)/W1760)</f>
        <v/>
      </c>
      <c r="AA1760" s="7">
        <f>IF(COUNT(D1760:V1760)=0,"",INDEX($D$1:$V$1,MATCH(MIN(D1760:V1760),D1760:V1760,0)))</f>
        <v/>
      </c>
      <c r="AB1760" s="8" t="n">
        <v>261</v>
      </c>
      <c r="AC1760" s="10" t="n">
        <v>1</v>
      </c>
    </row>
    <row r="1761">
      <c r="A1761" s="7" t="inlineStr">
        <is>
          <t>MAT-32-409</t>
        </is>
      </c>
      <c r="B1761" s="4" t="inlineStr">
        <is>
          <t>Reducción bushing de HG 4" x 3"</t>
        </is>
      </c>
      <c r="C1761" s="7" t="inlineStr">
        <is>
          <t>unidad</t>
        </is>
      </c>
      <c r="D1761" s="8" t="n"/>
      <c r="E1761" s="8" t="n">
        <v>454</v>
      </c>
      <c r="F1761" s="8" t="n"/>
      <c r="G1761" s="8" t="n"/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>
        <f>IF(COUNT(D1761:V1761)=0,"",MIN(D1761:V1761))</f>
        <v/>
      </c>
      <c r="X1761" s="8">
        <f>IF(COUNT(D1761:V1761)=0,"",MEDIAN(D1761:V1761))</f>
        <v/>
      </c>
      <c r="Y1761" s="8">
        <f>IF(COUNT(D1761:V1761)=0,"",MAX(D1761:V1761))</f>
        <v/>
      </c>
      <c r="Z1761" s="9">
        <f>IF(OR(W1761="",W1761=0),"",(Y1761-W1761)/W1761)</f>
        <v/>
      </c>
      <c r="AA1761" s="7">
        <f>IF(COUNT(D1761:V1761)=0,"",INDEX($D$1:$V$1,MATCH(MIN(D1761:V1761),D1761:V1761,0)))</f>
        <v/>
      </c>
      <c r="AB1761" s="8" t="n">
        <v>454</v>
      </c>
      <c r="AC1761" s="10" t="n">
        <v>1</v>
      </c>
    </row>
    <row r="1762">
      <c r="A1762" s="7" t="inlineStr">
        <is>
          <t>MAT-32-410</t>
        </is>
      </c>
      <c r="B1762" s="4" t="inlineStr">
        <is>
          <t>Reducción bushing de PVC drenaje 2" x 1/2"</t>
        </is>
      </c>
      <c r="C1762" s="7" t="inlineStr">
        <is>
          <t>unidad</t>
        </is>
      </c>
      <c r="D1762" s="8" t="n"/>
      <c r="E1762" s="8" t="n"/>
      <c r="F1762" s="8" t="n"/>
      <c r="G1762" s="8" t="n">
        <v>64</v>
      </c>
      <c r="H1762" s="8" t="n"/>
      <c r="I1762" s="8" t="n"/>
      <c r="J1762" s="8" t="n"/>
      <c r="K1762" s="8" t="n"/>
      <c r="L1762" s="8" t="n"/>
      <c r="M1762" s="8" t="n"/>
      <c r="N1762" s="8" t="n"/>
      <c r="O1762" s="8" t="n">
        <v>12.26</v>
      </c>
      <c r="P1762" s="8" t="n"/>
      <c r="Q1762" s="8" t="n"/>
      <c r="R1762" s="8" t="n"/>
      <c r="S1762" s="8" t="n"/>
      <c r="T1762" s="8" t="n"/>
      <c r="U1762" s="8" t="n"/>
      <c r="V1762" s="8" t="n"/>
      <c r="W1762" s="8">
        <f>IF(COUNT(D1762:V1762)=0,"",MIN(D1762:V1762))</f>
        <v/>
      </c>
      <c r="X1762" s="8">
        <f>IF(COUNT(D1762:V1762)=0,"",MEDIAN(D1762:V1762))</f>
        <v/>
      </c>
      <c r="Y1762" s="8">
        <f>IF(COUNT(D1762:V1762)=0,"",MAX(D1762:V1762))</f>
        <v/>
      </c>
      <c r="Z1762" s="9">
        <f>IF(OR(W1762="",W1762=0),"",(Y1762-W1762)/W1762)</f>
        <v/>
      </c>
      <c r="AA1762" s="7">
        <f>IF(COUNT(D1762:V1762)=0,"",INDEX($D$1:$V$1,MATCH(MIN(D1762:V1762),D1762:V1762,0)))</f>
        <v/>
      </c>
      <c r="AB1762" s="8" t="n">
        <v>39.23</v>
      </c>
      <c r="AC1762" s="10" t="n">
        <v>2</v>
      </c>
    </row>
    <row r="1763">
      <c r="A1763" s="7" t="inlineStr">
        <is>
          <t>MAT-32-411</t>
        </is>
      </c>
      <c r="B1763" s="4" t="inlineStr">
        <is>
          <t>Reducción bushing de PVC drenaje 2" x 1"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 t="n">
        <v>14.24</v>
      </c>
      <c r="P1763" s="8" t="n"/>
      <c r="Q1763" s="8" t="n"/>
      <c r="R1763" s="8" t="n"/>
      <c r="S1763" s="8" t="n"/>
      <c r="T1763" s="8" t="n"/>
      <c r="U1763" s="8" t="n"/>
      <c r="V1763" s="8" t="n"/>
      <c r="W1763" s="8">
        <f>IF(COUNT(D1763:V1763)=0,"",MIN(D1763:V1763))</f>
        <v/>
      </c>
      <c r="X1763" s="8">
        <f>IF(COUNT(D1763:V1763)=0,"",MEDIAN(D1763:V1763))</f>
        <v/>
      </c>
      <c r="Y1763" s="8">
        <f>IF(COUNT(D1763:V1763)=0,"",MAX(D1763:V1763))</f>
        <v/>
      </c>
      <c r="Z1763" s="9">
        <f>IF(OR(W1763="",W1763=0),"",(Y1763-W1763)/W1763)</f>
        <v/>
      </c>
      <c r="AA1763" s="7">
        <f>IF(COUNT(D1763:V1763)=0,"",INDEX($D$1:$V$1,MATCH(MIN(D1763:V1763),D1763:V1763,0)))</f>
        <v/>
      </c>
      <c r="AB1763" s="8" t="n">
        <v>16.8</v>
      </c>
      <c r="AC1763" s="10" t="n">
        <v>1</v>
      </c>
    </row>
    <row r="1764">
      <c r="A1764" s="7" t="inlineStr">
        <is>
          <t>MAT-32-412</t>
        </is>
      </c>
      <c r="B1764" s="4" t="inlineStr">
        <is>
          <t>Reducción bushing de PVC drenaje 2" x 3/4"</t>
        </is>
      </c>
      <c r="C1764" s="7" t="inlineStr">
        <is>
          <t>unidad</t>
        </is>
      </c>
      <c r="D1764" s="8" t="n"/>
      <c r="E1764" s="8" t="n"/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 t="n">
        <v>13.83</v>
      </c>
      <c r="P1764" s="8" t="n"/>
      <c r="Q1764" s="8" t="n"/>
      <c r="R1764" s="8" t="n"/>
      <c r="S1764" s="8" t="n"/>
      <c r="T1764" s="8" t="n"/>
      <c r="U1764" s="8" t="n"/>
      <c r="V1764" s="8" t="n"/>
      <c r="W1764" s="8">
        <f>IF(COUNT(D1764:V1764)=0,"",MIN(D1764:V1764))</f>
        <v/>
      </c>
      <c r="X1764" s="8">
        <f>IF(COUNT(D1764:V1764)=0,"",MEDIAN(D1764:V1764))</f>
        <v/>
      </c>
      <c r="Y1764" s="8">
        <f>IF(COUNT(D1764:V1764)=0,"",MAX(D1764:V1764))</f>
        <v/>
      </c>
      <c r="Z1764" s="9">
        <f>IF(OR(W1764="",W1764=0),"",(Y1764-W1764)/W1764)</f>
        <v/>
      </c>
      <c r="AA1764" s="7">
        <f>IF(COUNT(D1764:V1764)=0,"",INDEX($D$1:$V$1,MATCH(MIN(D1764:V1764),D1764:V1764,0)))</f>
        <v/>
      </c>
      <c r="AB1764" s="8" t="n">
        <v>16.32</v>
      </c>
      <c r="AC1764" s="10" t="n">
        <v>1</v>
      </c>
    </row>
    <row r="1765">
      <c r="A1765" s="7" t="inlineStr">
        <is>
          <t>MAT-32-413</t>
        </is>
      </c>
      <c r="B1765" s="4" t="inlineStr">
        <is>
          <t>Reducción bushing de PVC drenaje 3" x 2"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 t="n">
        <v>33.21</v>
      </c>
      <c r="P1765" s="8" t="n"/>
      <c r="Q1765" s="8" t="n"/>
      <c r="R1765" s="8" t="n"/>
      <c r="S1765" s="8" t="n"/>
      <c r="T1765" s="8" t="n"/>
      <c r="U1765" s="8" t="n"/>
      <c r="V1765" s="8" t="n"/>
      <c r="W1765" s="8">
        <f>IF(COUNT(D1765:V1765)=0,"",MIN(D1765:V1765))</f>
        <v/>
      </c>
      <c r="X1765" s="8">
        <f>IF(COUNT(D1765:V1765)=0,"",MEDIAN(D1765:V1765))</f>
        <v/>
      </c>
      <c r="Y1765" s="8">
        <f>IF(COUNT(D1765:V1765)=0,"",MAX(D1765:V1765))</f>
        <v/>
      </c>
      <c r="Z1765" s="9">
        <f>IF(OR(W1765="",W1765=0),"",(Y1765-W1765)/W1765)</f>
        <v/>
      </c>
      <c r="AA1765" s="7">
        <f>IF(COUNT(D1765:V1765)=0,"",INDEX($D$1:$V$1,MATCH(MIN(D1765:V1765),D1765:V1765,0)))</f>
        <v/>
      </c>
      <c r="AB1765" s="8" t="n">
        <v>39.19</v>
      </c>
      <c r="AC1765" s="10" t="n">
        <v>1</v>
      </c>
    </row>
    <row r="1766">
      <c r="A1766" s="7" t="inlineStr">
        <is>
          <t>MAT-32-414</t>
        </is>
      </c>
      <c r="B1766" s="4" t="inlineStr">
        <is>
          <t>Reducción bushing de PVC drenaje 4" x 2"</t>
        </is>
      </c>
      <c r="C1766" s="7" t="inlineStr">
        <is>
          <t>unidad</t>
        </is>
      </c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>
        <v>64.3</v>
      </c>
      <c r="P1766" s="8" t="n"/>
      <c r="Q1766" s="8" t="n"/>
      <c r="R1766" s="8" t="n"/>
      <c r="S1766" s="8" t="n"/>
      <c r="T1766" s="8" t="n"/>
      <c r="U1766" s="8" t="n"/>
      <c r="V1766" s="8" t="n"/>
      <c r="W1766" s="8">
        <f>IF(COUNT(D1766:V1766)=0,"",MIN(D1766:V1766))</f>
        <v/>
      </c>
      <c r="X1766" s="8">
        <f>IF(COUNT(D1766:V1766)=0,"",MEDIAN(D1766:V1766))</f>
        <v/>
      </c>
      <c r="Y1766" s="8">
        <f>IF(COUNT(D1766:V1766)=0,"",MAX(D1766:V1766))</f>
        <v/>
      </c>
      <c r="Z1766" s="9">
        <f>IF(OR(W1766="",W1766=0),"",(Y1766-W1766)/W1766)</f>
        <v/>
      </c>
      <c r="AA1766" s="7">
        <f>IF(COUNT(D1766:V1766)=0,"",INDEX($D$1:$V$1,MATCH(MIN(D1766:V1766),D1766:V1766,0)))</f>
        <v/>
      </c>
      <c r="AB1766" s="8" t="n">
        <v>75.87</v>
      </c>
      <c r="AC1766" s="10" t="n">
        <v>1</v>
      </c>
    </row>
    <row r="1767">
      <c r="A1767" s="7" t="inlineStr">
        <is>
          <t>MAT-32-415</t>
        </is>
      </c>
      <c r="B1767" s="4" t="inlineStr">
        <is>
          <t>Reducción bushing de PVC drenaje 4" x 3"</t>
        </is>
      </c>
      <c r="C1767" s="7" t="inlineStr">
        <is>
          <t>unidad</t>
        </is>
      </c>
      <c r="D1767" s="8" t="n"/>
      <c r="E1767" s="8" t="n"/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 t="n">
        <v>63.9</v>
      </c>
      <c r="P1767" s="8" t="n"/>
      <c r="Q1767" s="8" t="n"/>
      <c r="R1767" s="8" t="n"/>
      <c r="S1767" s="8" t="n"/>
      <c r="T1767" s="8" t="n"/>
      <c r="U1767" s="8" t="n"/>
      <c r="V1767" s="8" t="n"/>
      <c r="W1767" s="8">
        <f>IF(COUNT(D1767:V1767)=0,"",MIN(D1767:V1767))</f>
        <v/>
      </c>
      <c r="X1767" s="8">
        <f>IF(COUNT(D1767:V1767)=0,"",MEDIAN(D1767:V1767))</f>
        <v/>
      </c>
      <c r="Y1767" s="8">
        <f>IF(COUNT(D1767:V1767)=0,"",MAX(D1767:V1767))</f>
        <v/>
      </c>
      <c r="Z1767" s="9">
        <f>IF(OR(W1767="",W1767=0),"",(Y1767-W1767)/W1767)</f>
        <v/>
      </c>
      <c r="AA1767" s="7">
        <f>IF(COUNT(D1767:V1767)=0,"",INDEX($D$1:$V$1,MATCH(MIN(D1767:V1767),D1767:V1767,0)))</f>
        <v/>
      </c>
      <c r="AB1767" s="8" t="n">
        <v>75.40000000000001</v>
      </c>
      <c r="AC1767" s="10" t="n">
        <v>1</v>
      </c>
    </row>
    <row r="1768">
      <c r="A1768" s="7" t="inlineStr">
        <is>
          <t>MAT-32-416</t>
        </is>
      </c>
      <c r="B1768" s="4" t="inlineStr">
        <is>
          <t>Reducción bushing de PVC drenaje 6" x 4"</t>
        </is>
      </c>
      <c r="C1768" s="7" t="inlineStr">
        <is>
          <t>unidad</t>
        </is>
      </c>
      <c r="D1768" s="8" t="n"/>
      <c r="E1768" s="8" t="n">
        <v>132</v>
      </c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 t="n">
        <v>237.3</v>
      </c>
      <c r="P1768" s="8" t="n"/>
      <c r="Q1768" s="8" t="n"/>
      <c r="R1768" s="8" t="n"/>
      <c r="S1768" s="8" t="n"/>
      <c r="T1768" s="8" t="n"/>
      <c r="U1768" s="8" t="n"/>
      <c r="V1768" s="8" t="n"/>
      <c r="W1768" s="8">
        <f>IF(COUNT(D1768:V1768)=0,"",MIN(D1768:V1768))</f>
        <v/>
      </c>
      <c r="X1768" s="8">
        <f>IF(COUNT(D1768:V1768)=0,"",MEDIAN(D1768:V1768))</f>
        <v/>
      </c>
      <c r="Y1768" s="8">
        <f>IF(COUNT(D1768:V1768)=0,"",MAX(D1768:V1768))</f>
        <v/>
      </c>
      <c r="Z1768" s="9">
        <f>IF(OR(W1768="",W1768=0),"",(Y1768-W1768)/W1768)</f>
        <v/>
      </c>
      <c r="AA1768" s="7">
        <f>IF(COUNT(D1768:V1768)=0,"",INDEX($D$1:$V$1,MATCH(MIN(D1768:V1768),D1768:V1768,0)))</f>
        <v/>
      </c>
      <c r="AB1768" s="8" t="n">
        <v>280.01</v>
      </c>
      <c r="AC1768" s="10" t="n">
        <v>2</v>
      </c>
    </row>
    <row r="1769">
      <c r="A1769" s="7" t="inlineStr">
        <is>
          <t>MAT-32-417</t>
        </is>
      </c>
      <c r="B1769" s="4" t="inlineStr">
        <is>
          <t>Reducción bushing de PVC drenaje 8" x 4"</t>
        </is>
      </c>
      <c r="C1769" s="7" t="inlineStr">
        <is>
          <t>unidad</t>
        </is>
      </c>
      <c r="D1769" s="8" t="n"/>
      <c r="E1769" s="8" t="n"/>
      <c r="F1769" s="8" t="n"/>
      <c r="G1769" s="8" t="n"/>
      <c r="H1769" s="8" t="n"/>
      <c r="I1769" s="8" t="n"/>
      <c r="J1769" s="8" t="n"/>
      <c r="K1769" s="8" t="n"/>
      <c r="L1769" s="8" t="n"/>
      <c r="M1769" s="8" t="n"/>
      <c r="N1769" s="8" t="n"/>
      <c r="O1769" s="8" t="n">
        <v>2126.7</v>
      </c>
      <c r="P1769" s="8" t="n"/>
      <c r="Q1769" s="8" t="n"/>
      <c r="R1769" s="8" t="n"/>
      <c r="S1769" s="8" t="n"/>
      <c r="T1769" s="8" t="n"/>
      <c r="U1769" s="8" t="n"/>
      <c r="V1769" s="8" t="n"/>
      <c r="W1769" s="8">
        <f>IF(COUNT(D1769:V1769)=0,"",MIN(D1769:V1769))</f>
        <v/>
      </c>
      <c r="X1769" s="8">
        <f>IF(COUNT(D1769:V1769)=0,"",MEDIAN(D1769:V1769))</f>
        <v/>
      </c>
      <c r="Y1769" s="8">
        <f>IF(COUNT(D1769:V1769)=0,"",MAX(D1769:V1769))</f>
        <v/>
      </c>
      <c r="Z1769" s="9">
        <f>IF(OR(W1769="",W1769=0),"",(Y1769-W1769)/W1769)</f>
        <v/>
      </c>
      <c r="AA1769" s="7">
        <f>IF(COUNT(D1769:V1769)=0,"",INDEX($D$1:$V$1,MATCH(MIN(D1769:V1769),D1769:V1769,0)))</f>
        <v/>
      </c>
      <c r="AB1769" s="8" t="n">
        <v>2509.51</v>
      </c>
      <c r="AC1769" s="10" t="n">
        <v>1</v>
      </c>
    </row>
    <row r="1770">
      <c r="A1770" s="7" t="inlineStr">
        <is>
          <t>MAT-32-418</t>
        </is>
      </c>
      <c r="B1770" s="4" t="inlineStr">
        <is>
          <t>Reducción bushing de PVC drenaje 8" x 6"</t>
        </is>
      </c>
      <c r="C1770" s="7" t="inlineStr">
        <is>
          <t>unidad</t>
        </is>
      </c>
      <c r="D1770" s="8" t="n"/>
      <c r="E1770" s="8" t="n"/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 t="n">
        <v>1626</v>
      </c>
      <c r="P1770" s="8" t="n"/>
      <c r="Q1770" s="8" t="n"/>
      <c r="R1770" s="8" t="n"/>
      <c r="S1770" s="8" t="n"/>
      <c r="T1770" s="8" t="n"/>
      <c r="U1770" s="8" t="n"/>
      <c r="V1770" s="8" t="n"/>
      <c r="W1770" s="8">
        <f>IF(COUNT(D1770:V1770)=0,"",MIN(D1770:V1770))</f>
        <v/>
      </c>
      <c r="X1770" s="8">
        <f>IF(COUNT(D1770:V1770)=0,"",MEDIAN(D1770:V1770))</f>
        <v/>
      </c>
      <c r="Y1770" s="8">
        <f>IF(COUNT(D1770:V1770)=0,"",MAX(D1770:V1770))</f>
        <v/>
      </c>
      <c r="Z1770" s="9">
        <f>IF(OR(W1770="",W1770=0),"",(Y1770-W1770)/W1770)</f>
        <v/>
      </c>
      <c r="AA1770" s="7">
        <f>IF(COUNT(D1770:V1770)=0,"",INDEX($D$1:$V$1,MATCH(MIN(D1770:V1770),D1770:V1770,0)))</f>
        <v/>
      </c>
      <c r="AB1770" s="8" t="n">
        <v>1918.68</v>
      </c>
      <c r="AC1770" s="10" t="n">
        <v>1</v>
      </c>
    </row>
    <row r="1771">
      <c r="A1771" s="7" t="inlineStr">
        <is>
          <t>MAT-32-419</t>
        </is>
      </c>
      <c r="B1771" s="4" t="inlineStr">
        <is>
          <t>Reducción bushing de PVC 1 1/2" x 1"</t>
        </is>
      </c>
      <c r="C1771" s="7" t="inlineStr">
        <is>
          <t>unidad</t>
        </is>
      </c>
      <c r="D1771" s="8" t="n"/>
      <c r="E1771" s="8" t="n"/>
      <c r="F1771" s="8" t="n"/>
      <c r="G1771" s="8" t="n">
        <v>87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>
        <f>IF(COUNT(D1771:V1771)=0,"",MIN(D1771:V1771))</f>
        <v/>
      </c>
      <c r="X1771" s="8">
        <f>IF(COUNT(D1771:V1771)=0,"",MEDIAN(D1771:V1771))</f>
        <v/>
      </c>
      <c r="Y1771" s="8">
        <f>IF(COUNT(D1771:V1771)=0,"",MAX(D1771:V1771))</f>
        <v/>
      </c>
      <c r="Z1771" s="9">
        <f>IF(OR(W1771="",W1771=0),"",(Y1771-W1771)/W1771)</f>
        <v/>
      </c>
      <c r="AA1771" s="7">
        <f>IF(COUNT(D1771:V1771)=0,"",INDEX($D$1:$V$1,MATCH(MIN(D1771:V1771),D1771:V1771,0)))</f>
        <v/>
      </c>
      <c r="AB1771" s="8" t="n">
        <v>87</v>
      </c>
      <c r="AC1771" s="10" t="n">
        <v>1</v>
      </c>
    </row>
    <row r="1772">
      <c r="A1772" s="7" t="inlineStr">
        <is>
          <t>MAT-32-420</t>
        </is>
      </c>
      <c r="B1772" s="4" t="inlineStr">
        <is>
          <t>Reducción bushing de PVC 1 1/2" x 3/4"</t>
        </is>
      </c>
      <c r="C1772" s="7" t="inlineStr">
        <is>
          <t>unidad</t>
        </is>
      </c>
      <c r="D1772" s="8" t="n"/>
      <c r="E1772" s="8" t="n">
        <v>30</v>
      </c>
      <c r="F1772" s="8" t="n"/>
      <c r="G1772" s="8" t="n">
        <v>85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>
        <f>IF(COUNT(D1772:V1772)=0,"",MIN(D1772:V1772))</f>
        <v/>
      </c>
      <c r="X1772" s="8">
        <f>IF(COUNT(D1772:V1772)=0,"",MEDIAN(D1772:V1772))</f>
        <v/>
      </c>
      <c r="Y1772" s="8">
        <f>IF(COUNT(D1772:V1772)=0,"",MAX(D1772:V1772))</f>
        <v/>
      </c>
      <c r="Z1772" s="9">
        <f>IF(OR(W1772="",W1772=0),"",(Y1772-W1772)/W1772)</f>
        <v/>
      </c>
      <c r="AA1772" s="7">
        <f>IF(COUNT(D1772:V1772)=0,"",INDEX($D$1:$V$1,MATCH(MIN(D1772:V1772),D1772:V1772,0)))</f>
        <v/>
      </c>
      <c r="AB1772" s="8" t="n">
        <v>57.5</v>
      </c>
      <c r="AC1772" s="10" t="n">
        <v>2</v>
      </c>
    </row>
    <row r="1773">
      <c r="A1773" s="7" t="inlineStr">
        <is>
          <t>MAT-32-421</t>
        </is>
      </c>
      <c r="B1773" s="4" t="inlineStr">
        <is>
          <t>Reducción bushing de PVC 1" x 1/2"</t>
        </is>
      </c>
      <c r="C1773" s="7" t="inlineStr">
        <is>
          <t>unidad</t>
        </is>
      </c>
      <c r="D1773" s="8" t="n"/>
      <c r="E1773" s="8" t="n"/>
      <c r="F1773" s="8" t="n"/>
      <c r="G1773" s="8" t="n">
        <v>35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>
        <f>IF(COUNT(D1773:V1773)=0,"",MIN(D1773:V1773))</f>
        <v/>
      </c>
      <c r="X1773" s="8">
        <f>IF(COUNT(D1773:V1773)=0,"",MEDIAN(D1773:V1773))</f>
        <v/>
      </c>
      <c r="Y1773" s="8">
        <f>IF(COUNT(D1773:V1773)=0,"",MAX(D1773:V1773))</f>
        <v/>
      </c>
      <c r="Z1773" s="9">
        <f>IF(OR(W1773="",W1773=0),"",(Y1773-W1773)/W1773)</f>
        <v/>
      </c>
      <c r="AA1773" s="7">
        <f>IF(COUNT(D1773:V1773)=0,"",INDEX($D$1:$V$1,MATCH(MIN(D1773:V1773),D1773:V1773,0)))</f>
        <v/>
      </c>
      <c r="AB1773" s="8" t="n">
        <v>35</v>
      </c>
      <c r="AC1773" s="10" t="n">
        <v>1</v>
      </c>
    </row>
    <row r="1774">
      <c r="A1774" s="7" t="inlineStr">
        <is>
          <t>MAT-32-422</t>
        </is>
      </c>
      <c r="B1774" s="4" t="inlineStr">
        <is>
          <t>Reducción bushing de PVC 1" x 3/4"</t>
        </is>
      </c>
      <c r="C1774" s="7" t="inlineStr">
        <is>
          <t>unidad</t>
        </is>
      </c>
      <c r="D1774" s="8" t="n"/>
      <c r="E1774" s="8" t="n">
        <v>12.88</v>
      </c>
      <c r="F1774" s="8" t="n"/>
      <c r="G1774" s="8" t="n">
        <v>26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>
        <f>IF(COUNT(D1774:V1774)=0,"",MIN(D1774:V1774))</f>
        <v/>
      </c>
      <c r="X1774" s="8">
        <f>IF(COUNT(D1774:V1774)=0,"",MEDIAN(D1774:V1774))</f>
        <v/>
      </c>
      <c r="Y1774" s="8">
        <f>IF(COUNT(D1774:V1774)=0,"",MAX(D1774:V1774))</f>
        <v/>
      </c>
      <c r="Z1774" s="9">
        <f>IF(OR(W1774="",W1774=0),"",(Y1774-W1774)/W1774)</f>
        <v/>
      </c>
      <c r="AA1774" s="7">
        <f>IF(COUNT(D1774:V1774)=0,"",INDEX($D$1:$V$1,MATCH(MIN(D1774:V1774),D1774:V1774,0)))</f>
        <v/>
      </c>
      <c r="AB1774" s="8" t="n">
        <v>19.44</v>
      </c>
      <c r="AC1774" s="10" t="n">
        <v>2</v>
      </c>
    </row>
    <row r="1775">
      <c r="A1775" s="7" t="inlineStr">
        <is>
          <t>MAT-32-423</t>
        </is>
      </c>
      <c r="B1775" s="4" t="inlineStr">
        <is>
          <t>Reducción bushing de PVC 2" x 1 1/2"</t>
        </is>
      </c>
      <c r="C1775" s="7" t="inlineStr">
        <is>
          <t>unidad</t>
        </is>
      </c>
      <c r="D1775" s="8" t="n"/>
      <c r="E1775" s="8" t="n">
        <v>53</v>
      </c>
      <c r="F1775" s="8" t="n"/>
      <c r="G1775" s="8" t="n">
        <v>65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>
        <f>IF(COUNT(D1775:V1775)=0,"",MIN(D1775:V1775))</f>
        <v/>
      </c>
      <c r="X1775" s="8">
        <f>IF(COUNT(D1775:V1775)=0,"",MEDIAN(D1775:V1775))</f>
        <v/>
      </c>
      <c r="Y1775" s="8">
        <f>IF(COUNT(D1775:V1775)=0,"",MAX(D1775:V1775))</f>
        <v/>
      </c>
      <c r="Z1775" s="9">
        <f>IF(OR(W1775="",W1775=0),"",(Y1775-W1775)/W1775)</f>
        <v/>
      </c>
      <c r="AA1775" s="7">
        <f>IF(COUNT(D1775:V1775)=0,"",INDEX($D$1:$V$1,MATCH(MIN(D1775:V1775),D1775:V1775,0)))</f>
        <v/>
      </c>
      <c r="AB1775" s="8" t="n">
        <v>59</v>
      </c>
      <c r="AC1775" s="10" t="n">
        <v>2</v>
      </c>
    </row>
    <row r="1776">
      <c r="A1776" s="7" t="inlineStr">
        <is>
          <t>MAT-32-424</t>
        </is>
      </c>
      <c r="B1776" s="4" t="inlineStr">
        <is>
          <t>Reducción bushing de PVC 2" x 1"</t>
        </is>
      </c>
      <c r="C1776" s="7" t="inlineStr">
        <is>
          <t>unidad</t>
        </is>
      </c>
      <c r="D1776" s="8" t="n"/>
      <c r="E1776" s="8" t="n"/>
      <c r="F1776" s="8" t="n"/>
      <c r="G1776" s="8" t="n">
        <v>64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>
        <f>IF(COUNT(D1776:V1776)=0,"",MIN(D1776:V1776))</f>
        <v/>
      </c>
      <c r="X1776" s="8">
        <f>IF(COUNT(D1776:V1776)=0,"",MEDIAN(D1776:V1776))</f>
        <v/>
      </c>
      <c r="Y1776" s="8">
        <f>IF(COUNT(D1776:V1776)=0,"",MAX(D1776:V1776))</f>
        <v/>
      </c>
      <c r="Z1776" s="9">
        <f>IF(OR(W1776="",W1776=0),"",(Y1776-W1776)/W1776)</f>
        <v/>
      </c>
      <c r="AA1776" s="7">
        <f>IF(COUNT(D1776:V1776)=0,"",INDEX($D$1:$V$1,MATCH(MIN(D1776:V1776),D1776:V1776,0)))</f>
        <v/>
      </c>
      <c r="AB1776" s="8" t="n">
        <v>64</v>
      </c>
      <c r="AC1776" s="10" t="n">
        <v>1</v>
      </c>
    </row>
    <row r="1777">
      <c r="A1777" s="7" t="inlineStr">
        <is>
          <t>MAT-32-425</t>
        </is>
      </c>
      <c r="B1777" s="4" t="inlineStr">
        <is>
          <t>Reducción bushing de PVC 2" x 3/4"</t>
        </is>
      </c>
      <c r="C1777" s="7" t="inlineStr">
        <is>
          <t>unidad</t>
        </is>
      </c>
      <c r="D1777" s="8" t="n"/>
      <c r="E1777" s="8" t="n"/>
      <c r="F1777" s="8" t="n"/>
      <c r="G1777" s="8" t="n">
        <v>41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>
        <f>IF(COUNT(D1777:V1777)=0,"",MIN(D1777:V1777))</f>
        <v/>
      </c>
      <c r="X1777" s="8">
        <f>IF(COUNT(D1777:V1777)=0,"",MEDIAN(D1777:V1777))</f>
        <v/>
      </c>
      <c r="Y1777" s="8">
        <f>IF(COUNT(D1777:V1777)=0,"",MAX(D1777:V1777))</f>
        <v/>
      </c>
      <c r="Z1777" s="9">
        <f>IF(OR(W1777="",W1777=0),"",(Y1777-W1777)/W1777)</f>
        <v/>
      </c>
      <c r="AA1777" s="7">
        <f>IF(COUNT(D1777:V1777)=0,"",INDEX($D$1:$V$1,MATCH(MIN(D1777:V1777),D1777:V1777,0)))</f>
        <v/>
      </c>
      <c r="AB1777" s="8" t="n">
        <v>41</v>
      </c>
      <c r="AC1777" s="10" t="n">
        <v>1</v>
      </c>
    </row>
    <row r="1778">
      <c r="A1778" s="7" t="inlineStr">
        <is>
          <t>MAT-32-426</t>
        </is>
      </c>
      <c r="B1778" s="4" t="inlineStr">
        <is>
          <t>Reducción bushing de PVC 3/4" x 1/2"</t>
        </is>
      </c>
      <c r="C1778" s="7" t="inlineStr">
        <is>
          <t>unidad</t>
        </is>
      </c>
      <c r="D1778" s="8" t="n"/>
      <c r="E1778" s="8" t="n"/>
      <c r="F1778" s="8" t="n"/>
      <c r="G1778" s="8" t="n">
        <v>20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>
        <f>IF(COUNT(D1778:V1778)=0,"",MIN(D1778:V1778))</f>
        <v/>
      </c>
      <c r="X1778" s="8">
        <f>IF(COUNT(D1778:V1778)=0,"",MEDIAN(D1778:V1778))</f>
        <v/>
      </c>
      <c r="Y1778" s="8">
        <f>IF(COUNT(D1778:V1778)=0,"",MAX(D1778:V1778))</f>
        <v/>
      </c>
      <c r="Z1778" s="9">
        <f>IF(OR(W1778="",W1778=0),"",(Y1778-W1778)/W1778)</f>
        <v/>
      </c>
      <c r="AA1778" s="7">
        <f>IF(COUNT(D1778:V1778)=0,"",INDEX($D$1:$V$1,MATCH(MIN(D1778:V1778),D1778:V1778,0)))</f>
        <v/>
      </c>
      <c r="AB1778" s="8" t="n">
        <v>20</v>
      </c>
      <c r="AC1778" s="10" t="n">
        <v>1</v>
      </c>
    </row>
    <row r="1779">
      <c r="A1779" s="7" t="inlineStr">
        <is>
          <t>MAT-32-427</t>
        </is>
      </c>
      <c r="B1779" s="4" t="inlineStr">
        <is>
          <t>Reducción bushing de PVC 3" x 2"</t>
        </is>
      </c>
      <c r="C1779" s="7" t="inlineStr">
        <is>
          <t>unidad</t>
        </is>
      </c>
      <c r="D1779" s="8" t="n"/>
      <c r="E1779" s="8" t="n"/>
      <c r="F1779" s="8" t="n"/>
      <c r="G1779" s="8" t="n">
        <v>210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>
        <f>IF(COUNT(D1779:V1779)=0,"",MIN(D1779:V1779))</f>
        <v/>
      </c>
      <c r="X1779" s="8">
        <f>IF(COUNT(D1779:V1779)=0,"",MEDIAN(D1779:V1779))</f>
        <v/>
      </c>
      <c r="Y1779" s="8">
        <f>IF(COUNT(D1779:V1779)=0,"",MAX(D1779:V1779))</f>
        <v/>
      </c>
      <c r="Z1779" s="9">
        <f>IF(OR(W1779="",W1779=0),"",(Y1779-W1779)/W1779)</f>
        <v/>
      </c>
      <c r="AA1779" s="7">
        <f>IF(COUNT(D1779:V1779)=0,"",INDEX($D$1:$V$1,MATCH(MIN(D1779:V1779),D1779:V1779,0)))</f>
        <v/>
      </c>
      <c r="AB1779" s="8" t="n">
        <v>210</v>
      </c>
      <c r="AC1779" s="10" t="n">
        <v>1</v>
      </c>
    </row>
    <row r="1780">
      <c r="A1780" s="7" t="inlineStr">
        <is>
          <t>MAT-32-428</t>
        </is>
      </c>
      <c r="B1780" s="4" t="inlineStr">
        <is>
          <t>Reducción bushing de PVC 4" x 2"</t>
        </is>
      </c>
      <c r="C1780" s="7" t="inlineStr">
        <is>
          <t>unidad</t>
        </is>
      </c>
      <c r="D1780" s="8" t="n"/>
      <c r="E1780" s="8" t="n"/>
      <c r="F1780" s="8" t="n"/>
      <c r="G1780" s="8" t="n">
        <v>175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>
        <f>IF(COUNT(D1780:V1780)=0,"",MIN(D1780:V1780))</f>
        <v/>
      </c>
      <c r="X1780" s="8">
        <f>IF(COUNT(D1780:V1780)=0,"",MEDIAN(D1780:V1780))</f>
        <v/>
      </c>
      <c r="Y1780" s="8">
        <f>IF(COUNT(D1780:V1780)=0,"",MAX(D1780:V1780))</f>
        <v/>
      </c>
      <c r="Z1780" s="9">
        <f>IF(OR(W1780="",W1780=0),"",(Y1780-W1780)/W1780)</f>
        <v/>
      </c>
      <c r="AA1780" s="7">
        <f>IF(COUNT(D1780:V1780)=0,"",INDEX($D$1:$V$1,MATCH(MIN(D1780:V1780),D1780:V1780,0)))</f>
        <v/>
      </c>
      <c r="AB1780" s="8" t="n">
        <v>175</v>
      </c>
      <c r="AC1780" s="10" t="n">
        <v>1</v>
      </c>
    </row>
    <row r="1781">
      <c r="A1781" s="7" t="inlineStr">
        <is>
          <t>MAT-32-429</t>
        </is>
      </c>
      <c r="B1781" s="4" t="inlineStr">
        <is>
          <t>Reducción bushing de PVC 4" x 3"</t>
        </is>
      </c>
      <c r="C1781" s="7" t="inlineStr">
        <is>
          <t>unidad</t>
        </is>
      </c>
      <c r="D1781" s="8" t="n"/>
      <c r="E1781" s="8" t="n"/>
      <c r="F1781" s="8" t="n"/>
      <c r="G1781" s="8" t="n">
        <v>195</v>
      </c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>
        <f>IF(COUNT(D1781:V1781)=0,"",MIN(D1781:V1781))</f>
        <v/>
      </c>
      <c r="X1781" s="8">
        <f>IF(COUNT(D1781:V1781)=0,"",MEDIAN(D1781:V1781))</f>
        <v/>
      </c>
      <c r="Y1781" s="8">
        <f>IF(COUNT(D1781:V1781)=0,"",MAX(D1781:V1781))</f>
        <v/>
      </c>
      <c r="Z1781" s="9">
        <f>IF(OR(W1781="",W1781=0),"",(Y1781-W1781)/W1781)</f>
        <v/>
      </c>
      <c r="AA1781" s="7">
        <f>IF(COUNT(D1781:V1781)=0,"",INDEX($D$1:$V$1,MATCH(MIN(D1781:V1781),D1781:V1781,0)))</f>
        <v/>
      </c>
      <c r="AB1781" s="8" t="n">
        <v>195</v>
      </c>
      <c r="AC1781" s="10" t="n">
        <v>1</v>
      </c>
    </row>
    <row r="1782">
      <c r="A1782" s="7" t="inlineStr">
        <is>
          <t>MAT-32-430</t>
        </is>
      </c>
      <c r="B1782" s="4" t="inlineStr">
        <is>
          <t>Reducción bushing de PVC 6" x 3"</t>
        </is>
      </c>
      <c r="C1782" s="7" t="inlineStr">
        <is>
          <t>unidad</t>
        </is>
      </c>
      <c r="D1782" s="8" t="n"/>
      <c r="E1782" s="8" t="n">
        <v>1430</v>
      </c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>
        <f>IF(COUNT(D1782:V1782)=0,"",MIN(D1782:V1782))</f>
        <v/>
      </c>
      <c r="X1782" s="8">
        <f>IF(COUNT(D1782:V1782)=0,"",MEDIAN(D1782:V1782))</f>
        <v/>
      </c>
      <c r="Y1782" s="8">
        <f>IF(COUNT(D1782:V1782)=0,"",MAX(D1782:V1782))</f>
        <v/>
      </c>
      <c r="Z1782" s="9">
        <f>IF(OR(W1782="",W1782=0),"",(Y1782-W1782)/W1782)</f>
        <v/>
      </c>
      <c r="AA1782" s="7">
        <f>IF(COUNT(D1782:V1782)=0,"",INDEX($D$1:$V$1,MATCH(MIN(D1782:V1782),D1782:V1782,0)))</f>
        <v/>
      </c>
      <c r="AB1782" s="8" t="n">
        <v>1430</v>
      </c>
      <c r="AC1782" s="10" t="n">
        <v>1</v>
      </c>
    </row>
    <row r="1783">
      <c r="A1783" s="7" t="inlineStr">
        <is>
          <t>MAT-32-431</t>
        </is>
      </c>
      <c r="B1783" s="4" t="inlineStr">
        <is>
          <t>Reducción bushing de PVC 6" x 4"</t>
        </is>
      </c>
      <c r="C1783" s="7" t="inlineStr">
        <is>
          <t>unidad</t>
        </is>
      </c>
      <c r="D1783" s="8" t="n"/>
      <c r="E1783" s="8" t="n"/>
      <c r="F1783" s="8" t="n"/>
      <c r="G1783" s="8" t="n">
        <v>702</v>
      </c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>
        <f>IF(COUNT(D1783:V1783)=0,"",MIN(D1783:V1783))</f>
        <v/>
      </c>
      <c r="X1783" s="8">
        <f>IF(COUNT(D1783:V1783)=0,"",MEDIAN(D1783:V1783))</f>
        <v/>
      </c>
      <c r="Y1783" s="8">
        <f>IF(COUNT(D1783:V1783)=0,"",MAX(D1783:V1783))</f>
        <v/>
      </c>
      <c r="Z1783" s="9">
        <f>IF(OR(W1783="",W1783=0),"",(Y1783-W1783)/W1783)</f>
        <v/>
      </c>
      <c r="AA1783" s="7">
        <f>IF(COUNT(D1783:V1783)=0,"",INDEX($D$1:$V$1,MATCH(MIN(D1783:V1783),D1783:V1783,0)))</f>
        <v/>
      </c>
      <c r="AB1783" s="8" t="n">
        <v>702</v>
      </c>
      <c r="AC1783" s="10" t="n">
        <v>1</v>
      </c>
    </row>
    <row r="1784">
      <c r="A1784" s="7" t="inlineStr">
        <is>
          <t>MAT-32-432</t>
        </is>
      </c>
      <c r="B1784" s="4" t="inlineStr">
        <is>
          <t>Reducción bushing de PVC presión 1 1/2" x 1/2"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>
        <v>22.75</v>
      </c>
      <c r="P1784" s="8" t="n"/>
      <c r="Q1784" s="8" t="n"/>
      <c r="R1784" s="8" t="n"/>
      <c r="S1784" s="8" t="n"/>
      <c r="T1784" s="8" t="n"/>
      <c r="U1784" s="8" t="n"/>
      <c r="V1784" s="8" t="n"/>
      <c r="W1784" s="8">
        <f>IF(COUNT(D1784:V1784)=0,"",MIN(D1784:V1784))</f>
        <v/>
      </c>
      <c r="X1784" s="8">
        <f>IF(COUNT(D1784:V1784)=0,"",MEDIAN(D1784:V1784))</f>
        <v/>
      </c>
      <c r="Y1784" s="8">
        <f>IF(COUNT(D1784:V1784)=0,"",MAX(D1784:V1784))</f>
        <v/>
      </c>
      <c r="Z1784" s="9">
        <f>IF(OR(W1784="",W1784=0),"",(Y1784-W1784)/W1784)</f>
        <v/>
      </c>
      <c r="AA1784" s="7">
        <f>IF(COUNT(D1784:V1784)=0,"",INDEX($D$1:$V$1,MATCH(MIN(D1784:V1784),D1784:V1784,0)))</f>
        <v/>
      </c>
      <c r="AB1784" s="8" t="n">
        <v>26.85</v>
      </c>
      <c r="AC1784" s="10" t="n">
        <v>1</v>
      </c>
    </row>
    <row r="1785">
      <c r="A1785" s="7" t="inlineStr">
        <is>
          <t>MAT-32-433</t>
        </is>
      </c>
      <c r="B1785" s="4" t="inlineStr">
        <is>
          <t>Reducción bushing de PVC presión 1 1/2" x 1"</t>
        </is>
      </c>
      <c r="C1785" s="7" t="inlineStr">
        <is>
          <t>unidad</t>
        </is>
      </c>
      <c r="D1785" s="8" t="n"/>
      <c r="E1785" s="8" t="n"/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>
        <v>22.38</v>
      </c>
      <c r="P1785" s="8" t="n"/>
      <c r="Q1785" s="8" t="n"/>
      <c r="R1785" s="8" t="n"/>
      <c r="S1785" s="8" t="n"/>
      <c r="T1785" s="8" t="n"/>
      <c r="U1785" s="8" t="n"/>
      <c r="V1785" s="8" t="n"/>
      <c r="W1785" s="8">
        <f>IF(COUNT(D1785:V1785)=0,"",MIN(D1785:V1785))</f>
        <v/>
      </c>
      <c r="X1785" s="8">
        <f>IF(COUNT(D1785:V1785)=0,"",MEDIAN(D1785:V1785))</f>
        <v/>
      </c>
      <c r="Y1785" s="8">
        <f>IF(COUNT(D1785:V1785)=0,"",MAX(D1785:V1785))</f>
        <v/>
      </c>
      <c r="Z1785" s="9">
        <f>IF(OR(W1785="",W1785=0),"",(Y1785-W1785)/W1785)</f>
        <v/>
      </c>
      <c r="AA1785" s="7">
        <f>IF(COUNT(D1785:V1785)=0,"",INDEX($D$1:$V$1,MATCH(MIN(D1785:V1785),D1785:V1785,0)))</f>
        <v/>
      </c>
      <c r="AB1785" s="8" t="n">
        <v>26.41</v>
      </c>
      <c r="AC1785" s="10" t="n">
        <v>1</v>
      </c>
    </row>
    <row r="1786">
      <c r="A1786" s="7" t="inlineStr">
        <is>
          <t>MAT-32-434</t>
        </is>
      </c>
      <c r="B1786" s="4" t="inlineStr">
        <is>
          <t>Reducción bushing de PVC presión 1 1/2" x 3/4"</t>
        </is>
      </c>
      <c r="C1786" s="7" t="inlineStr">
        <is>
          <t>unidad</t>
        </is>
      </c>
      <c r="D1786" s="8" t="n"/>
      <c r="E1786" s="8" t="n">
        <v>10.48</v>
      </c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>
        <v>18.1</v>
      </c>
      <c r="P1786" s="8" t="n"/>
      <c r="Q1786" s="8" t="n"/>
      <c r="R1786" s="8" t="n"/>
      <c r="S1786" s="8" t="n"/>
      <c r="T1786" s="8" t="n"/>
      <c r="U1786" s="8" t="n"/>
      <c r="V1786" s="8" t="n"/>
      <c r="W1786" s="8">
        <f>IF(COUNT(D1786:V1786)=0,"",MIN(D1786:V1786))</f>
        <v/>
      </c>
      <c r="X1786" s="8">
        <f>IF(COUNT(D1786:V1786)=0,"",MEDIAN(D1786:V1786))</f>
        <v/>
      </c>
      <c r="Y1786" s="8">
        <f>IF(COUNT(D1786:V1786)=0,"",MAX(D1786:V1786))</f>
        <v/>
      </c>
      <c r="Z1786" s="9">
        <f>IF(OR(W1786="",W1786=0),"",(Y1786-W1786)/W1786)</f>
        <v/>
      </c>
      <c r="AA1786" s="7">
        <f>IF(COUNT(D1786:V1786)=0,"",INDEX($D$1:$V$1,MATCH(MIN(D1786:V1786),D1786:V1786,0)))</f>
        <v/>
      </c>
      <c r="AB1786" s="8" t="n">
        <v>21.36</v>
      </c>
      <c r="AC1786" s="10" t="n">
        <v>2</v>
      </c>
    </row>
    <row r="1787">
      <c r="A1787" s="7" t="inlineStr">
        <is>
          <t>MAT-32-435</t>
        </is>
      </c>
      <c r="B1787" s="4" t="inlineStr">
        <is>
          <t>Reducción bushing de PVC presión 12" x 8"</t>
        </is>
      </c>
      <c r="C1787" s="7" t="inlineStr">
        <is>
          <t>unidad</t>
        </is>
      </c>
      <c r="D1787" s="8" t="n"/>
      <c r="E1787" s="8" t="n">
        <v>15891.21</v>
      </c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 t="n"/>
      <c r="W1787" s="8">
        <f>IF(COUNT(D1787:V1787)=0,"",MIN(D1787:V1787))</f>
        <v/>
      </c>
      <c r="X1787" s="8">
        <f>IF(COUNT(D1787:V1787)=0,"",MEDIAN(D1787:V1787))</f>
        <v/>
      </c>
      <c r="Y1787" s="8">
        <f>IF(COUNT(D1787:V1787)=0,"",MAX(D1787:V1787))</f>
        <v/>
      </c>
      <c r="Z1787" s="9">
        <f>IF(OR(W1787="",W1787=0),"",(Y1787-W1787)/W1787)</f>
        <v/>
      </c>
      <c r="AA1787" s="7">
        <f>IF(COUNT(D1787:V1787)=0,"",INDEX($D$1:$V$1,MATCH(MIN(D1787:V1787),D1787:V1787,0)))</f>
        <v/>
      </c>
      <c r="AB1787" s="8" t="n">
        <v>15891.21</v>
      </c>
      <c r="AC1787" s="10" t="n">
        <v>1</v>
      </c>
    </row>
    <row r="1788">
      <c r="A1788" s="7" t="inlineStr">
        <is>
          <t>MAT-32-436</t>
        </is>
      </c>
      <c r="B1788" s="4" t="inlineStr">
        <is>
          <t>Reducción bushing de PVC presión 1" x 1/2"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>
        <v>8.949999999999999</v>
      </c>
      <c r="P1788" s="8" t="n"/>
      <c r="Q1788" s="8" t="n"/>
      <c r="R1788" s="8" t="n"/>
      <c r="S1788" s="8" t="n"/>
      <c r="T1788" s="8" t="n"/>
      <c r="U1788" s="8" t="n"/>
      <c r="V1788" s="8" t="n"/>
      <c r="W1788" s="8">
        <f>IF(COUNT(D1788:V1788)=0,"",MIN(D1788:V1788))</f>
        <v/>
      </c>
      <c r="X1788" s="8">
        <f>IF(COUNT(D1788:V1788)=0,"",MEDIAN(D1788:V1788))</f>
        <v/>
      </c>
      <c r="Y1788" s="8">
        <f>IF(COUNT(D1788:V1788)=0,"",MAX(D1788:V1788))</f>
        <v/>
      </c>
      <c r="Z1788" s="9">
        <f>IF(OR(W1788="",W1788=0),"",(Y1788-W1788)/W1788)</f>
        <v/>
      </c>
      <c r="AA1788" s="7">
        <f>IF(COUNT(D1788:V1788)=0,"",INDEX($D$1:$V$1,MATCH(MIN(D1788:V1788),D1788:V1788,0)))</f>
        <v/>
      </c>
      <c r="AB1788" s="8" t="n">
        <v>10.56</v>
      </c>
      <c r="AC1788" s="10" t="n">
        <v>1</v>
      </c>
    </row>
    <row r="1789">
      <c r="A1789" s="7" t="inlineStr">
        <is>
          <t>MAT-32-437</t>
        </is>
      </c>
      <c r="B1789" s="4" t="inlineStr">
        <is>
          <t>Reducción bushing de PVC presión 1" x 3/4"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>
        <v>7.03</v>
      </c>
      <c r="P1789" s="8" t="n"/>
      <c r="Q1789" s="8" t="n"/>
      <c r="R1789" s="8" t="n"/>
      <c r="S1789" s="8" t="n"/>
      <c r="T1789" s="8" t="n"/>
      <c r="U1789" s="8" t="n"/>
      <c r="V1789" s="8" t="n"/>
      <c r="W1789" s="8">
        <f>IF(COUNT(D1789:V1789)=0,"",MIN(D1789:V1789))</f>
        <v/>
      </c>
      <c r="X1789" s="8">
        <f>IF(COUNT(D1789:V1789)=0,"",MEDIAN(D1789:V1789))</f>
        <v/>
      </c>
      <c r="Y1789" s="8">
        <f>IF(COUNT(D1789:V1789)=0,"",MAX(D1789:V1789))</f>
        <v/>
      </c>
      <c r="Z1789" s="9">
        <f>IF(OR(W1789="",W1789=0),"",(Y1789-W1789)/W1789)</f>
        <v/>
      </c>
      <c r="AA1789" s="7">
        <f>IF(COUNT(D1789:V1789)=0,"",INDEX($D$1:$V$1,MATCH(MIN(D1789:V1789),D1789:V1789,0)))</f>
        <v/>
      </c>
      <c r="AB1789" s="8" t="n">
        <v>8.300000000000001</v>
      </c>
      <c r="AC1789" s="10" t="n">
        <v>1</v>
      </c>
    </row>
    <row r="1790">
      <c r="A1790" s="7" t="inlineStr">
        <is>
          <t>MAT-32-438</t>
        </is>
      </c>
      <c r="B1790" s="4" t="inlineStr">
        <is>
          <t>Reducción bushing de PVC presión 2" x 1 1/2"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>
        <v>19.43</v>
      </c>
      <c r="P1790" s="8" t="n"/>
      <c r="Q1790" s="8" t="n"/>
      <c r="R1790" s="8" t="n"/>
      <c r="S1790" s="8" t="n"/>
      <c r="T1790" s="8" t="n"/>
      <c r="U1790" s="8" t="n"/>
      <c r="V1790" s="8" t="n"/>
      <c r="W1790" s="8">
        <f>IF(COUNT(D1790:V1790)=0,"",MIN(D1790:V1790))</f>
        <v/>
      </c>
      <c r="X1790" s="8">
        <f>IF(COUNT(D1790:V1790)=0,"",MEDIAN(D1790:V1790))</f>
        <v/>
      </c>
      <c r="Y1790" s="8">
        <f>IF(COUNT(D1790:V1790)=0,"",MAX(D1790:V1790))</f>
        <v/>
      </c>
      <c r="Z1790" s="9">
        <f>IF(OR(W1790="",W1790=0),"",(Y1790-W1790)/W1790)</f>
        <v/>
      </c>
      <c r="AA1790" s="7">
        <f>IF(COUNT(D1790:V1790)=0,"",INDEX($D$1:$V$1,MATCH(MIN(D1790:V1790),D1790:V1790,0)))</f>
        <v/>
      </c>
      <c r="AB1790" s="8" t="n">
        <v>22.93</v>
      </c>
      <c r="AC1790" s="10" t="n">
        <v>1</v>
      </c>
    </row>
    <row r="1791">
      <c r="A1791" s="7" t="inlineStr">
        <is>
          <t>MAT-32-439</t>
        </is>
      </c>
      <c r="B1791" s="4" t="inlineStr">
        <is>
          <t>Reducción bushing de PVC presión 2" x 1/2"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>
        <v>26.14</v>
      </c>
      <c r="P1791" s="8" t="n"/>
      <c r="Q1791" s="8" t="n"/>
      <c r="R1791" s="8" t="n"/>
      <c r="S1791" s="8" t="n"/>
      <c r="T1791" s="8" t="n"/>
      <c r="U1791" s="8" t="n"/>
      <c r="V1791" s="8" t="n"/>
      <c r="W1791" s="8">
        <f>IF(COUNT(D1791:V1791)=0,"",MIN(D1791:V1791))</f>
        <v/>
      </c>
      <c r="X1791" s="8">
        <f>IF(COUNT(D1791:V1791)=0,"",MEDIAN(D1791:V1791))</f>
        <v/>
      </c>
      <c r="Y1791" s="8">
        <f>IF(COUNT(D1791:V1791)=0,"",MAX(D1791:V1791))</f>
        <v/>
      </c>
      <c r="Z1791" s="9">
        <f>IF(OR(W1791="",W1791=0),"",(Y1791-W1791)/W1791)</f>
        <v/>
      </c>
      <c r="AA1791" s="7">
        <f>IF(COUNT(D1791:V1791)=0,"",INDEX($D$1:$V$1,MATCH(MIN(D1791:V1791),D1791:V1791,0)))</f>
        <v/>
      </c>
      <c r="AB1791" s="8" t="n">
        <v>30.85</v>
      </c>
      <c r="AC1791" s="10" t="n">
        <v>1</v>
      </c>
    </row>
    <row r="1792">
      <c r="A1792" s="7" t="inlineStr">
        <is>
          <t>MAT-32-440</t>
        </is>
      </c>
      <c r="B1792" s="4" t="inlineStr">
        <is>
          <t>Reducción bushing de PVC presión 2" x 1"</t>
        </is>
      </c>
      <c r="C1792" s="7" t="inlineStr">
        <is>
          <t>unidad</t>
        </is>
      </c>
      <c r="D1792" s="8" t="n"/>
      <c r="E1792" s="8" t="n"/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>
        <v>28.15</v>
      </c>
      <c r="P1792" s="8" t="n"/>
      <c r="Q1792" s="8" t="n"/>
      <c r="R1792" s="8" t="n"/>
      <c r="S1792" s="8" t="n"/>
      <c r="T1792" s="8" t="n"/>
      <c r="U1792" s="8" t="n"/>
      <c r="V1792" s="8" t="n"/>
      <c r="W1792" s="8">
        <f>IF(COUNT(D1792:V1792)=0,"",MIN(D1792:V1792))</f>
        <v/>
      </c>
      <c r="X1792" s="8">
        <f>IF(COUNT(D1792:V1792)=0,"",MEDIAN(D1792:V1792))</f>
        <v/>
      </c>
      <c r="Y1792" s="8">
        <f>IF(COUNT(D1792:V1792)=0,"",MAX(D1792:V1792))</f>
        <v/>
      </c>
      <c r="Z1792" s="9">
        <f>IF(OR(W1792="",W1792=0),"",(Y1792-W1792)/W1792)</f>
        <v/>
      </c>
      <c r="AA1792" s="7">
        <f>IF(COUNT(D1792:V1792)=0,"",INDEX($D$1:$V$1,MATCH(MIN(D1792:V1792),D1792:V1792,0)))</f>
        <v/>
      </c>
      <c r="AB1792" s="8" t="n">
        <v>33.22</v>
      </c>
      <c r="AC1792" s="10" t="n">
        <v>1</v>
      </c>
    </row>
    <row r="1793">
      <c r="A1793" s="7" t="inlineStr">
        <is>
          <t>MAT-32-441</t>
        </is>
      </c>
      <c r="B1793" s="4" t="inlineStr">
        <is>
          <t>Reducción bushing de PVC presión 2" x 3/4"</t>
        </is>
      </c>
      <c r="C1793" s="7" t="inlineStr">
        <is>
          <t>unidad</t>
        </is>
      </c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>
        <v>34.19</v>
      </c>
      <c r="P1793" s="8" t="n"/>
      <c r="Q1793" s="8" t="n"/>
      <c r="R1793" s="8" t="n"/>
      <c r="S1793" s="8" t="n"/>
      <c r="T1793" s="8" t="n"/>
      <c r="U1793" s="8" t="n"/>
      <c r="V1793" s="8" t="n"/>
      <c r="W1793" s="8">
        <f>IF(COUNT(D1793:V1793)=0,"",MIN(D1793:V1793))</f>
        <v/>
      </c>
      <c r="X1793" s="8">
        <f>IF(COUNT(D1793:V1793)=0,"",MEDIAN(D1793:V1793))</f>
        <v/>
      </c>
      <c r="Y1793" s="8">
        <f>IF(COUNT(D1793:V1793)=0,"",MAX(D1793:V1793))</f>
        <v/>
      </c>
      <c r="Z1793" s="9">
        <f>IF(OR(W1793="",W1793=0),"",(Y1793-W1793)/W1793)</f>
        <v/>
      </c>
      <c r="AA1793" s="7">
        <f>IF(COUNT(D1793:V1793)=0,"",INDEX($D$1:$V$1,MATCH(MIN(D1793:V1793),D1793:V1793,0)))</f>
        <v/>
      </c>
      <c r="AB1793" s="8" t="n">
        <v>40.34</v>
      </c>
      <c r="AC1793" s="10" t="n">
        <v>1</v>
      </c>
    </row>
    <row r="1794">
      <c r="A1794" s="7" t="inlineStr">
        <is>
          <t>MAT-32-442</t>
        </is>
      </c>
      <c r="B1794" s="4" t="inlineStr">
        <is>
          <t>Reducción bushing de PVC presión 3/4" x 1/2"</t>
        </is>
      </c>
      <c r="C1794" s="7" t="inlineStr">
        <is>
          <t>unidad</t>
        </is>
      </c>
      <c r="D1794" s="8" t="n"/>
      <c r="E1794" s="8" t="n"/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>
        <v>4.2</v>
      </c>
      <c r="P1794" s="8" t="n"/>
      <c r="Q1794" s="8" t="n"/>
      <c r="R1794" s="8" t="n"/>
      <c r="S1794" s="8" t="n"/>
      <c r="T1794" s="8" t="n"/>
      <c r="U1794" s="8" t="n"/>
      <c r="V1794" s="8" t="n"/>
      <c r="W1794" s="8">
        <f>IF(COUNT(D1794:V1794)=0,"",MIN(D1794:V1794))</f>
        <v/>
      </c>
      <c r="X1794" s="8">
        <f>IF(COUNT(D1794:V1794)=0,"",MEDIAN(D1794:V1794))</f>
        <v/>
      </c>
      <c r="Y1794" s="8">
        <f>IF(COUNT(D1794:V1794)=0,"",MAX(D1794:V1794))</f>
        <v/>
      </c>
      <c r="Z1794" s="9">
        <f>IF(OR(W1794="",W1794=0),"",(Y1794-W1794)/W1794)</f>
        <v/>
      </c>
      <c r="AA1794" s="7">
        <f>IF(COUNT(D1794:V1794)=0,"",INDEX($D$1:$V$1,MATCH(MIN(D1794:V1794),D1794:V1794,0)))</f>
        <v/>
      </c>
      <c r="AB1794" s="8" t="n">
        <v>4.96</v>
      </c>
      <c r="AC1794" s="10" t="n">
        <v>1</v>
      </c>
    </row>
    <row r="1795">
      <c r="A1795" s="7" t="inlineStr">
        <is>
          <t>MAT-32-443</t>
        </is>
      </c>
      <c r="B1795" s="4" t="inlineStr">
        <is>
          <t>Reducción bushing de PVC presión 3" x 1 1/2"</t>
        </is>
      </c>
      <c r="C1795" s="7" t="inlineStr">
        <is>
          <t>unidad</t>
        </is>
      </c>
      <c r="D1795" s="8" t="n"/>
      <c r="E1795" s="8" t="n">
        <v>61.64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>
        <f>IF(COUNT(D1795:V1795)=0,"",MIN(D1795:V1795))</f>
        <v/>
      </c>
      <c r="X1795" s="8">
        <f>IF(COUNT(D1795:V1795)=0,"",MEDIAN(D1795:V1795))</f>
        <v/>
      </c>
      <c r="Y1795" s="8">
        <f>IF(COUNT(D1795:V1795)=0,"",MAX(D1795:V1795))</f>
        <v/>
      </c>
      <c r="Z1795" s="9">
        <f>IF(OR(W1795="",W1795=0),"",(Y1795-W1795)/W1795)</f>
        <v/>
      </c>
      <c r="AA1795" s="7">
        <f>IF(COUNT(D1795:V1795)=0,"",INDEX($D$1:$V$1,MATCH(MIN(D1795:V1795),D1795:V1795,0)))</f>
        <v/>
      </c>
      <c r="AB1795" s="8" t="n">
        <v>205.82</v>
      </c>
      <c r="AC1795" s="10" t="n">
        <v>1</v>
      </c>
    </row>
    <row r="1796">
      <c r="A1796" s="7" t="inlineStr">
        <is>
          <t>MAT-32-444</t>
        </is>
      </c>
      <c r="B1796" s="4" t="inlineStr">
        <is>
          <t>Reducción bushing de PVC presión 3" x 1"</t>
        </is>
      </c>
      <c r="C1796" s="7" t="inlineStr">
        <is>
          <t>unidad</t>
        </is>
      </c>
      <c r="D1796" s="8" t="n"/>
      <c r="E1796" s="8" t="n">
        <v>350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>
        <f>IF(COUNT(D1796:V1796)=0,"",MIN(D1796:V1796))</f>
        <v/>
      </c>
      <c r="X1796" s="8">
        <f>IF(COUNT(D1796:V1796)=0,"",MEDIAN(D1796:V1796))</f>
        <v/>
      </c>
      <c r="Y1796" s="8">
        <f>IF(COUNT(D1796:V1796)=0,"",MAX(D1796:V1796))</f>
        <v/>
      </c>
      <c r="Z1796" s="9">
        <f>IF(OR(W1796="",W1796=0),"",(Y1796-W1796)/W1796)</f>
        <v/>
      </c>
      <c r="AA1796" s="7">
        <f>IF(COUNT(D1796:V1796)=0,"",INDEX($D$1:$V$1,MATCH(MIN(D1796:V1796),D1796:V1796,0)))</f>
        <v/>
      </c>
      <c r="AB1796" s="8" t="n">
        <v>350</v>
      </c>
      <c r="AC1796" s="10" t="n">
        <v>1</v>
      </c>
    </row>
    <row r="1797">
      <c r="A1797" s="7" t="inlineStr">
        <is>
          <t>MAT-32-445</t>
        </is>
      </c>
      <c r="B1797" s="4" t="inlineStr">
        <is>
          <t>Reducción bushing de PVC presión 4" x 2"</t>
        </is>
      </c>
      <c r="C1797" s="7" t="inlineStr">
        <is>
          <t>unidad</t>
        </is>
      </c>
      <c r="D1797" s="8" t="n"/>
      <c r="E1797" s="8" t="n">
        <v>195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>
        <f>IF(COUNT(D1797:V1797)=0,"",MIN(D1797:V1797))</f>
        <v/>
      </c>
      <c r="X1797" s="8">
        <f>IF(COUNT(D1797:V1797)=0,"",MEDIAN(D1797:V1797))</f>
        <v/>
      </c>
      <c r="Y1797" s="8">
        <f>IF(COUNT(D1797:V1797)=0,"",MAX(D1797:V1797))</f>
        <v/>
      </c>
      <c r="Z1797" s="9">
        <f>IF(OR(W1797="",W1797=0),"",(Y1797-W1797)/W1797)</f>
        <v/>
      </c>
      <c r="AA1797" s="7">
        <f>IF(COUNT(D1797:V1797)=0,"",INDEX($D$1:$V$1,MATCH(MIN(D1797:V1797),D1797:V1797,0)))</f>
        <v/>
      </c>
      <c r="AB1797" s="8" t="n">
        <v>195</v>
      </c>
      <c r="AC1797" s="10" t="n">
        <v>1</v>
      </c>
    </row>
    <row r="1798">
      <c r="A1798" s="7" t="inlineStr">
        <is>
          <t>MAT-32-446</t>
        </is>
      </c>
      <c r="B1798" s="4" t="inlineStr">
        <is>
          <t>Reducción bushing de PVC presión 6" x 4"</t>
        </is>
      </c>
      <c r="C1798" s="7" t="inlineStr">
        <is>
          <t>unidad</t>
        </is>
      </c>
      <c r="D1798" s="8" t="n"/>
      <c r="E1798" s="8" t="n">
        <v>136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>
        <f>IF(COUNT(D1798:V1798)=0,"",MIN(D1798:V1798))</f>
        <v/>
      </c>
      <c r="X1798" s="8">
        <f>IF(COUNT(D1798:V1798)=0,"",MEDIAN(D1798:V1798))</f>
        <v/>
      </c>
      <c r="Y1798" s="8">
        <f>IF(COUNT(D1798:V1798)=0,"",MAX(D1798:V1798))</f>
        <v/>
      </c>
      <c r="Z1798" s="9">
        <f>IF(OR(W1798="",W1798=0),"",(Y1798-W1798)/W1798)</f>
        <v/>
      </c>
      <c r="AA1798" s="7">
        <f>IF(COUNT(D1798:V1798)=0,"",INDEX($D$1:$V$1,MATCH(MIN(D1798:V1798),D1798:V1798,0)))</f>
        <v/>
      </c>
      <c r="AB1798" s="8" t="n">
        <v>435.5</v>
      </c>
      <c r="AC1798" s="10" t="n">
        <v>1</v>
      </c>
    </row>
    <row r="1799">
      <c r="A1799" s="7" t="inlineStr">
        <is>
          <t>MAT-32-447</t>
        </is>
      </c>
      <c r="B1799" s="4" t="inlineStr">
        <is>
          <t>Reducción bushing de PVC presión 8" x 6"</t>
        </is>
      </c>
      <c r="C1799" s="7" t="inlineStr">
        <is>
          <t>unidad</t>
        </is>
      </c>
      <c r="D1799" s="8" t="n"/>
      <c r="E1799" s="8" t="n">
        <v>3880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>
        <f>IF(COUNT(D1799:V1799)=0,"",MIN(D1799:V1799))</f>
        <v/>
      </c>
      <c r="X1799" s="8">
        <f>IF(COUNT(D1799:V1799)=0,"",MEDIAN(D1799:V1799))</f>
        <v/>
      </c>
      <c r="Y1799" s="8">
        <f>IF(COUNT(D1799:V1799)=0,"",MAX(D1799:V1799))</f>
        <v/>
      </c>
      <c r="Z1799" s="9">
        <f>IF(OR(W1799="",W1799=0),"",(Y1799-W1799)/W1799)</f>
        <v/>
      </c>
      <c r="AA1799" s="7">
        <f>IF(COUNT(D1799:V1799)=0,"",INDEX($D$1:$V$1,MATCH(MIN(D1799:V1799),D1799:V1799,0)))</f>
        <v/>
      </c>
      <c r="AB1799" s="8" t="n">
        <v>3880</v>
      </c>
      <c r="AC1799" s="10" t="n">
        <v>1</v>
      </c>
    </row>
    <row r="1800">
      <c r="A1800" s="7" t="inlineStr">
        <is>
          <t>MAT-32-448</t>
        </is>
      </c>
      <c r="B1800" s="4" t="inlineStr">
        <is>
          <t>Reducción de cobre 1 3/8" x 5/8"</t>
        </is>
      </c>
      <c r="C1800" s="7" t="inlineStr">
        <is>
          <t>unidad</t>
        </is>
      </c>
      <c r="D1800" s="8" t="n"/>
      <c r="E1800" s="8" t="n">
        <v>121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>
        <f>IF(COUNT(D1800:V1800)=0,"",MIN(D1800:V1800))</f>
        <v/>
      </c>
      <c r="X1800" s="8">
        <f>IF(COUNT(D1800:V1800)=0,"",MEDIAN(D1800:V1800))</f>
        <v/>
      </c>
      <c r="Y1800" s="8">
        <f>IF(COUNT(D1800:V1800)=0,"",MAX(D1800:V1800))</f>
        <v/>
      </c>
      <c r="Z1800" s="9">
        <f>IF(OR(W1800="",W1800=0),"",(Y1800-W1800)/W1800)</f>
        <v/>
      </c>
      <c r="AA1800" s="7">
        <f>IF(COUNT(D1800:V1800)=0,"",INDEX($D$1:$V$1,MATCH(MIN(D1800:V1800),D1800:V1800,0)))</f>
        <v/>
      </c>
      <c r="AB1800" s="8" t="n">
        <v>121</v>
      </c>
      <c r="AC1800" s="10" t="n">
        <v>1</v>
      </c>
    </row>
    <row r="1801">
      <c r="A1801" s="7" t="inlineStr">
        <is>
          <t>MAT-32-449</t>
        </is>
      </c>
      <c r="B1801" s="4" t="inlineStr">
        <is>
          <t>Reducción de cobre 1 5/8" x 1 1/8"</t>
        </is>
      </c>
      <c r="C1801" s="7" t="inlineStr">
        <is>
          <t>unidad</t>
        </is>
      </c>
      <c r="D1801" s="8" t="n"/>
      <c r="E1801" s="8" t="n">
        <v>159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>
        <f>IF(COUNT(D1801:V1801)=0,"",MIN(D1801:V1801))</f>
        <v/>
      </c>
      <c r="X1801" s="8">
        <f>IF(COUNT(D1801:V1801)=0,"",MEDIAN(D1801:V1801))</f>
        <v/>
      </c>
      <c r="Y1801" s="8">
        <f>IF(COUNT(D1801:V1801)=0,"",MAX(D1801:V1801))</f>
        <v/>
      </c>
      <c r="Z1801" s="9">
        <f>IF(OR(W1801="",W1801=0),"",(Y1801-W1801)/W1801)</f>
        <v/>
      </c>
      <c r="AA1801" s="7">
        <f>IF(COUNT(D1801:V1801)=0,"",INDEX($D$1:$V$1,MATCH(MIN(D1801:V1801),D1801:V1801,0)))</f>
        <v/>
      </c>
      <c r="AB1801" s="8" t="n">
        <v>159</v>
      </c>
      <c r="AC1801" s="10" t="n">
        <v>1</v>
      </c>
    </row>
    <row r="1802">
      <c r="A1802" s="7" t="inlineStr">
        <is>
          <t>MAT-32-450</t>
        </is>
      </c>
      <c r="B1802" s="4" t="inlineStr">
        <is>
          <t>Reducción de cobre 7/8" x 5/8"</t>
        </is>
      </c>
      <c r="C1802" s="7" t="inlineStr">
        <is>
          <t>unidad</t>
        </is>
      </c>
      <c r="D1802" s="8" t="n"/>
      <c r="E1802" s="8" t="n">
        <v>48.07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>
        <f>IF(COUNT(D1802:V1802)=0,"",MIN(D1802:V1802))</f>
        <v/>
      </c>
      <c r="X1802" s="8">
        <f>IF(COUNT(D1802:V1802)=0,"",MEDIAN(D1802:V1802))</f>
        <v/>
      </c>
      <c r="Y1802" s="8">
        <f>IF(COUNT(D1802:V1802)=0,"",MAX(D1802:V1802))</f>
        <v/>
      </c>
      <c r="Z1802" s="9">
        <f>IF(OR(W1802="",W1802=0),"",(Y1802-W1802)/W1802)</f>
        <v/>
      </c>
      <c r="AA1802" s="7">
        <f>IF(COUNT(D1802:V1802)=0,"",INDEX($D$1:$V$1,MATCH(MIN(D1802:V1802),D1802:V1802,0)))</f>
        <v/>
      </c>
      <c r="AB1802" s="8" t="n">
        <v>48.07</v>
      </c>
      <c r="AC1802" s="10" t="n">
        <v>1</v>
      </c>
    </row>
    <row r="1803">
      <c r="A1803" s="7" t="inlineStr">
        <is>
          <t>MAT-32-451</t>
        </is>
      </c>
      <c r="B1803" s="4" t="inlineStr">
        <is>
          <t>Reducción de HG 1 1/2" x 1 1/4"</t>
        </is>
      </c>
      <c r="C1803" s="7" t="inlineStr">
        <is>
          <t>unidad</t>
        </is>
      </c>
      <c r="D1803" s="8" t="n"/>
      <c r="E1803" s="8" t="n">
        <v>120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>
        <f>IF(COUNT(D1803:V1803)=0,"",MIN(D1803:V1803))</f>
        <v/>
      </c>
      <c r="X1803" s="8">
        <f>IF(COUNT(D1803:V1803)=0,"",MEDIAN(D1803:V1803))</f>
        <v/>
      </c>
      <c r="Y1803" s="8">
        <f>IF(COUNT(D1803:V1803)=0,"",MAX(D1803:V1803))</f>
        <v/>
      </c>
      <c r="Z1803" s="9">
        <f>IF(OR(W1803="",W1803=0),"",(Y1803-W1803)/W1803)</f>
        <v/>
      </c>
      <c r="AA1803" s="7">
        <f>IF(COUNT(D1803:V1803)=0,"",INDEX($D$1:$V$1,MATCH(MIN(D1803:V1803),D1803:V1803,0)))</f>
        <v/>
      </c>
      <c r="AB1803" s="8" t="n">
        <v>120</v>
      </c>
      <c r="AC1803" s="10" t="n">
        <v>1</v>
      </c>
    </row>
    <row r="1804">
      <c r="A1804" s="7" t="inlineStr">
        <is>
          <t>MAT-32-452</t>
        </is>
      </c>
      <c r="B1804" s="4" t="inlineStr">
        <is>
          <t>Reducción de HG 1 1/2" x 1/2"</t>
        </is>
      </c>
      <c r="C1804" s="7" t="inlineStr">
        <is>
          <t>unidad</t>
        </is>
      </c>
      <c r="D1804" s="8" t="n"/>
      <c r="E1804" s="8" t="n">
        <v>83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>
        <f>IF(COUNT(D1804:V1804)=0,"",MIN(D1804:V1804))</f>
        <v/>
      </c>
      <c r="X1804" s="8">
        <f>IF(COUNT(D1804:V1804)=0,"",MEDIAN(D1804:V1804))</f>
        <v/>
      </c>
      <c r="Y1804" s="8">
        <f>IF(COUNT(D1804:V1804)=0,"",MAX(D1804:V1804))</f>
        <v/>
      </c>
      <c r="Z1804" s="9">
        <f>IF(OR(W1804="",W1804=0),"",(Y1804-W1804)/W1804)</f>
        <v/>
      </c>
      <c r="AA1804" s="7">
        <f>IF(COUNT(D1804:V1804)=0,"",INDEX($D$1:$V$1,MATCH(MIN(D1804:V1804),D1804:V1804,0)))</f>
        <v/>
      </c>
      <c r="AB1804" s="8" t="n">
        <v>83</v>
      </c>
      <c r="AC1804" s="10" t="n">
        <v>1</v>
      </c>
    </row>
    <row r="1805">
      <c r="A1805" s="7" t="inlineStr">
        <is>
          <t>MAT-32-453</t>
        </is>
      </c>
      <c r="B1805" s="4" t="inlineStr">
        <is>
          <t>Reducción de HG 1 1/2" x 1"</t>
        </is>
      </c>
      <c r="C1805" s="7" t="inlineStr">
        <is>
          <t>unidad</t>
        </is>
      </c>
      <c r="D1805" s="8" t="n"/>
      <c r="E1805" s="8" t="n">
        <v>113</v>
      </c>
      <c r="F1805" s="8" t="n"/>
      <c r="G1805" s="8" t="n">
        <v>237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>
        <f>IF(COUNT(D1805:V1805)=0,"",MIN(D1805:V1805))</f>
        <v/>
      </c>
      <c r="X1805" s="8">
        <f>IF(COUNT(D1805:V1805)=0,"",MEDIAN(D1805:V1805))</f>
        <v/>
      </c>
      <c r="Y1805" s="8">
        <f>IF(COUNT(D1805:V1805)=0,"",MAX(D1805:V1805))</f>
        <v/>
      </c>
      <c r="Z1805" s="9">
        <f>IF(OR(W1805="",W1805=0),"",(Y1805-W1805)/W1805)</f>
        <v/>
      </c>
      <c r="AA1805" s="7">
        <f>IF(COUNT(D1805:V1805)=0,"",INDEX($D$1:$V$1,MATCH(MIN(D1805:V1805),D1805:V1805,0)))</f>
        <v/>
      </c>
      <c r="AB1805" s="8" t="n">
        <v>175</v>
      </c>
      <c r="AC1805" s="10" t="n">
        <v>2</v>
      </c>
    </row>
    <row r="1806">
      <c r="A1806" s="7" t="inlineStr">
        <is>
          <t>MAT-32-454</t>
        </is>
      </c>
      <c r="B1806" s="4" t="inlineStr">
        <is>
          <t>Reducción de HG 1 1/4" x 1"</t>
        </is>
      </c>
      <c r="C1806" s="7" t="inlineStr">
        <is>
          <t>unidad</t>
        </is>
      </c>
      <c r="D1806" s="8" t="n"/>
      <c r="E1806" s="8" t="n">
        <v>62</v>
      </c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>
        <f>IF(COUNT(D1806:V1806)=0,"",MIN(D1806:V1806))</f>
        <v/>
      </c>
      <c r="X1806" s="8">
        <f>IF(COUNT(D1806:V1806)=0,"",MEDIAN(D1806:V1806))</f>
        <v/>
      </c>
      <c r="Y1806" s="8">
        <f>IF(COUNT(D1806:V1806)=0,"",MAX(D1806:V1806))</f>
        <v/>
      </c>
      <c r="Z1806" s="9">
        <f>IF(OR(W1806="",W1806=0),"",(Y1806-W1806)/W1806)</f>
        <v/>
      </c>
      <c r="AA1806" s="7">
        <f>IF(COUNT(D1806:V1806)=0,"",INDEX($D$1:$V$1,MATCH(MIN(D1806:V1806),D1806:V1806,0)))</f>
        <v/>
      </c>
      <c r="AB1806" s="8" t="n">
        <v>62</v>
      </c>
      <c r="AC1806" s="10" t="n">
        <v>1</v>
      </c>
    </row>
    <row r="1807">
      <c r="A1807" s="7" t="inlineStr">
        <is>
          <t>MAT-32-455</t>
        </is>
      </c>
      <c r="B1807" s="4" t="inlineStr">
        <is>
          <t>Reducción de HG 1/2" x 1/4"</t>
        </is>
      </c>
      <c r="C1807" s="7" t="inlineStr">
        <is>
          <t>unidad</t>
        </is>
      </c>
      <c r="D1807" s="8" t="n"/>
      <c r="E1807" s="8" t="n">
        <v>36.34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>
        <f>IF(COUNT(D1807:V1807)=0,"",MIN(D1807:V1807))</f>
        <v/>
      </c>
      <c r="X1807" s="8">
        <f>IF(COUNT(D1807:V1807)=0,"",MEDIAN(D1807:V1807))</f>
        <v/>
      </c>
      <c r="Y1807" s="8">
        <f>IF(COUNT(D1807:V1807)=0,"",MAX(D1807:V1807))</f>
        <v/>
      </c>
      <c r="Z1807" s="9">
        <f>IF(OR(W1807="",W1807=0),"",(Y1807-W1807)/W1807)</f>
        <v/>
      </c>
      <c r="AA1807" s="7">
        <f>IF(COUNT(D1807:V1807)=0,"",INDEX($D$1:$V$1,MATCH(MIN(D1807:V1807),D1807:V1807,0)))</f>
        <v/>
      </c>
      <c r="AB1807" s="8" t="n">
        <v>36.34</v>
      </c>
      <c r="AC1807" s="10" t="n">
        <v>1</v>
      </c>
    </row>
    <row r="1808">
      <c r="A1808" s="7" t="inlineStr">
        <is>
          <t>MAT-32-456</t>
        </is>
      </c>
      <c r="B1808" s="4" t="inlineStr">
        <is>
          <t>Reducción de HG 1/2" x 3/8"</t>
        </is>
      </c>
      <c r="C1808" s="7" t="inlineStr">
        <is>
          <t>unidad</t>
        </is>
      </c>
      <c r="D1808" s="8" t="n"/>
      <c r="E1808" s="8" t="n">
        <v>36.25</v>
      </c>
      <c r="F1808" s="8" t="n"/>
      <c r="G1808" s="8" t="n">
        <v>70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>
        <f>IF(COUNT(D1808:V1808)=0,"",MIN(D1808:V1808))</f>
        <v/>
      </c>
      <c r="X1808" s="8">
        <f>IF(COUNT(D1808:V1808)=0,"",MEDIAN(D1808:V1808))</f>
        <v/>
      </c>
      <c r="Y1808" s="8">
        <f>IF(COUNT(D1808:V1808)=0,"",MAX(D1808:V1808))</f>
        <v/>
      </c>
      <c r="Z1808" s="9">
        <f>IF(OR(W1808="",W1808=0),"",(Y1808-W1808)/W1808)</f>
        <v/>
      </c>
      <c r="AA1808" s="7">
        <f>IF(COUNT(D1808:V1808)=0,"",INDEX($D$1:$V$1,MATCH(MIN(D1808:V1808),D1808:V1808,0)))</f>
        <v/>
      </c>
      <c r="AB1808" s="8" t="n">
        <v>53.13</v>
      </c>
      <c r="AC1808" s="10" t="n">
        <v>2</v>
      </c>
    </row>
    <row r="1809">
      <c r="A1809" s="7" t="inlineStr">
        <is>
          <t>MAT-32-457</t>
        </is>
      </c>
      <c r="B1809" s="4" t="inlineStr">
        <is>
          <t>Reducción de HG 1" x 1/2"</t>
        </is>
      </c>
      <c r="C1809" s="7" t="inlineStr">
        <is>
          <t>unidad</t>
        </is>
      </c>
      <c r="D1809" s="8" t="n"/>
      <c r="E1809" s="8" t="n">
        <v>47</v>
      </c>
      <c r="F1809" s="8" t="n"/>
      <c r="G1809" s="8" t="n">
        <v>95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>
        <f>IF(COUNT(D1809:V1809)=0,"",MIN(D1809:V1809))</f>
        <v/>
      </c>
      <c r="X1809" s="8">
        <f>IF(COUNT(D1809:V1809)=0,"",MEDIAN(D1809:V1809))</f>
        <v/>
      </c>
      <c r="Y1809" s="8">
        <f>IF(COUNT(D1809:V1809)=0,"",MAX(D1809:V1809))</f>
        <v/>
      </c>
      <c r="Z1809" s="9">
        <f>IF(OR(W1809="",W1809=0),"",(Y1809-W1809)/W1809)</f>
        <v/>
      </c>
      <c r="AA1809" s="7">
        <f>IF(COUNT(D1809:V1809)=0,"",INDEX($D$1:$V$1,MATCH(MIN(D1809:V1809),D1809:V1809,0)))</f>
        <v/>
      </c>
      <c r="AB1809" s="8" t="n">
        <v>71</v>
      </c>
      <c r="AC1809" s="10" t="n">
        <v>2</v>
      </c>
    </row>
    <row r="1810">
      <c r="A1810" s="7" t="inlineStr">
        <is>
          <t>MAT-32-458</t>
        </is>
      </c>
      <c r="B1810" s="4" t="inlineStr">
        <is>
          <t>Reducción de HG 1" x 3/4"</t>
        </is>
      </c>
      <c r="C1810" s="7" t="inlineStr">
        <is>
          <t>unidad</t>
        </is>
      </c>
      <c r="D1810" s="8" t="n"/>
      <c r="E1810" s="8" t="n">
        <v>47.96</v>
      </c>
      <c r="F1810" s="8" t="n"/>
      <c r="G1810" s="8" t="n">
        <v>101</v>
      </c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>
        <f>IF(COUNT(D1810:V1810)=0,"",MIN(D1810:V1810))</f>
        <v/>
      </c>
      <c r="X1810" s="8">
        <f>IF(COUNT(D1810:V1810)=0,"",MEDIAN(D1810:V1810))</f>
        <v/>
      </c>
      <c r="Y1810" s="8">
        <f>IF(COUNT(D1810:V1810)=0,"",MAX(D1810:V1810))</f>
        <v/>
      </c>
      <c r="Z1810" s="9">
        <f>IF(OR(W1810="",W1810=0),"",(Y1810-W1810)/W1810)</f>
        <v/>
      </c>
      <c r="AA1810" s="7">
        <f>IF(COUNT(D1810:V1810)=0,"",INDEX($D$1:$V$1,MATCH(MIN(D1810:V1810),D1810:V1810,0)))</f>
        <v/>
      </c>
      <c r="AB1810" s="8" t="n">
        <v>74.48</v>
      </c>
      <c r="AC1810" s="10" t="n">
        <v>2</v>
      </c>
    </row>
    <row r="1811">
      <c r="A1811" s="7" t="inlineStr">
        <is>
          <t>MAT-32-459</t>
        </is>
      </c>
      <c r="B1811" s="4" t="inlineStr">
        <is>
          <t>Reducción de HG 2" x 1 1/2"</t>
        </is>
      </c>
      <c r="C1811" s="7" t="inlineStr">
        <is>
          <t>unidad</t>
        </is>
      </c>
      <c r="D1811" s="8" t="n"/>
      <c r="E1811" s="8" t="n">
        <v>135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>
        <f>IF(COUNT(D1811:V1811)=0,"",MIN(D1811:V1811))</f>
        <v/>
      </c>
      <c r="X1811" s="8">
        <f>IF(COUNT(D1811:V1811)=0,"",MEDIAN(D1811:V1811))</f>
        <v/>
      </c>
      <c r="Y1811" s="8">
        <f>IF(COUNT(D1811:V1811)=0,"",MAX(D1811:V1811))</f>
        <v/>
      </c>
      <c r="Z1811" s="9">
        <f>IF(OR(W1811="",W1811=0),"",(Y1811-W1811)/W1811)</f>
        <v/>
      </c>
      <c r="AA1811" s="7">
        <f>IF(COUNT(D1811:V1811)=0,"",INDEX($D$1:$V$1,MATCH(MIN(D1811:V1811),D1811:V1811,0)))</f>
        <v/>
      </c>
      <c r="AB1811" s="8" t="n">
        <v>135</v>
      </c>
      <c r="AC1811" s="10" t="n">
        <v>1</v>
      </c>
    </row>
    <row r="1812">
      <c r="A1812" s="7" t="inlineStr">
        <is>
          <t>MAT-32-460</t>
        </is>
      </c>
      <c r="B1812" s="4" t="inlineStr">
        <is>
          <t>Reducción de HG 2" x 1"</t>
        </is>
      </c>
      <c r="C1812" s="7" t="inlineStr">
        <is>
          <t>unidad</t>
        </is>
      </c>
      <c r="D1812" s="8" t="n"/>
      <c r="E1812" s="8" t="n">
        <v>117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>
        <f>IF(COUNT(D1812:V1812)=0,"",MIN(D1812:V1812))</f>
        <v/>
      </c>
      <c r="X1812" s="8">
        <f>IF(COUNT(D1812:V1812)=0,"",MEDIAN(D1812:V1812))</f>
        <v/>
      </c>
      <c r="Y1812" s="8">
        <f>IF(COUNT(D1812:V1812)=0,"",MAX(D1812:V1812))</f>
        <v/>
      </c>
      <c r="Z1812" s="9">
        <f>IF(OR(W1812="",W1812=0),"",(Y1812-W1812)/W1812)</f>
        <v/>
      </c>
      <c r="AA1812" s="7">
        <f>IF(COUNT(D1812:V1812)=0,"",INDEX($D$1:$V$1,MATCH(MIN(D1812:V1812),D1812:V1812,0)))</f>
        <v/>
      </c>
      <c r="AB1812" s="8" t="n">
        <v>117</v>
      </c>
      <c r="AC1812" s="10" t="n">
        <v>1</v>
      </c>
    </row>
    <row r="1813">
      <c r="A1813" s="7" t="inlineStr">
        <is>
          <t>MAT-32-461</t>
        </is>
      </c>
      <c r="B1813" s="4" t="inlineStr">
        <is>
          <t>Reducción de HG 3/4" x 1/2"</t>
        </is>
      </c>
      <c r="C1813" s="7" t="inlineStr">
        <is>
          <t>unidad</t>
        </is>
      </c>
      <c r="D1813" s="8" t="n"/>
      <c r="E1813" s="8" t="n">
        <v>34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>
        <f>IF(COUNT(D1813:V1813)=0,"",MIN(D1813:V1813))</f>
        <v/>
      </c>
      <c r="X1813" s="8">
        <f>IF(COUNT(D1813:V1813)=0,"",MEDIAN(D1813:V1813))</f>
        <v/>
      </c>
      <c r="Y1813" s="8">
        <f>IF(COUNT(D1813:V1813)=0,"",MAX(D1813:V1813))</f>
        <v/>
      </c>
      <c r="Z1813" s="9">
        <f>IF(OR(W1813="",W1813=0),"",(Y1813-W1813)/W1813)</f>
        <v/>
      </c>
      <c r="AA1813" s="7">
        <f>IF(COUNT(D1813:V1813)=0,"",INDEX($D$1:$V$1,MATCH(MIN(D1813:V1813),D1813:V1813,0)))</f>
        <v/>
      </c>
      <c r="AB1813" s="8" t="n">
        <v>34</v>
      </c>
      <c r="AC1813" s="10" t="n">
        <v>1</v>
      </c>
    </row>
    <row r="1814">
      <c r="A1814" s="7" t="inlineStr">
        <is>
          <t>MAT-32-462</t>
        </is>
      </c>
      <c r="B1814" s="4" t="inlineStr">
        <is>
          <t>Reducción de HG 3/4" x 3/8"</t>
        </is>
      </c>
      <c r="C1814" s="7" t="inlineStr">
        <is>
          <t>unidad</t>
        </is>
      </c>
      <c r="D1814" s="8" t="n"/>
      <c r="E1814" s="8" t="n">
        <v>26.32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 t="n"/>
      <c r="W1814" s="8">
        <f>IF(COUNT(D1814:V1814)=0,"",MIN(D1814:V1814))</f>
        <v/>
      </c>
      <c r="X1814" s="8">
        <f>IF(COUNT(D1814:V1814)=0,"",MEDIAN(D1814:V1814))</f>
        <v/>
      </c>
      <c r="Y1814" s="8">
        <f>IF(COUNT(D1814:V1814)=0,"",MAX(D1814:V1814))</f>
        <v/>
      </c>
      <c r="Z1814" s="9">
        <f>IF(OR(W1814="",W1814=0),"",(Y1814-W1814)/W1814)</f>
        <v/>
      </c>
      <c r="AA1814" s="7">
        <f>IF(COUNT(D1814:V1814)=0,"",INDEX($D$1:$V$1,MATCH(MIN(D1814:V1814),D1814:V1814,0)))</f>
        <v/>
      </c>
      <c r="AB1814" s="8" t="n">
        <v>26.32</v>
      </c>
      <c r="AC1814" s="10" t="n">
        <v>1</v>
      </c>
    </row>
    <row r="1815">
      <c r="A1815" s="7" t="inlineStr">
        <is>
          <t>MAT-32-463</t>
        </is>
      </c>
      <c r="B1815" s="4" t="inlineStr">
        <is>
          <t>Reducción de HG 3" x 2"</t>
        </is>
      </c>
      <c r="C1815" s="7" t="inlineStr">
        <is>
          <t>unidad</t>
        </is>
      </c>
      <c r="D1815" s="8" t="n"/>
      <c r="E1815" s="8" t="n">
        <v>440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 t="n"/>
      <c r="W1815" s="8">
        <f>IF(COUNT(D1815:V1815)=0,"",MIN(D1815:V1815))</f>
        <v/>
      </c>
      <c r="X1815" s="8">
        <f>IF(COUNT(D1815:V1815)=0,"",MEDIAN(D1815:V1815))</f>
        <v/>
      </c>
      <c r="Y1815" s="8">
        <f>IF(COUNT(D1815:V1815)=0,"",MAX(D1815:V1815))</f>
        <v/>
      </c>
      <c r="Z1815" s="9">
        <f>IF(OR(W1815="",W1815=0),"",(Y1815-W1815)/W1815)</f>
        <v/>
      </c>
      <c r="AA1815" s="7">
        <f>IF(COUNT(D1815:V1815)=0,"",INDEX($D$1:$V$1,MATCH(MIN(D1815:V1815),D1815:V1815,0)))</f>
        <v/>
      </c>
      <c r="AB1815" s="8" t="n">
        <v>440</v>
      </c>
      <c r="AC1815" s="10" t="n">
        <v>1</v>
      </c>
    </row>
    <row r="1816">
      <c r="A1816" s="7" t="inlineStr">
        <is>
          <t>MAT-32-464</t>
        </is>
      </c>
      <c r="B1816" s="4" t="inlineStr">
        <is>
          <t>Reducción de plástico 1 1/2" x 1"</t>
        </is>
      </c>
      <c r="C1816" s="7" t="inlineStr">
        <is>
          <t>unidad</t>
        </is>
      </c>
      <c r="D1816" s="8" t="n"/>
      <c r="E1816" s="8" t="n">
        <v>7.36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>
        <f>IF(COUNT(D1816:V1816)=0,"",MIN(D1816:V1816))</f>
        <v/>
      </c>
      <c r="X1816" s="8">
        <f>IF(COUNT(D1816:V1816)=0,"",MEDIAN(D1816:V1816))</f>
        <v/>
      </c>
      <c r="Y1816" s="8">
        <f>IF(COUNT(D1816:V1816)=0,"",MAX(D1816:V1816))</f>
        <v/>
      </c>
      <c r="Z1816" s="9">
        <f>IF(OR(W1816="",W1816=0),"",(Y1816-W1816)/W1816)</f>
        <v/>
      </c>
      <c r="AA1816" s="7">
        <f>IF(COUNT(D1816:V1816)=0,"",INDEX($D$1:$V$1,MATCH(MIN(D1816:V1816),D1816:V1816,0)))</f>
        <v/>
      </c>
      <c r="AB1816" s="8" t="n">
        <v>7.36</v>
      </c>
      <c r="AC1816" s="10" t="n">
        <v>1</v>
      </c>
    </row>
    <row r="1817">
      <c r="A1817" s="7" t="inlineStr">
        <is>
          <t>MAT-32-465</t>
        </is>
      </c>
      <c r="B1817" s="4" t="inlineStr">
        <is>
          <t>Reducción de plástico 1 1/2" x 7/8"</t>
        </is>
      </c>
      <c r="C1817" s="7" t="inlineStr">
        <is>
          <t>unidad</t>
        </is>
      </c>
      <c r="D1817" s="8" t="n"/>
      <c r="E1817" s="8" t="n">
        <v>3.5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>
        <f>IF(COUNT(D1817:V1817)=0,"",MIN(D1817:V1817))</f>
        <v/>
      </c>
      <c r="X1817" s="8">
        <f>IF(COUNT(D1817:V1817)=0,"",MEDIAN(D1817:V1817))</f>
        <v/>
      </c>
      <c r="Y1817" s="8">
        <f>IF(COUNT(D1817:V1817)=0,"",MAX(D1817:V1817))</f>
        <v/>
      </c>
      <c r="Z1817" s="9">
        <f>IF(OR(W1817="",W1817=0),"",(Y1817-W1817)/W1817)</f>
        <v/>
      </c>
      <c r="AA1817" s="7">
        <f>IF(COUNT(D1817:V1817)=0,"",INDEX($D$1:$V$1,MATCH(MIN(D1817:V1817),D1817:V1817,0)))</f>
        <v/>
      </c>
      <c r="AB1817" s="8" t="n">
        <v>3.5</v>
      </c>
      <c r="AC1817" s="10" t="n">
        <v>1</v>
      </c>
    </row>
    <row r="1818">
      <c r="A1818" s="7" t="inlineStr">
        <is>
          <t>MAT-32-466</t>
        </is>
      </c>
      <c r="B1818" s="4" t="inlineStr">
        <is>
          <t>Reducción de plástico 1 1/4" x 1/2"</t>
        </is>
      </c>
      <c r="C1818" s="7" t="inlineStr">
        <is>
          <t>unidad</t>
        </is>
      </c>
      <c r="D1818" s="8" t="n"/>
      <c r="E1818" s="8" t="n">
        <v>10.35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>
        <f>IF(COUNT(D1818:V1818)=0,"",MIN(D1818:V1818))</f>
        <v/>
      </c>
      <c r="X1818" s="8">
        <f>IF(COUNT(D1818:V1818)=0,"",MEDIAN(D1818:V1818))</f>
        <v/>
      </c>
      <c r="Y1818" s="8">
        <f>IF(COUNT(D1818:V1818)=0,"",MAX(D1818:V1818))</f>
        <v/>
      </c>
      <c r="Z1818" s="9">
        <f>IF(OR(W1818="",W1818=0),"",(Y1818-W1818)/W1818)</f>
        <v/>
      </c>
      <c r="AA1818" s="7">
        <f>IF(COUNT(D1818:V1818)=0,"",INDEX($D$1:$V$1,MATCH(MIN(D1818:V1818),D1818:V1818,0)))</f>
        <v/>
      </c>
      <c r="AB1818" s="8" t="n">
        <v>10.35</v>
      </c>
      <c r="AC1818" s="10" t="n">
        <v>1</v>
      </c>
    </row>
    <row r="1819">
      <c r="A1819" s="7" t="inlineStr">
        <is>
          <t>MAT-32-467</t>
        </is>
      </c>
      <c r="B1819" s="4" t="inlineStr">
        <is>
          <t>Reducción de plástico 1 1/4" x 3/4"</t>
        </is>
      </c>
      <c r="C1819" s="7" t="inlineStr">
        <is>
          <t>unidad</t>
        </is>
      </c>
      <c r="D1819" s="8" t="n"/>
      <c r="E1819" s="8" t="n">
        <v>2.33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>
        <f>IF(COUNT(D1819:V1819)=0,"",MIN(D1819:V1819))</f>
        <v/>
      </c>
      <c r="X1819" s="8">
        <f>IF(COUNT(D1819:V1819)=0,"",MEDIAN(D1819:V1819))</f>
        <v/>
      </c>
      <c r="Y1819" s="8">
        <f>IF(COUNT(D1819:V1819)=0,"",MAX(D1819:V1819))</f>
        <v/>
      </c>
      <c r="Z1819" s="9">
        <f>IF(OR(W1819="",W1819=0),"",(Y1819-W1819)/W1819)</f>
        <v/>
      </c>
      <c r="AA1819" s="7">
        <f>IF(COUNT(D1819:V1819)=0,"",INDEX($D$1:$V$1,MATCH(MIN(D1819:V1819),D1819:V1819,0)))</f>
        <v/>
      </c>
      <c r="AB1819" s="8" t="n">
        <v>2.33</v>
      </c>
      <c r="AC1819" s="10" t="n">
        <v>1</v>
      </c>
    </row>
    <row r="1820">
      <c r="A1820" s="7" t="inlineStr">
        <is>
          <t>MAT-32-468</t>
        </is>
      </c>
      <c r="B1820" s="4" t="inlineStr">
        <is>
          <t>Reducción de plástico 1 1/4" x 5/8"</t>
        </is>
      </c>
      <c r="C1820" s="7" t="inlineStr">
        <is>
          <t>unidad</t>
        </is>
      </c>
      <c r="D1820" s="8" t="n"/>
      <c r="E1820" s="8" t="n">
        <v>2.44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>
        <f>IF(COUNT(D1820:V1820)=0,"",MIN(D1820:V1820))</f>
        <v/>
      </c>
      <c r="X1820" s="8">
        <f>IF(COUNT(D1820:V1820)=0,"",MEDIAN(D1820:V1820))</f>
        <v/>
      </c>
      <c r="Y1820" s="8">
        <f>IF(COUNT(D1820:V1820)=0,"",MAX(D1820:V1820))</f>
        <v/>
      </c>
      <c r="Z1820" s="9">
        <f>IF(OR(W1820="",W1820=0),"",(Y1820-W1820)/W1820)</f>
        <v/>
      </c>
      <c r="AA1820" s="7">
        <f>IF(COUNT(D1820:V1820)=0,"",INDEX($D$1:$V$1,MATCH(MIN(D1820:V1820),D1820:V1820,0)))</f>
        <v/>
      </c>
      <c r="AB1820" s="8" t="n">
        <v>2.44</v>
      </c>
      <c r="AC1820" s="10" t="n">
        <v>1</v>
      </c>
    </row>
    <row r="1821">
      <c r="A1821" s="7" t="inlineStr">
        <is>
          <t>MAT-32-469</t>
        </is>
      </c>
      <c r="B1821" s="4" t="inlineStr">
        <is>
          <t>Reducción de plástico 1 1/4" x 7/8"</t>
        </is>
      </c>
      <c r="C1821" s="7" t="inlineStr">
        <is>
          <t>unidad</t>
        </is>
      </c>
      <c r="D1821" s="8" t="n"/>
      <c r="E1821" s="8" t="n">
        <v>8.800000000000001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>
        <f>IF(COUNT(D1821:V1821)=0,"",MIN(D1821:V1821))</f>
        <v/>
      </c>
      <c r="X1821" s="8">
        <f>IF(COUNT(D1821:V1821)=0,"",MEDIAN(D1821:V1821))</f>
        <v/>
      </c>
      <c r="Y1821" s="8">
        <f>IF(COUNT(D1821:V1821)=0,"",MAX(D1821:V1821))</f>
        <v/>
      </c>
      <c r="Z1821" s="9">
        <f>IF(OR(W1821="",W1821=0),"",(Y1821-W1821)/W1821)</f>
        <v/>
      </c>
      <c r="AA1821" s="7">
        <f>IF(COUNT(D1821:V1821)=0,"",INDEX($D$1:$V$1,MATCH(MIN(D1821:V1821),D1821:V1821,0)))</f>
        <v/>
      </c>
      <c r="AB1821" s="8" t="n">
        <v>8.800000000000001</v>
      </c>
      <c r="AC1821" s="10" t="n">
        <v>1</v>
      </c>
    </row>
    <row r="1822">
      <c r="A1822" s="7" t="inlineStr">
        <is>
          <t>MAT-32-470</t>
        </is>
      </c>
      <c r="B1822" s="4" t="inlineStr">
        <is>
          <t>Reducción de PPR 20 mm</t>
        </is>
      </c>
      <c r="C1822" s="7" t="inlineStr">
        <is>
          <t>unidad</t>
        </is>
      </c>
      <c r="D1822" s="8" t="n"/>
      <c r="E1822" s="8" t="n">
        <v>5.59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>
        <f>IF(COUNT(D1822:V1822)=0,"",MIN(D1822:V1822))</f>
        <v/>
      </c>
      <c r="X1822" s="8">
        <f>IF(COUNT(D1822:V1822)=0,"",MEDIAN(D1822:V1822))</f>
        <v/>
      </c>
      <c r="Y1822" s="8">
        <f>IF(COUNT(D1822:V1822)=0,"",MAX(D1822:V1822))</f>
        <v/>
      </c>
      <c r="Z1822" s="9">
        <f>IF(OR(W1822="",W1822=0),"",(Y1822-W1822)/W1822)</f>
        <v/>
      </c>
      <c r="AA1822" s="7">
        <f>IF(COUNT(D1822:V1822)=0,"",INDEX($D$1:$V$1,MATCH(MIN(D1822:V1822),D1822:V1822,0)))</f>
        <v/>
      </c>
      <c r="AB1822" s="8" t="n">
        <v>6.84</v>
      </c>
      <c r="AC1822" s="10" t="n">
        <v>1</v>
      </c>
    </row>
    <row r="1823">
      <c r="A1823" s="7" t="inlineStr">
        <is>
          <t>MAT-32-471</t>
        </is>
      </c>
      <c r="B1823" s="4" t="inlineStr">
        <is>
          <t>Reducción de PPR 25 mm</t>
        </is>
      </c>
      <c r="C1823" s="7" t="inlineStr">
        <is>
          <t>unidad</t>
        </is>
      </c>
      <c r="D1823" s="8" t="n"/>
      <c r="E1823" s="8" t="n">
        <v>7.98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>
        <f>IF(COUNT(D1823:V1823)=0,"",MIN(D1823:V1823))</f>
        <v/>
      </c>
      <c r="X1823" s="8">
        <f>IF(COUNT(D1823:V1823)=0,"",MEDIAN(D1823:V1823))</f>
        <v/>
      </c>
      <c r="Y1823" s="8">
        <f>IF(COUNT(D1823:V1823)=0,"",MAX(D1823:V1823))</f>
        <v/>
      </c>
      <c r="Z1823" s="9">
        <f>IF(OR(W1823="",W1823=0),"",(Y1823-W1823)/W1823)</f>
        <v/>
      </c>
      <c r="AA1823" s="7">
        <f>IF(COUNT(D1823:V1823)=0,"",INDEX($D$1:$V$1,MATCH(MIN(D1823:V1823),D1823:V1823,0)))</f>
        <v/>
      </c>
      <c r="AB1823" s="8" t="n">
        <v>13.91</v>
      </c>
      <c r="AC1823" s="10" t="n">
        <v>1</v>
      </c>
    </row>
    <row r="1824">
      <c r="A1824" s="7" t="inlineStr">
        <is>
          <t>MAT-32-472</t>
        </is>
      </c>
      <c r="B1824" s="4" t="inlineStr">
        <is>
          <t>Reducción de PPR 25 mm x 20 mm</t>
        </is>
      </c>
      <c r="C1824" s="7" t="inlineStr">
        <is>
          <t>unidad</t>
        </is>
      </c>
      <c r="D1824" s="8" t="n"/>
      <c r="E1824" s="8" t="n"/>
      <c r="F1824" s="8" t="n"/>
      <c r="G1824" s="8" t="n">
        <v>53</v>
      </c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>
        <f>IF(COUNT(D1824:V1824)=0,"",MIN(D1824:V1824))</f>
        <v/>
      </c>
      <c r="X1824" s="8">
        <f>IF(COUNT(D1824:V1824)=0,"",MEDIAN(D1824:V1824))</f>
        <v/>
      </c>
      <c r="Y1824" s="8">
        <f>IF(COUNT(D1824:V1824)=0,"",MAX(D1824:V1824))</f>
        <v/>
      </c>
      <c r="Z1824" s="9">
        <f>IF(OR(W1824="",W1824=0),"",(Y1824-W1824)/W1824)</f>
        <v/>
      </c>
      <c r="AA1824" s="7">
        <f>IF(COUNT(D1824:V1824)=0,"",INDEX($D$1:$V$1,MATCH(MIN(D1824:V1824),D1824:V1824,0)))</f>
        <v/>
      </c>
      <c r="AB1824" s="8" t="n">
        <v>53</v>
      </c>
      <c r="AC1824" s="10" t="n">
        <v>1</v>
      </c>
    </row>
    <row r="1825">
      <c r="A1825" s="7" t="inlineStr">
        <is>
          <t>MAT-32-473</t>
        </is>
      </c>
      <c r="B1825" s="4" t="inlineStr">
        <is>
          <t>Reducción de PPR 32 mm</t>
        </is>
      </c>
      <c r="C1825" s="7" t="inlineStr">
        <is>
          <t>unidad</t>
        </is>
      </c>
      <c r="D1825" s="8" t="n"/>
      <c r="E1825" s="8" t="n">
        <v>22.53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>
        <f>IF(COUNT(D1825:V1825)=0,"",MIN(D1825:V1825))</f>
        <v/>
      </c>
      <c r="X1825" s="8">
        <f>IF(COUNT(D1825:V1825)=0,"",MEDIAN(D1825:V1825))</f>
        <v/>
      </c>
      <c r="Y1825" s="8">
        <f>IF(COUNT(D1825:V1825)=0,"",MAX(D1825:V1825))</f>
        <v/>
      </c>
      <c r="Z1825" s="9">
        <f>IF(OR(W1825="",W1825=0),"",(Y1825-W1825)/W1825)</f>
        <v/>
      </c>
      <c r="AA1825" s="7">
        <f>IF(COUNT(D1825:V1825)=0,"",INDEX($D$1:$V$1,MATCH(MIN(D1825:V1825),D1825:V1825,0)))</f>
        <v/>
      </c>
      <c r="AB1825" s="8" t="n">
        <v>22.53</v>
      </c>
      <c r="AC1825" s="10" t="n">
        <v>1</v>
      </c>
    </row>
    <row r="1826">
      <c r="A1826" s="7" t="inlineStr">
        <is>
          <t>MAT-32-474</t>
        </is>
      </c>
      <c r="B1826" s="4" t="inlineStr">
        <is>
          <t>Reducción de PVC drenaje 1 1/2" x 1"</t>
        </is>
      </c>
      <c r="C1826" s="7" t="inlineStr">
        <is>
          <t>unidad</t>
        </is>
      </c>
      <c r="D1826" s="8" t="n"/>
      <c r="E1826" s="8" t="n">
        <v>15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>
        <f>IF(COUNT(D1826:V1826)=0,"",MIN(D1826:V1826))</f>
        <v/>
      </c>
      <c r="X1826" s="8">
        <f>IF(COUNT(D1826:V1826)=0,"",MEDIAN(D1826:V1826))</f>
        <v/>
      </c>
      <c r="Y1826" s="8">
        <f>IF(COUNT(D1826:V1826)=0,"",MAX(D1826:V1826))</f>
        <v/>
      </c>
      <c r="Z1826" s="9">
        <f>IF(OR(W1826="",W1826=0),"",(Y1826-W1826)/W1826)</f>
        <v/>
      </c>
      <c r="AA1826" s="7">
        <f>IF(COUNT(D1826:V1826)=0,"",INDEX($D$1:$V$1,MATCH(MIN(D1826:V1826),D1826:V1826,0)))</f>
        <v/>
      </c>
      <c r="AB1826" s="8" t="n">
        <v>15</v>
      </c>
      <c r="AC1826" s="10" t="n">
        <v>1</v>
      </c>
    </row>
    <row r="1827">
      <c r="A1827" s="7" t="inlineStr">
        <is>
          <t>MAT-32-475</t>
        </is>
      </c>
      <c r="B1827" s="4" t="inlineStr">
        <is>
          <t>Reducción de PVC drenaje 2" x 1/2"</t>
        </is>
      </c>
      <c r="C1827" s="7" t="inlineStr">
        <is>
          <t>unidad</t>
        </is>
      </c>
      <c r="D1827" s="8" t="n"/>
      <c r="E1827" s="8" t="n">
        <v>14.69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>
        <f>IF(COUNT(D1827:V1827)=0,"",MIN(D1827:V1827))</f>
        <v/>
      </c>
      <c r="X1827" s="8">
        <f>IF(COUNT(D1827:V1827)=0,"",MEDIAN(D1827:V1827))</f>
        <v/>
      </c>
      <c r="Y1827" s="8">
        <f>IF(COUNT(D1827:V1827)=0,"",MAX(D1827:V1827))</f>
        <v/>
      </c>
      <c r="Z1827" s="9">
        <f>IF(OR(W1827="",W1827=0),"",(Y1827-W1827)/W1827)</f>
        <v/>
      </c>
      <c r="AA1827" s="7">
        <f>IF(COUNT(D1827:V1827)=0,"",INDEX($D$1:$V$1,MATCH(MIN(D1827:V1827),D1827:V1827,0)))</f>
        <v/>
      </c>
      <c r="AB1827" s="8" t="n">
        <v>14.69</v>
      </c>
      <c r="AC1827" s="10" t="n">
        <v>1</v>
      </c>
    </row>
    <row r="1828">
      <c r="A1828" s="7" t="inlineStr">
        <is>
          <t>MAT-32-476</t>
        </is>
      </c>
      <c r="B1828" s="4" t="inlineStr">
        <is>
          <t>Reducción de PVC drenaje 2" x 1"</t>
        </is>
      </c>
      <c r="C1828" s="7" t="inlineStr">
        <is>
          <t>unidad</t>
        </is>
      </c>
      <c r="D1828" s="8" t="n"/>
      <c r="E1828" s="8" t="n">
        <v>14.96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>
        <f>IF(COUNT(D1828:V1828)=0,"",MIN(D1828:V1828))</f>
        <v/>
      </c>
      <c r="X1828" s="8">
        <f>IF(COUNT(D1828:V1828)=0,"",MEDIAN(D1828:V1828))</f>
        <v/>
      </c>
      <c r="Y1828" s="8">
        <f>IF(COUNT(D1828:V1828)=0,"",MAX(D1828:V1828))</f>
        <v/>
      </c>
      <c r="Z1828" s="9">
        <f>IF(OR(W1828="",W1828=0),"",(Y1828-W1828)/W1828)</f>
        <v/>
      </c>
      <c r="AA1828" s="7">
        <f>IF(COUNT(D1828:V1828)=0,"",INDEX($D$1:$V$1,MATCH(MIN(D1828:V1828),D1828:V1828,0)))</f>
        <v/>
      </c>
      <c r="AB1828" s="8" t="n">
        <v>14.96</v>
      </c>
      <c r="AC1828" s="10" t="n">
        <v>1</v>
      </c>
    </row>
    <row r="1829">
      <c r="A1829" s="7" t="inlineStr">
        <is>
          <t>MAT-32-477</t>
        </is>
      </c>
      <c r="B1829" s="4" t="inlineStr">
        <is>
          <t>Reducción de PVC drenaje 2" x 3/4"</t>
        </is>
      </c>
      <c r="C1829" s="7" t="inlineStr">
        <is>
          <t>unidad</t>
        </is>
      </c>
      <c r="D1829" s="8" t="n"/>
      <c r="E1829" s="8" t="n">
        <v>14.52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>
        <f>IF(COUNT(D1829:V1829)=0,"",MIN(D1829:V1829))</f>
        <v/>
      </c>
      <c r="X1829" s="8">
        <f>IF(COUNT(D1829:V1829)=0,"",MEDIAN(D1829:V1829))</f>
        <v/>
      </c>
      <c r="Y1829" s="8">
        <f>IF(COUNT(D1829:V1829)=0,"",MAX(D1829:V1829))</f>
        <v/>
      </c>
      <c r="Z1829" s="9">
        <f>IF(OR(W1829="",W1829=0),"",(Y1829-W1829)/W1829)</f>
        <v/>
      </c>
      <c r="AA1829" s="7">
        <f>IF(COUNT(D1829:V1829)=0,"",INDEX($D$1:$V$1,MATCH(MIN(D1829:V1829),D1829:V1829,0)))</f>
        <v/>
      </c>
      <c r="AB1829" s="8" t="n">
        <v>14.52</v>
      </c>
      <c r="AC1829" s="10" t="n">
        <v>1</v>
      </c>
    </row>
    <row r="1830">
      <c r="A1830" s="7" t="inlineStr">
        <is>
          <t>MAT-32-478</t>
        </is>
      </c>
      <c r="B1830" s="4" t="inlineStr">
        <is>
          <t>Reducción de PVC drenaje 3" x 2"</t>
        </is>
      </c>
      <c r="C1830" s="7" t="inlineStr">
        <is>
          <t>unidad</t>
        </is>
      </c>
      <c r="D1830" s="8" t="n"/>
      <c r="E1830" s="8" t="n">
        <v>28.6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>
        <f>IF(COUNT(D1830:V1830)=0,"",MIN(D1830:V1830))</f>
        <v/>
      </c>
      <c r="X1830" s="8">
        <f>IF(COUNT(D1830:V1830)=0,"",MEDIAN(D1830:V1830))</f>
        <v/>
      </c>
      <c r="Y1830" s="8">
        <f>IF(COUNT(D1830:V1830)=0,"",MAX(D1830:V1830))</f>
        <v/>
      </c>
      <c r="Z1830" s="9">
        <f>IF(OR(W1830="",W1830=0),"",(Y1830-W1830)/W1830)</f>
        <v/>
      </c>
      <c r="AA1830" s="7">
        <f>IF(COUNT(D1830:V1830)=0,"",INDEX($D$1:$V$1,MATCH(MIN(D1830:V1830),D1830:V1830,0)))</f>
        <v/>
      </c>
      <c r="AB1830" s="8" t="n">
        <v>31.93</v>
      </c>
      <c r="AC1830" s="10" t="n">
        <v>1</v>
      </c>
    </row>
    <row r="1831">
      <c r="A1831" s="7" t="inlineStr">
        <is>
          <t>MAT-32-479</t>
        </is>
      </c>
      <c r="B1831" s="4" t="inlineStr">
        <is>
          <t>Reducción de PVC drenaje 4" x 2"</t>
        </is>
      </c>
      <c r="C1831" s="7" t="inlineStr">
        <is>
          <t>unidad</t>
        </is>
      </c>
      <c r="D1831" s="8" t="n"/>
      <c r="E1831" s="8" t="n">
        <v>57.06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>
        <f>IF(COUNT(D1831:V1831)=0,"",MIN(D1831:V1831))</f>
        <v/>
      </c>
      <c r="X1831" s="8">
        <f>IF(COUNT(D1831:V1831)=0,"",MEDIAN(D1831:V1831))</f>
        <v/>
      </c>
      <c r="Y1831" s="8">
        <f>IF(COUNT(D1831:V1831)=0,"",MAX(D1831:V1831))</f>
        <v/>
      </c>
      <c r="Z1831" s="9">
        <f>IF(OR(W1831="",W1831=0),"",(Y1831-W1831)/W1831)</f>
        <v/>
      </c>
      <c r="AA1831" s="7">
        <f>IF(COUNT(D1831:V1831)=0,"",INDEX($D$1:$V$1,MATCH(MIN(D1831:V1831),D1831:V1831,0)))</f>
        <v/>
      </c>
      <c r="AB1831" s="8" t="n">
        <v>66.90000000000001</v>
      </c>
      <c r="AC1831" s="10" t="n">
        <v>1</v>
      </c>
    </row>
    <row r="1832">
      <c r="A1832" s="7" t="inlineStr">
        <is>
          <t>MAT-32-480</t>
        </is>
      </c>
      <c r="B1832" s="4" t="inlineStr">
        <is>
          <t>Reducción de PVC drenaje 4" x 3"</t>
        </is>
      </c>
      <c r="C1832" s="7" t="inlineStr">
        <is>
          <t>unidad</t>
        </is>
      </c>
      <c r="D1832" s="8" t="n"/>
      <c r="E1832" s="8" t="n">
        <v>52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>
        <f>IF(COUNT(D1832:V1832)=0,"",MIN(D1832:V1832))</f>
        <v/>
      </c>
      <c r="X1832" s="8">
        <f>IF(COUNT(D1832:V1832)=0,"",MEDIAN(D1832:V1832))</f>
        <v/>
      </c>
      <c r="Y1832" s="8">
        <f>IF(COUNT(D1832:V1832)=0,"",MAX(D1832:V1832))</f>
        <v/>
      </c>
      <c r="Z1832" s="9">
        <f>IF(OR(W1832="",W1832=0),"",(Y1832-W1832)/W1832)</f>
        <v/>
      </c>
      <c r="AA1832" s="7">
        <f>IF(COUNT(D1832:V1832)=0,"",INDEX($D$1:$V$1,MATCH(MIN(D1832:V1832),D1832:V1832,0)))</f>
        <v/>
      </c>
      <c r="AB1832" s="8" t="n">
        <v>59.26</v>
      </c>
      <c r="AC1832" s="10" t="n">
        <v>1</v>
      </c>
    </row>
    <row r="1833">
      <c r="A1833" s="7" t="inlineStr">
        <is>
          <t>MAT-32-481</t>
        </is>
      </c>
      <c r="B1833" s="4" t="inlineStr">
        <is>
          <t>Reducción de PVC 1 1/2" x 1/2"</t>
        </is>
      </c>
      <c r="C1833" s="7" t="inlineStr">
        <is>
          <t>unidad</t>
        </is>
      </c>
      <c r="D1833" s="8" t="n"/>
      <c r="E1833" s="8" t="n"/>
      <c r="F1833" s="8" t="n"/>
      <c r="G1833" s="8" t="n">
        <v>63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>
        <f>IF(COUNT(D1833:V1833)=0,"",MIN(D1833:V1833))</f>
        <v/>
      </c>
      <c r="X1833" s="8">
        <f>IF(COUNT(D1833:V1833)=0,"",MEDIAN(D1833:V1833))</f>
        <v/>
      </c>
      <c r="Y1833" s="8">
        <f>IF(COUNT(D1833:V1833)=0,"",MAX(D1833:V1833))</f>
        <v/>
      </c>
      <c r="Z1833" s="9">
        <f>IF(OR(W1833="",W1833=0),"",(Y1833-W1833)/W1833)</f>
        <v/>
      </c>
      <c r="AA1833" s="7">
        <f>IF(COUNT(D1833:V1833)=0,"",INDEX($D$1:$V$1,MATCH(MIN(D1833:V1833),D1833:V1833,0)))</f>
        <v/>
      </c>
      <c r="AB1833" s="8" t="n">
        <v>63</v>
      </c>
      <c r="AC1833" s="10" t="n">
        <v>1</v>
      </c>
    </row>
    <row r="1834">
      <c r="A1834" s="7" t="inlineStr">
        <is>
          <t>MAT-32-482</t>
        </is>
      </c>
      <c r="B1834" s="4" t="inlineStr">
        <is>
          <t>Reducción de PVC 1 1/2" x 1"</t>
        </is>
      </c>
      <c r="C1834" s="7" t="inlineStr">
        <is>
          <t>unidad</t>
        </is>
      </c>
      <c r="D1834" s="8" t="n"/>
      <c r="E1834" s="8" t="n"/>
      <c r="F1834" s="8" t="n"/>
      <c r="G1834" s="8" t="n">
        <v>111</v>
      </c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>
        <f>IF(COUNT(D1834:V1834)=0,"",MIN(D1834:V1834))</f>
        <v/>
      </c>
      <c r="X1834" s="8">
        <f>IF(COUNT(D1834:V1834)=0,"",MEDIAN(D1834:V1834))</f>
        <v/>
      </c>
      <c r="Y1834" s="8">
        <f>IF(COUNT(D1834:V1834)=0,"",MAX(D1834:V1834))</f>
        <v/>
      </c>
      <c r="Z1834" s="9">
        <f>IF(OR(W1834="",W1834=0),"",(Y1834-W1834)/W1834)</f>
        <v/>
      </c>
      <c r="AA1834" s="7">
        <f>IF(COUNT(D1834:V1834)=0,"",INDEX($D$1:$V$1,MATCH(MIN(D1834:V1834),D1834:V1834,0)))</f>
        <v/>
      </c>
      <c r="AB1834" s="8" t="n">
        <v>111</v>
      </c>
      <c r="AC1834" s="10" t="n">
        <v>1</v>
      </c>
    </row>
    <row r="1835">
      <c r="A1835" s="7" t="inlineStr">
        <is>
          <t>MAT-32-483</t>
        </is>
      </c>
      <c r="B1835" s="4" t="inlineStr">
        <is>
          <t>Reducción de PVC 1 1/2" x 3/4"</t>
        </is>
      </c>
      <c r="C1835" s="7" t="inlineStr">
        <is>
          <t>unidad</t>
        </is>
      </c>
      <c r="D1835" s="8" t="n"/>
      <c r="E1835" s="8" t="n"/>
      <c r="F1835" s="8" t="n"/>
      <c r="G1835" s="8" t="n">
        <v>85</v>
      </c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>
        <f>IF(COUNT(D1835:V1835)=0,"",MIN(D1835:V1835))</f>
        <v/>
      </c>
      <c r="X1835" s="8">
        <f>IF(COUNT(D1835:V1835)=0,"",MEDIAN(D1835:V1835))</f>
        <v/>
      </c>
      <c r="Y1835" s="8">
        <f>IF(COUNT(D1835:V1835)=0,"",MAX(D1835:V1835))</f>
        <v/>
      </c>
      <c r="Z1835" s="9">
        <f>IF(OR(W1835="",W1835=0),"",(Y1835-W1835)/W1835)</f>
        <v/>
      </c>
      <c r="AA1835" s="7">
        <f>IF(COUNT(D1835:V1835)=0,"",INDEX($D$1:$V$1,MATCH(MIN(D1835:V1835),D1835:V1835,0)))</f>
        <v/>
      </c>
      <c r="AB1835" s="8" t="n">
        <v>85</v>
      </c>
      <c r="AC1835" s="10" t="n">
        <v>1</v>
      </c>
    </row>
    <row r="1836">
      <c r="A1836" s="7" t="inlineStr">
        <is>
          <t>MAT-32-484</t>
        </is>
      </c>
      <c r="B1836" s="4" t="inlineStr">
        <is>
          <t>Reducción de PVC 12" x 8"</t>
        </is>
      </c>
      <c r="C1836" s="7" t="inlineStr">
        <is>
          <t>unidad</t>
        </is>
      </c>
      <c r="D1836" s="8" t="n"/>
      <c r="E1836" s="8" t="n">
        <v>13614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>
        <f>IF(COUNT(D1836:V1836)=0,"",MIN(D1836:V1836))</f>
        <v/>
      </c>
      <c r="X1836" s="8">
        <f>IF(COUNT(D1836:V1836)=0,"",MEDIAN(D1836:V1836))</f>
        <v/>
      </c>
      <c r="Y1836" s="8">
        <f>IF(COUNT(D1836:V1836)=0,"",MAX(D1836:V1836))</f>
        <v/>
      </c>
      <c r="Z1836" s="9">
        <f>IF(OR(W1836="",W1836=0),"",(Y1836-W1836)/W1836)</f>
        <v/>
      </c>
      <c r="AA1836" s="7">
        <f>IF(COUNT(D1836:V1836)=0,"",INDEX($D$1:$V$1,MATCH(MIN(D1836:V1836),D1836:V1836,0)))</f>
        <v/>
      </c>
      <c r="AB1836" s="8" t="n">
        <v>13614</v>
      </c>
      <c r="AC1836" s="10" t="n">
        <v>1</v>
      </c>
    </row>
    <row r="1837">
      <c r="A1837" s="7" t="inlineStr">
        <is>
          <t>MAT-32-485</t>
        </is>
      </c>
      <c r="B1837" s="4" t="inlineStr">
        <is>
          <t>Reducción de PVC 16" x 12"</t>
        </is>
      </c>
      <c r="C1837" s="7" t="inlineStr">
        <is>
          <t>unidad</t>
        </is>
      </c>
      <c r="D1837" s="8" t="n"/>
      <c r="E1837" s="8" t="n">
        <v>9256.889999999999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>
        <f>IF(COUNT(D1837:V1837)=0,"",MIN(D1837:V1837))</f>
        <v/>
      </c>
      <c r="X1837" s="8">
        <f>IF(COUNT(D1837:V1837)=0,"",MEDIAN(D1837:V1837))</f>
        <v/>
      </c>
      <c r="Y1837" s="8">
        <f>IF(COUNT(D1837:V1837)=0,"",MAX(D1837:V1837))</f>
        <v/>
      </c>
      <c r="Z1837" s="9">
        <f>IF(OR(W1837="",W1837=0),"",(Y1837-W1837)/W1837)</f>
        <v/>
      </c>
      <c r="AA1837" s="7">
        <f>IF(COUNT(D1837:V1837)=0,"",INDEX($D$1:$V$1,MATCH(MIN(D1837:V1837),D1837:V1837,0)))</f>
        <v/>
      </c>
      <c r="AB1837" s="8" t="n">
        <v>9256.889999999999</v>
      </c>
      <c r="AC1837" s="10" t="n">
        <v>1</v>
      </c>
    </row>
    <row r="1838">
      <c r="A1838" s="7" t="inlineStr">
        <is>
          <t>MAT-32-486</t>
        </is>
      </c>
      <c r="B1838" s="4" t="inlineStr">
        <is>
          <t>Reducción de PVC 2" x 1 1/2"</t>
        </is>
      </c>
      <c r="C1838" s="7" t="inlineStr">
        <is>
          <t>unidad</t>
        </is>
      </c>
      <c r="D1838" s="8" t="n"/>
      <c r="E1838" s="8" t="n"/>
      <c r="F1838" s="8" t="n"/>
      <c r="G1838" s="8" t="n">
        <v>234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>
        <f>IF(COUNT(D1838:V1838)=0,"",MIN(D1838:V1838))</f>
        <v/>
      </c>
      <c r="X1838" s="8">
        <f>IF(COUNT(D1838:V1838)=0,"",MEDIAN(D1838:V1838))</f>
        <v/>
      </c>
      <c r="Y1838" s="8">
        <f>IF(COUNT(D1838:V1838)=0,"",MAX(D1838:V1838))</f>
        <v/>
      </c>
      <c r="Z1838" s="9">
        <f>IF(OR(W1838="",W1838=0),"",(Y1838-W1838)/W1838)</f>
        <v/>
      </c>
      <c r="AA1838" s="7">
        <f>IF(COUNT(D1838:V1838)=0,"",INDEX($D$1:$V$1,MATCH(MIN(D1838:V1838),D1838:V1838,0)))</f>
        <v/>
      </c>
      <c r="AB1838" s="8" t="n">
        <v>234</v>
      </c>
      <c r="AC1838" s="10" t="n">
        <v>1</v>
      </c>
    </row>
    <row r="1839">
      <c r="A1839" s="7" t="inlineStr">
        <is>
          <t>MAT-32-487</t>
        </is>
      </c>
      <c r="B1839" s="4" t="inlineStr">
        <is>
          <t>Reducción de PVC 3/4" x 1/2"</t>
        </is>
      </c>
      <c r="C1839" s="7" t="inlineStr">
        <is>
          <t>unidad</t>
        </is>
      </c>
      <c r="D1839" s="8" t="n"/>
      <c r="E1839" s="8" t="n">
        <v>5.77</v>
      </c>
      <c r="F1839" s="8" t="n"/>
      <c r="G1839" s="8" t="n">
        <v>46</v>
      </c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>
        <f>IF(COUNT(D1839:V1839)=0,"",MIN(D1839:V1839))</f>
        <v/>
      </c>
      <c r="X1839" s="8">
        <f>IF(COUNT(D1839:V1839)=0,"",MEDIAN(D1839:V1839))</f>
        <v/>
      </c>
      <c r="Y1839" s="8">
        <f>IF(COUNT(D1839:V1839)=0,"",MAX(D1839:V1839))</f>
        <v/>
      </c>
      <c r="Z1839" s="9">
        <f>IF(OR(W1839="",W1839=0),"",(Y1839-W1839)/W1839)</f>
        <v/>
      </c>
      <c r="AA1839" s="7">
        <f>IF(COUNT(D1839:V1839)=0,"",INDEX($D$1:$V$1,MATCH(MIN(D1839:V1839),D1839:V1839,0)))</f>
        <v/>
      </c>
      <c r="AB1839" s="8" t="n">
        <v>21.47</v>
      </c>
      <c r="AC1839" s="10" t="n">
        <v>2</v>
      </c>
    </row>
    <row r="1840">
      <c r="A1840" s="7" t="inlineStr">
        <is>
          <t>MAT-32-488</t>
        </is>
      </c>
      <c r="B1840" s="4" t="inlineStr">
        <is>
          <t>Reducción de PVC 4" x 2"</t>
        </is>
      </c>
      <c r="C1840" s="7" t="inlineStr">
        <is>
          <t>unidad</t>
        </is>
      </c>
      <c r="D1840" s="8" t="n"/>
      <c r="E1840" s="8" t="n">
        <v>348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>
        <f>IF(COUNT(D1840:V1840)=0,"",MIN(D1840:V1840))</f>
        <v/>
      </c>
      <c r="X1840" s="8">
        <f>IF(COUNT(D1840:V1840)=0,"",MEDIAN(D1840:V1840))</f>
        <v/>
      </c>
      <c r="Y1840" s="8">
        <f>IF(COUNT(D1840:V1840)=0,"",MAX(D1840:V1840))</f>
        <v/>
      </c>
      <c r="Z1840" s="9">
        <f>IF(OR(W1840="",W1840=0),"",(Y1840-W1840)/W1840)</f>
        <v/>
      </c>
      <c r="AA1840" s="7">
        <f>IF(COUNT(D1840:V1840)=0,"",INDEX($D$1:$V$1,MATCH(MIN(D1840:V1840),D1840:V1840,0)))</f>
        <v/>
      </c>
      <c r="AB1840" s="8" t="n">
        <v>348</v>
      </c>
      <c r="AC1840" s="10" t="n">
        <v>1</v>
      </c>
    </row>
    <row r="1841">
      <c r="A1841" s="7" t="inlineStr">
        <is>
          <t>MAT-32-489</t>
        </is>
      </c>
      <c r="B1841" s="4" t="inlineStr">
        <is>
          <t>Reducción de PVC 4" x 3"</t>
        </is>
      </c>
      <c r="C1841" s="7" t="inlineStr">
        <is>
          <t>unidad</t>
        </is>
      </c>
      <c r="D1841" s="8" t="n"/>
      <c r="E1841" s="8" t="n">
        <v>122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>
        <f>IF(COUNT(D1841:V1841)=0,"",MIN(D1841:V1841))</f>
        <v/>
      </c>
      <c r="X1841" s="8">
        <f>IF(COUNT(D1841:V1841)=0,"",MEDIAN(D1841:V1841))</f>
        <v/>
      </c>
      <c r="Y1841" s="8">
        <f>IF(COUNT(D1841:V1841)=0,"",MAX(D1841:V1841))</f>
        <v/>
      </c>
      <c r="Z1841" s="9">
        <f>IF(OR(W1841="",W1841=0),"",(Y1841-W1841)/W1841)</f>
        <v/>
      </c>
      <c r="AA1841" s="7">
        <f>IF(COUNT(D1841:V1841)=0,"",INDEX($D$1:$V$1,MATCH(MIN(D1841:V1841),D1841:V1841,0)))</f>
        <v/>
      </c>
      <c r="AB1841" s="8" t="n">
        <v>376</v>
      </c>
      <c r="AC1841" s="10" t="n">
        <v>1</v>
      </c>
    </row>
    <row r="1842">
      <c r="A1842" s="7" t="inlineStr">
        <is>
          <t>MAT-32-490</t>
        </is>
      </c>
      <c r="B1842" s="4" t="inlineStr">
        <is>
          <t>Reducción de PVC presión 1 1/2"</t>
        </is>
      </c>
      <c r="C1842" s="7" t="inlineStr">
        <is>
          <t>unidad</t>
        </is>
      </c>
      <c r="D1842" s="8" t="n"/>
      <c r="E1842" s="8" t="n">
        <v>25.53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>
        <f>IF(COUNT(D1842:V1842)=0,"",MIN(D1842:V1842))</f>
        <v/>
      </c>
      <c r="X1842" s="8">
        <f>IF(COUNT(D1842:V1842)=0,"",MEDIAN(D1842:V1842))</f>
        <v/>
      </c>
      <c r="Y1842" s="8">
        <f>IF(COUNT(D1842:V1842)=0,"",MAX(D1842:V1842))</f>
        <v/>
      </c>
      <c r="Z1842" s="9">
        <f>IF(OR(W1842="",W1842=0),"",(Y1842-W1842)/W1842)</f>
        <v/>
      </c>
      <c r="AA1842" s="7">
        <f>IF(COUNT(D1842:V1842)=0,"",INDEX($D$1:$V$1,MATCH(MIN(D1842:V1842),D1842:V1842,0)))</f>
        <v/>
      </c>
      <c r="AB1842" s="8" t="n">
        <v>25.53</v>
      </c>
      <c r="AC1842" s="10" t="n">
        <v>1</v>
      </c>
    </row>
    <row r="1843">
      <c r="A1843" s="7" t="inlineStr">
        <is>
          <t>MAT-32-491</t>
        </is>
      </c>
      <c r="B1843" s="4" t="inlineStr">
        <is>
          <t>Reducción de PVC presión 1 1/2" x 1/2"</t>
        </is>
      </c>
      <c r="C1843" s="7" t="inlineStr">
        <is>
          <t>unidad</t>
        </is>
      </c>
      <c r="D1843" s="8" t="n"/>
      <c r="E1843" s="8" t="n">
        <v>26.39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>
        <f>IF(COUNT(D1843:V1843)=0,"",MIN(D1843:V1843))</f>
        <v/>
      </c>
      <c r="X1843" s="8">
        <f>IF(COUNT(D1843:V1843)=0,"",MEDIAN(D1843:V1843))</f>
        <v/>
      </c>
      <c r="Y1843" s="8">
        <f>IF(COUNT(D1843:V1843)=0,"",MAX(D1843:V1843))</f>
        <v/>
      </c>
      <c r="Z1843" s="9">
        <f>IF(OR(W1843="",W1843=0),"",(Y1843-W1843)/W1843)</f>
        <v/>
      </c>
      <c r="AA1843" s="7">
        <f>IF(COUNT(D1843:V1843)=0,"",INDEX($D$1:$V$1,MATCH(MIN(D1843:V1843),D1843:V1843,0)))</f>
        <v/>
      </c>
      <c r="AB1843" s="8" t="n">
        <v>26.39</v>
      </c>
      <c r="AC1843" s="10" t="n">
        <v>1</v>
      </c>
    </row>
    <row r="1844">
      <c r="A1844" s="7" t="inlineStr">
        <is>
          <t>MAT-32-492</t>
        </is>
      </c>
      <c r="B1844" s="4" t="inlineStr">
        <is>
          <t>Reducción de PVC presión 1" x 1/2"</t>
        </is>
      </c>
      <c r="C1844" s="7" t="inlineStr">
        <is>
          <t>unidad</t>
        </is>
      </c>
      <c r="D1844" s="8" t="n"/>
      <c r="E1844" s="8" t="n">
        <v>7.7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>
        <f>IF(COUNT(D1844:V1844)=0,"",MIN(D1844:V1844))</f>
        <v/>
      </c>
      <c r="X1844" s="8">
        <f>IF(COUNT(D1844:V1844)=0,"",MEDIAN(D1844:V1844))</f>
        <v/>
      </c>
      <c r="Y1844" s="8">
        <f>IF(COUNT(D1844:V1844)=0,"",MAX(D1844:V1844))</f>
        <v/>
      </c>
      <c r="Z1844" s="9">
        <f>IF(OR(W1844="",W1844=0),"",(Y1844-W1844)/W1844)</f>
        <v/>
      </c>
      <c r="AA1844" s="7">
        <f>IF(COUNT(D1844:V1844)=0,"",INDEX($D$1:$V$1,MATCH(MIN(D1844:V1844),D1844:V1844,0)))</f>
        <v/>
      </c>
      <c r="AB1844" s="8" t="n">
        <v>9.130000000000001</v>
      </c>
      <c r="AC1844" s="10" t="n">
        <v>1</v>
      </c>
    </row>
    <row r="1845">
      <c r="A1845" s="7" t="inlineStr">
        <is>
          <t>MAT-32-493</t>
        </is>
      </c>
      <c r="B1845" s="4" t="inlineStr">
        <is>
          <t>Reducción de PVC presión 1" x 3/4"</t>
        </is>
      </c>
      <c r="C1845" s="7" t="inlineStr">
        <is>
          <t>unidad</t>
        </is>
      </c>
      <c r="D1845" s="8" t="n"/>
      <c r="E1845" s="8" t="n">
        <v>6.11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>
        <f>IF(COUNT(D1845:V1845)=0,"",MIN(D1845:V1845))</f>
        <v/>
      </c>
      <c r="X1845" s="8">
        <f>IF(COUNT(D1845:V1845)=0,"",MEDIAN(D1845:V1845))</f>
        <v/>
      </c>
      <c r="Y1845" s="8">
        <f>IF(COUNT(D1845:V1845)=0,"",MAX(D1845:V1845))</f>
        <v/>
      </c>
      <c r="Z1845" s="9">
        <f>IF(OR(W1845="",W1845=0),"",(Y1845-W1845)/W1845)</f>
        <v/>
      </c>
      <c r="AA1845" s="7">
        <f>IF(COUNT(D1845:V1845)=0,"",INDEX($D$1:$V$1,MATCH(MIN(D1845:V1845),D1845:V1845,0)))</f>
        <v/>
      </c>
      <c r="AB1845" s="8" t="n">
        <v>7.19</v>
      </c>
      <c r="AC1845" s="10" t="n">
        <v>1</v>
      </c>
    </row>
    <row r="1846">
      <c r="A1846" s="7" t="inlineStr">
        <is>
          <t>MAT-32-494</t>
        </is>
      </c>
      <c r="B1846" s="4" t="inlineStr">
        <is>
          <t>Reducción de PVC presión 2" x 1 1/2"</t>
        </is>
      </c>
      <c r="C1846" s="7" t="inlineStr">
        <is>
          <t>unidad</t>
        </is>
      </c>
      <c r="D1846" s="8" t="n"/>
      <c r="E1846" s="8" t="n">
        <v>22.64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>
        <f>IF(COUNT(D1846:V1846)=0,"",MIN(D1846:V1846))</f>
        <v/>
      </c>
      <c r="X1846" s="8">
        <f>IF(COUNT(D1846:V1846)=0,"",MEDIAN(D1846:V1846))</f>
        <v/>
      </c>
      <c r="Y1846" s="8">
        <f>IF(COUNT(D1846:V1846)=0,"",MAX(D1846:V1846))</f>
        <v/>
      </c>
      <c r="Z1846" s="9">
        <f>IF(OR(W1846="",W1846=0),"",(Y1846-W1846)/W1846)</f>
        <v/>
      </c>
      <c r="AA1846" s="7">
        <f>IF(COUNT(D1846:V1846)=0,"",INDEX($D$1:$V$1,MATCH(MIN(D1846:V1846),D1846:V1846,0)))</f>
        <v/>
      </c>
      <c r="AB1846" s="8" t="n">
        <v>22.64</v>
      </c>
      <c r="AC1846" s="10" t="n">
        <v>1</v>
      </c>
    </row>
    <row r="1847">
      <c r="A1847" s="7" t="inlineStr">
        <is>
          <t>MAT-32-495</t>
        </is>
      </c>
      <c r="B1847" s="4" t="inlineStr">
        <is>
          <t>Reducción de PVC presión 2" x 1/2"</t>
        </is>
      </c>
      <c r="C1847" s="7" t="inlineStr">
        <is>
          <t>unidad</t>
        </is>
      </c>
      <c r="D1847" s="8" t="n"/>
      <c r="E1847" s="8" t="n">
        <v>20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>
        <f>IF(COUNT(D1847:V1847)=0,"",MIN(D1847:V1847))</f>
        <v/>
      </c>
      <c r="X1847" s="8">
        <f>IF(COUNT(D1847:V1847)=0,"",MEDIAN(D1847:V1847))</f>
        <v/>
      </c>
      <c r="Y1847" s="8">
        <f>IF(COUNT(D1847:V1847)=0,"",MAX(D1847:V1847))</f>
        <v/>
      </c>
      <c r="Z1847" s="9">
        <f>IF(OR(W1847="",W1847=0),"",(Y1847-W1847)/W1847)</f>
        <v/>
      </c>
      <c r="AA1847" s="7">
        <f>IF(COUNT(D1847:V1847)=0,"",INDEX($D$1:$V$1,MATCH(MIN(D1847:V1847),D1847:V1847,0)))</f>
        <v/>
      </c>
      <c r="AB1847" s="8" t="n">
        <v>36.92</v>
      </c>
      <c r="AC1847" s="10" t="n">
        <v>1</v>
      </c>
    </row>
    <row r="1848">
      <c r="A1848" s="7" t="inlineStr">
        <is>
          <t>MAT-32-496</t>
        </is>
      </c>
      <c r="B1848" s="4" t="inlineStr">
        <is>
          <t>Reducción de PVC presión 2" x 1"</t>
        </is>
      </c>
      <c r="C1848" s="7" t="inlineStr">
        <is>
          <t>unidad</t>
        </is>
      </c>
      <c r="D1848" s="8" t="n"/>
      <c r="E1848" s="8" t="n">
        <v>53.85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>
        <f>IF(COUNT(D1848:V1848)=0,"",MIN(D1848:V1848))</f>
        <v/>
      </c>
      <c r="X1848" s="8">
        <f>IF(COUNT(D1848:V1848)=0,"",MEDIAN(D1848:V1848))</f>
        <v/>
      </c>
      <c r="Y1848" s="8">
        <f>IF(COUNT(D1848:V1848)=0,"",MAX(D1848:V1848))</f>
        <v/>
      </c>
      <c r="Z1848" s="9">
        <f>IF(OR(W1848="",W1848=0),"",(Y1848-W1848)/W1848)</f>
        <v/>
      </c>
      <c r="AA1848" s="7">
        <f>IF(COUNT(D1848:V1848)=0,"",INDEX($D$1:$V$1,MATCH(MIN(D1848:V1848),D1848:V1848,0)))</f>
        <v/>
      </c>
      <c r="AB1848" s="8" t="n">
        <v>53.85</v>
      </c>
      <c r="AC1848" s="10" t="n">
        <v>1</v>
      </c>
    </row>
    <row r="1849">
      <c r="A1849" s="7" t="inlineStr">
        <is>
          <t>MAT-32-497</t>
        </is>
      </c>
      <c r="B1849" s="4" t="inlineStr">
        <is>
          <t>Reducción de PVC presión 2" x 3/4"</t>
        </is>
      </c>
      <c r="C1849" s="7" t="inlineStr">
        <is>
          <t>unidad</t>
        </is>
      </c>
      <c r="D1849" s="8" t="n"/>
      <c r="E1849" s="8" t="n">
        <v>53.61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>
        <f>IF(COUNT(D1849:V1849)=0,"",MIN(D1849:V1849))</f>
        <v/>
      </c>
      <c r="X1849" s="8">
        <f>IF(COUNT(D1849:V1849)=0,"",MEDIAN(D1849:V1849))</f>
        <v/>
      </c>
      <c r="Y1849" s="8">
        <f>IF(COUNT(D1849:V1849)=0,"",MAX(D1849:V1849))</f>
        <v/>
      </c>
      <c r="Z1849" s="9">
        <f>IF(OR(W1849="",W1849=0),"",(Y1849-W1849)/W1849)</f>
        <v/>
      </c>
      <c r="AA1849" s="7">
        <f>IF(COUNT(D1849:V1849)=0,"",INDEX($D$1:$V$1,MATCH(MIN(D1849:V1849),D1849:V1849,0)))</f>
        <v/>
      </c>
      <c r="AB1849" s="8" t="n">
        <v>53.61</v>
      </c>
      <c r="AC1849" s="10" t="n">
        <v>1</v>
      </c>
    </row>
    <row r="1850">
      <c r="A1850" s="7" t="inlineStr">
        <is>
          <t>MAT-32-498</t>
        </is>
      </c>
      <c r="B1850" s="4" t="inlineStr">
        <is>
          <t>Reducción de PVC presión 3/4" x 1/2"</t>
        </is>
      </c>
      <c r="C1850" s="7" t="inlineStr">
        <is>
          <t>unidad</t>
        </is>
      </c>
      <c r="D1850" s="8" t="n"/>
      <c r="E1850" s="8" t="n">
        <v>2.28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>
        <f>IF(COUNT(D1850:V1850)=0,"",MIN(D1850:V1850))</f>
        <v/>
      </c>
      <c r="X1850" s="8">
        <f>IF(COUNT(D1850:V1850)=0,"",MEDIAN(D1850:V1850))</f>
        <v/>
      </c>
      <c r="Y1850" s="8">
        <f>IF(COUNT(D1850:V1850)=0,"",MAX(D1850:V1850))</f>
        <v/>
      </c>
      <c r="Z1850" s="9">
        <f>IF(OR(W1850="",W1850=0),"",(Y1850-W1850)/W1850)</f>
        <v/>
      </c>
      <c r="AA1850" s="7">
        <f>IF(COUNT(D1850:V1850)=0,"",INDEX($D$1:$V$1,MATCH(MIN(D1850:V1850),D1850:V1850,0)))</f>
        <v/>
      </c>
      <c r="AB1850" s="8" t="n">
        <v>3.09</v>
      </c>
      <c r="AC1850" s="10" t="n">
        <v>1</v>
      </c>
    </row>
    <row r="1851">
      <c r="A1851" s="7" t="inlineStr">
        <is>
          <t>MAT-32-499</t>
        </is>
      </c>
      <c r="B1851" s="4" t="inlineStr">
        <is>
          <t>Reducción de PVC presión 3" x 2"</t>
        </is>
      </c>
      <c r="C1851" s="7" t="inlineStr">
        <is>
          <t>unidad</t>
        </is>
      </c>
      <c r="D1851" s="8" t="n"/>
      <c r="E1851" s="8" t="n">
        <v>104.52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>
        <f>IF(COUNT(D1851:V1851)=0,"",MIN(D1851:V1851))</f>
        <v/>
      </c>
      <c r="X1851" s="8">
        <f>IF(COUNT(D1851:V1851)=0,"",MEDIAN(D1851:V1851))</f>
        <v/>
      </c>
      <c r="Y1851" s="8">
        <f>IF(COUNT(D1851:V1851)=0,"",MAX(D1851:V1851))</f>
        <v/>
      </c>
      <c r="Z1851" s="9">
        <f>IF(OR(W1851="",W1851=0),"",(Y1851-W1851)/W1851)</f>
        <v/>
      </c>
      <c r="AA1851" s="7">
        <f>IF(COUNT(D1851:V1851)=0,"",INDEX($D$1:$V$1,MATCH(MIN(D1851:V1851),D1851:V1851,0)))</f>
        <v/>
      </c>
      <c r="AB1851" s="8" t="n">
        <v>104.52</v>
      </c>
      <c r="AC1851" s="10" t="n">
        <v>1</v>
      </c>
    </row>
    <row r="1852">
      <c r="A1852" s="7" t="inlineStr">
        <is>
          <t>MAT-32-500</t>
        </is>
      </c>
      <c r="B1852" s="4" t="inlineStr">
        <is>
          <t>Reducción de PVC presión 4" x 3"</t>
        </is>
      </c>
      <c r="C1852" s="7" t="inlineStr">
        <is>
          <t>unidad</t>
        </is>
      </c>
      <c r="D1852" s="8" t="n"/>
      <c r="E1852" s="8" t="n">
        <v>72.37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>
        <f>IF(COUNT(D1852:V1852)=0,"",MIN(D1852:V1852))</f>
        <v/>
      </c>
      <c r="X1852" s="8">
        <f>IF(COUNT(D1852:V1852)=0,"",MEDIAN(D1852:V1852))</f>
        <v/>
      </c>
      <c r="Y1852" s="8">
        <f>IF(COUNT(D1852:V1852)=0,"",MAX(D1852:V1852))</f>
        <v/>
      </c>
      <c r="Z1852" s="9">
        <f>IF(OR(W1852="",W1852=0),"",(Y1852-W1852)/W1852)</f>
        <v/>
      </c>
      <c r="AA1852" s="7">
        <f>IF(COUNT(D1852:V1852)=0,"",INDEX($D$1:$V$1,MATCH(MIN(D1852:V1852),D1852:V1852,0)))</f>
        <v/>
      </c>
      <c r="AB1852" s="8" t="n">
        <v>158.69</v>
      </c>
      <c r="AC1852" s="10" t="n">
        <v>1</v>
      </c>
    </row>
    <row r="1853">
      <c r="A1853" s="7" t="inlineStr">
        <is>
          <t>MAT-32-501</t>
        </is>
      </c>
      <c r="B1853" s="4" t="inlineStr">
        <is>
          <t>Tapón hembra de bronce 1/4"</t>
        </is>
      </c>
      <c r="C1853" s="7" t="inlineStr">
        <is>
          <t>unidad</t>
        </is>
      </c>
      <c r="D1853" s="8" t="n"/>
      <c r="E1853" s="8" t="n"/>
      <c r="F1853" s="8" t="n"/>
      <c r="G1853" s="8" t="n">
        <v>101</v>
      </c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>
        <f>IF(COUNT(D1853:V1853)=0,"",MIN(D1853:V1853))</f>
        <v/>
      </c>
      <c r="X1853" s="8">
        <f>IF(COUNT(D1853:V1853)=0,"",MEDIAN(D1853:V1853))</f>
        <v/>
      </c>
      <c r="Y1853" s="8">
        <f>IF(COUNT(D1853:V1853)=0,"",MAX(D1853:V1853))</f>
        <v/>
      </c>
      <c r="Z1853" s="9">
        <f>IF(OR(W1853="",W1853=0),"",(Y1853-W1853)/W1853)</f>
        <v/>
      </c>
      <c r="AA1853" s="7">
        <f>IF(COUNT(D1853:V1853)=0,"",INDEX($D$1:$V$1,MATCH(MIN(D1853:V1853),D1853:V1853,0)))</f>
        <v/>
      </c>
      <c r="AB1853" s="8" t="n">
        <v>101</v>
      </c>
      <c r="AC1853" s="10" t="n">
        <v>1</v>
      </c>
    </row>
    <row r="1854">
      <c r="A1854" s="7" t="inlineStr">
        <is>
          <t>MAT-32-502</t>
        </is>
      </c>
      <c r="B1854" s="4" t="inlineStr">
        <is>
          <t>Tapón hembra de bronce 3/4"</t>
        </is>
      </c>
      <c r="C1854" s="7" t="inlineStr">
        <is>
          <t>unidad</t>
        </is>
      </c>
      <c r="D1854" s="8" t="n"/>
      <c r="E1854" s="8" t="n">
        <v>100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>
        <f>IF(COUNT(D1854:V1854)=0,"",MIN(D1854:V1854))</f>
        <v/>
      </c>
      <c r="X1854" s="8">
        <f>IF(COUNT(D1854:V1854)=0,"",MEDIAN(D1854:V1854))</f>
        <v/>
      </c>
      <c r="Y1854" s="8">
        <f>IF(COUNT(D1854:V1854)=0,"",MAX(D1854:V1854))</f>
        <v/>
      </c>
      <c r="Z1854" s="9">
        <f>IF(OR(W1854="",W1854=0),"",(Y1854-W1854)/W1854)</f>
        <v/>
      </c>
      <c r="AA1854" s="7">
        <f>IF(COUNT(D1854:V1854)=0,"",INDEX($D$1:$V$1,MATCH(MIN(D1854:V1854),D1854:V1854,0)))</f>
        <v/>
      </c>
      <c r="AB1854" s="8" t="n">
        <v>100</v>
      </c>
      <c r="AC1854" s="10" t="n">
        <v>1</v>
      </c>
    </row>
    <row r="1855">
      <c r="A1855" s="7" t="inlineStr">
        <is>
          <t>MAT-32-503</t>
        </is>
      </c>
      <c r="B1855" s="4" t="inlineStr">
        <is>
          <t>Tapón hembra de bronce 3/8"</t>
        </is>
      </c>
      <c r="C1855" s="7" t="inlineStr">
        <is>
          <t>unidad</t>
        </is>
      </c>
      <c r="D1855" s="8" t="n"/>
      <c r="E1855" s="8" t="n"/>
      <c r="F1855" s="8" t="n"/>
      <c r="G1855" s="8" t="n">
        <v>170</v>
      </c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>
        <f>IF(COUNT(D1855:V1855)=0,"",MIN(D1855:V1855))</f>
        <v/>
      </c>
      <c r="X1855" s="8">
        <f>IF(COUNT(D1855:V1855)=0,"",MEDIAN(D1855:V1855))</f>
        <v/>
      </c>
      <c r="Y1855" s="8">
        <f>IF(COUNT(D1855:V1855)=0,"",MAX(D1855:V1855))</f>
        <v/>
      </c>
      <c r="Z1855" s="9">
        <f>IF(OR(W1855="",W1855=0),"",(Y1855-W1855)/W1855)</f>
        <v/>
      </c>
      <c r="AA1855" s="7">
        <f>IF(COUNT(D1855:V1855)=0,"",INDEX($D$1:$V$1,MATCH(MIN(D1855:V1855),D1855:V1855,0)))</f>
        <v/>
      </c>
      <c r="AB1855" s="8" t="n">
        <v>170</v>
      </c>
      <c r="AC1855" s="10" t="n">
        <v>1</v>
      </c>
    </row>
    <row r="1856">
      <c r="A1856" s="7" t="inlineStr">
        <is>
          <t>MAT-32-504</t>
        </is>
      </c>
      <c r="B1856" s="4" t="inlineStr">
        <is>
          <t>Tapón hembra de CPVC 1/2"</t>
        </is>
      </c>
      <c r="C1856" s="7" t="inlineStr">
        <is>
          <t>unidad</t>
        </is>
      </c>
      <c r="D1856" s="8" t="n"/>
      <c r="E1856" s="8" t="n">
        <v>5.78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>
        <f>IF(COUNT(D1856:V1856)=0,"",MIN(D1856:V1856))</f>
        <v/>
      </c>
      <c r="X1856" s="8">
        <f>IF(COUNT(D1856:V1856)=0,"",MEDIAN(D1856:V1856))</f>
        <v/>
      </c>
      <c r="Y1856" s="8">
        <f>IF(COUNT(D1856:V1856)=0,"",MAX(D1856:V1856))</f>
        <v/>
      </c>
      <c r="Z1856" s="9">
        <f>IF(OR(W1856="",W1856=0),"",(Y1856-W1856)/W1856)</f>
        <v/>
      </c>
      <c r="AA1856" s="7">
        <f>IF(COUNT(D1856:V1856)=0,"",INDEX($D$1:$V$1,MATCH(MIN(D1856:V1856),D1856:V1856,0)))</f>
        <v/>
      </c>
      <c r="AB1856" s="8" t="n">
        <v>5.78</v>
      </c>
      <c r="AC1856" s="10" t="n">
        <v>1</v>
      </c>
    </row>
    <row r="1857">
      <c r="A1857" s="7" t="inlineStr">
        <is>
          <t>MAT-32-505</t>
        </is>
      </c>
      <c r="B1857" s="4" t="inlineStr">
        <is>
          <t>Tapón hembra de CPVC 1"</t>
        </is>
      </c>
      <c r="C1857" s="7" t="inlineStr">
        <is>
          <t>unidad</t>
        </is>
      </c>
      <c r="D1857" s="8" t="n"/>
      <c r="E1857" s="8" t="n">
        <v>21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>
        <f>IF(COUNT(D1857:V1857)=0,"",MIN(D1857:V1857))</f>
        <v/>
      </c>
      <c r="X1857" s="8">
        <f>IF(COUNT(D1857:V1857)=0,"",MEDIAN(D1857:V1857))</f>
        <v/>
      </c>
      <c r="Y1857" s="8">
        <f>IF(COUNT(D1857:V1857)=0,"",MAX(D1857:V1857))</f>
        <v/>
      </c>
      <c r="Z1857" s="9">
        <f>IF(OR(W1857="",W1857=0),"",(Y1857-W1857)/W1857)</f>
        <v/>
      </c>
      <c r="AA1857" s="7">
        <f>IF(COUNT(D1857:V1857)=0,"",INDEX($D$1:$V$1,MATCH(MIN(D1857:V1857),D1857:V1857,0)))</f>
        <v/>
      </c>
      <c r="AB1857" s="8" t="n">
        <v>21</v>
      </c>
      <c r="AC1857" s="10" t="n">
        <v>1</v>
      </c>
    </row>
    <row r="1858">
      <c r="A1858" s="7" t="inlineStr">
        <is>
          <t>MAT-32-506</t>
        </is>
      </c>
      <c r="B1858" s="4" t="inlineStr">
        <is>
          <t>Tapón hembra de CPVC 3/4"</t>
        </is>
      </c>
      <c r="C1858" s="7" t="inlineStr">
        <is>
          <t>unidad</t>
        </is>
      </c>
      <c r="D1858" s="8" t="n"/>
      <c r="E1858" s="8" t="n">
        <v>8.720000000000001</v>
      </c>
      <c r="F1858" s="8" t="n"/>
      <c r="G1858" s="8" t="n"/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>
        <f>IF(COUNT(D1858:V1858)=0,"",MIN(D1858:V1858))</f>
        <v/>
      </c>
      <c r="X1858" s="8">
        <f>IF(COUNT(D1858:V1858)=0,"",MEDIAN(D1858:V1858))</f>
        <v/>
      </c>
      <c r="Y1858" s="8">
        <f>IF(COUNT(D1858:V1858)=0,"",MAX(D1858:V1858))</f>
        <v/>
      </c>
      <c r="Z1858" s="9">
        <f>IF(OR(W1858="",W1858=0),"",(Y1858-W1858)/W1858)</f>
        <v/>
      </c>
      <c r="AA1858" s="7">
        <f>IF(COUNT(D1858:V1858)=0,"",INDEX($D$1:$V$1,MATCH(MIN(D1858:V1858),D1858:V1858,0)))</f>
        <v/>
      </c>
      <c r="AB1858" s="8" t="n">
        <v>8.720000000000001</v>
      </c>
      <c r="AC1858" s="10" t="n">
        <v>1</v>
      </c>
    </row>
    <row r="1859">
      <c r="A1859" s="7" t="inlineStr">
        <is>
          <t>MAT-32-507</t>
        </is>
      </c>
      <c r="B1859" s="4" t="inlineStr">
        <is>
          <t>Tapón hembra de HG 1 1/2"</t>
        </is>
      </c>
      <c r="C1859" s="7" t="inlineStr">
        <is>
          <t>unidad</t>
        </is>
      </c>
      <c r="D1859" s="8" t="n"/>
      <c r="E1859" s="8" t="n"/>
      <c r="F1859" s="8" t="n"/>
      <c r="G1859" s="8" t="n">
        <v>270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>
        <f>IF(COUNT(D1859:V1859)=0,"",MIN(D1859:V1859))</f>
        <v/>
      </c>
      <c r="X1859" s="8">
        <f>IF(COUNT(D1859:V1859)=0,"",MEDIAN(D1859:V1859))</f>
        <v/>
      </c>
      <c r="Y1859" s="8">
        <f>IF(COUNT(D1859:V1859)=0,"",MAX(D1859:V1859))</f>
        <v/>
      </c>
      <c r="Z1859" s="9">
        <f>IF(OR(W1859="",W1859=0),"",(Y1859-W1859)/W1859)</f>
        <v/>
      </c>
      <c r="AA1859" s="7">
        <f>IF(COUNT(D1859:V1859)=0,"",INDEX($D$1:$V$1,MATCH(MIN(D1859:V1859),D1859:V1859,0)))</f>
        <v/>
      </c>
      <c r="AB1859" s="8" t="n">
        <v>270</v>
      </c>
      <c r="AC1859" s="10" t="n">
        <v>1</v>
      </c>
    </row>
    <row r="1860">
      <c r="A1860" s="7" t="inlineStr">
        <is>
          <t>MAT-32-508</t>
        </is>
      </c>
      <c r="B1860" s="4" t="inlineStr">
        <is>
          <t>Tapón hembra de HG 1/2"</t>
        </is>
      </c>
      <c r="C1860" s="7" t="inlineStr">
        <is>
          <t>unidad</t>
        </is>
      </c>
      <c r="D1860" s="8" t="n"/>
      <c r="E1860" s="8" t="n"/>
      <c r="F1860" s="8" t="n"/>
      <c r="G1860" s="8" t="n">
        <v>20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>
        <f>IF(COUNT(D1860:V1860)=0,"",MIN(D1860:V1860))</f>
        <v/>
      </c>
      <c r="X1860" s="8">
        <f>IF(COUNT(D1860:V1860)=0,"",MEDIAN(D1860:V1860))</f>
        <v/>
      </c>
      <c r="Y1860" s="8">
        <f>IF(COUNT(D1860:V1860)=0,"",MAX(D1860:V1860))</f>
        <v/>
      </c>
      <c r="Z1860" s="9">
        <f>IF(OR(W1860="",W1860=0),"",(Y1860-W1860)/W1860)</f>
        <v/>
      </c>
      <c r="AA1860" s="7">
        <f>IF(COUNT(D1860:V1860)=0,"",INDEX($D$1:$V$1,MATCH(MIN(D1860:V1860),D1860:V1860,0)))</f>
        <v/>
      </c>
      <c r="AB1860" s="8" t="n">
        <v>20</v>
      </c>
      <c r="AC1860" s="10" t="n">
        <v>1</v>
      </c>
    </row>
    <row r="1861">
      <c r="A1861" s="7" t="inlineStr">
        <is>
          <t>MAT-32-509</t>
        </is>
      </c>
      <c r="B1861" s="4" t="inlineStr">
        <is>
          <t>Tapón hembra de HG 1/4"</t>
        </is>
      </c>
      <c r="C1861" s="7" t="inlineStr">
        <is>
          <t>unidad</t>
        </is>
      </c>
      <c r="D1861" s="8" t="n"/>
      <c r="E1861" s="8" t="n"/>
      <c r="F1861" s="8" t="n"/>
      <c r="G1861" s="8" t="n">
        <v>35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>
        <f>IF(COUNT(D1861:V1861)=0,"",MIN(D1861:V1861))</f>
        <v/>
      </c>
      <c r="X1861" s="8">
        <f>IF(COUNT(D1861:V1861)=0,"",MEDIAN(D1861:V1861))</f>
        <v/>
      </c>
      <c r="Y1861" s="8">
        <f>IF(COUNT(D1861:V1861)=0,"",MAX(D1861:V1861))</f>
        <v/>
      </c>
      <c r="Z1861" s="9">
        <f>IF(OR(W1861="",W1861=0),"",(Y1861-W1861)/W1861)</f>
        <v/>
      </c>
      <c r="AA1861" s="7">
        <f>IF(COUNT(D1861:V1861)=0,"",INDEX($D$1:$V$1,MATCH(MIN(D1861:V1861),D1861:V1861,0)))</f>
        <v/>
      </c>
      <c r="AB1861" s="8" t="n">
        <v>35</v>
      </c>
      <c r="AC1861" s="10" t="n">
        <v>1</v>
      </c>
    </row>
    <row r="1862">
      <c r="A1862" s="7" t="inlineStr">
        <is>
          <t>MAT-32-510</t>
        </is>
      </c>
      <c r="B1862" s="4" t="inlineStr">
        <is>
          <t>Tapón hembra de HG 1"</t>
        </is>
      </c>
      <c r="C1862" s="7" t="inlineStr">
        <is>
          <t>unidad</t>
        </is>
      </c>
      <c r="D1862" s="8" t="n"/>
      <c r="E1862" s="8" t="n"/>
      <c r="F1862" s="8" t="n"/>
      <c r="G1862" s="8" t="n">
        <v>44</v>
      </c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>
        <f>IF(COUNT(D1862:V1862)=0,"",MIN(D1862:V1862))</f>
        <v/>
      </c>
      <c r="X1862" s="8">
        <f>IF(COUNT(D1862:V1862)=0,"",MEDIAN(D1862:V1862))</f>
        <v/>
      </c>
      <c r="Y1862" s="8">
        <f>IF(COUNT(D1862:V1862)=0,"",MAX(D1862:V1862))</f>
        <v/>
      </c>
      <c r="Z1862" s="9">
        <f>IF(OR(W1862="",W1862=0),"",(Y1862-W1862)/W1862)</f>
        <v/>
      </c>
      <c r="AA1862" s="7">
        <f>IF(COUNT(D1862:V1862)=0,"",INDEX($D$1:$V$1,MATCH(MIN(D1862:V1862),D1862:V1862,0)))</f>
        <v/>
      </c>
      <c r="AB1862" s="8" t="n">
        <v>44</v>
      </c>
      <c r="AC1862" s="10" t="n">
        <v>1</v>
      </c>
    </row>
    <row r="1863">
      <c r="A1863" s="7" t="inlineStr">
        <is>
          <t>MAT-32-511</t>
        </is>
      </c>
      <c r="B1863" s="4" t="inlineStr">
        <is>
          <t>Tapón hembra de HG 2"</t>
        </is>
      </c>
      <c r="C1863" s="7" t="inlineStr">
        <is>
          <t>unidad</t>
        </is>
      </c>
      <c r="D1863" s="8" t="n"/>
      <c r="E1863" s="8" t="n"/>
      <c r="F1863" s="8" t="n"/>
      <c r="G1863" s="8" t="n">
        <v>189</v>
      </c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>
        <f>IF(COUNT(D1863:V1863)=0,"",MIN(D1863:V1863))</f>
        <v/>
      </c>
      <c r="X1863" s="8">
        <f>IF(COUNT(D1863:V1863)=0,"",MEDIAN(D1863:V1863))</f>
        <v/>
      </c>
      <c r="Y1863" s="8">
        <f>IF(COUNT(D1863:V1863)=0,"",MAX(D1863:V1863))</f>
        <v/>
      </c>
      <c r="Z1863" s="9">
        <f>IF(OR(W1863="",W1863=0),"",(Y1863-W1863)/W1863)</f>
        <v/>
      </c>
      <c r="AA1863" s="7">
        <f>IF(COUNT(D1863:V1863)=0,"",INDEX($D$1:$V$1,MATCH(MIN(D1863:V1863),D1863:V1863,0)))</f>
        <v/>
      </c>
      <c r="AB1863" s="8" t="n">
        <v>189</v>
      </c>
      <c r="AC1863" s="10" t="n">
        <v>1</v>
      </c>
    </row>
    <row r="1864">
      <c r="A1864" s="7" t="inlineStr">
        <is>
          <t>MAT-32-513</t>
        </is>
      </c>
      <c r="B1864" s="4" t="inlineStr">
        <is>
          <t>Tapón hembra de PPR 25 mm</t>
        </is>
      </c>
      <c r="C1864" s="7" t="inlineStr">
        <is>
          <t>unidad</t>
        </is>
      </c>
      <c r="D1864" s="8" t="n"/>
      <c r="E1864" s="8" t="n">
        <v>4.16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>
        <f>IF(COUNT(D1864:V1864)=0,"",MIN(D1864:V1864))</f>
        <v/>
      </c>
      <c r="X1864" s="8">
        <f>IF(COUNT(D1864:V1864)=0,"",MEDIAN(D1864:V1864))</f>
        <v/>
      </c>
      <c r="Y1864" s="8">
        <f>IF(COUNT(D1864:V1864)=0,"",MAX(D1864:V1864))</f>
        <v/>
      </c>
      <c r="Z1864" s="9">
        <f>IF(OR(W1864="",W1864=0),"",(Y1864-W1864)/W1864)</f>
        <v/>
      </c>
      <c r="AA1864" s="7">
        <f>IF(COUNT(D1864:V1864)=0,"",INDEX($D$1:$V$1,MATCH(MIN(D1864:V1864),D1864:V1864,0)))</f>
        <v/>
      </c>
      <c r="AB1864" s="8" t="n">
        <v>4.16</v>
      </c>
      <c r="AC1864" s="10" t="n">
        <v>1</v>
      </c>
    </row>
    <row r="1865">
      <c r="A1865" s="7" t="inlineStr">
        <is>
          <t>MAT-32-514</t>
        </is>
      </c>
      <c r="B1865" s="4" t="inlineStr">
        <is>
          <t>Tapón hembra de PPR 32 mm</t>
        </is>
      </c>
      <c r="C1865" s="7" t="inlineStr">
        <is>
          <t>unidad</t>
        </is>
      </c>
      <c r="D1865" s="8" t="n"/>
      <c r="E1865" s="8" t="n">
        <v>7.47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>
        <f>IF(COUNT(D1865:V1865)=0,"",MIN(D1865:V1865))</f>
        <v/>
      </c>
      <c r="X1865" s="8">
        <f>IF(COUNT(D1865:V1865)=0,"",MEDIAN(D1865:V1865))</f>
        <v/>
      </c>
      <c r="Y1865" s="8">
        <f>IF(COUNT(D1865:V1865)=0,"",MAX(D1865:V1865))</f>
        <v/>
      </c>
      <c r="Z1865" s="9">
        <f>IF(OR(W1865="",W1865=0),"",(Y1865-W1865)/W1865)</f>
        <v/>
      </c>
      <c r="AA1865" s="7">
        <f>IF(COUNT(D1865:V1865)=0,"",INDEX($D$1:$V$1,MATCH(MIN(D1865:V1865),D1865:V1865,0)))</f>
        <v/>
      </c>
      <c r="AB1865" s="8" t="n">
        <v>7.47</v>
      </c>
      <c r="AC1865" s="10" t="n">
        <v>1</v>
      </c>
    </row>
    <row r="1866">
      <c r="A1866" s="7" t="inlineStr">
        <is>
          <t>MAT-32-515</t>
        </is>
      </c>
      <c r="B1866" s="4" t="inlineStr">
        <is>
          <t>Tapón hembra de PVC drenaje 2"</t>
        </is>
      </c>
      <c r="C1866" s="7" t="inlineStr">
        <is>
          <t>unidad</t>
        </is>
      </c>
      <c r="D1866" s="8" t="n"/>
      <c r="E1866" s="8" t="n">
        <v>45.68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>
        <f>IF(COUNT(D1866:V1866)=0,"",MIN(D1866:V1866))</f>
        <v/>
      </c>
      <c r="X1866" s="8">
        <f>IF(COUNT(D1866:V1866)=0,"",MEDIAN(D1866:V1866))</f>
        <v/>
      </c>
      <c r="Y1866" s="8">
        <f>IF(COUNT(D1866:V1866)=0,"",MAX(D1866:V1866))</f>
        <v/>
      </c>
      <c r="Z1866" s="9">
        <f>IF(OR(W1866="",W1866=0),"",(Y1866-W1866)/W1866)</f>
        <v/>
      </c>
      <c r="AA1866" s="7">
        <f>IF(COUNT(D1866:V1866)=0,"",INDEX($D$1:$V$1,MATCH(MIN(D1866:V1866),D1866:V1866,0)))</f>
        <v/>
      </c>
      <c r="AB1866" s="8" t="n">
        <v>45.68</v>
      </c>
      <c r="AC1866" s="10" t="n">
        <v>1</v>
      </c>
    </row>
    <row r="1867">
      <c r="A1867" s="7" t="inlineStr">
        <is>
          <t>MAT-32-516</t>
        </is>
      </c>
      <c r="B1867" s="4" t="inlineStr">
        <is>
          <t>Tapón hembra de PVC drenaje 3"</t>
        </is>
      </c>
      <c r="C1867" s="7" t="inlineStr">
        <is>
          <t>unidad</t>
        </is>
      </c>
      <c r="D1867" s="8" t="n"/>
      <c r="E1867" s="8" t="n">
        <v>71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>
        <f>IF(COUNT(D1867:V1867)=0,"",MIN(D1867:V1867))</f>
        <v/>
      </c>
      <c r="X1867" s="8">
        <f>IF(COUNT(D1867:V1867)=0,"",MEDIAN(D1867:V1867))</f>
        <v/>
      </c>
      <c r="Y1867" s="8">
        <f>IF(COUNT(D1867:V1867)=0,"",MAX(D1867:V1867))</f>
        <v/>
      </c>
      <c r="Z1867" s="9">
        <f>IF(OR(W1867="",W1867=0),"",(Y1867-W1867)/W1867)</f>
        <v/>
      </c>
      <c r="AA1867" s="7">
        <f>IF(COUNT(D1867:V1867)=0,"",INDEX($D$1:$V$1,MATCH(MIN(D1867:V1867),D1867:V1867,0)))</f>
        <v/>
      </c>
      <c r="AB1867" s="8" t="n">
        <v>71</v>
      </c>
      <c r="AC1867" s="10" t="n">
        <v>1</v>
      </c>
    </row>
    <row r="1868">
      <c r="A1868" s="7" t="inlineStr">
        <is>
          <t>MAT-32-517</t>
        </is>
      </c>
      <c r="B1868" s="4" t="inlineStr">
        <is>
          <t>Tapón hembra de PVC drenaje 4"</t>
        </is>
      </c>
      <c r="C1868" s="7" t="inlineStr">
        <is>
          <t>unidad</t>
        </is>
      </c>
      <c r="D1868" s="8" t="n"/>
      <c r="E1868" s="8" t="n">
        <v>112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>
        <f>IF(COUNT(D1868:V1868)=0,"",MIN(D1868:V1868))</f>
        <v/>
      </c>
      <c r="X1868" s="8">
        <f>IF(COUNT(D1868:V1868)=0,"",MEDIAN(D1868:V1868))</f>
        <v/>
      </c>
      <c r="Y1868" s="8">
        <f>IF(COUNT(D1868:V1868)=0,"",MAX(D1868:V1868))</f>
        <v/>
      </c>
      <c r="Z1868" s="9">
        <f>IF(OR(W1868="",W1868=0),"",(Y1868-W1868)/W1868)</f>
        <v/>
      </c>
      <c r="AA1868" s="7">
        <f>IF(COUNT(D1868:V1868)=0,"",INDEX($D$1:$V$1,MATCH(MIN(D1868:V1868),D1868:V1868,0)))</f>
        <v/>
      </c>
      <c r="AB1868" s="8" t="n">
        <v>112</v>
      </c>
      <c r="AC1868" s="10" t="n">
        <v>1</v>
      </c>
    </row>
    <row r="1869">
      <c r="A1869" s="7" t="inlineStr">
        <is>
          <t>MAT-32-518</t>
        </is>
      </c>
      <c r="B1869" s="4" t="inlineStr">
        <is>
          <t>Tapón hembra de PVC 1/2"</t>
        </is>
      </c>
      <c r="C1869" s="7" t="inlineStr">
        <is>
          <t>unidad</t>
        </is>
      </c>
      <c r="D1869" s="8" t="n"/>
      <c r="E1869" s="8" t="n">
        <v>4.22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>
        <f>IF(COUNT(D1869:V1869)=0,"",MIN(D1869:V1869))</f>
        <v/>
      </c>
      <c r="X1869" s="8">
        <f>IF(COUNT(D1869:V1869)=0,"",MEDIAN(D1869:V1869))</f>
        <v/>
      </c>
      <c r="Y1869" s="8">
        <f>IF(COUNT(D1869:V1869)=0,"",MAX(D1869:V1869))</f>
        <v/>
      </c>
      <c r="Z1869" s="9">
        <f>IF(OR(W1869="",W1869=0),"",(Y1869-W1869)/W1869)</f>
        <v/>
      </c>
      <c r="AA1869" s="7">
        <f>IF(COUNT(D1869:V1869)=0,"",INDEX($D$1:$V$1,MATCH(MIN(D1869:V1869),D1869:V1869,0)))</f>
        <v/>
      </c>
      <c r="AB1869" s="8" t="n">
        <v>4.22</v>
      </c>
      <c r="AC1869" s="10" t="n">
        <v>1</v>
      </c>
    </row>
    <row r="1870">
      <c r="A1870" s="7" t="inlineStr">
        <is>
          <t>MAT-32-519</t>
        </is>
      </c>
      <c r="B1870" s="4" t="inlineStr">
        <is>
          <t>Tapón hembra de PVC 12"</t>
        </is>
      </c>
      <c r="C1870" s="7" t="inlineStr">
        <is>
          <t>unidad</t>
        </is>
      </c>
      <c r="D1870" s="8" t="n"/>
      <c r="E1870" s="8" t="n">
        <v>8495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>
        <f>IF(COUNT(D1870:V1870)=0,"",MIN(D1870:V1870))</f>
        <v/>
      </c>
      <c r="X1870" s="8">
        <f>IF(COUNT(D1870:V1870)=0,"",MEDIAN(D1870:V1870))</f>
        <v/>
      </c>
      <c r="Y1870" s="8">
        <f>IF(COUNT(D1870:V1870)=0,"",MAX(D1870:V1870))</f>
        <v/>
      </c>
      <c r="Z1870" s="9">
        <f>IF(OR(W1870="",W1870=0),"",(Y1870-W1870)/W1870)</f>
        <v/>
      </c>
      <c r="AA1870" s="7">
        <f>IF(COUNT(D1870:V1870)=0,"",INDEX($D$1:$V$1,MATCH(MIN(D1870:V1870),D1870:V1870,0)))</f>
        <v/>
      </c>
      <c r="AB1870" s="8" t="n">
        <v>8495</v>
      </c>
      <c r="AC1870" s="10" t="n">
        <v>1</v>
      </c>
    </row>
    <row r="1871">
      <c r="A1871" s="7" t="inlineStr">
        <is>
          <t>MAT-32-520</t>
        </is>
      </c>
      <c r="B1871" s="4" t="inlineStr">
        <is>
          <t>Tapón hembra de PVC 8"</t>
        </is>
      </c>
      <c r="C1871" s="7" t="inlineStr">
        <is>
          <t>unidad</t>
        </is>
      </c>
      <c r="D1871" s="8" t="n"/>
      <c r="E1871" s="8" t="n">
        <v>840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>
        <f>IF(COUNT(D1871:V1871)=0,"",MIN(D1871:V1871))</f>
        <v/>
      </c>
      <c r="X1871" s="8">
        <f>IF(COUNT(D1871:V1871)=0,"",MEDIAN(D1871:V1871))</f>
        <v/>
      </c>
      <c r="Y1871" s="8">
        <f>IF(COUNT(D1871:V1871)=0,"",MAX(D1871:V1871))</f>
        <v/>
      </c>
      <c r="Z1871" s="9">
        <f>IF(OR(W1871="",W1871=0),"",(Y1871-W1871)/W1871)</f>
        <v/>
      </c>
      <c r="AA1871" s="7">
        <f>IF(COUNT(D1871:V1871)=0,"",INDEX($D$1:$V$1,MATCH(MIN(D1871:V1871),D1871:V1871,0)))</f>
        <v/>
      </c>
      <c r="AB1871" s="8" t="n">
        <v>840</v>
      </c>
      <c r="AC1871" s="10" t="n">
        <v>1</v>
      </c>
    </row>
    <row r="1872">
      <c r="A1872" s="7" t="inlineStr">
        <is>
          <t>MAT-32-521</t>
        </is>
      </c>
      <c r="B1872" s="4" t="inlineStr">
        <is>
          <t>Tapón hembra de PVC presión 1 1/2"</t>
        </is>
      </c>
      <c r="C1872" s="7" t="inlineStr">
        <is>
          <t>unidad</t>
        </is>
      </c>
      <c r="D1872" s="8" t="n"/>
      <c r="E1872" s="8" t="n">
        <v>11.93</v>
      </c>
      <c r="F1872" s="8" t="n"/>
      <c r="G1872" s="8" t="n">
        <v>50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>
        <f>IF(COUNT(D1872:V1872)=0,"",MIN(D1872:V1872))</f>
        <v/>
      </c>
      <c r="X1872" s="8">
        <f>IF(COUNT(D1872:V1872)=0,"",MEDIAN(D1872:V1872))</f>
        <v/>
      </c>
      <c r="Y1872" s="8">
        <f>IF(COUNT(D1872:V1872)=0,"",MAX(D1872:V1872))</f>
        <v/>
      </c>
      <c r="Z1872" s="9">
        <f>IF(OR(W1872="",W1872=0),"",(Y1872-W1872)/W1872)</f>
        <v/>
      </c>
      <c r="AA1872" s="7">
        <f>IF(COUNT(D1872:V1872)=0,"",INDEX($D$1:$V$1,MATCH(MIN(D1872:V1872),D1872:V1872,0)))</f>
        <v/>
      </c>
      <c r="AB1872" s="8" t="n">
        <v>16.56</v>
      </c>
      <c r="AC1872" s="10" t="n">
        <v>2</v>
      </c>
    </row>
    <row r="1873">
      <c r="A1873" s="7" t="inlineStr">
        <is>
          <t>MAT-32-522</t>
        </is>
      </c>
      <c r="B1873" s="4" t="inlineStr">
        <is>
          <t>Tapón hembra de PVC presión 1/2"</t>
        </is>
      </c>
      <c r="C1873" s="7" t="inlineStr">
        <is>
          <t>unidad</t>
        </is>
      </c>
      <c r="D1873" s="8" t="n"/>
      <c r="E1873" s="8" t="n">
        <v>2.21</v>
      </c>
      <c r="F1873" s="8" t="n"/>
      <c r="G1873" s="8" t="n">
        <v>18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>
        <f>IF(COUNT(D1873:V1873)=0,"",MIN(D1873:V1873))</f>
        <v/>
      </c>
      <c r="X1873" s="8">
        <f>IF(COUNT(D1873:V1873)=0,"",MEDIAN(D1873:V1873))</f>
        <v/>
      </c>
      <c r="Y1873" s="8">
        <f>IF(COUNT(D1873:V1873)=0,"",MAX(D1873:V1873))</f>
        <v/>
      </c>
      <c r="Z1873" s="9">
        <f>IF(OR(W1873="",W1873=0),"",(Y1873-W1873)/W1873)</f>
        <v/>
      </c>
      <c r="AA1873" s="7">
        <f>IF(COUNT(D1873:V1873)=0,"",INDEX($D$1:$V$1,MATCH(MIN(D1873:V1873),D1873:V1873,0)))</f>
        <v/>
      </c>
      <c r="AB1873" s="8" t="n">
        <v>10.85</v>
      </c>
      <c r="AC1873" s="10" t="n">
        <v>2</v>
      </c>
    </row>
    <row r="1874">
      <c r="A1874" s="7" t="inlineStr">
        <is>
          <t>MAT-32-523</t>
        </is>
      </c>
      <c r="B1874" s="4" t="inlineStr">
        <is>
          <t>Tapón hembra de PVC presión 1"</t>
        </is>
      </c>
      <c r="C1874" s="7" t="inlineStr">
        <is>
          <t>unidad</t>
        </is>
      </c>
      <c r="D1874" s="8" t="n"/>
      <c r="E1874" s="8" t="n">
        <v>5.41</v>
      </c>
      <c r="F1874" s="8" t="n"/>
      <c r="G1874" s="8" t="n">
        <v>35</v>
      </c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>
        <f>IF(COUNT(D1874:V1874)=0,"",MIN(D1874:V1874))</f>
        <v/>
      </c>
      <c r="X1874" s="8">
        <f>IF(COUNT(D1874:V1874)=0,"",MEDIAN(D1874:V1874))</f>
        <v/>
      </c>
      <c r="Y1874" s="8">
        <f>IF(COUNT(D1874:V1874)=0,"",MAX(D1874:V1874))</f>
        <v/>
      </c>
      <c r="Z1874" s="9">
        <f>IF(OR(W1874="",W1874=0),"",(Y1874-W1874)/W1874)</f>
        <v/>
      </c>
      <c r="AA1874" s="7">
        <f>IF(COUNT(D1874:V1874)=0,"",INDEX($D$1:$V$1,MATCH(MIN(D1874:V1874),D1874:V1874,0)))</f>
        <v/>
      </c>
      <c r="AB1874" s="8" t="n">
        <v>21.98</v>
      </c>
      <c r="AC1874" s="10" t="n">
        <v>2</v>
      </c>
    </row>
    <row r="1875">
      <c r="A1875" s="7" t="inlineStr">
        <is>
          <t>MAT-32-524</t>
        </is>
      </c>
      <c r="B1875" s="4" t="inlineStr">
        <is>
          <t>Tapón hembra de PVC presión 2"</t>
        </is>
      </c>
      <c r="C1875" s="7" t="inlineStr">
        <is>
          <t>unidad</t>
        </is>
      </c>
      <c r="D1875" s="8" t="n"/>
      <c r="E1875" s="8" t="n">
        <v>17.57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>
        <f>IF(COUNT(D1875:V1875)=0,"",MIN(D1875:V1875))</f>
        <v/>
      </c>
      <c r="X1875" s="8">
        <f>IF(COUNT(D1875:V1875)=0,"",MEDIAN(D1875:V1875))</f>
        <v/>
      </c>
      <c r="Y1875" s="8">
        <f>IF(COUNT(D1875:V1875)=0,"",MAX(D1875:V1875))</f>
        <v/>
      </c>
      <c r="Z1875" s="9">
        <f>IF(OR(W1875="",W1875=0),"",(Y1875-W1875)/W1875)</f>
        <v/>
      </c>
      <c r="AA1875" s="7">
        <f>IF(COUNT(D1875:V1875)=0,"",INDEX($D$1:$V$1,MATCH(MIN(D1875:V1875),D1875:V1875,0)))</f>
        <v/>
      </c>
      <c r="AB1875" s="8" t="n">
        <v>22.44</v>
      </c>
      <c r="AC1875" s="10" t="n">
        <v>1</v>
      </c>
    </row>
    <row r="1876">
      <c r="A1876" s="7" t="inlineStr">
        <is>
          <t>MAT-32-525</t>
        </is>
      </c>
      <c r="B1876" s="4" t="inlineStr">
        <is>
          <t>Tapón hembra de PVC presión 3/4"</t>
        </is>
      </c>
      <c r="C1876" s="7" t="inlineStr">
        <is>
          <t>unidad</t>
        </is>
      </c>
      <c r="D1876" s="8" t="n"/>
      <c r="E1876" s="8" t="n">
        <v>3.6</v>
      </c>
      <c r="F1876" s="8" t="n"/>
      <c r="G1876" s="8" t="n">
        <v>20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>
        <f>IF(COUNT(D1876:V1876)=0,"",MIN(D1876:V1876))</f>
        <v/>
      </c>
      <c r="X1876" s="8">
        <f>IF(COUNT(D1876:V1876)=0,"",MEDIAN(D1876:V1876))</f>
        <v/>
      </c>
      <c r="Y1876" s="8">
        <f>IF(COUNT(D1876:V1876)=0,"",MAX(D1876:V1876))</f>
        <v/>
      </c>
      <c r="Z1876" s="9">
        <f>IF(OR(W1876="",W1876=0),"",(Y1876-W1876)/W1876)</f>
        <v/>
      </c>
      <c r="AA1876" s="7">
        <f>IF(COUNT(D1876:V1876)=0,"",INDEX($D$1:$V$1,MATCH(MIN(D1876:V1876),D1876:V1876,0)))</f>
        <v/>
      </c>
      <c r="AB1876" s="8" t="n">
        <v>5.17</v>
      </c>
      <c r="AC1876" s="10" t="n">
        <v>2</v>
      </c>
    </row>
    <row r="1877">
      <c r="A1877" s="7" t="inlineStr">
        <is>
          <t>MAT-32-526</t>
        </is>
      </c>
      <c r="B1877" s="4" t="inlineStr">
        <is>
          <t>Tapón hembra de PVC presión 3"</t>
        </is>
      </c>
      <c r="C1877" s="7" t="inlineStr">
        <is>
          <t>unidad</t>
        </is>
      </c>
      <c r="D1877" s="8" t="n"/>
      <c r="E1877" s="8" t="n">
        <v>50</v>
      </c>
      <c r="F1877" s="8" t="n"/>
      <c r="G1877" s="8" t="n">
        <v>205</v>
      </c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>
        <f>IF(COUNT(D1877:V1877)=0,"",MIN(D1877:V1877))</f>
        <v/>
      </c>
      <c r="X1877" s="8">
        <f>IF(COUNT(D1877:V1877)=0,"",MEDIAN(D1877:V1877))</f>
        <v/>
      </c>
      <c r="Y1877" s="8">
        <f>IF(COUNT(D1877:V1877)=0,"",MAX(D1877:V1877))</f>
        <v/>
      </c>
      <c r="Z1877" s="9">
        <f>IF(OR(W1877="",W1877=0),"",(Y1877-W1877)/W1877)</f>
        <v/>
      </c>
      <c r="AA1877" s="7">
        <f>IF(COUNT(D1877:V1877)=0,"",INDEX($D$1:$V$1,MATCH(MIN(D1877:V1877),D1877:V1877,0)))</f>
        <v/>
      </c>
      <c r="AB1877" s="8" t="n">
        <v>74.88</v>
      </c>
      <c r="AC1877" s="10" t="n">
        <v>2</v>
      </c>
    </row>
    <row r="1878">
      <c r="A1878" s="7" t="inlineStr">
        <is>
          <t>MAT-32-527</t>
        </is>
      </c>
      <c r="B1878" s="4" t="inlineStr">
        <is>
          <t>Tapón hembra de PVC presión 4"</t>
        </is>
      </c>
      <c r="C1878" s="7" t="inlineStr">
        <is>
          <t>unidad</t>
        </is>
      </c>
      <c r="D1878" s="8" t="n"/>
      <c r="E1878" s="8" t="n">
        <v>81.05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>
        <f>IF(COUNT(D1878:V1878)=0,"",MIN(D1878:V1878))</f>
        <v/>
      </c>
      <c r="X1878" s="8">
        <f>IF(COUNT(D1878:V1878)=0,"",MEDIAN(D1878:V1878))</f>
        <v/>
      </c>
      <c r="Y1878" s="8">
        <f>IF(COUNT(D1878:V1878)=0,"",MAX(D1878:V1878))</f>
        <v/>
      </c>
      <c r="Z1878" s="9">
        <f>IF(OR(W1878="",W1878=0),"",(Y1878-W1878)/W1878)</f>
        <v/>
      </c>
      <c r="AA1878" s="7">
        <f>IF(COUNT(D1878:V1878)=0,"",INDEX($D$1:$V$1,MATCH(MIN(D1878:V1878),D1878:V1878,0)))</f>
        <v/>
      </c>
      <c r="AB1878" s="8" t="n">
        <v>102.64</v>
      </c>
      <c r="AC1878" s="10" t="n">
        <v>1</v>
      </c>
    </row>
    <row r="1879">
      <c r="A1879" s="7" t="inlineStr">
        <is>
          <t>MAT-32-528</t>
        </is>
      </c>
      <c r="B1879" s="4" t="inlineStr">
        <is>
          <t>Tapón hembra de PVC presión 6"</t>
        </is>
      </c>
      <c r="C1879" s="7" t="inlineStr">
        <is>
          <t>unidad</t>
        </is>
      </c>
      <c r="D1879" s="8" t="n"/>
      <c r="E1879" s="8" t="n">
        <v>309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>
        <f>IF(COUNT(D1879:V1879)=0,"",MIN(D1879:V1879))</f>
        <v/>
      </c>
      <c r="X1879" s="8">
        <f>IF(COUNT(D1879:V1879)=0,"",MEDIAN(D1879:V1879))</f>
        <v/>
      </c>
      <c r="Y1879" s="8">
        <f>IF(COUNT(D1879:V1879)=0,"",MAX(D1879:V1879))</f>
        <v/>
      </c>
      <c r="Z1879" s="9">
        <f>IF(OR(W1879="",W1879=0),"",(Y1879-W1879)/W1879)</f>
        <v/>
      </c>
      <c r="AA1879" s="7">
        <f>IF(COUNT(D1879:V1879)=0,"",INDEX($D$1:$V$1,MATCH(MIN(D1879:V1879),D1879:V1879,0)))</f>
        <v/>
      </c>
      <c r="AB1879" s="8" t="n">
        <v>379.5</v>
      </c>
      <c r="AC1879" s="10" t="n">
        <v>1</v>
      </c>
    </row>
    <row r="1880">
      <c r="A1880" s="7" t="inlineStr">
        <is>
          <t>MAT-32-529</t>
        </is>
      </c>
      <c r="B1880" s="4" t="inlineStr">
        <is>
          <t>Tapón macho de bronce 1/2"</t>
        </is>
      </c>
      <c r="C1880" s="7" t="inlineStr">
        <is>
          <t>unidad</t>
        </is>
      </c>
      <c r="D1880" s="8" t="n"/>
      <c r="E1880" s="8" t="n">
        <v>80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>
        <f>IF(COUNT(D1880:V1880)=0,"",MIN(D1880:V1880))</f>
        <v/>
      </c>
      <c r="X1880" s="8">
        <f>IF(COUNT(D1880:V1880)=0,"",MEDIAN(D1880:V1880))</f>
        <v/>
      </c>
      <c r="Y1880" s="8">
        <f>IF(COUNT(D1880:V1880)=0,"",MAX(D1880:V1880))</f>
        <v/>
      </c>
      <c r="Z1880" s="9">
        <f>IF(OR(W1880="",W1880=0),"",(Y1880-W1880)/W1880)</f>
        <v/>
      </c>
      <c r="AA1880" s="7">
        <f>IF(COUNT(D1880:V1880)=0,"",INDEX($D$1:$V$1,MATCH(MIN(D1880:V1880),D1880:V1880,0)))</f>
        <v/>
      </c>
      <c r="AB1880" s="8" t="n">
        <v>80</v>
      </c>
      <c r="AC1880" s="10" t="n">
        <v>1</v>
      </c>
    </row>
    <row r="1881">
      <c r="A1881" s="7" t="inlineStr">
        <is>
          <t>MAT-32-530</t>
        </is>
      </c>
      <c r="B1881" s="4" t="inlineStr">
        <is>
          <t>Tapón macho de bronce 1/4"</t>
        </is>
      </c>
      <c r="C1881" s="7" t="inlineStr">
        <is>
          <t>unidad</t>
        </is>
      </c>
      <c r="D1881" s="8" t="n"/>
      <c r="E1881" s="8" t="n">
        <v>21.58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>
        <f>IF(COUNT(D1881:V1881)=0,"",MIN(D1881:V1881))</f>
        <v/>
      </c>
      <c r="X1881" s="8">
        <f>IF(COUNT(D1881:V1881)=0,"",MEDIAN(D1881:V1881))</f>
        <v/>
      </c>
      <c r="Y1881" s="8">
        <f>IF(COUNT(D1881:V1881)=0,"",MAX(D1881:V1881))</f>
        <v/>
      </c>
      <c r="Z1881" s="9">
        <f>IF(OR(W1881="",W1881=0),"",(Y1881-W1881)/W1881)</f>
        <v/>
      </c>
      <c r="AA1881" s="7">
        <f>IF(COUNT(D1881:V1881)=0,"",INDEX($D$1:$V$1,MATCH(MIN(D1881:V1881),D1881:V1881,0)))</f>
        <v/>
      </c>
      <c r="AB1881" s="8" t="n">
        <v>29.29</v>
      </c>
      <c r="AC1881" s="10" t="n">
        <v>1</v>
      </c>
    </row>
    <row r="1882">
      <c r="A1882" s="7" t="inlineStr">
        <is>
          <t>MAT-32-531</t>
        </is>
      </c>
      <c r="B1882" s="4" t="inlineStr">
        <is>
          <t>Tapón macho de bronce 1/8"</t>
        </is>
      </c>
      <c r="C1882" s="7" t="inlineStr">
        <is>
          <t>unidad</t>
        </is>
      </c>
      <c r="D1882" s="8" t="n"/>
      <c r="E1882" s="8" t="n">
        <v>40.2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>
        <f>IF(COUNT(D1882:V1882)=0,"",MIN(D1882:V1882))</f>
        <v/>
      </c>
      <c r="X1882" s="8">
        <f>IF(COUNT(D1882:V1882)=0,"",MEDIAN(D1882:V1882))</f>
        <v/>
      </c>
      <c r="Y1882" s="8">
        <f>IF(COUNT(D1882:V1882)=0,"",MAX(D1882:V1882))</f>
        <v/>
      </c>
      <c r="Z1882" s="9">
        <f>IF(OR(W1882="",W1882=0),"",(Y1882-W1882)/W1882)</f>
        <v/>
      </c>
      <c r="AA1882" s="7">
        <f>IF(COUNT(D1882:V1882)=0,"",INDEX($D$1:$V$1,MATCH(MIN(D1882:V1882),D1882:V1882,0)))</f>
        <v/>
      </c>
      <c r="AB1882" s="8" t="n">
        <v>40.2</v>
      </c>
      <c r="AC1882" s="10" t="n">
        <v>1</v>
      </c>
    </row>
    <row r="1883">
      <c r="A1883" s="7" t="inlineStr">
        <is>
          <t>MAT-32-532</t>
        </is>
      </c>
      <c r="B1883" s="4" t="inlineStr">
        <is>
          <t>Tapón macho de bronce 3/4"</t>
        </is>
      </c>
      <c r="C1883" s="7" t="inlineStr">
        <is>
          <t>unidad</t>
        </is>
      </c>
      <c r="D1883" s="8" t="n"/>
      <c r="E1883" s="8" t="n">
        <v>140</v>
      </c>
      <c r="F1883" s="8" t="n"/>
      <c r="G1883" s="8" t="n"/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>
        <f>IF(COUNT(D1883:V1883)=0,"",MIN(D1883:V1883))</f>
        <v/>
      </c>
      <c r="X1883" s="8">
        <f>IF(COUNT(D1883:V1883)=0,"",MEDIAN(D1883:V1883))</f>
        <v/>
      </c>
      <c r="Y1883" s="8">
        <f>IF(COUNT(D1883:V1883)=0,"",MAX(D1883:V1883))</f>
        <v/>
      </c>
      <c r="Z1883" s="9">
        <f>IF(OR(W1883="",W1883=0),"",(Y1883-W1883)/W1883)</f>
        <v/>
      </c>
      <c r="AA1883" s="7">
        <f>IF(COUNT(D1883:V1883)=0,"",INDEX($D$1:$V$1,MATCH(MIN(D1883:V1883),D1883:V1883,0)))</f>
        <v/>
      </c>
      <c r="AB1883" s="8" t="n">
        <v>140</v>
      </c>
      <c r="AC1883" s="10" t="n">
        <v>1</v>
      </c>
    </row>
    <row r="1884">
      <c r="A1884" s="7" t="inlineStr">
        <is>
          <t>MAT-32-533</t>
        </is>
      </c>
      <c r="B1884" s="4" t="inlineStr">
        <is>
          <t>Tapón macho de HG 1 1/2"</t>
        </is>
      </c>
      <c r="C1884" s="7" t="inlineStr">
        <is>
          <t>unidad</t>
        </is>
      </c>
      <c r="D1884" s="8" t="n"/>
      <c r="E1884" s="8" t="n">
        <v>58</v>
      </c>
      <c r="F1884" s="8" t="n"/>
      <c r="G1884" s="8" t="n">
        <v>100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>
        <f>IF(COUNT(D1884:V1884)=0,"",MIN(D1884:V1884))</f>
        <v/>
      </c>
      <c r="X1884" s="8">
        <f>IF(COUNT(D1884:V1884)=0,"",MEDIAN(D1884:V1884))</f>
        <v/>
      </c>
      <c r="Y1884" s="8">
        <f>IF(COUNT(D1884:V1884)=0,"",MAX(D1884:V1884))</f>
        <v/>
      </c>
      <c r="Z1884" s="9">
        <f>IF(OR(W1884="",W1884=0),"",(Y1884-W1884)/W1884)</f>
        <v/>
      </c>
      <c r="AA1884" s="7">
        <f>IF(COUNT(D1884:V1884)=0,"",INDEX($D$1:$V$1,MATCH(MIN(D1884:V1884),D1884:V1884,0)))</f>
        <v/>
      </c>
      <c r="AB1884" s="8" t="n">
        <v>79</v>
      </c>
      <c r="AC1884" s="10" t="n">
        <v>2</v>
      </c>
    </row>
    <row r="1885">
      <c r="A1885" s="7" t="inlineStr">
        <is>
          <t>MAT-32-534</t>
        </is>
      </c>
      <c r="B1885" s="4" t="inlineStr">
        <is>
          <t>Tapón macho de HG 1 1/4"</t>
        </is>
      </c>
      <c r="C1885" s="7" t="inlineStr">
        <is>
          <t>unidad</t>
        </is>
      </c>
      <c r="D1885" s="8" t="n"/>
      <c r="E1885" s="8" t="n">
        <v>41.54</v>
      </c>
      <c r="F1885" s="8" t="n"/>
      <c r="G1885" s="8" t="n">
        <v>141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>
        <f>IF(COUNT(D1885:V1885)=0,"",MIN(D1885:V1885))</f>
        <v/>
      </c>
      <c r="X1885" s="8">
        <f>IF(COUNT(D1885:V1885)=0,"",MEDIAN(D1885:V1885))</f>
        <v/>
      </c>
      <c r="Y1885" s="8">
        <f>IF(COUNT(D1885:V1885)=0,"",MAX(D1885:V1885))</f>
        <v/>
      </c>
      <c r="Z1885" s="9">
        <f>IF(OR(W1885="",W1885=0),"",(Y1885-W1885)/W1885)</f>
        <v/>
      </c>
      <c r="AA1885" s="7">
        <f>IF(COUNT(D1885:V1885)=0,"",INDEX($D$1:$V$1,MATCH(MIN(D1885:V1885),D1885:V1885,0)))</f>
        <v/>
      </c>
      <c r="AB1885" s="8" t="n">
        <v>91.27</v>
      </c>
      <c r="AC1885" s="10" t="n">
        <v>2</v>
      </c>
    </row>
    <row r="1886">
      <c r="A1886" s="7" t="inlineStr">
        <is>
          <t>MAT-32-535</t>
        </is>
      </c>
      <c r="B1886" s="4" t="inlineStr">
        <is>
          <t>Tapón macho de HG 1/2"</t>
        </is>
      </c>
      <c r="C1886" s="7" t="inlineStr">
        <is>
          <t>unidad</t>
        </is>
      </c>
      <c r="D1886" s="8" t="n"/>
      <c r="E1886" s="8" t="n">
        <v>22</v>
      </c>
      <c r="F1886" s="8" t="n"/>
      <c r="G1886" s="8" t="n">
        <v>15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>
        <f>IF(COUNT(D1886:V1886)=0,"",MIN(D1886:V1886))</f>
        <v/>
      </c>
      <c r="X1886" s="8">
        <f>IF(COUNT(D1886:V1886)=0,"",MEDIAN(D1886:V1886))</f>
        <v/>
      </c>
      <c r="Y1886" s="8">
        <f>IF(COUNT(D1886:V1886)=0,"",MAX(D1886:V1886))</f>
        <v/>
      </c>
      <c r="Z1886" s="9">
        <f>IF(OR(W1886="",W1886=0),"",(Y1886-W1886)/W1886)</f>
        <v/>
      </c>
      <c r="AA1886" s="7">
        <f>IF(COUNT(D1886:V1886)=0,"",INDEX($D$1:$V$1,MATCH(MIN(D1886:V1886),D1886:V1886,0)))</f>
        <v/>
      </c>
      <c r="AB1886" s="8" t="n">
        <v>18.5</v>
      </c>
      <c r="AC1886" s="10" t="n">
        <v>2</v>
      </c>
    </row>
    <row r="1887">
      <c r="A1887" s="7" t="inlineStr">
        <is>
          <t>MAT-32-536</t>
        </is>
      </c>
      <c r="B1887" s="4" t="inlineStr">
        <is>
          <t>Tapón macho de HG 1/4"</t>
        </is>
      </c>
      <c r="C1887" s="7" t="inlineStr">
        <is>
          <t>unidad</t>
        </is>
      </c>
      <c r="D1887" s="8" t="n"/>
      <c r="E1887" s="8" t="n">
        <v>19.18</v>
      </c>
      <c r="F1887" s="8" t="n"/>
      <c r="G1887" s="8" t="n">
        <v>23</v>
      </c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>
        <f>IF(COUNT(D1887:V1887)=0,"",MIN(D1887:V1887))</f>
        <v/>
      </c>
      <c r="X1887" s="8">
        <f>IF(COUNT(D1887:V1887)=0,"",MEDIAN(D1887:V1887))</f>
        <v/>
      </c>
      <c r="Y1887" s="8">
        <f>IF(COUNT(D1887:V1887)=0,"",MAX(D1887:V1887))</f>
        <v/>
      </c>
      <c r="Z1887" s="9">
        <f>IF(OR(W1887="",W1887=0),"",(Y1887-W1887)/W1887)</f>
        <v/>
      </c>
      <c r="AA1887" s="7">
        <f>IF(COUNT(D1887:V1887)=0,"",INDEX($D$1:$V$1,MATCH(MIN(D1887:V1887),D1887:V1887,0)))</f>
        <v/>
      </c>
      <c r="AB1887" s="8" t="n">
        <v>21.09</v>
      </c>
      <c r="AC1887" s="10" t="n">
        <v>2</v>
      </c>
    </row>
    <row r="1888">
      <c r="A1888" s="7" t="inlineStr">
        <is>
          <t>MAT-32-537</t>
        </is>
      </c>
      <c r="B1888" s="4" t="inlineStr">
        <is>
          <t>Tapón macho de HG 1"</t>
        </is>
      </c>
      <c r="C1888" s="7" t="inlineStr">
        <is>
          <t>unidad</t>
        </is>
      </c>
      <c r="D1888" s="8" t="n"/>
      <c r="E1888" s="8" t="n">
        <v>35.11</v>
      </c>
      <c r="F1888" s="8" t="n"/>
      <c r="G1888" s="8" t="n">
        <v>101</v>
      </c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>
        <f>IF(COUNT(D1888:V1888)=0,"",MIN(D1888:V1888))</f>
        <v/>
      </c>
      <c r="X1888" s="8">
        <f>IF(COUNT(D1888:V1888)=0,"",MEDIAN(D1888:V1888))</f>
        <v/>
      </c>
      <c r="Y1888" s="8">
        <f>IF(COUNT(D1888:V1888)=0,"",MAX(D1888:V1888))</f>
        <v/>
      </c>
      <c r="Z1888" s="9">
        <f>IF(OR(W1888="",W1888=0),"",(Y1888-W1888)/W1888)</f>
        <v/>
      </c>
      <c r="AA1888" s="7">
        <f>IF(COUNT(D1888:V1888)=0,"",INDEX($D$1:$V$1,MATCH(MIN(D1888:V1888),D1888:V1888,0)))</f>
        <v/>
      </c>
      <c r="AB1888" s="8" t="n">
        <v>68.06</v>
      </c>
      <c r="AC1888" s="10" t="n">
        <v>2</v>
      </c>
    </row>
    <row r="1889">
      <c r="A1889" s="7" t="inlineStr">
        <is>
          <t>MAT-32-538</t>
        </is>
      </c>
      <c r="B1889" s="4" t="inlineStr">
        <is>
          <t>Tapón macho de HG 2"</t>
        </is>
      </c>
      <c r="C1889" s="7" t="inlineStr">
        <is>
          <t>unidad</t>
        </is>
      </c>
      <c r="D1889" s="8" t="n"/>
      <c r="E1889" s="8" t="n">
        <v>105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>
        <f>IF(COUNT(D1889:V1889)=0,"",MIN(D1889:V1889))</f>
        <v/>
      </c>
      <c r="X1889" s="8">
        <f>IF(COUNT(D1889:V1889)=0,"",MEDIAN(D1889:V1889))</f>
        <v/>
      </c>
      <c r="Y1889" s="8">
        <f>IF(COUNT(D1889:V1889)=0,"",MAX(D1889:V1889))</f>
        <v/>
      </c>
      <c r="Z1889" s="9">
        <f>IF(OR(W1889="",W1889=0),"",(Y1889-W1889)/W1889)</f>
        <v/>
      </c>
      <c r="AA1889" s="7">
        <f>IF(COUNT(D1889:V1889)=0,"",INDEX($D$1:$V$1,MATCH(MIN(D1889:V1889),D1889:V1889,0)))</f>
        <v/>
      </c>
      <c r="AB1889" s="8" t="n">
        <v>105</v>
      </c>
      <c r="AC1889" s="10" t="n">
        <v>1</v>
      </c>
    </row>
    <row r="1890">
      <c r="A1890" s="7" t="inlineStr">
        <is>
          <t>MAT-32-539</t>
        </is>
      </c>
      <c r="B1890" s="4" t="inlineStr">
        <is>
          <t>Tapón macho de HG 3/4"</t>
        </is>
      </c>
      <c r="C1890" s="7" t="inlineStr">
        <is>
          <t>unidad</t>
        </is>
      </c>
      <c r="D1890" s="8" t="n"/>
      <c r="E1890" s="8" t="n">
        <v>25.87</v>
      </c>
      <c r="F1890" s="8" t="n"/>
      <c r="G1890" s="8" t="n">
        <v>33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>
        <f>IF(COUNT(D1890:V1890)=0,"",MIN(D1890:V1890))</f>
        <v/>
      </c>
      <c r="X1890" s="8">
        <f>IF(COUNT(D1890:V1890)=0,"",MEDIAN(D1890:V1890))</f>
        <v/>
      </c>
      <c r="Y1890" s="8">
        <f>IF(COUNT(D1890:V1890)=0,"",MAX(D1890:V1890))</f>
        <v/>
      </c>
      <c r="Z1890" s="9">
        <f>IF(OR(W1890="",W1890=0),"",(Y1890-W1890)/W1890)</f>
        <v/>
      </c>
      <c r="AA1890" s="7">
        <f>IF(COUNT(D1890:V1890)=0,"",INDEX($D$1:$V$1,MATCH(MIN(D1890:V1890),D1890:V1890,0)))</f>
        <v/>
      </c>
      <c r="AB1890" s="8" t="n">
        <v>29.44</v>
      </c>
      <c r="AC1890" s="10" t="n">
        <v>2</v>
      </c>
    </row>
    <row r="1891">
      <c r="A1891" s="7" t="inlineStr">
        <is>
          <t>MAT-32-540</t>
        </is>
      </c>
      <c r="B1891" s="4" t="inlineStr">
        <is>
          <t>Tapón macho de HG 3/8"</t>
        </is>
      </c>
      <c r="C1891" s="7" t="inlineStr">
        <is>
          <t>unidad</t>
        </is>
      </c>
      <c r="D1891" s="8" t="n"/>
      <c r="E1891" s="8" t="n">
        <v>21.1</v>
      </c>
      <c r="F1891" s="8" t="n"/>
      <c r="G1891" s="8" t="n">
        <v>22</v>
      </c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>
        <f>IF(COUNT(D1891:V1891)=0,"",MIN(D1891:V1891))</f>
        <v/>
      </c>
      <c r="X1891" s="8">
        <f>IF(COUNT(D1891:V1891)=0,"",MEDIAN(D1891:V1891))</f>
        <v/>
      </c>
      <c r="Y1891" s="8">
        <f>IF(COUNT(D1891:V1891)=0,"",MAX(D1891:V1891))</f>
        <v/>
      </c>
      <c r="Z1891" s="9">
        <f>IF(OR(W1891="",W1891=0),"",(Y1891-W1891)/W1891)</f>
        <v/>
      </c>
      <c r="AA1891" s="7">
        <f>IF(COUNT(D1891:V1891)=0,"",INDEX($D$1:$V$1,MATCH(MIN(D1891:V1891),D1891:V1891,0)))</f>
        <v/>
      </c>
      <c r="AB1891" s="8" t="n">
        <v>21.55</v>
      </c>
      <c r="AC1891" s="10" t="n">
        <v>2</v>
      </c>
    </row>
    <row r="1892">
      <c r="A1892" s="7" t="inlineStr">
        <is>
          <t>MAT-32-541</t>
        </is>
      </c>
      <c r="B1892" s="4" t="inlineStr">
        <is>
          <t>Tapón macho de HG 3"</t>
        </is>
      </c>
      <c r="C1892" s="7" t="inlineStr">
        <is>
          <t>unidad</t>
        </is>
      </c>
      <c r="D1892" s="8" t="n"/>
      <c r="E1892" s="8" t="n">
        <v>220</v>
      </c>
      <c r="F1892" s="8" t="n"/>
      <c r="G1892" s="8" t="n">
        <v>206</v>
      </c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>
        <f>IF(COUNT(D1892:V1892)=0,"",MIN(D1892:V1892))</f>
        <v/>
      </c>
      <c r="X1892" s="8">
        <f>IF(COUNT(D1892:V1892)=0,"",MEDIAN(D1892:V1892))</f>
        <v/>
      </c>
      <c r="Y1892" s="8">
        <f>IF(COUNT(D1892:V1892)=0,"",MAX(D1892:V1892))</f>
        <v/>
      </c>
      <c r="Z1892" s="9">
        <f>IF(OR(W1892="",W1892=0),"",(Y1892-W1892)/W1892)</f>
        <v/>
      </c>
      <c r="AA1892" s="7">
        <f>IF(COUNT(D1892:V1892)=0,"",INDEX($D$1:$V$1,MATCH(MIN(D1892:V1892),D1892:V1892,0)))</f>
        <v/>
      </c>
      <c r="AB1892" s="8" t="n">
        <v>213</v>
      </c>
      <c r="AC1892" s="10" t="n">
        <v>2</v>
      </c>
    </row>
    <row r="1893">
      <c r="A1893" s="7" t="inlineStr">
        <is>
          <t>MAT-32-542</t>
        </is>
      </c>
      <c r="B1893" s="4" t="inlineStr">
        <is>
          <t>Tapón macho de PPR 20 mm</t>
        </is>
      </c>
      <c r="C1893" s="7" t="inlineStr">
        <is>
          <t>unidad</t>
        </is>
      </c>
      <c r="D1893" s="8" t="n"/>
      <c r="E1893" s="8" t="n">
        <v>4.66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>
        <f>IF(COUNT(D1893:V1893)=0,"",MIN(D1893:V1893))</f>
        <v/>
      </c>
      <c r="X1893" s="8">
        <f>IF(COUNT(D1893:V1893)=0,"",MEDIAN(D1893:V1893))</f>
        <v/>
      </c>
      <c r="Y1893" s="8">
        <f>IF(COUNT(D1893:V1893)=0,"",MAX(D1893:V1893))</f>
        <v/>
      </c>
      <c r="Z1893" s="9">
        <f>IF(OR(W1893="",W1893=0),"",(Y1893-W1893)/W1893)</f>
        <v/>
      </c>
      <c r="AA1893" s="7">
        <f>IF(COUNT(D1893:V1893)=0,"",INDEX($D$1:$V$1,MATCH(MIN(D1893:V1893),D1893:V1893,0)))</f>
        <v/>
      </c>
      <c r="AB1893" s="8" t="n">
        <v>4.66</v>
      </c>
      <c r="AC1893" s="10" t="n">
        <v>1</v>
      </c>
    </row>
    <row r="1894">
      <c r="A1894" s="7" t="inlineStr">
        <is>
          <t>MAT-32-543</t>
        </is>
      </c>
      <c r="B1894" s="4" t="inlineStr">
        <is>
          <t>Tapón macho de PPR 25 mm</t>
        </is>
      </c>
      <c r="C1894" s="7" t="inlineStr">
        <is>
          <t>unidad</t>
        </is>
      </c>
      <c r="D1894" s="8" t="n"/>
      <c r="E1894" s="8" t="n">
        <v>8.23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>
        <f>IF(COUNT(D1894:V1894)=0,"",MIN(D1894:V1894))</f>
        <v/>
      </c>
      <c r="X1894" s="8">
        <f>IF(COUNT(D1894:V1894)=0,"",MEDIAN(D1894:V1894))</f>
        <v/>
      </c>
      <c r="Y1894" s="8">
        <f>IF(COUNT(D1894:V1894)=0,"",MAX(D1894:V1894))</f>
        <v/>
      </c>
      <c r="Z1894" s="9">
        <f>IF(OR(W1894="",W1894=0),"",(Y1894-W1894)/W1894)</f>
        <v/>
      </c>
      <c r="AA1894" s="7">
        <f>IF(COUNT(D1894:V1894)=0,"",INDEX($D$1:$V$1,MATCH(MIN(D1894:V1894),D1894:V1894,0)))</f>
        <v/>
      </c>
      <c r="AB1894" s="8" t="n">
        <v>8.23</v>
      </c>
      <c r="AC1894" s="10" t="n">
        <v>1</v>
      </c>
    </row>
    <row r="1895">
      <c r="A1895" s="7" t="inlineStr">
        <is>
          <t>MAT-32-544</t>
        </is>
      </c>
      <c r="B1895" s="4" t="inlineStr">
        <is>
          <t>Tapón macho de PPR 32 mm</t>
        </is>
      </c>
      <c r="C1895" s="7" t="inlineStr">
        <is>
          <t>unidad</t>
        </is>
      </c>
      <c r="D1895" s="8" t="n"/>
      <c r="E1895" s="8" t="n">
        <v>10.98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>
        <f>IF(COUNT(D1895:V1895)=0,"",MIN(D1895:V1895))</f>
        <v/>
      </c>
      <c r="X1895" s="8">
        <f>IF(COUNT(D1895:V1895)=0,"",MEDIAN(D1895:V1895))</f>
        <v/>
      </c>
      <c r="Y1895" s="8">
        <f>IF(COUNT(D1895:V1895)=0,"",MAX(D1895:V1895))</f>
        <v/>
      </c>
      <c r="Z1895" s="9">
        <f>IF(OR(W1895="",W1895=0),"",(Y1895-W1895)/W1895)</f>
        <v/>
      </c>
      <c r="AA1895" s="7">
        <f>IF(COUNT(D1895:V1895)=0,"",INDEX($D$1:$V$1,MATCH(MIN(D1895:V1895),D1895:V1895,0)))</f>
        <v/>
      </c>
      <c r="AB1895" s="8" t="n">
        <v>10.98</v>
      </c>
      <c r="AC1895" s="10" t="n">
        <v>1</v>
      </c>
    </row>
    <row r="1896">
      <c r="A1896" s="7" t="inlineStr">
        <is>
          <t>MAT-32-545</t>
        </is>
      </c>
      <c r="B1896" s="4" t="inlineStr">
        <is>
          <t>Tapón macho de PVC 1 1/2"</t>
        </is>
      </c>
      <c r="C1896" s="7" t="inlineStr">
        <is>
          <t>unidad</t>
        </is>
      </c>
      <c r="D1896" s="8" t="n"/>
      <c r="E1896" s="8" t="n">
        <v>30.65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>
        <f>IF(COUNT(D1896:V1896)=0,"",MIN(D1896:V1896))</f>
        <v/>
      </c>
      <c r="X1896" s="8">
        <f>IF(COUNT(D1896:V1896)=0,"",MEDIAN(D1896:V1896))</f>
        <v/>
      </c>
      <c r="Y1896" s="8">
        <f>IF(COUNT(D1896:V1896)=0,"",MAX(D1896:V1896))</f>
        <v/>
      </c>
      <c r="Z1896" s="9">
        <f>IF(OR(W1896="",W1896=0),"",(Y1896-W1896)/W1896)</f>
        <v/>
      </c>
      <c r="AA1896" s="7">
        <f>IF(COUNT(D1896:V1896)=0,"",INDEX($D$1:$V$1,MATCH(MIN(D1896:V1896),D1896:V1896,0)))</f>
        <v/>
      </c>
      <c r="AB1896" s="8" t="n">
        <v>30.65</v>
      </c>
      <c r="AC1896" s="10" t="n">
        <v>1</v>
      </c>
    </row>
    <row r="1897">
      <c r="A1897" s="7" t="inlineStr">
        <is>
          <t>MAT-32-546</t>
        </is>
      </c>
      <c r="B1897" s="4" t="inlineStr">
        <is>
          <t>Tapón macho de PVC 1"</t>
        </is>
      </c>
      <c r="C1897" s="7" t="inlineStr">
        <is>
          <t>unidad</t>
        </is>
      </c>
      <c r="D1897" s="8" t="n"/>
      <c r="E1897" s="8" t="n">
        <v>5.61</v>
      </c>
      <c r="F1897" s="8" t="n"/>
      <c r="G1897" s="8" t="n">
        <v>62</v>
      </c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>
        <f>IF(COUNT(D1897:V1897)=0,"",MIN(D1897:V1897))</f>
        <v/>
      </c>
      <c r="X1897" s="8">
        <f>IF(COUNT(D1897:V1897)=0,"",MEDIAN(D1897:V1897))</f>
        <v/>
      </c>
      <c r="Y1897" s="8">
        <f>IF(COUNT(D1897:V1897)=0,"",MAX(D1897:V1897))</f>
        <v/>
      </c>
      <c r="Z1897" s="9">
        <f>IF(OR(W1897="",W1897=0),"",(Y1897-W1897)/W1897)</f>
        <v/>
      </c>
      <c r="AA1897" s="7">
        <f>IF(COUNT(D1897:V1897)=0,"",INDEX($D$1:$V$1,MATCH(MIN(D1897:V1897),D1897:V1897,0)))</f>
        <v/>
      </c>
      <c r="AB1897" s="8" t="n">
        <v>35.11</v>
      </c>
      <c r="AC1897" s="10" t="n">
        <v>2</v>
      </c>
    </row>
    <row r="1898">
      <c r="A1898" s="7" t="inlineStr">
        <is>
          <t>MAT-32-547</t>
        </is>
      </c>
      <c r="B1898" s="4" t="inlineStr">
        <is>
          <t>Tapón macho de PVC 2"</t>
        </is>
      </c>
      <c r="C1898" s="7" t="inlineStr">
        <is>
          <t>unidad</t>
        </is>
      </c>
      <c r="D1898" s="8" t="n"/>
      <c r="E1898" s="8" t="n">
        <v>31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>
        <f>IF(COUNT(D1898:V1898)=0,"",MIN(D1898:V1898))</f>
        <v/>
      </c>
      <c r="X1898" s="8">
        <f>IF(COUNT(D1898:V1898)=0,"",MEDIAN(D1898:V1898))</f>
        <v/>
      </c>
      <c r="Y1898" s="8">
        <f>IF(COUNT(D1898:V1898)=0,"",MAX(D1898:V1898))</f>
        <v/>
      </c>
      <c r="Z1898" s="9">
        <f>IF(OR(W1898="",W1898=0),"",(Y1898-W1898)/W1898)</f>
        <v/>
      </c>
      <c r="AA1898" s="7">
        <f>IF(COUNT(D1898:V1898)=0,"",INDEX($D$1:$V$1,MATCH(MIN(D1898:V1898),D1898:V1898,0)))</f>
        <v/>
      </c>
      <c r="AB1898" s="8" t="n">
        <v>31</v>
      </c>
      <c r="AC1898" s="10" t="n">
        <v>1</v>
      </c>
    </row>
    <row r="1899">
      <c r="A1899" s="7" t="inlineStr">
        <is>
          <t>MAT-32-548</t>
        </is>
      </c>
      <c r="B1899" s="4" t="inlineStr">
        <is>
          <t>Tapón macho de PVC 3/4"</t>
        </is>
      </c>
      <c r="C1899" s="7" t="inlineStr">
        <is>
          <t>unidad</t>
        </is>
      </c>
      <c r="D1899" s="8" t="n"/>
      <c r="E1899" s="8" t="n">
        <v>3.57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>
        <f>IF(COUNT(D1899:V1899)=0,"",MIN(D1899:V1899))</f>
        <v/>
      </c>
      <c r="X1899" s="8">
        <f>IF(COUNT(D1899:V1899)=0,"",MEDIAN(D1899:V1899))</f>
        <v/>
      </c>
      <c r="Y1899" s="8">
        <f>IF(COUNT(D1899:V1899)=0,"",MAX(D1899:V1899))</f>
        <v/>
      </c>
      <c r="Z1899" s="9">
        <f>IF(OR(W1899="",W1899=0),"",(Y1899-W1899)/W1899)</f>
        <v/>
      </c>
      <c r="AA1899" s="7">
        <f>IF(COUNT(D1899:V1899)=0,"",INDEX($D$1:$V$1,MATCH(MIN(D1899:V1899),D1899:V1899,0)))</f>
        <v/>
      </c>
      <c r="AB1899" s="8" t="n">
        <v>7.04</v>
      </c>
      <c r="AC1899" s="10" t="n">
        <v>1</v>
      </c>
    </row>
    <row r="1900">
      <c r="A1900" s="7" t="inlineStr">
        <is>
          <t>MAT-32-549</t>
        </is>
      </c>
      <c r="B1900" s="4" t="inlineStr">
        <is>
          <t>Tapón de HG 1 1/2"</t>
        </is>
      </c>
      <c r="C1900" s="7" t="inlineStr">
        <is>
          <t>unidad</t>
        </is>
      </c>
      <c r="D1900" s="8" t="n"/>
      <c r="E1900" s="8" t="n">
        <v>71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>
        <f>IF(COUNT(D1900:V1900)=0,"",MIN(D1900:V1900))</f>
        <v/>
      </c>
      <c r="X1900" s="8">
        <f>IF(COUNT(D1900:V1900)=0,"",MEDIAN(D1900:V1900))</f>
        <v/>
      </c>
      <c r="Y1900" s="8">
        <f>IF(COUNT(D1900:V1900)=0,"",MAX(D1900:V1900))</f>
        <v/>
      </c>
      <c r="Z1900" s="9">
        <f>IF(OR(W1900="",W1900=0),"",(Y1900-W1900)/W1900)</f>
        <v/>
      </c>
      <c r="AA1900" s="7">
        <f>IF(COUNT(D1900:V1900)=0,"",INDEX($D$1:$V$1,MATCH(MIN(D1900:V1900),D1900:V1900,0)))</f>
        <v/>
      </c>
      <c r="AB1900" s="8" t="n">
        <v>71</v>
      </c>
      <c r="AC1900" s="10" t="n">
        <v>1</v>
      </c>
    </row>
    <row r="1901">
      <c r="A1901" s="7" t="inlineStr">
        <is>
          <t>MAT-32-550</t>
        </is>
      </c>
      <c r="B1901" s="4" t="inlineStr">
        <is>
          <t>Tapón de HG 1/2"</t>
        </is>
      </c>
      <c r="C1901" s="7" t="inlineStr">
        <is>
          <t>unidad</t>
        </is>
      </c>
      <c r="D1901" s="8" t="n"/>
      <c r="E1901" s="8" t="n">
        <v>47.69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>
        <f>IF(COUNT(D1901:V1901)=0,"",MIN(D1901:V1901))</f>
        <v/>
      </c>
      <c r="X1901" s="8">
        <f>IF(COUNT(D1901:V1901)=0,"",MEDIAN(D1901:V1901))</f>
        <v/>
      </c>
      <c r="Y1901" s="8">
        <f>IF(COUNT(D1901:V1901)=0,"",MAX(D1901:V1901))</f>
        <v/>
      </c>
      <c r="Z1901" s="9">
        <f>IF(OR(W1901="",W1901=0),"",(Y1901-W1901)/W1901)</f>
        <v/>
      </c>
      <c r="AA1901" s="7">
        <f>IF(COUNT(D1901:V1901)=0,"",INDEX($D$1:$V$1,MATCH(MIN(D1901:V1901),D1901:V1901,0)))</f>
        <v/>
      </c>
      <c r="AB1901" s="8" t="n">
        <v>47.69</v>
      </c>
      <c r="AC1901" s="10" t="n">
        <v>1</v>
      </c>
    </row>
    <row r="1902">
      <c r="A1902" s="7" t="inlineStr">
        <is>
          <t>MAT-32-551</t>
        </is>
      </c>
      <c r="B1902" s="4" t="inlineStr">
        <is>
          <t>Tapón de HG 1"</t>
        </is>
      </c>
      <c r="C1902" s="7" t="inlineStr">
        <is>
          <t>unidad</t>
        </is>
      </c>
      <c r="D1902" s="8" t="n"/>
      <c r="E1902" s="8" t="n">
        <v>35.13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>
        <f>IF(COUNT(D1902:V1902)=0,"",MIN(D1902:V1902))</f>
        <v/>
      </c>
      <c r="X1902" s="8">
        <f>IF(COUNT(D1902:V1902)=0,"",MEDIAN(D1902:V1902))</f>
        <v/>
      </c>
      <c r="Y1902" s="8">
        <f>IF(COUNT(D1902:V1902)=0,"",MAX(D1902:V1902))</f>
        <v/>
      </c>
      <c r="Z1902" s="9">
        <f>IF(OR(W1902="",W1902=0),"",(Y1902-W1902)/W1902)</f>
        <v/>
      </c>
      <c r="AA1902" s="7">
        <f>IF(COUNT(D1902:V1902)=0,"",INDEX($D$1:$V$1,MATCH(MIN(D1902:V1902),D1902:V1902,0)))</f>
        <v/>
      </c>
      <c r="AB1902" s="8" t="n">
        <v>35.13</v>
      </c>
      <c r="AC1902" s="10" t="n">
        <v>1</v>
      </c>
    </row>
    <row r="1903">
      <c r="A1903" s="7" t="inlineStr">
        <is>
          <t>MAT-32-552</t>
        </is>
      </c>
      <c r="B1903" s="4" t="inlineStr">
        <is>
          <t>Tapón de HG 2"</t>
        </is>
      </c>
      <c r="C1903" s="7" t="inlineStr">
        <is>
          <t>unidad</t>
        </is>
      </c>
      <c r="D1903" s="8" t="n"/>
      <c r="E1903" s="8" t="n">
        <v>88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>
        <f>IF(COUNT(D1903:V1903)=0,"",MIN(D1903:V1903))</f>
        <v/>
      </c>
      <c r="X1903" s="8">
        <f>IF(COUNT(D1903:V1903)=0,"",MEDIAN(D1903:V1903))</f>
        <v/>
      </c>
      <c r="Y1903" s="8">
        <f>IF(COUNT(D1903:V1903)=0,"",MAX(D1903:V1903))</f>
        <v/>
      </c>
      <c r="Z1903" s="9">
        <f>IF(OR(W1903="",W1903=0),"",(Y1903-W1903)/W1903)</f>
        <v/>
      </c>
      <c r="AA1903" s="7">
        <f>IF(COUNT(D1903:V1903)=0,"",INDEX($D$1:$V$1,MATCH(MIN(D1903:V1903),D1903:V1903,0)))</f>
        <v/>
      </c>
      <c r="AB1903" s="8" t="n">
        <v>88</v>
      </c>
      <c r="AC1903" s="10" t="n">
        <v>1</v>
      </c>
    </row>
    <row r="1904">
      <c r="A1904" s="7" t="inlineStr">
        <is>
          <t>MAT-32-553</t>
        </is>
      </c>
      <c r="B1904" s="4" t="inlineStr">
        <is>
          <t>Tapón de HG 3/4"</t>
        </is>
      </c>
      <c r="C1904" s="7" t="inlineStr">
        <is>
          <t>unidad</t>
        </is>
      </c>
      <c r="D1904" s="8" t="n"/>
      <c r="E1904" s="8" t="n">
        <v>25.2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>
        <f>IF(COUNT(D1904:V1904)=0,"",MIN(D1904:V1904))</f>
        <v/>
      </c>
      <c r="X1904" s="8">
        <f>IF(COUNT(D1904:V1904)=0,"",MEDIAN(D1904:V1904))</f>
        <v/>
      </c>
      <c r="Y1904" s="8">
        <f>IF(COUNT(D1904:V1904)=0,"",MAX(D1904:V1904))</f>
        <v/>
      </c>
      <c r="Z1904" s="9">
        <f>IF(OR(W1904="",W1904=0),"",(Y1904-W1904)/W1904)</f>
        <v/>
      </c>
      <c r="AA1904" s="7">
        <f>IF(COUNT(D1904:V1904)=0,"",INDEX($D$1:$V$1,MATCH(MIN(D1904:V1904),D1904:V1904,0)))</f>
        <v/>
      </c>
      <c r="AB1904" s="8" t="n">
        <v>25.2</v>
      </c>
      <c r="AC1904" s="10" t="n">
        <v>1</v>
      </c>
    </row>
    <row r="1905">
      <c r="A1905" s="7" t="inlineStr">
        <is>
          <t>MAT-32-554</t>
        </is>
      </c>
      <c r="B1905" s="4" t="inlineStr">
        <is>
          <t>Tapón de HG 3/8"</t>
        </is>
      </c>
      <c r="C1905" s="7" t="inlineStr">
        <is>
          <t>unidad</t>
        </is>
      </c>
      <c r="D1905" s="8" t="n"/>
      <c r="E1905" s="8" t="n">
        <v>28.78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>
        <f>IF(COUNT(D1905:V1905)=0,"",MIN(D1905:V1905))</f>
        <v/>
      </c>
      <c r="X1905" s="8">
        <f>IF(COUNT(D1905:V1905)=0,"",MEDIAN(D1905:V1905))</f>
        <v/>
      </c>
      <c r="Y1905" s="8">
        <f>IF(COUNT(D1905:V1905)=0,"",MAX(D1905:V1905))</f>
        <v/>
      </c>
      <c r="Z1905" s="9">
        <f>IF(OR(W1905="",W1905=0),"",(Y1905-W1905)/W1905)</f>
        <v/>
      </c>
      <c r="AA1905" s="7">
        <f>IF(COUNT(D1905:V1905)=0,"",INDEX($D$1:$V$1,MATCH(MIN(D1905:V1905),D1905:V1905,0)))</f>
        <v/>
      </c>
      <c r="AB1905" s="8" t="n">
        <v>28.78</v>
      </c>
      <c r="AC1905" s="10" t="n">
        <v>1</v>
      </c>
    </row>
    <row r="1906">
      <c r="A1906" s="7" t="inlineStr">
        <is>
          <t>MAT-32-555</t>
        </is>
      </c>
      <c r="B1906" s="4" t="inlineStr">
        <is>
          <t>Tapón de HG 3"</t>
        </is>
      </c>
      <c r="C1906" s="7" t="inlineStr">
        <is>
          <t>unidad</t>
        </is>
      </c>
      <c r="D1906" s="8" t="n"/>
      <c r="E1906" s="8" t="n">
        <v>281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>
        <f>IF(COUNT(D1906:V1906)=0,"",MIN(D1906:V1906))</f>
        <v/>
      </c>
      <c r="X1906" s="8">
        <f>IF(COUNT(D1906:V1906)=0,"",MEDIAN(D1906:V1906))</f>
        <v/>
      </c>
      <c r="Y1906" s="8">
        <f>IF(COUNT(D1906:V1906)=0,"",MAX(D1906:V1906))</f>
        <v/>
      </c>
      <c r="Z1906" s="9">
        <f>IF(OR(W1906="",W1906=0),"",(Y1906-W1906)/W1906)</f>
        <v/>
      </c>
      <c r="AA1906" s="7">
        <f>IF(COUNT(D1906:V1906)=0,"",INDEX($D$1:$V$1,MATCH(MIN(D1906:V1906),D1906:V1906,0)))</f>
        <v/>
      </c>
      <c r="AB1906" s="8" t="n">
        <v>281</v>
      </c>
      <c r="AC1906" s="10" t="n">
        <v>1</v>
      </c>
    </row>
    <row r="1907">
      <c r="A1907" s="7" t="inlineStr">
        <is>
          <t>MAT-32-556</t>
        </is>
      </c>
      <c r="B1907" s="4" t="inlineStr">
        <is>
          <t>Tapón de HG 4"</t>
        </is>
      </c>
      <c r="C1907" s="7" t="inlineStr">
        <is>
          <t>unidad</t>
        </is>
      </c>
      <c r="D1907" s="8" t="n"/>
      <c r="E1907" s="8" t="n">
        <v>454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>
        <f>IF(COUNT(D1907:V1907)=0,"",MIN(D1907:V1907))</f>
        <v/>
      </c>
      <c r="X1907" s="8">
        <f>IF(COUNT(D1907:V1907)=0,"",MEDIAN(D1907:V1907))</f>
        <v/>
      </c>
      <c r="Y1907" s="8">
        <f>IF(COUNT(D1907:V1907)=0,"",MAX(D1907:V1907))</f>
        <v/>
      </c>
      <c r="Z1907" s="9">
        <f>IF(OR(W1907="",W1907=0),"",(Y1907-W1907)/W1907)</f>
        <v/>
      </c>
      <c r="AA1907" s="7">
        <f>IF(COUNT(D1907:V1907)=0,"",INDEX($D$1:$V$1,MATCH(MIN(D1907:V1907),D1907:V1907,0)))</f>
        <v/>
      </c>
      <c r="AB1907" s="8" t="n">
        <v>454</v>
      </c>
      <c r="AC1907" s="10" t="n">
        <v>1</v>
      </c>
    </row>
    <row r="1908">
      <c r="A1908" s="7" t="inlineStr">
        <is>
          <t>MAT-32-557</t>
        </is>
      </c>
      <c r="B1908" s="4" t="inlineStr">
        <is>
          <t>Tapón de plástico 1 1/2"</t>
        </is>
      </c>
      <c r="C1908" s="7" t="inlineStr">
        <is>
          <t>unidad</t>
        </is>
      </c>
      <c r="D1908" s="8" t="n"/>
      <c r="E1908" s="8" t="n">
        <v>8.5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>
        <f>IF(COUNT(D1908:V1908)=0,"",MIN(D1908:V1908))</f>
        <v/>
      </c>
      <c r="X1908" s="8">
        <f>IF(COUNT(D1908:V1908)=0,"",MEDIAN(D1908:V1908))</f>
        <v/>
      </c>
      <c r="Y1908" s="8">
        <f>IF(COUNT(D1908:V1908)=0,"",MAX(D1908:V1908))</f>
        <v/>
      </c>
      <c r="Z1908" s="9">
        <f>IF(OR(W1908="",W1908=0),"",(Y1908-W1908)/W1908)</f>
        <v/>
      </c>
      <c r="AA1908" s="7">
        <f>IF(COUNT(D1908:V1908)=0,"",INDEX($D$1:$V$1,MATCH(MIN(D1908:V1908),D1908:V1908,0)))</f>
        <v/>
      </c>
      <c r="AB1908" s="8" t="n">
        <v>9.25</v>
      </c>
      <c r="AC1908" s="10" t="n">
        <v>1</v>
      </c>
    </row>
    <row r="1909">
      <c r="A1909" s="7" t="inlineStr">
        <is>
          <t>MAT-32-558</t>
        </is>
      </c>
      <c r="B1909" s="4" t="inlineStr">
        <is>
          <t>Tapón de plástico 16"</t>
        </is>
      </c>
      <c r="C1909" s="7" t="inlineStr">
        <is>
          <t>unidad</t>
        </is>
      </c>
      <c r="D1909" s="8" t="n"/>
      <c r="E1909" s="8" t="n">
        <v>211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>
        <f>IF(COUNT(D1909:V1909)=0,"",MIN(D1909:V1909))</f>
        <v/>
      </c>
      <c r="X1909" s="8">
        <f>IF(COUNT(D1909:V1909)=0,"",MEDIAN(D1909:V1909))</f>
        <v/>
      </c>
      <c r="Y1909" s="8">
        <f>IF(COUNT(D1909:V1909)=0,"",MAX(D1909:V1909))</f>
        <v/>
      </c>
      <c r="Z1909" s="9">
        <f>IF(OR(W1909="",W1909=0),"",(Y1909-W1909)/W1909)</f>
        <v/>
      </c>
      <c r="AA1909" s="7">
        <f>IF(COUNT(D1909:V1909)=0,"",INDEX($D$1:$V$1,MATCH(MIN(D1909:V1909),D1909:V1909,0)))</f>
        <v/>
      </c>
      <c r="AB1909" s="8" t="n">
        <v>211</v>
      </c>
      <c r="AC1909" s="10" t="n">
        <v>1</v>
      </c>
    </row>
    <row r="1910">
      <c r="A1910" s="7" t="inlineStr">
        <is>
          <t>MAT-32-559</t>
        </is>
      </c>
      <c r="B1910" s="4" t="inlineStr">
        <is>
          <t>Tapón de plástico 1"</t>
        </is>
      </c>
      <c r="C1910" s="7" t="inlineStr">
        <is>
          <t>unidad</t>
        </is>
      </c>
      <c r="D1910" s="8" t="n"/>
      <c r="E1910" s="8" t="n">
        <v>3.9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>
        <f>IF(COUNT(D1910:V1910)=0,"",MIN(D1910:V1910))</f>
        <v/>
      </c>
      <c r="X1910" s="8">
        <f>IF(COUNT(D1910:V1910)=0,"",MEDIAN(D1910:V1910))</f>
        <v/>
      </c>
      <c r="Y1910" s="8">
        <f>IF(COUNT(D1910:V1910)=0,"",MAX(D1910:V1910))</f>
        <v/>
      </c>
      <c r="Z1910" s="9">
        <f>IF(OR(W1910="",W1910=0),"",(Y1910-W1910)/W1910)</f>
        <v/>
      </c>
      <c r="AA1910" s="7">
        <f>IF(COUNT(D1910:V1910)=0,"",INDEX($D$1:$V$1,MATCH(MIN(D1910:V1910),D1910:V1910,0)))</f>
        <v/>
      </c>
      <c r="AB1910" s="8" t="n">
        <v>5.27</v>
      </c>
      <c r="AC1910" s="10" t="n">
        <v>1</v>
      </c>
    </row>
    <row r="1911">
      <c r="A1911" s="7" t="inlineStr">
        <is>
          <t>MAT-32-560</t>
        </is>
      </c>
      <c r="B1911" s="4" t="inlineStr">
        <is>
          <t>Tapón de plástico 2"</t>
        </is>
      </c>
      <c r="C1911" s="7" t="inlineStr">
        <is>
          <t>unidad</t>
        </is>
      </c>
      <c r="D1911" s="8" t="n"/>
      <c r="E1911" s="8" t="n">
        <v>5.25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>
        <f>IF(COUNT(D1911:V1911)=0,"",MIN(D1911:V1911))</f>
        <v/>
      </c>
      <c r="X1911" s="8">
        <f>IF(COUNT(D1911:V1911)=0,"",MEDIAN(D1911:V1911))</f>
        <v/>
      </c>
      <c r="Y1911" s="8">
        <f>IF(COUNT(D1911:V1911)=0,"",MAX(D1911:V1911))</f>
        <v/>
      </c>
      <c r="Z1911" s="9">
        <f>IF(OR(W1911="",W1911=0),"",(Y1911-W1911)/W1911)</f>
        <v/>
      </c>
      <c r="AA1911" s="7">
        <f>IF(COUNT(D1911:V1911)=0,"",INDEX($D$1:$V$1,MATCH(MIN(D1911:V1911),D1911:V1911,0)))</f>
        <v/>
      </c>
      <c r="AB1911" s="8" t="n">
        <v>5.25</v>
      </c>
      <c r="AC1911" s="10" t="n">
        <v>1</v>
      </c>
    </row>
    <row r="1912">
      <c r="A1912" s="7" t="inlineStr">
        <is>
          <t>MAT-32-561</t>
        </is>
      </c>
      <c r="B1912" s="4" t="inlineStr">
        <is>
          <t>Tapón de plástico 3/4"</t>
        </is>
      </c>
      <c r="C1912" s="7" t="inlineStr">
        <is>
          <t>unidad</t>
        </is>
      </c>
      <c r="D1912" s="8" t="n"/>
      <c r="E1912" s="8" t="n">
        <v>4.48</v>
      </c>
      <c r="F1912" s="8" t="n"/>
      <c r="G1912" s="8" t="n"/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>
        <f>IF(COUNT(D1912:V1912)=0,"",MIN(D1912:V1912))</f>
        <v/>
      </c>
      <c r="X1912" s="8">
        <f>IF(COUNT(D1912:V1912)=0,"",MEDIAN(D1912:V1912))</f>
        <v/>
      </c>
      <c r="Y1912" s="8">
        <f>IF(COUNT(D1912:V1912)=0,"",MAX(D1912:V1912))</f>
        <v/>
      </c>
      <c r="Z1912" s="9">
        <f>IF(OR(W1912="",W1912=0),"",(Y1912-W1912)/W1912)</f>
        <v/>
      </c>
      <c r="AA1912" s="7">
        <f>IF(COUNT(D1912:V1912)=0,"",INDEX($D$1:$V$1,MATCH(MIN(D1912:V1912),D1912:V1912,0)))</f>
        <v/>
      </c>
      <c r="AB1912" s="8" t="n">
        <v>4.48</v>
      </c>
      <c r="AC1912" s="10" t="n">
        <v>1</v>
      </c>
    </row>
    <row r="1913">
      <c r="A1913" s="7" t="inlineStr">
        <is>
          <t>MAT-32-562</t>
        </is>
      </c>
      <c r="B1913" s="4" t="inlineStr">
        <is>
          <t>Tapón de PVC 1 1/2"</t>
        </is>
      </c>
      <c r="C1913" s="7" t="inlineStr">
        <is>
          <t>unidad</t>
        </is>
      </c>
      <c r="D1913" s="8" t="n"/>
      <c r="E1913" s="8" t="n"/>
      <c r="F1913" s="8" t="n"/>
      <c r="G1913" s="8" t="n">
        <v>101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>
        <f>IF(COUNT(D1913:V1913)=0,"",MIN(D1913:V1913))</f>
        <v/>
      </c>
      <c r="X1913" s="8">
        <f>IF(COUNT(D1913:V1913)=0,"",MEDIAN(D1913:V1913))</f>
        <v/>
      </c>
      <c r="Y1913" s="8">
        <f>IF(COUNT(D1913:V1913)=0,"",MAX(D1913:V1913))</f>
        <v/>
      </c>
      <c r="Z1913" s="9">
        <f>IF(OR(W1913="",W1913=0),"",(Y1913-W1913)/W1913)</f>
        <v/>
      </c>
      <c r="AA1913" s="7">
        <f>IF(COUNT(D1913:V1913)=0,"",INDEX($D$1:$V$1,MATCH(MIN(D1913:V1913),D1913:V1913,0)))</f>
        <v/>
      </c>
      <c r="AB1913" s="8" t="n">
        <v>101</v>
      </c>
      <c r="AC1913" s="10" t="n">
        <v>1</v>
      </c>
    </row>
    <row r="1914">
      <c r="A1914" s="7" t="inlineStr">
        <is>
          <t>MAT-32-563</t>
        </is>
      </c>
      <c r="B1914" s="4" t="inlineStr">
        <is>
          <t>Tapón de PVC 2"</t>
        </is>
      </c>
      <c r="C1914" s="7" t="inlineStr">
        <is>
          <t>unidad</t>
        </is>
      </c>
      <c r="D1914" s="8" t="n"/>
      <c r="E1914" s="8" t="n"/>
      <c r="F1914" s="8" t="n"/>
      <c r="G1914" s="8" t="n">
        <v>135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>
        <f>IF(COUNT(D1914:V1914)=0,"",MIN(D1914:V1914))</f>
        <v/>
      </c>
      <c r="X1914" s="8">
        <f>IF(COUNT(D1914:V1914)=0,"",MEDIAN(D1914:V1914))</f>
        <v/>
      </c>
      <c r="Y1914" s="8">
        <f>IF(COUNT(D1914:V1914)=0,"",MAX(D1914:V1914))</f>
        <v/>
      </c>
      <c r="Z1914" s="9">
        <f>IF(OR(W1914="",W1914=0),"",(Y1914-W1914)/W1914)</f>
        <v/>
      </c>
      <c r="AA1914" s="7">
        <f>IF(COUNT(D1914:V1914)=0,"",INDEX($D$1:$V$1,MATCH(MIN(D1914:V1914),D1914:V1914,0)))</f>
        <v/>
      </c>
      <c r="AB1914" s="8" t="n">
        <v>135</v>
      </c>
      <c r="AC1914" s="10" t="n">
        <v>1</v>
      </c>
    </row>
    <row r="1915">
      <c r="A1915" s="7" t="inlineStr">
        <is>
          <t>MAT-32-564</t>
        </is>
      </c>
      <c r="B1915" s="4" t="inlineStr">
        <is>
          <t>Tapón de PVC 3"</t>
        </is>
      </c>
      <c r="C1915" s="7" t="inlineStr">
        <is>
          <t>unidad</t>
        </is>
      </c>
      <c r="D1915" s="8" t="n"/>
      <c r="E1915" s="8" t="n"/>
      <c r="F1915" s="8" t="n"/>
      <c r="G1915" s="8" t="n">
        <v>263</v>
      </c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>
        <f>IF(COUNT(D1915:V1915)=0,"",MIN(D1915:V1915))</f>
        <v/>
      </c>
      <c r="X1915" s="8">
        <f>IF(COUNT(D1915:V1915)=0,"",MEDIAN(D1915:V1915))</f>
        <v/>
      </c>
      <c r="Y1915" s="8">
        <f>IF(COUNT(D1915:V1915)=0,"",MAX(D1915:V1915))</f>
        <v/>
      </c>
      <c r="Z1915" s="9">
        <f>IF(OR(W1915="",W1915=0),"",(Y1915-W1915)/W1915)</f>
        <v/>
      </c>
      <c r="AA1915" s="7">
        <f>IF(COUNT(D1915:V1915)=0,"",INDEX($D$1:$V$1,MATCH(MIN(D1915:V1915),D1915:V1915,0)))</f>
        <v/>
      </c>
      <c r="AB1915" s="8" t="n">
        <v>263</v>
      </c>
      <c r="AC1915" s="10" t="n">
        <v>1</v>
      </c>
    </row>
    <row r="1916">
      <c r="A1916" s="7" t="inlineStr">
        <is>
          <t>MAT-32-565</t>
        </is>
      </c>
      <c r="B1916" s="4" t="inlineStr">
        <is>
          <t>Tapón de PVC 4"</t>
        </is>
      </c>
      <c r="C1916" s="7" t="inlineStr">
        <is>
          <t>unidad</t>
        </is>
      </c>
      <c r="D1916" s="8" t="n"/>
      <c r="E1916" s="8" t="n"/>
      <c r="F1916" s="8" t="n"/>
      <c r="G1916" s="8" t="n">
        <v>372</v>
      </c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>
        <f>IF(COUNT(D1916:V1916)=0,"",MIN(D1916:V1916))</f>
        <v/>
      </c>
      <c r="X1916" s="8">
        <f>IF(COUNT(D1916:V1916)=0,"",MEDIAN(D1916:V1916))</f>
        <v/>
      </c>
      <c r="Y1916" s="8">
        <f>IF(COUNT(D1916:V1916)=0,"",MAX(D1916:V1916))</f>
        <v/>
      </c>
      <c r="Z1916" s="9">
        <f>IF(OR(W1916="",W1916=0),"",(Y1916-W1916)/W1916)</f>
        <v/>
      </c>
      <c r="AA1916" s="7">
        <f>IF(COUNT(D1916:V1916)=0,"",INDEX($D$1:$V$1,MATCH(MIN(D1916:V1916),D1916:V1916,0)))</f>
        <v/>
      </c>
      <c r="AB1916" s="8" t="n">
        <v>372</v>
      </c>
      <c r="AC1916" s="10" t="n">
        <v>1</v>
      </c>
    </row>
    <row r="1917">
      <c r="A1917" s="7" t="inlineStr">
        <is>
          <t>MAT-32-566</t>
        </is>
      </c>
      <c r="B1917" s="4" t="inlineStr">
        <is>
          <t>Tapón de PVC 6"</t>
        </is>
      </c>
      <c r="C1917" s="7" t="inlineStr">
        <is>
          <t>unidad</t>
        </is>
      </c>
      <c r="D1917" s="8" t="n"/>
      <c r="E1917" s="8" t="n">
        <v>279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>
        <f>IF(COUNT(D1917:V1917)=0,"",MIN(D1917:V1917))</f>
        <v/>
      </c>
      <c r="X1917" s="8">
        <f>IF(COUNT(D1917:V1917)=0,"",MEDIAN(D1917:V1917))</f>
        <v/>
      </c>
      <c r="Y1917" s="8">
        <f>IF(COUNT(D1917:V1917)=0,"",MAX(D1917:V1917))</f>
        <v/>
      </c>
      <c r="Z1917" s="9">
        <f>IF(OR(W1917="",W1917=0),"",(Y1917-W1917)/W1917)</f>
        <v/>
      </c>
      <c r="AA1917" s="7">
        <f>IF(COUNT(D1917:V1917)=0,"",INDEX($D$1:$V$1,MATCH(MIN(D1917:V1917),D1917:V1917,0)))</f>
        <v/>
      </c>
      <c r="AB1917" s="8" t="n">
        <v>374.5</v>
      </c>
      <c r="AC1917" s="10" t="n">
        <v>1</v>
      </c>
    </row>
    <row r="1918">
      <c r="A1918" s="7" t="inlineStr">
        <is>
          <t>MAT-32-567</t>
        </is>
      </c>
      <c r="B1918" s="4" t="inlineStr">
        <is>
          <t>Tapón de PVC presión 1 1/2"</t>
        </is>
      </c>
      <c r="C1918" s="7" t="inlineStr">
        <is>
          <t>unidad</t>
        </is>
      </c>
      <c r="D1918" s="8" t="n"/>
      <c r="E1918" s="8" t="n">
        <v>24.74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>
        <f>IF(COUNT(D1918:V1918)=0,"",MIN(D1918:V1918))</f>
        <v/>
      </c>
      <c r="X1918" s="8">
        <f>IF(COUNT(D1918:V1918)=0,"",MEDIAN(D1918:V1918))</f>
        <v/>
      </c>
      <c r="Y1918" s="8">
        <f>IF(COUNT(D1918:V1918)=0,"",MAX(D1918:V1918))</f>
        <v/>
      </c>
      <c r="Z1918" s="9">
        <f>IF(OR(W1918="",W1918=0),"",(Y1918-W1918)/W1918)</f>
        <v/>
      </c>
      <c r="AA1918" s="7">
        <f>IF(COUNT(D1918:V1918)=0,"",INDEX($D$1:$V$1,MATCH(MIN(D1918:V1918),D1918:V1918,0)))</f>
        <v/>
      </c>
      <c r="AB1918" s="8" t="n">
        <v>24.74</v>
      </c>
      <c r="AC1918" s="10" t="n">
        <v>1</v>
      </c>
    </row>
    <row r="1919">
      <c r="A1919" s="7" t="inlineStr">
        <is>
          <t>MAT-32-568</t>
        </is>
      </c>
      <c r="B1919" s="4" t="inlineStr">
        <is>
          <t>Tapón de PVC presión 2"</t>
        </is>
      </c>
      <c r="C1919" s="7" t="inlineStr">
        <is>
          <t>unidad</t>
        </is>
      </c>
      <c r="D1919" s="8" t="n"/>
      <c r="E1919" s="8" t="n">
        <v>28.27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>
        <f>IF(COUNT(D1919:V1919)=0,"",MIN(D1919:V1919))</f>
        <v/>
      </c>
      <c r="X1919" s="8">
        <f>IF(COUNT(D1919:V1919)=0,"",MEDIAN(D1919:V1919))</f>
        <v/>
      </c>
      <c r="Y1919" s="8">
        <f>IF(COUNT(D1919:V1919)=0,"",MAX(D1919:V1919))</f>
        <v/>
      </c>
      <c r="Z1919" s="9">
        <f>IF(OR(W1919="",W1919=0),"",(Y1919-W1919)/W1919)</f>
        <v/>
      </c>
      <c r="AA1919" s="7">
        <f>IF(COUNT(D1919:V1919)=0,"",INDEX($D$1:$V$1,MATCH(MIN(D1919:V1919),D1919:V1919,0)))</f>
        <v/>
      </c>
      <c r="AB1919" s="8" t="n">
        <v>34.88</v>
      </c>
      <c r="AC1919" s="10" t="n">
        <v>1</v>
      </c>
    </row>
    <row r="1920">
      <c r="A1920" s="7" t="inlineStr">
        <is>
          <t>MAT-32-569</t>
        </is>
      </c>
      <c r="B1920" s="4" t="inlineStr">
        <is>
          <t>Tapón de PVC presión 3"</t>
        </is>
      </c>
      <c r="C1920" s="7" t="inlineStr">
        <is>
          <t>unidad</t>
        </is>
      </c>
      <c r="D1920" s="8" t="n"/>
      <c r="E1920" s="8" t="n">
        <v>100.24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>
        <f>IF(COUNT(D1920:V1920)=0,"",MIN(D1920:V1920))</f>
        <v/>
      </c>
      <c r="X1920" s="8">
        <f>IF(COUNT(D1920:V1920)=0,"",MEDIAN(D1920:V1920))</f>
        <v/>
      </c>
      <c r="Y1920" s="8">
        <f>IF(COUNT(D1920:V1920)=0,"",MAX(D1920:V1920))</f>
        <v/>
      </c>
      <c r="Z1920" s="9">
        <f>IF(OR(W1920="",W1920=0),"",(Y1920-W1920)/W1920)</f>
        <v/>
      </c>
      <c r="AA1920" s="7">
        <f>IF(COUNT(D1920:V1920)=0,"",INDEX($D$1:$V$1,MATCH(MIN(D1920:V1920),D1920:V1920,0)))</f>
        <v/>
      </c>
      <c r="AB1920" s="8" t="n">
        <v>100.24</v>
      </c>
      <c r="AC1920" s="10" t="n">
        <v>1</v>
      </c>
    </row>
    <row r="1921">
      <c r="A1921" s="7" t="inlineStr">
        <is>
          <t>MAT-32-570</t>
        </is>
      </c>
      <c r="B1921" s="4" t="inlineStr">
        <is>
          <t>Tapón de PVC presión 4"</t>
        </is>
      </c>
      <c r="C1921" s="7" t="inlineStr">
        <is>
          <t>unidad</t>
        </is>
      </c>
      <c r="D1921" s="8" t="n"/>
      <c r="E1921" s="8" t="n">
        <v>159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>
        <f>IF(COUNT(D1921:V1921)=0,"",MIN(D1921:V1921))</f>
        <v/>
      </c>
      <c r="X1921" s="8">
        <f>IF(COUNT(D1921:V1921)=0,"",MEDIAN(D1921:V1921))</f>
        <v/>
      </c>
      <c r="Y1921" s="8">
        <f>IF(COUNT(D1921:V1921)=0,"",MAX(D1921:V1921))</f>
        <v/>
      </c>
      <c r="Z1921" s="9">
        <f>IF(OR(W1921="",W1921=0),"",(Y1921-W1921)/W1921)</f>
        <v/>
      </c>
      <c r="AA1921" s="7">
        <f>IF(COUNT(D1921:V1921)=0,"",INDEX($D$1:$V$1,MATCH(MIN(D1921:V1921),D1921:V1921,0)))</f>
        <v/>
      </c>
      <c r="AB1921" s="8" t="n">
        <v>159</v>
      </c>
      <c r="AC1921" s="10" t="n">
        <v>1</v>
      </c>
    </row>
    <row r="1922">
      <c r="A1922" s="7" t="inlineStr">
        <is>
          <t>MAT-32-571</t>
        </is>
      </c>
      <c r="B1922" s="4" t="inlineStr">
        <is>
          <t>Tee de bronce 1/2"</t>
        </is>
      </c>
      <c r="C1922" s="7" t="inlineStr">
        <is>
          <t>unidad</t>
        </is>
      </c>
      <c r="D1922" s="8" t="n"/>
      <c r="E1922" s="8" t="n">
        <v>150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>
        <f>IF(COUNT(D1922:V1922)=0,"",MIN(D1922:V1922))</f>
        <v/>
      </c>
      <c r="X1922" s="8">
        <f>IF(COUNT(D1922:V1922)=0,"",MEDIAN(D1922:V1922))</f>
        <v/>
      </c>
      <c r="Y1922" s="8">
        <f>IF(COUNT(D1922:V1922)=0,"",MAX(D1922:V1922))</f>
        <v/>
      </c>
      <c r="Z1922" s="9">
        <f>IF(OR(W1922="",W1922=0),"",(Y1922-W1922)/W1922)</f>
        <v/>
      </c>
      <c r="AA1922" s="7">
        <f>IF(COUNT(D1922:V1922)=0,"",INDEX($D$1:$V$1,MATCH(MIN(D1922:V1922),D1922:V1922,0)))</f>
        <v/>
      </c>
      <c r="AB1922" s="8" t="n">
        <v>150</v>
      </c>
      <c r="AC1922" s="10" t="n">
        <v>1</v>
      </c>
    </row>
    <row r="1923">
      <c r="A1923" s="7" t="inlineStr">
        <is>
          <t>MAT-32-572</t>
        </is>
      </c>
      <c r="B1923" s="4" t="inlineStr">
        <is>
          <t>Tee de bronce 1/4"</t>
        </is>
      </c>
      <c r="C1923" s="7" t="inlineStr">
        <is>
          <t>unidad</t>
        </is>
      </c>
      <c r="D1923" s="8" t="n"/>
      <c r="E1923" s="8" t="n">
        <v>52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>
        <f>IF(COUNT(D1923:V1923)=0,"",MIN(D1923:V1923))</f>
        <v/>
      </c>
      <c r="X1923" s="8">
        <f>IF(COUNT(D1923:V1923)=0,"",MEDIAN(D1923:V1923))</f>
        <v/>
      </c>
      <c r="Y1923" s="8">
        <f>IF(COUNT(D1923:V1923)=0,"",MAX(D1923:V1923))</f>
        <v/>
      </c>
      <c r="Z1923" s="9">
        <f>IF(OR(W1923="",W1923=0),"",(Y1923-W1923)/W1923)</f>
        <v/>
      </c>
      <c r="AA1923" s="7">
        <f>IF(COUNT(D1923:V1923)=0,"",INDEX($D$1:$V$1,MATCH(MIN(D1923:V1923),D1923:V1923,0)))</f>
        <v/>
      </c>
      <c r="AB1923" s="8" t="n">
        <v>85.5</v>
      </c>
      <c r="AC1923" s="10" t="n">
        <v>1</v>
      </c>
    </row>
    <row r="1924">
      <c r="A1924" s="7" t="inlineStr">
        <is>
          <t>MAT-32-573</t>
        </is>
      </c>
      <c r="B1924" s="4" t="inlineStr">
        <is>
          <t>Tee de bronce 12"</t>
        </is>
      </c>
      <c r="C1924" s="7" t="inlineStr">
        <is>
          <t>unidad</t>
        </is>
      </c>
      <c r="D1924" s="8" t="n"/>
      <c r="E1924" s="8" t="n">
        <v>686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>
        <f>IF(COUNT(D1924:V1924)=0,"",MIN(D1924:V1924))</f>
        <v/>
      </c>
      <c r="X1924" s="8">
        <f>IF(COUNT(D1924:V1924)=0,"",MEDIAN(D1924:V1924))</f>
        <v/>
      </c>
      <c r="Y1924" s="8">
        <f>IF(COUNT(D1924:V1924)=0,"",MAX(D1924:V1924))</f>
        <v/>
      </c>
      <c r="Z1924" s="9">
        <f>IF(OR(W1924="",W1924=0),"",(Y1924-W1924)/W1924)</f>
        <v/>
      </c>
      <c r="AA1924" s="7">
        <f>IF(COUNT(D1924:V1924)=0,"",INDEX($D$1:$V$1,MATCH(MIN(D1924:V1924),D1924:V1924,0)))</f>
        <v/>
      </c>
      <c r="AB1924" s="8" t="n">
        <v>686</v>
      </c>
      <c r="AC1924" s="10" t="n">
        <v>1</v>
      </c>
    </row>
    <row r="1925">
      <c r="A1925" s="7" t="inlineStr">
        <is>
          <t>MAT-32-574</t>
        </is>
      </c>
      <c r="B1925" s="4" t="inlineStr">
        <is>
          <t>Tee de bronce 15"</t>
        </is>
      </c>
      <c r="C1925" s="7" t="inlineStr">
        <is>
          <t>unidad</t>
        </is>
      </c>
      <c r="D1925" s="8" t="n"/>
      <c r="E1925" s="8" t="n">
        <v>473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>
        <f>IF(COUNT(D1925:V1925)=0,"",MIN(D1925:V1925))</f>
        <v/>
      </c>
      <c r="X1925" s="8">
        <f>IF(COUNT(D1925:V1925)=0,"",MEDIAN(D1925:V1925))</f>
        <v/>
      </c>
      <c r="Y1925" s="8">
        <f>IF(COUNT(D1925:V1925)=0,"",MAX(D1925:V1925))</f>
        <v/>
      </c>
      <c r="Z1925" s="9">
        <f>IF(OR(W1925="",W1925=0),"",(Y1925-W1925)/W1925)</f>
        <v/>
      </c>
      <c r="AA1925" s="7">
        <f>IF(COUNT(D1925:V1925)=0,"",INDEX($D$1:$V$1,MATCH(MIN(D1925:V1925),D1925:V1925,0)))</f>
        <v/>
      </c>
      <c r="AB1925" s="8" t="n">
        <v>605</v>
      </c>
      <c r="AC1925" s="10" t="n">
        <v>1</v>
      </c>
    </row>
    <row r="1926">
      <c r="A1926" s="7" t="inlineStr">
        <is>
          <t>MAT-32-575</t>
        </is>
      </c>
      <c r="B1926" s="4" t="inlineStr">
        <is>
          <t>Tee de bronce 18"</t>
        </is>
      </c>
      <c r="C1926" s="7" t="inlineStr">
        <is>
          <t>unidad</t>
        </is>
      </c>
      <c r="D1926" s="8" t="n"/>
      <c r="E1926" s="8" t="n">
        <v>207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>
        <f>IF(COUNT(D1926:V1926)=0,"",MIN(D1926:V1926))</f>
        <v/>
      </c>
      <c r="X1926" s="8">
        <f>IF(COUNT(D1926:V1926)=0,"",MEDIAN(D1926:V1926))</f>
        <v/>
      </c>
      <c r="Y1926" s="8">
        <f>IF(COUNT(D1926:V1926)=0,"",MAX(D1926:V1926))</f>
        <v/>
      </c>
      <c r="Z1926" s="9">
        <f>IF(OR(W1926="",W1926=0),"",(Y1926-W1926)/W1926)</f>
        <v/>
      </c>
      <c r="AA1926" s="7">
        <f>IF(COUNT(D1926:V1926)=0,"",INDEX($D$1:$V$1,MATCH(MIN(D1926:V1926),D1926:V1926,0)))</f>
        <v/>
      </c>
      <c r="AB1926" s="8" t="n">
        <v>702</v>
      </c>
      <c r="AC1926" s="10" t="n">
        <v>1</v>
      </c>
    </row>
    <row r="1927">
      <c r="A1927" s="7" t="inlineStr">
        <is>
          <t>MAT-32-576</t>
        </is>
      </c>
      <c r="B1927" s="4" t="inlineStr">
        <is>
          <t>Tee de bronce 25"</t>
        </is>
      </c>
      <c r="C1927" s="7" t="inlineStr">
        <is>
          <t>unidad</t>
        </is>
      </c>
      <c r="D1927" s="8" t="n"/>
      <c r="E1927" s="8" t="n">
        <v>1255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>
        <f>IF(COUNT(D1927:V1927)=0,"",MIN(D1927:V1927))</f>
        <v/>
      </c>
      <c r="X1927" s="8">
        <f>IF(COUNT(D1927:V1927)=0,"",MEDIAN(D1927:V1927))</f>
        <v/>
      </c>
      <c r="Y1927" s="8">
        <f>IF(COUNT(D1927:V1927)=0,"",MAX(D1927:V1927))</f>
        <v/>
      </c>
      <c r="Z1927" s="9">
        <f>IF(OR(W1927="",W1927=0),"",(Y1927-W1927)/W1927)</f>
        <v/>
      </c>
      <c r="AA1927" s="7">
        <f>IF(COUNT(D1927:V1927)=0,"",INDEX($D$1:$V$1,MATCH(MIN(D1927:V1927),D1927:V1927,0)))</f>
        <v/>
      </c>
      <c r="AB1927" s="8" t="n">
        <v>1255</v>
      </c>
      <c r="AC1927" s="10" t="n">
        <v>1</v>
      </c>
    </row>
    <row r="1928">
      <c r="A1928" s="7" t="inlineStr">
        <is>
          <t>MAT-32-577</t>
        </is>
      </c>
      <c r="B1928" s="4" t="inlineStr">
        <is>
          <t>Tee de bronce 3/8"</t>
        </is>
      </c>
      <c r="C1928" s="7" t="inlineStr">
        <is>
          <t>unidad</t>
        </is>
      </c>
      <c r="D1928" s="8" t="n"/>
      <c r="E1928" s="8" t="n">
        <v>78</v>
      </c>
      <c r="F1928" s="8" t="n"/>
      <c r="G1928" s="8" t="n">
        <v>186</v>
      </c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>
        <f>IF(COUNT(D1928:V1928)=0,"",MIN(D1928:V1928))</f>
        <v/>
      </c>
      <c r="X1928" s="8">
        <f>IF(COUNT(D1928:V1928)=0,"",MEDIAN(D1928:V1928))</f>
        <v/>
      </c>
      <c r="Y1928" s="8">
        <f>IF(COUNT(D1928:V1928)=0,"",MAX(D1928:V1928))</f>
        <v/>
      </c>
      <c r="Z1928" s="9">
        <f>IF(OR(W1928="",W1928=0),"",(Y1928-W1928)/W1928)</f>
        <v/>
      </c>
      <c r="AA1928" s="7">
        <f>IF(COUNT(D1928:V1928)=0,"",INDEX($D$1:$V$1,MATCH(MIN(D1928:V1928),D1928:V1928,0)))</f>
        <v/>
      </c>
      <c r="AB1928" s="8" t="n">
        <v>179</v>
      </c>
      <c r="AC1928" s="10" t="n">
        <v>2</v>
      </c>
    </row>
    <row r="1929">
      <c r="A1929" s="7" t="inlineStr">
        <is>
          <t>MAT-32-578</t>
        </is>
      </c>
      <c r="B1929" s="4" t="inlineStr">
        <is>
          <t>Tee de bronce 32"</t>
        </is>
      </c>
      <c r="C1929" s="7" t="inlineStr">
        <is>
          <t>unidad</t>
        </is>
      </c>
      <c r="D1929" s="8" t="n"/>
      <c r="E1929" s="8" t="n">
        <v>2108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>
        <f>IF(COUNT(D1929:V1929)=0,"",MIN(D1929:V1929))</f>
        <v/>
      </c>
      <c r="X1929" s="8">
        <f>IF(COUNT(D1929:V1929)=0,"",MEDIAN(D1929:V1929))</f>
        <v/>
      </c>
      <c r="Y1929" s="8">
        <f>IF(COUNT(D1929:V1929)=0,"",MAX(D1929:V1929))</f>
        <v/>
      </c>
      <c r="Z1929" s="9">
        <f>IF(OR(W1929="",W1929=0),"",(Y1929-W1929)/W1929)</f>
        <v/>
      </c>
      <c r="AA1929" s="7">
        <f>IF(COUNT(D1929:V1929)=0,"",INDEX($D$1:$V$1,MATCH(MIN(D1929:V1929),D1929:V1929,0)))</f>
        <v/>
      </c>
      <c r="AB1929" s="8" t="n">
        <v>2108</v>
      </c>
      <c r="AC1929" s="10" t="n">
        <v>1</v>
      </c>
    </row>
    <row r="1930">
      <c r="A1930" s="7" t="inlineStr">
        <is>
          <t>MAT-32-579</t>
        </is>
      </c>
      <c r="B1930" s="4" t="inlineStr">
        <is>
          <t>Tee de cobre 1 1/8"</t>
        </is>
      </c>
      <c r="C1930" s="7" t="inlineStr">
        <is>
          <t>unidad</t>
        </is>
      </c>
      <c r="D1930" s="8" t="n"/>
      <c r="E1930" s="8" t="n">
        <v>143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>
        <f>IF(COUNT(D1930:V1930)=0,"",MIN(D1930:V1930))</f>
        <v/>
      </c>
      <c r="X1930" s="8">
        <f>IF(COUNT(D1930:V1930)=0,"",MEDIAN(D1930:V1930))</f>
        <v/>
      </c>
      <c r="Y1930" s="8">
        <f>IF(COUNT(D1930:V1930)=0,"",MAX(D1930:V1930))</f>
        <v/>
      </c>
      <c r="Z1930" s="9">
        <f>IF(OR(W1930="",W1930=0),"",(Y1930-W1930)/W1930)</f>
        <v/>
      </c>
      <c r="AA1930" s="7">
        <f>IF(COUNT(D1930:V1930)=0,"",INDEX($D$1:$V$1,MATCH(MIN(D1930:V1930),D1930:V1930,0)))</f>
        <v/>
      </c>
      <c r="AB1930" s="8" t="n">
        <v>143</v>
      </c>
      <c r="AC1930" s="10" t="n">
        <v>1</v>
      </c>
    </row>
    <row r="1931">
      <c r="A1931" s="7" t="inlineStr">
        <is>
          <t>MAT-32-580</t>
        </is>
      </c>
      <c r="B1931" s="4" t="inlineStr">
        <is>
          <t>Tee de cobre 1/2"</t>
        </is>
      </c>
      <c r="C1931" s="7" t="inlineStr">
        <is>
          <t>unidad</t>
        </is>
      </c>
      <c r="D1931" s="8" t="n"/>
      <c r="E1931" s="8" t="n">
        <v>66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>
        <f>IF(COUNT(D1931:V1931)=0,"",MIN(D1931:V1931))</f>
        <v/>
      </c>
      <c r="X1931" s="8">
        <f>IF(COUNT(D1931:V1931)=0,"",MEDIAN(D1931:V1931))</f>
        <v/>
      </c>
      <c r="Y1931" s="8">
        <f>IF(COUNT(D1931:V1931)=0,"",MAX(D1931:V1931))</f>
        <v/>
      </c>
      <c r="Z1931" s="9">
        <f>IF(OR(W1931="",W1931=0),"",(Y1931-W1931)/W1931)</f>
        <v/>
      </c>
      <c r="AA1931" s="7">
        <f>IF(COUNT(D1931:V1931)=0,"",INDEX($D$1:$V$1,MATCH(MIN(D1931:V1931),D1931:V1931,0)))</f>
        <v/>
      </c>
      <c r="AB1931" s="8" t="n">
        <v>66</v>
      </c>
      <c r="AC1931" s="10" t="n">
        <v>1</v>
      </c>
    </row>
    <row r="1932">
      <c r="A1932" s="7" t="inlineStr">
        <is>
          <t>MAT-32-581</t>
        </is>
      </c>
      <c r="B1932" s="4" t="inlineStr">
        <is>
          <t>Tee de cobre 1 3/8"</t>
        </is>
      </c>
      <c r="C1932" s="7" t="inlineStr">
        <is>
          <t>unidad</t>
        </is>
      </c>
      <c r="D1932" s="8" t="n"/>
      <c r="E1932" s="8" t="n">
        <v>293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>
        <f>IF(COUNT(D1932:V1932)=0,"",MIN(D1932:V1932))</f>
        <v/>
      </c>
      <c r="X1932" s="8">
        <f>IF(COUNT(D1932:V1932)=0,"",MEDIAN(D1932:V1932))</f>
        <v/>
      </c>
      <c r="Y1932" s="8">
        <f>IF(COUNT(D1932:V1932)=0,"",MAX(D1932:V1932))</f>
        <v/>
      </c>
      <c r="Z1932" s="9">
        <f>IF(OR(W1932="",W1932=0),"",(Y1932-W1932)/W1932)</f>
        <v/>
      </c>
      <c r="AA1932" s="7">
        <f>IF(COUNT(D1932:V1932)=0,"",INDEX($D$1:$V$1,MATCH(MIN(D1932:V1932),D1932:V1932,0)))</f>
        <v/>
      </c>
      <c r="AB1932" s="8" t="n">
        <v>293</v>
      </c>
      <c r="AC1932" s="10" t="n">
        <v>1</v>
      </c>
    </row>
    <row r="1933">
      <c r="A1933" s="7" t="inlineStr">
        <is>
          <t>MAT-32-582</t>
        </is>
      </c>
      <c r="B1933" s="4" t="inlineStr">
        <is>
          <t>Tee de cobre 3/4"</t>
        </is>
      </c>
      <c r="C1933" s="7" t="inlineStr">
        <is>
          <t>unidad</t>
        </is>
      </c>
      <c r="D1933" s="8" t="n"/>
      <c r="E1933" s="8" t="n">
        <v>237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>
        <f>IF(COUNT(D1933:V1933)=0,"",MIN(D1933:V1933))</f>
        <v/>
      </c>
      <c r="X1933" s="8">
        <f>IF(COUNT(D1933:V1933)=0,"",MEDIAN(D1933:V1933))</f>
        <v/>
      </c>
      <c r="Y1933" s="8">
        <f>IF(COUNT(D1933:V1933)=0,"",MAX(D1933:V1933))</f>
        <v/>
      </c>
      <c r="Z1933" s="9">
        <f>IF(OR(W1933="",W1933=0),"",(Y1933-W1933)/W1933)</f>
        <v/>
      </c>
      <c r="AA1933" s="7">
        <f>IF(COUNT(D1933:V1933)=0,"",INDEX($D$1:$V$1,MATCH(MIN(D1933:V1933),D1933:V1933,0)))</f>
        <v/>
      </c>
      <c r="AB1933" s="8" t="n">
        <v>237</v>
      </c>
      <c r="AC1933" s="10" t="n">
        <v>1</v>
      </c>
    </row>
    <row r="1934">
      <c r="A1934" s="7" t="inlineStr">
        <is>
          <t>MAT-32-583</t>
        </is>
      </c>
      <c r="B1934" s="4" t="inlineStr">
        <is>
          <t>Tee de cobre 3/8"</t>
        </is>
      </c>
      <c r="C1934" s="7" t="inlineStr">
        <is>
          <t>unidad</t>
        </is>
      </c>
      <c r="D1934" s="8" t="n"/>
      <c r="E1934" s="8" t="n"/>
      <c r="F1934" s="8" t="n"/>
      <c r="G1934" s="8" t="n">
        <v>256</v>
      </c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>
        <f>IF(COUNT(D1934:V1934)=0,"",MIN(D1934:V1934))</f>
        <v/>
      </c>
      <c r="X1934" s="8">
        <f>IF(COUNT(D1934:V1934)=0,"",MEDIAN(D1934:V1934))</f>
        <v/>
      </c>
      <c r="Y1934" s="8">
        <f>IF(COUNT(D1934:V1934)=0,"",MAX(D1934:V1934))</f>
        <v/>
      </c>
      <c r="Z1934" s="9">
        <f>IF(OR(W1934="",W1934=0),"",(Y1934-W1934)/W1934)</f>
        <v/>
      </c>
      <c r="AA1934" s="7">
        <f>IF(COUNT(D1934:V1934)=0,"",INDEX($D$1:$V$1,MATCH(MIN(D1934:V1934),D1934:V1934,0)))</f>
        <v/>
      </c>
      <c r="AB1934" s="8" t="n">
        <v>256</v>
      </c>
      <c r="AC1934" s="10" t="n">
        <v>1</v>
      </c>
    </row>
    <row r="1935">
      <c r="A1935" s="7" t="inlineStr">
        <is>
          <t>MAT-32-584</t>
        </is>
      </c>
      <c r="B1935" s="4" t="inlineStr">
        <is>
          <t>Tee de cobre 7/8"</t>
        </is>
      </c>
      <c r="C1935" s="7" t="inlineStr">
        <is>
          <t>unidad</t>
        </is>
      </c>
      <c r="D1935" s="8" t="n"/>
      <c r="E1935" s="8" t="n">
        <v>257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>
        <f>IF(COUNT(D1935:V1935)=0,"",MIN(D1935:V1935))</f>
        <v/>
      </c>
      <c r="X1935" s="8">
        <f>IF(COUNT(D1935:V1935)=0,"",MEDIAN(D1935:V1935))</f>
        <v/>
      </c>
      <c r="Y1935" s="8">
        <f>IF(COUNT(D1935:V1935)=0,"",MAX(D1935:V1935))</f>
        <v/>
      </c>
      <c r="Z1935" s="9">
        <f>IF(OR(W1935="",W1935=0),"",(Y1935-W1935)/W1935)</f>
        <v/>
      </c>
      <c r="AA1935" s="7">
        <f>IF(COUNT(D1935:V1935)=0,"",INDEX($D$1:$V$1,MATCH(MIN(D1935:V1935),D1935:V1935,0)))</f>
        <v/>
      </c>
      <c r="AB1935" s="8" t="n">
        <v>257</v>
      </c>
      <c r="AC1935" s="10" t="n">
        <v>1</v>
      </c>
    </row>
    <row r="1936">
      <c r="A1936" s="7" t="inlineStr">
        <is>
          <t>MAT-32-585</t>
        </is>
      </c>
      <c r="B1936" s="4" t="inlineStr">
        <is>
          <t>Tee de CPVC 1/2"</t>
        </is>
      </c>
      <c r="C1936" s="7" t="inlineStr">
        <is>
          <t>unidad</t>
        </is>
      </c>
      <c r="D1936" s="8" t="n"/>
      <c r="E1936" s="8" t="n">
        <v>10.34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>
        <f>IF(COUNT(D1936:V1936)=0,"",MIN(D1936:V1936))</f>
        <v/>
      </c>
      <c r="X1936" s="8">
        <f>IF(COUNT(D1936:V1936)=0,"",MEDIAN(D1936:V1936))</f>
        <v/>
      </c>
      <c r="Y1936" s="8">
        <f>IF(COUNT(D1936:V1936)=0,"",MAX(D1936:V1936))</f>
        <v/>
      </c>
      <c r="Z1936" s="9">
        <f>IF(OR(W1936="",W1936=0),"",(Y1936-W1936)/W1936)</f>
        <v/>
      </c>
      <c r="AA1936" s="7">
        <f>IF(COUNT(D1936:V1936)=0,"",INDEX($D$1:$V$1,MATCH(MIN(D1936:V1936),D1936:V1936,0)))</f>
        <v/>
      </c>
      <c r="AB1936" s="8" t="n">
        <v>10.34</v>
      </c>
      <c r="AC1936" s="10" t="n">
        <v>1</v>
      </c>
    </row>
    <row r="1937">
      <c r="A1937" s="7" t="inlineStr">
        <is>
          <t>MAT-32-586</t>
        </is>
      </c>
      <c r="B1937" s="4" t="inlineStr">
        <is>
          <t>Tee de CPVC 1"</t>
        </is>
      </c>
      <c r="C1937" s="7" t="inlineStr">
        <is>
          <t>unidad</t>
        </is>
      </c>
      <c r="D1937" s="8" t="n"/>
      <c r="E1937" s="8" t="n">
        <v>40.95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>
        <f>IF(COUNT(D1937:V1937)=0,"",MIN(D1937:V1937))</f>
        <v/>
      </c>
      <c r="X1937" s="8">
        <f>IF(COUNT(D1937:V1937)=0,"",MEDIAN(D1937:V1937))</f>
        <v/>
      </c>
      <c r="Y1937" s="8">
        <f>IF(COUNT(D1937:V1937)=0,"",MAX(D1937:V1937))</f>
        <v/>
      </c>
      <c r="Z1937" s="9">
        <f>IF(OR(W1937="",W1937=0),"",(Y1937-W1937)/W1937)</f>
        <v/>
      </c>
      <c r="AA1937" s="7">
        <f>IF(COUNT(D1937:V1937)=0,"",INDEX($D$1:$V$1,MATCH(MIN(D1937:V1937),D1937:V1937,0)))</f>
        <v/>
      </c>
      <c r="AB1937" s="8" t="n">
        <v>40.95</v>
      </c>
      <c r="AC1937" s="10" t="n">
        <v>1</v>
      </c>
    </row>
    <row r="1938">
      <c r="A1938" s="7" t="inlineStr">
        <is>
          <t>MAT-32-587</t>
        </is>
      </c>
      <c r="B1938" s="4" t="inlineStr">
        <is>
          <t>Tee de CPVC 3/4"</t>
        </is>
      </c>
      <c r="C1938" s="7" t="inlineStr">
        <is>
          <t>unidad</t>
        </is>
      </c>
      <c r="D1938" s="8" t="n"/>
      <c r="E1938" s="8" t="n">
        <v>27.04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>
        <f>IF(COUNT(D1938:V1938)=0,"",MIN(D1938:V1938))</f>
        <v/>
      </c>
      <c r="X1938" s="8">
        <f>IF(COUNT(D1938:V1938)=0,"",MEDIAN(D1938:V1938))</f>
        <v/>
      </c>
      <c r="Y1938" s="8">
        <f>IF(COUNT(D1938:V1938)=0,"",MAX(D1938:V1938))</f>
        <v/>
      </c>
      <c r="Z1938" s="9">
        <f>IF(OR(W1938="",W1938=0),"",(Y1938-W1938)/W1938)</f>
        <v/>
      </c>
      <c r="AA1938" s="7">
        <f>IF(COUNT(D1938:V1938)=0,"",INDEX($D$1:$V$1,MATCH(MIN(D1938:V1938),D1938:V1938,0)))</f>
        <v/>
      </c>
      <c r="AB1938" s="8" t="n">
        <v>27.04</v>
      </c>
      <c r="AC1938" s="10" t="n">
        <v>1</v>
      </c>
    </row>
    <row r="1939">
      <c r="A1939" s="7" t="inlineStr">
        <is>
          <t>MAT-32-588</t>
        </is>
      </c>
      <c r="B1939" s="4" t="inlineStr">
        <is>
          <t>Tee de HG 1 1/2"</t>
        </is>
      </c>
      <c r="C1939" s="7" t="inlineStr">
        <is>
          <t>unidad</t>
        </is>
      </c>
      <c r="D1939" s="8" t="n"/>
      <c r="E1939" s="8" t="n">
        <v>143</v>
      </c>
      <c r="F1939" s="8" t="n"/>
      <c r="G1939" s="8" t="n">
        <v>277</v>
      </c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>
        <f>IF(COUNT(D1939:V1939)=0,"",MIN(D1939:V1939))</f>
        <v/>
      </c>
      <c r="X1939" s="8">
        <f>IF(COUNT(D1939:V1939)=0,"",MEDIAN(D1939:V1939))</f>
        <v/>
      </c>
      <c r="Y1939" s="8">
        <f>IF(COUNT(D1939:V1939)=0,"",MAX(D1939:V1939))</f>
        <v/>
      </c>
      <c r="Z1939" s="9">
        <f>IF(OR(W1939="",W1939=0),"",(Y1939-W1939)/W1939)</f>
        <v/>
      </c>
      <c r="AA1939" s="7">
        <f>IF(COUNT(D1939:V1939)=0,"",INDEX($D$1:$V$1,MATCH(MIN(D1939:V1939),D1939:V1939,0)))</f>
        <v/>
      </c>
      <c r="AB1939" s="8" t="n">
        <v>210</v>
      </c>
      <c r="AC1939" s="10" t="n">
        <v>2</v>
      </c>
    </row>
    <row r="1940">
      <c r="A1940" s="7" t="inlineStr">
        <is>
          <t>MAT-32-589</t>
        </is>
      </c>
      <c r="B1940" s="4" t="inlineStr">
        <is>
          <t>Tee de HG 1 1/4"</t>
        </is>
      </c>
      <c r="C1940" s="7" t="inlineStr">
        <is>
          <t>unidad</t>
        </is>
      </c>
      <c r="D1940" s="8" t="n"/>
      <c r="E1940" s="8" t="n">
        <v>119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>
        <f>IF(COUNT(D1940:V1940)=0,"",MIN(D1940:V1940))</f>
        <v/>
      </c>
      <c r="X1940" s="8">
        <f>IF(COUNT(D1940:V1940)=0,"",MEDIAN(D1940:V1940))</f>
        <v/>
      </c>
      <c r="Y1940" s="8">
        <f>IF(COUNT(D1940:V1940)=0,"",MAX(D1940:V1940))</f>
        <v/>
      </c>
      <c r="Z1940" s="9">
        <f>IF(OR(W1940="",W1940=0),"",(Y1940-W1940)/W1940)</f>
        <v/>
      </c>
      <c r="AA1940" s="7">
        <f>IF(COUNT(D1940:V1940)=0,"",INDEX($D$1:$V$1,MATCH(MIN(D1940:V1940),D1940:V1940,0)))</f>
        <v/>
      </c>
      <c r="AB1940" s="8" t="n">
        <v>119</v>
      </c>
      <c r="AC1940" s="10" t="n">
        <v>1</v>
      </c>
    </row>
    <row r="1941">
      <c r="A1941" s="7" t="inlineStr">
        <is>
          <t>MAT-32-590</t>
        </is>
      </c>
      <c r="B1941" s="4" t="inlineStr">
        <is>
          <t>Tee de HG 1/2"</t>
        </is>
      </c>
      <c r="C1941" s="7" t="inlineStr">
        <is>
          <t>unidad</t>
        </is>
      </c>
      <c r="D1941" s="8" t="n"/>
      <c r="E1941" s="8" t="n">
        <v>34</v>
      </c>
      <c r="F1941" s="8" t="n"/>
      <c r="G1941" s="8" t="n">
        <v>40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>
        <f>IF(COUNT(D1941:V1941)=0,"",MIN(D1941:V1941))</f>
        <v/>
      </c>
      <c r="X1941" s="8">
        <f>IF(COUNT(D1941:V1941)=0,"",MEDIAN(D1941:V1941))</f>
        <v/>
      </c>
      <c r="Y1941" s="8">
        <f>IF(COUNT(D1941:V1941)=0,"",MAX(D1941:V1941))</f>
        <v/>
      </c>
      <c r="Z1941" s="9">
        <f>IF(OR(W1941="",W1941=0),"",(Y1941-W1941)/W1941)</f>
        <v/>
      </c>
      <c r="AA1941" s="7">
        <f>IF(COUNT(D1941:V1941)=0,"",INDEX($D$1:$V$1,MATCH(MIN(D1941:V1941),D1941:V1941,0)))</f>
        <v/>
      </c>
      <c r="AB1941" s="8" t="n">
        <v>37</v>
      </c>
      <c r="AC1941" s="10" t="n">
        <v>2</v>
      </c>
    </row>
    <row r="1942">
      <c r="A1942" s="7" t="inlineStr">
        <is>
          <t>MAT-32-591</t>
        </is>
      </c>
      <c r="B1942" s="4" t="inlineStr">
        <is>
          <t>Tee de HG 1/4"</t>
        </is>
      </c>
      <c r="C1942" s="7" t="inlineStr">
        <is>
          <t>unidad</t>
        </is>
      </c>
      <c r="D1942" s="8" t="n"/>
      <c r="E1942" s="8" t="n">
        <v>37</v>
      </c>
      <c r="F1942" s="8" t="n"/>
      <c r="G1942" s="8" t="n">
        <v>130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>
        <f>IF(COUNT(D1942:V1942)=0,"",MIN(D1942:V1942))</f>
        <v/>
      </c>
      <c r="X1942" s="8">
        <f>IF(COUNT(D1942:V1942)=0,"",MEDIAN(D1942:V1942))</f>
        <v/>
      </c>
      <c r="Y1942" s="8">
        <f>IF(COUNT(D1942:V1942)=0,"",MAX(D1942:V1942))</f>
        <v/>
      </c>
      <c r="Z1942" s="9">
        <f>IF(OR(W1942="",W1942=0),"",(Y1942-W1942)/W1942)</f>
        <v/>
      </c>
      <c r="AA1942" s="7">
        <f>IF(COUNT(D1942:V1942)=0,"",INDEX($D$1:$V$1,MATCH(MIN(D1942:V1942),D1942:V1942,0)))</f>
        <v/>
      </c>
      <c r="AB1942" s="8" t="n">
        <v>83.5</v>
      </c>
      <c r="AC1942" s="10" t="n">
        <v>2</v>
      </c>
    </row>
    <row r="1943">
      <c r="A1943" s="7" t="inlineStr">
        <is>
          <t>MAT-32-592</t>
        </is>
      </c>
      <c r="B1943" s="4" t="inlineStr">
        <is>
          <t>Tee de HG 1"</t>
        </is>
      </c>
      <c r="C1943" s="7" t="inlineStr">
        <is>
          <t>unidad</t>
        </is>
      </c>
      <c r="D1943" s="8" t="n"/>
      <c r="E1943" s="8" t="n">
        <v>77</v>
      </c>
      <c r="F1943" s="8" t="n"/>
      <c r="G1943" s="8" t="n">
        <v>160</v>
      </c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>
        <f>IF(COUNT(D1943:V1943)=0,"",MIN(D1943:V1943))</f>
        <v/>
      </c>
      <c r="X1943" s="8">
        <f>IF(COUNT(D1943:V1943)=0,"",MEDIAN(D1943:V1943))</f>
        <v/>
      </c>
      <c r="Y1943" s="8">
        <f>IF(COUNT(D1943:V1943)=0,"",MAX(D1943:V1943))</f>
        <v/>
      </c>
      <c r="Z1943" s="9">
        <f>IF(OR(W1943="",W1943=0),"",(Y1943-W1943)/W1943)</f>
        <v/>
      </c>
      <c r="AA1943" s="7">
        <f>IF(COUNT(D1943:V1943)=0,"",INDEX($D$1:$V$1,MATCH(MIN(D1943:V1943),D1943:V1943,0)))</f>
        <v/>
      </c>
      <c r="AB1943" s="8" t="n">
        <v>118.5</v>
      </c>
      <c r="AC1943" s="10" t="n">
        <v>2</v>
      </c>
    </row>
    <row r="1944">
      <c r="A1944" s="7" t="inlineStr">
        <is>
          <t>MAT-32-593</t>
        </is>
      </c>
      <c r="B1944" s="4" t="inlineStr">
        <is>
          <t>Tee de HG 2 1/2"</t>
        </is>
      </c>
      <c r="C1944" s="7" t="inlineStr">
        <is>
          <t>unidad</t>
        </is>
      </c>
      <c r="D1944" s="8" t="n"/>
      <c r="E1944" s="8" t="n">
        <v>526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>
        <f>IF(COUNT(D1944:V1944)=0,"",MIN(D1944:V1944))</f>
        <v/>
      </c>
      <c r="X1944" s="8">
        <f>IF(COUNT(D1944:V1944)=0,"",MEDIAN(D1944:V1944))</f>
        <v/>
      </c>
      <c r="Y1944" s="8">
        <f>IF(COUNT(D1944:V1944)=0,"",MAX(D1944:V1944))</f>
        <v/>
      </c>
      <c r="Z1944" s="9">
        <f>IF(OR(W1944="",W1944=0),"",(Y1944-W1944)/W1944)</f>
        <v/>
      </c>
      <c r="AA1944" s="7">
        <f>IF(COUNT(D1944:V1944)=0,"",INDEX($D$1:$V$1,MATCH(MIN(D1944:V1944),D1944:V1944,0)))</f>
        <v/>
      </c>
      <c r="AB1944" s="8" t="n">
        <v>526</v>
      </c>
      <c r="AC1944" s="10" t="n">
        <v>1</v>
      </c>
    </row>
    <row r="1945">
      <c r="A1945" s="7" t="inlineStr">
        <is>
          <t>MAT-32-594</t>
        </is>
      </c>
      <c r="B1945" s="4" t="inlineStr">
        <is>
          <t>Tee de HG 2"</t>
        </is>
      </c>
      <c r="C1945" s="7" t="inlineStr">
        <is>
          <t>unidad</t>
        </is>
      </c>
      <c r="D1945" s="8" t="n"/>
      <c r="E1945" s="8" t="n">
        <v>212</v>
      </c>
      <c r="F1945" s="8" t="n"/>
      <c r="G1945" s="8" t="n">
        <v>383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>
        <f>IF(COUNT(D1945:V1945)=0,"",MIN(D1945:V1945))</f>
        <v/>
      </c>
      <c r="X1945" s="8">
        <f>IF(COUNT(D1945:V1945)=0,"",MEDIAN(D1945:V1945))</f>
        <v/>
      </c>
      <c r="Y1945" s="8">
        <f>IF(COUNT(D1945:V1945)=0,"",MAX(D1945:V1945))</f>
        <v/>
      </c>
      <c r="Z1945" s="9">
        <f>IF(OR(W1945="",W1945=0),"",(Y1945-W1945)/W1945)</f>
        <v/>
      </c>
      <c r="AA1945" s="7">
        <f>IF(COUNT(D1945:V1945)=0,"",INDEX($D$1:$V$1,MATCH(MIN(D1945:V1945),D1945:V1945,0)))</f>
        <v/>
      </c>
      <c r="AB1945" s="8" t="n">
        <v>297.5</v>
      </c>
      <c r="AC1945" s="10" t="n">
        <v>2</v>
      </c>
    </row>
    <row r="1946">
      <c r="A1946" s="7" t="inlineStr">
        <is>
          <t>MAT-32-595</t>
        </is>
      </c>
      <c r="B1946" s="4" t="inlineStr">
        <is>
          <t>Tee de HG 3/4"</t>
        </is>
      </c>
      <c r="C1946" s="7" t="inlineStr">
        <is>
          <t>unidad</t>
        </is>
      </c>
      <c r="D1946" s="8" t="n"/>
      <c r="E1946" s="8" t="n">
        <v>49</v>
      </c>
      <c r="F1946" s="8" t="n"/>
      <c r="G1946" s="8" t="n">
        <v>95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>
        <f>IF(COUNT(D1946:V1946)=0,"",MIN(D1946:V1946))</f>
        <v/>
      </c>
      <c r="X1946" s="8">
        <f>IF(COUNT(D1946:V1946)=0,"",MEDIAN(D1946:V1946))</f>
        <v/>
      </c>
      <c r="Y1946" s="8">
        <f>IF(COUNT(D1946:V1946)=0,"",MAX(D1946:V1946))</f>
        <v/>
      </c>
      <c r="Z1946" s="9">
        <f>IF(OR(W1946="",W1946=0),"",(Y1946-W1946)/W1946)</f>
        <v/>
      </c>
      <c r="AA1946" s="7">
        <f>IF(COUNT(D1946:V1946)=0,"",INDEX($D$1:$V$1,MATCH(MIN(D1946:V1946),D1946:V1946,0)))</f>
        <v/>
      </c>
      <c r="AB1946" s="8" t="n">
        <v>72</v>
      </c>
      <c r="AC1946" s="10" t="n">
        <v>2</v>
      </c>
    </row>
    <row r="1947">
      <c r="A1947" s="7" t="inlineStr">
        <is>
          <t>MAT-32-596</t>
        </is>
      </c>
      <c r="B1947" s="4" t="inlineStr">
        <is>
          <t>Tee de HG 3/8"</t>
        </is>
      </c>
      <c r="C1947" s="7" t="inlineStr">
        <is>
          <t>unidad</t>
        </is>
      </c>
      <c r="D1947" s="8" t="n"/>
      <c r="E1947" s="8" t="n">
        <v>42.23</v>
      </c>
      <c r="F1947" s="8" t="n"/>
      <c r="G1947" s="8" t="n">
        <v>58</v>
      </c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>
        <f>IF(COUNT(D1947:V1947)=0,"",MIN(D1947:V1947))</f>
        <v/>
      </c>
      <c r="X1947" s="8">
        <f>IF(COUNT(D1947:V1947)=0,"",MEDIAN(D1947:V1947))</f>
        <v/>
      </c>
      <c r="Y1947" s="8">
        <f>IF(COUNT(D1947:V1947)=0,"",MAX(D1947:V1947))</f>
        <v/>
      </c>
      <c r="Z1947" s="9">
        <f>IF(OR(W1947="",W1947=0),"",(Y1947-W1947)/W1947)</f>
        <v/>
      </c>
      <c r="AA1947" s="7">
        <f>IF(COUNT(D1947:V1947)=0,"",INDEX($D$1:$V$1,MATCH(MIN(D1947:V1947),D1947:V1947,0)))</f>
        <v/>
      </c>
      <c r="AB1947" s="8" t="n">
        <v>50.11</v>
      </c>
      <c r="AC1947" s="10" t="n">
        <v>2</v>
      </c>
    </row>
    <row r="1948">
      <c r="A1948" s="7" t="inlineStr">
        <is>
          <t>MAT-32-597</t>
        </is>
      </c>
      <c r="B1948" s="4" t="inlineStr">
        <is>
          <t>Tee de HG 3"</t>
        </is>
      </c>
      <c r="C1948" s="7" t="inlineStr">
        <is>
          <t>unidad</t>
        </is>
      </c>
      <c r="D1948" s="8" t="n"/>
      <c r="E1948" s="8" t="n">
        <v>603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>
        <f>IF(COUNT(D1948:V1948)=0,"",MIN(D1948:V1948))</f>
        <v/>
      </c>
      <c r="X1948" s="8">
        <f>IF(COUNT(D1948:V1948)=0,"",MEDIAN(D1948:V1948))</f>
        <v/>
      </c>
      <c r="Y1948" s="8">
        <f>IF(COUNT(D1948:V1948)=0,"",MAX(D1948:V1948))</f>
        <v/>
      </c>
      <c r="Z1948" s="9">
        <f>IF(OR(W1948="",W1948=0),"",(Y1948-W1948)/W1948)</f>
        <v/>
      </c>
      <c r="AA1948" s="7">
        <f>IF(COUNT(D1948:V1948)=0,"",INDEX($D$1:$V$1,MATCH(MIN(D1948:V1948),D1948:V1948,0)))</f>
        <v/>
      </c>
      <c r="AB1948" s="8" t="n">
        <v>603</v>
      </c>
      <c r="AC1948" s="10" t="n">
        <v>1</v>
      </c>
    </row>
    <row r="1949">
      <c r="A1949" s="7" t="inlineStr">
        <is>
          <t>MAT-32-598</t>
        </is>
      </c>
      <c r="B1949" s="4" t="inlineStr">
        <is>
          <t>Tee de HG 4"</t>
        </is>
      </c>
      <c r="C1949" s="7" t="inlineStr">
        <is>
          <t>unidad</t>
        </is>
      </c>
      <c r="D1949" s="8" t="n"/>
      <c r="E1949" s="8" t="n">
        <v>1187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>
        <f>IF(COUNT(D1949:V1949)=0,"",MIN(D1949:V1949))</f>
        <v/>
      </c>
      <c r="X1949" s="8">
        <f>IF(COUNT(D1949:V1949)=0,"",MEDIAN(D1949:V1949))</f>
        <v/>
      </c>
      <c r="Y1949" s="8">
        <f>IF(COUNT(D1949:V1949)=0,"",MAX(D1949:V1949))</f>
        <v/>
      </c>
      <c r="Z1949" s="9">
        <f>IF(OR(W1949="",W1949=0),"",(Y1949-W1949)/W1949)</f>
        <v/>
      </c>
      <c r="AA1949" s="7">
        <f>IF(COUNT(D1949:V1949)=0,"",INDEX($D$1:$V$1,MATCH(MIN(D1949:V1949),D1949:V1949,0)))</f>
        <v/>
      </c>
      <c r="AB1949" s="8" t="n">
        <v>1187</v>
      </c>
      <c r="AC1949" s="10" t="n">
        <v>1</v>
      </c>
    </row>
    <row r="1950">
      <c r="A1950" s="7" t="inlineStr">
        <is>
          <t>MAT-32-599</t>
        </is>
      </c>
      <c r="B1950" s="4" t="inlineStr">
        <is>
          <t>Tee de niquelado 1/2"</t>
        </is>
      </c>
      <c r="C1950" s="7" t="inlineStr">
        <is>
          <t>unidad</t>
        </is>
      </c>
      <c r="D1950" s="8" t="n"/>
      <c r="E1950" s="8" t="n"/>
      <c r="F1950" s="8" t="n"/>
      <c r="G1950" s="8" t="n">
        <v>444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>
        <f>IF(COUNT(D1950:V1950)=0,"",MIN(D1950:V1950))</f>
        <v/>
      </c>
      <c r="X1950" s="8">
        <f>IF(COUNT(D1950:V1950)=0,"",MEDIAN(D1950:V1950))</f>
        <v/>
      </c>
      <c r="Y1950" s="8">
        <f>IF(COUNT(D1950:V1950)=0,"",MAX(D1950:V1950))</f>
        <v/>
      </c>
      <c r="Z1950" s="9">
        <f>IF(OR(W1950="",W1950=0),"",(Y1950-W1950)/W1950)</f>
        <v/>
      </c>
      <c r="AA1950" s="7">
        <f>IF(COUNT(D1950:V1950)=0,"",INDEX($D$1:$V$1,MATCH(MIN(D1950:V1950),D1950:V1950,0)))</f>
        <v/>
      </c>
      <c r="AB1950" s="8" t="n">
        <v>444</v>
      </c>
      <c r="AC1950" s="10" t="n">
        <v>1</v>
      </c>
    </row>
    <row r="1951">
      <c r="A1951" s="7" t="inlineStr">
        <is>
          <t>MAT-32-600</t>
        </is>
      </c>
      <c r="B1951" s="4" t="inlineStr">
        <is>
          <t>Tee de plástico 63"</t>
        </is>
      </c>
      <c r="C1951" s="7" t="inlineStr">
        <is>
          <t>unidad</t>
        </is>
      </c>
      <c r="D1951" s="8" t="n"/>
      <c r="E1951" s="8" t="n">
        <v>1020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>
        <f>IF(COUNT(D1951:V1951)=0,"",MIN(D1951:V1951))</f>
        <v/>
      </c>
      <c r="X1951" s="8">
        <f>IF(COUNT(D1951:V1951)=0,"",MEDIAN(D1951:V1951))</f>
        <v/>
      </c>
      <c r="Y1951" s="8">
        <f>IF(COUNT(D1951:V1951)=0,"",MAX(D1951:V1951))</f>
        <v/>
      </c>
      <c r="Z1951" s="9">
        <f>IF(OR(W1951="",W1951=0),"",(Y1951-W1951)/W1951)</f>
        <v/>
      </c>
      <c r="AA1951" s="7">
        <f>IF(COUNT(D1951:V1951)=0,"",INDEX($D$1:$V$1,MATCH(MIN(D1951:V1951),D1951:V1951,0)))</f>
        <v/>
      </c>
      <c r="AB1951" s="8" t="n">
        <v>1020</v>
      </c>
      <c r="AC1951" s="10" t="n">
        <v>1</v>
      </c>
    </row>
    <row r="1952">
      <c r="A1952" s="7" t="inlineStr">
        <is>
          <t>MAT-32-601</t>
        </is>
      </c>
      <c r="B1952" s="4" t="inlineStr">
        <is>
          <t>Tee de PPR 20 mm</t>
        </is>
      </c>
      <c r="C1952" s="7" t="inlineStr">
        <is>
          <t>unidad</t>
        </is>
      </c>
      <c r="D1952" s="8" t="n"/>
      <c r="E1952" s="8" t="n">
        <v>7.98</v>
      </c>
      <c r="F1952" s="8" t="n"/>
      <c r="G1952" s="8" t="n">
        <v>55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>
        <f>IF(COUNT(D1952:V1952)=0,"",MIN(D1952:V1952))</f>
        <v/>
      </c>
      <c r="X1952" s="8">
        <f>IF(COUNT(D1952:V1952)=0,"",MEDIAN(D1952:V1952))</f>
        <v/>
      </c>
      <c r="Y1952" s="8">
        <f>IF(COUNT(D1952:V1952)=0,"",MAX(D1952:V1952))</f>
        <v/>
      </c>
      <c r="Z1952" s="9">
        <f>IF(OR(W1952="",W1952=0),"",(Y1952-W1952)/W1952)</f>
        <v/>
      </c>
      <c r="AA1952" s="7">
        <f>IF(COUNT(D1952:V1952)=0,"",INDEX($D$1:$V$1,MATCH(MIN(D1952:V1952),D1952:V1952,0)))</f>
        <v/>
      </c>
      <c r="AB1952" s="8" t="n">
        <v>28.95</v>
      </c>
      <c r="AC1952" s="10" t="n">
        <v>2</v>
      </c>
    </row>
    <row r="1953">
      <c r="A1953" s="7" t="inlineStr">
        <is>
          <t>MAT-32-602</t>
        </is>
      </c>
      <c r="B1953" s="4" t="inlineStr">
        <is>
          <t>Tee de PPR 25 mm</t>
        </is>
      </c>
      <c r="C1953" s="7" t="inlineStr">
        <is>
          <t>unidad</t>
        </is>
      </c>
      <c r="D1953" s="8" t="n"/>
      <c r="E1953" s="8" t="n">
        <v>12.12</v>
      </c>
      <c r="F1953" s="8" t="n"/>
      <c r="G1953" s="8" t="n">
        <v>50</v>
      </c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>
        <f>IF(COUNT(D1953:V1953)=0,"",MIN(D1953:V1953))</f>
        <v/>
      </c>
      <c r="X1953" s="8">
        <f>IF(COUNT(D1953:V1953)=0,"",MEDIAN(D1953:V1953))</f>
        <v/>
      </c>
      <c r="Y1953" s="8">
        <f>IF(COUNT(D1953:V1953)=0,"",MAX(D1953:V1953))</f>
        <v/>
      </c>
      <c r="Z1953" s="9">
        <f>IF(OR(W1953="",W1953=0),"",(Y1953-W1953)/W1953)</f>
        <v/>
      </c>
      <c r="AA1953" s="7">
        <f>IF(COUNT(D1953:V1953)=0,"",INDEX($D$1:$V$1,MATCH(MIN(D1953:V1953),D1953:V1953,0)))</f>
        <v/>
      </c>
      <c r="AB1953" s="8" t="n">
        <v>29.36</v>
      </c>
      <c r="AC1953" s="10" t="n">
        <v>2</v>
      </c>
    </row>
    <row r="1954">
      <c r="A1954" s="7" t="inlineStr">
        <is>
          <t>MAT-32-603</t>
        </is>
      </c>
      <c r="B1954" s="4" t="inlineStr">
        <is>
          <t>Tee de PPR 32 mm</t>
        </is>
      </c>
      <c r="C1954" s="7" t="inlineStr">
        <is>
          <t>unidad</t>
        </is>
      </c>
      <c r="D1954" s="8" t="n"/>
      <c r="E1954" s="8" t="n">
        <v>19.4</v>
      </c>
      <c r="F1954" s="8" t="n"/>
      <c r="G1954" s="8" t="n">
        <v>75</v>
      </c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>
        <f>IF(COUNT(D1954:V1954)=0,"",MIN(D1954:V1954))</f>
        <v/>
      </c>
      <c r="X1954" s="8">
        <f>IF(COUNT(D1954:V1954)=0,"",MEDIAN(D1954:V1954))</f>
        <v/>
      </c>
      <c r="Y1954" s="8">
        <f>IF(COUNT(D1954:V1954)=0,"",MAX(D1954:V1954))</f>
        <v/>
      </c>
      <c r="Z1954" s="9">
        <f>IF(OR(W1954="",W1954=0),"",(Y1954-W1954)/W1954)</f>
        <v/>
      </c>
      <c r="AA1954" s="7">
        <f>IF(COUNT(D1954:V1954)=0,"",INDEX($D$1:$V$1,MATCH(MIN(D1954:V1954),D1954:V1954,0)))</f>
        <v/>
      </c>
      <c r="AB1954" s="8" t="n">
        <v>51.19</v>
      </c>
      <c r="AC1954" s="10" t="n">
        <v>2</v>
      </c>
    </row>
    <row r="1955">
      <c r="A1955" s="7" t="inlineStr">
        <is>
          <t>MAT-32-604</t>
        </is>
      </c>
      <c r="B1955" s="4" t="inlineStr">
        <is>
          <t>Tee de PPR 50 mm</t>
        </is>
      </c>
      <c r="C1955" s="7" t="inlineStr">
        <is>
          <t>unidad</t>
        </is>
      </c>
      <c r="D1955" s="8" t="n"/>
      <c r="E1955" s="8" t="n">
        <v>63.12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>
        <f>IF(COUNT(D1955:V1955)=0,"",MIN(D1955:V1955))</f>
        <v/>
      </c>
      <c r="X1955" s="8">
        <f>IF(COUNT(D1955:V1955)=0,"",MEDIAN(D1955:V1955))</f>
        <v/>
      </c>
      <c r="Y1955" s="8">
        <f>IF(COUNT(D1955:V1955)=0,"",MAX(D1955:V1955))</f>
        <v/>
      </c>
      <c r="Z1955" s="9">
        <f>IF(OR(W1955="",W1955=0),"",(Y1955-W1955)/W1955)</f>
        <v/>
      </c>
      <c r="AA1955" s="7">
        <f>IF(COUNT(D1955:V1955)=0,"",INDEX($D$1:$V$1,MATCH(MIN(D1955:V1955),D1955:V1955,0)))</f>
        <v/>
      </c>
      <c r="AB1955" s="8" t="n">
        <v>63.12</v>
      </c>
      <c r="AC1955" s="10" t="n">
        <v>1</v>
      </c>
    </row>
    <row r="1956">
      <c r="A1956" s="7" t="inlineStr">
        <is>
          <t>MAT-32-605</t>
        </is>
      </c>
      <c r="B1956" s="4" t="inlineStr">
        <is>
          <t>Tee de PVC drenaje 1 1/2"</t>
        </is>
      </c>
      <c r="C1956" s="7" t="inlineStr">
        <is>
          <t>unidad</t>
        </is>
      </c>
      <c r="D1956" s="8" t="n"/>
      <c r="E1956" s="8" t="n">
        <v>22.5</v>
      </c>
      <c r="F1956" s="8" t="n"/>
      <c r="G1956" s="8" t="n">
        <v>86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>
        <f>IF(COUNT(D1956:V1956)=0,"",MIN(D1956:V1956))</f>
        <v/>
      </c>
      <c r="X1956" s="8">
        <f>IF(COUNT(D1956:V1956)=0,"",MEDIAN(D1956:V1956))</f>
        <v/>
      </c>
      <c r="Y1956" s="8">
        <f>IF(COUNT(D1956:V1956)=0,"",MAX(D1956:V1956))</f>
        <v/>
      </c>
      <c r="Z1956" s="9">
        <f>IF(OR(W1956="",W1956=0),"",(Y1956-W1956)/W1956)</f>
        <v/>
      </c>
      <c r="AA1956" s="7">
        <f>IF(COUNT(D1956:V1956)=0,"",INDEX($D$1:$V$1,MATCH(MIN(D1956:V1956),D1956:V1956,0)))</f>
        <v/>
      </c>
      <c r="AB1956" s="8" t="n">
        <v>31.55</v>
      </c>
      <c r="AC1956" s="10" t="n">
        <v>2</v>
      </c>
    </row>
    <row r="1957">
      <c r="A1957" s="7" t="inlineStr">
        <is>
          <t>MAT-32-606</t>
        </is>
      </c>
      <c r="B1957" s="4" t="inlineStr">
        <is>
          <t>Tee de PVC drenaje 2"</t>
        </is>
      </c>
      <c r="C1957" s="7" t="inlineStr">
        <is>
          <t>unidad</t>
        </is>
      </c>
      <c r="D1957" s="8" t="n"/>
      <c r="E1957" s="8" t="n">
        <v>33.78</v>
      </c>
      <c r="F1957" s="8" t="n"/>
      <c r="G1957" s="8" t="n">
        <v>135</v>
      </c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>
        <f>IF(COUNT(D1957:V1957)=0,"",MIN(D1957:V1957))</f>
        <v/>
      </c>
      <c r="X1957" s="8">
        <f>IF(COUNT(D1957:V1957)=0,"",MEDIAN(D1957:V1957))</f>
        <v/>
      </c>
      <c r="Y1957" s="8">
        <f>IF(COUNT(D1957:V1957)=0,"",MAX(D1957:V1957))</f>
        <v/>
      </c>
      <c r="Z1957" s="9">
        <f>IF(OR(W1957="",W1957=0),"",(Y1957-W1957)/W1957)</f>
        <v/>
      </c>
      <c r="AA1957" s="7">
        <f>IF(COUNT(D1957:V1957)=0,"",INDEX($D$1:$V$1,MATCH(MIN(D1957:V1957),D1957:V1957,0)))</f>
        <v/>
      </c>
      <c r="AB1957" s="8" t="n">
        <v>47.64</v>
      </c>
      <c r="AC1957" s="10" t="n">
        <v>2</v>
      </c>
    </row>
    <row r="1958">
      <c r="A1958" s="7" t="inlineStr">
        <is>
          <t>MAT-32-607</t>
        </is>
      </c>
      <c r="B1958" s="4" t="inlineStr">
        <is>
          <t>Tee de PVC drenaje 3"</t>
        </is>
      </c>
      <c r="C1958" s="7" t="inlineStr">
        <is>
          <t>unidad</t>
        </is>
      </c>
      <c r="D1958" s="8" t="n"/>
      <c r="E1958" s="8" t="n">
        <v>108</v>
      </c>
      <c r="F1958" s="8" t="n"/>
      <c r="G1958" s="8" t="n">
        <v>194</v>
      </c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>
        <f>IF(COUNT(D1958:V1958)=0,"",MIN(D1958:V1958))</f>
        <v/>
      </c>
      <c r="X1958" s="8">
        <f>IF(COUNT(D1958:V1958)=0,"",MEDIAN(D1958:V1958))</f>
        <v/>
      </c>
      <c r="Y1958" s="8">
        <f>IF(COUNT(D1958:V1958)=0,"",MAX(D1958:V1958))</f>
        <v/>
      </c>
      <c r="Z1958" s="9">
        <f>IF(OR(W1958="",W1958=0),"",(Y1958-W1958)/W1958)</f>
        <v/>
      </c>
      <c r="AA1958" s="7">
        <f>IF(COUNT(D1958:V1958)=0,"",INDEX($D$1:$V$1,MATCH(MIN(D1958:V1958),D1958:V1958,0)))</f>
        <v/>
      </c>
      <c r="AB1958" s="8" t="n">
        <v>153.5</v>
      </c>
      <c r="AC1958" s="10" t="n">
        <v>2</v>
      </c>
    </row>
    <row r="1959">
      <c r="A1959" s="7" t="inlineStr">
        <is>
          <t>MAT-32-608</t>
        </is>
      </c>
      <c r="B1959" s="4" t="inlineStr">
        <is>
          <t>Tee de PVC drenaje 3" x 2"</t>
        </is>
      </c>
      <c r="C1959" s="7" t="inlineStr">
        <is>
          <t>unidad</t>
        </is>
      </c>
      <c r="D1959" s="8" t="n"/>
      <c r="E1959" s="8" t="n">
        <v>84.17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>
        <f>IF(COUNT(D1959:V1959)=0,"",MIN(D1959:V1959))</f>
        <v/>
      </c>
      <c r="X1959" s="8">
        <f>IF(COUNT(D1959:V1959)=0,"",MEDIAN(D1959:V1959))</f>
        <v/>
      </c>
      <c r="Y1959" s="8">
        <f>IF(COUNT(D1959:V1959)=0,"",MAX(D1959:V1959))</f>
        <v/>
      </c>
      <c r="Z1959" s="9">
        <f>IF(OR(W1959="",W1959=0),"",(Y1959-W1959)/W1959)</f>
        <v/>
      </c>
      <c r="AA1959" s="7">
        <f>IF(COUNT(D1959:V1959)=0,"",INDEX($D$1:$V$1,MATCH(MIN(D1959:V1959),D1959:V1959,0)))</f>
        <v/>
      </c>
      <c r="AB1959" s="8" t="n">
        <v>84.17</v>
      </c>
      <c r="AC1959" s="10" t="n">
        <v>1</v>
      </c>
    </row>
    <row r="1960">
      <c r="A1960" s="7" t="inlineStr">
        <is>
          <t>MAT-32-609</t>
        </is>
      </c>
      <c r="B1960" s="4" t="inlineStr">
        <is>
          <t>Tee de PVC drenaje 4"</t>
        </is>
      </c>
      <c r="C1960" s="7" t="inlineStr">
        <is>
          <t>unidad</t>
        </is>
      </c>
      <c r="D1960" s="8" t="n"/>
      <c r="E1960" s="8" t="n">
        <v>139</v>
      </c>
      <c r="F1960" s="8" t="n"/>
      <c r="G1960" s="8" t="n">
        <v>260</v>
      </c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>
        <f>IF(COUNT(D1960:V1960)=0,"",MIN(D1960:V1960))</f>
        <v/>
      </c>
      <c r="X1960" s="8">
        <f>IF(COUNT(D1960:V1960)=0,"",MEDIAN(D1960:V1960))</f>
        <v/>
      </c>
      <c r="Y1960" s="8">
        <f>IF(COUNT(D1960:V1960)=0,"",MAX(D1960:V1960))</f>
        <v/>
      </c>
      <c r="Z1960" s="9">
        <f>IF(OR(W1960="",W1960=0),"",(Y1960-W1960)/W1960)</f>
        <v/>
      </c>
      <c r="AA1960" s="7">
        <f>IF(COUNT(D1960:V1960)=0,"",INDEX($D$1:$V$1,MATCH(MIN(D1960:V1960),D1960:V1960,0)))</f>
        <v/>
      </c>
      <c r="AB1960" s="8" t="n">
        <v>227.32</v>
      </c>
      <c r="AC1960" s="10" t="n">
        <v>2</v>
      </c>
    </row>
    <row r="1961">
      <c r="A1961" s="7" t="inlineStr">
        <is>
          <t>MAT-32-610</t>
        </is>
      </c>
      <c r="B1961" s="4" t="inlineStr">
        <is>
          <t>Tee de PVC drenaje 4" x 2"</t>
        </is>
      </c>
      <c r="C1961" s="7" t="inlineStr">
        <is>
          <t>unidad</t>
        </is>
      </c>
      <c r="D1961" s="8" t="n"/>
      <c r="E1961" s="8" t="n">
        <v>88.56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>
        <f>IF(COUNT(D1961:V1961)=0,"",MIN(D1961:V1961))</f>
        <v/>
      </c>
      <c r="X1961" s="8">
        <f>IF(COUNT(D1961:V1961)=0,"",MEDIAN(D1961:V1961))</f>
        <v/>
      </c>
      <c r="Y1961" s="8">
        <f>IF(COUNT(D1961:V1961)=0,"",MAX(D1961:V1961))</f>
        <v/>
      </c>
      <c r="Z1961" s="9">
        <f>IF(OR(W1961="",W1961=0),"",(Y1961-W1961)/W1961)</f>
        <v/>
      </c>
      <c r="AA1961" s="7">
        <f>IF(COUNT(D1961:V1961)=0,"",INDEX($D$1:$V$1,MATCH(MIN(D1961:V1961),D1961:V1961,0)))</f>
        <v/>
      </c>
      <c r="AB1961" s="8" t="n">
        <v>100.25</v>
      </c>
      <c r="AC1961" s="10" t="n">
        <v>1</v>
      </c>
    </row>
    <row r="1962">
      <c r="A1962" s="7" t="inlineStr">
        <is>
          <t>MAT-32-611</t>
        </is>
      </c>
      <c r="B1962" s="4" t="inlineStr">
        <is>
          <t>Tee de PVC drenaje 4" x 3"</t>
        </is>
      </c>
      <c r="C1962" s="7" t="inlineStr">
        <is>
          <t>unidad</t>
        </is>
      </c>
      <c r="D1962" s="8" t="n"/>
      <c r="E1962" s="8" t="n">
        <v>153.77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>
        <f>IF(COUNT(D1962:V1962)=0,"",MIN(D1962:V1962))</f>
        <v/>
      </c>
      <c r="X1962" s="8">
        <f>IF(COUNT(D1962:V1962)=0,"",MEDIAN(D1962:V1962))</f>
        <v/>
      </c>
      <c r="Y1962" s="8">
        <f>IF(COUNT(D1962:V1962)=0,"",MAX(D1962:V1962))</f>
        <v/>
      </c>
      <c r="Z1962" s="9">
        <f>IF(OR(W1962="",W1962=0),"",(Y1962-W1962)/W1962)</f>
        <v/>
      </c>
      <c r="AA1962" s="7">
        <f>IF(COUNT(D1962:V1962)=0,"",INDEX($D$1:$V$1,MATCH(MIN(D1962:V1962),D1962:V1962,0)))</f>
        <v/>
      </c>
      <c r="AB1962" s="8" t="n">
        <v>153.77</v>
      </c>
      <c r="AC1962" s="10" t="n">
        <v>1</v>
      </c>
    </row>
    <row r="1963">
      <c r="A1963" s="7" t="inlineStr">
        <is>
          <t>MAT-32-612</t>
        </is>
      </c>
      <c r="B1963" s="4" t="inlineStr">
        <is>
          <t>Tee de PVC drenaje 6"</t>
        </is>
      </c>
      <c r="C1963" s="7" t="inlineStr">
        <is>
          <t>unidad</t>
        </is>
      </c>
      <c r="D1963" s="8" t="n"/>
      <c r="E1963" s="8" t="n">
        <v>291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>
        <f>IF(COUNT(D1963:V1963)=0,"",MIN(D1963:V1963))</f>
        <v/>
      </c>
      <c r="X1963" s="8">
        <f>IF(COUNT(D1963:V1963)=0,"",MEDIAN(D1963:V1963))</f>
        <v/>
      </c>
      <c r="Y1963" s="8">
        <f>IF(COUNT(D1963:V1963)=0,"",MAX(D1963:V1963))</f>
        <v/>
      </c>
      <c r="Z1963" s="9">
        <f>IF(OR(W1963="",W1963=0),"",(Y1963-W1963)/W1963)</f>
        <v/>
      </c>
      <c r="AA1963" s="7">
        <f>IF(COUNT(D1963:V1963)=0,"",INDEX($D$1:$V$1,MATCH(MIN(D1963:V1963),D1963:V1963,0)))</f>
        <v/>
      </c>
      <c r="AB1963" s="8" t="n">
        <v>458</v>
      </c>
      <c r="AC1963" s="10" t="n">
        <v>1</v>
      </c>
    </row>
    <row r="1964">
      <c r="A1964" s="7" t="inlineStr">
        <is>
          <t>MAT-32-613</t>
        </is>
      </c>
      <c r="B1964" s="4" t="inlineStr">
        <is>
          <t>Tee de PVC 1 1/2"</t>
        </is>
      </c>
      <c r="C1964" s="7" t="inlineStr">
        <is>
          <t>unidad</t>
        </is>
      </c>
      <c r="D1964" s="8" t="n"/>
      <c r="E1964" s="8" t="n">
        <v>92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>
        <f>IF(COUNT(D1964:V1964)=0,"",MIN(D1964:V1964))</f>
        <v/>
      </c>
      <c r="X1964" s="8">
        <f>IF(COUNT(D1964:V1964)=0,"",MEDIAN(D1964:V1964))</f>
        <v/>
      </c>
      <c r="Y1964" s="8">
        <f>IF(COUNT(D1964:V1964)=0,"",MAX(D1964:V1964))</f>
        <v/>
      </c>
      <c r="Z1964" s="9">
        <f>IF(OR(W1964="",W1964=0),"",(Y1964-W1964)/W1964)</f>
        <v/>
      </c>
      <c r="AA1964" s="7">
        <f>IF(COUNT(D1964:V1964)=0,"",INDEX($D$1:$V$1,MATCH(MIN(D1964:V1964),D1964:V1964,0)))</f>
        <v/>
      </c>
      <c r="AB1964" s="8" t="n">
        <v>100</v>
      </c>
      <c r="AC1964" s="10" t="n">
        <v>1</v>
      </c>
    </row>
    <row r="1965">
      <c r="A1965" s="7" t="inlineStr">
        <is>
          <t>MAT-32-614</t>
        </is>
      </c>
      <c r="B1965" s="4" t="inlineStr">
        <is>
          <t>Tee de PVC 1"</t>
        </is>
      </c>
      <c r="C1965" s="7" t="inlineStr">
        <is>
          <t>unidad</t>
        </is>
      </c>
      <c r="D1965" s="8" t="n"/>
      <c r="E1965" s="8" t="n">
        <v>48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>
        <f>IF(COUNT(D1965:V1965)=0,"",MIN(D1965:V1965))</f>
        <v/>
      </c>
      <c r="X1965" s="8">
        <f>IF(COUNT(D1965:V1965)=0,"",MEDIAN(D1965:V1965))</f>
        <v/>
      </c>
      <c r="Y1965" s="8">
        <f>IF(COUNT(D1965:V1965)=0,"",MAX(D1965:V1965))</f>
        <v/>
      </c>
      <c r="Z1965" s="9">
        <f>IF(OR(W1965="",W1965=0),"",(Y1965-W1965)/W1965)</f>
        <v/>
      </c>
      <c r="AA1965" s="7">
        <f>IF(COUNT(D1965:V1965)=0,"",INDEX($D$1:$V$1,MATCH(MIN(D1965:V1965),D1965:V1965,0)))</f>
        <v/>
      </c>
      <c r="AB1965" s="8" t="n">
        <v>48</v>
      </c>
      <c r="AC1965" s="10" t="n">
        <v>1</v>
      </c>
    </row>
    <row r="1966">
      <c r="A1966" s="7" t="inlineStr">
        <is>
          <t>MAT-32-615</t>
        </is>
      </c>
      <c r="B1966" s="4" t="inlineStr">
        <is>
          <t>Tee de PVC 1" x 3/4"</t>
        </is>
      </c>
      <c r="C1966" s="7" t="inlineStr">
        <is>
          <t>unidad</t>
        </is>
      </c>
      <c r="D1966" s="8" t="n"/>
      <c r="E1966" s="8" t="n">
        <v>37.36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>
        <f>IF(COUNT(D1966:V1966)=0,"",MIN(D1966:V1966))</f>
        <v/>
      </c>
      <c r="X1966" s="8">
        <f>IF(COUNT(D1966:V1966)=0,"",MEDIAN(D1966:V1966))</f>
        <v/>
      </c>
      <c r="Y1966" s="8">
        <f>IF(COUNT(D1966:V1966)=0,"",MAX(D1966:V1966))</f>
        <v/>
      </c>
      <c r="Z1966" s="9">
        <f>IF(OR(W1966="",W1966=0),"",(Y1966-W1966)/W1966)</f>
        <v/>
      </c>
      <c r="AA1966" s="7">
        <f>IF(COUNT(D1966:V1966)=0,"",INDEX($D$1:$V$1,MATCH(MIN(D1966:V1966),D1966:V1966,0)))</f>
        <v/>
      </c>
      <c r="AB1966" s="8" t="n">
        <v>37.36</v>
      </c>
      <c r="AC1966" s="10" t="n">
        <v>1</v>
      </c>
    </row>
    <row r="1967">
      <c r="A1967" s="7" t="inlineStr">
        <is>
          <t>MAT-32-616</t>
        </is>
      </c>
      <c r="B1967" s="4" t="inlineStr">
        <is>
          <t>Tee de PVC 2"</t>
        </is>
      </c>
      <c r="C1967" s="7" t="inlineStr">
        <is>
          <t>unidad</t>
        </is>
      </c>
      <c r="D1967" s="8" t="n"/>
      <c r="E1967" s="8" t="n">
        <v>165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>
        <f>IF(COUNT(D1967:V1967)=0,"",MIN(D1967:V1967))</f>
        <v/>
      </c>
      <c r="X1967" s="8">
        <f>IF(COUNT(D1967:V1967)=0,"",MEDIAN(D1967:V1967))</f>
        <v/>
      </c>
      <c r="Y1967" s="8">
        <f>IF(COUNT(D1967:V1967)=0,"",MAX(D1967:V1967))</f>
        <v/>
      </c>
      <c r="Z1967" s="9">
        <f>IF(OR(W1967="",W1967=0),"",(Y1967-W1967)/W1967)</f>
        <v/>
      </c>
      <c r="AA1967" s="7">
        <f>IF(COUNT(D1967:V1967)=0,"",INDEX($D$1:$V$1,MATCH(MIN(D1967:V1967),D1967:V1967,0)))</f>
        <v/>
      </c>
      <c r="AB1967" s="8" t="n">
        <v>165</v>
      </c>
      <c r="AC1967" s="10" t="n">
        <v>1</v>
      </c>
    </row>
    <row r="1968">
      <c r="A1968" s="7" t="inlineStr">
        <is>
          <t>MAT-32-617</t>
        </is>
      </c>
      <c r="B1968" s="4" t="inlineStr">
        <is>
          <t>Tee de PVC 3/4"</t>
        </is>
      </c>
      <c r="C1968" s="7" t="inlineStr">
        <is>
          <t>unidad</t>
        </is>
      </c>
      <c r="D1968" s="8" t="n"/>
      <c r="E1968" s="8" t="n">
        <v>33.35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>
        <f>IF(COUNT(D1968:V1968)=0,"",MIN(D1968:V1968))</f>
        <v/>
      </c>
      <c r="X1968" s="8">
        <f>IF(COUNT(D1968:V1968)=0,"",MEDIAN(D1968:V1968))</f>
        <v/>
      </c>
      <c r="Y1968" s="8">
        <f>IF(COUNT(D1968:V1968)=0,"",MAX(D1968:V1968))</f>
        <v/>
      </c>
      <c r="Z1968" s="9">
        <f>IF(OR(W1968="",W1968=0),"",(Y1968-W1968)/W1968)</f>
        <v/>
      </c>
      <c r="AA1968" s="7">
        <f>IF(COUNT(D1968:V1968)=0,"",INDEX($D$1:$V$1,MATCH(MIN(D1968:V1968),D1968:V1968,0)))</f>
        <v/>
      </c>
      <c r="AB1968" s="8" t="n">
        <v>46.68</v>
      </c>
      <c r="AC1968" s="10" t="n">
        <v>1</v>
      </c>
    </row>
    <row r="1969">
      <c r="A1969" s="7" t="inlineStr">
        <is>
          <t>MAT-32-618</t>
        </is>
      </c>
      <c r="B1969" s="4" t="inlineStr">
        <is>
          <t>Tee de PVC 3"</t>
        </is>
      </c>
      <c r="C1969" s="7" t="inlineStr">
        <is>
          <t>unidad</t>
        </is>
      </c>
      <c r="D1969" s="8" t="n"/>
      <c r="E1969" s="8" t="n">
        <v>502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>
        <f>IF(COUNT(D1969:V1969)=0,"",MIN(D1969:V1969))</f>
        <v/>
      </c>
      <c r="X1969" s="8">
        <f>IF(COUNT(D1969:V1969)=0,"",MEDIAN(D1969:V1969))</f>
        <v/>
      </c>
      <c r="Y1969" s="8">
        <f>IF(COUNT(D1969:V1969)=0,"",MAX(D1969:V1969))</f>
        <v/>
      </c>
      <c r="Z1969" s="9">
        <f>IF(OR(W1969="",W1969=0),"",(Y1969-W1969)/W1969)</f>
        <v/>
      </c>
      <c r="AA1969" s="7">
        <f>IF(COUNT(D1969:V1969)=0,"",INDEX($D$1:$V$1,MATCH(MIN(D1969:V1969),D1969:V1969,0)))</f>
        <v/>
      </c>
      <c r="AB1969" s="8" t="n">
        <v>502</v>
      </c>
      <c r="AC1969" s="10" t="n">
        <v>1</v>
      </c>
    </row>
    <row r="1970">
      <c r="A1970" s="7" t="inlineStr">
        <is>
          <t>MAT-32-619</t>
        </is>
      </c>
      <c r="B1970" s="4" t="inlineStr">
        <is>
          <t>Tee de PVC presión 1 1/2"</t>
        </is>
      </c>
      <c r="C1970" s="7" t="inlineStr">
        <is>
          <t>unidad</t>
        </is>
      </c>
      <c r="D1970" s="8" t="n"/>
      <c r="E1970" s="8" t="n">
        <v>45.97</v>
      </c>
      <c r="F1970" s="8" t="n"/>
      <c r="G1970" s="8" t="n">
        <v>135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>
        <f>IF(COUNT(D1970:V1970)=0,"",MIN(D1970:V1970))</f>
        <v/>
      </c>
      <c r="X1970" s="8">
        <f>IF(COUNT(D1970:V1970)=0,"",MEDIAN(D1970:V1970))</f>
        <v/>
      </c>
      <c r="Y1970" s="8">
        <f>IF(COUNT(D1970:V1970)=0,"",MAX(D1970:V1970))</f>
        <v/>
      </c>
      <c r="Z1970" s="9">
        <f>IF(OR(W1970="",W1970=0),"",(Y1970-W1970)/W1970)</f>
        <v/>
      </c>
      <c r="AA1970" s="7">
        <f>IF(COUNT(D1970:V1970)=0,"",INDEX($D$1:$V$1,MATCH(MIN(D1970:V1970),D1970:V1970,0)))</f>
        <v/>
      </c>
      <c r="AB1970" s="8" t="n">
        <v>54.48</v>
      </c>
      <c r="AC1970" s="10" t="n">
        <v>2</v>
      </c>
    </row>
    <row r="1971">
      <c r="A1971" s="7" t="inlineStr">
        <is>
          <t>MAT-32-620</t>
        </is>
      </c>
      <c r="B1971" s="4" t="inlineStr">
        <is>
          <t>Tee de PVC presión 1/2"</t>
        </is>
      </c>
      <c r="C1971" s="7" t="inlineStr">
        <is>
          <t>unidad</t>
        </is>
      </c>
      <c r="D1971" s="8" t="n"/>
      <c r="E1971" s="8" t="n">
        <v>8.140000000000001</v>
      </c>
      <c r="F1971" s="8" t="n"/>
      <c r="G1971" s="8" t="n">
        <v>28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>
        <f>IF(COUNT(D1971:V1971)=0,"",MIN(D1971:V1971))</f>
        <v/>
      </c>
      <c r="X1971" s="8">
        <f>IF(COUNT(D1971:V1971)=0,"",MEDIAN(D1971:V1971))</f>
        <v/>
      </c>
      <c r="Y1971" s="8">
        <f>IF(COUNT(D1971:V1971)=0,"",MAX(D1971:V1971))</f>
        <v/>
      </c>
      <c r="Z1971" s="9">
        <f>IF(OR(W1971="",W1971=0),"",(Y1971-W1971)/W1971)</f>
        <v/>
      </c>
      <c r="AA1971" s="7">
        <f>IF(COUNT(D1971:V1971)=0,"",INDEX($D$1:$V$1,MATCH(MIN(D1971:V1971),D1971:V1971,0)))</f>
        <v/>
      </c>
      <c r="AB1971" s="8" t="n">
        <v>13.68</v>
      </c>
      <c r="AC1971" s="10" t="n">
        <v>2</v>
      </c>
    </row>
    <row r="1972">
      <c r="A1972" s="7" t="inlineStr">
        <is>
          <t>MAT-32-621</t>
        </is>
      </c>
      <c r="B1972" s="4" t="inlineStr">
        <is>
          <t>Tee de PVC presión 1"</t>
        </is>
      </c>
      <c r="C1972" s="7" t="inlineStr">
        <is>
          <t>unidad</t>
        </is>
      </c>
      <c r="D1972" s="8" t="n"/>
      <c r="E1972" s="8" t="n">
        <v>16</v>
      </c>
      <c r="F1972" s="8" t="n"/>
      <c r="G1972" s="8" t="n">
        <v>55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>
        <f>IF(COUNT(D1972:V1972)=0,"",MIN(D1972:V1972))</f>
        <v/>
      </c>
      <c r="X1972" s="8">
        <f>IF(COUNT(D1972:V1972)=0,"",MEDIAN(D1972:V1972))</f>
        <v/>
      </c>
      <c r="Y1972" s="8">
        <f>IF(COUNT(D1972:V1972)=0,"",MAX(D1972:V1972))</f>
        <v/>
      </c>
      <c r="Z1972" s="9">
        <f>IF(OR(W1972="",W1972=0),"",(Y1972-W1972)/W1972)</f>
        <v/>
      </c>
      <c r="AA1972" s="7">
        <f>IF(COUNT(D1972:V1972)=0,"",INDEX($D$1:$V$1,MATCH(MIN(D1972:V1972),D1972:V1972,0)))</f>
        <v/>
      </c>
      <c r="AB1972" s="8" t="n">
        <v>27.06</v>
      </c>
      <c r="AC1972" s="10" t="n">
        <v>2</v>
      </c>
    </row>
    <row r="1973">
      <c r="A1973" s="7" t="inlineStr">
        <is>
          <t>MAT-32-622</t>
        </is>
      </c>
      <c r="B1973" s="4" t="inlineStr">
        <is>
          <t>Tee de PVC presión 2"</t>
        </is>
      </c>
      <c r="C1973" s="7" t="inlineStr">
        <is>
          <t>unidad</t>
        </is>
      </c>
      <c r="D1973" s="8" t="n"/>
      <c r="E1973" s="8" t="n">
        <v>45.98</v>
      </c>
      <c r="F1973" s="8" t="n"/>
      <c r="G1973" s="8" t="n">
        <v>195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>
        <f>IF(COUNT(D1973:V1973)=0,"",MIN(D1973:V1973))</f>
        <v/>
      </c>
      <c r="X1973" s="8">
        <f>IF(COUNT(D1973:V1973)=0,"",MEDIAN(D1973:V1973))</f>
        <v/>
      </c>
      <c r="Y1973" s="8">
        <f>IF(COUNT(D1973:V1973)=0,"",MAX(D1973:V1973))</f>
        <v/>
      </c>
      <c r="Z1973" s="9">
        <f>IF(OR(W1973="",W1973=0),"",(Y1973-W1973)/W1973)</f>
        <v/>
      </c>
      <c r="AA1973" s="7">
        <f>IF(COUNT(D1973:V1973)=0,"",INDEX($D$1:$V$1,MATCH(MIN(D1973:V1973),D1973:V1973,0)))</f>
        <v/>
      </c>
      <c r="AB1973" s="8" t="n">
        <v>82.48999999999999</v>
      </c>
      <c r="AC1973" s="10" t="n">
        <v>2</v>
      </c>
    </row>
    <row r="1974">
      <c r="A1974" s="7" t="inlineStr">
        <is>
          <t>MAT-32-623</t>
        </is>
      </c>
      <c r="B1974" s="4" t="inlineStr">
        <is>
          <t>Tee de PVC presión 3/4"</t>
        </is>
      </c>
      <c r="C1974" s="7" t="inlineStr">
        <is>
          <t>unidad</t>
        </is>
      </c>
      <c r="D1974" s="8" t="n"/>
      <c r="E1974" s="8" t="n">
        <v>8.83</v>
      </c>
      <c r="F1974" s="8" t="n"/>
      <c r="G1974" s="8" t="n">
        <v>35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>
        <f>IF(COUNT(D1974:V1974)=0,"",MIN(D1974:V1974))</f>
        <v/>
      </c>
      <c r="X1974" s="8">
        <f>IF(COUNT(D1974:V1974)=0,"",MEDIAN(D1974:V1974))</f>
        <v/>
      </c>
      <c r="Y1974" s="8">
        <f>IF(COUNT(D1974:V1974)=0,"",MAX(D1974:V1974))</f>
        <v/>
      </c>
      <c r="Z1974" s="9">
        <f>IF(OR(W1974="",W1974=0),"",(Y1974-W1974)/W1974)</f>
        <v/>
      </c>
      <c r="AA1974" s="7">
        <f>IF(COUNT(D1974:V1974)=0,"",INDEX($D$1:$V$1,MATCH(MIN(D1974:V1974),D1974:V1974,0)))</f>
        <v/>
      </c>
      <c r="AB1974" s="8" t="n">
        <v>17.7</v>
      </c>
      <c r="AC1974" s="10" t="n">
        <v>2</v>
      </c>
    </row>
    <row r="1975">
      <c r="A1975" s="7" t="inlineStr">
        <is>
          <t>MAT-32-624</t>
        </is>
      </c>
      <c r="B1975" s="4" t="inlineStr">
        <is>
          <t>Tee de PVC presión 3"</t>
        </is>
      </c>
      <c r="C1975" s="7" t="inlineStr">
        <is>
          <t>unidad</t>
        </is>
      </c>
      <c r="D1975" s="8" t="n"/>
      <c r="E1975" s="8" t="n">
        <v>169</v>
      </c>
      <c r="F1975" s="8" t="n"/>
      <c r="G1975" s="8" t="n">
        <v>453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>
        <f>IF(COUNT(D1975:V1975)=0,"",MIN(D1975:V1975))</f>
        <v/>
      </c>
      <c r="X1975" s="8">
        <f>IF(COUNT(D1975:V1975)=0,"",MEDIAN(D1975:V1975))</f>
        <v/>
      </c>
      <c r="Y1975" s="8">
        <f>IF(COUNT(D1975:V1975)=0,"",MAX(D1975:V1975))</f>
        <v/>
      </c>
      <c r="Z1975" s="9">
        <f>IF(OR(W1975="",W1975=0),"",(Y1975-W1975)/W1975)</f>
        <v/>
      </c>
      <c r="AA1975" s="7">
        <f>IF(COUNT(D1975:V1975)=0,"",INDEX($D$1:$V$1,MATCH(MIN(D1975:V1975),D1975:V1975,0)))</f>
        <v/>
      </c>
      <c r="AB1975" s="8" t="n">
        <v>235.03</v>
      </c>
      <c r="AC1975" s="10" t="n">
        <v>2</v>
      </c>
    </row>
    <row r="1976">
      <c r="A1976" s="7" t="inlineStr">
        <is>
          <t>MAT-32-625</t>
        </is>
      </c>
      <c r="B1976" s="4" t="inlineStr">
        <is>
          <t>Tee de PVC presión 4"</t>
        </is>
      </c>
      <c r="C1976" s="7" t="inlineStr">
        <is>
          <t>unidad</t>
        </is>
      </c>
      <c r="D1976" s="8" t="n"/>
      <c r="E1976" s="8" t="n">
        <v>278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>
        <f>IF(COUNT(D1976:V1976)=0,"",MIN(D1976:V1976))</f>
        <v/>
      </c>
      <c r="X1976" s="8">
        <f>IF(COUNT(D1976:V1976)=0,"",MEDIAN(D1976:V1976))</f>
        <v/>
      </c>
      <c r="Y1976" s="8">
        <f>IF(COUNT(D1976:V1976)=0,"",MAX(D1976:V1976))</f>
        <v/>
      </c>
      <c r="Z1976" s="9">
        <f>IF(OR(W1976="",W1976=0),"",(Y1976-W1976)/W1976)</f>
        <v/>
      </c>
      <c r="AA1976" s="7">
        <f>IF(COUNT(D1976:V1976)=0,"",INDEX($D$1:$V$1,MATCH(MIN(D1976:V1976),D1976:V1976,0)))</f>
        <v/>
      </c>
      <c r="AB1976" s="8" t="n">
        <v>336.44</v>
      </c>
      <c r="AC1976" s="10" t="n">
        <v>1</v>
      </c>
    </row>
    <row r="1977">
      <c r="A1977" s="7" t="inlineStr">
        <is>
          <t>MAT-32-626</t>
        </is>
      </c>
      <c r="B1977" s="4" t="inlineStr">
        <is>
          <t>Tee de PVC presión 4" x 3"</t>
        </is>
      </c>
      <c r="C1977" s="7" t="inlineStr">
        <is>
          <t>unidad</t>
        </is>
      </c>
      <c r="D1977" s="8" t="n"/>
      <c r="E1977" s="8" t="n">
        <v>687.34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>
        <f>IF(COUNT(D1977:V1977)=0,"",MIN(D1977:V1977))</f>
        <v/>
      </c>
      <c r="X1977" s="8">
        <f>IF(COUNT(D1977:V1977)=0,"",MEDIAN(D1977:V1977))</f>
        <v/>
      </c>
      <c r="Y1977" s="8">
        <f>IF(COUNT(D1977:V1977)=0,"",MAX(D1977:V1977))</f>
        <v/>
      </c>
      <c r="Z1977" s="9">
        <f>IF(OR(W1977="",W1977=0),"",(Y1977-W1977)/W1977)</f>
        <v/>
      </c>
      <c r="AA1977" s="7">
        <f>IF(COUNT(D1977:V1977)=0,"",INDEX($D$1:$V$1,MATCH(MIN(D1977:V1977),D1977:V1977,0)))</f>
        <v/>
      </c>
      <c r="AB1977" s="8" t="n">
        <v>687.34</v>
      </c>
      <c r="AC1977" s="10" t="n">
        <v>1</v>
      </c>
    </row>
    <row r="1978">
      <c r="A1978" s="7" t="inlineStr">
        <is>
          <t>MAT-32-627</t>
        </is>
      </c>
      <c r="B1978" s="4" t="inlineStr">
        <is>
          <t>Tee de PVC presión 6"</t>
        </is>
      </c>
      <c r="C1978" s="7" t="inlineStr">
        <is>
          <t>unidad</t>
        </is>
      </c>
      <c r="D1978" s="8" t="n"/>
      <c r="E1978" s="8" t="n">
        <v>915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>
        <f>IF(COUNT(D1978:V1978)=0,"",MIN(D1978:V1978))</f>
        <v/>
      </c>
      <c r="X1978" s="8">
        <f>IF(COUNT(D1978:V1978)=0,"",MEDIAN(D1978:V1978))</f>
        <v/>
      </c>
      <c r="Y1978" s="8">
        <f>IF(COUNT(D1978:V1978)=0,"",MAX(D1978:V1978))</f>
        <v/>
      </c>
      <c r="Z1978" s="9">
        <f>IF(OR(W1978="",W1978=0),"",(Y1978-W1978)/W1978)</f>
        <v/>
      </c>
      <c r="AA1978" s="7">
        <f>IF(COUNT(D1978:V1978)=0,"",INDEX($D$1:$V$1,MATCH(MIN(D1978:V1978),D1978:V1978,0)))</f>
        <v/>
      </c>
      <c r="AB1978" s="8" t="n">
        <v>1002.5</v>
      </c>
      <c r="AC1978" s="10" t="n">
        <v>1</v>
      </c>
    </row>
    <row r="1979">
      <c r="A1979" s="7" t="inlineStr">
        <is>
          <t>MAT-32-628</t>
        </is>
      </c>
      <c r="B1979" s="4" t="inlineStr">
        <is>
          <t>Tee de PVC presión 8"</t>
        </is>
      </c>
      <c r="C1979" s="7" t="inlineStr">
        <is>
          <t>unidad</t>
        </is>
      </c>
      <c r="D1979" s="8" t="n"/>
      <c r="E1979" s="8" t="n">
        <v>8379</v>
      </c>
      <c r="F1979" s="8" t="n"/>
      <c r="G1979" s="8" t="n"/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>
        <f>IF(COUNT(D1979:V1979)=0,"",MIN(D1979:V1979))</f>
        <v/>
      </c>
      <c r="X1979" s="8">
        <f>IF(COUNT(D1979:V1979)=0,"",MEDIAN(D1979:V1979))</f>
        <v/>
      </c>
      <c r="Y1979" s="8">
        <f>IF(COUNT(D1979:V1979)=0,"",MAX(D1979:V1979))</f>
        <v/>
      </c>
      <c r="Z1979" s="9">
        <f>IF(OR(W1979="",W1979=0),"",(Y1979-W1979)/W1979)</f>
        <v/>
      </c>
      <c r="AA1979" s="7">
        <f>IF(COUNT(D1979:V1979)=0,"",INDEX($D$1:$V$1,MATCH(MIN(D1979:V1979),D1979:V1979,0)))</f>
        <v/>
      </c>
      <c r="AB1979" s="8" t="n">
        <v>8379</v>
      </c>
      <c r="AC1979" s="10" t="n">
        <v>1</v>
      </c>
    </row>
    <row r="1980">
      <c r="A1980" s="7" t="inlineStr">
        <is>
          <t>MAT-32-629</t>
        </is>
      </c>
      <c r="B1980" s="4" t="inlineStr">
        <is>
          <t>Tee reducida de PPR 25 mm</t>
        </is>
      </c>
      <c r="C1980" s="7" t="inlineStr">
        <is>
          <t>unidad</t>
        </is>
      </c>
      <c r="D1980" s="8" t="n"/>
      <c r="E1980" s="8" t="n"/>
      <c r="F1980" s="8" t="n"/>
      <c r="G1980" s="8" t="n">
        <v>45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>
        <f>IF(COUNT(D1980:V1980)=0,"",MIN(D1980:V1980))</f>
        <v/>
      </c>
      <c r="X1980" s="8">
        <f>IF(COUNT(D1980:V1980)=0,"",MEDIAN(D1980:V1980))</f>
        <v/>
      </c>
      <c r="Y1980" s="8">
        <f>IF(COUNT(D1980:V1980)=0,"",MAX(D1980:V1980))</f>
        <v/>
      </c>
      <c r="Z1980" s="9">
        <f>IF(OR(W1980="",W1980=0),"",(Y1980-W1980)/W1980)</f>
        <v/>
      </c>
      <c r="AA1980" s="7">
        <f>IF(COUNT(D1980:V1980)=0,"",INDEX($D$1:$V$1,MATCH(MIN(D1980:V1980),D1980:V1980,0)))</f>
        <v/>
      </c>
      <c r="AB1980" s="8" t="n">
        <v>45</v>
      </c>
      <c r="AC1980" s="10" t="n">
        <v>1</v>
      </c>
    </row>
    <row r="1981">
      <c r="A1981" s="7" t="inlineStr">
        <is>
          <t>MAT-32-630</t>
        </is>
      </c>
      <c r="B1981" s="4" t="inlineStr">
        <is>
          <t>Tee reducida de PVC 1" x 3/4"</t>
        </is>
      </c>
      <c r="C1981" s="7" t="inlineStr">
        <is>
          <t>unidad</t>
        </is>
      </c>
      <c r="D1981" s="8" t="n"/>
      <c r="E1981" s="8" t="n"/>
      <c r="F1981" s="8" t="n"/>
      <c r="G1981" s="8" t="n">
        <v>144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>
        <f>IF(COUNT(D1981:V1981)=0,"",MIN(D1981:V1981))</f>
        <v/>
      </c>
      <c r="X1981" s="8">
        <f>IF(COUNT(D1981:V1981)=0,"",MEDIAN(D1981:V1981))</f>
        <v/>
      </c>
      <c r="Y1981" s="8">
        <f>IF(COUNT(D1981:V1981)=0,"",MAX(D1981:V1981))</f>
        <v/>
      </c>
      <c r="Z1981" s="9">
        <f>IF(OR(W1981="",W1981=0),"",(Y1981-W1981)/W1981)</f>
        <v/>
      </c>
      <c r="AA1981" s="7">
        <f>IF(COUNT(D1981:V1981)=0,"",INDEX($D$1:$V$1,MATCH(MIN(D1981:V1981),D1981:V1981,0)))</f>
        <v/>
      </c>
      <c r="AB1981" s="8" t="n">
        <v>144</v>
      </c>
      <c r="AC1981" s="10" t="n">
        <v>1</v>
      </c>
    </row>
    <row r="1982">
      <c r="A1982" s="7" t="inlineStr">
        <is>
          <t>MAT-32-631</t>
        </is>
      </c>
      <c r="B1982" s="4" t="inlineStr">
        <is>
          <t>Terminal de bronce 1/2"</t>
        </is>
      </c>
      <c r="C1982" s="7" t="inlineStr">
        <is>
          <t>unidad</t>
        </is>
      </c>
      <c r="D1982" s="8" t="n"/>
      <c r="E1982" s="8" t="n"/>
      <c r="F1982" s="8" t="n"/>
      <c r="G1982" s="8" t="n">
        <v>235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>
        <f>IF(COUNT(D1982:V1982)=0,"",MIN(D1982:V1982))</f>
        <v/>
      </c>
      <c r="X1982" s="8">
        <f>IF(COUNT(D1982:V1982)=0,"",MEDIAN(D1982:V1982))</f>
        <v/>
      </c>
      <c r="Y1982" s="8">
        <f>IF(COUNT(D1982:V1982)=0,"",MAX(D1982:V1982))</f>
        <v/>
      </c>
      <c r="Z1982" s="9">
        <f>IF(OR(W1982="",W1982=0),"",(Y1982-W1982)/W1982)</f>
        <v/>
      </c>
      <c r="AA1982" s="7">
        <f>IF(COUNT(D1982:V1982)=0,"",INDEX($D$1:$V$1,MATCH(MIN(D1982:V1982),D1982:V1982,0)))</f>
        <v/>
      </c>
      <c r="AB1982" s="8" t="n">
        <v>235</v>
      </c>
      <c r="AC1982" s="10" t="n">
        <v>1</v>
      </c>
    </row>
    <row r="1983">
      <c r="A1983" s="7" t="inlineStr">
        <is>
          <t>MAT-32-632</t>
        </is>
      </c>
      <c r="B1983" s="4" t="inlineStr">
        <is>
          <t>Terminal de bronce 3/4"</t>
        </is>
      </c>
      <c r="C1983" s="7" t="inlineStr">
        <is>
          <t>unidad</t>
        </is>
      </c>
      <c r="D1983" s="8" t="n"/>
      <c r="E1983" s="8" t="n"/>
      <c r="F1983" s="8" t="n"/>
      <c r="G1983" s="8" t="n">
        <v>275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>
        <f>IF(COUNT(D1983:V1983)=0,"",MIN(D1983:V1983))</f>
        <v/>
      </c>
      <c r="X1983" s="8">
        <f>IF(COUNT(D1983:V1983)=0,"",MEDIAN(D1983:V1983))</f>
        <v/>
      </c>
      <c r="Y1983" s="8">
        <f>IF(COUNT(D1983:V1983)=0,"",MAX(D1983:V1983))</f>
        <v/>
      </c>
      <c r="Z1983" s="9">
        <f>IF(OR(W1983="",W1983=0),"",(Y1983-W1983)/W1983)</f>
        <v/>
      </c>
      <c r="AA1983" s="7">
        <f>IF(COUNT(D1983:V1983)=0,"",INDEX($D$1:$V$1,MATCH(MIN(D1983:V1983),D1983:V1983,0)))</f>
        <v/>
      </c>
      <c r="AB1983" s="8" t="n">
        <v>275</v>
      </c>
      <c r="AC1983" s="10" t="n">
        <v>1</v>
      </c>
    </row>
    <row r="1984">
      <c r="A1984" s="7" t="inlineStr">
        <is>
          <t>MAT-32-633</t>
        </is>
      </c>
      <c r="B1984" s="4" t="inlineStr">
        <is>
          <t>Terminal de bronce 5/8"</t>
        </is>
      </c>
      <c r="C1984" s="7" t="inlineStr">
        <is>
          <t>unidad</t>
        </is>
      </c>
      <c r="D1984" s="8" t="n"/>
      <c r="E1984" s="8" t="n"/>
      <c r="F1984" s="8" t="n"/>
      <c r="G1984" s="8" t="n">
        <v>335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>
        <f>IF(COUNT(D1984:V1984)=0,"",MIN(D1984:V1984))</f>
        <v/>
      </c>
      <c r="X1984" s="8">
        <f>IF(COUNT(D1984:V1984)=0,"",MEDIAN(D1984:V1984))</f>
        <v/>
      </c>
      <c r="Y1984" s="8">
        <f>IF(COUNT(D1984:V1984)=0,"",MAX(D1984:V1984))</f>
        <v/>
      </c>
      <c r="Z1984" s="9">
        <f>IF(OR(W1984="",W1984=0),"",(Y1984-W1984)/W1984)</f>
        <v/>
      </c>
      <c r="AA1984" s="7">
        <f>IF(COUNT(D1984:V1984)=0,"",INDEX($D$1:$V$1,MATCH(MIN(D1984:V1984),D1984:V1984,0)))</f>
        <v/>
      </c>
      <c r="AB1984" s="8" t="n">
        <v>335</v>
      </c>
      <c r="AC1984" s="10" t="n">
        <v>1</v>
      </c>
    </row>
    <row r="1985">
      <c r="A1985" s="7" t="inlineStr">
        <is>
          <t>MAT-32-634</t>
        </is>
      </c>
      <c r="B1985" s="4" t="inlineStr">
        <is>
          <t>Terminal de cobre 1"</t>
        </is>
      </c>
      <c r="C1985" s="7" t="inlineStr">
        <is>
          <t>unidad</t>
        </is>
      </c>
      <c r="D1985" s="8" t="n"/>
      <c r="E1985" s="8" t="n"/>
      <c r="F1985" s="8" t="n"/>
      <c r="G1985" s="8" t="n">
        <v>319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>
        <f>IF(COUNT(D1985:V1985)=0,"",MIN(D1985:V1985))</f>
        <v/>
      </c>
      <c r="X1985" s="8">
        <f>IF(COUNT(D1985:V1985)=0,"",MEDIAN(D1985:V1985))</f>
        <v/>
      </c>
      <c r="Y1985" s="8">
        <f>IF(COUNT(D1985:V1985)=0,"",MAX(D1985:V1985))</f>
        <v/>
      </c>
      <c r="Z1985" s="9">
        <f>IF(OR(W1985="",W1985=0),"",(Y1985-W1985)/W1985)</f>
        <v/>
      </c>
      <c r="AA1985" s="7">
        <f>IF(COUNT(D1985:V1985)=0,"",INDEX($D$1:$V$1,MATCH(MIN(D1985:V1985),D1985:V1985,0)))</f>
        <v/>
      </c>
      <c r="AB1985" s="8" t="n">
        <v>319</v>
      </c>
      <c r="AC1985" s="10" t="n">
        <v>1</v>
      </c>
    </row>
    <row r="1986">
      <c r="A1986" s="7" t="inlineStr">
        <is>
          <t>MAT-32-635</t>
        </is>
      </c>
      <c r="B1986" s="4" t="inlineStr">
        <is>
          <t>Terminal de manguera 1/2"</t>
        </is>
      </c>
      <c r="C1986" s="7" t="inlineStr">
        <is>
          <t>unidad</t>
        </is>
      </c>
      <c r="D1986" s="8" t="n"/>
      <c r="E1986" s="8" t="n"/>
      <c r="F1986" s="8" t="n"/>
      <c r="G1986" s="8" t="n">
        <v>131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>
        <f>IF(COUNT(D1986:V1986)=0,"",MIN(D1986:V1986))</f>
        <v/>
      </c>
      <c r="X1986" s="8">
        <f>IF(COUNT(D1986:V1986)=0,"",MEDIAN(D1986:V1986))</f>
        <v/>
      </c>
      <c r="Y1986" s="8">
        <f>IF(COUNT(D1986:V1986)=0,"",MAX(D1986:V1986))</f>
        <v/>
      </c>
      <c r="Z1986" s="9">
        <f>IF(OR(W1986="",W1986=0),"",(Y1986-W1986)/W1986)</f>
        <v/>
      </c>
      <c r="AA1986" s="7">
        <f>IF(COUNT(D1986:V1986)=0,"",INDEX($D$1:$V$1,MATCH(MIN(D1986:V1986),D1986:V1986,0)))</f>
        <v/>
      </c>
      <c r="AB1986" s="8" t="n">
        <v>165.5</v>
      </c>
      <c r="AC1986" s="10" t="n">
        <v>1</v>
      </c>
    </row>
    <row r="1987">
      <c r="A1987" s="7" t="inlineStr">
        <is>
          <t>MAT-32-636</t>
        </is>
      </c>
      <c r="B1987" s="4" t="inlineStr">
        <is>
          <t>Terminal de manguera 3/4"</t>
        </is>
      </c>
      <c r="C1987" s="7" t="inlineStr">
        <is>
          <t>unidad</t>
        </is>
      </c>
      <c r="D1987" s="8" t="n"/>
      <c r="E1987" s="8" t="n"/>
      <c r="F1987" s="8" t="n"/>
      <c r="G1987" s="8" t="n">
        <v>247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>
        <f>IF(COUNT(D1987:V1987)=0,"",MIN(D1987:V1987))</f>
        <v/>
      </c>
      <c r="X1987" s="8">
        <f>IF(COUNT(D1987:V1987)=0,"",MEDIAN(D1987:V1987))</f>
        <v/>
      </c>
      <c r="Y1987" s="8">
        <f>IF(COUNT(D1987:V1987)=0,"",MAX(D1987:V1987))</f>
        <v/>
      </c>
      <c r="Z1987" s="9">
        <f>IF(OR(W1987="",W1987=0),"",(Y1987-W1987)/W1987)</f>
        <v/>
      </c>
      <c r="AA1987" s="7">
        <f>IF(COUNT(D1987:V1987)=0,"",INDEX($D$1:$V$1,MATCH(MIN(D1987:V1987),D1987:V1987,0)))</f>
        <v/>
      </c>
      <c r="AB1987" s="8" t="n">
        <v>247</v>
      </c>
      <c r="AC1987" s="10" t="n">
        <v>1</v>
      </c>
    </row>
    <row r="1988">
      <c r="A1988" s="7" t="inlineStr">
        <is>
          <t>MAT-32-637</t>
        </is>
      </c>
      <c r="B1988" s="4" t="inlineStr">
        <is>
          <t>Terminal de manguera 5/8"</t>
        </is>
      </c>
      <c r="C1988" s="7" t="inlineStr">
        <is>
          <t>unidad</t>
        </is>
      </c>
      <c r="D1988" s="8" t="n"/>
      <c r="E1988" s="8" t="n"/>
      <c r="F1988" s="8" t="n"/>
      <c r="G1988" s="8" t="n">
        <v>233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>
        <f>IF(COUNT(D1988:V1988)=0,"",MIN(D1988:V1988))</f>
        <v/>
      </c>
      <c r="X1988" s="8">
        <f>IF(COUNT(D1988:V1988)=0,"",MEDIAN(D1988:V1988))</f>
        <v/>
      </c>
      <c r="Y1988" s="8">
        <f>IF(COUNT(D1988:V1988)=0,"",MAX(D1988:V1988))</f>
        <v/>
      </c>
      <c r="Z1988" s="9">
        <f>IF(OR(W1988="",W1988=0),"",(Y1988-W1988)/W1988)</f>
        <v/>
      </c>
      <c r="AA1988" s="7">
        <f>IF(COUNT(D1988:V1988)=0,"",INDEX($D$1:$V$1,MATCH(MIN(D1988:V1988),D1988:V1988,0)))</f>
        <v/>
      </c>
      <c r="AB1988" s="8" t="n">
        <v>233</v>
      </c>
      <c r="AC1988" s="10" t="n">
        <v>1</v>
      </c>
    </row>
    <row r="1989">
      <c r="A1989" s="7" t="inlineStr">
        <is>
          <t>MAT-32-638</t>
        </is>
      </c>
      <c r="B1989" s="4" t="inlineStr">
        <is>
          <t>Terminal de manguera 5"</t>
        </is>
      </c>
      <c r="C1989" s="7" t="inlineStr">
        <is>
          <t>unidad</t>
        </is>
      </c>
      <c r="D1989" s="8" t="n"/>
      <c r="E1989" s="8" t="n"/>
      <c r="F1989" s="8" t="n"/>
      <c r="G1989" s="8" t="n">
        <v>295</v>
      </c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>
        <f>IF(COUNT(D1989:V1989)=0,"",MIN(D1989:V1989))</f>
        <v/>
      </c>
      <c r="X1989" s="8">
        <f>IF(COUNT(D1989:V1989)=0,"",MEDIAN(D1989:V1989))</f>
        <v/>
      </c>
      <c r="Y1989" s="8">
        <f>IF(COUNT(D1989:V1989)=0,"",MAX(D1989:V1989))</f>
        <v/>
      </c>
      <c r="Z1989" s="9">
        <f>IF(OR(W1989="",W1989=0),"",(Y1989-W1989)/W1989)</f>
        <v/>
      </c>
      <c r="AA1989" s="7">
        <f>IF(COUNT(D1989:V1989)=0,"",INDEX($D$1:$V$1,MATCH(MIN(D1989:V1989),D1989:V1989,0)))</f>
        <v/>
      </c>
      <c r="AB1989" s="8" t="n">
        <v>295</v>
      </c>
      <c r="AC1989" s="10" t="n">
        <v>1</v>
      </c>
    </row>
    <row r="1990">
      <c r="A1990" s="7" t="inlineStr">
        <is>
          <t>MAT-32-639</t>
        </is>
      </c>
      <c r="B1990" s="4" t="inlineStr">
        <is>
          <t>Unión de bronce 0.19"</t>
        </is>
      </c>
      <c r="C1990" s="7" t="inlineStr">
        <is>
          <t>unidad</t>
        </is>
      </c>
      <c r="D1990" s="8" t="n"/>
      <c r="E1990" s="8" t="n">
        <v>35.78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>
        <f>IF(COUNT(D1990:V1990)=0,"",MIN(D1990:V1990))</f>
        <v/>
      </c>
      <c r="X1990" s="8">
        <f>IF(COUNT(D1990:V1990)=0,"",MEDIAN(D1990:V1990))</f>
        <v/>
      </c>
      <c r="Y1990" s="8">
        <f>IF(COUNT(D1990:V1990)=0,"",MAX(D1990:V1990))</f>
        <v/>
      </c>
      <c r="Z1990" s="9">
        <f>IF(OR(W1990="",W1990=0),"",(Y1990-W1990)/W1990)</f>
        <v/>
      </c>
      <c r="AA1990" s="7">
        <f>IF(COUNT(D1990:V1990)=0,"",INDEX($D$1:$V$1,MATCH(MIN(D1990:V1990),D1990:V1990,0)))</f>
        <v/>
      </c>
      <c r="AB1990" s="8" t="n">
        <v>35.78</v>
      </c>
      <c r="AC1990" s="10" t="n">
        <v>1</v>
      </c>
    </row>
    <row r="1991">
      <c r="A1991" s="7" t="inlineStr">
        <is>
          <t>MAT-32-640</t>
        </is>
      </c>
      <c r="B1991" s="4" t="inlineStr">
        <is>
          <t>Unión de bronce 1/2"</t>
        </is>
      </c>
      <c r="C1991" s="7" t="inlineStr">
        <is>
          <t>unidad</t>
        </is>
      </c>
      <c r="D1991" s="8" t="n"/>
      <c r="E1991" s="8" t="n">
        <v>66.19</v>
      </c>
      <c r="F1991" s="8" t="n"/>
      <c r="G1991" s="8" t="n">
        <v>165</v>
      </c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>
        <f>IF(COUNT(D1991:V1991)=0,"",MIN(D1991:V1991))</f>
        <v/>
      </c>
      <c r="X1991" s="8">
        <f>IF(COUNT(D1991:V1991)=0,"",MEDIAN(D1991:V1991))</f>
        <v/>
      </c>
      <c r="Y1991" s="8">
        <f>IF(COUNT(D1991:V1991)=0,"",MAX(D1991:V1991))</f>
        <v/>
      </c>
      <c r="Z1991" s="9">
        <f>IF(OR(W1991="",W1991=0),"",(Y1991-W1991)/W1991)</f>
        <v/>
      </c>
      <c r="AA1991" s="7">
        <f>IF(COUNT(D1991:V1991)=0,"",INDEX($D$1:$V$1,MATCH(MIN(D1991:V1991),D1991:V1991,0)))</f>
        <v/>
      </c>
      <c r="AB1991" s="8" t="n">
        <v>115.6</v>
      </c>
      <c r="AC1991" s="10" t="n">
        <v>2</v>
      </c>
    </row>
    <row r="1992">
      <c r="A1992" s="7" t="inlineStr">
        <is>
          <t>MAT-32-641</t>
        </is>
      </c>
      <c r="B1992" s="4" t="inlineStr">
        <is>
          <t>Unión de bronce 1/4"</t>
        </is>
      </c>
      <c r="C1992" s="7" t="inlineStr">
        <is>
          <t>unidad</t>
        </is>
      </c>
      <c r="D1992" s="8" t="n"/>
      <c r="E1992" s="8" t="n">
        <v>28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>
        <f>IF(COUNT(D1992:V1992)=0,"",MIN(D1992:V1992))</f>
        <v/>
      </c>
      <c r="X1992" s="8">
        <f>IF(COUNT(D1992:V1992)=0,"",MEDIAN(D1992:V1992))</f>
        <v/>
      </c>
      <c r="Y1992" s="8">
        <f>IF(COUNT(D1992:V1992)=0,"",MAX(D1992:V1992))</f>
        <v/>
      </c>
      <c r="Z1992" s="9">
        <f>IF(OR(W1992="",W1992=0),"",(Y1992-W1992)/W1992)</f>
        <v/>
      </c>
      <c r="AA1992" s="7">
        <f>IF(COUNT(D1992:V1992)=0,"",INDEX($D$1:$V$1,MATCH(MIN(D1992:V1992),D1992:V1992,0)))</f>
        <v/>
      </c>
      <c r="AB1992" s="8" t="n">
        <v>69</v>
      </c>
      <c r="AC1992" s="10" t="n">
        <v>1</v>
      </c>
    </row>
    <row r="1993">
      <c r="A1993" s="7" t="inlineStr">
        <is>
          <t>MAT-32-642</t>
        </is>
      </c>
      <c r="B1993" s="4" t="inlineStr">
        <is>
          <t>Unión de bronce 1/8"</t>
        </is>
      </c>
      <c r="C1993" s="7" t="inlineStr">
        <is>
          <t>unidad</t>
        </is>
      </c>
      <c r="D1993" s="8" t="n"/>
      <c r="E1993" s="8" t="n">
        <v>16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>
        <f>IF(COUNT(D1993:V1993)=0,"",MIN(D1993:V1993))</f>
        <v/>
      </c>
      <c r="X1993" s="8">
        <f>IF(COUNT(D1993:V1993)=0,"",MEDIAN(D1993:V1993))</f>
        <v/>
      </c>
      <c r="Y1993" s="8">
        <f>IF(COUNT(D1993:V1993)=0,"",MAX(D1993:V1993))</f>
        <v/>
      </c>
      <c r="Z1993" s="9">
        <f>IF(OR(W1993="",W1993=0),"",(Y1993-W1993)/W1993)</f>
        <v/>
      </c>
      <c r="AA1993" s="7">
        <f>IF(COUNT(D1993:V1993)=0,"",INDEX($D$1:$V$1,MATCH(MIN(D1993:V1993),D1993:V1993,0)))</f>
        <v/>
      </c>
      <c r="AB1993" s="8" t="n">
        <v>16</v>
      </c>
      <c r="AC1993" s="10" t="n">
        <v>1</v>
      </c>
    </row>
    <row r="1994">
      <c r="A1994" s="7" t="inlineStr">
        <is>
          <t>MAT-32-643</t>
        </is>
      </c>
      <c r="B1994" s="4" t="inlineStr">
        <is>
          <t>Unión de bronce 12"</t>
        </is>
      </c>
      <c r="C1994" s="7" t="inlineStr">
        <is>
          <t>unidad</t>
        </is>
      </c>
      <c r="D1994" s="8" t="n"/>
      <c r="E1994" s="8" t="n">
        <v>346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>
        <f>IF(COUNT(D1994:V1994)=0,"",MIN(D1994:V1994))</f>
        <v/>
      </c>
      <c r="X1994" s="8">
        <f>IF(COUNT(D1994:V1994)=0,"",MEDIAN(D1994:V1994))</f>
        <v/>
      </c>
      <c r="Y1994" s="8">
        <f>IF(COUNT(D1994:V1994)=0,"",MAX(D1994:V1994))</f>
        <v/>
      </c>
      <c r="Z1994" s="9">
        <f>IF(OR(W1994="",W1994=0),"",(Y1994-W1994)/W1994)</f>
        <v/>
      </c>
      <c r="AA1994" s="7">
        <f>IF(COUNT(D1994:V1994)=0,"",INDEX($D$1:$V$1,MATCH(MIN(D1994:V1994),D1994:V1994,0)))</f>
        <v/>
      </c>
      <c r="AB1994" s="8" t="n">
        <v>346</v>
      </c>
      <c r="AC1994" s="10" t="n">
        <v>1</v>
      </c>
    </row>
    <row r="1995">
      <c r="A1995" s="7" t="inlineStr">
        <is>
          <t>MAT-32-644</t>
        </is>
      </c>
      <c r="B1995" s="4" t="inlineStr">
        <is>
          <t>Unión de bronce 15"</t>
        </is>
      </c>
      <c r="C1995" s="7" t="inlineStr">
        <is>
          <t>unidad</t>
        </is>
      </c>
      <c r="D1995" s="8" t="n"/>
      <c r="E1995" s="8" t="n">
        <v>375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>
        <f>IF(COUNT(D1995:V1995)=0,"",MIN(D1995:V1995))</f>
        <v/>
      </c>
      <c r="X1995" s="8">
        <f>IF(COUNT(D1995:V1995)=0,"",MEDIAN(D1995:V1995))</f>
        <v/>
      </c>
      <c r="Y1995" s="8">
        <f>IF(COUNT(D1995:V1995)=0,"",MAX(D1995:V1995))</f>
        <v/>
      </c>
      <c r="Z1995" s="9">
        <f>IF(OR(W1995="",W1995=0),"",(Y1995-W1995)/W1995)</f>
        <v/>
      </c>
      <c r="AA1995" s="7">
        <f>IF(COUNT(D1995:V1995)=0,"",INDEX($D$1:$V$1,MATCH(MIN(D1995:V1995),D1995:V1995,0)))</f>
        <v/>
      </c>
      <c r="AB1995" s="8" t="n">
        <v>375</v>
      </c>
      <c r="AC1995" s="10" t="n">
        <v>1</v>
      </c>
    </row>
    <row r="1996">
      <c r="A1996" s="7" t="inlineStr">
        <is>
          <t>MAT-32-645</t>
        </is>
      </c>
      <c r="B1996" s="4" t="inlineStr">
        <is>
          <t>Unión de bronce 18"</t>
        </is>
      </c>
      <c r="C1996" s="7" t="inlineStr">
        <is>
          <t>unidad</t>
        </is>
      </c>
      <c r="D1996" s="8" t="n"/>
      <c r="E1996" s="8" t="n">
        <v>413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>
        <f>IF(COUNT(D1996:V1996)=0,"",MIN(D1996:V1996))</f>
        <v/>
      </c>
      <c r="X1996" s="8">
        <f>IF(COUNT(D1996:V1996)=0,"",MEDIAN(D1996:V1996))</f>
        <v/>
      </c>
      <c r="Y1996" s="8">
        <f>IF(COUNT(D1996:V1996)=0,"",MAX(D1996:V1996))</f>
        <v/>
      </c>
      <c r="Z1996" s="9">
        <f>IF(OR(W1996="",W1996=0),"",(Y1996-W1996)/W1996)</f>
        <v/>
      </c>
      <c r="AA1996" s="7">
        <f>IF(COUNT(D1996:V1996)=0,"",INDEX($D$1:$V$1,MATCH(MIN(D1996:V1996),D1996:V1996,0)))</f>
        <v/>
      </c>
      <c r="AB1996" s="8" t="n">
        <v>413</v>
      </c>
      <c r="AC1996" s="10" t="n">
        <v>1</v>
      </c>
    </row>
    <row r="1997">
      <c r="A1997" s="7" t="inlineStr">
        <is>
          <t>MAT-32-646</t>
        </is>
      </c>
      <c r="B1997" s="4" t="inlineStr">
        <is>
          <t>Unión de bronce 25"</t>
        </is>
      </c>
      <c r="C1997" s="7" t="inlineStr">
        <is>
          <t>unidad</t>
        </is>
      </c>
      <c r="D1997" s="8" t="n"/>
      <c r="E1997" s="8" t="n">
        <v>796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>
        <f>IF(COUNT(D1997:V1997)=0,"",MIN(D1997:V1997))</f>
        <v/>
      </c>
      <c r="X1997" s="8">
        <f>IF(COUNT(D1997:V1997)=0,"",MEDIAN(D1997:V1997))</f>
        <v/>
      </c>
      <c r="Y1997" s="8">
        <f>IF(COUNT(D1997:V1997)=0,"",MAX(D1997:V1997))</f>
        <v/>
      </c>
      <c r="Z1997" s="9">
        <f>IF(OR(W1997="",W1997=0),"",(Y1997-W1997)/W1997)</f>
        <v/>
      </c>
      <c r="AA1997" s="7">
        <f>IF(COUNT(D1997:V1997)=0,"",INDEX($D$1:$V$1,MATCH(MIN(D1997:V1997),D1997:V1997,0)))</f>
        <v/>
      </c>
      <c r="AB1997" s="8" t="n">
        <v>796</v>
      </c>
      <c r="AC1997" s="10" t="n">
        <v>1</v>
      </c>
    </row>
    <row r="1998">
      <c r="A1998" s="7" t="inlineStr">
        <is>
          <t>MAT-32-647</t>
        </is>
      </c>
      <c r="B1998" s="4" t="inlineStr">
        <is>
          <t>Unión de bronce 3/8"</t>
        </is>
      </c>
      <c r="C1998" s="7" t="inlineStr">
        <is>
          <t>unidad</t>
        </is>
      </c>
      <c r="D1998" s="8" t="n"/>
      <c r="E1998" s="8" t="n">
        <v>44</v>
      </c>
      <c r="F1998" s="8" t="n"/>
      <c r="G1998" s="8" t="n">
        <v>147</v>
      </c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>
        <f>IF(COUNT(D1998:V1998)=0,"",MIN(D1998:V1998))</f>
        <v/>
      </c>
      <c r="X1998" s="8">
        <f>IF(COUNT(D1998:V1998)=0,"",MEDIAN(D1998:V1998))</f>
        <v/>
      </c>
      <c r="Y1998" s="8">
        <f>IF(COUNT(D1998:V1998)=0,"",MAX(D1998:V1998))</f>
        <v/>
      </c>
      <c r="Z1998" s="9">
        <f>IF(OR(W1998="",W1998=0),"",(Y1998-W1998)/W1998)</f>
        <v/>
      </c>
      <c r="AA1998" s="7">
        <f>IF(COUNT(D1998:V1998)=0,"",INDEX($D$1:$V$1,MATCH(MIN(D1998:V1998),D1998:V1998,0)))</f>
        <v/>
      </c>
      <c r="AB1998" s="8" t="n">
        <v>118</v>
      </c>
      <c r="AC1998" s="10" t="n">
        <v>2</v>
      </c>
    </row>
    <row r="1999">
      <c r="A1999" s="7" t="inlineStr">
        <is>
          <t>MAT-32-648</t>
        </is>
      </c>
      <c r="B1999" s="4" t="inlineStr">
        <is>
          <t>Unión de bronce 32 mm</t>
        </is>
      </c>
      <c r="C1999" s="7" t="inlineStr">
        <is>
          <t>unidad</t>
        </is>
      </c>
      <c r="D1999" s="8" t="n"/>
      <c r="E1999" s="8" t="n">
        <v>906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>
        <f>IF(COUNT(D1999:V1999)=0,"",MIN(D1999:V1999))</f>
        <v/>
      </c>
      <c r="X1999" s="8">
        <f>IF(COUNT(D1999:V1999)=0,"",MEDIAN(D1999:V1999))</f>
        <v/>
      </c>
      <c r="Y1999" s="8">
        <f>IF(COUNT(D1999:V1999)=0,"",MAX(D1999:V1999))</f>
        <v/>
      </c>
      <c r="Z1999" s="9">
        <f>IF(OR(W1999="",W1999=0),"",(Y1999-W1999)/W1999)</f>
        <v/>
      </c>
      <c r="AA1999" s="7">
        <f>IF(COUNT(D1999:V1999)=0,"",INDEX($D$1:$V$1,MATCH(MIN(D1999:V1999),D1999:V1999,0)))</f>
        <v/>
      </c>
      <c r="AB1999" s="8" t="n">
        <v>906</v>
      </c>
      <c r="AC1999" s="10" t="n">
        <v>1</v>
      </c>
    </row>
    <row r="2000">
      <c r="A2000" s="7" t="inlineStr">
        <is>
          <t>MAT-32-649</t>
        </is>
      </c>
      <c r="B2000" s="4" t="inlineStr">
        <is>
          <t>Unión de plástico 1/2"</t>
        </is>
      </c>
      <c r="C2000" s="7" t="inlineStr">
        <is>
          <t>unidad</t>
        </is>
      </c>
      <c r="D2000" s="8" t="n"/>
      <c r="E2000" s="8" t="n">
        <v>111</v>
      </c>
      <c r="F2000" s="8" t="n"/>
      <c r="G2000" s="8" t="n">
        <v>180</v>
      </c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>
        <f>IF(COUNT(D2000:V2000)=0,"",MIN(D2000:V2000))</f>
        <v/>
      </c>
      <c r="X2000" s="8">
        <f>IF(COUNT(D2000:V2000)=0,"",MEDIAN(D2000:V2000))</f>
        <v/>
      </c>
      <c r="Y2000" s="8">
        <f>IF(COUNT(D2000:V2000)=0,"",MAX(D2000:V2000))</f>
        <v/>
      </c>
      <c r="Z2000" s="9">
        <f>IF(OR(W2000="",W2000=0),"",(Y2000-W2000)/W2000)</f>
        <v/>
      </c>
      <c r="AA2000" s="7">
        <f>IF(COUNT(D2000:V2000)=0,"",INDEX($D$1:$V$1,MATCH(MIN(D2000:V2000),D2000:V2000,0)))</f>
        <v/>
      </c>
      <c r="AB2000" s="8" t="n">
        <v>145.5</v>
      </c>
      <c r="AC2000" s="10" t="n">
        <v>2</v>
      </c>
    </row>
    <row r="2001">
      <c r="A2001" s="7" t="inlineStr">
        <is>
          <t>MAT-32-650</t>
        </is>
      </c>
      <c r="B2001" s="4" t="inlineStr">
        <is>
          <t>Unión de plástico 5/8"</t>
        </is>
      </c>
      <c r="C2001" s="7" t="inlineStr">
        <is>
          <t>unidad</t>
        </is>
      </c>
      <c r="D2001" s="8" t="n"/>
      <c r="E2001" s="8" t="n">
        <v>131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>
        <f>IF(COUNT(D2001:V2001)=0,"",MIN(D2001:V2001))</f>
        <v/>
      </c>
      <c r="X2001" s="8">
        <f>IF(COUNT(D2001:V2001)=0,"",MEDIAN(D2001:V2001))</f>
        <v/>
      </c>
      <c r="Y2001" s="8">
        <f>IF(COUNT(D2001:V2001)=0,"",MAX(D2001:V2001))</f>
        <v/>
      </c>
      <c r="Z2001" s="9">
        <f>IF(OR(W2001="",W2001=0),"",(Y2001-W2001)/W2001)</f>
        <v/>
      </c>
      <c r="AA2001" s="7">
        <f>IF(COUNT(D2001:V2001)=0,"",INDEX($D$1:$V$1,MATCH(MIN(D2001:V2001),D2001:V2001,0)))</f>
        <v/>
      </c>
      <c r="AB2001" s="8" t="n">
        <v>131</v>
      </c>
      <c r="AC2001" s="10" t="n">
        <v>1</v>
      </c>
    </row>
    <row r="2002">
      <c r="A2002" s="7" t="inlineStr">
        <is>
          <t>MAT-32-651</t>
        </is>
      </c>
      <c r="B2002" s="4" t="inlineStr">
        <is>
          <t>Unión universal de CPVC 1/2"</t>
        </is>
      </c>
      <c r="C2002" s="7" t="inlineStr">
        <is>
          <t>unidad</t>
        </is>
      </c>
      <c r="D2002" s="8" t="n"/>
      <c r="E2002" s="8" t="n">
        <v>31.5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>
        <f>IF(COUNT(D2002:V2002)=0,"",MIN(D2002:V2002))</f>
        <v/>
      </c>
      <c r="X2002" s="8">
        <f>IF(COUNT(D2002:V2002)=0,"",MEDIAN(D2002:V2002))</f>
        <v/>
      </c>
      <c r="Y2002" s="8">
        <f>IF(COUNT(D2002:V2002)=0,"",MAX(D2002:V2002))</f>
        <v/>
      </c>
      <c r="Z2002" s="9">
        <f>IF(OR(W2002="",W2002=0),"",(Y2002-W2002)/W2002)</f>
        <v/>
      </c>
      <c r="AA2002" s="7">
        <f>IF(COUNT(D2002:V2002)=0,"",INDEX($D$1:$V$1,MATCH(MIN(D2002:V2002),D2002:V2002,0)))</f>
        <v/>
      </c>
      <c r="AB2002" s="8" t="n">
        <v>31.5</v>
      </c>
      <c r="AC2002" s="10" t="n">
        <v>1</v>
      </c>
    </row>
    <row r="2003">
      <c r="A2003" s="7" t="inlineStr">
        <is>
          <t>MAT-32-652</t>
        </is>
      </c>
      <c r="B2003" s="4" t="inlineStr">
        <is>
          <t>Unión universal de CPVC 1"</t>
        </is>
      </c>
      <c r="C2003" s="7" t="inlineStr">
        <is>
          <t>unidad</t>
        </is>
      </c>
      <c r="D2003" s="8" t="n"/>
      <c r="E2003" s="8" t="n">
        <v>150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>
        <f>IF(COUNT(D2003:V2003)=0,"",MIN(D2003:V2003))</f>
        <v/>
      </c>
      <c r="X2003" s="8">
        <f>IF(COUNT(D2003:V2003)=0,"",MEDIAN(D2003:V2003))</f>
        <v/>
      </c>
      <c r="Y2003" s="8">
        <f>IF(COUNT(D2003:V2003)=0,"",MAX(D2003:V2003))</f>
        <v/>
      </c>
      <c r="Z2003" s="9">
        <f>IF(OR(W2003="",W2003=0),"",(Y2003-W2003)/W2003)</f>
        <v/>
      </c>
      <c r="AA2003" s="7">
        <f>IF(COUNT(D2003:V2003)=0,"",INDEX($D$1:$V$1,MATCH(MIN(D2003:V2003),D2003:V2003,0)))</f>
        <v/>
      </c>
      <c r="AB2003" s="8" t="n">
        <v>150</v>
      </c>
      <c r="AC2003" s="10" t="n">
        <v>1</v>
      </c>
    </row>
    <row r="2004">
      <c r="A2004" s="7" t="inlineStr">
        <is>
          <t>MAT-32-653</t>
        </is>
      </c>
      <c r="B2004" s="4" t="inlineStr">
        <is>
          <t>Unión universal de CPVC 3/4"</t>
        </is>
      </c>
      <c r="C2004" s="7" t="inlineStr">
        <is>
          <t>unidad</t>
        </is>
      </c>
      <c r="D2004" s="8" t="n"/>
      <c r="E2004" s="8" t="n">
        <v>100</v>
      </c>
      <c r="F2004" s="8" t="n"/>
      <c r="G2004" s="8" t="n"/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>
        <f>IF(COUNT(D2004:V2004)=0,"",MIN(D2004:V2004))</f>
        <v/>
      </c>
      <c r="X2004" s="8">
        <f>IF(COUNT(D2004:V2004)=0,"",MEDIAN(D2004:V2004))</f>
        <v/>
      </c>
      <c r="Y2004" s="8">
        <f>IF(COUNT(D2004:V2004)=0,"",MAX(D2004:V2004))</f>
        <v/>
      </c>
      <c r="Z2004" s="9">
        <f>IF(OR(W2004="",W2004=0),"",(Y2004-W2004)/W2004)</f>
        <v/>
      </c>
      <c r="AA2004" s="7">
        <f>IF(COUNT(D2004:V2004)=0,"",INDEX($D$1:$V$1,MATCH(MIN(D2004:V2004),D2004:V2004,0)))</f>
        <v/>
      </c>
      <c r="AB2004" s="8" t="n">
        <v>100</v>
      </c>
      <c r="AC2004" s="10" t="n">
        <v>1</v>
      </c>
    </row>
    <row r="2005">
      <c r="A2005" s="7" t="inlineStr">
        <is>
          <t>MAT-32-654</t>
        </is>
      </c>
      <c r="B2005" s="4" t="inlineStr">
        <is>
          <t>Unión universal de HG 1 1/2"</t>
        </is>
      </c>
      <c r="C2005" s="7" t="inlineStr">
        <is>
          <t>unidad</t>
        </is>
      </c>
      <c r="D2005" s="8" t="n"/>
      <c r="E2005" s="8" t="n">
        <v>350</v>
      </c>
      <c r="F2005" s="8" t="n"/>
      <c r="G2005" s="8" t="n">
        <v>525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>
        <f>IF(COUNT(D2005:V2005)=0,"",MIN(D2005:V2005))</f>
        <v/>
      </c>
      <c r="X2005" s="8">
        <f>IF(COUNT(D2005:V2005)=0,"",MEDIAN(D2005:V2005))</f>
        <v/>
      </c>
      <c r="Y2005" s="8">
        <f>IF(COUNT(D2005:V2005)=0,"",MAX(D2005:V2005))</f>
        <v/>
      </c>
      <c r="Z2005" s="9">
        <f>IF(OR(W2005="",W2005=0),"",(Y2005-W2005)/W2005)</f>
        <v/>
      </c>
      <c r="AA2005" s="7">
        <f>IF(COUNT(D2005:V2005)=0,"",INDEX($D$1:$V$1,MATCH(MIN(D2005:V2005),D2005:V2005,0)))</f>
        <v/>
      </c>
      <c r="AB2005" s="8" t="n">
        <v>437.5</v>
      </c>
      <c r="AC2005" s="10" t="n">
        <v>2</v>
      </c>
    </row>
    <row r="2006">
      <c r="A2006" s="7" t="inlineStr">
        <is>
          <t>MAT-32-655</t>
        </is>
      </c>
      <c r="B2006" s="4" t="inlineStr">
        <is>
          <t>Unión universal de HG 1 1/4"</t>
        </is>
      </c>
      <c r="C2006" s="7" t="inlineStr">
        <is>
          <t>unidad</t>
        </is>
      </c>
      <c r="D2006" s="8" t="n"/>
      <c r="E2006" s="8" t="n">
        <v>249</v>
      </c>
      <c r="F2006" s="8" t="n"/>
      <c r="G2006" s="8" t="n">
        <v>422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>
        <f>IF(COUNT(D2006:V2006)=0,"",MIN(D2006:V2006))</f>
        <v/>
      </c>
      <c r="X2006" s="8">
        <f>IF(COUNT(D2006:V2006)=0,"",MEDIAN(D2006:V2006))</f>
        <v/>
      </c>
      <c r="Y2006" s="8">
        <f>IF(COUNT(D2006:V2006)=0,"",MAX(D2006:V2006))</f>
        <v/>
      </c>
      <c r="Z2006" s="9">
        <f>IF(OR(W2006="",W2006=0),"",(Y2006-W2006)/W2006)</f>
        <v/>
      </c>
      <c r="AA2006" s="7">
        <f>IF(COUNT(D2006:V2006)=0,"",INDEX($D$1:$V$1,MATCH(MIN(D2006:V2006),D2006:V2006,0)))</f>
        <v/>
      </c>
      <c r="AB2006" s="8" t="n">
        <v>335.5</v>
      </c>
      <c r="AC2006" s="10" t="n">
        <v>2</v>
      </c>
    </row>
    <row r="2007">
      <c r="A2007" s="7" t="inlineStr">
        <is>
          <t>MAT-32-656</t>
        </is>
      </c>
      <c r="B2007" s="4" t="inlineStr">
        <is>
          <t>Unión universal de HG 1/2"</t>
        </is>
      </c>
      <c r="C2007" s="7" t="inlineStr">
        <is>
          <t>unidad</t>
        </is>
      </c>
      <c r="D2007" s="8" t="n"/>
      <c r="E2007" s="8" t="n">
        <v>115</v>
      </c>
      <c r="F2007" s="8" t="n"/>
      <c r="G2007" s="8" t="n">
        <v>170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>
        <f>IF(COUNT(D2007:V2007)=0,"",MIN(D2007:V2007))</f>
        <v/>
      </c>
      <c r="X2007" s="8">
        <f>IF(COUNT(D2007:V2007)=0,"",MEDIAN(D2007:V2007))</f>
        <v/>
      </c>
      <c r="Y2007" s="8">
        <f>IF(COUNT(D2007:V2007)=0,"",MAX(D2007:V2007))</f>
        <v/>
      </c>
      <c r="Z2007" s="9">
        <f>IF(OR(W2007="",W2007=0),"",(Y2007-W2007)/W2007)</f>
        <v/>
      </c>
      <c r="AA2007" s="7">
        <f>IF(COUNT(D2007:V2007)=0,"",INDEX($D$1:$V$1,MATCH(MIN(D2007:V2007),D2007:V2007,0)))</f>
        <v/>
      </c>
      <c r="AB2007" s="8" t="n">
        <v>142.5</v>
      </c>
      <c r="AC2007" s="10" t="n">
        <v>2</v>
      </c>
    </row>
    <row r="2008">
      <c r="A2008" s="7" t="inlineStr">
        <is>
          <t>MAT-32-657</t>
        </is>
      </c>
      <c r="B2008" s="4" t="inlineStr">
        <is>
          <t>Unión universal de HG 1/4"</t>
        </is>
      </c>
      <c r="C2008" s="7" t="inlineStr">
        <is>
          <t>unidad</t>
        </is>
      </c>
      <c r="D2008" s="8" t="n"/>
      <c r="E2008" s="8" t="n"/>
      <c r="F2008" s="8" t="n"/>
      <c r="G2008" s="8" t="n">
        <v>44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>
        <f>IF(COUNT(D2008:V2008)=0,"",MIN(D2008:V2008))</f>
        <v/>
      </c>
      <c r="X2008" s="8">
        <f>IF(COUNT(D2008:V2008)=0,"",MEDIAN(D2008:V2008))</f>
        <v/>
      </c>
      <c r="Y2008" s="8">
        <f>IF(COUNT(D2008:V2008)=0,"",MAX(D2008:V2008))</f>
        <v/>
      </c>
      <c r="Z2008" s="9">
        <f>IF(OR(W2008="",W2008=0),"",(Y2008-W2008)/W2008)</f>
        <v/>
      </c>
      <c r="AA2008" s="7">
        <f>IF(COUNT(D2008:V2008)=0,"",INDEX($D$1:$V$1,MATCH(MIN(D2008:V2008),D2008:V2008,0)))</f>
        <v/>
      </c>
      <c r="AB2008" s="8" t="n">
        <v>44</v>
      </c>
      <c r="AC2008" s="10" t="n">
        <v>1</v>
      </c>
    </row>
    <row r="2009">
      <c r="A2009" s="7" t="inlineStr">
        <is>
          <t>MAT-32-658</t>
        </is>
      </c>
      <c r="B2009" s="4" t="inlineStr">
        <is>
          <t>Unión universal de HG 1"</t>
        </is>
      </c>
      <c r="C2009" s="7" t="inlineStr">
        <is>
          <t>unidad</t>
        </is>
      </c>
      <c r="D2009" s="8" t="n"/>
      <c r="E2009" s="8" t="n">
        <v>174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>
        <f>IF(COUNT(D2009:V2009)=0,"",MIN(D2009:V2009))</f>
        <v/>
      </c>
      <c r="X2009" s="8">
        <f>IF(COUNT(D2009:V2009)=0,"",MEDIAN(D2009:V2009))</f>
        <v/>
      </c>
      <c r="Y2009" s="8">
        <f>IF(COUNT(D2009:V2009)=0,"",MAX(D2009:V2009))</f>
        <v/>
      </c>
      <c r="Z2009" s="9">
        <f>IF(OR(W2009="",W2009=0),"",(Y2009-W2009)/W2009)</f>
        <v/>
      </c>
      <c r="AA2009" s="7">
        <f>IF(COUNT(D2009:V2009)=0,"",INDEX($D$1:$V$1,MATCH(MIN(D2009:V2009),D2009:V2009,0)))</f>
        <v/>
      </c>
      <c r="AB2009" s="8" t="n">
        <v>174</v>
      </c>
      <c r="AC2009" s="10" t="n">
        <v>1</v>
      </c>
    </row>
    <row r="2010">
      <c r="A2010" s="7" t="inlineStr">
        <is>
          <t>MAT-32-659</t>
        </is>
      </c>
      <c r="B2010" s="4" t="inlineStr">
        <is>
          <t>Unión universal de HG 2"</t>
        </is>
      </c>
      <c r="C2010" s="7" t="inlineStr">
        <is>
          <t>unidad</t>
        </is>
      </c>
      <c r="D2010" s="8" t="n"/>
      <c r="E2010" s="8" t="n">
        <v>450</v>
      </c>
      <c r="F2010" s="8" t="n"/>
      <c r="G2010" s="8" t="n">
        <v>827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>
        <f>IF(COUNT(D2010:V2010)=0,"",MIN(D2010:V2010))</f>
        <v/>
      </c>
      <c r="X2010" s="8">
        <f>IF(COUNT(D2010:V2010)=0,"",MEDIAN(D2010:V2010))</f>
        <v/>
      </c>
      <c r="Y2010" s="8">
        <f>IF(COUNT(D2010:V2010)=0,"",MAX(D2010:V2010))</f>
        <v/>
      </c>
      <c r="Z2010" s="9">
        <f>IF(OR(W2010="",W2010=0),"",(Y2010-W2010)/W2010)</f>
        <v/>
      </c>
      <c r="AA2010" s="7">
        <f>IF(COUNT(D2010:V2010)=0,"",INDEX($D$1:$V$1,MATCH(MIN(D2010:V2010),D2010:V2010,0)))</f>
        <v/>
      </c>
      <c r="AB2010" s="8" t="n">
        <v>638.5</v>
      </c>
      <c r="AC2010" s="10" t="n">
        <v>2</v>
      </c>
    </row>
    <row r="2011">
      <c r="A2011" s="7" t="inlineStr">
        <is>
          <t>MAT-32-660</t>
        </is>
      </c>
      <c r="B2011" s="4" t="inlineStr">
        <is>
          <t>Unión universal de HG 3/4"</t>
        </is>
      </c>
      <c r="C2011" s="7" t="inlineStr">
        <is>
          <t>unidad</t>
        </is>
      </c>
      <c r="D2011" s="8" t="n"/>
      <c r="E2011" s="8" t="n">
        <v>180</v>
      </c>
      <c r="F2011" s="8" t="n"/>
      <c r="G2011" s="8" t="n">
        <v>162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>
        <f>IF(COUNT(D2011:V2011)=0,"",MIN(D2011:V2011))</f>
        <v/>
      </c>
      <c r="X2011" s="8">
        <f>IF(COUNT(D2011:V2011)=0,"",MEDIAN(D2011:V2011))</f>
        <v/>
      </c>
      <c r="Y2011" s="8">
        <f>IF(COUNT(D2011:V2011)=0,"",MAX(D2011:V2011))</f>
        <v/>
      </c>
      <c r="Z2011" s="9">
        <f>IF(OR(W2011="",W2011=0),"",(Y2011-W2011)/W2011)</f>
        <v/>
      </c>
      <c r="AA2011" s="7">
        <f>IF(COUNT(D2011:V2011)=0,"",INDEX($D$1:$V$1,MATCH(MIN(D2011:V2011),D2011:V2011,0)))</f>
        <v/>
      </c>
      <c r="AB2011" s="8" t="n">
        <v>171</v>
      </c>
      <c r="AC2011" s="10" t="n">
        <v>2</v>
      </c>
    </row>
    <row r="2012">
      <c r="A2012" s="7" t="inlineStr">
        <is>
          <t>MAT-32-661</t>
        </is>
      </c>
      <c r="B2012" s="4" t="inlineStr">
        <is>
          <t>Unión universal de HG 3/8"</t>
        </is>
      </c>
      <c r="C2012" s="7" t="inlineStr">
        <is>
          <t>unidad</t>
        </is>
      </c>
      <c r="D2012" s="8" t="n"/>
      <c r="E2012" s="8" t="n"/>
      <c r="F2012" s="8" t="n"/>
      <c r="G2012" s="8" t="n">
        <v>12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>
        <f>IF(COUNT(D2012:V2012)=0,"",MIN(D2012:V2012))</f>
        <v/>
      </c>
      <c r="X2012" s="8">
        <f>IF(COUNT(D2012:V2012)=0,"",MEDIAN(D2012:V2012))</f>
        <v/>
      </c>
      <c r="Y2012" s="8">
        <f>IF(COUNT(D2012:V2012)=0,"",MAX(D2012:V2012))</f>
        <v/>
      </c>
      <c r="Z2012" s="9">
        <f>IF(OR(W2012="",W2012=0),"",(Y2012-W2012)/W2012)</f>
        <v/>
      </c>
      <c r="AA2012" s="7">
        <f>IF(COUNT(D2012:V2012)=0,"",INDEX($D$1:$V$1,MATCH(MIN(D2012:V2012),D2012:V2012,0)))</f>
        <v/>
      </c>
      <c r="AB2012" s="8" t="n">
        <v>12</v>
      </c>
      <c r="AC2012" s="10" t="n">
        <v>1</v>
      </c>
    </row>
    <row r="2013">
      <c r="A2013" s="7" t="inlineStr">
        <is>
          <t>MAT-32-662</t>
        </is>
      </c>
      <c r="B2013" s="4" t="inlineStr">
        <is>
          <t>Unión universal de HG 3"</t>
        </is>
      </c>
      <c r="C2013" s="7" t="inlineStr">
        <is>
          <t>unidad</t>
        </is>
      </c>
      <c r="D2013" s="8" t="n"/>
      <c r="E2013" s="8" t="n">
        <v>1376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>
        <f>IF(COUNT(D2013:V2013)=0,"",MIN(D2013:V2013))</f>
        <v/>
      </c>
      <c r="X2013" s="8">
        <f>IF(COUNT(D2013:V2013)=0,"",MEDIAN(D2013:V2013))</f>
        <v/>
      </c>
      <c r="Y2013" s="8">
        <f>IF(COUNT(D2013:V2013)=0,"",MAX(D2013:V2013))</f>
        <v/>
      </c>
      <c r="Z2013" s="9">
        <f>IF(OR(W2013="",W2013=0),"",(Y2013-W2013)/W2013)</f>
        <v/>
      </c>
      <c r="AA2013" s="7">
        <f>IF(COUNT(D2013:V2013)=0,"",INDEX($D$1:$V$1,MATCH(MIN(D2013:V2013),D2013:V2013,0)))</f>
        <v/>
      </c>
      <c r="AB2013" s="8" t="n">
        <v>1376</v>
      </c>
      <c r="AC2013" s="10" t="n">
        <v>1</v>
      </c>
    </row>
    <row r="2014">
      <c r="A2014" s="7" t="inlineStr">
        <is>
          <t>MAT-32-663</t>
        </is>
      </c>
      <c r="B2014" s="4" t="inlineStr">
        <is>
          <t>Unión universal de HG 4"</t>
        </is>
      </c>
      <c r="C2014" s="7" t="inlineStr">
        <is>
          <t>unidad</t>
        </is>
      </c>
      <c r="D2014" s="8" t="n"/>
      <c r="E2014" s="8" t="n">
        <v>1835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>
        <f>IF(COUNT(D2014:V2014)=0,"",MIN(D2014:V2014))</f>
        <v/>
      </c>
      <c r="X2014" s="8">
        <f>IF(COUNT(D2014:V2014)=0,"",MEDIAN(D2014:V2014))</f>
        <v/>
      </c>
      <c r="Y2014" s="8">
        <f>IF(COUNT(D2014:V2014)=0,"",MAX(D2014:V2014))</f>
        <v/>
      </c>
      <c r="Z2014" s="9">
        <f>IF(OR(W2014="",W2014=0),"",(Y2014-W2014)/W2014)</f>
        <v/>
      </c>
      <c r="AA2014" s="7">
        <f>IF(COUNT(D2014:V2014)=0,"",INDEX($D$1:$V$1,MATCH(MIN(D2014:V2014),D2014:V2014,0)))</f>
        <v/>
      </c>
      <c r="AB2014" s="8" t="n">
        <v>1835</v>
      </c>
      <c r="AC2014" s="10" t="n">
        <v>1</v>
      </c>
    </row>
    <row r="2015">
      <c r="A2015" s="7" t="inlineStr">
        <is>
          <t>MAT-32-664</t>
        </is>
      </c>
      <c r="B2015" s="4" t="inlineStr">
        <is>
          <t>Unión universal de PPR 20 mm</t>
        </is>
      </c>
      <c r="C2015" s="7" t="inlineStr">
        <is>
          <t>unidad</t>
        </is>
      </c>
      <c r="D2015" s="8" t="n"/>
      <c r="E2015" s="8" t="n">
        <v>25.14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>
        <f>IF(COUNT(D2015:V2015)=0,"",MIN(D2015:V2015))</f>
        <v/>
      </c>
      <c r="X2015" s="8">
        <f>IF(COUNT(D2015:V2015)=0,"",MEDIAN(D2015:V2015))</f>
        <v/>
      </c>
      <c r="Y2015" s="8">
        <f>IF(COUNT(D2015:V2015)=0,"",MAX(D2015:V2015))</f>
        <v/>
      </c>
      <c r="Z2015" s="9">
        <f>IF(OR(W2015="",W2015=0),"",(Y2015-W2015)/W2015)</f>
        <v/>
      </c>
      <c r="AA2015" s="7">
        <f>IF(COUNT(D2015:V2015)=0,"",INDEX($D$1:$V$1,MATCH(MIN(D2015:V2015),D2015:V2015,0)))</f>
        <v/>
      </c>
      <c r="AB2015" s="8" t="n">
        <v>25.14</v>
      </c>
      <c r="AC2015" s="10" t="n">
        <v>1</v>
      </c>
    </row>
    <row r="2016">
      <c r="A2016" s="7" t="inlineStr">
        <is>
          <t>MAT-32-665</t>
        </is>
      </c>
      <c r="B2016" s="4" t="inlineStr">
        <is>
          <t>Unión universal de PPR 25 mm</t>
        </is>
      </c>
      <c r="C2016" s="7" t="inlineStr">
        <is>
          <t>unidad</t>
        </is>
      </c>
      <c r="D2016" s="8" t="n"/>
      <c r="E2016" s="8" t="n">
        <v>33.14</v>
      </c>
      <c r="F2016" s="8" t="n"/>
      <c r="G2016" s="8" t="n">
        <v>166</v>
      </c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>
        <f>IF(COUNT(D2016:V2016)=0,"",MIN(D2016:V2016))</f>
        <v/>
      </c>
      <c r="X2016" s="8">
        <f>IF(COUNT(D2016:V2016)=0,"",MEDIAN(D2016:V2016))</f>
        <v/>
      </c>
      <c r="Y2016" s="8">
        <f>IF(COUNT(D2016:V2016)=0,"",MAX(D2016:V2016))</f>
        <v/>
      </c>
      <c r="Z2016" s="9">
        <f>IF(OR(W2016="",W2016=0),"",(Y2016-W2016)/W2016)</f>
        <v/>
      </c>
      <c r="AA2016" s="7">
        <f>IF(COUNT(D2016:V2016)=0,"",INDEX($D$1:$V$1,MATCH(MIN(D2016:V2016),D2016:V2016,0)))</f>
        <v/>
      </c>
      <c r="AB2016" s="8" t="n">
        <v>99.56999999999999</v>
      </c>
      <c r="AC2016" s="10" t="n">
        <v>2</v>
      </c>
    </row>
    <row r="2017">
      <c r="A2017" s="7" t="inlineStr">
        <is>
          <t>MAT-32-666</t>
        </is>
      </c>
      <c r="B2017" s="4" t="inlineStr">
        <is>
          <t>Unión universal de PPR 32 mm</t>
        </is>
      </c>
      <c r="C2017" s="7" t="inlineStr">
        <is>
          <t>unidad</t>
        </is>
      </c>
      <c r="D2017" s="8" t="n"/>
      <c r="E2017" s="8" t="n">
        <v>50.46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>
        <f>IF(COUNT(D2017:V2017)=0,"",MIN(D2017:V2017))</f>
        <v/>
      </c>
      <c r="X2017" s="8">
        <f>IF(COUNT(D2017:V2017)=0,"",MEDIAN(D2017:V2017))</f>
        <v/>
      </c>
      <c r="Y2017" s="8">
        <f>IF(COUNT(D2017:V2017)=0,"",MAX(D2017:V2017))</f>
        <v/>
      </c>
      <c r="Z2017" s="9">
        <f>IF(OR(W2017="",W2017=0),"",(Y2017-W2017)/W2017)</f>
        <v/>
      </c>
      <c r="AA2017" s="7">
        <f>IF(COUNT(D2017:V2017)=0,"",INDEX($D$1:$V$1,MATCH(MIN(D2017:V2017),D2017:V2017,0)))</f>
        <v/>
      </c>
      <c r="AB2017" s="8" t="n">
        <v>50.46</v>
      </c>
      <c r="AC2017" s="10" t="n">
        <v>1</v>
      </c>
    </row>
    <row r="2018">
      <c r="A2018" s="7" t="inlineStr">
        <is>
          <t>MAT-32-667</t>
        </is>
      </c>
      <c r="B2018" s="4" t="inlineStr">
        <is>
          <t>Unión universal de PPR 50 mm</t>
        </is>
      </c>
      <c r="C2018" s="7" t="inlineStr">
        <is>
          <t>unidad</t>
        </is>
      </c>
      <c r="D2018" s="8" t="n"/>
      <c r="E2018" s="8" t="n">
        <v>120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>
        <f>IF(COUNT(D2018:V2018)=0,"",MIN(D2018:V2018))</f>
        <v/>
      </c>
      <c r="X2018" s="8">
        <f>IF(COUNT(D2018:V2018)=0,"",MEDIAN(D2018:V2018))</f>
        <v/>
      </c>
      <c r="Y2018" s="8">
        <f>IF(COUNT(D2018:V2018)=0,"",MAX(D2018:V2018))</f>
        <v/>
      </c>
      <c r="Z2018" s="9">
        <f>IF(OR(W2018="",W2018=0),"",(Y2018-W2018)/W2018)</f>
        <v/>
      </c>
      <c r="AA2018" s="7">
        <f>IF(COUNT(D2018:V2018)=0,"",INDEX($D$1:$V$1,MATCH(MIN(D2018:V2018),D2018:V2018,0)))</f>
        <v/>
      </c>
      <c r="AB2018" s="8" t="n">
        <v>120</v>
      </c>
      <c r="AC2018" s="10" t="n">
        <v>1</v>
      </c>
    </row>
    <row r="2019">
      <c r="A2019" s="7" t="inlineStr">
        <is>
          <t>MAT-32-668</t>
        </is>
      </c>
      <c r="B2019" s="4" t="inlineStr">
        <is>
          <t>Unión universal de PVC 1 1/2"</t>
        </is>
      </c>
      <c r="C2019" s="7" t="inlineStr">
        <is>
          <t>unidad</t>
        </is>
      </c>
      <c r="D2019" s="8" t="n"/>
      <c r="E2019" s="8" t="n">
        <v>74.06</v>
      </c>
      <c r="F2019" s="8" t="n"/>
      <c r="G2019" s="8" t="n"/>
      <c r="H2019" s="8" t="n"/>
      <c r="I2019" s="8" t="n"/>
      <c r="J2019" s="8" t="n"/>
      <c r="K2019" s="8" t="n"/>
      <c r="L2019" s="8" t="n"/>
      <c r="M2019" s="8" t="n"/>
      <c r="N2019" s="8" t="n"/>
      <c r="O2019" s="8" t="n">
        <v>103</v>
      </c>
      <c r="P2019" s="8" t="n"/>
      <c r="Q2019" s="8" t="n"/>
      <c r="R2019" s="8" t="n"/>
      <c r="S2019" s="8" t="n"/>
      <c r="T2019" s="8" t="n"/>
      <c r="U2019" s="8" t="n"/>
      <c r="V2019" s="8" t="n"/>
      <c r="W2019" s="8">
        <f>IF(COUNT(D2019:V2019)=0,"",MIN(D2019:V2019))</f>
        <v/>
      </c>
      <c r="X2019" s="8">
        <f>IF(COUNT(D2019:V2019)=0,"",MEDIAN(D2019:V2019))</f>
        <v/>
      </c>
      <c r="Y2019" s="8">
        <f>IF(COUNT(D2019:V2019)=0,"",MAX(D2019:V2019))</f>
        <v/>
      </c>
      <c r="Z2019" s="9">
        <f>IF(OR(W2019="",W2019=0),"",(Y2019-W2019)/W2019)</f>
        <v/>
      </c>
      <c r="AA2019" s="7">
        <f>IF(COUNT(D2019:V2019)=0,"",INDEX($D$1:$V$1,MATCH(MIN(D2019:V2019),D2019:V2019,0)))</f>
        <v/>
      </c>
      <c r="AB2019" s="8" t="n">
        <v>104.52</v>
      </c>
      <c r="AC2019" s="10" t="n">
        <v>2</v>
      </c>
    </row>
    <row r="2020">
      <c r="A2020" s="7" t="inlineStr">
        <is>
          <t>MAT-32-669</t>
        </is>
      </c>
      <c r="B2020" s="4" t="inlineStr">
        <is>
          <t>Unión universal de PVC 1/2"</t>
        </is>
      </c>
      <c r="C2020" s="7" t="inlineStr">
        <is>
          <t>unidad</t>
        </is>
      </c>
      <c r="D2020" s="8" t="n"/>
      <c r="E2020" s="8" t="n">
        <v>17.7</v>
      </c>
      <c r="F2020" s="8" t="n"/>
      <c r="G2020" s="8" t="n">
        <v>75</v>
      </c>
      <c r="H2020" s="8" t="n"/>
      <c r="I2020" s="8" t="n"/>
      <c r="J2020" s="8" t="n"/>
      <c r="K2020" s="8" t="n"/>
      <c r="L2020" s="8" t="n"/>
      <c r="M2020" s="8" t="n"/>
      <c r="N2020" s="8" t="n"/>
      <c r="O2020" s="8" t="n">
        <v>22.87</v>
      </c>
      <c r="P2020" s="8" t="n"/>
      <c r="Q2020" s="8" t="n"/>
      <c r="R2020" s="8" t="n"/>
      <c r="S2020" s="8" t="n"/>
      <c r="T2020" s="8" t="n"/>
      <c r="U2020" s="8" t="n"/>
      <c r="V2020" s="8" t="n"/>
      <c r="W2020" s="8">
        <f>IF(COUNT(D2020:V2020)=0,"",MIN(D2020:V2020))</f>
        <v/>
      </c>
      <c r="X2020" s="8">
        <f>IF(COUNT(D2020:V2020)=0,"",MEDIAN(D2020:V2020))</f>
        <v/>
      </c>
      <c r="Y2020" s="8">
        <f>IF(COUNT(D2020:V2020)=0,"",MAX(D2020:V2020))</f>
        <v/>
      </c>
      <c r="Z2020" s="9">
        <f>IF(OR(W2020="",W2020=0),"",(Y2020-W2020)/W2020)</f>
        <v/>
      </c>
      <c r="AA2020" s="7">
        <f>IF(COUNT(D2020:V2020)=0,"",INDEX($D$1:$V$1,MATCH(MIN(D2020:V2020),D2020:V2020,0)))</f>
        <v/>
      </c>
      <c r="AB2020" s="8" t="n">
        <v>30.27</v>
      </c>
      <c r="AC2020" s="10" t="n">
        <v>3</v>
      </c>
    </row>
    <row r="2021">
      <c r="A2021" s="7" t="inlineStr">
        <is>
          <t>MAT-32-670</t>
        </is>
      </c>
      <c r="B2021" s="4" t="inlineStr">
        <is>
          <t>Unión universal de PVC 1"</t>
        </is>
      </c>
      <c r="C2021" s="7" t="inlineStr">
        <is>
          <t>unidad</t>
        </is>
      </c>
      <c r="D2021" s="8" t="n"/>
      <c r="E2021" s="8" t="n">
        <v>37</v>
      </c>
      <c r="F2021" s="8" t="n"/>
      <c r="G2021" s="8" t="n">
        <v>135</v>
      </c>
      <c r="H2021" s="8" t="n"/>
      <c r="I2021" s="8" t="n"/>
      <c r="J2021" s="8" t="n"/>
      <c r="K2021" s="8" t="n"/>
      <c r="L2021" s="8" t="n"/>
      <c r="M2021" s="8" t="n"/>
      <c r="N2021" s="8" t="n"/>
      <c r="O2021" s="8" t="n">
        <v>41.92</v>
      </c>
      <c r="P2021" s="8" t="n"/>
      <c r="Q2021" s="8" t="n"/>
      <c r="R2021" s="8" t="n"/>
      <c r="S2021" s="8" t="n"/>
      <c r="T2021" s="8" t="n"/>
      <c r="U2021" s="8" t="n"/>
      <c r="V2021" s="8" t="n"/>
      <c r="W2021" s="8">
        <f>IF(COUNT(D2021:V2021)=0,"",MIN(D2021:V2021))</f>
        <v/>
      </c>
      <c r="X2021" s="8">
        <f>IF(COUNT(D2021:V2021)=0,"",MEDIAN(D2021:V2021))</f>
        <v/>
      </c>
      <c r="Y2021" s="8">
        <f>IF(COUNT(D2021:V2021)=0,"",MAX(D2021:V2021))</f>
        <v/>
      </c>
      <c r="Z2021" s="9">
        <f>IF(OR(W2021="",W2021=0),"",(Y2021-W2021)/W2021)</f>
        <v/>
      </c>
      <c r="AA2021" s="7">
        <f>IF(COUNT(D2021:V2021)=0,"",INDEX($D$1:$V$1,MATCH(MIN(D2021:V2021),D2021:V2021,0)))</f>
        <v/>
      </c>
      <c r="AB2021" s="8" t="n">
        <v>49.47</v>
      </c>
      <c r="AC2021" s="10" t="n">
        <v>3</v>
      </c>
    </row>
    <row r="2022">
      <c r="A2022" s="7" t="inlineStr">
        <is>
          <t>MAT-32-671</t>
        </is>
      </c>
      <c r="B2022" s="4" t="inlineStr">
        <is>
          <t>Unión universal de PVC 2"</t>
        </is>
      </c>
      <c r="C2022" s="7" t="inlineStr">
        <is>
          <t>unidad</t>
        </is>
      </c>
      <c r="D2022" s="8" t="n"/>
      <c r="E2022" s="8" t="n">
        <v>125.07</v>
      </c>
      <c r="F2022" s="8" t="n"/>
      <c r="G2022" s="8" t="n">
        <v>232</v>
      </c>
      <c r="H2022" s="8" t="n"/>
      <c r="I2022" s="8" t="n"/>
      <c r="J2022" s="8" t="n"/>
      <c r="K2022" s="8" t="n"/>
      <c r="L2022" s="8" t="n"/>
      <c r="M2022" s="8" t="n"/>
      <c r="N2022" s="8" t="n"/>
      <c r="O2022" s="8" t="n">
        <v>137</v>
      </c>
      <c r="P2022" s="8" t="n"/>
      <c r="Q2022" s="8" t="n"/>
      <c r="R2022" s="8" t="n"/>
      <c r="S2022" s="8" t="n"/>
      <c r="T2022" s="8" t="n"/>
      <c r="U2022" s="8" t="n"/>
      <c r="V2022" s="8" t="n"/>
      <c r="W2022" s="8">
        <f>IF(COUNT(D2022:V2022)=0,"",MIN(D2022:V2022))</f>
        <v/>
      </c>
      <c r="X2022" s="8">
        <f>IF(COUNT(D2022:V2022)=0,"",MEDIAN(D2022:V2022))</f>
        <v/>
      </c>
      <c r="Y2022" s="8">
        <f>IF(COUNT(D2022:V2022)=0,"",MAX(D2022:V2022))</f>
        <v/>
      </c>
      <c r="Z2022" s="9">
        <f>IF(OR(W2022="",W2022=0),"",(Y2022-W2022)/W2022)</f>
        <v/>
      </c>
      <c r="AA2022" s="7">
        <f>IF(COUNT(D2022:V2022)=0,"",INDEX($D$1:$V$1,MATCH(MIN(D2022:V2022),D2022:V2022,0)))</f>
        <v/>
      </c>
      <c r="AB2022" s="8" t="n">
        <v>161.66</v>
      </c>
      <c r="AC2022" s="10" t="n">
        <v>3</v>
      </c>
    </row>
    <row r="2023">
      <c r="A2023" s="7" t="inlineStr">
        <is>
          <t>MAT-32-672</t>
        </is>
      </c>
      <c r="B2023" s="4" t="inlineStr">
        <is>
          <t>Unión universal de PVC 3/4"</t>
        </is>
      </c>
      <c r="C2023" s="7" t="inlineStr">
        <is>
          <t>unidad</t>
        </is>
      </c>
      <c r="D2023" s="8" t="n"/>
      <c r="E2023" s="8" t="n">
        <v>23.2</v>
      </c>
      <c r="F2023" s="8" t="n"/>
      <c r="G2023" s="8" t="n">
        <v>95</v>
      </c>
      <c r="H2023" s="8" t="n"/>
      <c r="I2023" s="8" t="n"/>
      <c r="J2023" s="8" t="n"/>
      <c r="K2023" s="8" t="n"/>
      <c r="L2023" s="8" t="n"/>
      <c r="M2023" s="8" t="n"/>
      <c r="N2023" s="8" t="n"/>
      <c r="O2023" s="8" t="n">
        <v>28.17</v>
      </c>
      <c r="P2023" s="8" t="n"/>
      <c r="Q2023" s="8" t="n"/>
      <c r="R2023" s="8" t="n"/>
      <c r="S2023" s="8" t="n"/>
      <c r="T2023" s="8" t="n"/>
      <c r="U2023" s="8" t="n"/>
      <c r="V2023" s="8" t="n"/>
      <c r="W2023" s="8">
        <f>IF(COUNT(D2023:V2023)=0,"",MIN(D2023:V2023))</f>
        <v/>
      </c>
      <c r="X2023" s="8">
        <f>IF(COUNT(D2023:V2023)=0,"",MEDIAN(D2023:V2023))</f>
        <v/>
      </c>
      <c r="Y2023" s="8">
        <f>IF(COUNT(D2023:V2023)=0,"",MAX(D2023:V2023))</f>
        <v/>
      </c>
      <c r="Z2023" s="9">
        <f>IF(OR(W2023="",W2023=0),"",(Y2023-W2023)/W2023)</f>
        <v/>
      </c>
      <c r="AA2023" s="7">
        <f>IF(COUNT(D2023:V2023)=0,"",INDEX($D$1:$V$1,MATCH(MIN(D2023:V2023),D2023:V2023,0)))</f>
        <v/>
      </c>
      <c r="AB2023" s="8" t="n">
        <v>33.24</v>
      </c>
      <c r="AC2023" s="10" t="n">
        <v>3</v>
      </c>
    </row>
    <row r="2024">
      <c r="A2024" s="7" t="inlineStr">
        <is>
          <t>MAT-32-673</t>
        </is>
      </c>
      <c r="B2024" s="4" t="inlineStr">
        <is>
          <t>Unión universal de PVC 3"</t>
        </is>
      </c>
      <c r="C2024" s="7" t="inlineStr">
        <is>
          <t>unidad</t>
        </is>
      </c>
      <c r="D2024" s="8" t="n"/>
      <c r="E2024" s="8" t="n">
        <v>645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>
        <v>450</v>
      </c>
      <c r="P2024" s="8" t="n"/>
      <c r="Q2024" s="8" t="n"/>
      <c r="R2024" s="8" t="n"/>
      <c r="S2024" s="8" t="n"/>
      <c r="T2024" s="8" t="n"/>
      <c r="U2024" s="8" t="n"/>
      <c r="V2024" s="8" t="n"/>
      <c r="W2024" s="8">
        <f>IF(COUNT(D2024:V2024)=0,"",MIN(D2024:V2024))</f>
        <v/>
      </c>
      <c r="X2024" s="8">
        <f>IF(COUNT(D2024:V2024)=0,"",MEDIAN(D2024:V2024))</f>
        <v/>
      </c>
      <c r="Y2024" s="8">
        <f>IF(COUNT(D2024:V2024)=0,"",MAX(D2024:V2024))</f>
        <v/>
      </c>
      <c r="Z2024" s="9">
        <f>IF(OR(W2024="",W2024=0),"",(Y2024-W2024)/W2024)</f>
        <v/>
      </c>
      <c r="AA2024" s="7">
        <f>IF(COUNT(D2024:V2024)=0,"",INDEX($D$1:$V$1,MATCH(MIN(D2024:V2024),D2024:V2024,0)))</f>
        <v/>
      </c>
      <c r="AB2024" s="8" t="n">
        <v>588</v>
      </c>
      <c r="AC2024" s="10" t="n">
        <v>2</v>
      </c>
    </row>
    <row r="2025">
      <c r="A2025" s="7" t="inlineStr">
        <is>
          <t>MAT-32-674</t>
        </is>
      </c>
      <c r="B2025" s="4" t="inlineStr">
        <is>
          <t>Unión universal de PVC 4"</t>
        </is>
      </c>
      <c r="C2025" s="7" t="inlineStr">
        <is>
          <t>unidad</t>
        </is>
      </c>
      <c r="D2025" s="8" t="n"/>
      <c r="E2025" s="8" t="n">
        <v>895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>
        <f>IF(COUNT(D2025:V2025)=0,"",MIN(D2025:V2025))</f>
        <v/>
      </c>
      <c r="X2025" s="8">
        <f>IF(COUNT(D2025:V2025)=0,"",MEDIAN(D2025:V2025))</f>
        <v/>
      </c>
      <c r="Y2025" s="8">
        <f>IF(COUNT(D2025:V2025)=0,"",MAX(D2025:V2025))</f>
        <v/>
      </c>
      <c r="Z2025" s="9">
        <f>IF(OR(W2025="",W2025=0),"",(Y2025-W2025)/W2025)</f>
        <v/>
      </c>
      <c r="AA2025" s="7">
        <f>IF(COUNT(D2025:V2025)=0,"",INDEX($D$1:$V$1,MATCH(MIN(D2025:V2025),D2025:V2025,0)))</f>
        <v/>
      </c>
      <c r="AB2025" s="8" t="n">
        <v>1256</v>
      </c>
      <c r="AC2025" s="10" t="n">
        <v>1</v>
      </c>
    </row>
    <row r="2026">
      <c r="A2026" s="7" t="inlineStr">
        <is>
          <t>MAT-32-675</t>
        </is>
      </c>
      <c r="B2026" s="4" t="inlineStr">
        <is>
          <t>Unión universal de PVC SCH-80 1"</t>
        </is>
      </c>
      <c r="C2026" s="7" t="inlineStr">
        <is>
          <t>unidad</t>
        </is>
      </c>
      <c r="D2026" s="8" t="n"/>
      <c r="E2026" s="8" t="n"/>
      <c r="F2026" s="8" t="n"/>
      <c r="G2026" s="8" t="n"/>
      <c r="H2026" s="8" t="n"/>
      <c r="I2026" s="8" t="n"/>
      <c r="J2026" s="8" t="n"/>
      <c r="K2026" s="8" t="n"/>
      <c r="L2026" s="8" t="n"/>
      <c r="M2026" s="8" t="n"/>
      <c r="N2026" s="8" t="n"/>
      <c r="O2026" s="8" t="n">
        <v>83.29000000000001</v>
      </c>
      <c r="P2026" s="8" t="n"/>
      <c r="Q2026" s="8" t="n"/>
      <c r="R2026" s="8" t="n"/>
      <c r="S2026" s="8" t="n"/>
      <c r="T2026" s="8" t="n"/>
      <c r="U2026" s="8" t="n"/>
      <c r="V2026" s="8" t="n"/>
      <c r="W2026" s="8">
        <f>IF(COUNT(D2026:V2026)=0,"",MIN(D2026:V2026))</f>
        <v/>
      </c>
      <c r="X2026" s="8">
        <f>IF(COUNT(D2026:V2026)=0,"",MEDIAN(D2026:V2026))</f>
        <v/>
      </c>
      <c r="Y2026" s="8">
        <f>IF(COUNT(D2026:V2026)=0,"",MAX(D2026:V2026))</f>
        <v/>
      </c>
      <c r="Z2026" s="9">
        <f>IF(OR(W2026="",W2026=0),"",(Y2026-W2026)/W2026)</f>
        <v/>
      </c>
      <c r="AA2026" s="7">
        <f>IF(COUNT(D2026:V2026)=0,"",INDEX($D$1:$V$1,MATCH(MIN(D2026:V2026),D2026:V2026,0)))</f>
        <v/>
      </c>
      <c r="AB2026" s="8" t="n">
        <v>98.28</v>
      </c>
      <c r="AC2026" s="10" t="n">
        <v>1</v>
      </c>
    </row>
    <row r="2027">
      <c r="A2027" s="7" t="inlineStr">
        <is>
          <t>MAT-32-676</t>
        </is>
      </c>
      <c r="B2027" s="4" t="inlineStr">
        <is>
          <t>Yee de PVC drenaje 1 1/2"</t>
        </is>
      </c>
      <c r="C2027" s="7" t="inlineStr">
        <is>
          <t>unidad</t>
        </is>
      </c>
      <c r="D2027" s="8" t="n"/>
      <c r="E2027" s="8" t="n">
        <v>39.9</v>
      </c>
      <c r="F2027" s="8" t="n"/>
      <c r="G2027" s="8" t="n">
        <v>47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>
        <f>IF(COUNT(D2027:V2027)=0,"",MIN(D2027:V2027))</f>
        <v/>
      </c>
      <c r="X2027" s="8">
        <f>IF(COUNT(D2027:V2027)=0,"",MEDIAN(D2027:V2027))</f>
        <v/>
      </c>
      <c r="Y2027" s="8">
        <f>IF(COUNT(D2027:V2027)=0,"",MAX(D2027:V2027))</f>
        <v/>
      </c>
      <c r="Z2027" s="9">
        <f>IF(OR(W2027="",W2027=0),"",(Y2027-W2027)/W2027)</f>
        <v/>
      </c>
      <c r="AA2027" s="7">
        <f>IF(COUNT(D2027:V2027)=0,"",INDEX($D$1:$V$1,MATCH(MIN(D2027:V2027),D2027:V2027,0)))</f>
        <v/>
      </c>
      <c r="AB2027" s="8" t="n">
        <v>43.45</v>
      </c>
      <c r="AC2027" s="10" t="n">
        <v>2</v>
      </c>
    </row>
    <row r="2028">
      <c r="A2028" s="7" t="inlineStr">
        <is>
          <t>MAT-32-677</t>
        </is>
      </c>
      <c r="B2028" s="4" t="inlineStr">
        <is>
          <t>Yee de PVC drenaje 2"</t>
        </is>
      </c>
      <c r="C2028" s="7" t="inlineStr">
        <is>
          <t>unidad</t>
        </is>
      </c>
      <c r="D2028" s="8" t="n"/>
      <c r="E2028" s="8" t="n">
        <v>39.22</v>
      </c>
      <c r="F2028" s="8" t="n"/>
      <c r="G2028" s="8" t="n">
        <v>145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>
        <f>IF(COUNT(D2028:V2028)=0,"",MIN(D2028:V2028))</f>
        <v/>
      </c>
      <c r="X2028" s="8">
        <f>IF(COUNT(D2028:V2028)=0,"",MEDIAN(D2028:V2028))</f>
        <v/>
      </c>
      <c r="Y2028" s="8">
        <f>IF(COUNT(D2028:V2028)=0,"",MAX(D2028:V2028))</f>
        <v/>
      </c>
      <c r="Z2028" s="9">
        <f>IF(OR(W2028="",W2028=0),"",(Y2028-W2028)/W2028)</f>
        <v/>
      </c>
      <c r="AA2028" s="7">
        <f>IF(COUNT(D2028:V2028)=0,"",INDEX($D$1:$V$1,MATCH(MIN(D2028:V2028),D2028:V2028,0)))</f>
        <v/>
      </c>
      <c r="AB2028" s="8" t="n">
        <v>46.1</v>
      </c>
      <c r="AC2028" s="10" t="n">
        <v>2</v>
      </c>
    </row>
    <row r="2029">
      <c r="A2029" s="7" t="inlineStr">
        <is>
          <t>MAT-32-678</t>
        </is>
      </c>
      <c r="B2029" s="4" t="inlineStr">
        <is>
          <t>Yee de PVC drenaje 3"</t>
        </is>
      </c>
      <c r="C2029" s="7" t="inlineStr">
        <is>
          <t>unidad</t>
        </is>
      </c>
      <c r="D2029" s="8" t="n"/>
      <c r="E2029" s="8" t="n">
        <v>76.79000000000001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>
        <f>IF(COUNT(D2029:V2029)=0,"",MIN(D2029:V2029))</f>
        <v/>
      </c>
      <c r="X2029" s="8">
        <f>IF(COUNT(D2029:V2029)=0,"",MEDIAN(D2029:V2029))</f>
        <v/>
      </c>
      <c r="Y2029" s="8">
        <f>IF(COUNT(D2029:V2029)=0,"",MAX(D2029:V2029))</f>
        <v/>
      </c>
      <c r="Z2029" s="9">
        <f>IF(OR(W2029="",W2029=0),"",(Y2029-W2029)/W2029)</f>
        <v/>
      </c>
      <c r="AA2029" s="7">
        <f>IF(COUNT(D2029:V2029)=0,"",INDEX($D$1:$V$1,MATCH(MIN(D2029:V2029),D2029:V2029,0)))</f>
        <v/>
      </c>
      <c r="AB2029" s="8" t="n">
        <v>113.54</v>
      </c>
      <c r="AC2029" s="10" t="n">
        <v>1</v>
      </c>
    </row>
    <row r="2030">
      <c r="A2030" s="7" t="inlineStr">
        <is>
          <t>MAT-32-679</t>
        </is>
      </c>
      <c r="B2030" s="4" t="inlineStr">
        <is>
          <t>Yee de PVC drenaje 3" x 2"</t>
        </is>
      </c>
      <c r="C2030" s="7" t="inlineStr">
        <is>
          <t>unidad</t>
        </is>
      </c>
      <c r="D2030" s="8" t="n"/>
      <c r="E2030" s="8" t="n">
        <v>89.56999999999999</v>
      </c>
      <c r="F2030" s="8" t="n"/>
      <c r="G2030" s="8" t="n">
        <v>205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>
        <f>IF(COUNT(D2030:V2030)=0,"",MIN(D2030:V2030))</f>
        <v/>
      </c>
      <c r="X2030" s="8">
        <f>IF(COUNT(D2030:V2030)=0,"",MEDIAN(D2030:V2030))</f>
        <v/>
      </c>
      <c r="Y2030" s="8">
        <f>IF(COUNT(D2030:V2030)=0,"",MAX(D2030:V2030))</f>
        <v/>
      </c>
      <c r="Z2030" s="9">
        <f>IF(OR(W2030="",W2030=0),"",(Y2030-W2030)/W2030)</f>
        <v/>
      </c>
      <c r="AA2030" s="7">
        <f>IF(COUNT(D2030:V2030)=0,"",INDEX($D$1:$V$1,MATCH(MIN(D2030:V2030),D2030:V2030,0)))</f>
        <v/>
      </c>
      <c r="AB2030" s="8" t="n">
        <v>147.29</v>
      </c>
      <c r="AC2030" s="10" t="n">
        <v>2</v>
      </c>
    </row>
    <row r="2031">
      <c r="A2031" s="7" t="inlineStr">
        <is>
          <t>MAT-32-680</t>
        </is>
      </c>
      <c r="B2031" s="4" t="inlineStr">
        <is>
          <t>Yee de PVC drenaje 4"</t>
        </is>
      </c>
      <c r="C2031" s="7" t="inlineStr">
        <is>
          <t>unidad</t>
        </is>
      </c>
      <c r="D2031" s="8" t="n"/>
      <c r="E2031" s="8" t="n">
        <v>160</v>
      </c>
      <c r="F2031" s="8" t="n"/>
      <c r="G2031" s="8" t="n">
        <v>425</v>
      </c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>
        <f>IF(COUNT(D2031:V2031)=0,"",MIN(D2031:V2031))</f>
        <v/>
      </c>
      <c r="X2031" s="8">
        <f>IF(COUNT(D2031:V2031)=0,"",MEDIAN(D2031:V2031))</f>
        <v/>
      </c>
      <c r="Y2031" s="8">
        <f>IF(COUNT(D2031:V2031)=0,"",MAX(D2031:V2031))</f>
        <v/>
      </c>
      <c r="Z2031" s="9">
        <f>IF(OR(W2031="",W2031=0),"",(Y2031-W2031)/W2031)</f>
        <v/>
      </c>
      <c r="AA2031" s="7">
        <f>IF(COUNT(D2031:V2031)=0,"",INDEX($D$1:$V$1,MATCH(MIN(D2031:V2031),D2031:V2031,0)))</f>
        <v/>
      </c>
      <c r="AB2031" s="8" t="n">
        <v>224.26</v>
      </c>
      <c r="AC2031" s="10" t="n">
        <v>2</v>
      </c>
    </row>
    <row r="2032">
      <c r="A2032" s="7" t="inlineStr">
        <is>
          <t>MAT-32-681</t>
        </is>
      </c>
      <c r="B2032" s="4" t="inlineStr">
        <is>
          <t>Yee de PVC drenaje 4" x 2"</t>
        </is>
      </c>
      <c r="C2032" s="7" t="inlineStr">
        <is>
          <t>unidad</t>
        </is>
      </c>
      <c r="D2032" s="8" t="n"/>
      <c r="E2032" s="8" t="n">
        <v>97</v>
      </c>
      <c r="F2032" s="8" t="n"/>
      <c r="G2032" s="8" t="n">
        <v>265</v>
      </c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>
        <f>IF(COUNT(D2032:V2032)=0,"",MIN(D2032:V2032))</f>
        <v/>
      </c>
      <c r="X2032" s="8">
        <f>IF(COUNT(D2032:V2032)=0,"",MEDIAN(D2032:V2032))</f>
        <v/>
      </c>
      <c r="Y2032" s="8">
        <f>IF(COUNT(D2032:V2032)=0,"",MAX(D2032:V2032))</f>
        <v/>
      </c>
      <c r="Z2032" s="9">
        <f>IF(OR(W2032="",W2032=0),"",(Y2032-W2032)/W2032)</f>
        <v/>
      </c>
      <c r="AA2032" s="7">
        <f>IF(COUNT(D2032:V2032)=0,"",INDEX($D$1:$V$1,MATCH(MIN(D2032:V2032),D2032:V2032,0)))</f>
        <v/>
      </c>
      <c r="AB2032" s="8" t="n">
        <v>120.22</v>
      </c>
      <c r="AC2032" s="10" t="n">
        <v>2</v>
      </c>
    </row>
    <row r="2033">
      <c r="A2033" s="7" t="inlineStr">
        <is>
          <t>MAT-32-682</t>
        </is>
      </c>
      <c r="B2033" s="4" t="inlineStr">
        <is>
          <t>Yee de PVC drenaje 4" x 3"</t>
        </is>
      </c>
      <c r="C2033" s="7" t="inlineStr">
        <is>
          <t>unidad</t>
        </is>
      </c>
      <c r="D2033" s="8" t="n"/>
      <c r="E2033" s="8" t="n">
        <v>191.92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>
        <f>IF(COUNT(D2033:V2033)=0,"",MIN(D2033:V2033))</f>
        <v/>
      </c>
      <c r="X2033" s="8">
        <f>IF(COUNT(D2033:V2033)=0,"",MEDIAN(D2033:V2033))</f>
        <v/>
      </c>
      <c r="Y2033" s="8">
        <f>IF(COUNT(D2033:V2033)=0,"",MAX(D2033:V2033))</f>
        <v/>
      </c>
      <c r="Z2033" s="9">
        <f>IF(OR(W2033="",W2033=0),"",(Y2033-W2033)/W2033)</f>
        <v/>
      </c>
      <c r="AA2033" s="7">
        <f>IF(COUNT(D2033:V2033)=0,"",INDEX($D$1:$V$1,MATCH(MIN(D2033:V2033),D2033:V2033,0)))</f>
        <v/>
      </c>
      <c r="AB2033" s="8" t="n">
        <v>191.92</v>
      </c>
      <c r="AC2033" s="10" t="n">
        <v>1</v>
      </c>
    </row>
    <row r="2034">
      <c r="A2034" s="7" t="inlineStr">
        <is>
          <t>MAT-32-683</t>
        </is>
      </c>
      <c r="B2034" s="4" t="inlineStr">
        <is>
          <t>Yee de PVC drenaje 6"</t>
        </is>
      </c>
      <c r="C2034" s="7" t="inlineStr">
        <is>
          <t>unidad</t>
        </is>
      </c>
      <c r="D2034" s="8" t="n"/>
      <c r="E2034" s="8" t="n">
        <v>875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>
        <f>IF(COUNT(D2034:V2034)=0,"",MIN(D2034:V2034))</f>
        <v/>
      </c>
      <c r="X2034" s="8">
        <f>IF(COUNT(D2034:V2034)=0,"",MEDIAN(D2034:V2034))</f>
        <v/>
      </c>
      <c r="Y2034" s="8">
        <f>IF(COUNT(D2034:V2034)=0,"",MAX(D2034:V2034))</f>
        <v/>
      </c>
      <c r="Z2034" s="9">
        <f>IF(OR(W2034="",W2034=0),"",(Y2034-W2034)/W2034)</f>
        <v/>
      </c>
      <c r="AA2034" s="7">
        <f>IF(COUNT(D2034:V2034)=0,"",INDEX($D$1:$V$1,MATCH(MIN(D2034:V2034),D2034:V2034,0)))</f>
        <v/>
      </c>
      <c r="AB2034" s="8" t="n">
        <v>923.5</v>
      </c>
      <c r="AC2034" s="10" t="n">
        <v>1</v>
      </c>
    </row>
    <row r="2035">
      <c r="A2035" s="7" t="inlineStr">
        <is>
          <t>MAT-32-684</t>
        </is>
      </c>
      <c r="B2035" s="4" t="inlineStr">
        <is>
          <t>Yee de PVC drenaje 6" x 4"</t>
        </is>
      </c>
      <c r="C2035" s="7" t="inlineStr">
        <is>
          <t>unidad</t>
        </is>
      </c>
      <c r="D2035" s="8" t="n"/>
      <c r="E2035" s="8" t="n">
        <v>855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>
        <f>IF(COUNT(D2035:V2035)=0,"",MIN(D2035:V2035))</f>
        <v/>
      </c>
      <c r="X2035" s="8">
        <f>IF(COUNT(D2035:V2035)=0,"",MEDIAN(D2035:V2035))</f>
        <v/>
      </c>
      <c r="Y2035" s="8">
        <f>IF(COUNT(D2035:V2035)=0,"",MAX(D2035:V2035))</f>
        <v/>
      </c>
      <c r="Z2035" s="9">
        <f>IF(OR(W2035="",W2035=0),"",(Y2035-W2035)/W2035)</f>
        <v/>
      </c>
      <c r="AA2035" s="7">
        <f>IF(COUNT(D2035:V2035)=0,"",INDEX($D$1:$V$1,MATCH(MIN(D2035:V2035),D2035:V2035,0)))</f>
        <v/>
      </c>
      <c r="AB2035" s="8" t="n">
        <v>855</v>
      </c>
      <c r="AC2035" s="10" t="n">
        <v>1</v>
      </c>
    </row>
    <row r="2036">
      <c r="A2036" s="7" t="inlineStr">
        <is>
          <t>MAT-32-685</t>
        </is>
      </c>
      <c r="B2036" s="4" t="inlineStr">
        <is>
          <t>Yee de PVC drenaje 8" x 4"</t>
        </is>
      </c>
      <c r="C2036" s="7" t="inlineStr">
        <is>
          <t>unidad</t>
        </is>
      </c>
      <c r="D2036" s="8" t="n"/>
      <c r="E2036" s="8" t="n">
        <v>5151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>
        <f>IF(COUNT(D2036:V2036)=0,"",MIN(D2036:V2036))</f>
        <v/>
      </c>
      <c r="X2036" s="8">
        <f>IF(COUNT(D2036:V2036)=0,"",MEDIAN(D2036:V2036))</f>
        <v/>
      </c>
      <c r="Y2036" s="8">
        <f>IF(COUNT(D2036:V2036)=0,"",MAX(D2036:V2036))</f>
        <v/>
      </c>
      <c r="Z2036" s="9">
        <f>IF(OR(W2036="",W2036=0),"",(Y2036-W2036)/W2036)</f>
        <v/>
      </c>
      <c r="AA2036" s="7">
        <f>IF(COUNT(D2036:V2036)=0,"",INDEX($D$1:$V$1,MATCH(MIN(D2036:V2036),D2036:V2036,0)))</f>
        <v/>
      </c>
      <c r="AB2036" s="8" t="n">
        <v>5151</v>
      </c>
      <c r="AC2036" s="10" t="n">
        <v>1</v>
      </c>
    </row>
    <row r="2037">
      <c r="A2037" s="7" t="inlineStr">
        <is>
          <t>MAT-32-686</t>
        </is>
      </c>
      <c r="B2037" s="4" t="inlineStr">
        <is>
          <t>Yee de PVC presión 3" x 2"</t>
        </is>
      </c>
      <c r="C2037" s="7" t="inlineStr">
        <is>
          <t>unidad</t>
        </is>
      </c>
      <c r="D2037" s="8" t="n"/>
      <c r="E2037" s="8" t="n">
        <v>546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>
        <f>IF(COUNT(D2037:V2037)=0,"",MIN(D2037:V2037))</f>
        <v/>
      </c>
      <c r="X2037" s="8">
        <f>IF(COUNT(D2037:V2037)=0,"",MEDIAN(D2037:V2037))</f>
        <v/>
      </c>
      <c r="Y2037" s="8">
        <f>IF(COUNT(D2037:V2037)=0,"",MAX(D2037:V2037))</f>
        <v/>
      </c>
      <c r="Z2037" s="9">
        <f>IF(OR(W2037="",W2037=0),"",(Y2037-W2037)/W2037)</f>
        <v/>
      </c>
      <c r="AA2037" s="7">
        <f>IF(COUNT(D2037:V2037)=0,"",INDEX($D$1:$V$1,MATCH(MIN(D2037:V2037),D2037:V2037,0)))</f>
        <v/>
      </c>
      <c r="AB2037" s="8" t="n">
        <v>546</v>
      </c>
      <c r="AC2037" s="10" t="n">
        <v>1</v>
      </c>
    </row>
    <row r="2038">
      <c r="A2038" s="7" t="inlineStr">
        <is>
          <t>MAT-32-687</t>
        </is>
      </c>
      <c r="B2038" s="4" t="inlineStr">
        <is>
          <t>Yee de PVC presión 4" x 2"</t>
        </is>
      </c>
      <c r="C2038" s="7" t="inlineStr">
        <is>
          <t>unidad</t>
        </is>
      </c>
      <c r="D2038" s="8" t="n"/>
      <c r="E2038" s="8" t="n">
        <v>429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>
        <f>IF(COUNT(D2038:V2038)=0,"",MIN(D2038:V2038))</f>
        <v/>
      </c>
      <c r="X2038" s="8">
        <f>IF(COUNT(D2038:V2038)=0,"",MEDIAN(D2038:V2038))</f>
        <v/>
      </c>
      <c r="Y2038" s="8">
        <f>IF(COUNT(D2038:V2038)=0,"",MAX(D2038:V2038))</f>
        <v/>
      </c>
      <c r="Z2038" s="9">
        <f>IF(OR(W2038="",W2038=0),"",(Y2038-W2038)/W2038)</f>
        <v/>
      </c>
      <c r="AA2038" s="7">
        <f>IF(COUNT(D2038:V2038)=0,"",INDEX($D$1:$V$1,MATCH(MIN(D2038:V2038),D2038:V2038,0)))</f>
        <v/>
      </c>
      <c r="AB2038" s="8" t="n">
        <v>429</v>
      </c>
      <c r="AC2038" s="10" t="n">
        <v>1</v>
      </c>
    </row>
    <row r="2039">
      <c r="A2039" s="7" t="inlineStr">
        <is>
          <t>MAT-32-688</t>
        </is>
      </c>
      <c r="B2039" s="4" t="inlineStr">
        <is>
          <t>Llave de paso angular de latón 1/2"</t>
        </is>
      </c>
      <c r="C2039" s="7" t="inlineStr">
        <is>
          <t>unidad</t>
        </is>
      </c>
      <c r="D2039" s="8" t="n"/>
      <c r="E2039" s="8" t="n"/>
      <c r="F2039" s="8" t="n"/>
      <c r="G2039" s="8" t="n"/>
      <c r="H2039" s="8" t="n"/>
      <c r="I2039" s="8" t="n">
        <v>355</v>
      </c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>
        <f>IF(COUNT(D2039:V2039)=0,"",MIN(D2039:V2039))</f>
        <v/>
      </c>
      <c r="X2039" s="8">
        <f>IF(COUNT(D2039:V2039)=0,"",MEDIAN(D2039:V2039))</f>
        <v/>
      </c>
      <c r="Y2039" s="8">
        <f>IF(COUNT(D2039:V2039)=0,"",MAX(D2039:V2039))</f>
        <v/>
      </c>
      <c r="Z2039" s="9">
        <f>IF(OR(W2039="",W2039=0),"",(Y2039-W2039)/W2039)</f>
        <v/>
      </c>
      <c r="AA2039" s="7">
        <f>IF(COUNT(D2039:V2039)=0,"",INDEX($D$1:$V$1,MATCH(MIN(D2039:V2039),D2039:V2039,0)))</f>
        <v/>
      </c>
      <c r="AB2039" s="8" t="n">
        <v>375</v>
      </c>
      <c r="AC2039" s="10" t="n">
        <v>1</v>
      </c>
    </row>
    <row r="2040">
      <c r="A2040" s="7" t="inlineStr">
        <is>
          <t>MAT-32-689</t>
        </is>
      </c>
      <c r="B2040" s="4" t="inlineStr">
        <is>
          <t>Llave de paso angular de metal 1/2"</t>
        </is>
      </c>
      <c r="C2040" s="7" t="inlineStr">
        <is>
          <t>unidad</t>
        </is>
      </c>
      <c r="D2040" s="8" t="n"/>
      <c r="E2040" s="8" t="n"/>
      <c r="F2040" s="8" t="n"/>
      <c r="G2040" s="8" t="n">
        <v>271</v>
      </c>
      <c r="H2040" s="8" t="n"/>
      <c r="I2040" s="8" t="n">
        <v>140</v>
      </c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>
        <f>IF(COUNT(D2040:V2040)=0,"",MIN(D2040:V2040))</f>
        <v/>
      </c>
      <c r="X2040" s="8">
        <f>IF(COUNT(D2040:V2040)=0,"",MEDIAN(D2040:V2040))</f>
        <v/>
      </c>
      <c r="Y2040" s="8">
        <f>IF(COUNT(D2040:V2040)=0,"",MAX(D2040:V2040))</f>
        <v/>
      </c>
      <c r="Z2040" s="9">
        <f>IF(OR(W2040="",W2040=0),"",(Y2040-W2040)/W2040)</f>
        <v/>
      </c>
      <c r="AA2040" s="7">
        <f>IF(COUNT(D2040:V2040)=0,"",INDEX($D$1:$V$1,MATCH(MIN(D2040:V2040),D2040:V2040,0)))</f>
        <v/>
      </c>
      <c r="AB2040" s="8" t="n">
        <v>271</v>
      </c>
      <c r="AC2040" s="10" t="n">
        <v>2</v>
      </c>
    </row>
    <row r="2041">
      <c r="A2041" s="7" t="inlineStr">
        <is>
          <t>MAT-32-690</t>
        </is>
      </c>
      <c r="B2041" s="4" t="inlineStr">
        <is>
          <t>Llave de paso angular de metal 3/8"</t>
        </is>
      </c>
      <c r="C2041" s="7" t="inlineStr">
        <is>
          <t>unidad</t>
        </is>
      </c>
      <c r="D2041" s="8" t="n"/>
      <c r="E2041" s="8" t="n"/>
      <c r="F2041" s="8" t="n"/>
      <c r="G2041" s="8" t="n">
        <v>257</v>
      </c>
      <c r="H2041" s="8" t="n"/>
      <c r="I2041" s="8" t="n">
        <v>285</v>
      </c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>
        <f>IF(COUNT(D2041:V2041)=0,"",MIN(D2041:V2041))</f>
        <v/>
      </c>
      <c r="X2041" s="8">
        <f>IF(COUNT(D2041:V2041)=0,"",MEDIAN(D2041:V2041))</f>
        <v/>
      </c>
      <c r="Y2041" s="8">
        <f>IF(COUNT(D2041:V2041)=0,"",MAX(D2041:V2041))</f>
        <v/>
      </c>
      <c r="Z2041" s="9">
        <f>IF(OR(W2041="",W2041=0),"",(Y2041-W2041)/W2041)</f>
        <v/>
      </c>
      <c r="AA2041" s="7">
        <f>IF(COUNT(D2041:V2041)=0,"",INDEX($D$1:$V$1,MATCH(MIN(D2041:V2041),D2041:V2041,0)))</f>
        <v/>
      </c>
      <c r="AB2041" s="8" t="n">
        <v>285</v>
      </c>
      <c r="AC2041" s="10" t="n">
        <v>2</v>
      </c>
    </row>
    <row r="2042">
      <c r="A2042" s="7" t="inlineStr">
        <is>
          <t>MAT-32-691</t>
        </is>
      </c>
      <c r="B2042" s="4" t="inlineStr">
        <is>
          <t>Llave de paso bola de PPR 1/2"</t>
        </is>
      </c>
      <c r="C2042" s="7" t="inlineStr">
        <is>
          <t>unidad</t>
        </is>
      </c>
      <c r="D2042" s="8" t="n"/>
      <c r="E2042" s="8" t="n">
        <v>205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>
        <f>IF(COUNT(D2042:V2042)=0,"",MIN(D2042:V2042))</f>
        <v/>
      </c>
      <c r="X2042" s="8">
        <f>IF(COUNT(D2042:V2042)=0,"",MEDIAN(D2042:V2042))</f>
        <v/>
      </c>
      <c r="Y2042" s="8">
        <f>IF(COUNT(D2042:V2042)=0,"",MAX(D2042:V2042))</f>
        <v/>
      </c>
      <c r="Z2042" s="9">
        <f>IF(OR(W2042="",W2042=0),"",(Y2042-W2042)/W2042)</f>
        <v/>
      </c>
      <c r="AA2042" s="7">
        <f>IF(COUNT(D2042:V2042)=0,"",INDEX($D$1:$V$1,MATCH(MIN(D2042:V2042),D2042:V2042,0)))</f>
        <v/>
      </c>
      <c r="AB2042" s="8" t="n">
        <v>205</v>
      </c>
      <c r="AC2042" s="10" t="n">
        <v>1</v>
      </c>
    </row>
    <row r="2043">
      <c r="A2043" s="7" t="inlineStr">
        <is>
          <t>MAT-32-692</t>
        </is>
      </c>
      <c r="B2043" s="4" t="inlineStr">
        <is>
          <t>Llave de paso bola de PPR 1"</t>
        </is>
      </c>
      <c r="C2043" s="7" t="inlineStr">
        <is>
          <t>unidad</t>
        </is>
      </c>
      <c r="D2043" s="8" t="n"/>
      <c r="E2043" s="8" t="n">
        <v>270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>
        <f>IF(COUNT(D2043:V2043)=0,"",MIN(D2043:V2043))</f>
        <v/>
      </c>
      <c r="X2043" s="8">
        <f>IF(COUNT(D2043:V2043)=0,"",MEDIAN(D2043:V2043))</f>
        <v/>
      </c>
      <c r="Y2043" s="8">
        <f>IF(COUNT(D2043:V2043)=0,"",MAX(D2043:V2043))</f>
        <v/>
      </c>
      <c r="Z2043" s="9">
        <f>IF(OR(W2043="",W2043=0),"",(Y2043-W2043)/W2043)</f>
        <v/>
      </c>
      <c r="AA2043" s="7">
        <f>IF(COUNT(D2043:V2043)=0,"",INDEX($D$1:$V$1,MATCH(MIN(D2043:V2043),D2043:V2043,0)))</f>
        <v/>
      </c>
      <c r="AB2043" s="8" t="n">
        <v>270</v>
      </c>
      <c r="AC2043" s="10" t="n">
        <v>1</v>
      </c>
    </row>
    <row r="2044">
      <c r="A2044" s="7" t="inlineStr">
        <is>
          <t>MAT-32-693</t>
        </is>
      </c>
      <c r="B2044" s="4" t="inlineStr">
        <is>
          <t>Llave de paso bola de PPR 3/4"</t>
        </is>
      </c>
      <c r="C2044" s="7" t="inlineStr">
        <is>
          <t>unidad</t>
        </is>
      </c>
      <c r="D2044" s="8" t="n"/>
      <c r="E2044" s="8" t="n">
        <v>255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>
        <f>IF(COUNT(D2044:V2044)=0,"",MIN(D2044:V2044))</f>
        <v/>
      </c>
      <c r="X2044" s="8">
        <f>IF(COUNT(D2044:V2044)=0,"",MEDIAN(D2044:V2044))</f>
        <v/>
      </c>
      <c r="Y2044" s="8">
        <f>IF(COUNT(D2044:V2044)=0,"",MAX(D2044:V2044))</f>
        <v/>
      </c>
      <c r="Z2044" s="9">
        <f>IF(OR(W2044="",W2044=0),"",(Y2044-W2044)/W2044)</f>
        <v/>
      </c>
      <c r="AA2044" s="7">
        <f>IF(COUNT(D2044:V2044)=0,"",INDEX($D$1:$V$1,MATCH(MIN(D2044:V2044),D2044:V2044,0)))</f>
        <v/>
      </c>
      <c r="AB2044" s="8" t="n">
        <v>255</v>
      </c>
      <c r="AC2044" s="10" t="n">
        <v>1</v>
      </c>
    </row>
    <row r="2045">
      <c r="A2045" s="7" t="inlineStr">
        <is>
          <t>MAT-32-694</t>
        </is>
      </c>
      <c r="B2045" s="4" t="inlineStr">
        <is>
          <t>Llave de paso bola de PVC 1"</t>
        </is>
      </c>
      <c r="C2045" s="7" t="inlineStr">
        <is>
          <t>unidad</t>
        </is>
      </c>
      <c r="D2045" s="8" t="n"/>
      <c r="E2045" s="8" t="n">
        <v>388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>
        <f>IF(COUNT(D2045:V2045)=0,"",MIN(D2045:V2045))</f>
        <v/>
      </c>
      <c r="X2045" s="8">
        <f>IF(COUNT(D2045:V2045)=0,"",MEDIAN(D2045:V2045))</f>
        <v/>
      </c>
      <c r="Y2045" s="8">
        <f>IF(COUNT(D2045:V2045)=0,"",MAX(D2045:V2045))</f>
        <v/>
      </c>
      <c r="Z2045" s="9">
        <f>IF(OR(W2045="",W2045=0),"",(Y2045-W2045)/W2045)</f>
        <v/>
      </c>
      <c r="AA2045" s="7">
        <f>IF(COUNT(D2045:V2045)=0,"",INDEX($D$1:$V$1,MATCH(MIN(D2045:V2045),D2045:V2045,0)))</f>
        <v/>
      </c>
      <c r="AB2045" s="8" t="n">
        <v>388</v>
      </c>
      <c r="AC2045" s="10" t="n">
        <v>1</v>
      </c>
    </row>
    <row r="2046">
      <c r="A2046" s="7" t="inlineStr">
        <is>
          <t>MAT-32-695</t>
        </is>
      </c>
      <c r="B2046" s="4" t="inlineStr">
        <is>
          <t>Llave de paso bola de PVC 3/4"</t>
        </is>
      </c>
      <c r="C2046" s="7" t="inlineStr">
        <is>
          <t>unidad</t>
        </is>
      </c>
      <c r="D2046" s="8" t="n"/>
      <c r="E2046" s="8" t="n">
        <v>311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>
        <f>IF(COUNT(D2046:V2046)=0,"",MIN(D2046:V2046))</f>
        <v/>
      </c>
      <c r="X2046" s="8">
        <f>IF(COUNT(D2046:V2046)=0,"",MEDIAN(D2046:V2046))</f>
        <v/>
      </c>
      <c r="Y2046" s="8">
        <f>IF(COUNT(D2046:V2046)=0,"",MAX(D2046:V2046))</f>
        <v/>
      </c>
      <c r="Z2046" s="9">
        <f>IF(OR(W2046="",W2046=0),"",(Y2046-W2046)/W2046)</f>
        <v/>
      </c>
      <c r="AA2046" s="7">
        <f>IF(COUNT(D2046:V2046)=0,"",INDEX($D$1:$V$1,MATCH(MIN(D2046:V2046),D2046:V2046,0)))</f>
        <v/>
      </c>
      <c r="AB2046" s="8" t="n">
        <v>311</v>
      </c>
      <c r="AC2046" s="10" t="n">
        <v>1</v>
      </c>
    </row>
    <row r="2047">
      <c r="A2047" s="7" t="inlineStr">
        <is>
          <t>MAT-32-696</t>
        </is>
      </c>
      <c r="B2047" s="4" t="inlineStr">
        <is>
          <t>Llave de paso compuerta de latón 1 1/2"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1299</v>
      </c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>
        <f>IF(COUNT(D2047:V2047)=0,"",MIN(D2047:V2047))</f>
        <v/>
      </c>
      <c r="X2047" s="8">
        <f>IF(COUNT(D2047:V2047)=0,"",MEDIAN(D2047:V2047))</f>
        <v/>
      </c>
      <c r="Y2047" s="8">
        <f>IF(COUNT(D2047:V2047)=0,"",MAX(D2047:V2047))</f>
        <v/>
      </c>
      <c r="Z2047" s="9">
        <f>IF(OR(W2047="",W2047=0),"",(Y2047-W2047)/W2047)</f>
        <v/>
      </c>
      <c r="AA2047" s="7">
        <f>IF(COUNT(D2047:V2047)=0,"",INDEX($D$1:$V$1,MATCH(MIN(D2047:V2047),D2047:V2047,0)))</f>
        <v/>
      </c>
      <c r="AB2047" s="8" t="n">
        <v>1299</v>
      </c>
      <c r="AC2047" s="10" t="n">
        <v>1</v>
      </c>
    </row>
    <row r="2048">
      <c r="A2048" s="7" t="inlineStr">
        <is>
          <t>MAT-32-697</t>
        </is>
      </c>
      <c r="B2048" s="4" t="inlineStr">
        <is>
          <t>Llave de paso compuerta de latón 1 1/4"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1075</v>
      </c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>
        <f>IF(COUNT(D2048:V2048)=0,"",MIN(D2048:V2048))</f>
        <v/>
      </c>
      <c r="X2048" s="8">
        <f>IF(COUNT(D2048:V2048)=0,"",MEDIAN(D2048:V2048))</f>
        <v/>
      </c>
      <c r="Y2048" s="8">
        <f>IF(COUNT(D2048:V2048)=0,"",MAX(D2048:V2048))</f>
        <v/>
      </c>
      <c r="Z2048" s="9">
        <f>IF(OR(W2048="",W2048=0),"",(Y2048-W2048)/W2048)</f>
        <v/>
      </c>
      <c r="AA2048" s="7">
        <f>IF(COUNT(D2048:V2048)=0,"",INDEX($D$1:$V$1,MATCH(MIN(D2048:V2048),D2048:V2048,0)))</f>
        <v/>
      </c>
      <c r="AB2048" s="8" t="n">
        <v>1075</v>
      </c>
      <c r="AC2048" s="10" t="n">
        <v>1</v>
      </c>
    </row>
    <row r="2049">
      <c r="A2049" s="7" t="inlineStr">
        <is>
          <t>MAT-32-698</t>
        </is>
      </c>
      <c r="B2049" s="4" t="inlineStr">
        <is>
          <t>Llave de paso compuerta de latón 1/2"</t>
        </is>
      </c>
      <c r="C2049" s="7" t="inlineStr">
        <is>
          <t>unidad</t>
        </is>
      </c>
      <c r="D2049" s="8" t="n"/>
      <c r="E2049" s="8" t="n"/>
      <c r="F2049" s="8" t="n"/>
      <c r="G2049" s="8" t="n"/>
      <c r="H2049" s="8" t="n"/>
      <c r="I2049" s="8" t="n">
        <v>355</v>
      </c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>
        <f>IF(COUNT(D2049:V2049)=0,"",MIN(D2049:V2049))</f>
        <v/>
      </c>
      <c r="X2049" s="8">
        <f>IF(COUNT(D2049:V2049)=0,"",MEDIAN(D2049:V2049))</f>
        <v/>
      </c>
      <c r="Y2049" s="8">
        <f>IF(COUNT(D2049:V2049)=0,"",MAX(D2049:V2049))</f>
        <v/>
      </c>
      <c r="Z2049" s="9">
        <f>IF(OR(W2049="",W2049=0),"",(Y2049-W2049)/W2049)</f>
        <v/>
      </c>
      <c r="AA2049" s="7">
        <f>IF(COUNT(D2049:V2049)=0,"",INDEX($D$1:$V$1,MATCH(MIN(D2049:V2049),D2049:V2049,0)))</f>
        <v/>
      </c>
      <c r="AB2049" s="8" t="n">
        <v>355</v>
      </c>
      <c r="AC2049" s="10" t="n">
        <v>1</v>
      </c>
    </row>
    <row r="2050">
      <c r="A2050" s="7" t="inlineStr">
        <is>
          <t>MAT-32-699</t>
        </is>
      </c>
      <c r="B2050" s="4" t="inlineStr">
        <is>
          <t>Llave de paso compuerta de latón 1"</t>
        </is>
      </c>
      <c r="C2050" s="7" t="inlineStr">
        <is>
          <t>unidad</t>
        </is>
      </c>
      <c r="D2050" s="8" t="n"/>
      <c r="E2050" s="8" t="n"/>
      <c r="F2050" s="8" t="n"/>
      <c r="G2050" s="8" t="n"/>
      <c r="H2050" s="8" t="n"/>
      <c r="I2050" s="8" t="n">
        <v>655</v>
      </c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>
        <f>IF(COUNT(D2050:V2050)=0,"",MIN(D2050:V2050))</f>
        <v/>
      </c>
      <c r="X2050" s="8">
        <f>IF(COUNT(D2050:V2050)=0,"",MEDIAN(D2050:V2050))</f>
        <v/>
      </c>
      <c r="Y2050" s="8">
        <f>IF(COUNT(D2050:V2050)=0,"",MAX(D2050:V2050))</f>
        <v/>
      </c>
      <c r="Z2050" s="9">
        <f>IF(OR(W2050="",W2050=0),"",(Y2050-W2050)/W2050)</f>
        <v/>
      </c>
      <c r="AA2050" s="7">
        <f>IF(COUNT(D2050:V2050)=0,"",INDEX($D$1:$V$1,MATCH(MIN(D2050:V2050),D2050:V2050,0)))</f>
        <v/>
      </c>
      <c r="AB2050" s="8" t="n">
        <v>655</v>
      </c>
      <c r="AC2050" s="10" t="n">
        <v>1</v>
      </c>
    </row>
    <row r="2051">
      <c r="A2051" s="7" t="inlineStr">
        <is>
          <t>MAT-32-700</t>
        </is>
      </c>
      <c r="B2051" s="4" t="inlineStr">
        <is>
          <t>Llave de paso compuerta de latón 2"</t>
        </is>
      </c>
      <c r="C2051" s="7" t="inlineStr">
        <is>
          <t>unidad</t>
        </is>
      </c>
      <c r="D2051" s="8" t="n"/>
      <c r="E2051" s="8" t="n"/>
      <c r="F2051" s="8" t="n"/>
      <c r="G2051" s="8" t="n"/>
      <c r="H2051" s="8" t="n"/>
      <c r="I2051" s="8" t="n">
        <v>1855</v>
      </c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>
        <f>IF(COUNT(D2051:V2051)=0,"",MIN(D2051:V2051))</f>
        <v/>
      </c>
      <c r="X2051" s="8">
        <f>IF(COUNT(D2051:V2051)=0,"",MEDIAN(D2051:V2051))</f>
        <v/>
      </c>
      <c r="Y2051" s="8">
        <f>IF(COUNT(D2051:V2051)=0,"",MAX(D2051:V2051))</f>
        <v/>
      </c>
      <c r="Z2051" s="9">
        <f>IF(OR(W2051="",W2051=0),"",(Y2051-W2051)/W2051)</f>
        <v/>
      </c>
      <c r="AA2051" s="7">
        <f>IF(COUNT(D2051:V2051)=0,"",INDEX($D$1:$V$1,MATCH(MIN(D2051:V2051),D2051:V2051,0)))</f>
        <v/>
      </c>
      <c r="AB2051" s="8" t="n">
        <v>1855</v>
      </c>
      <c r="AC2051" s="10" t="n">
        <v>1</v>
      </c>
    </row>
    <row r="2052">
      <c r="A2052" s="7" t="inlineStr">
        <is>
          <t>MAT-32-701</t>
        </is>
      </c>
      <c r="B2052" s="4" t="inlineStr">
        <is>
          <t>Llave de paso compuerta de latón 3/4"</t>
        </is>
      </c>
      <c r="C2052" s="7" t="inlineStr">
        <is>
          <t>unidad</t>
        </is>
      </c>
      <c r="D2052" s="8" t="n"/>
      <c r="E2052" s="8" t="n"/>
      <c r="F2052" s="8" t="n"/>
      <c r="G2052" s="8" t="n"/>
      <c r="H2052" s="8" t="n"/>
      <c r="I2052" s="8" t="n">
        <v>449</v>
      </c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>
        <f>IF(COUNT(D2052:V2052)=0,"",MIN(D2052:V2052))</f>
        <v/>
      </c>
      <c r="X2052" s="8">
        <f>IF(COUNT(D2052:V2052)=0,"",MEDIAN(D2052:V2052))</f>
        <v/>
      </c>
      <c r="Y2052" s="8">
        <f>IF(COUNT(D2052:V2052)=0,"",MAX(D2052:V2052))</f>
        <v/>
      </c>
      <c r="Z2052" s="9">
        <f>IF(OR(W2052="",W2052=0),"",(Y2052-W2052)/W2052)</f>
        <v/>
      </c>
      <c r="AA2052" s="7">
        <f>IF(COUNT(D2052:V2052)=0,"",INDEX($D$1:$V$1,MATCH(MIN(D2052:V2052),D2052:V2052,0)))</f>
        <v/>
      </c>
      <c r="AB2052" s="8" t="n">
        <v>449</v>
      </c>
      <c r="AC2052" s="10" t="n">
        <v>1</v>
      </c>
    </row>
    <row r="2053">
      <c r="A2053" s="7" t="inlineStr">
        <is>
          <t>MAT-32-702</t>
        </is>
      </c>
      <c r="B2053" s="4" t="inlineStr">
        <is>
          <t>Llave de paso de bola de CPVC 1/2"</t>
        </is>
      </c>
      <c r="C2053" s="7" t="inlineStr">
        <is>
          <t>unidad</t>
        </is>
      </c>
      <c r="D2053" s="8" t="n"/>
      <c r="E2053" s="8" t="n"/>
      <c r="F2053" s="8" t="n"/>
      <c r="G2053" s="8" t="n">
        <v>435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>
        <f>IF(COUNT(D2053:V2053)=0,"",MIN(D2053:V2053))</f>
        <v/>
      </c>
      <c r="X2053" s="8">
        <f>IF(COUNT(D2053:V2053)=0,"",MEDIAN(D2053:V2053))</f>
        <v/>
      </c>
      <c r="Y2053" s="8">
        <f>IF(COUNT(D2053:V2053)=0,"",MAX(D2053:V2053))</f>
        <v/>
      </c>
      <c r="Z2053" s="9">
        <f>IF(OR(W2053="",W2053=0),"",(Y2053-W2053)/W2053)</f>
        <v/>
      </c>
      <c r="AA2053" s="7">
        <f>IF(COUNT(D2053:V2053)=0,"",INDEX($D$1:$V$1,MATCH(MIN(D2053:V2053),D2053:V2053,0)))</f>
        <v/>
      </c>
      <c r="AB2053" s="8" t="n">
        <v>435</v>
      </c>
      <c r="AC2053" s="10" t="n">
        <v>1</v>
      </c>
    </row>
    <row r="2054">
      <c r="A2054" s="7" t="inlineStr">
        <is>
          <t>MAT-32-703</t>
        </is>
      </c>
      <c r="B2054" s="4" t="inlineStr">
        <is>
          <t>Llave de paso de bola de metal 1 1/2"</t>
        </is>
      </c>
      <c r="C2054" s="7" t="inlineStr">
        <is>
          <t>unidad</t>
        </is>
      </c>
      <c r="D2054" s="8" t="n"/>
      <c r="E2054" s="8" t="n"/>
      <c r="F2054" s="8" t="n"/>
      <c r="G2054" s="8" t="n">
        <v>1961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>
        <f>IF(COUNT(D2054:V2054)=0,"",MIN(D2054:V2054))</f>
        <v/>
      </c>
      <c r="X2054" s="8">
        <f>IF(COUNT(D2054:V2054)=0,"",MEDIAN(D2054:V2054))</f>
        <v/>
      </c>
      <c r="Y2054" s="8">
        <f>IF(COUNT(D2054:V2054)=0,"",MAX(D2054:V2054))</f>
        <v/>
      </c>
      <c r="Z2054" s="9">
        <f>IF(OR(W2054="",W2054=0),"",(Y2054-W2054)/W2054)</f>
        <v/>
      </c>
      <c r="AA2054" s="7">
        <f>IF(COUNT(D2054:V2054)=0,"",INDEX($D$1:$V$1,MATCH(MIN(D2054:V2054),D2054:V2054,0)))</f>
        <v/>
      </c>
      <c r="AB2054" s="8" t="n">
        <v>1961</v>
      </c>
      <c r="AC2054" s="10" t="n">
        <v>1</v>
      </c>
    </row>
    <row r="2055">
      <c r="A2055" s="7" t="inlineStr">
        <is>
          <t>MAT-32-704</t>
        </is>
      </c>
      <c r="B2055" s="4" t="inlineStr">
        <is>
          <t>Llave de paso de bola de metal 1/2"</t>
        </is>
      </c>
      <c r="C2055" s="7" t="inlineStr">
        <is>
          <t>unidad</t>
        </is>
      </c>
      <c r="D2055" s="8" t="n"/>
      <c r="E2055" s="8" t="n"/>
      <c r="F2055" s="8" t="n"/>
      <c r="G2055" s="8" t="n">
        <v>259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>
        <f>IF(COUNT(D2055:V2055)=0,"",MIN(D2055:V2055))</f>
        <v/>
      </c>
      <c r="X2055" s="8">
        <f>IF(COUNT(D2055:V2055)=0,"",MEDIAN(D2055:V2055))</f>
        <v/>
      </c>
      <c r="Y2055" s="8">
        <f>IF(COUNT(D2055:V2055)=0,"",MAX(D2055:V2055))</f>
        <v/>
      </c>
      <c r="Z2055" s="9">
        <f>IF(OR(W2055="",W2055=0),"",(Y2055-W2055)/W2055)</f>
        <v/>
      </c>
      <c r="AA2055" s="7">
        <f>IF(COUNT(D2055:V2055)=0,"",INDEX($D$1:$V$1,MATCH(MIN(D2055:V2055),D2055:V2055,0)))</f>
        <v/>
      </c>
      <c r="AB2055" s="8" t="n">
        <v>545</v>
      </c>
      <c r="AC2055" s="10" t="n">
        <v>1</v>
      </c>
    </row>
    <row r="2056">
      <c r="A2056" s="7" t="inlineStr">
        <is>
          <t>MAT-32-705</t>
        </is>
      </c>
      <c r="B2056" s="4" t="inlineStr">
        <is>
          <t>Llave de paso de bola de metal 1/4"</t>
        </is>
      </c>
      <c r="C2056" s="7" t="inlineStr">
        <is>
          <t>unidad</t>
        </is>
      </c>
      <c r="D2056" s="8" t="n"/>
      <c r="E2056" s="8" t="n"/>
      <c r="F2056" s="8" t="n"/>
      <c r="G2056" s="8" t="n">
        <v>343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>
        <f>IF(COUNT(D2056:V2056)=0,"",MIN(D2056:V2056))</f>
        <v/>
      </c>
      <c r="X2056" s="8">
        <f>IF(COUNT(D2056:V2056)=0,"",MEDIAN(D2056:V2056))</f>
        <v/>
      </c>
      <c r="Y2056" s="8">
        <f>IF(COUNT(D2056:V2056)=0,"",MAX(D2056:V2056))</f>
        <v/>
      </c>
      <c r="Z2056" s="9">
        <f>IF(OR(W2056="",W2056=0),"",(Y2056-W2056)/W2056)</f>
        <v/>
      </c>
      <c r="AA2056" s="7">
        <f>IF(COUNT(D2056:V2056)=0,"",INDEX($D$1:$V$1,MATCH(MIN(D2056:V2056),D2056:V2056,0)))</f>
        <v/>
      </c>
      <c r="AB2056" s="8" t="n">
        <v>343</v>
      </c>
      <c r="AC2056" s="10" t="n">
        <v>1</v>
      </c>
    </row>
    <row r="2057">
      <c r="A2057" s="7" t="inlineStr">
        <is>
          <t>MAT-32-706</t>
        </is>
      </c>
      <c r="B2057" s="4" t="inlineStr">
        <is>
          <t>Llave de paso de bola de metal 1"</t>
        </is>
      </c>
      <c r="C2057" s="7" t="inlineStr">
        <is>
          <t>unidad</t>
        </is>
      </c>
      <c r="D2057" s="8" t="n"/>
      <c r="E2057" s="8" t="n"/>
      <c r="F2057" s="8" t="n"/>
      <c r="G2057" s="8" t="n">
        <v>831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>
        <f>IF(COUNT(D2057:V2057)=0,"",MIN(D2057:V2057))</f>
        <v/>
      </c>
      <c r="X2057" s="8">
        <f>IF(COUNT(D2057:V2057)=0,"",MEDIAN(D2057:V2057))</f>
        <v/>
      </c>
      <c r="Y2057" s="8">
        <f>IF(COUNT(D2057:V2057)=0,"",MAX(D2057:V2057))</f>
        <v/>
      </c>
      <c r="Z2057" s="9">
        <f>IF(OR(W2057="",W2057=0),"",(Y2057-W2057)/W2057)</f>
        <v/>
      </c>
      <c r="AA2057" s="7">
        <f>IF(COUNT(D2057:V2057)=0,"",INDEX($D$1:$V$1,MATCH(MIN(D2057:V2057),D2057:V2057,0)))</f>
        <v/>
      </c>
      <c r="AB2057" s="8" t="n">
        <v>831</v>
      </c>
      <c r="AC2057" s="10" t="n">
        <v>1</v>
      </c>
    </row>
    <row r="2058">
      <c r="A2058" s="7" t="inlineStr">
        <is>
          <t>MAT-32-707</t>
        </is>
      </c>
      <c r="B2058" s="4" t="inlineStr">
        <is>
          <t>Llave de paso de bola de metal 2"</t>
        </is>
      </c>
      <c r="C2058" s="7" t="inlineStr">
        <is>
          <t>unidad</t>
        </is>
      </c>
      <c r="D2058" s="8" t="n"/>
      <c r="E2058" s="8" t="n"/>
      <c r="F2058" s="8" t="n"/>
      <c r="G2058" s="8" t="n">
        <v>3227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>
        <f>IF(COUNT(D2058:V2058)=0,"",MIN(D2058:V2058))</f>
        <v/>
      </c>
      <c r="X2058" s="8">
        <f>IF(COUNT(D2058:V2058)=0,"",MEDIAN(D2058:V2058))</f>
        <v/>
      </c>
      <c r="Y2058" s="8">
        <f>IF(COUNT(D2058:V2058)=0,"",MAX(D2058:V2058))</f>
        <v/>
      </c>
      <c r="Z2058" s="9">
        <f>IF(OR(W2058="",W2058=0),"",(Y2058-W2058)/W2058)</f>
        <v/>
      </c>
      <c r="AA2058" s="7">
        <f>IF(COUNT(D2058:V2058)=0,"",INDEX($D$1:$V$1,MATCH(MIN(D2058:V2058),D2058:V2058,0)))</f>
        <v/>
      </c>
      <c r="AB2058" s="8" t="n">
        <v>3227</v>
      </c>
      <c r="AC2058" s="10" t="n">
        <v>1</v>
      </c>
    </row>
    <row r="2059">
      <c r="A2059" s="7" t="inlineStr">
        <is>
          <t>MAT-32-708</t>
        </is>
      </c>
      <c r="B2059" s="4" t="inlineStr">
        <is>
          <t>Llave de paso de bola de metal 3/4"</t>
        </is>
      </c>
      <c r="C2059" s="7" t="inlineStr">
        <is>
          <t>unidad</t>
        </is>
      </c>
      <c r="D2059" s="8" t="n"/>
      <c r="E2059" s="8" t="n"/>
      <c r="F2059" s="8" t="n"/>
      <c r="G2059" s="8" t="n">
        <v>555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>
        <f>IF(COUNT(D2059:V2059)=0,"",MIN(D2059:V2059))</f>
        <v/>
      </c>
      <c r="X2059" s="8">
        <f>IF(COUNT(D2059:V2059)=0,"",MEDIAN(D2059:V2059))</f>
        <v/>
      </c>
      <c r="Y2059" s="8">
        <f>IF(COUNT(D2059:V2059)=0,"",MAX(D2059:V2059))</f>
        <v/>
      </c>
      <c r="Z2059" s="9">
        <f>IF(OR(W2059="",W2059=0),"",(Y2059-W2059)/W2059)</f>
        <v/>
      </c>
      <c r="AA2059" s="7">
        <f>IF(COUNT(D2059:V2059)=0,"",INDEX($D$1:$V$1,MATCH(MIN(D2059:V2059),D2059:V2059,0)))</f>
        <v/>
      </c>
      <c r="AB2059" s="8" t="n">
        <v>592.5</v>
      </c>
      <c r="AC2059" s="10" t="n">
        <v>1</v>
      </c>
    </row>
    <row r="2060">
      <c r="A2060" s="7" t="inlineStr">
        <is>
          <t>MAT-32-709</t>
        </is>
      </c>
      <c r="B2060" s="4" t="inlineStr">
        <is>
          <t>Llave de paso de bola de metal 3/8"</t>
        </is>
      </c>
      <c r="C2060" s="7" t="inlineStr">
        <is>
          <t>unidad</t>
        </is>
      </c>
      <c r="D2060" s="8" t="n"/>
      <c r="E2060" s="8" t="n"/>
      <c r="F2060" s="8" t="n"/>
      <c r="G2060" s="8" t="n">
        <v>327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>
        <f>IF(COUNT(D2060:V2060)=0,"",MIN(D2060:V2060))</f>
        <v/>
      </c>
      <c r="X2060" s="8">
        <f>IF(COUNT(D2060:V2060)=0,"",MEDIAN(D2060:V2060))</f>
        <v/>
      </c>
      <c r="Y2060" s="8">
        <f>IF(COUNT(D2060:V2060)=0,"",MAX(D2060:V2060))</f>
        <v/>
      </c>
      <c r="Z2060" s="9">
        <f>IF(OR(W2060="",W2060=0),"",(Y2060-W2060)/W2060)</f>
        <v/>
      </c>
      <c r="AA2060" s="7">
        <f>IF(COUNT(D2060:V2060)=0,"",INDEX($D$1:$V$1,MATCH(MIN(D2060:V2060),D2060:V2060,0)))</f>
        <v/>
      </c>
      <c r="AB2060" s="8" t="n">
        <v>336</v>
      </c>
      <c r="AC2060" s="10" t="n">
        <v>1</v>
      </c>
    </row>
    <row r="2061">
      <c r="A2061" s="7" t="inlineStr">
        <is>
          <t>MAT-32-710</t>
        </is>
      </c>
      <c r="B2061" s="4" t="inlineStr">
        <is>
          <t>Llave de paso de bola de PVC 1 1/2"</t>
        </is>
      </c>
      <c r="C2061" s="7" t="inlineStr">
        <is>
          <t>unidad</t>
        </is>
      </c>
      <c r="D2061" s="8" t="n"/>
      <c r="E2061" s="8" t="n"/>
      <c r="F2061" s="8" t="n"/>
      <c r="G2061" s="8" t="n">
        <v>465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>
        <f>IF(COUNT(D2061:V2061)=0,"",MIN(D2061:V2061))</f>
        <v/>
      </c>
      <c r="X2061" s="8">
        <f>IF(COUNT(D2061:V2061)=0,"",MEDIAN(D2061:V2061))</f>
        <v/>
      </c>
      <c r="Y2061" s="8">
        <f>IF(COUNT(D2061:V2061)=0,"",MAX(D2061:V2061))</f>
        <v/>
      </c>
      <c r="Z2061" s="9">
        <f>IF(OR(W2061="",W2061=0),"",(Y2061-W2061)/W2061)</f>
        <v/>
      </c>
      <c r="AA2061" s="7">
        <f>IF(COUNT(D2061:V2061)=0,"",INDEX($D$1:$V$1,MATCH(MIN(D2061:V2061),D2061:V2061,0)))</f>
        <v/>
      </c>
      <c r="AB2061" s="8" t="n">
        <v>465</v>
      </c>
      <c r="AC2061" s="10" t="n">
        <v>1</v>
      </c>
    </row>
    <row r="2062">
      <c r="A2062" s="7" t="inlineStr">
        <is>
          <t>MAT-32-711</t>
        </is>
      </c>
      <c r="B2062" s="4" t="inlineStr">
        <is>
          <t>Llave de paso de bola de PVC 1/2"</t>
        </is>
      </c>
      <c r="C2062" s="7" t="inlineStr">
        <is>
          <t>unidad</t>
        </is>
      </c>
      <c r="D2062" s="8" t="n"/>
      <c r="E2062" s="8" t="n"/>
      <c r="F2062" s="8" t="n"/>
      <c r="G2062" s="8" t="n">
        <v>41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>
        <f>IF(COUNT(D2062:V2062)=0,"",MIN(D2062:V2062))</f>
        <v/>
      </c>
      <c r="X2062" s="8">
        <f>IF(COUNT(D2062:V2062)=0,"",MEDIAN(D2062:V2062))</f>
        <v/>
      </c>
      <c r="Y2062" s="8">
        <f>IF(COUNT(D2062:V2062)=0,"",MAX(D2062:V2062))</f>
        <v/>
      </c>
      <c r="Z2062" s="9">
        <f>IF(OR(W2062="",W2062=0),"",(Y2062-W2062)/W2062)</f>
        <v/>
      </c>
      <c r="AA2062" s="7">
        <f>IF(COUNT(D2062:V2062)=0,"",INDEX($D$1:$V$1,MATCH(MIN(D2062:V2062),D2062:V2062,0)))</f>
        <v/>
      </c>
      <c r="AB2062" s="8" t="n">
        <v>83</v>
      </c>
      <c r="AC2062" s="10" t="n">
        <v>1</v>
      </c>
    </row>
    <row r="2063">
      <c r="A2063" s="7" t="inlineStr">
        <is>
          <t>MAT-32-712</t>
        </is>
      </c>
      <c r="B2063" s="4" t="inlineStr">
        <is>
          <t>Llave de paso de bola de PVC 1"</t>
        </is>
      </c>
      <c r="C2063" s="7" t="inlineStr">
        <is>
          <t>unidad</t>
        </is>
      </c>
      <c r="D2063" s="8" t="n"/>
      <c r="E2063" s="8" t="n"/>
      <c r="F2063" s="8" t="n"/>
      <c r="G2063" s="8" t="n">
        <v>170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>
        <f>IF(COUNT(D2063:V2063)=0,"",MIN(D2063:V2063))</f>
        <v/>
      </c>
      <c r="X2063" s="8">
        <f>IF(COUNT(D2063:V2063)=0,"",MEDIAN(D2063:V2063))</f>
        <v/>
      </c>
      <c r="Y2063" s="8">
        <f>IF(COUNT(D2063:V2063)=0,"",MAX(D2063:V2063))</f>
        <v/>
      </c>
      <c r="Z2063" s="9">
        <f>IF(OR(W2063="",W2063=0),"",(Y2063-W2063)/W2063)</f>
        <v/>
      </c>
      <c r="AA2063" s="7">
        <f>IF(COUNT(D2063:V2063)=0,"",INDEX($D$1:$V$1,MATCH(MIN(D2063:V2063),D2063:V2063,0)))</f>
        <v/>
      </c>
      <c r="AB2063" s="8" t="n">
        <v>170</v>
      </c>
      <c r="AC2063" s="10" t="n">
        <v>1</v>
      </c>
    </row>
    <row r="2064">
      <c r="A2064" s="7" t="inlineStr">
        <is>
          <t>MAT-32-713</t>
        </is>
      </c>
      <c r="B2064" s="4" t="inlineStr">
        <is>
          <t>Llave de paso de bola de PVC 2"</t>
        </is>
      </c>
      <c r="C2064" s="7" t="inlineStr">
        <is>
          <t>unidad</t>
        </is>
      </c>
      <c r="D2064" s="8" t="n"/>
      <c r="E2064" s="8" t="n"/>
      <c r="F2064" s="8" t="n"/>
      <c r="G2064" s="8" t="n">
        <v>616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>
        <f>IF(COUNT(D2064:V2064)=0,"",MIN(D2064:V2064))</f>
        <v/>
      </c>
      <c r="X2064" s="8">
        <f>IF(COUNT(D2064:V2064)=0,"",MEDIAN(D2064:V2064))</f>
        <v/>
      </c>
      <c r="Y2064" s="8">
        <f>IF(COUNT(D2064:V2064)=0,"",MAX(D2064:V2064))</f>
        <v/>
      </c>
      <c r="Z2064" s="9">
        <f>IF(OR(W2064="",W2064=0),"",(Y2064-W2064)/W2064)</f>
        <v/>
      </c>
      <c r="AA2064" s="7">
        <f>IF(COUNT(D2064:V2064)=0,"",INDEX($D$1:$V$1,MATCH(MIN(D2064:V2064),D2064:V2064,0)))</f>
        <v/>
      </c>
      <c r="AB2064" s="8" t="n">
        <v>616</v>
      </c>
      <c r="AC2064" s="10" t="n">
        <v>1</v>
      </c>
    </row>
    <row r="2065">
      <c r="A2065" s="7" t="inlineStr">
        <is>
          <t>MAT-32-714</t>
        </is>
      </c>
      <c r="B2065" s="4" t="inlineStr">
        <is>
          <t>Llave de paso de bola de PVC 3/4"</t>
        </is>
      </c>
      <c r="C2065" s="7" t="inlineStr">
        <is>
          <t>unidad</t>
        </is>
      </c>
      <c r="D2065" s="8" t="n"/>
      <c r="E2065" s="8" t="n"/>
      <c r="F2065" s="8" t="n"/>
      <c r="G2065" s="8" t="n">
        <v>107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>
        <f>IF(COUNT(D2065:V2065)=0,"",MIN(D2065:V2065))</f>
        <v/>
      </c>
      <c r="X2065" s="8">
        <f>IF(COUNT(D2065:V2065)=0,"",MEDIAN(D2065:V2065))</f>
        <v/>
      </c>
      <c r="Y2065" s="8">
        <f>IF(COUNT(D2065:V2065)=0,"",MAX(D2065:V2065))</f>
        <v/>
      </c>
      <c r="Z2065" s="9">
        <f>IF(OR(W2065="",W2065=0),"",(Y2065-W2065)/W2065)</f>
        <v/>
      </c>
      <c r="AA2065" s="7">
        <f>IF(COUNT(D2065:V2065)=0,"",INDEX($D$1:$V$1,MATCH(MIN(D2065:V2065),D2065:V2065,0)))</f>
        <v/>
      </c>
      <c r="AB2065" s="8" t="n">
        <v>116</v>
      </c>
      <c r="AC2065" s="10" t="n">
        <v>1</v>
      </c>
    </row>
    <row r="2066">
      <c r="A2066" s="7" t="inlineStr">
        <is>
          <t>MAT-32-715</t>
        </is>
      </c>
      <c r="B2066" s="4" t="inlineStr">
        <is>
          <t>Llave de paso de compuerta de metal 1 1/2"</t>
        </is>
      </c>
      <c r="C2066" s="7" t="inlineStr">
        <is>
          <t>unidad</t>
        </is>
      </c>
      <c r="D2066" s="8" t="n"/>
      <c r="E2066" s="8" t="n"/>
      <c r="F2066" s="8" t="n"/>
      <c r="G2066" s="8" t="n">
        <v>2262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>
        <f>IF(COUNT(D2066:V2066)=0,"",MIN(D2066:V2066))</f>
        <v/>
      </c>
      <c r="X2066" s="8">
        <f>IF(COUNT(D2066:V2066)=0,"",MEDIAN(D2066:V2066))</f>
        <v/>
      </c>
      <c r="Y2066" s="8">
        <f>IF(COUNT(D2066:V2066)=0,"",MAX(D2066:V2066))</f>
        <v/>
      </c>
      <c r="Z2066" s="9">
        <f>IF(OR(W2066="",W2066=0),"",(Y2066-W2066)/W2066)</f>
        <v/>
      </c>
      <c r="AA2066" s="7">
        <f>IF(COUNT(D2066:V2066)=0,"",INDEX($D$1:$V$1,MATCH(MIN(D2066:V2066),D2066:V2066,0)))</f>
        <v/>
      </c>
      <c r="AB2066" s="8" t="n">
        <v>2262</v>
      </c>
      <c r="AC2066" s="10" t="n">
        <v>1</v>
      </c>
    </row>
    <row r="2067">
      <c r="A2067" s="7" t="inlineStr">
        <is>
          <t>MAT-32-716</t>
        </is>
      </c>
      <c r="B2067" s="4" t="inlineStr">
        <is>
          <t>Llave de paso de compuerta de metal 1/2"</t>
        </is>
      </c>
      <c r="C2067" s="7" t="inlineStr">
        <is>
          <t>unidad</t>
        </is>
      </c>
      <c r="D2067" s="8" t="n"/>
      <c r="E2067" s="8" t="n"/>
      <c r="F2067" s="8" t="n"/>
      <c r="G2067" s="8" t="n">
        <v>858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>
        <f>IF(COUNT(D2067:V2067)=0,"",MIN(D2067:V2067))</f>
        <v/>
      </c>
      <c r="X2067" s="8">
        <f>IF(COUNT(D2067:V2067)=0,"",MEDIAN(D2067:V2067))</f>
        <v/>
      </c>
      <c r="Y2067" s="8">
        <f>IF(COUNT(D2067:V2067)=0,"",MAX(D2067:V2067))</f>
        <v/>
      </c>
      <c r="Z2067" s="9">
        <f>IF(OR(W2067="",W2067=0),"",(Y2067-W2067)/W2067)</f>
        <v/>
      </c>
      <c r="AA2067" s="7">
        <f>IF(COUNT(D2067:V2067)=0,"",INDEX($D$1:$V$1,MATCH(MIN(D2067:V2067),D2067:V2067,0)))</f>
        <v/>
      </c>
      <c r="AB2067" s="8" t="n">
        <v>858</v>
      </c>
      <c r="AC2067" s="10" t="n">
        <v>1</v>
      </c>
    </row>
    <row r="2068">
      <c r="A2068" s="7" t="inlineStr">
        <is>
          <t>MAT-32-717</t>
        </is>
      </c>
      <c r="B2068" s="4" t="inlineStr">
        <is>
          <t>Llave de paso de compuerta de metal 1"</t>
        </is>
      </c>
      <c r="C2068" s="7" t="inlineStr">
        <is>
          <t>unidad</t>
        </is>
      </c>
      <c r="D2068" s="8" t="n"/>
      <c r="E2068" s="8" t="n"/>
      <c r="F2068" s="8" t="n"/>
      <c r="G2068" s="8" t="n">
        <v>1595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>
        <f>IF(COUNT(D2068:V2068)=0,"",MIN(D2068:V2068))</f>
        <v/>
      </c>
      <c r="X2068" s="8">
        <f>IF(COUNT(D2068:V2068)=0,"",MEDIAN(D2068:V2068))</f>
        <v/>
      </c>
      <c r="Y2068" s="8">
        <f>IF(COUNT(D2068:V2068)=0,"",MAX(D2068:V2068))</f>
        <v/>
      </c>
      <c r="Z2068" s="9">
        <f>IF(OR(W2068="",W2068=0),"",(Y2068-W2068)/W2068)</f>
        <v/>
      </c>
      <c r="AA2068" s="7">
        <f>IF(COUNT(D2068:V2068)=0,"",INDEX($D$1:$V$1,MATCH(MIN(D2068:V2068),D2068:V2068,0)))</f>
        <v/>
      </c>
      <c r="AB2068" s="8" t="n">
        <v>1595</v>
      </c>
      <c r="AC2068" s="10" t="n">
        <v>1</v>
      </c>
    </row>
    <row r="2069">
      <c r="A2069" s="7" t="inlineStr">
        <is>
          <t>MAT-32-718</t>
        </is>
      </c>
      <c r="B2069" s="4" t="inlineStr">
        <is>
          <t>Llave de paso de compuerta de metal 3/4"</t>
        </is>
      </c>
      <c r="C2069" s="7" t="inlineStr">
        <is>
          <t>unidad</t>
        </is>
      </c>
      <c r="D2069" s="8" t="n"/>
      <c r="E2069" s="8" t="n"/>
      <c r="F2069" s="8" t="n"/>
      <c r="G2069" s="8" t="n">
        <v>1248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>
        <f>IF(COUNT(D2069:V2069)=0,"",MIN(D2069:V2069))</f>
        <v/>
      </c>
      <c r="X2069" s="8">
        <f>IF(COUNT(D2069:V2069)=0,"",MEDIAN(D2069:V2069))</f>
        <v/>
      </c>
      <c r="Y2069" s="8">
        <f>IF(COUNT(D2069:V2069)=0,"",MAX(D2069:V2069))</f>
        <v/>
      </c>
      <c r="Z2069" s="9">
        <f>IF(OR(W2069="",W2069=0),"",(Y2069-W2069)/W2069)</f>
        <v/>
      </c>
      <c r="AA2069" s="7">
        <f>IF(COUNT(D2069:V2069)=0,"",INDEX($D$1:$V$1,MATCH(MIN(D2069:V2069),D2069:V2069,0)))</f>
        <v/>
      </c>
      <c r="AB2069" s="8" t="n">
        <v>1248</v>
      </c>
      <c r="AC2069" s="10" t="n">
        <v>1</v>
      </c>
    </row>
    <row r="2070">
      <c r="A2070" s="7" t="inlineStr">
        <is>
          <t>MAT-32-719</t>
        </is>
      </c>
      <c r="B2070" s="4" t="inlineStr">
        <is>
          <t>Llave de paso de rosca macho de metal 1/2"</t>
        </is>
      </c>
      <c r="C2070" s="7" t="inlineStr">
        <is>
          <t>unidad</t>
        </is>
      </c>
      <c r="D2070" s="8" t="n"/>
      <c r="E2070" s="8" t="n"/>
      <c r="F2070" s="8" t="n"/>
      <c r="G2070" s="8" t="n">
        <v>338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>
        <f>IF(COUNT(D2070:V2070)=0,"",MIN(D2070:V2070))</f>
        <v/>
      </c>
      <c r="X2070" s="8">
        <f>IF(COUNT(D2070:V2070)=0,"",MEDIAN(D2070:V2070))</f>
        <v/>
      </c>
      <c r="Y2070" s="8">
        <f>IF(COUNT(D2070:V2070)=0,"",MAX(D2070:V2070))</f>
        <v/>
      </c>
      <c r="Z2070" s="9">
        <f>IF(OR(W2070="",W2070=0),"",(Y2070-W2070)/W2070)</f>
        <v/>
      </c>
      <c r="AA2070" s="7">
        <f>IF(COUNT(D2070:V2070)=0,"",INDEX($D$1:$V$1,MATCH(MIN(D2070:V2070),D2070:V2070,0)))</f>
        <v/>
      </c>
      <c r="AB2070" s="8" t="n">
        <v>875</v>
      </c>
      <c r="AC2070" s="10" t="n">
        <v>1</v>
      </c>
    </row>
    <row r="2071">
      <c r="A2071" s="7" t="inlineStr">
        <is>
          <t>MAT-32-720</t>
        </is>
      </c>
      <c r="B2071" s="4" t="inlineStr">
        <is>
          <t>Llave de paso de rosca macho de metal 3/4"</t>
        </is>
      </c>
      <c r="C2071" s="7" t="inlineStr">
        <is>
          <t>unidad</t>
        </is>
      </c>
      <c r="D2071" s="8" t="n"/>
      <c r="E2071" s="8" t="n"/>
      <c r="F2071" s="8" t="n"/>
      <c r="G2071" s="8" t="n">
        <v>487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>
        <f>IF(COUNT(D2071:V2071)=0,"",MIN(D2071:V2071))</f>
        <v/>
      </c>
      <c r="X2071" s="8">
        <f>IF(COUNT(D2071:V2071)=0,"",MEDIAN(D2071:V2071))</f>
        <v/>
      </c>
      <c r="Y2071" s="8">
        <f>IF(COUNT(D2071:V2071)=0,"",MAX(D2071:V2071))</f>
        <v/>
      </c>
      <c r="Z2071" s="9">
        <f>IF(OR(W2071="",W2071=0),"",(Y2071-W2071)/W2071)</f>
        <v/>
      </c>
      <c r="AA2071" s="7">
        <f>IF(COUNT(D2071:V2071)=0,"",INDEX($D$1:$V$1,MATCH(MIN(D2071:V2071),D2071:V2071,0)))</f>
        <v/>
      </c>
      <c r="AB2071" s="8" t="n">
        <v>816</v>
      </c>
      <c r="AC2071" s="10" t="n">
        <v>1</v>
      </c>
    </row>
    <row r="2072">
      <c r="A2072" s="7" t="inlineStr">
        <is>
          <t>MAT-32-721</t>
        </is>
      </c>
      <c r="B2072" s="4" t="inlineStr">
        <is>
          <t>Válvula de retención (cheque) 1 1/2"</t>
        </is>
      </c>
      <c r="C2072" s="7" t="inlineStr">
        <is>
          <t>unidad</t>
        </is>
      </c>
      <c r="D2072" s="8" t="n"/>
      <c r="E2072" s="8" t="n">
        <v>995</v>
      </c>
      <c r="F2072" s="8" t="n"/>
      <c r="G2072" s="8" t="n">
        <v>1757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>
        <f>IF(COUNT(D2072:V2072)=0,"",MIN(D2072:V2072))</f>
        <v/>
      </c>
      <c r="X2072" s="8">
        <f>IF(COUNT(D2072:V2072)=0,"",MEDIAN(D2072:V2072))</f>
        <v/>
      </c>
      <c r="Y2072" s="8">
        <f>IF(COUNT(D2072:V2072)=0,"",MAX(D2072:V2072))</f>
        <v/>
      </c>
      <c r="Z2072" s="9">
        <f>IF(OR(W2072="",W2072=0),"",(Y2072-W2072)/W2072)</f>
        <v/>
      </c>
      <c r="AA2072" s="7">
        <f>IF(COUNT(D2072:V2072)=0,"",INDEX($D$1:$V$1,MATCH(MIN(D2072:V2072),D2072:V2072,0)))</f>
        <v/>
      </c>
      <c r="AB2072" s="8" t="n">
        <v>1858</v>
      </c>
      <c r="AC2072" s="10" t="n">
        <v>2</v>
      </c>
    </row>
    <row r="2073">
      <c r="A2073" s="7" t="inlineStr">
        <is>
          <t>MAT-32-722</t>
        </is>
      </c>
      <c r="B2073" s="4" t="inlineStr">
        <is>
          <t>Válvula de retención (cheque) 1 1/4"</t>
        </is>
      </c>
      <c r="C2073" s="7" t="inlineStr">
        <is>
          <t>unidad</t>
        </is>
      </c>
      <c r="D2073" s="8" t="n"/>
      <c r="E2073" s="8" t="n">
        <v>1394</v>
      </c>
      <c r="F2073" s="8" t="n"/>
      <c r="G2073" s="8" t="n"/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>
        <f>IF(COUNT(D2073:V2073)=0,"",MIN(D2073:V2073))</f>
        <v/>
      </c>
      <c r="X2073" s="8">
        <f>IF(COUNT(D2073:V2073)=0,"",MEDIAN(D2073:V2073))</f>
        <v/>
      </c>
      <c r="Y2073" s="8">
        <f>IF(COUNT(D2073:V2073)=0,"",MAX(D2073:V2073))</f>
        <v/>
      </c>
      <c r="Z2073" s="9">
        <f>IF(OR(W2073="",W2073=0),"",(Y2073-W2073)/W2073)</f>
        <v/>
      </c>
      <c r="AA2073" s="7">
        <f>IF(COUNT(D2073:V2073)=0,"",INDEX($D$1:$V$1,MATCH(MIN(D2073:V2073),D2073:V2073,0)))</f>
        <v/>
      </c>
      <c r="AB2073" s="8" t="n">
        <v>1444.5</v>
      </c>
      <c r="AC2073" s="10" t="n">
        <v>1</v>
      </c>
    </row>
    <row r="2074">
      <c r="A2074" s="7" t="inlineStr">
        <is>
          <t>MAT-32-723</t>
        </is>
      </c>
      <c r="B2074" s="4" t="inlineStr">
        <is>
          <t>Válvula de retención (cheque) 1/2"</t>
        </is>
      </c>
      <c r="C2074" s="7" t="inlineStr">
        <is>
          <t>unidad</t>
        </is>
      </c>
      <c r="D2074" s="8" t="n"/>
      <c r="E2074" s="8" t="n">
        <v>502</v>
      </c>
      <c r="F2074" s="8" t="n"/>
      <c r="G2074" s="8" t="n">
        <v>535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>
        <f>IF(COUNT(D2074:V2074)=0,"",MIN(D2074:V2074))</f>
        <v/>
      </c>
      <c r="X2074" s="8">
        <f>IF(COUNT(D2074:V2074)=0,"",MEDIAN(D2074:V2074))</f>
        <v/>
      </c>
      <c r="Y2074" s="8">
        <f>IF(COUNT(D2074:V2074)=0,"",MAX(D2074:V2074))</f>
        <v/>
      </c>
      <c r="Z2074" s="9">
        <f>IF(OR(W2074="",W2074=0),"",(Y2074-W2074)/W2074)</f>
        <v/>
      </c>
      <c r="AA2074" s="7">
        <f>IF(COUNT(D2074:V2074)=0,"",INDEX($D$1:$V$1,MATCH(MIN(D2074:V2074),D2074:V2074,0)))</f>
        <v/>
      </c>
      <c r="AB2074" s="8" t="n">
        <v>535</v>
      </c>
      <c r="AC2074" s="10" t="n">
        <v>2</v>
      </c>
    </row>
    <row r="2075">
      <c r="A2075" s="7" t="inlineStr">
        <is>
          <t>MAT-32-724</t>
        </is>
      </c>
      <c r="B2075" s="4" t="inlineStr">
        <is>
          <t>Válvula de retención (cheque) 1"</t>
        </is>
      </c>
      <c r="C2075" s="7" t="inlineStr">
        <is>
          <t>unidad</t>
        </is>
      </c>
      <c r="D2075" s="8" t="n"/>
      <c r="E2075" s="8" t="n">
        <v>399</v>
      </c>
      <c r="F2075" s="8" t="n"/>
      <c r="G2075" s="8" t="n">
        <v>1048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>
        <f>IF(COUNT(D2075:V2075)=0,"",MIN(D2075:V2075))</f>
        <v/>
      </c>
      <c r="X2075" s="8">
        <f>IF(COUNT(D2075:V2075)=0,"",MEDIAN(D2075:V2075))</f>
        <v/>
      </c>
      <c r="Y2075" s="8">
        <f>IF(COUNT(D2075:V2075)=0,"",MAX(D2075:V2075))</f>
        <v/>
      </c>
      <c r="Z2075" s="9">
        <f>IF(OR(W2075="",W2075=0),"",(Y2075-W2075)/W2075)</f>
        <v/>
      </c>
      <c r="AA2075" s="7">
        <f>IF(COUNT(D2075:V2075)=0,"",INDEX($D$1:$V$1,MATCH(MIN(D2075:V2075),D2075:V2075,0)))</f>
        <v/>
      </c>
      <c r="AB2075" s="8" t="n">
        <v>955</v>
      </c>
      <c r="AC2075" s="10" t="n">
        <v>2</v>
      </c>
    </row>
    <row r="2076">
      <c r="A2076" s="7" t="inlineStr">
        <is>
          <t>MAT-32-725</t>
        </is>
      </c>
      <c r="B2076" s="4" t="inlineStr">
        <is>
          <t>Válvula de retención (cheque) 2"</t>
        </is>
      </c>
      <c r="C2076" s="7" t="inlineStr">
        <is>
          <t>unidad</t>
        </is>
      </c>
      <c r="D2076" s="8" t="n"/>
      <c r="E2076" s="8" t="n">
        <v>435</v>
      </c>
      <c r="F2076" s="8" t="n"/>
      <c r="G2076" s="8" t="n">
        <v>2946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>
        <f>IF(COUNT(D2076:V2076)=0,"",MIN(D2076:V2076))</f>
        <v/>
      </c>
      <c r="X2076" s="8">
        <f>IF(COUNT(D2076:V2076)=0,"",MEDIAN(D2076:V2076))</f>
        <v/>
      </c>
      <c r="Y2076" s="8">
        <f>IF(COUNT(D2076:V2076)=0,"",MAX(D2076:V2076))</f>
        <v/>
      </c>
      <c r="Z2076" s="9">
        <f>IF(OR(W2076="",W2076=0),"",(Y2076-W2076)/W2076)</f>
        <v/>
      </c>
      <c r="AA2076" s="7">
        <f>IF(COUNT(D2076:V2076)=0,"",INDEX($D$1:$V$1,MATCH(MIN(D2076:V2076),D2076:V2076,0)))</f>
        <v/>
      </c>
      <c r="AB2076" s="8" t="n">
        <v>2864</v>
      </c>
      <c r="AC2076" s="10" t="n">
        <v>2</v>
      </c>
    </row>
    <row r="2077">
      <c r="A2077" s="7" t="inlineStr">
        <is>
          <t>MAT-32-726</t>
        </is>
      </c>
      <c r="B2077" s="4" t="inlineStr">
        <is>
          <t>Válvula de retención (cheque) 3/4"</t>
        </is>
      </c>
      <c r="C2077" s="7" t="inlineStr">
        <is>
          <t>unidad</t>
        </is>
      </c>
      <c r="D2077" s="8" t="n"/>
      <c r="E2077" s="8" t="n">
        <v>586</v>
      </c>
      <c r="F2077" s="8" t="n"/>
      <c r="G2077" s="8" t="n">
        <v>695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>
        <f>IF(COUNT(D2077:V2077)=0,"",MIN(D2077:V2077))</f>
        <v/>
      </c>
      <c r="X2077" s="8">
        <f>IF(COUNT(D2077:V2077)=0,"",MEDIAN(D2077:V2077))</f>
        <v/>
      </c>
      <c r="Y2077" s="8">
        <f>IF(COUNT(D2077:V2077)=0,"",MAX(D2077:V2077))</f>
        <v/>
      </c>
      <c r="Z2077" s="9">
        <f>IF(OR(W2077="",W2077=0),"",(Y2077-W2077)/W2077)</f>
        <v/>
      </c>
      <c r="AA2077" s="7">
        <f>IF(COUNT(D2077:V2077)=0,"",INDEX($D$1:$V$1,MATCH(MIN(D2077:V2077),D2077:V2077,0)))</f>
        <v/>
      </c>
      <c r="AB2077" s="8" t="n">
        <v>695</v>
      </c>
      <c r="AC2077" s="10" t="n">
        <v>2</v>
      </c>
    </row>
    <row r="2078">
      <c r="A2078" s="7" t="inlineStr">
        <is>
          <t>MAT-32-727</t>
        </is>
      </c>
      <c r="B2078" s="4" t="inlineStr">
        <is>
          <t>Válvula de retención (cheque) 3"</t>
        </is>
      </c>
      <c r="C2078" s="7" t="inlineStr">
        <is>
          <t>unidad</t>
        </is>
      </c>
      <c r="D2078" s="8" t="n"/>
      <c r="E2078" s="8" t="n">
        <v>6059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>
        <f>IF(COUNT(D2078:V2078)=0,"",MIN(D2078:V2078))</f>
        <v/>
      </c>
      <c r="X2078" s="8">
        <f>IF(COUNT(D2078:V2078)=0,"",MEDIAN(D2078:V2078))</f>
        <v/>
      </c>
      <c r="Y2078" s="8">
        <f>IF(COUNT(D2078:V2078)=0,"",MAX(D2078:V2078))</f>
        <v/>
      </c>
      <c r="Z2078" s="9">
        <f>IF(OR(W2078="",W2078=0),"",(Y2078-W2078)/W2078)</f>
        <v/>
      </c>
      <c r="AA2078" s="7">
        <f>IF(COUNT(D2078:V2078)=0,"",INDEX($D$1:$V$1,MATCH(MIN(D2078:V2078),D2078:V2078,0)))</f>
        <v/>
      </c>
      <c r="AB2078" s="8" t="n">
        <v>7885</v>
      </c>
      <c r="AC2078" s="10" t="n">
        <v>1</v>
      </c>
    </row>
    <row r="2079">
      <c r="A2079" s="7" t="inlineStr">
        <is>
          <t>MAT-32-728</t>
        </is>
      </c>
      <c r="B2079" s="4" t="inlineStr">
        <is>
          <t>Válvula de retención (cheque) 4"</t>
        </is>
      </c>
      <c r="C2079" s="7" t="inlineStr">
        <is>
          <t>unidad</t>
        </is>
      </c>
      <c r="D2079" s="8" t="n"/>
      <c r="E2079" s="8" t="n">
        <v>12582</v>
      </c>
      <c r="F2079" s="8" t="n"/>
      <c r="G2079" s="8" t="n"/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>
        <f>IF(COUNT(D2079:V2079)=0,"",MIN(D2079:V2079))</f>
        <v/>
      </c>
      <c r="X2079" s="8">
        <f>IF(COUNT(D2079:V2079)=0,"",MEDIAN(D2079:V2079))</f>
        <v/>
      </c>
      <c r="Y2079" s="8">
        <f>IF(COUNT(D2079:V2079)=0,"",MAX(D2079:V2079))</f>
        <v/>
      </c>
      <c r="Z2079" s="9">
        <f>IF(OR(W2079="",W2079=0),"",(Y2079-W2079)/W2079)</f>
        <v/>
      </c>
      <c r="AA2079" s="7">
        <f>IF(COUNT(D2079:V2079)=0,"",INDEX($D$1:$V$1,MATCH(MIN(D2079:V2079),D2079:V2079,0)))</f>
        <v/>
      </c>
      <c r="AB2079" s="8" t="n">
        <v>14372</v>
      </c>
      <c r="AC2079" s="10" t="n">
        <v>1</v>
      </c>
    </row>
    <row r="2080">
      <c r="A2080" s="7" t="inlineStr">
        <is>
          <t>MAT-32-729</t>
        </is>
      </c>
      <c r="B2080" s="4" t="inlineStr">
        <is>
          <t>Válvula de cisterna con flotante 1/2"</t>
        </is>
      </c>
      <c r="C2080" s="7" t="inlineStr">
        <is>
          <t>unidad</t>
        </is>
      </c>
      <c r="D2080" s="8" t="n"/>
      <c r="E2080" s="8" t="n"/>
      <c r="F2080" s="8" t="n"/>
      <c r="G2080" s="8" t="n">
        <v>616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>
        <f>IF(COUNT(D2080:V2080)=0,"",MIN(D2080:V2080))</f>
        <v/>
      </c>
      <c r="X2080" s="8">
        <f>IF(COUNT(D2080:V2080)=0,"",MEDIAN(D2080:V2080))</f>
        <v/>
      </c>
      <c r="Y2080" s="8">
        <f>IF(COUNT(D2080:V2080)=0,"",MAX(D2080:V2080))</f>
        <v/>
      </c>
      <c r="Z2080" s="9">
        <f>IF(OR(W2080="",W2080=0),"",(Y2080-W2080)/W2080)</f>
        <v/>
      </c>
      <c r="AA2080" s="7">
        <f>IF(COUNT(D2080:V2080)=0,"",INDEX($D$1:$V$1,MATCH(MIN(D2080:V2080),D2080:V2080,0)))</f>
        <v/>
      </c>
      <c r="AB2080" s="8" t="n">
        <v>734.5</v>
      </c>
      <c r="AC2080" s="10" t="n">
        <v>1</v>
      </c>
    </row>
    <row r="2081">
      <c r="A2081" s="7" t="inlineStr">
        <is>
          <t>MAT-32-730</t>
        </is>
      </c>
      <c r="B2081" s="4" t="inlineStr">
        <is>
          <t>Válvula de cisterna con flotante 3/4"</t>
        </is>
      </c>
      <c r="C2081" s="7" t="inlineStr">
        <is>
          <t>unidad</t>
        </is>
      </c>
      <c r="D2081" s="8" t="n"/>
      <c r="E2081" s="8" t="n"/>
      <c r="F2081" s="8" t="n"/>
      <c r="G2081" s="8" t="n">
        <v>615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>
        <f>IF(COUNT(D2081:V2081)=0,"",MIN(D2081:V2081))</f>
        <v/>
      </c>
      <c r="X2081" s="8">
        <f>IF(COUNT(D2081:V2081)=0,"",MEDIAN(D2081:V2081))</f>
        <v/>
      </c>
      <c r="Y2081" s="8">
        <f>IF(COUNT(D2081:V2081)=0,"",MAX(D2081:V2081))</f>
        <v/>
      </c>
      <c r="Z2081" s="9">
        <f>IF(OR(W2081="",W2081=0),"",(Y2081-W2081)/W2081)</f>
        <v/>
      </c>
      <c r="AA2081" s="7">
        <f>IF(COUNT(D2081:V2081)=0,"",INDEX($D$1:$V$1,MATCH(MIN(D2081:V2081),D2081:V2081,0)))</f>
        <v/>
      </c>
      <c r="AB2081" s="8" t="n">
        <v>943</v>
      </c>
      <c r="AC2081" s="10" t="n">
        <v>1</v>
      </c>
    </row>
    <row r="2082">
      <c r="A2082" s="7" t="inlineStr">
        <is>
          <t>MAT-32-731</t>
        </is>
      </c>
      <c r="B2082" s="4" t="inlineStr">
        <is>
          <t>Rejilla de piso 10 x 10 cm</t>
        </is>
      </c>
      <c r="C2082" s="7" t="inlineStr">
        <is>
          <t>unidad</t>
        </is>
      </c>
      <c r="D2082" s="8" t="n"/>
      <c r="E2082" s="8" t="n"/>
      <c r="F2082" s="8" t="n"/>
      <c r="G2082" s="8" t="n">
        <v>306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>
        <f>IF(COUNT(D2082:V2082)=0,"",MIN(D2082:V2082))</f>
        <v/>
      </c>
      <c r="X2082" s="8">
        <f>IF(COUNT(D2082:V2082)=0,"",MEDIAN(D2082:V2082))</f>
        <v/>
      </c>
      <c r="Y2082" s="8">
        <f>IF(COUNT(D2082:V2082)=0,"",MAX(D2082:V2082))</f>
        <v/>
      </c>
      <c r="Z2082" s="9">
        <f>IF(OR(W2082="",W2082=0),"",(Y2082-W2082)/W2082)</f>
        <v/>
      </c>
      <c r="AA2082" s="7">
        <f>IF(COUNT(D2082:V2082)=0,"",INDEX($D$1:$V$1,MATCH(MIN(D2082:V2082),D2082:V2082,0)))</f>
        <v/>
      </c>
      <c r="AB2082" s="8" t="n">
        <v>310</v>
      </c>
      <c r="AC2082" s="10" t="n">
        <v>1</v>
      </c>
    </row>
    <row r="2083">
      <c r="A2083" s="7" t="inlineStr">
        <is>
          <t>MAT-32-732</t>
        </is>
      </c>
      <c r="B2083" s="4" t="inlineStr">
        <is>
          <t>Rejilla de piso 100 x 100 cm</t>
        </is>
      </c>
      <c r="C2083" s="7" t="inlineStr">
        <is>
          <t>unidad</t>
        </is>
      </c>
      <c r="D2083" s="8" t="n"/>
      <c r="E2083" s="8" t="n"/>
      <c r="F2083" s="8" t="n"/>
      <c r="G2083" s="8" t="n">
        <v>1173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>
        <f>IF(COUNT(D2083:V2083)=0,"",MIN(D2083:V2083))</f>
        <v/>
      </c>
      <c r="X2083" s="8">
        <f>IF(COUNT(D2083:V2083)=0,"",MEDIAN(D2083:V2083))</f>
        <v/>
      </c>
      <c r="Y2083" s="8">
        <f>IF(COUNT(D2083:V2083)=0,"",MAX(D2083:V2083))</f>
        <v/>
      </c>
      <c r="Z2083" s="9">
        <f>IF(OR(W2083="",W2083=0),"",(Y2083-W2083)/W2083)</f>
        <v/>
      </c>
      <c r="AA2083" s="7">
        <f>IF(COUNT(D2083:V2083)=0,"",INDEX($D$1:$V$1,MATCH(MIN(D2083:V2083),D2083:V2083,0)))</f>
        <v/>
      </c>
      <c r="AB2083" s="8" t="n">
        <v>1173</v>
      </c>
      <c r="AC2083" s="10" t="n">
        <v>1</v>
      </c>
    </row>
    <row r="2084">
      <c r="A2084" s="7" t="inlineStr">
        <is>
          <t>MAT-32-733</t>
        </is>
      </c>
      <c r="B2084" s="4" t="inlineStr">
        <is>
          <t>Rejilla de piso 10"</t>
        </is>
      </c>
      <c r="C2084" s="7" t="inlineStr">
        <is>
          <t>unidad</t>
        </is>
      </c>
      <c r="D2084" s="8" t="n"/>
      <c r="E2084" s="8" t="n"/>
      <c r="F2084" s="8" t="n"/>
      <c r="G2084" s="8" t="n">
        <v>968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>
        <f>IF(COUNT(D2084:V2084)=0,"",MIN(D2084:V2084))</f>
        <v/>
      </c>
      <c r="X2084" s="8">
        <f>IF(COUNT(D2084:V2084)=0,"",MEDIAN(D2084:V2084))</f>
        <v/>
      </c>
      <c r="Y2084" s="8">
        <f>IF(COUNT(D2084:V2084)=0,"",MAX(D2084:V2084))</f>
        <v/>
      </c>
      <c r="Z2084" s="9">
        <f>IF(OR(W2084="",W2084=0),"",(Y2084-W2084)/W2084)</f>
        <v/>
      </c>
      <c r="AA2084" s="7">
        <f>IF(COUNT(D2084:V2084)=0,"",INDEX($D$1:$V$1,MATCH(MIN(D2084:V2084),D2084:V2084,0)))</f>
        <v/>
      </c>
      <c r="AB2084" s="8" t="n">
        <v>1196</v>
      </c>
      <c r="AC2084" s="10" t="n">
        <v>1</v>
      </c>
    </row>
    <row r="2085">
      <c r="A2085" s="7" t="inlineStr">
        <is>
          <t>MAT-32-734</t>
        </is>
      </c>
      <c r="B2085" s="4" t="inlineStr">
        <is>
          <t>Rejilla de piso 15 x 15 cm</t>
        </is>
      </c>
      <c r="C2085" s="7" t="inlineStr">
        <is>
          <t>unidad</t>
        </is>
      </c>
      <c r="D2085" s="8" t="n"/>
      <c r="E2085" s="8" t="n"/>
      <c r="F2085" s="8" t="n"/>
      <c r="G2085" s="8" t="n">
        <v>413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>
        <f>IF(COUNT(D2085:V2085)=0,"",MIN(D2085:V2085))</f>
        <v/>
      </c>
      <c r="X2085" s="8">
        <f>IF(COUNT(D2085:V2085)=0,"",MEDIAN(D2085:V2085))</f>
        <v/>
      </c>
      <c r="Y2085" s="8">
        <f>IF(COUNT(D2085:V2085)=0,"",MAX(D2085:V2085))</f>
        <v/>
      </c>
      <c r="Z2085" s="9">
        <f>IF(OR(W2085="",W2085=0),"",(Y2085-W2085)/W2085)</f>
        <v/>
      </c>
      <c r="AA2085" s="7">
        <f>IF(COUNT(D2085:V2085)=0,"",INDEX($D$1:$V$1,MATCH(MIN(D2085:V2085),D2085:V2085,0)))</f>
        <v/>
      </c>
      <c r="AB2085" s="8" t="n">
        <v>1233.5</v>
      </c>
      <c r="AC2085" s="10" t="n">
        <v>1</v>
      </c>
    </row>
    <row r="2086">
      <c r="A2086" s="7" t="inlineStr">
        <is>
          <t>MAT-32-735</t>
        </is>
      </c>
      <c r="B2086" s="4" t="inlineStr">
        <is>
          <t>Rejilla de piso 20 x 20 cm</t>
        </is>
      </c>
      <c r="C2086" s="7" t="inlineStr">
        <is>
          <t>unidad</t>
        </is>
      </c>
      <c r="D2086" s="8" t="n"/>
      <c r="E2086" s="8" t="n"/>
      <c r="F2086" s="8" t="n"/>
      <c r="G2086" s="8" t="n">
        <v>572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>
        <f>IF(COUNT(D2086:V2086)=0,"",MIN(D2086:V2086))</f>
        <v/>
      </c>
      <c r="X2086" s="8">
        <f>IF(COUNT(D2086:V2086)=0,"",MEDIAN(D2086:V2086))</f>
        <v/>
      </c>
      <c r="Y2086" s="8">
        <f>IF(COUNT(D2086:V2086)=0,"",MAX(D2086:V2086))</f>
        <v/>
      </c>
      <c r="Z2086" s="9">
        <f>IF(OR(W2086="",W2086=0),"",(Y2086-W2086)/W2086)</f>
        <v/>
      </c>
      <c r="AA2086" s="7">
        <f>IF(COUNT(D2086:V2086)=0,"",INDEX($D$1:$V$1,MATCH(MIN(D2086:V2086),D2086:V2086,0)))</f>
        <v/>
      </c>
      <c r="AB2086" s="8" t="n">
        <v>572</v>
      </c>
      <c r="AC2086" s="10" t="n">
        <v>1</v>
      </c>
    </row>
    <row r="2087">
      <c r="A2087" s="7" t="inlineStr">
        <is>
          <t>MAT-32-736</t>
        </is>
      </c>
      <c r="B2087" s="4" t="inlineStr">
        <is>
          <t>Rejilla de piso 2"</t>
        </is>
      </c>
      <c r="C2087" s="7" t="inlineStr">
        <is>
          <t>unidad</t>
        </is>
      </c>
      <c r="D2087" s="8" t="n"/>
      <c r="E2087" s="8" t="n"/>
      <c r="F2087" s="8" t="n"/>
      <c r="G2087" s="8" t="n">
        <v>199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>
        <f>IF(COUNT(D2087:V2087)=0,"",MIN(D2087:V2087))</f>
        <v/>
      </c>
      <c r="X2087" s="8">
        <f>IF(COUNT(D2087:V2087)=0,"",MEDIAN(D2087:V2087))</f>
        <v/>
      </c>
      <c r="Y2087" s="8">
        <f>IF(COUNT(D2087:V2087)=0,"",MAX(D2087:V2087))</f>
        <v/>
      </c>
      <c r="Z2087" s="9">
        <f>IF(OR(W2087="",W2087=0),"",(Y2087-W2087)/W2087)</f>
        <v/>
      </c>
      <c r="AA2087" s="7">
        <f>IF(COUNT(D2087:V2087)=0,"",INDEX($D$1:$V$1,MATCH(MIN(D2087:V2087),D2087:V2087,0)))</f>
        <v/>
      </c>
      <c r="AB2087" s="8" t="n">
        <v>648</v>
      </c>
      <c r="AC2087" s="10" t="n">
        <v>1</v>
      </c>
    </row>
    <row r="2088">
      <c r="A2088" s="7" t="inlineStr">
        <is>
          <t>MAT-32-737</t>
        </is>
      </c>
      <c r="B2088" s="4" t="inlineStr">
        <is>
          <t>Rejilla de piso 3 1/2"</t>
        </is>
      </c>
      <c r="C2088" s="7" t="inlineStr">
        <is>
          <t>unidad</t>
        </is>
      </c>
      <c r="D2088" s="8" t="n"/>
      <c r="E2088" s="8" t="n"/>
      <c r="F2088" s="8" t="n"/>
      <c r="G2088" s="8" t="n">
        <v>368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>
        <f>IF(COUNT(D2088:V2088)=0,"",MIN(D2088:V2088))</f>
        <v/>
      </c>
      <c r="X2088" s="8">
        <f>IF(COUNT(D2088:V2088)=0,"",MEDIAN(D2088:V2088))</f>
        <v/>
      </c>
      <c r="Y2088" s="8">
        <f>IF(COUNT(D2088:V2088)=0,"",MAX(D2088:V2088))</f>
        <v/>
      </c>
      <c r="Z2088" s="9">
        <f>IF(OR(W2088="",W2088=0),"",(Y2088-W2088)/W2088)</f>
        <v/>
      </c>
      <c r="AA2088" s="7">
        <f>IF(COUNT(D2088:V2088)=0,"",INDEX($D$1:$V$1,MATCH(MIN(D2088:V2088),D2088:V2088,0)))</f>
        <v/>
      </c>
      <c r="AB2088" s="8" t="n">
        <v>384.5</v>
      </c>
      <c r="AC2088" s="10" t="n">
        <v>1</v>
      </c>
    </row>
    <row r="2089">
      <c r="A2089" s="7" t="inlineStr">
        <is>
          <t>MAT-32-738</t>
        </is>
      </c>
      <c r="B2089" s="4" t="inlineStr">
        <is>
          <t>Rejilla de piso 3"</t>
        </is>
      </c>
      <c r="C2089" s="7" t="inlineStr">
        <is>
          <t>unidad</t>
        </is>
      </c>
      <c r="D2089" s="8" t="n"/>
      <c r="E2089" s="8" t="n"/>
      <c r="F2089" s="8" t="n"/>
      <c r="G2089" s="8" t="n">
        <v>356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>
        <f>IF(COUNT(D2089:V2089)=0,"",MIN(D2089:V2089))</f>
        <v/>
      </c>
      <c r="X2089" s="8">
        <f>IF(COUNT(D2089:V2089)=0,"",MEDIAN(D2089:V2089))</f>
        <v/>
      </c>
      <c r="Y2089" s="8">
        <f>IF(COUNT(D2089:V2089)=0,"",MAX(D2089:V2089))</f>
        <v/>
      </c>
      <c r="Z2089" s="9">
        <f>IF(OR(W2089="",W2089=0),"",(Y2089-W2089)/W2089)</f>
        <v/>
      </c>
      <c r="AA2089" s="7">
        <f>IF(COUNT(D2089:V2089)=0,"",INDEX($D$1:$V$1,MATCH(MIN(D2089:V2089),D2089:V2089,0)))</f>
        <v/>
      </c>
      <c r="AB2089" s="8" t="n">
        <v>460.5</v>
      </c>
      <c r="AC2089" s="10" t="n">
        <v>1</v>
      </c>
    </row>
    <row r="2090">
      <c r="A2090" s="7" t="inlineStr">
        <is>
          <t>MAT-32-739</t>
        </is>
      </c>
      <c r="B2090" s="4" t="inlineStr">
        <is>
          <t>Rejilla de piso 4"</t>
        </is>
      </c>
      <c r="C2090" s="7" t="inlineStr">
        <is>
          <t>unidad</t>
        </is>
      </c>
      <c r="D2090" s="8" t="n"/>
      <c r="E2090" s="8" t="n"/>
      <c r="F2090" s="8" t="n"/>
      <c r="G2090" s="8" t="n">
        <v>453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>
        <f>IF(COUNT(D2090:V2090)=0,"",MIN(D2090:V2090))</f>
        <v/>
      </c>
      <c r="X2090" s="8">
        <f>IF(COUNT(D2090:V2090)=0,"",MEDIAN(D2090:V2090))</f>
        <v/>
      </c>
      <c r="Y2090" s="8">
        <f>IF(COUNT(D2090:V2090)=0,"",MAX(D2090:V2090))</f>
        <v/>
      </c>
      <c r="Z2090" s="9">
        <f>IF(OR(W2090="",W2090=0),"",(Y2090-W2090)/W2090)</f>
        <v/>
      </c>
      <c r="AA2090" s="7">
        <f>IF(COUNT(D2090:V2090)=0,"",INDEX($D$1:$V$1,MATCH(MIN(D2090:V2090),D2090:V2090,0)))</f>
        <v/>
      </c>
      <c r="AB2090" s="8" t="n">
        <v>481.5</v>
      </c>
      <c r="AC2090" s="10" t="n">
        <v>1</v>
      </c>
    </row>
    <row r="2091">
      <c r="A2091" s="7" t="inlineStr">
        <is>
          <t>MAT-32-740</t>
        </is>
      </c>
      <c r="B2091" s="4" t="inlineStr">
        <is>
          <t>Rejilla de piso 6 x 6"</t>
        </is>
      </c>
      <c r="C2091" s="7" t="inlineStr">
        <is>
          <t>unidad</t>
        </is>
      </c>
      <c r="D2091" s="8" t="n"/>
      <c r="E2091" s="8" t="n"/>
      <c r="F2091" s="8" t="n"/>
      <c r="G2091" s="8" t="n"/>
      <c r="H2091" s="8" t="n"/>
      <c r="I2091" s="8" t="n">
        <v>3129</v>
      </c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>
        <f>IF(COUNT(D2091:V2091)=0,"",MIN(D2091:V2091))</f>
        <v/>
      </c>
      <c r="X2091" s="8">
        <f>IF(COUNT(D2091:V2091)=0,"",MEDIAN(D2091:V2091))</f>
        <v/>
      </c>
      <c r="Y2091" s="8">
        <f>IF(COUNT(D2091:V2091)=0,"",MAX(D2091:V2091))</f>
        <v/>
      </c>
      <c r="Z2091" s="9">
        <f>IF(OR(W2091="",W2091=0),"",(Y2091-W2091)/W2091)</f>
        <v/>
      </c>
      <c r="AA2091" s="7">
        <f>IF(COUNT(D2091:V2091)=0,"",INDEX($D$1:$V$1,MATCH(MIN(D2091:V2091),D2091:V2091,0)))</f>
        <v/>
      </c>
      <c r="AB2091" s="8" t="n">
        <v>3129</v>
      </c>
      <c r="AC2091" s="10" t="n">
        <v>1</v>
      </c>
    </row>
    <row r="2092">
      <c r="A2092" s="7" t="inlineStr">
        <is>
          <t>MAT-32-741</t>
        </is>
      </c>
      <c r="B2092" s="4" t="inlineStr">
        <is>
          <t>Rejilla de piso 6"</t>
        </is>
      </c>
      <c r="C2092" s="7" t="inlineStr">
        <is>
          <t>unidad</t>
        </is>
      </c>
      <c r="D2092" s="8" t="n"/>
      <c r="E2092" s="8" t="n"/>
      <c r="F2092" s="8" t="n"/>
      <c r="G2092" s="8" t="n">
        <v>2403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>
        <f>IF(COUNT(D2092:V2092)=0,"",MIN(D2092:V2092))</f>
        <v/>
      </c>
      <c r="X2092" s="8">
        <f>IF(COUNT(D2092:V2092)=0,"",MEDIAN(D2092:V2092))</f>
        <v/>
      </c>
      <c r="Y2092" s="8">
        <f>IF(COUNT(D2092:V2092)=0,"",MAX(D2092:V2092))</f>
        <v/>
      </c>
      <c r="Z2092" s="9">
        <f>IF(OR(W2092="",W2092=0),"",(Y2092-W2092)/W2092)</f>
        <v/>
      </c>
      <c r="AA2092" s="7">
        <f>IF(COUNT(D2092:V2092)=0,"",INDEX($D$1:$V$1,MATCH(MIN(D2092:V2092),D2092:V2092,0)))</f>
        <v/>
      </c>
      <c r="AB2092" s="8" t="n">
        <v>2403</v>
      </c>
      <c r="AC2092" s="10" t="n">
        <v>1</v>
      </c>
    </row>
    <row r="2093">
      <c r="A2093" s="7" t="inlineStr">
        <is>
          <t>MAT-32-742</t>
        </is>
      </c>
      <c r="B2093" s="4" t="inlineStr">
        <is>
          <t>Rejilla de piso 80 x 80 cm</t>
        </is>
      </c>
      <c r="C2093" s="7" t="inlineStr">
        <is>
          <t>unidad</t>
        </is>
      </c>
      <c r="D2093" s="8" t="n"/>
      <c r="E2093" s="8" t="n"/>
      <c r="F2093" s="8" t="n"/>
      <c r="G2093" s="8" t="n">
        <v>865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>
        <f>IF(COUNT(D2093:V2093)=0,"",MIN(D2093:V2093))</f>
        <v/>
      </c>
      <c r="X2093" s="8">
        <f>IF(COUNT(D2093:V2093)=0,"",MEDIAN(D2093:V2093))</f>
        <v/>
      </c>
      <c r="Y2093" s="8">
        <f>IF(COUNT(D2093:V2093)=0,"",MAX(D2093:V2093))</f>
        <v/>
      </c>
      <c r="Z2093" s="9">
        <f>IF(OR(W2093="",W2093=0),"",(Y2093-W2093)/W2093)</f>
        <v/>
      </c>
      <c r="AA2093" s="7">
        <f>IF(COUNT(D2093:V2093)=0,"",INDEX($D$1:$V$1,MATCH(MIN(D2093:V2093),D2093:V2093,0)))</f>
        <v/>
      </c>
      <c r="AB2093" s="8" t="n">
        <v>865</v>
      </c>
      <c r="AC2093" s="10" t="n">
        <v>1</v>
      </c>
    </row>
    <row r="2094">
      <c r="A2094" s="7" t="inlineStr">
        <is>
          <t>MAT-32-743</t>
        </is>
      </c>
      <c r="B2094" s="4" t="inlineStr">
        <is>
          <t>Sifón de metal cromado para desagüe 1 1/4"</t>
        </is>
      </c>
      <c r="C2094" s="7" t="inlineStr">
        <is>
          <t>unidad</t>
        </is>
      </c>
      <c r="D2094" s="8" t="n"/>
      <c r="E2094" s="8" t="n"/>
      <c r="F2094" s="8" t="n"/>
      <c r="G2094" s="8" t="n">
        <v>1425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>
        <f>IF(COUNT(D2094:V2094)=0,"",MIN(D2094:V2094))</f>
        <v/>
      </c>
      <c r="X2094" s="8">
        <f>IF(COUNT(D2094:V2094)=0,"",MEDIAN(D2094:V2094))</f>
        <v/>
      </c>
      <c r="Y2094" s="8">
        <f>IF(COUNT(D2094:V2094)=0,"",MAX(D2094:V2094))</f>
        <v/>
      </c>
      <c r="Z2094" s="9">
        <f>IF(OR(W2094="",W2094=0),"",(Y2094-W2094)/W2094)</f>
        <v/>
      </c>
      <c r="AA2094" s="7">
        <f>IF(COUNT(D2094:V2094)=0,"",INDEX($D$1:$V$1,MATCH(MIN(D2094:V2094),D2094:V2094,0)))</f>
        <v/>
      </c>
      <c r="AB2094" s="8" t="n">
        <v>1425</v>
      </c>
      <c r="AC2094" s="10" t="n">
        <v>1</v>
      </c>
    </row>
    <row r="2095">
      <c r="A2095" s="7" t="inlineStr">
        <is>
          <t>MAT-32-744</t>
        </is>
      </c>
      <c r="B2095" s="4" t="inlineStr">
        <is>
          <t>Sifón de PVC para desagüe 1 1/2"</t>
        </is>
      </c>
      <c r="C2095" s="7" t="inlineStr">
        <is>
          <t>unidad</t>
        </is>
      </c>
      <c r="D2095" s="8" t="n"/>
      <c r="E2095" s="8" t="n"/>
      <c r="F2095" s="8" t="n"/>
      <c r="G2095" s="8" t="n">
        <v>356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>
        <f>IF(COUNT(D2095:V2095)=0,"",MIN(D2095:V2095))</f>
        <v/>
      </c>
      <c r="X2095" s="8">
        <f>IF(COUNT(D2095:V2095)=0,"",MEDIAN(D2095:V2095))</f>
        <v/>
      </c>
      <c r="Y2095" s="8">
        <f>IF(COUNT(D2095:V2095)=0,"",MAX(D2095:V2095))</f>
        <v/>
      </c>
      <c r="Z2095" s="9">
        <f>IF(OR(W2095="",W2095=0),"",(Y2095-W2095)/W2095)</f>
        <v/>
      </c>
      <c r="AA2095" s="7">
        <f>IF(COUNT(D2095:V2095)=0,"",INDEX($D$1:$V$1,MATCH(MIN(D2095:V2095),D2095:V2095,0)))</f>
        <v/>
      </c>
      <c r="AB2095" s="8" t="n">
        <v>501.5</v>
      </c>
      <c r="AC2095" s="10" t="n">
        <v>1</v>
      </c>
    </row>
    <row r="2096">
      <c r="A2096" s="7" t="inlineStr">
        <is>
          <t>MAT-32-745</t>
        </is>
      </c>
      <c r="B2096" s="4" t="inlineStr">
        <is>
          <t>Sifón de PVC para desagüe 2"</t>
        </is>
      </c>
      <c r="C2096" s="7" t="inlineStr">
        <is>
          <t>unidad</t>
        </is>
      </c>
      <c r="D2096" s="8" t="n"/>
      <c r="E2096" s="8" t="n"/>
      <c r="F2096" s="8" t="n"/>
      <c r="G2096" s="8" t="n">
        <v>225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>
        <f>IF(COUNT(D2096:V2096)=0,"",MIN(D2096:V2096))</f>
        <v/>
      </c>
      <c r="X2096" s="8">
        <f>IF(COUNT(D2096:V2096)=0,"",MEDIAN(D2096:V2096))</f>
        <v/>
      </c>
      <c r="Y2096" s="8">
        <f>IF(COUNT(D2096:V2096)=0,"",MAX(D2096:V2096))</f>
        <v/>
      </c>
      <c r="Z2096" s="9">
        <f>IF(OR(W2096="",W2096=0),"",(Y2096-W2096)/W2096)</f>
        <v/>
      </c>
      <c r="AA2096" s="7">
        <f>IF(COUNT(D2096:V2096)=0,"",INDEX($D$1:$V$1,MATCH(MIN(D2096:V2096),D2096:V2096,0)))</f>
        <v/>
      </c>
      <c r="AB2096" s="8" t="n">
        <v>225</v>
      </c>
      <c r="AC2096" s="10" t="n">
        <v>1</v>
      </c>
    </row>
    <row r="2097">
      <c r="A2097" s="7" t="inlineStr">
        <is>
          <t>MAT-32-746</t>
        </is>
      </c>
      <c r="B2097" s="4" t="inlineStr">
        <is>
          <t>Sifón de PVC para fregadero 1 1/2"</t>
        </is>
      </c>
      <c r="C2097" s="7" t="inlineStr">
        <is>
          <t>unidad</t>
        </is>
      </c>
      <c r="D2097" s="8" t="n"/>
      <c r="E2097" s="8" t="n"/>
      <c r="F2097" s="8" t="n"/>
      <c r="G2097" s="8" t="n">
        <v>475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>
        <f>IF(COUNT(D2097:V2097)=0,"",MIN(D2097:V2097))</f>
        <v/>
      </c>
      <c r="X2097" s="8">
        <f>IF(COUNT(D2097:V2097)=0,"",MEDIAN(D2097:V2097))</f>
        <v/>
      </c>
      <c r="Y2097" s="8">
        <f>IF(COUNT(D2097:V2097)=0,"",MAX(D2097:V2097))</f>
        <v/>
      </c>
      <c r="Z2097" s="9">
        <f>IF(OR(W2097="",W2097=0),"",(Y2097-W2097)/W2097)</f>
        <v/>
      </c>
      <c r="AA2097" s="7">
        <f>IF(COUNT(D2097:V2097)=0,"",INDEX($D$1:$V$1,MATCH(MIN(D2097:V2097),D2097:V2097,0)))</f>
        <v/>
      </c>
      <c r="AB2097" s="8" t="n">
        <v>475</v>
      </c>
      <c r="AC2097" s="10" t="n">
        <v>1</v>
      </c>
    </row>
    <row r="2098">
      <c r="A2098" s="7" t="inlineStr">
        <is>
          <t>MAT-32-747</t>
        </is>
      </c>
      <c r="B2098" s="4" t="inlineStr">
        <is>
          <t>Sifón de PVC para fregadero 1 1/4"</t>
        </is>
      </c>
      <c r="C2098" s="7" t="inlineStr">
        <is>
          <t>unidad</t>
        </is>
      </c>
      <c r="D2098" s="8" t="n"/>
      <c r="E2098" s="8" t="n"/>
      <c r="F2098" s="8" t="n"/>
      <c r="G2098" s="8" t="n">
        <v>585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>
        <f>IF(COUNT(D2098:V2098)=0,"",MIN(D2098:V2098))</f>
        <v/>
      </c>
      <c r="X2098" s="8">
        <f>IF(COUNT(D2098:V2098)=0,"",MEDIAN(D2098:V2098))</f>
        <v/>
      </c>
      <c r="Y2098" s="8">
        <f>IF(COUNT(D2098:V2098)=0,"",MAX(D2098:V2098))</f>
        <v/>
      </c>
      <c r="Z2098" s="9">
        <f>IF(OR(W2098="",W2098=0),"",(Y2098-W2098)/W2098)</f>
        <v/>
      </c>
      <c r="AA2098" s="7">
        <f>IF(COUNT(D2098:V2098)=0,"",INDEX($D$1:$V$1,MATCH(MIN(D2098:V2098),D2098:V2098,0)))</f>
        <v/>
      </c>
      <c r="AB2098" s="8" t="n">
        <v>585</v>
      </c>
      <c r="AC2098" s="10" t="n">
        <v>1</v>
      </c>
    </row>
    <row r="2099">
      <c r="A2099" s="7" t="inlineStr">
        <is>
          <t>MAT-32-748</t>
        </is>
      </c>
      <c r="B2099" s="4" t="inlineStr">
        <is>
          <t>Sifón de metal para lavamanos 1 1/2"</t>
        </is>
      </c>
      <c r="C2099" s="7" t="inlineStr">
        <is>
          <t>unidad</t>
        </is>
      </c>
      <c r="D2099" s="8" t="n"/>
      <c r="E2099" s="8" t="n">
        <v>1252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>
        <f>IF(COUNT(D2099:V2099)=0,"",MIN(D2099:V2099))</f>
        <v/>
      </c>
      <c r="X2099" s="8">
        <f>IF(COUNT(D2099:V2099)=0,"",MEDIAN(D2099:V2099))</f>
        <v/>
      </c>
      <c r="Y2099" s="8">
        <f>IF(COUNT(D2099:V2099)=0,"",MAX(D2099:V2099))</f>
        <v/>
      </c>
      <c r="Z2099" s="9">
        <f>IF(OR(W2099="",W2099=0),"",(Y2099-W2099)/W2099)</f>
        <v/>
      </c>
      <c r="AA2099" s="7">
        <f>IF(COUNT(D2099:V2099)=0,"",INDEX($D$1:$V$1,MATCH(MIN(D2099:V2099),D2099:V2099,0)))</f>
        <v/>
      </c>
      <c r="AB2099" s="8" t="n">
        <v>1252</v>
      </c>
      <c r="AC2099" s="10" t="n">
        <v>1</v>
      </c>
    </row>
    <row r="2100">
      <c r="A2100" s="7" t="inlineStr">
        <is>
          <t>MAT-32-749</t>
        </is>
      </c>
      <c r="B2100" s="4" t="inlineStr">
        <is>
          <t>Sifón de metal para lavamanos 1 1/4"</t>
        </is>
      </c>
      <c r="C2100" s="7" t="inlineStr">
        <is>
          <t>unidad</t>
        </is>
      </c>
      <c r="D2100" s="8" t="n"/>
      <c r="E2100" s="8" t="n">
        <v>1274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>
        <f>IF(COUNT(D2100:V2100)=0,"",MIN(D2100:V2100))</f>
        <v/>
      </c>
      <c r="X2100" s="8">
        <f>IF(COUNT(D2100:V2100)=0,"",MEDIAN(D2100:V2100))</f>
        <v/>
      </c>
      <c r="Y2100" s="8">
        <f>IF(COUNT(D2100:V2100)=0,"",MAX(D2100:V2100))</f>
        <v/>
      </c>
      <c r="Z2100" s="9">
        <f>IF(OR(W2100="",W2100=0),"",(Y2100-W2100)/W2100)</f>
        <v/>
      </c>
      <c r="AA2100" s="7">
        <f>IF(COUNT(D2100:V2100)=0,"",INDEX($D$1:$V$1,MATCH(MIN(D2100:V2100),D2100:V2100,0)))</f>
        <v/>
      </c>
      <c r="AB2100" s="8" t="n">
        <v>1274</v>
      </c>
      <c r="AC2100" s="10" t="n">
        <v>1</v>
      </c>
    </row>
    <row r="2101">
      <c r="A2101" s="7" t="inlineStr">
        <is>
          <t>MAT-32-750</t>
        </is>
      </c>
      <c r="B2101" s="4" t="inlineStr">
        <is>
          <t>Sifón de metal para lavamanos 1/4"</t>
        </is>
      </c>
      <c r="C2101" s="7" t="inlineStr">
        <is>
          <t>unidad</t>
        </is>
      </c>
      <c r="D2101" s="8" t="n"/>
      <c r="E2101" s="8" t="n"/>
      <c r="F2101" s="8" t="n"/>
      <c r="G2101" s="8" t="n"/>
      <c r="H2101" s="8" t="n"/>
      <c r="I2101" s="8" t="n">
        <v>925</v>
      </c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>
        <f>IF(COUNT(D2101:V2101)=0,"",MIN(D2101:V2101))</f>
        <v/>
      </c>
      <c r="X2101" s="8">
        <f>IF(COUNT(D2101:V2101)=0,"",MEDIAN(D2101:V2101))</f>
        <v/>
      </c>
      <c r="Y2101" s="8">
        <f>IF(COUNT(D2101:V2101)=0,"",MAX(D2101:V2101))</f>
        <v/>
      </c>
      <c r="Z2101" s="9">
        <f>IF(OR(W2101="",W2101=0),"",(Y2101-W2101)/W2101)</f>
        <v/>
      </c>
      <c r="AA2101" s="7">
        <f>IF(COUNT(D2101:V2101)=0,"",INDEX($D$1:$V$1,MATCH(MIN(D2101:V2101),D2101:V2101,0)))</f>
        <v/>
      </c>
      <c r="AB2101" s="8" t="n">
        <v>925</v>
      </c>
      <c r="AC2101" s="10" t="n">
        <v>1</v>
      </c>
    </row>
    <row r="2102">
      <c r="A2102" s="7" t="inlineStr">
        <is>
          <t>MAT-32-751</t>
        </is>
      </c>
      <c r="B2102" s="4" t="inlineStr">
        <is>
          <t>Sifón de PVC para lavamanos 1 1/2"</t>
        </is>
      </c>
      <c r="C2102" s="7" t="inlineStr">
        <is>
          <t>unidad</t>
        </is>
      </c>
      <c r="D2102" s="8" t="n"/>
      <c r="E2102" s="8" t="n">
        <v>70.38</v>
      </c>
      <c r="F2102" s="8" t="n"/>
      <c r="G2102" s="8" t="n"/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>
        <f>IF(COUNT(D2102:V2102)=0,"",MIN(D2102:V2102))</f>
        <v/>
      </c>
      <c r="X2102" s="8">
        <f>IF(COUNT(D2102:V2102)=0,"",MEDIAN(D2102:V2102))</f>
        <v/>
      </c>
      <c r="Y2102" s="8">
        <f>IF(COUNT(D2102:V2102)=0,"",MAX(D2102:V2102))</f>
        <v/>
      </c>
      <c r="Z2102" s="9">
        <f>IF(OR(W2102="",W2102=0),"",(Y2102-W2102)/W2102)</f>
        <v/>
      </c>
      <c r="AA2102" s="7">
        <f>IF(COUNT(D2102:V2102)=0,"",INDEX($D$1:$V$1,MATCH(MIN(D2102:V2102),D2102:V2102,0)))</f>
        <v/>
      </c>
      <c r="AB2102" s="8" t="n">
        <v>150</v>
      </c>
      <c r="AC2102" s="10" t="n">
        <v>1</v>
      </c>
    </row>
    <row r="2103">
      <c r="A2103" s="7" t="inlineStr">
        <is>
          <t>MAT-32-752</t>
        </is>
      </c>
      <c r="B2103" s="4" t="inlineStr">
        <is>
          <t>Sifón de PVC para lavamanos 1 1/4"</t>
        </is>
      </c>
      <c r="C2103" s="7" t="inlineStr">
        <is>
          <t>unidad</t>
        </is>
      </c>
      <c r="D2103" s="8" t="n"/>
      <c r="E2103" s="8" t="n">
        <v>93.86</v>
      </c>
      <c r="F2103" s="8" t="n"/>
      <c r="G2103" s="8" t="n"/>
      <c r="H2103" s="8" t="n"/>
      <c r="I2103" s="8" t="n">
        <v>345</v>
      </c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>
        <f>IF(COUNT(D2103:V2103)=0,"",MIN(D2103:V2103))</f>
        <v/>
      </c>
      <c r="X2103" s="8">
        <f>IF(COUNT(D2103:V2103)=0,"",MEDIAN(D2103:V2103))</f>
        <v/>
      </c>
      <c r="Y2103" s="8">
        <f>IF(COUNT(D2103:V2103)=0,"",MAX(D2103:V2103))</f>
        <v/>
      </c>
      <c r="Z2103" s="9">
        <f>IF(OR(W2103="",W2103=0),"",(Y2103-W2103)/W2103)</f>
        <v/>
      </c>
      <c r="AA2103" s="7">
        <f>IF(COUNT(D2103:V2103)=0,"",INDEX($D$1:$V$1,MATCH(MIN(D2103:V2103),D2103:V2103,0)))</f>
        <v/>
      </c>
      <c r="AB2103" s="8" t="n">
        <v>312.5</v>
      </c>
      <c r="AC2103" s="10" t="n">
        <v>2</v>
      </c>
    </row>
    <row r="2104">
      <c r="A2104" s="7" t="inlineStr">
        <is>
          <t>MAT-32-753</t>
        </is>
      </c>
      <c r="B2104" s="4" t="inlineStr">
        <is>
          <t>Sifón de PVC para lavamanos 2"</t>
        </is>
      </c>
      <c r="C2104" s="7" t="inlineStr">
        <is>
          <t>unidad</t>
        </is>
      </c>
      <c r="D2104" s="8" t="n"/>
      <c r="E2104" s="8" t="n">
        <v>81.5</v>
      </c>
      <c r="F2104" s="8" t="n"/>
      <c r="G2104" s="8" t="n"/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>
        <f>IF(COUNT(D2104:V2104)=0,"",MIN(D2104:V2104))</f>
        <v/>
      </c>
      <c r="X2104" s="8">
        <f>IF(COUNT(D2104:V2104)=0,"",MEDIAN(D2104:V2104))</f>
        <v/>
      </c>
      <c r="Y2104" s="8">
        <f>IF(COUNT(D2104:V2104)=0,"",MAX(D2104:V2104))</f>
        <v/>
      </c>
      <c r="Z2104" s="9">
        <f>IF(OR(W2104="",W2104=0),"",(Y2104-W2104)/W2104)</f>
        <v/>
      </c>
      <c r="AA2104" s="7">
        <f>IF(COUNT(D2104:V2104)=0,"",INDEX($D$1:$V$1,MATCH(MIN(D2104:V2104),D2104:V2104,0)))</f>
        <v/>
      </c>
      <c r="AB2104" s="8" t="n">
        <v>96.84999999999999</v>
      </c>
      <c r="AC2104" s="10" t="n">
        <v>1</v>
      </c>
    </row>
    <row r="2105">
      <c r="A2105" s="7" t="inlineStr">
        <is>
          <t>MAT-32-754</t>
        </is>
      </c>
      <c r="B2105" s="4" t="inlineStr">
        <is>
          <t>Boquilla de desagüe de metal para fregadero</t>
        </is>
      </c>
      <c r="C2105" s="7" t="inlineStr">
        <is>
          <t>unidad</t>
        </is>
      </c>
      <c r="D2105" s="8" t="n"/>
      <c r="E2105" s="8" t="n"/>
      <c r="F2105" s="8" t="n"/>
      <c r="G2105" s="8" t="n">
        <v>470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>
        <f>IF(COUNT(D2105:V2105)=0,"",MIN(D2105:V2105))</f>
        <v/>
      </c>
      <c r="X2105" s="8">
        <f>IF(COUNT(D2105:V2105)=0,"",MEDIAN(D2105:V2105))</f>
        <v/>
      </c>
      <c r="Y2105" s="8">
        <f>IF(COUNT(D2105:V2105)=0,"",MAX(D2105:V2105))</f>
        <v/>
      </c>
      <c r="Z2105" s="9">
        <f>IF(OR(W2105="",W2105=0),"",(Y2105-W2105)/W2105)</f>
        <v/>
      </c>
      <c r="AA2105" s="7">
        <f>IF(COUNT(D2105:V2105)=0,"",INDEX($D$1:$V$1,MATCH(MIN(D2105:V2105),D2105:V2105,0)))</f>
        <v/>
      </c>
      <c r="AB2105" s="8" t="n">
        <v>470</v>
      </c>
      <c r="AC2105" s="10" t="n">
        <v>1</v>
      </c>
    </row>
    <row r="2106">
      <c r="A2106" s="7" t="inlineStr">
        <is>
          <t>MAT-32-755</t>
        </is>
      </c>
      <c r="B2106" s="4" t="inlineStr">
        <is>
          <t>Boquilla de desagüe de plástico para fregadero</t>
        </is>
      </c>
      <c r="C2106" s="7" t="inlineStr">
        <is>
          <t>unidad</t>
        </is>
      </c>
      <c r="D2106" s="8" t="n"/>
      <c r="E2106" s="8" t="n"/>
      <c r="F2106" s="8" t="n">
        <v>713.65</v>
      </c>
      <c r="G2106" s="8" t="n">
        <v>285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>
        <f>IF(COUNT(D2106:V2106)=0,"",MIN(D2106:V2106))</f>
        <v/>
      </c>
      <c r="X2106" s="8">
        <f>IF(COUNT(D2106:V2106)=0,"",MEDIAN(D2106:V2106))</f>
        <v/>
      </c>
      <c r="Y2106" s="8">
        <f>IF(COUNT(D2106:V2106)=0,"",MAX(D2106:V2106))</f>
        <v/>
      </c>
      <c r="Z2106" s="9">
        <f>IF(OR(W2106="",W2106=0),"",(Y2106-W2106)/W2106)</f>
        <v/>
      </c>
      <c r="AA2106" s="7">
        <f>IF(COUNT(D2106:V2106)=0,"",INDEX($D$1:$V$1,MATCH(MIN(D2106:V2106),D2106:V2106,0)))</f>
        <v/>
      </c>
      <c r="AB2106" s="8" t="n">
        <v>563.55</v>
      </c>
      <c r="AC2106" s="10" t="n">
        <v>2</v>
      </c>
    </row>
    <row r="2107">
      <c r="A2107" s="7" t="inlineStr">
        <is>
          <t>MAT-32-756</t>
        </is>
      </c>
      <c r="B2107" s="4" t="inlineStr">
        <is>
          <t>Boquilla de desagüe de metal para lavadero</t>
        </is>
      </c>
      <c r="C2107" s="7" t="inlineStr">
        <is>
          <t>unidad</t>
        </is>
      </c>
      <c r="D2107" s="8" t="n"/>
      <c r="E2107" s="8" t="n"/>
      <c r="F2107" s="8" t="n"/>
      <c r="G2107" s="8" t="n">
        <v>429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>
        <f>IF(COUNT(D2107:V2107)=0,"",MIN(D2107:V2107))</f>
        <v/>
      </c>
      <c r="X2107" s="8">
        <f>IF(COUNT(D2107:V2107)=0,"",MEDIAN(D2107:V2107))</f>
        <v/>
      </c>
      <c r="Y2107" s="8">
        <f>IF(COUNT(D2107:V2107)=0,"",MAX(D2107:V2107))</f>
        <v/>
      </c>
      <c r="Z2107" s="9">
        <f>IF(OR(W2107="",W2107=0),"",(Y2107-W2107)/W2107)</f>
        <v/>
      </c>
      <c r="AA2107" s="7">
        <f>IF(COUNT(D2107:V2107)=0,"",INDEX($D$1:$V$1,MATCH(MIN(D2107:V2107),D2107:V2107,0)))</f>
        <v/>
      </c>
      <c r="AB2107" s="8" t="n">
        <v>429</v>
      </c>
      <c r="AC2107" s="10" t="n">
        <v>1</v>
      </c>
    </row>
    <row r="2108">
      <c r="A2108" s="7" t="inlineStr">
        <is>
          <t>MAT-32-757</t>
        </is>
      </c>
      <c r="B2108" s="4" t="inlineStr">
        <is>
          <t>Boquilla de desagüe de metal para lavamanos</t>
        </is>
      </c>
      <c r="C2108" s="7" t="inlineStr">
        <is>
          <t>unidad</t>
        </is>
      </c>
      <c r="D2108" s="8" t="n"/>
      <c r="E2108" s="8" t="n"/>
      <c r="F2108" s="8" t="n"/>
      <c r="G2108" s="8" t="n">
        <v>255</v>
      </c>
      <c r="H2108" s="8" t="n">
        <v>1500</v>
      </c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>
        <f>IF(COUNT(D2108:V2108)=0,"",MIN(D2108:V2108))</f>
        <v/>
      </c>
      <c r="X2108" s="8">
        <f>IF(COUNT(D2108:V2108)=0,"",MEDIAN(D2108:V2108))</f>
        <v/>
      </c>
      <c r="Y2108" s="8">
        <f>IF(COUNT(D2108:V2108)=0,"",MAX(D2108:V2108))</f>
        <v/>
      </c>
      <c r="Z2108" s="9">
        <f>IF(OR(W2108="",W2108=0),"",(Y2108-W2108)/W2108)</f>
        <v/>
      </c>
      <c r="AA2108" s="7">
        <f>IF(COUNT(D2108:V2108)=0,"",INDEX($D$1:$V$1,MATCH(MIN(D2108:V2108),D2108:V2108,0)))</f>
        <v/>
      </c>
      <c r="AB2108" s="8" t="n">
        <v>1145</v>
      </c>
      <c r="AC2108" s="10" t="n">
        <v>2</v>
      </c>
    </row>
    <row r="2109">
      <c r="A2109" s="7" t="inlineStr">
        <is>
          <t>MAT-32-758</t>
        </is>
      </c>
      <c r="B2109" s="4" t="inlineStr">
        <is>
          <t>Boquilla de desagüe de plástico para lavamanos</t>
        </is>
      </c>
      <c r="C2109" s="7" t="inlineStr">
        <is>
          <t>unidad</t>
        </is>
      </c>
      <c r="D2109" s="8" t="n"/>
      <c r="E2109" s="8" t="n"/>
      <c r="F2109" s="8" t="n">
        <v>367.2</v>
      </c>
      <c r="G2109" s="8" t="n"/>
      <c r="H2109" s="8" t="n">
        <v>265.5</v>
      </c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>
        <f>IF(COUNT(D2109:V2109)=0,"",MIN(D2109:V2109))</f>
        <v/>
      </c>
      <c r="X2109" s="8">
        <f>IF(COUNT(D2109:V2109)=0,"",MEDIAN(D2109:V2109))</f>
        <v/>
      </c>
      <c r="Y2109" s="8">
        <f>IF(COUNT(D2109:V2109)=0,"",MAX(D2109:V2109))</f>
        <v/>
      </c>
      <c r="Z2109" s="9">
        <f>IF(OR(W2109="",W2109=0),"",(Y2109-W2109)/W2109)</f>
        <v/>
      </c>
      <c r="AA2109" s="7">
        <f>IF(COUNT(D2109:V2109)=0,"",INDEX($D$1:$V$1,MATCH(MIN(D2109:V2109),D2109:V2109,0)))</f>
        <v/>
      </c>
      <c r="AB2109" s="8" t="n">
        <v>955.51</v>
      </c>
      <c r="AC2109" s="10" t="n">
        <v>2</v>
      </c>
    </row>
    <row r="2110">
      <c r="A2110" s="7" t="inlineStr">
        <is>
          <t>MAT-32-759</t>
        </is>
      </c>
      <c r="B2110" s="4" t="inlineStr">
        <is>
          <t>Manguera para bomba 24"</t>
        </is>
      </c>
      <c r="C2110" s="7" t="inlineStr">
        <is>
          <t>unidad</t>
        </is>
      </c>
      <c r="D2110" s="8" t="n"/>
      <c r="E2110" s="8" t="n"/>
      <c r="F2110" s="8" t="n"/>
      <c r="G2110" s="8" t="n">
        <v>970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>
        <f>IF(COUNT(D2110:V2110)=0,"",MIN(D2110:V2110))</f>
        <v/>
      </c>
      <c r="X2110" s="8">
        <f>IF(COUNT(D2110:V2110)=0,"",MEDIAN(D2110:V2110))</f>
        <v/>
      </c>
      <c r="Y2110" s="8">
        <f>IF(COUNT(D2110:V2110)=0,"",MAX(D2110:V2110))</f>
        <v/>
      </c>
      <c r="Z2110" s="9">
        <f>IF(OR(W2110="",W2110=0),"",(Y2110-W2110)/W2110)</f>
        <v/>
      </c>
      <c r="AA2110" s="7">
        <f>IF(COUNT(D2110:V2110)=0,"",INDEX($D$1:$V$1,MATCH(MIN(D2110:V2110),D2110:V2110,0)))</f>
        <v/>
      </c>
      <c r="AB2110" s="8" t="n">
        <v>970</v>
      </c>
      <c r="AC2110" s="10" t="n">
        <v>1</v>
      </c>
    </row>
    <row r="2111">
      <c r="A2111" s="7" t="inlineStr">
        <is>
          <t>MAT-32-760</t>
        </is>
      </c>
      <c r="B2111" s="4" t="inlineStr">
        <is>
          <t>Manguera para bomba 36"</t>
        </is>
      </c>
      <c r="C2111" s="7" t="inlineStr">
        <is>
          <t>unidad</t>
        </is>
      </c>
      <c r="D2111" s="8" t="n"/>
      <c r="E2111" s="8" t="n"/>
      <c r="F2111" s="8" t="n"/>
      <c r="G2111" s="8" t="n">
        <v>475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>
        <f>IF(COUNT(D2111:V2111)=0,"",MIN(D2111:V2111))</f>
        <v/>
      </c>
      <c r="X2111" s="8">
        <f>IF(COUNT(D2111:V2111)=0,"",MEDIAN(D2111:V2111))</f>
        <v/>
      </c>
      <c r="Y2111" s="8">
        <f>IF(COUNT(D2111:V2111)=0,"",MAX(D2111:V2111))</f>
        <v/>
      </c>
      <c r="Z2111" s="9">
        <f>IF(OR(W2111="",W2111=0),"",(Y2111-W2111)/W2111)</f>
        <v/>
      </c>
      <c r="AA2111" s="7">
        <f>IF(COUNT(D2111:V2111)=0,"",INDEX($D$1:$V$1,MATCH(MIN(D2111:V2111),D2111:V2111,0)))</f>
        <v/>
      </c>
      <c r="AB2111" s="8" t="n">
        <v>475</v>
      </c>
      <c r="AC2111" s="10" t="n">
        <v>1</v>
      </c>
    </row>
    <row r="2112">
      <c r="A2112" s="7" t="inlineStr">
        <is>
          <t>MAT-32-761</t>
        </is>
      </c>
      <c r="B2112" s="4" t="inlineStr">
        <is>
          <t>Manguera para calentador 24"</t>
        </is>
      </c>
      <c r="C2112" s="7" t="inlineStr">
        <is>
          <t>unidad</t>
        </is>
      </c>
      <c r="D2112" s="8" t="n"/>
      <c r="E2112" s="8" t="n"/>
      <c r="F2112" s="8" t="n"/>
      <c r="G2112" s="8" t="n">
        <v>895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>
        <f>IF(COUNT(D2112:V2112)=0,"",MIN(D2112:V2112))</f>
        <v/>
      </c>
      <c r="X2112" s="8">
        <f>IF(COUNT(D2112:V2112)=0,"",MEDIAN(D2112:V2112))</f>
        <v/>
      </c>
      <c r="Y2112" s="8">
        <f>IF(COUNT(D2112:V2112)=0,"",MAX(D2112:V2112))</f>
        <v/>
      </c>
      <c r="Z2112" s="9">
        <f>IF(OR(W2112="",W2112=0),"",(Y2112-W2112)/W2112)</f>
        <v/>
      </c>
      <c r="AA2112" s="7">
        <f>IF(COUNT(D2112:V2112)=0,"",INDEX($D$1:$V$1,MATCH(MIN(D2112:V2112),D2112:V2112,0)))</f>
        <v/>
      </c>
      <c r="AB2112" s="8" t="n">
        <v>895</v>
      </c>
      <c r="AC2112" s="10" t="n">
        <v>1</v>
      </c>
    </row>
    <row r="2113">
      <c r="A2113" s="7" t="inlineStr">
        <is>
          <t>MAT-32-762</t>
        </is>
      </c>
      <c r="B2113" s="4" t="inlineStr">
        <is>
          <t>Manguera para calentador 3/4" x 1 pulgadas</t>
        </is>
      </c>
      <c r="C2113" s="7" t="inlineStr">
        <is>
          <t>unidad</t>
        </is>
      </c>
      <c r="D2113" s="8" t="n"/>
      <c r="E2113" s="8" t="n"/>
      <c r="F2113" s="8" t="n"/>
      <c r="G2113" s="8" t="n">
        <v>620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>
        <f>IF(COUNT(D2113:V2113)=0,"",MIN(D2113:V2113))</f>
        <v/>
      </c>
      <c r="X2113" s="8">
        <f>IF(COUNT(D2113:V2113)=0,"",MEDIAN(D2113:V2113))</f>
        <v/>
      </c>
      <c r="Y2113" s="8">
        <f>IF(COUNT(D2113:V2113)=0,"",MAX(D2113:V2113))</f>
        <v/>
      </c>
      <c r="Z2113" s="9">
        <f>IF(OR(W2113="",W2113=0),"",(Y2113-W2113)/W2113)</f>
        <v/>
      </c>
      <c r="AA2113" s="7">
        <f>IF(COUNT(D2113:V2113)=0,"",INDEX($D$1:$V$1,MATCH(MIN(D2113:V2113),D2113:V2113,0)))</f>
        <v/>
      </c>
      <c r="AB2113" s="8" t="n">
        <v>620</v>
      </c>
      <c r="AC2113" s="10" t="n">
        <v>1</v>
      </c>
    </row>
    <row r="2114">
      <c r="A2114" s="7" t="inlineStr">
        <is>
          <t>MAT-32-763</t>
        </is>
      </c>
      <c r="B2114" s="4" t="inlineStr">
        <is>
          <t>Manguera para calentador 3/4" x 2 pulgadas</t>
        </is>
      </c>
      <c r="C2114" s="7" t="inlineStr">
        <is>
          <t>unidad</t>
        </is>
      </c>
      <c r="D2114" s="8" t="n"/>
      <c r="E2114" s="8" t="n"/>
      <c r="F2114" s="8" t="n"/>
      <c r="G2114" s="8" t="n">
        <v>685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>
        <f>IF(COUNT(D2114:V2114)=0,"",MIN(D2114:V2114))</f>
        <v/>
      </c>
      <c r="X2114" s="8">
        <f>IF(COUNT(D2114:V2114)=0,"",MEDIAN(D2114:V2114))</f>
        <v/>
      </c>
      <c r="Y2114" s="8">
        <f>IF(COUNT(D2114:V2114)=0,"",MAX(D2114:V2114))</f>
        <v/>
      </c>
      <c r="Z2114" s="9">
        <f>IF(OR(W2114="",W2114=0),"",(Y2114-W2114)/W2114)</f>
        <v/>
      </c>
      <c r="AA2114" s="7">
        <f>IF(COUNT(D2114:V2114)=0,"",INDEX($D$1:$V$1,MATCH(MIN(D2114:V2114),D2114:V2114,0)))</f>
        <v/>
      </c>
      <c r="AB2114" s="8" t="n">
        <v>878</v>
      </c>
      <c r="AC2114" s="10" t="n">
        <v>1</v>
      </c>
    </row>
    <row r="2115">
      <c r="A2115" s="7" t="inlineStr">
        <is>
          <t>MAT-32-764</t>
        </is>
      </c>
      <c r="B2115" s="4" t="inlineStr">
        <is>
          <t>Manguera para calentador 60"</t>
        </is>
      </c>
      <c r="C2115" s="7" t="inlineStr">
        <is>
          <t>unidad</t>
        </is>
      </c>
      <c r="D2115" s="8" t="n"/>
      <c r="E2115" s="8" t="n"/>
      <c r="F2115" s="8" t="n"/>
      <c r="G2115" s="8" t="n">
        <v>1094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>
        <f>IF(COUNT(D2115:V2115)=0,"",MIN(D2115:V2115))</f>
        <v/>
      </c>
      <c r="X2115" s="8">
        <f>IF(COUNT(D2115:V2115)=0,"",MEDIAN(D2115:V2115))</f>
        <v/>
      </c>
      <c r="Y2115" s="8">
        <f>IF(COUNT(D2115:V2115)=0,"",MAX(D2115:V2115))</f>
        <v/>
      </c>
      <c r="Z2115" s="9">
        <f>IF(OR(W2115="",W2115=0),"",(Y2115-W2115)/W2115)</f>
        <v/>
      </c>
      <c r="AA2115" s="7">
        <f>IF(COUNT(D2115:V2115)=0,"",INDEX($D$1:$V$1,MATCH(MIN(D2115:V2115),D2115:V2115,0)))</f>
        <v/>
      </c>
      <c r="AB2115" s="8" t="n">
        <v>1094</v>
      </c>
      <c r="AC2115" s="10" t="n">
        <v>1</v>
      </c>
    </row>
    <row r="2116">
      <c r="A2116" s="7" t="inlineStr">
        <is>
          <t>MAT-32-765</t>
        </is>
      </c>
      <c r="B2116" s="4" t="inlineStr">
        <is>
          <t>Manguera para gas 12"</t>
        </is>
      </c>
      <c r="C2116" s="7" t="inlineStr">
        <is>
          <t>unidad</t>
        </is>
      </c>
      <c r="D2116" s="8" t="n"/>
      <c r="E2116" s="8" t="n"/>
      <c r="F2116" s="8" t="n"/>
      <c r="G2116" s="8" t="n">
        <v>50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>
        <f>IF(COUNT(D2116:V2116)=0,"",MIN(D2116:V2116))</f>
        <v/>
      </c>
      <c r="X2116" s="8">
        <f>IF(COUNT(D2116:V2116)=0,"",MEDIAN(D2116:V2116))</f>
        <v/>
      </c>
      <c r="Y2116" s="8">
        <f>IF(COUNT(D2116:V2116)=0,"",MAX(D2116:V2116))</f>
        <v/>
      </c>
      <c r="Z2116" s="9">
        <f>IF(OR(W2116="",W2116=0),"",(Y2116-W2116)/W2116)</f>
        <v/>
      </c>
      <c r="AA2116" s="7">
        <f>IF(COUNT(D2116:V2116)=0,"",INDEX($D$1:$V$1,MATCH(MIN(D2116:V2116),D2116:V2116,0)))</f>
        <v/>
      </c>
      <c r="AB2116" s="8" t="n">
        <v>50</v>
      </c>
      <c r="AC2116" s="10" t="n">
        <v>1</v>
      </c>
    </row>
    <row r="2117">
      <c r="A2117" s="7" t="inlineStr">
        <is>
          <t>MAT-32-766</t>
        </is>
      </c>
      <c r="B2117" s="4" t="inlineStr">
        <is>
          <t>Manguera para gas 18"</t>
        </is>
      </c>
      <c r="C2117" s="7" t="inlineStr">
        <is>
          <t>unidad</t>
        </is>
      </c>
      <c r="D2117" s="8" t="n"/>
      <c r="E2117" s="8" t="n"/>
      <c r="F2117" s="8" t="n"/>
      <c r="G2117" s="8" t="n">
        <v>65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>
        <f>IF(COUNT(D2117:V2117)=0,"",MIN(D2117:V2117))</f>
        <v/>
      </c>
      <c r="X2117" s="8">
        <f>IF(COUNT(D2117:V2117)=0,"",MEDIAN(D2117:V2117))</f>
        <v/>
      </c>
      <c r="Y2117" s="8">
        <f>IF(COUNT(D2117:V2117)=0,"",MAX(D2117:V2117))</f>
        <v/>
      </c>
      <c r="Z2117" s="9">
        <f>IF(OR(W2117="",W2117=0),"",(Y2117-W2117)/W2117)</f>
        <v/>
      </c>
      <c r="AA2117" s="7">
        <f>IF(COUNT(D2117:V2117)=0,"",INDEX($D$1:$V$1,MATCH(MIN(D2117:V2117),D2117:V2117,0)))</f>
        <v/>
      </c>
      <c r="AB2117" s="8" t="n">
        <v>65</v>
      </c>
      <c r="AC2117" s="10" t="n">
        <v>1</v>
      </c>
    </row>
    <row r="2118">
      <c r="A2118" s="7" t="inlineStr">
        <is>
          <t>MAT-32-767</t>
        </is>
      </c>
      <c r="B2118" s="4" t="inlineStr">
        <is>
          <t>Manguera para inodoro 16"</t>
        </is>
      </c>
      <c r="C2118" s="7" t="inlineStr">
        <is>
          <t>unidad</t>
        </is>
      </c>
      <c r="D2118" s="8" t="n"/>
      <c r="E2118" s="8" t="n"/>
      <c r="F2118" s="8" t="n"/>
      <c r="G2118" s="8" t="n">
        <v>250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>
        <f>IF(COUNT(D2118:V2118)=0,"",MIN(D2118:V2118))</f>
        <v/>
      </c>
      <c r="X2118" s="8">
        <f>IF(COUNT(D2118:V2118)=0,"",MEDIAN(D2118:V2118))</f>
        <v/>
      </c>
      <c r="Y2118" s="8">
        <f>IF(COUNT(D2118:V2118)=0,"",MAX(D2118:V2118))</f>
        <v/>
      </c>
      <c r="Z2118" s="9">
        <f>IF(OR(W2118="",W2118=0),"",(Y2118-W2118)/W2118)</f>
        <v/>
      </c>
      <c r="AA2118" s="7">
        <f>IF(COUNT(D2118:V2118)=0,"",INDEX($D$1:$V$1,MATCH(MIN(D2118:V2118),D2118:V2118,0)))</f>
        <v/>
      </c>
      <c r="AB2118" s="8" t="n">
        <v>250</v>
      </c>
      <c r="AC2118" s="10" t="n">
        <v>1</v>
      </c>
    </row>
    <row r="2119">
      <c r="A2119" s="7" t="inlineStr">
        <is>
          <t>MAT-32-768</t>
        </is>
      </c>
      <c r="B2119" s="4" t="inlineStr">
        <is>
          <t>Manguera para jardín 1/2"</t>
        </is>
      </c>
      <c r="C2119" s="7" t="inlineStr">
        <is>
          <t>unidad</t>
        </is>
      </c>
      <c r="D2119" s="8" t="n"/>
      <c r="E2119" s="8" t="n"/>
      <c r="F2119" s="8" t="n"/>
      <c r="G2119" s="8" t="n">
        <v>535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>
        <f>IF(COUNT(D2119:V2119)=0,"",MIN(D2119:V2119))</f>
        <v/>
      </c>
      <c r="X2119" s="8">
        <f>IF(COUNT(D2119:V2119)=0,"",MEDIAN(D2119:V2119))</f>
        <v/>
      </c>
      <c r="Y2119" s="8">
        <f>IF(COUNT(D2119:V2119)=0,"",MAX(D2119:V2119))</f>
        <v/>
      </c>
      <c r="Z2119" s="9">
        <f>IF(OR(W2119="",W2119=0),"",(Y2119-W2119)/W2119)</f>
        <v/>
      </c>
      <c r="AA2119" s="7">
        <f>IF(COUNT(D2119:V2119)=0,"",INDEX($D$1:$V$1,MATCH(MIN(D2119:V2119),D2119:V2119,0)))</f>
        <v/>
      </c>
      <c r="AB2119" s="8" t="n">
        <v>1288</v>
      </c>
      <c r="AC2119" s="10" t="n">
        <v>1</v>
      </c>
    </row>
    <row r="2120">
      <c r="A2120" s="7" t="inlineStr">
        <is>
          <t>MAT-32-769</t>
        </is>
      </c>
      <c r="B2120" s="4" t="inlineStr">
        <is>
          <t>Manguera para jardín 1/2" x 100 pies</t>
        </is>
      </c>
      <c r="C2120" s="7" t="inlineStr">
        <is>
          <t>unidad</t>
        </is>
      </c>
      <c r="D2120" s="8" t="n"/>
      <c r="E2120" s="8" t="n"/>
      <c r="F2120" s="8" t="n"/>
      <c r="G2120" s="8" t="n">
        <v>1475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>
        <f>IF(COUNT(D2120:V2120)=0,"",MIN(D2120:V2120))</f>
        <v/>
      </c>
      <c r="X2120" s="8">
        <f>IF(COUNT(D2120:V2120)=0,"",MEDIAN(D2120:V2120))</f>
        <v/>
      </c>
      <c r="Y2120" s="8">
        <f>IF(COUNT(D2120:V2120)=0,"",MAX(D2120:V2120))</f>
        <v/>
      </c>
      <c r="Z2120" s="9">
        <f>IF(OR(W2120="",W2120=0),"",(Y2120-W2120)/W2120)</f>
        <v/>
      </c>
      <c r="AA2120" s="7">
        <f>IF(COUNT(D2120:V2120)=0,"",INDEX($D$1:$V$1,MATCH(MIN(D2120:V2120),D2120:V2120,0)))</f>
        <v/>
      </c>
      <c r="AB2120" s="8" t="n">
        <v>1475</v>
      </c>
      <c r="AC2120" s="10" t="n">
        <v>1</v>
      </c>
    </row>
    <row r="2121">
      <c r="A2121" s="7" t="inlineStr">
        <is>
          <t>MAT-32-770</t>
        </is>
      </c>
      <c r="B2121" s="4" t="inlineStr">
        <is>
          <t>Manguera para jardín 1/2" x 25 pies</t>
        </is>
      </c>
      <c r="C2121" s="7" t="inlineStr">
        <is>
          <t>unidad</t>
        </is>
      </c>
      <c r="D2121" s="8" t="n"/>
      <c r="E2121" s="8" t="n"/>
      <c r="F2121" s="8" t="n"/>
      <c r="G2121" s="8" t="n">
        <v>544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>
        <f>IF(COUNT(D2121:V2121)=0,"",MIN(D2121:V2121))</f>
        <v/>
      </c>
      <c r="X2121" s="8">
        <f>IF(COUNT(D2121:V2121)=0,"",MEDIAN(D2121:V2121))</f>
        <v/>
      </c>
      <c r="Y2121" s="8">
        <f>IF(COUNT(D2121:V2121)=0,"",MAX(D2121:V2121))</f>
        <v/>
      </c>
      <c r="Z2121" s="9">
        <f>IF(OR(W2121="",W2121=0),"",(Y2121-W2121)/W2121)</f>
        <v/>
      </c>
      <c r="AA2121" s="7">
        <f>IF(COUNT(D2121:V2121)=0,"",INDEX($D$1:$V$1,MATCH(MIN(D2121:V2121),D2121:V2121,0)))</f>
        <v/>
      </c>
      <c r="AB2121" s="8" t="n">
        <v>544</v>
      </c>
      <c r="AC2121" s="10" t="n">
        <v>1</v>
      </c>
    </row>
    <row r="2122">
      <c r="A2122" s="7" t="inlineStr">
        <is>
          <t>MAT-32-771</t>
        </is>
      </c>
      <c r="B2122" s="4" t="inlineStr">
        <is>
          <t>Manguera para jardín 1/2" x 50 pies</t>
        </is>
      </c>
      <c r="C2122" s="7" t="inlineStr">
        <is>
          <t>unidad</t>
        </is>
      </c>
      <c r="D2122" s="8" t="n"/>
      <c r="E2122" s="8" t="n"/>
      <c r="F2122" s="8" t="n"/>
      <c r="G2122" s="8" t="n">
        <v>1042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>
        <f>IF(COUNT(D2122:V2122)=0,"",MIN(D2122:V2122))</f>
        <v/>
      </c>
      <c r="X2122" s="8">
        <f>IF(COUNT(D2122:V2122)=0,"",MEDIAN(D2122:V2122))</f>
        <v/>
      </c>
      <c r="Y2122" s="8">
        <f>IF(COUNT(D2122:V2122)=0,"",MAX(D2122:V2122))</f>
        <v/>
      </c>
      <c r="Z2122" s="9">
        <f>IF(OR(W2122="",W2122=0),"",(Y2122-W2122)/W2122)</f>
        <v/>
      </c>
      <c r="AA2122" s="7">
        <f>IF(COUNT(D2122:V2122)=0,"",INDEX($D$1:$V$1,MATCH(MIN(D2122:V2122),D2122:V2122,0)))</f>
        <v/>
      </c>
      <c r="AB2122" s="8" t="n">
        <v>1042</v>
      </c>
      <c r="AC2122" s="10" t="n">
        <v>1</v>
      </c>
    </row>
    <row r="2123">
      <c r="A2123" s="7" t="inlineStr">
        <is>
          <t>MAT-32-772</t>
        </is>
      </c>
      <c r="B2123" s="4" t="inlineStr">
        <is>
          <t>Manguera para jardín 5/8"</t>
        </is>
      </c>
      <c r="C2123" s="7" t="inlineStr">
        <is>
          <t>unidad</t>
        </is>
      </c>
      <c r="D2123" s="8" t="n"/>
      <c r="E2123" s="8" t="n"/>
      <c r="F2123" s="8" t="n"/>
      <c r="G2123" s="8" t="n">
        <v>2054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>
        <f>IF(COUNT(D2123:V2123)=0,"",MIN(D2123:V2123))</f>
        <v/>
      </c>
      <c r="X2123" s="8">
        <f>IF(COUNT(D2123:V2123)=0,"",MEDIAN(D2123:V2123))</f>
        <v/>
      </c>
      <c r="Y2123" s="8">
        <f>IF(COUNT(D2123:V2123)=0,"",MAX(D2123:V2123))</f>
        <v/>
      </c>
      <c r="Z2123" s="9">
        <f>IF(OR(W2123="",W2123=0),"",(Y2123-W2123)/W2123)</f>
        <v/>
      </c>
      <c r="AA2123" s="7">
        <f>IF(COUNT(D2123:V2123)=0,"",INDEX($D$1:$V$1,MATCH(MIN(D2123:V2123),D2123:V2123,0)))</f>
        <v/>
      </c>
      <c r="AB2123" s="8" t="n">
        <v>2397</v>
      </c>
      <c r="AC2123" s="10" t="n">
        <v>1</v>
      </c>
    </row>
    <row r="2124">
      <c r="A2124" s="7" t="inlineStr">
        <is>
          <t>MAT-32-773</t>
        </is>
      </c>
      <c r="B2124" s="4" t="inlineStr">
        <is>
          <t>Manguera para jardín 5/8" x 75 pies</t>
        </is>
      </c>
      <c r="C2124" s="7" t="inlineStr">
        <is>
          <t>unidad</t>
        </is>
      </c>
      <c r="D2124" s="8" t="n"/>
      <c r="E2124" s="8" t="n"/>
      <c r="F2124" s="8" t="n"/>
      <c r="G2124" s="8" t="n">
        <v>1365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>
        <f>IF(COUNT(D2124:V2124)=0,"",MIN(D2124:V2124))</f>
        <v/>
      </c>
      <c r="X2124" s="8">
        <f>IF(COUNT(D2124:V2124)=0,"",MEDIAN(D2124:V2124))</f>
        <v/>
      </c>
      <c r="Y2124" s="8">
        <f>IF(COUNT(D2124:V2124)=0,"",MAX(D2124:V2124))</f>
        <v/>
      </c>
      <c r="Z2124" s="9">
        <f>IF(OR(W2124="",W2124=0),"",(Y2124-W2124)/W2124)</f>
        <v/>
      </c>
      <c r="AA2124" s="7">
        <f>IF(COUNT(D2124:V2124)=0,"",INDEX($D$1:$V$1,MATCH(MIN(D2124:V2124),D2124:V2124,0)))</f>
        <v/>
      </c>
      <c r="AB2124" s="8" t="n">
        <v>1365</v>
      </c>
      <c r="AC2124" s="10" t="n">
        <v>1</v>
      </c>
    </row>
    <row r="2125">
      <c r="A2125" s="7" t="inlineStr">
        <is>
          <t>MAT-32-774</t>
        </is>
      </c>
      <c r="B2125" s="4" t="inlineStr">
        <is>
          <t>Manguera para lavadora 48"</t>
        </is>
      </c>
      <c r="C2125" s="7" t="inlineStr">
        <is>
          <t>unidad</t>
        </is>
      </c>
      <c r="D2125" s="8" t="n"/>
      <c r="E2125" s="8" t="n"/>
      <c r="F2125" s="8" t="n"/>
      <c r="G2125" s="8" t="n">
        <v>556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>
        <f>IF(COUNT(D2125:V2125)=0,"",MIN(D2125:V2125))</f>
        <v/>
      </c>
      <c r="X2125" s="8">
        <f>IF(COUNT(D2125:V2125)=0,"",MEDIAN(D2125:V2125))</f>
        <v/>
      </c>
      <c r="Y2125" s="8">
        <f>IF(COUNT(D2125:V2125)=0,"",MAX(D2125:V2125))</f>
        <v/>
      </c>
      <c r="Z2125" s="9">
        <f>IF(OR(W2125="",W2125=0),"",(Y2125-W2125)/W2125)</f>
        <v/>
      </c>
      <c r="AA2125" s="7">
        <f>IF(COUNT(D2125:V2125)=0,"",INDEX($D$1:$V$1,MATCH(MIN(D2125:V2125),D2125:V2125,0)))</f>
        <v/>
      </c>
      <c r="AB2125" s="8" t="n">
        <v>556</v>
      </c>
      <c r="AC2125" s="10" t="n">
        <v>1</v>
      </c>
    </row>
    <row r="2126">
      <c r="A2126" s="7" t="inlineStr">
        <is>
          <t>MAT-32-775</t>
        </is>
      </c>
      <c r="B2126" s="4" t="inlineStr">
        <is>
          <t>Manguera para lavadora 60"</t>
        </is>
      </c>
      <c r="C2126" s="7" t="inlineStr">
        <is>
          <t>unidad</t>
        </is>
      </c>
      <c r="D2126" s="8" t="n"/>
      <c r="E2126" s="8" t="n"/>
      <c r="F2126" s="8" t="n"/>
      <c r="G2126" s="8" t="n">
        <v>410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>
        <f>IF(COUNT(D2126:V2126)=0,"",MIN(D2126:V2126))</f>
        <v/>
      </c>
      <c r="X2126" s="8">
        <f>IF(COUNT(D2126:V2126)=0,"",MEDIAN(D2126:V2126))</f>
        <v/>
      </c>
      <c r="Y2126" s="8">
        <f>IF(COUNT(D2126:V2126)=0,"",MAX(D2126:V2126))</f>
        <v/>
      </c>
      <c r="Z2126" s="9">
        <f>IF(OR(W2126="",W2126=0),"",(Y2126-W2126)/W2126)</f>
        <v/>
      </c>
      <c r="AA2126" s="7">
        <f>IF(COUNT(D2126:V2126)=0,"",INDEX($D$1:$V$1,MATCH(MIN(D2126:V2126),D2126:V2126,0)))</f>
        <v/>
      </c>
      <c r="AB2126" s="8" t="n">
        <v>410</v>
      </c>
      <c r="AC2126" s="10" t="n">
        <v>1</v>
      </c>
    </row>
    <row r="2127">
      <c r="A2127" s="7" t="inlineStr">
        <is>
          <t>MAT-32-776</t>
        </is>
      </c>
      <c r="B2127" s="4" t="inlineStr">
        <is>
          <t>Manguera para lavadora 72"</t>
        </is>
      </c>
      <c r="C2127" s="7" t="inlineStr">
        <is>
          <t>unidad</t>
        </is>
      </c>
      <c r="D2127" s="8" t="n"/>
      <c r="E2127" s="8" t="n"/>
      <c r="F2127" s="8" t="n"/>
      <c r="G2127" s="8" t="n">
        <v>375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>
        <f>IF(COUNT(D2127:V2127)=0,"",MIN(D2127:V2127))</f>
        <v/>
      </c>
      <c r="X2127" s="8">
        <f>IF(COUNT(D2127:V2127)=0,"",MEDIAN(D2127:V2127))</f>
        <v/>
      </c>
      <c r="Y2127" s="8">
        <f>IF(COUNT(D2127:V2127)=0,"",MAX(D2127:V2127))</f>
        <v/>
      </c>
      <c r="Z2127" s="9">
        <f>IF(OR(W2127="",W2127=0),"",(Y2127-W2127)/W2127)</f>
        <v/>
      </c>
      <c r="AA2127" s="7">
        <f>IF(COUNT(D2127:V2127)=0,"",INDEX($D$1:$V$1,MATCH(MIN(D2127:V2127),D2127:V2127,0)))</f>
        <v/>
      </c>
      <c r="AB2127" s="8" t="n">
        <v>375</v>
      </c>
      <c r="AC2127" s="10" t="n">
        <v>1</v>
      </c>
    </row>
    <row r="2128">
      <c r="A2128" s="7" t="inlineStr">
        <is>
          <t>MAT-32-777</t>
        </is>
      </c>
      <c r="B2128" s="4" t="inlineStr">
        <is>
          <t>Manguera para lavamanos 1/2"</t>
        </is>
      </c>
      <c r="C2128" s="7" t="inlineStr">
        <is>
          <t>unidad</t>
        </is>
      </c>
      <c r="D2128" s="8" t="n"/>
      <c r="E2128" s="8" t="n"/>
      <c r="F2128" s="8" t="n"/>
      <c r="G2128" s="8" t="n">
        <v>295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>
        <f>IF(COUNT(D2128:V2128)=0,"",MIN(D2128:V2128))</f>
        <v/>
      </c>
      <c r="X2128" s="8">
        <f>IF(COUNT(D2128:V2128)=0,"",MEDIAN(D2128:V2128))</f>
        <v/>
      </c>
      <c r="Y2128" s="8">
        <f>IF(COUNT(D2128:V2128)=0,"",MAX(D2128:V2128))</f>
        <v/>
      </c>
      <c r="Z2128" s="9">
        <f>IF(OR(W2128="",W2128=0),"",(Y2128-W2128)/W2128)</f>
        <v/>
      </c>
      <c r="AA2128" s="7">
        <f>IF(COUNT(D2128:V2128)=0,"",INDEX($D$1:$V$1,MATCH(MIN(D2128:V2128),D2128:V2128,0)))</f>
        <v/>
      </c>
      <c r="AB2128" s="8" t="n">
        <v>384</v>
      </c>
      <c r="AC2128" s="10" t="n">
        <v>1</v>
      </c>
    </row>
    <row r="2129">
      <c r="A2129" s="7" t="inlineStr">
        <is>
          <t>MAT-32-778</t>
        </is>
      </c>
      <c r="B2129" s="4" t="inlineStr">
        <is>
          <t>Manguera para lavamanos 16"</t>
        </is>
      </c>
      <c r="C2129" s="7" t="inlineStr">
        <is>
          <t>unidad</t>
        </is>
      </c>
      <c r="D2129" s="8" t="n"/>
      <c r="E2129" s="8" t="n"/>
      <c r="F2129" s="8" t="n"/>
      <c r="G2129" s="8" t="n">
        <v>265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>
        <f>IF(COUNT(D2129:V2129)=0,"",MIN(D2129:V2129))</f>
        <v/>
      </c>
      <c r="X2129" s="8">
        <f>IF(COUNT(D2129:V2129)=0,"",MEDIAN(D2129:V2129))</f>
        <v/>
      </c>
      <c r="Y2129" s="8">
        <f>IF(COUNT(D2129:V2129)=0,"",MAX(D2129:V2129))</f>
        <v/>
      </c>
      <c r="Z2129" s="9">
        <f>IF(OR(W2129="",W2129=0),"",(Y2129-W2129)/W2129)</f>
        <v/>
      </c>
      <c r="AA2129" s="7">
        <f>IF(COUNT(D2129:V2129)=0,"",INDEX($D$1:$V$1,MATCH(MIN(D2129:V2129),D2129:V2129,0)))</f>
        <v/>
      </c>
      <c r="AB2129" s="8" t="n">
        <v>265</v>
      </c>
      <c r="AC2129" s="10" t="n">
        <v>1</v>
      </c>
    </row>
    <row r="2130">
      <c r="A2130" s="7" t="inlineStr">
        <is>
          <t>MAT-32-779</t>
        </is>
      </c>
      <c r="B2130" s="4" t="inlineStr">
        <is>
          <t>Manguera para lavamanos 20"</t>
        </is>
      </c>
      <c r="C2130" s="7" t="inlineStr">
        <is>
          <t>unidad</t>
        </is>
      </c>
      <c r="D2130" s="8" t="n"/>
      <c r="E2130" s="8" t="n"/>
      <c r="F2130" s="8" t="n"/>
      <c r="G2130" s="8" t="n">
        <v>325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>
        <f>IF(COUNT(D2130:V2130)=0,"",MIN(D2130:V2130))</f>
        <v/>
      </c>
      <c r="X2130" s="8">
        <f>IF(COUNT(D2130:V2130)=0,"",MEDIAN(D2130:V2130))</f>
        <v/>
      </c>
      <c r="Y2130" s="8">
        <f>IF(COUNT(D2130:V2130)=0,"",MAX(D2130:V2130))</f>
        <v/>
      </c>
      <c r="Z2130" s="9">
        <f>IF(OR(W2130="",W2130=0),"",(Y2130-W2130)/W2130)</f>
        <v/>
      </c>
      <c r="AA2130" s="7">
        <f>IF(COUNT(D2130:V2130)=0,"",INDEX($D$1:$V$1,MATCH(MIN(D2130:V2130),D2130:V2130,0)))</f>
        <v/>
      </c>
      <c r="AB2130" s="8" t="n">
        <v>325</v>
      </c>
      <c r="AC2130" s="10" t="n">
        <v>1</v>
      </c>
    </row>
    <row r="2131">
      <c r="A2131" s="7" t="inlineStr">
        <is>
          <t>MAT-32-780</t>
        </is>
      </c>
      <c r="B2131" s="4" t="inlineStr">
        <is>
          <t>Manguera para lavamanos 22"</t>
        </is>
      </c>
      <c r="C2131" s="7" t="inlineStr">
        <is>
          <t>unidad</t>
        </is>
      </c>
      <c r="D2131" s="8" t="n"/>
      <c r="E2131" s="8" t="n"/>
      <c r="F2131" s="8" t="n"/>
      <c r="G2131" s="8" t="n">
        <v>365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>
        <f>IF(COUNT(D2131:V2131)=0,"",MIN(D2131:V2131))</f>
        <v/>
      </c>
      <c r="X2131" s="8">
        <f>IF(COUNT(D2131:V2131)=0,"",MEDIAN(D2131:V2131))</f>
        <v/>
      </c>
      <c r="Y2131" s="8">
        <f>IF(COUNT(D2131:V2131)=0,"",MAX(D2131:V2131))</f>
        <v/>
      </c>
      <c r="Z2131" s="9">
        <f>IF(OR(W2131="",W2131=0),"",(Y2131-W2131)/W2131)</f>
        <v/>
      </c>
      <c r="AA2131" s="7">
        <f>IF(COUNT(D2131:V2131)=0,"",INDEX($D$1:$V$1,MATCH(MIN(D2131:V2131),D2131:V2131,0)))</f>
        <v/>
      </c>
      <c r="AB2131" s="8" t="n">
        <v>425</v>
      </c>
      <c r="AC2131" s="10" t="n">
        <v>1</v>
      </c>
    </row>
    <row r="2132">
      <c r="A2132" s="7" t="inlineStr">
        <is>
          <t>MAT-32-781</t>
        </is>
      </c>
      <c r="B2132" s="4" t="inlineStr">
        <is>
          <t>Manguera para lavamanos 24"</t>
        </is>
      </c>
      <c r="C2132" s="7" t="inlineStr">
        <is>
          <t>unidad</t>
        </is>
      </c>
      <c r="D2132" s="8" t="n"/>
      <c r="E2132" s="8" t="n"/>
      <c r="F2132" s="8" t="n"/>
      <c r="G2132" s="8" t="n">
        <v>265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>
        <f>IF(COUNT(D2132:V2132)=0,"",MIN(D2132:V2132))</f>
        <v/>
      </c>
      <c r="X2132" s="8">
        <f>IF(COUNT(D2132:V2132)=0,"",MEDIAN(D2132:V2132))</f>
        <v/>
      </c>
      <c r="Y2132" s="8">
        <f>IF(COUNT(D2132:V2132)=0,"",MAX(D2132:V2132))</f>
        <v/>
      </c>
      <c r="Z2132" s="9">
        <f>IF(OR(W2132="",W2132=0),"",(Y2132-W2132)/W2132)</f>
        <v/>
      </c>
      <c r="AA2132" s="7">
        <f>IF(COUNT(D2132:V2132)=0,"",INDEX($D$1:$V$1,MATCH(MIN(D2132:V2132),D2132:V2132,0)))</f>
        <v/>
      </c>
      <c r="AB2132" s="8" t="n">
        <v>279</v>
      </c>
      <c r="AC2132" s="10" t="n">
        <v>1</v>
      </c>
    </row>
    <row r="2133">
      <c r="A2133" s="7" t="inlineStr">
        <is>
          <t>MAT-32-782</t>
        </is>
      </c>
      <c r="B2133" s="4" t="inlineStr">
        <is>
          <t>Manguera para lavamanos 3/8"</t>
        </is>
      </c>
      <c r="C2133" s="7" t="inlineStr">
        <is>
          <t>unidad</t>
        </is>
      </c>
      <c r="D2133" s="8" t="n"/>
      <c r="E2133" s="8" t="n"/>
      <c r="F2133" s="8" t="n"/>
      <c r="G2133" s="8" t="n">
        <v>505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>
        <f>IF(COUNT(D2133:V2133)=0,"",MIN(D2133:V2133))</f>
        <v/>
      </c>
      <c r="X2133" s="8">
        <f>IF(COUNT(D2133:V2133)=0,"",MEDIAN(D2133:V2133))</f>
        <v/>
      </c>
      <c r="Y2133" s="8">
        <f>IF(COUNT(D2133:V2133)=0,"",MAX(D2133:V2133))</f>
        <v/>
      </c>
      <c r="Z2133" s="9">
        <f>IF(OR(W2133="",W2133=0),"",(Y2133-W2133)/W2133)</f>
        <v/>
      </c>
      <c r="AA2133" s="7">
        <f>IF(COUNT(D2133:V2133)=0,"",INDEX($D$1:$V$1,MATCH(MIN(D2133:V2133),D2133:V2133,0)))</f>
        <v/>
      </c>
      <c r="AB2133" s="8" t="n">
        <v>505</v>
      </c>
      <c r="AC2133" s="10" t="n">
        <v>1</v>
      </c>
    </row>
    <row r="2134">
      <c r="A2134" s="7" t="inlineStr">
        <is>
          <t>MAT-32-783</t>
        </is>
      </c>
      <c r="B2134" s="4" t="inlineStr">
        <is>
          <t>Manguera para lavamanos 3/8" x 32 pulgadas</t>
        </is>
      </c>
      <c r="C2134" s="7" t="inlineStr">
        <is>
          <t>unidad</t>
        </is>
      </c>
      <c r="D2134" s="8" t="n"/>
      <c r="E2134" s="8" t="n"/>
      <c r="F2134" s="8" t="n"/>
      <c r="G2134" s="8" t="n">
        <v>198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>
        <f>IF(COUNT(D2134:V2134)=0,"",MIN(D2134:V2134))</f>
        <v/>
      </c>
      <c r="X2134" s="8">
        <f>IF(COUNT(D2134:V2134)=0,"",MEDIAN(D2134:V2134))</f>
        <v/>
      </c>
      <c r="Y2134" s="8">
        <f>IF(COUNT(D2134:V2134)=0,"",MAX(D2134:V2134))</f>
        <v/>
      </c>
      <c r="Z2134" s="9">
        <f>IF(OR(W2134="",W2134=0),"",(Y2134-W2134)/W2134)</f>
        <v/>
      </c>
      <c r="AA2134" s="7">
        <f>IF(COUNT(D2134:V2134)=0,"",INDEX($D$1:$V$1,MATCH(MIN(D2134:V2134),D2134:V2134,0)))</f>
        <v/>
      </c>
      <c r="AB2134" s="8" t="n">
        <v>198</v>
      </c>
      <c r="AC2134" s="10" t="n">
        <v>1</v>
      </c>
    </row>
    <row r="2135">
      <c r="A2135" s="7" t="inlineStr">
        <is>
          <t>MAT-32-784</t>
        </is>
      </c>
      <c r="B2135" s="4" t="inlineStr">
        <is>
          <t>Manguera para lavamanos 30"</t>
        </is>
      </c>
      <c r="C2135" s="7" t="inlineStr">
        <is>
          <t>unidad</t>
        </is>
      </c>
      <c r="D2135" s="8" t="n"/>
      <c r="E2135" s="8" t="n"/>
      <c r="F2135" s="8" t="n"/>
      <c r="G2135" s="8" t="n">
        <v>330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>
        <f>IF(COUNT(D2135:V2135)=0,"",MIN(D2135:V2135))</f>
        <v/>
      </c>
      <c r="X2135" s="8">
        <f>IF(COUNT(D2135:V2135)=0,"",MEDIAN(D2135:V2135))</f>
        <v/>
      </c>
      <c r="Y2135" s="8">
        <f>IF(COUNT(D2135:V2135)=0,"",MAX(D2135:V2135))</f>
        <v/>
      </c>
      <c r="Z2135" s="9">
        <f>IF(OR(W2135="",W2135=0),"",(Y2135-W2135)/W2135)</f>
        <v/>
      </c>
      <c r="AA2135" s="7">
        <f>IF(COUNT(D2135:V2135)=0,"",INDEX($D$1:$V$1,MATCH(MIN(D2135:V2135),D2135:V2135,0)))</f>
        <v/>
      </c>
      <c r="AB2135" s="8" t="n">
        <v>330</v>
      </c>
      <c r="AC2135" s="10" t="n">
        <v>1</v>
      </c>
    </row>
    <row r="2136">
      <c r="A2136" s="7" t="inlineStr">
        <is>
          <t>MAT-32-785</t>
        </is>
      </c>
      <c r="B2136" s="4" t="inlineStr">
        <is>
          <t>Manguera para lavamanos 36"</t>
        </is>
      </c>
      <c r="C2136" s="7" t="inlineStr">
        <is>
          <t>unidad</t>
        </is>
      </c>
      <c r="D2136" s="8" t="n"/>
      <c r="E2136" s="8" t="n"/>
      <c r="F2136" s="8" t="n"/>
      <c r="G2136" s="8" t="n">
        <v>319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>
        <f>IF(COUNT(D2136:V2136)=0,"",MIN(D2136:V2136))</f>
        <v/>
      </c>
      <c r="X2136" s="8">
        <f>IF(COUNT(D2136:V2136)=0,"",MEDIAN(D2136:V2136))</f>
        <v/>
      </c>
      <c r="Y2136" s="8">
        <f>IF(COUNT(D2136:V2136)=0,"",MAX(D2136:V2136))</f>
        <v/>
      </c>
      <c r="Z2136" s="9">
        <f>IF(OR(W2136="",W2136=0),"",(Y2136-W2136)/W2136)</f>
        <v/>
      </c>
      <c r="AA2136" s="7">
        <f>IF(COUNT(D2136:V2136)=0,"",INDEX($D$1:$V$1,MATCH(MIN(D2136:V2136),D2136:V2136,0)))</f>
        <v/>
      </c>
      <c r="AB2136" s="8" t="n">
        <v>319</v>
      </c>
      <c r="AC2136" s="10" t="n">
        <v>1</v>
      </c>
    </row>
    <row r="2137">
      <c r="A2137" s="7" t="inlineStr">
        <is>
          <t>MAT-32-786</t>
        </is>
      </c>
      <c r="B2137" s="4" t="inlineStr">
        <is>
          <t>Manguera para mezcladora 3/8" x 20 pulgadas</t>
        </is>
      </c>
      <c r="C2137" s="7" t="inlineStr">
        <is>
          <t>unidad</t>
        </is>
      </c>
      <c r="D2137" s="8" t="n"/>
      <c r="E2137" s="8" t="n"/>
      <c r="F2137" s="8" t="n"/>
      <c r="G2137" s="8" t="n">
        <v>195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>
        <f>IF(COUNT(D2137:V2137)=0,"",MIN(D2137:V2137))</f>
        <v/>
      </c>
      <c r="X2137" s="8">
        <f>IF(COUNT(D2137:V2137)=0,"",MEDIAN(D2137:V2137))</f>
        <v/>
      </c>
      <c r="Y2137" s="8">
        <f>IF(COUNT(D2137:V2137)=0,"",MAX(D2137:V2137))</f>
        <v/>
      </c>
      <c r="Z2137" s="9">
        <f>IF(OR(W2137="",W2137=0),"",(Y2137-W2137)/W2137)</f>
        <v/>
      </c>
      <c r="AA2137" s="7">
        <f>IF(COUNT(D2137:V2137)=0,"",INDEX($D$1:$V$1,MATCH(MIN(D2137:V2137),D2137:V2137,0)))</f>
        <v/>
      </c>
      <c r="AB2137" s="8" t="n">
        <v>195</v>
      </c>
      <c r="AC2137" s="10" t="n">
        <v>1</v>
      </c>
    </row>
    <row r="2138">
      <c r="A2138" s="7" t="inlineStr">
        <is>
          <t>MAT-32-787</t>
        </is>
      </c>
      <c r="B2138" s="4" t="inlineStr">
        <is>
          <t>Manguera para mezcladora 32"</t>
        </is>
      </c>
      <c r="C2138" s="7" t="inlineStr">
        <is>
          <t>unidad</t>
        </is>
      </c>
      <c r="D2138" s="8" t="n"/>
      <c r="E2138" s="8" t="n"/>
      <c r="F2138" s="8" t="n"/>
      <c r="G2138" s="8" t="n">
        <v>297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>
        <f>IF(COUNT(D2138:V2138)=0,"",MIN(D2138:V2138))</f>
        <v/>
      </c>
      <c r="X2138" s="8">
        <f>IF(COUNT(D2138:V2138)=0,"",MEDIAN(D2138:V2138))</f>
        <v/>
      </c>
      <c r="Y2138" s="8">
        <f>IF(COUNT(D2138:V2138)=0,"",MAX(D2138:V2138))</f>
        <v/>
      </c>
      <c r="Z2138" s="9">
        <f>IF(OR(W2138="",W2138=0),"",(Y2138-W2138)/W2138)</f>
        <v/>
      </c>
      <c r="AA2138" s="7">
        <f>IF(COUNT(D2138:V2138)=0,"",INDEX($D$1:$V$1,MATCH(MIN(D2138:V2138),D2138:V2138,0)))</f>
        <v/>
      </c>
      <c r="AB2138" s="8" t="n">
        <v>297</v>
      </c>
      <c r="AC2138" s="10" t="n">
        <v>1</v>
      </c>
    </row>
    <row r="2139">
      <c r="A2139" s="7" t="inlineStr">
        <is>
          <t>MAT-32-788</t>
        </is>
      </c>
      <c r="B2139" s="4" t="inlineStr">
        <is>
          <t>Manguera para uso general, transparente 0.31"</t>
        </is>
      </c>
      <c r="C2139" s="7" t="inlineStr">
        <is>
          <t>unidad</t>
        </is>
      </c>
      <c r="D2139" s="8" t="n"/>
      <c r="E2139" s="8" t="n"/>
      <c r="F2139" s="8" t="n"/>
      <c r="G2139" s="8" t="n">
        <v>25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>
        <f>IF(COUNT(D2139:V2139)=0,"",MIN(D2139:V2139))</f>
        <v/>
      </c>
      <c r="X2139" s="8">
        <f>IF(COUNT(D2139:V2139)=0,"",MEDIAN(D2139:V2139))</f>
        <v/>
      </c>
      <c r="Y2139" s="8">
        <f>IF(COUNT(D2139:V2139)=0,"",MAX(D2139:V2139))</f>
        <v/>
      </c>
      <c r="Z2139" s="9">
        <f>IF(OR(W2139="",W2139=0),"",(Y2139-W2139)/W2139)</f>
        <v/>
      </c>
      <c r="AA2139" s="7">
        <f>IF(COUNT(D2139:V2139)=0,"",INDEX($D$1:$V$1,MATCH(MIN(D2139:V2139),D2139:V2139,0)))</f>
        <v/>
      </c>
      <c r="AB2139" s="8" t="n">
        <v>25</v>
      </c>
      <c r="AC2139" s="10" t="n">
        <v>1</v>
      </c>
    </row>
    <row r="2140">
      <c r="A2140" s="7" t="inlineStr">
        <is>
          <t>MAT-32-789</t>
        </is>
      </c>
      <c r="B2140" s="4" t="inlineStr">
        <is>
          <t>Manguera para uso general, transparente 1/2"</t>
        </is>
      </c>
      <c r="C2140" s="7" t="inlineStr">
        <is>
          <t>unidad</t>
        </is>
      </c>
      <c r="D2140" s="8" t="n"/>
      <c r="E2140" s="8" t="n"/>
      <c r="F2140" s="8" t="n"/>
      <c r="G2140" s="8" t="n">
        <v>40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>
        <f>IF(COUNT(D2140:V2140)=0,"",MIN(D2140:V2140))</f>
        <v/>
      </c>
      <c r="X2140" s="8">
        <f>IF(COUNT(D2140:V2140)=0,"",MEDIAN(D2140:V2140))</f>
        <v/>
      </c>
      <c r="Y2140" s="8">
        <f>IF(COUNT(D2140:V2140)=0,"",MAX(D2140:V2140))</f>
        <v/>
      </c>
      <c r="Z2140" s="9">
        <f>IF(OR(W2140="",W2140=0),"",(Y2140-W2140)/W2140)</f>
        <v/>
      </c>
      <c r="AA2140" s="7">
        <f>IF(COUNT(D2140:V2140)=0,"",INDEX($D$1:$V$1,MATCH(MIN(D2140:V2140),D2140:V2140,0)))</f>
        <v/>
      </c>
      <c r="AB2140" s="8" t="n">
        <v>43.5</v>
      </c>
      <c r="AC2140" s="10" t="n">
        <v>1</v>
      </c>
    </row>
    <row r="2141">
      <c r="A2141" s="7" t="inlineStr">
        <is>
          <t>MAT-32-790</t>
        </is>
      </c>
      <c r="B2141" s="4" t="inlineStr">
        <is>
          <t>Manguera para uso general, transparente 1/4"</t>
        </is>
      </c>
      <c r="C2141" s="7" t="inlineStr">
        <is>
          <t>unidad</t>
        </is>
      </c>
      <c r="D2141" s="8" t="n"/>
      <c r="E2141" s="8" t="n"/>
      <c r="F2141" s="8" t="n"/>
      <c r="G2141" s="8" t="n">
        <v>35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>
        <f>IF(COUNT(D2141:V2141)=0,"",MIN(D2141:V2141))</f>
        <v/>
      </c>
      <c r="X2141" s="8">
        <f>IF(COUNT(D2141:V2141)=0,"",MEDIAN(D2141:V2141))</f>
        <v/>
      </c>
      <c r="Y2141" s="8">
        <f>IF(COUNT(D2141:V2141)=0,"",MAX(D2141:V2141))</f>
        <v/>
      </c>
      <c r="Z2141" s="9">
        <f>IF(OR(W2141="",W2141=0),"",(Y2141-W2141)/W2141)</f>
        <v/>
      </c>
      <c r="AA2141" s="7">
        <f>IF(COUNT(D2141:V2141)=0,"",INDEX($D$1:$V$1,MATCH(MIN(D2141:V2141),D2141:V2141,0)))</f>
        <v/>
      </c>
      <c r="AB2141" s="8" t="n">
        <v>35</v>
      </c>
      <c r="AC2141" s="10" t="n">
        <v>1</v>
      </c>
    </row>
    <row r="2142">
      <c r="A2142" s="7" t="inlineStr">
        <is>
          <t>MAT-32-791</t>
        </is>
      </c>
      <c r="B2142" s="4" t="inlineStr">
        <is>
          <t>Manguera para uso general, transparente 1"</t>
        </is>
      </c>
      <c r="C2142" s="7" t="inlineStr">
        <is>
          <t>unidad</t>
        </is>
      </c>
      <c r="D2142" s="8" t="n"/>
      <c r="E2142" s="8" t="n"/>
      <c r="F2142" s="8" t="n"/>
      <c r="G2142" s="8" t="n">
        <v>100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>
        <f>IF(COUNT(D2142:V2142)=0,"",MIN(D2142:V2142))</f>
        <v/>
      </c>
      <c r="X2142" s="8">
        <f>IF(COUNT(D2142:V2142)=0,"",MEDIAN(D2142:V2142))</f>
        <v/>
      </c>
      <c r="Y2142" s="8">
        <f>IF(COUNT(D2142:V2142)=0,"",MAX(D2142:V2142))</f>
        <v/>
      </c>
      <c r="Z2142" s="9">
        <f>IF(OR(W2142="",W2142=0),"",(Y2142-W2142)/W2142)</f>
        <v/>
      </c>
      <c r="AA2142" s="7">
        <f>IF(COUNT(D2142:V2142)=0,"",INDEX($D$1:$V$1,MATCH(MIN(D2142:V2142),D2142:V2142,0)))</f>
        <v/>
      </c>
      <c r="AB2142" s="8" t="n">
        <v>100</v>
      </c>
      <c r="AC2142" s="10" t="n">
        <v>1</v>
      </c>
    </row>
    <row r="2143">
      <c r="A2143" s="7" t="inlineStr">
        <is>
          <t>MAT-32-792</t>
        </is>
      </c>
      <c r="B2143" s="4" t="inlineStr">
        <is>
          <t>Manguera para uso general, transparente 3/4"</t>
        </is>
      </c>
      <c r="C2143" s="7" t="inlineStr">
        <is>
          <t>unidad</t>
        </is>
      </c>
      <c r="D2143" s="8" t="n"/>
      <c r="E2143" s="8" t="n"/>
      <c r="F2143" s="8" t="n"/>
      <c r="G2143" s="8" t="n">
        <v>36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>
        <f>IF(COUNT(D2143:V2143)=0,"",MIN(D2143:V2143))</f>
        <v/>
      </c>
      <c r="X2143" s="8">
        <f>IF(COUNT(D2143:V2143)=0,"",MEDIAN(D2143:V2143))</f>
        <v/>
      </c>
      <c r="Y2143" s="8">
        <f>IF(COUNT(D2143:V2143)=0,"",MAX(D2143:V2143))</f>
        <v/>
      </c>
      <c r="Z2143" s="9">
        <f>IF(OR(W2143="",W2143=0),"",(Y2143-W2143)/W2143)</f>
        <v/>
      </c>
      <c r="AA2143" s="7">
        <f>IF(COUNT(D2143:V2143)=0,"",INDEX($D$1:$V$1,MATCH(MIN(D2143:V2143),D2143:V2143,0)))</f>
        <v/>
      </c>
      <c r="AB2143" s="8" t="n">
        <v>36</v>
      </c>
      <c r="AC2143" s="10" t="n">
        <v>1</v>
      </c>
    </row>
    <row r="2144">
      <c r="A2144" s="7" t="inlineStr">
        <is>
          <t>MAT-32-793</t>
        </is>
      </c>
      <c r="B2144" s="4" t="inlineStr">
        <is>
          <t>Manguera para uso general, transparente 3/8"</t>
        </is>
      </c>
      <c r="C2144" s="7" t="inlineStr">
        <is>
          <t>unidad</t>
        </is>
      </c>
      <c r="D2144" s="8" t="n"/>
      <c r="E2144" s="8" t="n"/>
      <c r="F2144" s="8" t="n"/>
      <c r="G2144" s="8" t="n">
        <v>32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>
        <f>IF(COUNT(D2144:V2144)=0,"",MIN(D2144:V2144))</f>
        <v/>
      </c>
      <c r="X2144" s="8">
        <f>IF(COUNT(D2144:V2144)=0,"",MEDIAN(D2144:V2144))</f>
        <v/>
      </c>
      <c r="Y2144" s="8">
        <f>IF(COUNT(D2144:V2144)=0,"",MAX(D2144:V2144))</f>
        <v/>
      </c>
      <c r="Z2144" s="9">
        <f>IF(OR(W2144="",W2144=0),"",(Y2144-W2144)/W2144)</f>
        <v/>
      </c>
      <c r="AA2144" s="7">
        <f>IF(COUNT(D2144:V2144)=0,"",INDEX($D$1:$V$1,MATCH(MIN(D2144:V2144),D2144:V2144,0)))</f>
        <v/>
      </c>
      <c r="AB2144" s="8" t="n">
        <v>32</v>
      </c>
      <c r="AC2144" s="10" t="n">
        <v>1</v>
      </c>
    </row>
    <row r="2145">
      <c r="A2145" s="7" t="inlineStr">
        <is>
          <t>MAT-32-794</t>
        </is>
      </c>
      <c r="B2145" s="4" t="inlineStr">
        <is>
          <t>Cinta de teflón 1"</t>
        </is>
      </c>
      <c r="C2145" s="7" t="inlineStr">
        <is>
          <t>rollo</t>
        </is>
      </c>
      <c r="D2145" s="8" t="n"/>
      <c r="E2145" s="8" t="n"/>
      <c r="F2145" s="8" t="n"/>
      <c r="G2145" s="8" t="n">
        <v>75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>
        <f>IF(COUNT(D2145:V2145)=0,"",MIN(D2145:V2145))</f>
        <v/>
      </c>
      <c r="X2145" s="8">
        <f>IF(COUNT(D2145:V2145)=0,"",MEDIAN(D2145:V2145))</f>
        <v/>
      </c>
      <c r="Y2145" s="8">
        <f>IF(COUNT(D2145:V2145)=0,"",MAX(D2145:V2145))</f>
        <v/>
      </c>
      <c r="Z2145" s="9">
        <f>IF(OR(W2145="",W2145=0),"",(Y2145-W2145)/W2145)</f>
        <v/>
      </c>
      <c r="AA2145" s="7">
        <f>IF(COUNT(D2145:V2145)=0,"",INDEX($D$1:$V$1,MATCH(MIN(D2145:V2145),D2145:V2145,0)))</f>
        <v/>
      </c>
      <c r="AB2145" s="8" t="n">
        <v>75</v>
      </c>
      <c r="AC2145" s="10" t="n">
        <v>1</v>
      </c>
    </row>
    <row r="2146">
      <c r="A2146" s="7" t="inlineStr">
        <is>
          <t>MAT-32-795</t>
        </is>
      </c>
      <c r="B2146" s="4" t="inlineStr">
        <is>
          <t>Cinta de teflón 3/4"</t>
        </is>
      </c>
      <c r="C2146" s="7" t="inlineStr">
        <is>
          <t>rollo</t>
        </is>
      </c>
      <c r="D2146" s="8" t="n"/>
      <c r="E2146" s="8" t="n"/>
      <c r="F2146" s="8" t="n"/>
      <c r="G2146" s="8" t="n">
        <v>60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>
        <f>IF(COUNT(D2146:V2146)=0,"",MIN(D2146:V2146))</f>
        <v/>
      </c>
      <c r="X2146" s="8">
        <f>IF(COUNT(D2146:V2146)=0,"",MEDIAN(D2146:V2146))</f>
        <v/>
      </c>
      <c r="Y2146" s="8">
        <f>IF(COUNT(D2146:V2146)=0,"",MAX(D2146:V2146))</f>
        <v/>
      </c>
      <c r="Z2146" s="9">
        <f>IF(OR(W2146="",W2146=0),"",(Y2146-W2146)/W2146)</f>
        <v/>
      </c>
      <c r="AA2146" s="7">
        <f>IF(COUNT(D2146:V2146)=0,"",INDEX($D$1:$V$1,MATCH(MIN(D2146:V2146),D2146:V2146,0)))</f>
        <v/>
      </c>
      <c r="AB2146" s="8" t="n">
        <v>117.5</v>
      </c>
      <c r="AC2146" s="10" t="n">
        <v>1</v>
      </c>
    </row>
    <row r="2147">
      <c r="A2147" s="7" t="inlineStr">
        <is>
          <t>MAT-32-796</t>
        </is>
      </c>
      <c r="B2147" s="4" t="inlineStr">
        <is>
          <t>Cinta de plomero 0.19" x 15 pies</t>
        </is>
      </c>
      <c r="C2147" s="7" t="inlineStr">
        <is>
          <t>rollo</t>
        </is>
      </c>
      <c r="D2147" s="8" t="n"/>
      <c r="E2147" s="8" t="n"/>
      <c r="F2147" s="8" t="n"/>
      <c r="G2147" s="8" t="n">
        <v>304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>
        <f>IF(COUNT(D2147:V2147)=0,"",MIN(D2147:V2147))</f>
        <v/>
      </c>
      <c r="X2147" s="8">
        <f>IF(COUNT(D2147:V2147)=0,"",MEDIAN(D2147:V2147))</f>
        <v/>
      </c>
      <c r="Y2147" s="8">
        <f>IF(COUNT(D2147:V2147)=0,"",MAX(D2147:V2147))</f>
        <v/>
      </c>
      <c r="Z2147" s="9">
        <f>IF(OR(W2147="",W2147=0),"",(Y2147-W2147)/W2147)</f>
        <v/>
      </c>
      <c r="AA2147" s="7">
        <f>IF(COUNT(D2147:V2147)=0,"",INDEX($D$1:$V$1,MATCH(MIN(D2147:V2147),D2147:V2147,0)))</f>
        <v/>
      </c>
      <c r="AB2147" s="8" t="n">
        <v>304</v>
      </c>
      <c r="AC2147" s="10" t="n">
        <v>1</v>
      </c>
    </row>
    <row r="2148">
      <c r="A2148" s="7" t="inlineStr">
        <is>
          <t>MAT-32-797</t>
        </is>
      </c>
      <c r="B2148" s="4" t="inlineStr">
        <is>
          <t>Cinta de plomero 1/2" x 50 pies</t>
        </is>
      </c>
      <c r="C2148" s="7" t="inlineStr">
        <is>
          <t>rollo</t>
        </is>
      </c>
      <c r="D2148" s="8" t="n"/>
      <c r="E2148" s="8" t="n"/>
      <c r="F2148" s="8" t="n"/>
      <c r="G2148" s="8" t="n">
        <v>2525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>
        <f>IF(COUNT(D2148:V2148)=0,"",MIN(D2148:V2148))</f>
        <v/>
      </c>
      <c r="X2148" s="8">
        <f>IF(COUNT(D2148:V2148)=0,"",MEDIAN(D2148:V2148))</f>
        <v/>
      </c>
      <c r="Y2148" s="8">
        <f>IF(COUNT(D2148:V2148)=0,"",MAX(D2148:V2148))</f>
        <v/>
      </c>
      <c r="Z2148" s="9">
        <f>IF(OR(W2148="",W2148=0),"",(Y2148-W2148)/W2148)</f>
        <v/>
      </c>
      <c r="AA2148" s="7">
        <f>IF(COUNT(D2148:V2148)=0,"",INDEX($D$1:$V$1,MATCH(MIN(D2148:V2148),D2148:V2148,0)))</f>
        <v/>
      </c>
      <c r="AB2148" s="8" t="n">
        <v>2525</v>
      </c>
      <c r="AC2148" s="10" t="n">
        <v>1</v>
      </c>
    </row>
    <row r="2149">
      <c r="A2149" s="7" t="inlineStr">
        <is>
          <t>MAT-32-798</t>
        </is>
      </c>
      <c r="B2149" s="4" t="inlineStr">
        <is>
          <t>Cinta de plomero 1/8" x 25 pies</t>
        </is>
      </c>
      <c r="C2149" s="7" t="inlineStr">
        <is>
          <t>rollo</t>
        </is>
      </c>
      <c r="D2149" s="8" t="n"/>
      <c r="E2149" s="8" t="n"/>
      <c r="F2149" s="8" t="n"/>
      <c r="G2149" s="8" t="n">
        <v>412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>
        <f>IF(COUNT(D2149:V2149)=0,"",MIN(D2149:V2149))</f>
        <v/>
      </c>
      <c r="X2149" s="8">
        <f>IF(COUNT(D2149:V2149)=0,"",MEDIAN(D2149:V2149))</f>
        <v/>
      </c>
      <c r="Y2149" s="8">
        <f>IF(COUNT(D2149:V2149)=0,"",MAX(D2149:V2149))</f>
        <v/>
      </c>
      <c r="Z2149" s="9">
        <f>IF(OR(W2149="",W2149=0),"",(Y2149-W2149)/W2149)</f>
        <v/>
      </c>
      <c r="AA2149" s="7">
        <f>IF(COUNT(D2149:V2149)=0,"",INDEX($D$1:$V$1,MATCH(MIN(D2149:V2149),D2149:V2149,0)))</f>
        <v/>
      </c>
      <c r="AB2149" s="8" t="n">
        <v>412</v>
      </c>
      <c r="AC2149" s="10" t="n">
        <v>1</v>
      </c>
    </row>
    <row r="2150">
      <c r="A2150" s="7" t="inlineStr">
        <is>
          <t>MAT-32-799</t>
        </is>
      </c>
      <c r="B2150" s="4" t="inlineStr">
        <is>
          <t>Cemento solvente para PVC, 16 oz</t>
        </is>
      </c>
      <c r="C2150" s="7" t="inlineStr">
        <is>
          <t>envase</t>
        </is>
      </c>
      <c r="D2150" s="8" t="n"/>
      <c r="E2150" s="8" t="n"/>
      <c r="F2150" s="8" t="n"/>
      <c r="G2150" s="8" t="n">
        <v>979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>
        <f>IF(COUNT(D2150:V2150)=0,"",MIN(D2150:V2150))</f>
        <v/>
      </c>
      <c r="X2150" s="8">
        <f>IF(COUNT(D2150:V2150)=0,"",MEDIAN(D2150:V2150))</f>
        <v/>
      </c>
      <c r="Y2150" s="8">
        <f>IF(COUNT(D2150:V2150)=0,"",MAX(D2150:V2150))</f>
        <v/>
      </c>
      <c r="Z2150" s="9">
        <f>IF(OR(W2150="",W2150=0),"",(Y2150-W2150)/W2150)</f>
        <v/>
      </c>
      <c r="AA2150" s="7">
        <f>IF(COUNT(D2150:V2150)=0,"",INDEX($D$1:$V$1,MATCH(MIN(D2150:V2150),D2150:V2150,0)))</f>
        <v/>
      </c>
      <c r="AB2150" s="8" t="n">
        <v>979</v>
      </c>
      <c r="AC2150" s="10" t="n">
        <v>1</v>
      </c>
    </row>
    <row r="2151">
      <c r="A2151" s="7" t="inlineStr">
        <is>
          <t>MAT-32-800</t>
        </is>
      </c>
      <c r="B2151" s="4" t="inlineStr">
        <is>
          <t>Cemento solvente para PVC, 32 oz</t>
        </is>
      </c>
      <c r="C2151" s="7" t="inlineStr">
        <is>
          <t>envase</t>
        </is>
      </c>
      <c r="D2151" s="8" t="n"/>
      <c r="E2151" s="8" t="n"/>
      <c r="F2151" s="8" t="n"/>
      <c r="G2151" s="8" t="n">
        <v>1765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>
        <f>IF(COUNT(D2151:V2151)=0,"",MIN(D2151:V2151))</f>
        <v/>
      </c>
      <c r="X2151" s="8">
        <f>IF(COUNT(D2151:V2151)=0,"",MEDIAN(D2151:V2151))</f>
        <v/>
      </c>
      <c r="Y2151" s="8">
        <f>IF(COUNT(D2151:V2151)=0,"",MAX(D2151:V2151))</f>
        <v/>
      </c>
      <c r="Z2151" s="9">
        <f>IF(OR(W2151="",W2151=0),"",(Y2151-W2151)/W2151)</f>
        <v/>
      </c>
      <c r="AA2151" s="7">
        <f>IF(COUNT(D2151:V2151)=0,"",INDEX($D$1:$V$1,MATCH(MIN(D2151:V2151),D2151:V2151,0)))</f>
        <v/>
      </c>
      <c r="AB2151" s="8" t="n">
        <v>1765</v>
      </c>
      <c r="AC2151" s="10" t="n">
        <v>1</v>
      </c>
    </row>
    <row r="2152">
      <c r="A2152" s="7" t="inlineStr">
        <is>
          <t>MAT-32-801</t>
        </is>
      </c>
      <c r="B2152" s="4" t="inlineStr">
        <is>
          <t>Cemento solvente para PVC, 4 oz</t>
        </is>
      </c>
      <c r="C2152" s="7" t="inlineStr">
        <is>
          <t>envase</t>
        </is>
      </c>
      <c r="D2152" s="8" t="n"/>
      <c r="E2152" s="8" t="n"/>
      <c r="F2152" s="8" t="n"/>
      <c r="G2152" s="8" t="n">
        <v>335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>
        <f>IF(COUNT(D2152:V2152)=0,"",MIN(D2152:V2152))</f>
        <v/>
      </c>
      <c r="X2152" s="8">
        <f>IF(COUNT(D2152:V2152)=0,"",MEDIAN(D2152:V2152))</f>
        <v/>
      </c>
      <c r="Y2152" s="8">
        <f>IF(COUNT(D2152:V2152)=0,"",MAX(D2152:V2152))</f>
        <v/>
      </c>
      <c r="Z2152" s="9">
        <f>IF(OR(W2152="",W2152=0),"",(Y2152-W2152)/W2152)</f>
        <v/>
      </c>
      <c r="AA2152" s="7">
        <f>IF(COUNT(D2152:V2152)=0,"",INDEX($D$1:$V$1,MATCH(MIN(D2152:V2152),D2152:V2152,0)))</f>
        <v/>
      </c>
      <c r="AB2152" s="8" t="n">
        <v>391.5</v>
      </c>
      <c r="AC2152" s="10" t="n">
        <v>1</v>
      </c>
    </row>
    <row r="2153">
      <c r="A2153" s="7" t="inlineStr">
        <is>
          <t>MAT-32-802</t>
        </is>
      </c>
      <c r="B2153" s="4" t="inlineStr">
        <is>
          <t>Cemento solvente para PVC, 50 ml</t>
        </is>
      </c>
      <c r="C2153" s="7" t="inlineStr">
        <is>
          <t>envase</t>
        </is>
      </c>
      <c r="D2153" s="8" t="n"/>
      <c r="E2153" s="8" t="n"/>
      <c r="F2153" s="8" t="n"/>
      <c r="G2153" s="8" t="n">
        <v>205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>
        <f>IF(COUNT(D2153:V2153)=0,"",MIN(D2153:V2153))</f>
        <v/>
      </c>
      <c r="X2153" s="8">
        <f>IF(COUNT(D2153:V2153)=0,"",MEDIAN(D2153:V2153))</f>
        <v/>
      </c>
      <c r="Y2153" s="8">
        <f>IF(COUNT(D2153:V2153)=0,"",MAX(D2153:V2153))</f>
        <v/>
      </c>
      <c r="Z2153" s="9">
        <f>IF(OR(W2153="",W2153=0),"",(Y2153-W2153)/W2153)</f>
        <v/>
      </c>
      <c r="AA2153" s="7">
        <f>IF(COUNT(D2153:V2153)=0,"",INDEX($D$1:$V$1,MATCH(MIN(D2153:V2153),D2153:V2153,0)))</f>
        <v/>
      </c>
      <c r="AB2153" s="8" t="n">
        <v>205</v>
      </c>
      <c r="AC2153" s="10" t="n">
        <v>1</v>
      </c>
    </row>
    <row r="2154">
      <c r="A2154" s="7" t="inlineStr">
        <is>
          <t>MAT-32-803</t>
        </is>
      </c>
      <c r="B2154" s="4" t="inlineStr">
        <is>
          <t>Cemento solvente para PVC, 8 oz</t>
        </is>
      </c>
      <c r="C2154" s="7" t="inlineStr">
        <is>
          <t>envase</t>
        </is>
      </c>
      <c r="D2154" s="8" t="n"/>
      <c r="E2154" s="8" t="n"/>
      <c r="F2154" s="8" t="n"/>
      <c r="G2154" s="8" t="n">
        <v>473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>
        <f>IF(COUNT(D2154:V2154)=0,"",MIN(D2154:V2154))</f>
        <v/>
      </c>
      <c r="X2154" s="8">
        <f>IF(COUNT(D2154:V2154)=0,"",MEDIAN(D2154:V2154))</f>
        <v/>
      </c>
      <c r="Y2154" s="8">
        <f>IF(COUNT(D2154:V2154)=0,"",MAX(D2154:V2154))</f>
        <v/>
      </c>
      <c r="Z2154" s="9">
        <f>IF(OR(W2154="",W2154=0),"",(Y2154-W2154)/W2154)</f>
        <v/>
      </c>
      <c r="AA2154" s="7">
        <f>IF(COUNT(D2154:V2154)=0,"",INDEX($D$1:$V$1,MATCH(MIN(D2154:V2154),D2154:V2154,0)))</f>
        <v/>
      </c>
      <c r="AB2154" s="8" t="n">
        <v>520</v>
      </c>
      <c r="AC2154" s="10" t="n">
        <v>1</v>
      </c>
    </row>
    <row r="2155">
      <c r="A2155" s="7" t="inlineStr">
        <is>
          <t>MAT-33-001</t>
        </is>
      </c>
      <c r="B2155" s="4" t="inlineStr">
        <is>
          <t>Lámpara decorativa de mesa</t>
        </is>
      </c>
      <c r="C2155" s="7" t="inlineStr">
        <is>
          <t>unidad</t>
        </is>
      </c>
      <c r="D2155" s="8" t="n"/>
      <c r="E2155" s="8" t="n"/>
      <c r="F2155" s="8" t="n"/>
      <c r="G2155" s="8" t="n"/>
      <c r="H2155" s="8" t="n"/>
      <c r="I2155" s="8" t="n"/>
      <c r="J2155" s="8" t="n">
        <v>1200</v>
      </c>
      <c r="K2155" s="8" t="n"/>
      <c r="L2155" s="8" t="n"/>
      <c r="M2155" s="8" t="n"/>
      <c r="N2155" s="8" t="n"/>
      <c r="O2155" s="8" t="n"/>
      <c r="P2155" s="8" t="n"/>
      <c r="Q2155" s="8" t="n"/>
      <c r="R2155" s="8" t="n">
        <v>23876.2</v>
      </c>
      <c r="S2155" s="8" t="n"/>
      <c r="T2155" s="8" t="n"/>
      <c r="U2155" s="8" t="n"/>
      <c r="V2155" s="8" t="n"/>
      <c r="W2155" s="8">
        <f>IF(COUNT(D2155:V2155)=0,"",MIN(D2155:V2155))</f>
        <v/>
      </c>
      <c r="X2155" s="8">
        <f>IF(COUNT(D2155:V2155)=0,"",MEDIAN(D2155:V2155))</f>
        <v/>
      </c>
      <c r="Y2155" s="8">
        <f>IF(COUNT(D2155:V2155)=0,"",MAX(D2155:V2155))</f>
        <v/>
      </c>
      <c r="Z2155" s="9">
        <f>IF(OR(W2155="",W2155=0),"",(Y2155-W2155)/W2155)</f>
        <v/>
      </c>
      <c r="AA2155" s="7">
        <f>IF(COUNT(D2155:V2155)=0,"",INDEX($D$1:$V$1,MATCH(MIN(D2155:V2155),D2155:V2155,0)))</f>
        <v/>
      </c>
      <c r="AB2155" s="8" t="n">
        <v>4000</v>
      </c>
      <c r="AC2155" s="10" t="n">
        <v>2</v>
      </c>
    </row>
    <row r="2156">
      <c r="A2156" s="7" t="inlineStr">
        <is>
          <t>MAT-33-002</t>
        </is>
      </c>
      <c r="B2156" s="4" t="inlineStr">
        <is>
          <t>Lámpara decorativa de pared</t>
        </is>
      </c>
      <c r="C2156" s="7" t="inlineStr">
        <is>
          <t>unidad</t>
        </is>
      </c>
      <c r="D2156" s="8" t="n"/>
      <c r="E2156" s="8" t="n"/>
      <c r="F2156" s="8" t="n"/>
      <c r="G2156" s="8" t="n"/>
      <c r="H2156" s="8" t="n"/>
      <c r="I2156" s="8" t="n"/>
      <c r="J2156" s="8" t="n">
        <v>500</v>
      </c>
      <c r="K2156" s="8" t="n"/>
      <c r="L2156" s="8" t="n"/>
      <c r="M2156" s="8" t="n">
        <v>1809.41</v>
      </c>
      <c r="N2156" s="8" t="n">
        <v>5800</v>
      </c>
      <c r="O2156" s="8" t="n"/>
      <c r="P2156" s="8" t="n"/>
      <c r="Q2156" s="8" t="n"/>
      <c r="R2156" s="8" t="n">
        <v>6686.38</v>
      </c>
      <c r="S2156" s="8" t="n"/>
      <c r="T2156" s="8" t="n"/>
      <c r="U2156" s="8" t="n"/>
      <c r="V2156" s="8" t="n"/>
      <c r="W2156" s="8">
        <f>IF(COUNT(D2156:V2156)=0,"",MIN(D2156:V2156))</f>
        <v/>
      </c>
      <c r="X2156" s="8">
        <f>IF(COUNT(D2156:V2156)=0,"",MEDIAN(D2156:V2156))</f>
        <v/>
      </c>
      <c r="Y2156" s="8">
        <f>IF(COUNT(D2156:V2156)=0,"",MAX(D2156:V2156))</f>
        <v/>
      </c>
      <c r="Z2156" s="9">
        <f>IF(OR(W2156="",W2156=0),"",(Y2156-W2156)/W2156)</f>
        <v/>
      </c>
      <c r="AA2156" s="7">
        <f>IF(COUNT(D2156:V2156)=0,"",INDEX($D$1:$V$1,MATCH(MIN(D2156:V2156),D2156:V2156,0)))</f>
        <v/>
      </c>
      <c r="AB2156" s="8" t="n">
        <v>3000</v>
      </c>
      <c r="AC2156" s="10" t="n">
        <v>4</v>
      </c>
    </row>
    <row r="2157">
      <c r="A2157" s="7" t="inlineStr">
        <is>
          <t>MAT-33-003</t>
        </is>
      </c>
      <c r="B2157" s="4" t="inlineStr">
        <is>
          <t>Lámpara decorativa de pie</t>
        </is>
      </c>
      <c r="C2157" s="7" t="inlineStr">
        <is>
          <t>unidad</t>
        </is>
      </c>
      <c r="D2157" s="8" t="n"/>
      <c r="E2157" s="8" t="n"/>
      <c r="F2157" s="8" t="n"/>
      <c r="G2157" s="8" t="n"/>
      <c r="H2157" s="8" t="n"/>
      <c r="I2157" s="8" t="n"/>
      <c r="J2157" s="8" t="n">
        <v>4000</v>
      </c>
      <c r="K2157" s="8" t="n"/>
      <c r="L2157" s="8" t="n"/>
      <c r="M2157" s="8" t="n"/>
      <c r="N2157" s="8" t="n"/>
      <c r="O2157" s="8" t="n"/>
      <c r="P2157" s="8" t="n"/>
      <c r="Q2157" s="8" t="n"/>
      <c r="R2157" s="8" t="n">
        <v>30467.44</v>
      </c>
      <c r="S2157" s="8" t="n"/>
      <c r="T2157" s="8" t="n"/>
      <c r="U2157" s="8" t="n"/>
      <c r="V2157" s="8" t="n"/>
      <c r="W2157" s="8">
        <f>IF(COUNT(D2157:V2157)=0,"",MIN(D2157:V2157))</f>
        <v/>
      </c>
      <c r="X2157" s="8">
        <f>IF(COUNT(D2157:V2157)=0,"",MEDIAN(D2157:V2157))</f>
        <v/>
      </c>
      <c r="Y2157" s="8">
        <f>IF(COUNT(D2157:V2157)=0,"",MAX(D2157:V2157))</f>
        <v/>
      </c>
      <c r="Z2157" s="9">
        <f>IF(OR(W2157="",W2157=0),"",(Y2157-W2157)/W2157)</f>
        <v/>
      </c>
      <c r="AA2157" s="7">
        <f>IF(COUNT(D2157:V2157)=0,"",INDEX($D$1:$V$1,MATCH(MIN(D2157:V2157),D2157:V2157,0)))</f>
        <v/>
      </c>
      <c r="AB2157" s="8" t="n">
        <v>8250</v>
      </c>
      <c r="AC2157" s="10" t="n">
        <v>2</v>
      </c>
    </row>
    <row r="2158">
      <c r="A2158" s="7" t="inlineStr">
        <is>
          <t>MAT-33-004</t>
        </is>
      </c>
      <c r="B2158" s="4" t="inlineStr">
        <is>
          <t>Lámpara decorativa de techo</t>
        </is>
      </c>
      <c r="C2158" s="7" t="inlineStr">
        <is>
          <t>unidad</t>
        </is>
      </c>
      <c r="D2158" s="8" t="n"/>
      <c r="E2158" s="8" t="n"/>
      <c r="F2158" s="8" t="n"/>
      <c r="G2158" s="8" t="n"/>
      <c r="H2158" s="8" t="n"/>
      <c r="I2158" s="8" t="n"/>
      <c r="J2158" s="8" t="n">
        <v>1200</v>
      </c>
      <c r="K2158" s="8" t="n"/>
      <c r="L2158" s="8" t="n"/>
      <c r="M2158" s="8" t="n">
        <v>1089</v>
      </c>
      <c r="N2158" s="8" t="n"/>
      <c r="O2158" s="8" t="n"/>
      <c r="P2158" s="8" t="n"/>
      <c r="Q2158" s="8" t="n"/>
      <c r="R2158" s="8" t="n">
        <v>7689.1</v>
      </c>
      <c r="S2158" s="8" t="n"/>
      <c r="T2158" s="8" t="n"/>
      <c r="U2158" s="8" t="n"/>
      <c r="V2158" s="8" t="n"/>
      <c r="W2158" s="8">
        <f>IF(COUNT(D2158:V2158)=0,"",MIN(D2158:V2158))</f>
        <v/>
      </c>
      <c r="X2158" s="8">
        <f>IF(COUNT(D2158:V2158)=0,"",MEDIAN(D2158:V2158))</f>
        <v/>
      </c>
      <c r="Y2158" s="8">
        <f>IF(COUNT(D2158:V2158)=0,"",MAX(D2158:V2158))</f>
        <v/>
      </c>
      <c r="Z2158" s="9">
        <f>IF(OR(W2158="",W2158=0),"",(Y2158-W2158)/W2158)</f>
        <v/>
      </c>
      <c r="AA2158" s="7">
        <f>IF(COUNT(D2158:V2158)=0,"",INDEX($D$1:$V$1,MATCH(MIN(D2158:V2158),D2158:V2158,0)))</f>
        <v/>
      </c>
      <c r="AB2158" s="8" t="n">
        <v>8000</v>
      </c>
      <c r="AC2158" s="10" t="n">
        <v>3</v>
      </c>
    </row>
    <row r="2159">
      <c r="A2159" s="7" t="inlineStr">
        <is>
          <t>MAT-34-001</t>
        </is>
      </c>
      <c r="B2159" s="4" t="inlineStr">
        <is>
          <t>Panel de pared de PVC acústico, 21 mm</t>
        </is>
      </c>
      <c r="C2159" s="7" t="inlineStr">
        <is>
          <t>m²</t>
        </is>
      </c>
      <c r="D2159" s="8" t="n"/>
      <c r="E2159" s="8" t="n"/>
      <c r="F2159" s="8" t="n"/>
      <c r="G2159" s="8" t="n"/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>
        <v>1609.2</v>
      </c>
      <c r="R2159" s="8" t="n"/>
      <c r="S2159" s="8" t="n"/>
      <c r="T2159" s="8" t="n"/>
      <c r="U2159" s="8" t="n"/>
      <c r="V2159" s="8" t="n"/>
      <c r="W2159" s="8">
        <f>IF(COUNT(D2159:V2159)=0,"",MIN(D2159:V2159))</f>
        <v/>
      </c>
      <c r="X2159" s="8">
        <f>IF(COUNT(D2159:V2159)=0,"",MEDIAN(D2159:V2159))</f>
        <v/>
      </c>
      <c r="Y2159" s="8">
        <f>IF(COUNT(D2159:V2159)=0,"",MAX(D2159:V2159))</f>
        <v/>
      </c>
      <c r="Z2159" s="9">
        <f>IF(OR(W2159="",W2159=0),"",(Y2159-W2159)/W2159)</f>
        <v/>
      </c>
      <c r="AA2159" s="7">
        <f>IF(COUNT(D2159:V2159)=0,"",INDEX($D$1:$V$1,MATCH(MIN(D2159:V2159),D2159:V2159,0)))</f>
        <v/>
      </c>
      <c r="AB2159" s="8" t="n">
        <v>1609.2</v>
      </c>
      <c r="AC2159" s="10" t="n">
        <v>1</v>
      </c>
    </row>
    <row r="2160">
      <c r="A2160" s="7" t="inlineStr">
        <is>
          <t>MAT-34-002</t>
        </is>
      </c>
      <c r="B2160" s="4" t="inlineStr">
        <is>
          <t>Panel de pared de PVC, 10 mm</t>
        </is>
      </c>
      <c r="C2160" s="7" t="inlineStr">
        <is>
          <t>m²</t>
        </is>
      </c>
      <c r="D2160" s="8" t="n"/>
      <c r="E2160" s="8" t="n"/>
      <c r="F2160" s="8" t="n"/>
      <c r="G2160" s="8" t="n"/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>
        <v>1354.68</v>
      </c>
      <c r="R2160" s="8" t="n"/>
      <c r="S2160" s="8" t="n"/>
      <c r="T2160" s="8" t="n"/>
      <c r="U2160" s="8" t="n"/>
      <c r="V2160" s="8" t="n"/>
      <c r="W2160" s="8">
        <f>IF(COUNT(D2160:V2160)=0,"",MIN(D2160:V2160))</f>
        <v/>
      </c>
      <c r="X2160" s="8">
        <f>IF(COUNT(D2160:V2160)=0,"",MEDIAN(D2160:V2160))</f>
        <v/>
      </c>
      <c r="Y2160" s="8">
        <f>IF(COUNT(D2160:V2160)=0,"",MAX(D2160:V2160))</f>
        <v/>
      </c>
      <c r="Z2160" s="9">
        <f>IF(OR(W2160="",W2160=0),"",(Y2160-W2160)/W2160)</f>
        <v/>
      </c>
      <c r="AA2160" s="7">
        <f>IF(COUNT(D2160:V2160)=0,"",INDEX($D$1:$V$1,MATCH(MIN(D2160:V2160),D2160:V2160,0)))</f>
        <v/>
      </c>
      <c r="AB2160" s="8" t="n">
        <v>1354.68</v>
      </c>
      <c r="AC2160" s="10" t="n">
        <v>1</v>
      </c>
    </row>
    <row r="2161">
      <c r="A2161" s="7" t="inlineStr">
        <is>
          <t>MAT-34-003</t>
        </is>
      </c>
      <c r="B2161" s="4" t="inlineStr">
        <is>
          <t>Panel de pared de PVC, 12 mm</t>
        </is>
      </c>
      <c r="C2161" s="7" t="inlineStr">
        <is>
          <t>m²</t>
        </is>
      </c>
      <c r="D2161" s="8" t="n"/>
      <c r="E2161" s="8" t="n"/>
      <c r="F2161" s="8" t="n"/>
      <c r="G2161" s="8" t="n"/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>
        <v>998.1900000000001</v>
      </c>
      <c r="R2161" s="8" t="n"/>
      <c r="S2161" s="8" t="n"/>
      <c r="T2161" s="8" t="n"/>
      <c r="U2161" s="8" t="n"/>
      <c r="V2161" s="8" t="n"/>
      <c r="W2161" s="8">
        <f>IF(COUNT(D2161:V2161)=0,"",MIN(D2161:V2161))</f>
        <v/>
      </c>
      <c r="X2161" s="8">
        <f>IF(COUNT(D2161:V2161)=0,"",MEDIAN(D2161:V2161))</f>
        <v/>
      </c>
      <c r="Y2161" s="8">
        <f>IF(COUNT(D2161:V2161)=0,"",MAX(D2161:V2161))</f>
        <v/>
      </c>
      <c r="Z2161" s="9">
        <f>IF(OR(W2161="",W2161=0),"",(Y2161-W2161)/W2161)</f>
        <v/>
      </c>
      <c r="AA2161" s="7">
        <f>IF(COUNT(D2161:V2161)=0,"",INDEX($D$1:$V$1,MATCH(MIN(D2161:V2161),D2161:V2161,0)))</f>
        <v/>
      </c>
      <c r="AB2161" s="8" t="n">
        <v>998.1900000000001</v>
      </c>
      <c r="AC2161" s="10" t="n">
        <v>1</v>
      </c>
    </row>
    <row r="2162">
      <c r="A2162" s="7" t="inlineStr">
        <is>
          <t>MAT-34-004</t>
        </is>
      </c>
      <c r="B2162" s="4" t="inlineStr">
        <is>
          <t>Panel de pared de PVC, 13 mm</t>
        </is>
      </c>
      <c r="C2162" s="7" t="inlineStr">
        <is>
          <t>m²</t>
        </is>
      </c>
      <c r="D2162" s="8" t="n"/>
      <c r="E2162" s="8" t="n"/>
      <c r="F2162" s="8" t="n"/>
      <c r="G2162" s="8" t="n"/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>
        <v>1252.27</v>
      </c>
      <c r="R2162" s="8" t="n"/>
      <c r="S2162" s="8" t="n"/>
      <c r="T2162" s="8" t="n"/>
      <c r="U2162" s="8" t="n"/>
      <c r="V2162" s="8" t="n"/>
      <c r="W2162" s="8">
        <f>IF(COUNT(D2162:V2162)=0,"",MIN(D2162:V2162))</f>
        <v/>
      </c>
      <c r="X2162" s="8">
        <f>IF(COUNT(D2162:V2162)=0,"",MEDIAN(D2162:V2162))</f>
        <v/>
      </c>
      <c r="Y2162" s="8">
        <f>IF(COUNT(D2162:V2162)=0,"",MAX(D2162:V2162))</f>
        <v/>
      </c>
      <c r="Z2162" s="9">
        <f>IF(OR(W2162="",W2162=0),"",(Y2162-W2162)/W2162)</f>
        <v/>
      </c>
      <c r="AA2162" s="7">
        <f>IF(COUNT(D2162:V2162)=0,"",INDEX($D$1:$V$1,MATCH(MIN(D2162:V2162),D2162:V2162,0)))</f>
        <v/>
      </c>
      <c r="AB2162" s="8" t="n">
        <v>1252.27</v>
      </c>
      <c r="AC2162" s="10" t="n">
        <v>1</v>
      </c>
    </row>
    <row r="2163">
      <c r="A2163" s="7" t="inlineStr">
        <is>
          <t>MAT-34-005</t>
        </is>
      </c>
      <c r="B2163" s="4" t="inlineStr">
        <is>
          <t>Panel de pared de PVC, 14 mm</t>
        </is>
      </c>
      <c r="C2163" s="7" t="inlineStr">
        <is>
          <t>m²</t>
        </is>
      </c>
      <c r="D2163" s="8" t="n"/>
      <c r="E2163" s="8" t="n"/>
      <c r="F2163" s="8" t="n"/>
      <c r="G2163" s="8" t="n"/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>
        <v>1133</v>
      </c>
      <c r="R2163" s="8" t="n"/>
      <c r="S2163" s="8" t="n"/>
      <c r="T2163" s="8" t="n"/>
      <c r="U2163" s="8" t="n"/>
      <c r="V2163" s="8" t="n"/>
      <c r="W2163" s="8">
        <f>IF(COUNT(D2163:V2163)=0,"",MIN(D2163:V2163))</f>
        <v/>
      </c>
      <c r="X2163" s="8">
        <f>IF(COUNT(D2163:V2163)=0,"",MEDIAN(D2163:V2163))</f>
        <v/>
      </c>
      <c r="Y2163" s="8">
        <f>IF(COUNT(D2163:V2163)=0,"",MAX(D2163:V2163))</f>
        <v/>
      </c>
      <c r="Z2163" s="9">
        <f>IF(OR(W2163="",W2163=0),"",(Y2163-W2163)/W2163)</f>
        <v/>
      </c>
      <c r="AA2163" s="7">
        <f>IF(COUNT(D2163:V2163)=0,"",INDEX($D$1:$V$1,MATCH(MIN(D2163:V2163),D2163:V2163,0)))</f>
        <v/>
      </c>
      <c r="AB2163" s="8" t="n">
        <v>1133</v>
      </c>
      <c r="AC2163" s="10" t="n">
        <v>1</v>
      </c>
    </row>
    <row r="2164">
      <c r="A2164" s="7" t="inlineStr">
        <is>
          <t>MAT-34-006</t>
        </is>
      </c>
      <c r="B2164" s="4" t="inlineStr">
        <is>
          <t>Panel de pared de PVC, 15 mm</t>
        </is>
      </c>
      <c r="C2164" s="7" t="inlineStr">
        <is>
          <t>m²</t>
        </is>
      </c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>
        <v>1252.27</v>
      </c>
      <c r="R2164" s="8" t="n"/>
      <c r="S2164" s="8" t="n"/>
      <c r="T2164" s="8" t="n"/>
      <c r="U2164" s="8" t="n"/>
      <c r="V2164" s="8" t="n"/>
      <c r="W2164" s="8">
        <f>IF(COUNT(D2164:V2164)=0,"",MIN(D2164:V2164))</f>
        <v/>
      </c>
      <c r="X2164" s="8">
        <f>IF(COUNT(D2164:V2164)=0,"",MEDIAN(D2164:V2164))</f>
        <v/>
      </c>
      <c r="Y2164" s="8">
        <f>IF(COUNT(D2164:V2164)=0,"",MAX(D2164:V2164))</f>
        <v/>
      </c>
      <c r="Z2164" s="9">
        <f>IF(OR(W2164="",W2164=0),"",(Y2164-W2164)/W2164)</f>
        <v/>
      </c>
      <c r="AA2164" s="7">
        <f>IF(COUNT(D2164:V2164)=0,"",INDEX($D$1:$V$1,MATCH(MIN(D2164:V2164),D2164:V2164,0)))</f>
        <v/>
      </c>
      <c r="AB2164" s="8" t="n">
        <v>1586.21</v>
      </c>
      <c r="AC2164" s="10" t="n">
        <v>1</v>
      </c>
    </row>
    <row r="2165">
      <c r="A2165" s="7" t="inlineStr">
        <is>
          <t>MAT-34-007</t>
        </is>
      </c>
      <c r="B2165" s="4" t="inlineStr">
        <is>
          <t>Panel de pared de PVC, 20 mm</t>
        </is>
      </c>
      <c r="C2165" s="7" t="inlineStr">
        <is>
          <t>m²</t>
        </is>
      </c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>
        <v>1487.07</v>
      </c>
      <c r="R2165" s="8" t="n"/>
      <c r="S2165" s="8" t="n"/>
      <c r="T2165" s="8" t="n"/>
      <c r="U2165" s="8" t="n"/>
      <c r="V2165" s="8" t="n"/>
      <c r="W2165" s="8">
        <f>IF(COUNT(D2165:V2165)=0,"",MIN(D2165:V2165))</f>
        <v/>
      </c>
      <c r="X2165" s="8">
        <f>IF(COUNT(D2165:V2165)=0,"",MEDIAN(D2165:V2165))</f>
        <v/>
      </c>
      <c r="Y2165" s="8">
        <f>IF(COUNT(D2165:V2165)=0,"",MAX(D2165:V2165))</f>
        <v/>
      </c>
      <c r="Z2165" s="9">
        <f>IF(OR(W2165="",W2165=0),"",(Y2165-W2165)/W2165)</f>
        <v/>
      </c>
      <c r="AA2165" s="7">
        <f>IF(COUNT(D2165:V2165)=0,"",INDEX($D$1:$V$1,MATCH(MIN(D2165:V2165),D2165:V2165,0)))</f>
        <v/>
      </c>
      <c r="AB2165" s="8" t="n">
        <v>1487.07</v>
      </c>
      <c r="AC2165" s="10" t="n">
        <v>1</v>
      </c>
    </row>
    <row r="2166">
      <c r="A2166" s="7" t="inlineStr">
        <is>
          <t>MAT-34-008</t>
        </is>
      </c>
      <c r="B2166" s="4" t="inlineStr">
        <is>
          <t>Panel de pared de PVC, 24 mm</t>
        </is>
      </c>
      <c r="C2166" s="7" t="inlineStr">
        <is>
          <t>m²</t>
        </is>
      </c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>
        <v>1487.07</v>
      </c>
      <c r="R2166" s="8" t="n"/>
      <c r="S2166" s="8" t="n"/>
      <c r="T2166" s="8" t="n"/>
      <c r="U2166" s="8" t="n"/>
      <c r="V2166" s="8" t="n"/>
      <c r="W2166" s="8">
        <f>IF(COUNT(D2166:V2166)=0,"",MIN(D2166:V2166))</f>
        <v/>
      </c>
      <c r="X2166" s="8">
        <f>IF(COUNT(D2166:V2166)=0,"",MEDIAN(D2166:V2166))</f>
        <v/>
      </c>
      <c r="Y2166" s="8">
        <f>IF(COUNT(D2166:V2166)=0,"",MAX(D2166:V2166))</f>
        <v/>
      </c>
      <c r="Z2166" s="9">
        <f>IF(OR(W2166="",W2166=0),"",(Y2166-W2166)/W2166)</f>
        <v/>
      </c>
      <c r="AA2166" s="7">
        <f>IF(COUNT(D2166:V2166)=0,"",INDEX($D$1:$V$1,MATCH(MIN(D2166:V2166),D2166:V2166,0)))</f>
        <v/>
      </c>
      <c r="AB2166" s="8" t="n">
        <v>1487.07</v>
      </c>
      <c r="AC2166" s="10" t="n">
        <v>1</v>
      </c>
    </row>
    <row r="2167">
      <c r="A2167" s="7" t="inlineStr">
        <is>
          <t>MAT-34-009</t>
        </is>
      </c>
      <c r="B2167" s="4" t="inlineStr">
        <is>
          <t>Panel de pared de WPC, 13 mm</t>
        </is>
      </c>
      <c r="C2167" s="7" t="inlineStr">
        <is>
          <t>m²</t>
        </is>
      </c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>
        <v>3266.79</v>
      </c>
      <c r="R2167" s="8" t="n"/>
      <c r="S2167" s="8" t="n"/>
      <c r="T2167" s="8" t="n"/>
      <c r="U2167" s="8" t="n"/>
      <c r="V2167" s="8" t="n"/>
      <c r="W2167" s="8">
        <f>IF(COUNT(D2167:V2167)=0,"",MIN(D2167:V2167))</f>
        <v/>
      </c>
      <c r="X2167" s="8">
        <f>IF(COUNT(D2167:V2167)=0,"",MEDIAN(D2167:V2167))</f>
        <v/>
      </c>
      <c r="Y2167" s="8">
        <f>IF(COUNT(D2167:V2167)=0,"",MAX(D2167:V2167))</f>
        <v/>
      </c>
      <c r="Z2167" s="9">
        <f>IF(OR(W2167="",W2167=0),"",(Y2167-W2167)/W2167)</f>
        <v/>
      </c>
      <c r="AA2167" s="7">
        <f>IF(COUNT(D2167:V2167)=0,"",INDEX($D$1:$V$1,MATCH(MIN(D2167:V2167),D2167:V2167,0)))</f>
        <v/>
      </c>
      <c r="AB2167" s="8" t="n">
        <v>3266.79</v>
      </c>
      <c r="AC2167" s="10" t="n">
        <v>1</v>
      </c>
    </row>
    <row r="2168">
      <c r="A2168" s="7" t="inlineStr">
        <is>
          <t>MAT-34-010</t>
        </is>
      </c>
      <c r="B2168" s="4" t="inlineStr">
        <is>
          <t>Panel de pared de WPC, 26 mm</t>
        </is>
      </c>
      <c r="C2168" s="7" t="inlineStr">
        <is>
          <t>m²</t>
        </is>
      </c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>
        <v>2955.67</v>
      </c>
      <c r="R2168" s="8" t="n"/>
      <c r="S2168" s="8" t="n"/>
      <c r="T2168" s="8" t="n"/>
      <c r="U2168" s="8" t="n"/>
      <c r="V2168" s="8" t="n"/>
      <c r="W2168" s="8">
        <f>IF(COUNT(D2168:V2168)=0,"",MIN(D2168:V2168))</f>
        <v/>
      </c>
      <c r="X2168" s="8">
        <f>IF(COUNT(D2168:V2168)=0,"",MEDIAN(D2168:V2168))</f>
        <v/>
      </c>
      <c r="Y2168" s="8">
        <f>IF(COUNT(D2168:V2168)=0,"",MAX(D2168:V2168))</f>
        <v/>
      </c>
      <c r="Z2168" s="9">
        <f>IF(OR(W2168="",W2168=0),"",(Y2168-W2168)/W2168)</f>
        <v/>
      </c>
      <c r="AA2168" s="7">
        <f>IF(COUNT(D2168:V2168)=0,"",INDEX($D$1:$V$1,MATCH(MIN(D2168:V2168),D2168:V2168,0)))</f>
        <v/>
      </c>
      <c r="AB2168" s="8" t="n">
        <v>2955.67</v>
      </c>
      <c r="AC2168" s="10" t="n">
        <v>1</v>
      </c>
    </row>
    <row r="2169">
      <c r="A2169" s="7" t="inlineStr">
        <is>
          <t>MAT-34-011</t>
        </is>
      </c>
      <c r="B2169" s="4" t="inlineStr">
        <is>
          <t>Plancha decorativa de bambú, 8 mm</t>
        </is>
      </c>
      <c r="C2169" s="7" t="inlineStr">
        <is>
          <t>m²</t>
        </is>
      </c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>
        <v>791.41</v>
      </c>
      <c r="R2169" s="8" t="n"/>
      <c r="S2169" s="8" t="n"/>
      <c r="T2169" s="8" t="n"/>
      <c r="U2169" s="8" t="n"/>
      <c r="V2169" s="8" t="n"/>
      <c r="W2169" s="8">
        <f>IF(COUNT(D2169:V2169)=0,"",MIN(D2169:V2169))</f>
        <v/>
      </c>
      <c r="X2169" s="8">
        <f>IF(COUNT(D2169:V2169)=0,"",MEDIAN(D2169:V2169))</f>
        <v/>
      </c>
      <c r="Y2169" s="8">
        <f>IF(COUNT(D2169:V2169)=0,"",MAX(D2169:V2169))</f>
        <v/>
      </c>
      <c r="Z2169" s="9">
        <f>IF(OR(W2169="",W2169=0),"",(Y2169-W2169)/W2169)</f>
        <v/>
      </c>
      <c r="AA2169" s="7">
        <f>IF(COUNT(D2169:V2169)=0,"",INDEX($D$1:$V$1,MATCH(MIN(D2169:V2169),D2169:V2169,0)))</f>
        <v/>
      </c>
      <c r="AB2169" s="8" t="n">
        <v>791.41</v>
      </c>
      <c r="AC2169" s="10" t="n">
        <v>1</v>
      </c>
    </row>
    <row r="2170">
      <c r="A2170" s="7" t="inlineStr">
        <is>
          <t>MAT-34-012</t>
        </is>
      </c>
      <c r="B2170" s="4" t="inlineStr">
        <is>
          <t>Plancha decorativa de mármol, 3 mm</t>
        </is>
      </c>
      <c r="C2170" s="7" t="inlineStr">
        <is>
          <t>m²</t>
        </is>
      </c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>
        <v>650.08</v>
      </c>
      <c r="R2170" s="8" t="n"/>
      <c r="S2170" s="8" t="n"/>
      <c r="T2170" s="8" t="n"/>
      <c r="U2170" s="8" t="n"/>
      <c r="V2170" s="8" t="n"/>
      <c r="W2170" s="8">
        <f>IF(COUNT(D2170:V2170)=0,"",MIN(D2170:V2170))</f>
        <v/>
      </c>
      <c r="X2170" s="8">
        <f>IF(COUNT(D2170:V2170)=0,"",MEDIAN(D2170:V2170))</f>
        <v/>
      </c>
      <c r="Y2170" s="8">
        <f>IF(COUNT(D2170:V2170)=0,"",MAX(D2170:V2170))</f>
        <v/>
      </c>
      <c r="Z2170" s="9">
        <f>IF(OR(W2170="",W2170=0),"",(Y2170-W2170)/W2170)</f>
        <v/>
      </c>
      <c r="AA2170" s="7">
        <f>IF(COUNT(D2170:V2170)=0,"",INDEX($D$1:$V$1,MATCH(MIN(D2170:V2170),D2170:V2170,0)))</f>
        <v/>
      </c>
      <c r="AB2170" s="8" t="n">
        <v>650.08</v>
      </c>
      <c r="AC2170" s="10" t="n">
        <v>1</v>
      </c>
    </row>
    <row r="2171">
      <c r="A2171" s="7" t="inlineStr">
        <is>
          <t>MAT-34-013</t>
        </is>
      </c>
      <c r="B2171" s="4" t="inlineStr">
        <is>
          <t>Plancha decorativa de ónix, 6 mm</t>
        </is>
      </c>
      <c r="C2171" s="7" t="inlineStr">
        <is>
          <t>m²</t>
        </is>
      </c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>
        <v>1463.7</v>
      </c>
      <c r="R2171" s="8" t="n"/>
      <c r="S2171" s="8" t="n"/>
      <c r="T2171" s="8" t="n"/>
      <c r="U2171" s="8" t="n"/>
      <c r="V2171" s="8" t="n"/>
      <c r="W2171" s="8">
        <f>IF(COUNT(D2171:V2171)=0,"",MIN(D2171:V2171))</f>
        <v/>
      </c>
      <c r="X2171" s="8">
        <f>IF(COUNT(D2171:V2171)=0,"",MEDIAN(D2171:V2171))</f>
        <v/>
      </c>
      <c r="Y2171" s="8">
        <f>IF(COUNT(D2171:V2171)=0,"",MAX(D2171:V2171))</f>
        <v/>
      </c>
      <c r="Z2171" s="9">
        <f>IF(OR(W2171="",W2171=0),"",(Y2171-W2171)/W2171)</f>
        <v/>
      </c>
      <c r="AA2171" s="7">
        <f>IF(COUNT(D2171:V2171)=0,"",INDEX($D$1:$V$1,MATCH(MIN(D2171:V2171),D2171:V2171,0)))</f>
        <v/>
      </c>
      <c r="AB2171" s="8" t="n">
        <v>3512.88</v>
      </c>
      <c r="AC2171" s="10" t="n">
        <v>1</v>
      </c>
    </row>
    <row r="2172">
      <c r="A2172" s="7" t="inlineStr">
        <is>
          <t>MAT-34-014</t>
        </is>
      </c>
      <c r="B2172" s="4" t="inlineStr">
        <is>
          <t>Plancha decorativa de poliuretano, 8 mm</t>
        </is>
      </c>
      <c r="C2172" s="7" t="inlineStr">
        <is>
          <t>m²</t>
        </is>
      </c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>
        <v>791.41</v>
      </c>
      <c r="R2172" s="8" t="n"/>
      <c r="S2172" s="8" t="n"/>
      <c r="T2172" s="8" t="n"/>
      <c r="U2172" s="8" t="n"/>
      <c r="V2172" s="8" t="n"/>
      <c r="W2172" s="8">
        <f>IF(COUNT(D2172:V2172)=0,"",MIN(D2172:V2172))</f>
        <v/>
      </c>
      <c r="X2172" s="8">
        <f>IF(COUNT(D2172:V2172)=0,"",MEDIAN(D2172:V2172))</f>
        <v/>
      </c>
      <c r="Y2172" s="8">
        <f>IF(COUNT(D2172:V2172)=0,"",MAX(D2172:V2172))</f>
        <v/>
      </c>
      <c r="Z2172" s="9">
        <f>IF(OR(W2172="",W2172=0),"",(Y2172-W2172)/W2172)</f>
        <v/>
      </c>
      <c r="AA2172" s="7">
        <f>IF(COUNT(D2172:V2172)=0,"",INDEX($D$1:$V$1,MATCH(MIN(D2172:V2172),D2172:V2172,0)))</f>
        <v/>
      </c>
      <c r="AB2172" s="8" t="n">
        <v>791.41</v>
      </c>
      <c r="AC2172" s="10" t="n">
        <v>1</v>
      </c>
    </row>
    <row r="2173">
      <c r="A2173" s="7" t="inlineStr">
        <is>
          <t>MAT-34-015</t>
        </is>
      </c>
      <c r="B2173" s="4" t="inlineStr">
        <is>
          <t>Plancha decorativa de PVC, 9 mm</t>
        </is>
      </c>
      <c r="C2173" s="7" t="inlineStr">
        <is>
          <t>m²</t>
        </is>
      </c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>
        <v>1379.31</v>
      </c>
      <c r="R2173" s="8" t="n"/>
      <c r="S2173" s="8" t="n"/>
      <c r="T2173" s="8" t="n"/>
      <c r="U2173" s="8" t="n"/>
      <c r="V2173" s="8" t="n"/>
      <c r="W2173" s="8">
        <f>IF(COUNT(D2173:V2173)=0,"",MIN(D2173:V2173))</f>
        <v/>
      </c>
      <c r="X2173" s="8">
        <f>IF(COUNT(D2173:V2173)=0,"",MEDIAN(D2173:V2173))</f>
        <v/>
      </c>
      <c r="Y2173" s="8">
        <f>IF(COUNT(D2173:V2173)=0,"",MAX(D2173:V2173))</f>
        <v/>
      </c>
      <c r="Z2173" s="9">
        <f>IF(OR(W2173="",W2173=0),"",(Y2173-W2173)/W2173)</f>
        <v/>
      </c>
      <c r="AA2173" s="7">
        <f>IF(COUNT(D2173:V2173)=0,"",INDEX($D$1:$V$1,MATCH(MIN(D2173:V2173),D2173:V2173,0)))</f>
        <v/>
      </c>
      <c r="AB2173" s="8" t="n">
        <v>1379.31</v>
      </c>
      <c r="AC2173" s="10" t="n">
        <v>1</v>
      </c>
    </row>
    <row r="2174">
      <c r="A2174" s="7" t="inlineStr">
        <is>
          <t>MAT-34-016</t>
        </is>
      </c>
      <c r="B2174" s="4" t="inlineStr">
        <is>
          <t>Papel tapiz</t>
        </is>
      </c>
      <c r="C2174" s="7" t="inlineStr">
        <is>
          <t>m²</t>
        </is>
      </c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>
        <v>310</v>
      </c>
      <c r="R2174" s="8" t="n"/>
      <c r="S2174" s="8" t="n">
        <v>324.49</v>
      </c>
      <c r="T2174" s="8" t="n"/>
      <c r="U2174" s="8" t="n">
        <v>238.12</v>
      </c>
      <c r="V2174" s="8" t="n">
        <v>1393.29</v>
      </c>
      <c r="W2174" s="8">
        <f>IF(COUNT(D2174:V2174)=0,"",MIN(D2174:V2174))</f>
        <v/>
      </c>
      <c r="X2174" s="8">
        <f>IF(COUNT(D2174:V2174)=0,"",MEDIAN(D2174:V2174))</f>
        <v/>
      </c>
      <c r="Y2174" s="8">
        <f>IF(COUNT(D2174:V2174)=0,"",MAX(D2174:V2174))</f>
        <v/>
      </c>
      <c r="Z2174" s="9">
        <f>IF(OR(W2174="",W2174=0),"",(Y2174-W2174)/W2174)</f>
        <v/>
      </c>
      <c r="AA2174" s="7">
        <f>IF(COUNT(D2174:V2174)=0,"",INDEX($D$1:$V$1,MATCH(MIN(D2174:V2174),D2174:V2174,0)))</f>
        <v/>
      </c>
      <c r="AB2174" s="8" t="n">
        <v>836.88</v>
      </c>
      <c r="AC2174" s="10" t="n">
        <v>4</v>
      </c>
    </row>
    <row r="2175">
      <c r="A2175" s="7" t="inlineStr">
        <is>
          <t>MAT-34-017</t>
        </is>
      </c>
      <c r="B2175" s="4" t="inlineStr">
        <is>
          <t>Revestimiento flexible de piedra, de interior</t>
        </is>
      </c>
      <c r="C2175" s="7" t="inlineStr">
        <is>
          <t>m²</t>
        </is>
      </c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>
        <v>937.5</v>
      </c>
      <c r="R2175" s="8" t="n"/>
      <c r="S2175" s="8" t="n"/>
      <c r="T2175" s="8" t="n"/>
      <c r="U2175" s="8" t="n"/>
      <c r="V2175" s="8" t="n"/>
      <c r="W2175" s="8">
        <f>IF(COUNT(D2175:V2175)=0,"",MIN(D2175:V2175))</f>
        <v/>
      </c>
      <c r="X2175" s="8">
        <f>IF(COUNT(D2175:V2175)=0,"",MEDIAN(D2175:V2175))</f>
        <v/>
      </c>
      <c r="Y2175" s="8">
        <f>IF(COUNT(D2175:V2175)=0,"",MAX(D2175:V2175))</f>
        <v/>
      </c>
      <c r="Z2175" s="9">
        <f>IF(OR(W2175="",W2175=0),"",(Y2175-W2175)/W2175)</f>
        <v/>
      </c>
      <c r="AA2175" s="7">
        <f>IF(COUNT(D2175:V2175)=0,"",INDEX($D$1:$V$1,MATCH(MIN(D2175:V2175),D2175:V2175,0)))</f>
        <v/>
      </c>
      <c r="AB2175" s="8" t="n">
        <v>2013.89</v>
      </c>
      <c r="AC2175" s="10" t="n">
        <v>1</v>
      </c>
    </row>
    <row r="2176">
      <c r="A2176" s="7" t="inlineStr">
        <is>
          <t>MAT-34-018</t>
        </is>
      </c>
      <c r="B2176" s="4" t="inlineStr">
        <is>
          <t>Mosaico decorativo de madera</t>
        </is>
      </c>
      <c r="C2176" s="7" t="inlineStr">
        <is>
          <t>m²</t>
        </is>
      </c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>
        <v>4714.29</v>
      </c>
      <c r="R2176" s="8" t="n"/>
      <c r="S2176" s="8" t="n"/>
      <c r="T2176" s="8" t="n"/>
      <c r="U2176" s="8" t="n"/>
      <c r="V2176" s="8" t="n"/>
      <c r="W2176" s="8">
        <f>IF(COUNT(D2176:V2176)=0,"",MIN(D2176:V2176))</f>
        <v/>
      </c>
      <c r="X2176" s="8">
        <f>IF(COUNT(D2176:V2176)=0,"",MEDIAN(D2176:V2176))</f>
        <v/>
      </c>
      <c r="Y2176" s="8">
        <f>IF(COUNT(D2176:V2176)=0,"",MAX(D2176:V2176))</f>
        <v/>
      </c>
      <c r="Z2176" s="9">
        <f>IF(OR(W2176="",W2176=0),"",(Y2176-W2176)/W2176)</f>
        <v/>
      </c>
      <c r="AA2176" s="7">
        <f>IF(COUNT(D2176:V2176)=0,"",INDEX($D$1:$V$1,MATCH(MIN(D2176:V2176),D2176:V2176,0)))</f>
        <v/>
      </c>
      <c r="AB2176" s="8" t="n">
        <v>9444.440000000001</v>
      </c>
      <c r="AC2176" s="10" t="n">
        <v>1</v>
      </c>
    </row>
    <row r="2177">
      <c r="A2177" s="7" t="inlineStr">
        <is>
          <t>MAT-34-019</t>
        </is>
      </c>
      <c r="B2177" s="4" t="inlineStr">
        <is>
          <t>Mosaico decorativo de mármol</t>
        </is>
      </c>
      <c r="C2177" s="7" t="inlineStr">
        <is>
          <t>m²</t>
        </is>
      </c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>
        <v>4166.67</v>
      </c>
      <c r="R2177" s="8" t="n"/>
      <c r="S2177" s="8" t="n"/>
      <c r="T2177" s="8" t="n"/>
      <c r="U2177" s="8" t="n"/>
      <c r="V2177" s="8" t="n"/>
      <c r="W2177" s="8">
        <f>IF(COUNT(D2177:V2177)=0,"",MIN(D2177:V2177))</f>
        <v/>
      </c>
      <c r="X2177" s="8">
        <f>IF(COUNT(D2177:V2177)=0,"",MEDIAN(D2177:V2177))</f>
        <v/>
      </c>
      <c r="Y2177" s="8">
        <f>IF(COUNT(D2177:V2177)=0,"",MAX(D2177:V2177))</f>
        <v/>
      </c>
      <c r="Z2177" s="9">
        <f>IF(OR(W2177="",W2177=0),"",(Y2177-W2177)/W2177)</f>
        <v/>
      </c>
      <c r="AA2177" s="7">
        <f>IF(COUNT(D2177:V2177)=0,"",INDEX($D$1:$V$1,MATCH(MIN(D2177:V2177),D2177:V2177,0)))</f>
        <v/>
      </c>
      <c r="AB2177" s="8" t="n">
        <v>10337.55</v>
      </c>
      <c r="AC2177" s="10" t="n">
        <v>1</v>
      </c>
    </row>
    <row r="2178">
      <c r="A2178" s="7" t="inlineStr">
        <is>
          <t>MAT-34-020</t>
        </is>
      </c>
      <c r="B2178" s="4" t="inlineStr">
        <is>
          <t>Mosaico decorativo de piedra</t>
        </is>
      </c>
      <c r="C2178" s="7" t="inlineStr">
        <is>
          <t>m²</t>
        </is>
      </c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>
        <v>6111.11</v>
      </c>
      <c r="R2178" s="8" t="n"/>
      <c r="S2178" s="8" t="n"/>
      <c r="T2178" s="8" t="n"/>
      <c r="U2178" s="8" t="n"/>
      <c r="V2178" s="8" t="n"/>
      <c r="W2178" s="8">
        <f>IF(COUNT(D2178:V2178)=0,"",MIN(D2178:V2178))</f>
        <v/>
      </c>
      <c r="X2178" s="8">
        <f>IF(COUNT(D2178:V2178)=0,"",MEDIAN(D2178:V2178))</f>
        <v/>
      </c>
      <c r="Y2178" s="8">
        <f>IF(COUNT(D2178:V2178)=0,"",MAX(D2178:V2178))</f>
        <v/>
      </c>
      <c r="Z2178" s="9">
        <f>IF(OR(W2178="",W2178=0),"",(Y2178-W2178)/W2178)</f>
        <v/>
      </c>
      <c r="AA2178" s="7">
        <f>IF(COUNT(D2178:V2178)=0,"",INDEX($D$1:$V$1,MATCH(MIN(D2178:V2178),D2178:V2178,0)))</f>
        <v/>
      </c>
      <c r="AB2178" s="8" t="n">
        <v>8489.209999999999</v>
      </c>
      <c r="AC2178" s="10" t="n">
        <v>1</v>
      </c>
    </row>
    <row r="2179">
      <c r="A2179" s="7" t="inlineStr">
        <is>
          <t>MAT-34-021</t>
        </is>
      </c>
      <c r="B2179" s="4" t="inlineStr">
        <is>
          <t>Pieza 3D de pared de cuero</t>
        </is>
      </c>
      <c r="C2179" s="7" t="inlineStr">
        <is>
          <t>m²</t>
        </is>
      </c>
      <c r="D2179" s="8" t="n"/>
      <c r="E2179" s="8" t="n"/>
      <c r="F2179" s="8" t="n"/>
      <c r="G2179" s="8" t="n"/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>
        <v>3277.78</v>
      </c>
      <c r="R2179" s="8" t="n"/>
      <c r="S2179" s="8" t="n"/>
      <c r="T2179" s="8" t="n"/>
      <c r="U2179" s="8" t="n"/>
      <c r="V2179" s="8" t="n"/>
      <c r="W2179" s="8">
        <f>IF(COUNT(D2179:V2179)=0,"",MIN(D2179:V2179))</f>
        <v/>
      </c>
      <c r="X2179" s="8">
        <f>IF(COUNT(D2179:V2179)=0,"",MEDIAN(D2179:V2179))</f>
        <v/>
      </c>
      <c r="Y2179" s="8">
        <f>IF(COUNT(D2179:V2179)=0,"",MAX(D2179:V2179))</f>
        <v/>
      </c>
      <c r="Z2179" s="9">
        <f>IF(OR(W2179="",W2179=0),"",(Y2179-W2179)/W2179)</f>
        <v/>
      </c>
      <c r="AA2179" s="7">
        <f>IF(COUNT(D2179:V2179)=0,"",INDEX($D$1:$V$1,MATCH(MIN(D2179:V2179),D2179:V2179,0)))</f>
        <v/>
      </c>
      <c r="AB2179" s="8" t="n">
        <v>4669.54</v>
      </c>
      <c r="AC2179" s="10" t="n">
        <v>1</v>
      </c>
    </row>
    <row r="2180">
      <c r="A2180" s="7" t="inlineStr">
        <is>
          <t>MAT-34-022</t>
        </is>
      </c>
      <c r="B2180" s="4" t="inlineStr">
        <is>
          <t>Malla decorativa de ratán</t>
        </is>
      </c>
      <c r="C2180" s="7" t="inlineStr">
        <is>
          <t>m²</t>
        </is>
      </c>
      <c r="D2180" s="8" t="n"/>
      <c r="E2180" s="8" t="n"/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>
        <v>1247.69</v>
      </c>
      <c r="R2180" s="8" t="n"/>
      <c r="S2180" s="8" t="n"/>
      <c r="T2180" s="8" t="n"/>
      <c r="U2180" s="8" t="n"/>
      <c r="V2180" s="8" t="n"/>
      <c r="W2180" s="8">
        <f>IF(COUNT(D2180:V2180)=0,"",MIN(D2180:V2180))</f>
        <v/>
      </c>
      <c r="X2180" s="8">
        <f>IF(COUNT(D2180:V2180)=0,"",MEDIAN(D2180:V2180))</f>
        <v/>
      </c>
      <c r="Y2180" s="8">
        <f>IF(COUNT(D2180:V2180)=0,"",MAX(D2180:V2180))</f>
        <v/>
      </c>
      <c r="Z2180" s="9">
        <f>IF(OR(W2180="",W2180=0),"",(Y2180-W2180)/W2180)</f>
        <v/>
      </c>
      <c r="AA2180" s="7">
        <f>IF(COUNT(D2180:V2180)=0,"",INDEX($D$1:$V$1,MATCH(MIN(D2180:V2180),D2180:V2180,0)))</f>
        <v/>
      </c>
      <c r="AB2180" s="8" t="n">
        <v>1247.69</v>
      </c>
      <c r="AC2180" s="10" t="n">
        <v>1</v>
      </c>
    </row>
    <row r="2181">
      <c r="A2181" s="7" t="inlineStr">
        <is>
          <t>MAT-34-023</t>
        </is>
      </c>
      <c r="B2181" s="4" t="inlineStr">
        <is>
          <t>Tirador para mueble</t>
        </is>
      </c>
      <c r="C2181" s="7" t="inlineStr">
        <is>
          <t>unidad</t>
        </is>
      </c>
      <c r="D2181" s="8" t="n"/>
      <c r="E2181" s="8" t="n"/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>
        <v>350</v>
      </c>
      <c r="R2181" s="8" t="n"/>
      <c r="S2181" s="8" t="n"/>
      <c r="T2181" s="8" t="n"/>
      <c r="U2181" s="8" t="n"/>
      <c r="V2181" s="8" t="n"/>
      <c r="W2181" s="8">
        <f>IF(COUNT(D2181:V2181)=0,"",MIN(D2181:V2181))</f>
        <v/>
      </c>
      <c r="X2181" s="8">
        <f>IF(COUNT(D2181:V2181)=0,"",MEDIAN(D2181:V2181))</f>
        <v/>
      </c>
      <c r="Y2181" s="8">
        <f>IF(COUNT(D2181:V2181)=0,"",MAX(D2181:V2181))</f>
        <v/>
      </c>
      <c r="Z2181" s="9">
        <f>IF(OR(W2181="",W2181=0),"",(Y2181-W2181)/W2181)</f>
        <v/>
      </c>
      <c r="AA2181" s="7">
        <f>IF(COUNT(D2181:V2181)=0,"",INDEX($D$1:$V$1,MATCH(MIN(D2181:V2181),D2181:V2181,0)))</f>
        <v/>
      </c>
      <c r="AB2181" s="8" t="n">
        <v>350</v>
      </c>
      <c r="AC2181" s="10" t="n">
        <v>1</v>
      </c>
    </row>
    <row r="2183">
      <c r="A2183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84"/>
  </sheetData>
  <autoFilter ref="A2:AC2181"/>
  <mergeCells count="2">
    <mergeCell ref="A1:AC1"/>
    <mergeCell ref="A2183:AC218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2026-09-11T03:03:37Z</dcterms:created>
  <dcterms:modified xsi:type="dcterms:W3CDTF">2026-09-11T03:03:38Z</dcterms:modified>
</cp:coreProperties>
</file>