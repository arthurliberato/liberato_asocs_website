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</sheets>
  <definedNames>
    <definedName name="_xlnm._FilterDatabase" localSheetId="0" hidden="1">'Catálogo'!$A$2:$AF$2160</definedName>
    <definedName name="_xlnm._FilterDatabase" localSheetId="1" hidden="1">'Comparativo'!$A$2:$W$2154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5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1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40" customWidth="1" min="5" max="5"/>
    <col width="12" customWidth="1" min="6" max="6"/>
    <col width="20" customWidth="1" min="7" max="7"/>
    <col width="11" customWidth="1" min="8" max="8"/>
    <col width="11" customWidth="1" min="9" max="9"/>
    <col width="11" customWidth="1" min="10" max="10"/>
    <col width="15" customWidth="1" min="11" max="11"/>
    <col width="13" customWidth="1" min="12" max="12"/>
    <col width="13" customWidth="1" min="13" max="13"/>
    <col width="11" customWidth="1" min="14" max="14"/>
    <col width="15" customWidth="1" min="15" max="15"/>
    <col width="11" customWidth="1" min="16" max="16"/>
    <col width="46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30" customWidth="1" min="32" max="32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Especificación</t>
        </is>
      </c>
      <c r="F2" s="2" t="inlineStr">
        <is>
          <t>Unidad</t>
        </is>
      </c>
      <c r="G2" s="2" t="inlineStr">
        <is>
          <t>Etapa de obra</t>
        </is>
      </c>
      <c r="H2" s="2" t="inlineStr">
        <is>
          <t>Gama</t>
        </is>
      </c>
      <c r="I2" s="2" t="inlineStr">
        <is>
          <t>Origen</t>
        </is>
      </c>
      <c r="J2" s="2" t="inlineStr">
        <is>
          <t>Cotizaciones</t>
        </is>
      </c>
      <c r="K2" s="2" t="inlineStr">
        <is>
          <t>Precio de referencia (RD$)</t>
        </is>
      </c>
      <c r="L2" s="2" t="inlineStr">
        <is>
          <t>Mínimo (RD$)</t>
        </is>
      </c>
      <c r="M2" s="2" t="inlineStr">
        <is>
          <t>Máximo (RD$)</t>
        </is>
      </c>
      <c r="N2" s="2" t="inlineStr">
        <is>
          <t>Incluye ITBIS</t>
        </is>
      </c>
      <c r="O2" s="2" t="inlineStr">
        <is>
          <t>Precio sin ITBIS (RD$)</t>
        </is>
      </c>
      <c r="P2" s="2" t="inlineStr">
        <is>
          <t>Fecha</t>
        </is>
      </c>
      <c r="Q2" s="2" t="inlineStr">
        <is>
          <t>Comercios que cotizaron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Formato</t>
        </is>
      </c>
      <c r="W2" s="2" t="inlineStr">
        <is>
          <t>Resolución (MP)</t>
        </is>
      </c>
      <c r="X2" s="2" t="inlineStr">
        <is>
          <t>Tecnología</t>
        </is>
      </c>
      <c r="Y2" s="2" t="inlineStr">
        <is>
          <t>Canales</t>
        </is>
      </c>
      <c r="Z2" s="2" t="inlineStr">
        <is>
          <t>Largo (pies)</t>
        </is>
      </c>
      <c r="AA2" s="2" t="inlineStr">
        <is>
          <t>Capacidad (gal)</t>
        </is>
      </c>
      <c r="AB2" s="2" t="inlineStr">
        <is>
          <t>Peso (lb)</t>
        </is>
      </c>
      <c r="AC2" s="2" t="inlineStr">
        <is>
          <t>Calibre</t>
        </is>
      </c>
      <c r="AD2" s="2" t="inlineStr">
        <is>
          <t>Tamaño</t>
        </is>
      </c>
      <c r="AE2" s="2" t="inlineStr">
        <is>
          <t>Uso</t>
        </is>
      </c>
      <c r="AF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4" t="inlineStr">
        <is>
          <t>Oruga, para espacios reducidos. Altura de trabajo 26.14 m (86.76 pies), alcance horizontal 13.75 m. 8 horas por día</t>
        </is>
      </c>
      <c r="F3" s="3" t="inlineStr">
        <is>
          <t>día</t>
        </is>
      </c>
      <c r="G3" s="3" t="inlineStr">
        <is>
          <t>Preliminares</t>
        </is>
      </c>
      <c r="H3" s="3" t="inlineStr">
        <is>
          <t>estandar</t>
        </is>
      </c>
      <c r="I3" s="3" t="inlineStr">
        <is>
          <t>nacional</t>
        </is>
      </c>
      <c r="J3" s="5" t="n">
        <v>1</v>
      </c>
      <c r="K3" s="6" t="n">
        <v>31375.62</v>
      </c>
      <c r="L3" s="6" t="n">
        <v>31375.62</v>
      </c>
      <c r="M3" s="6" t="n">
        <v>31375.62</v>
      </c>
      <c r="N3" s="3" t="inlineStr">
        <is>
          <t>Sí</t>
        </is>
      </c>
      <c r="O3" s="6">
        <f>IF(K3="","",IF(N3="Sí",ROUND(K3/1.18,2),K3))</f>
        <v/>
      </c>
      <c r="P3" s="3" t="inlineStr">
        <is>
          <t>2026-09-10</t>
        </is>
      </c>
      <c r="Q3" s="4" t="inlineStr">
        <is>
          <t>Imper System (Impersystem Tecnologies)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4" t="inlineStr">
        <is>
          <t>Oruga, para espacios reducidos. Altura de trabajo 26.14 m (86.76 pies), alcance horizontal 13.75 m. 40 horas por semana</t>
        </is>
      </c>
      <c r="F4" s="3" t="inlineStr">
        <is>
          <t>semana</t>
        </is>
      </c>
      <c r="G4" s="3" t="inlineStr">
        <is>
          <t>Preliminares</t>
        </is>
      </c>
      <c r="H4" s="3" t="inlineStr">
        <is>
          <t>estandar</t>
        </is>
      </c>
      <c r="I4" s="3" t="inlineStr">
        <is>
          <t>nacional</t>
        </is>
      </c>
      <c r="J4" s="5" t="n">
        <v>1</v>
      </c>
      <c r="K4" s="6" t="n">
        <v>132474.85</v>
      </c>
      <c r="L4" s="6" t="n">
        <v>132474.85</v>
      </c>
      <c r="M4" s="6" t="n">
        <v>132474.85</v>
      </c>
      <c r="N4" s="3" t="inlineStr">
        <is>
          <t>Sí</t>
        </is>
      </c>
      <c r="O4" s="6">
        <f>IF(K4="","",IF(N4="Sí",ROUND(K4/1.18,2),K4))</f>
        <v/>
      </c>
      <c r="P4" s="3" t="inlineStr">
        <is>
          <t>2026-09-10</t>
        </is>
      </c>
      <c r="Q4" s="4" t="inlineStr">
        <is>
          <t>Imper System (Impersystem Tecnologies)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4" t="inlineStr">
        <is>
          <t>Oruga, para espacios reducidos. Altura de trabajo 26.14 m (86.76 pies), alcance horizontal 13.75 m. 188 horas por mes</t>
        </is>
      </c>
      <c r="F5" s="3" t="inlineStr">
        <is>
          <t>mes</t>
        </is>
      </c>
      <c r="G5" s="3" t="inlineStr">
        <is>
          <t>Preliminares</t>
        </is>
      </c>
      <c r="H5" s="3" t="inlineStr">
        <is>
          <t>estandar</t>
        </is>
      </c>
      <c r="I5" s="3" t="inlineStr">
        <is>
          <t>nacional</t>
        </is>
      </c>
      <c r="J5" s="5" t="n">
        <v>1</v>
      </c>
      <c r="K5" s="6" t="n">
        <v>557788.83</v>
      </c>
      <c r="L5" s="6" t="n">
        <v>557788.83</v>
      </c>
      <c r="M5" s="6" t="n">
        <v>557788.83</v>
      </c>
      <c r="N5" s="3" t="inlineStr">
        <is>
          <t>Sí</t>
        </is>
      </c>
      <c r="O5" s="6">
        <f>IF(K5="","",IF(N5="Sí",ROUND(K5/1.18,2),K5))</f>
        <v/>
      </c>
      <c r="P5" s="3" t="inlineStr">
        <is>
          <t>2026-09-10</t>
        </is>
      </c>
      <c r="Q5" s="4" t="inlineStr">
        <is>
          <t>Imper System (Impersystem Tecnologies)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4" t="inlineStr">
        <is>
          <t>Oruga, para espacios reducidos. Altura de trabajo 20 m (60 pies), alcance horizontal 10 m. 8 horas por día</t>
        </is>
      </c>
      <c r="F6" s="3" t="inlineStr">
        <is>
          <t>día</t>
        </is>
      </c>
      <c r="G6" s="3" t="inlineStr">
        <is>
          <t>Preliminares</t>
        </is>
      </c>
      <c r="H6" s="3" t="inlineStr">
        <is>
          <t>estandar</t>
        </is>
      </c>
      <c r="I6" s="3" t="inlineStr">
        <is>
          <t>nacional</t>
        </is>
      </c>
      <c r="J6" s="5" t="n">
        <v>1</v>
      </c>
      <c r="K6" s="6" t="n">
        <v>24403.26</v>
      </c>
      <c r="L6" s="6" t="n">
        <v>24403.26</v>
      </c>
      <c r="M6" s="6" t="n">
        <v>24403.26</v>
      </c>
      <c r="N6" s="3" t="inlineStr">
        <is>
          <t>Sí</t>
        </is>
      </c>
      <c r="O6" s="6">
        <f>IF(K6="","",IF(N6="Sí",ROUND(K6/1.18,2),K6))</f>
        <v/>
      </c>
      <c r="P6" s="3" t="inlineStr">
        <is>
          <t>2026-09-10</t>
        </is>
      </c>
      <c r="Q6" s="4" t="inlineStr">
        <is>
          <t>Imper System (Impersystem Tecnologies)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4" t="inlineStr">
        <is>
          <t>Oruga, para espacios reducidos. Altura de trabajo 20 m (60 pies), alcance horizontal 10 m. 40 horas por semana</t>
        </is>
      </c>
      <c r="F7" s="3" t="inlineStr">
        <is>
          <t>semana</t>
        </is>
      </c>
      <c r="G7" s="3" t="inlineStr">
        <is>
          <t>Preliminares</t>
        </is>
      </c>
      <c r="H7" s="3" t="inlineStr">
        <is>
          <t>estandar</t>
        </is>
      </c>
      <c r="I7" s="3" t="inlineStr">
        <is>
          <t>nacional</t>
        </is>
      </c>
      <c r="J7" s="5" t="n">
        <v>1</v>
      </c>
      <c r="K7" s="6" t="n">
        <v>111557.77</v>
      </c>
      <c r="L7" s="6" t="n">
        <v>111557.77</v>
      </c>
      <c r="M7" s="6" t="n">
        <v>111557.77</v>
      </c>
      <c r="N7" s="3" t="inlineStr">
        <is>
          <t>Sí</t>
        </is>
      </c>
      <c r="O7" s="6">
        <f>IF(K7="","",IF(N7="Sí",ROUND(K7/1.18,2),K7))</f>
        <v/>
      </c>
      <c r="P7" s="3" t="inlineStr">
        <is>
          <t>2026-09-10</t>
        </is>
      </c>
      <c r="Q7" s="4" t="inlineStr">
        <is>
          <t>Imper System (Impersystem Tecnologies)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4" t="inlineStr">
        <is>
          <t>Oruga, para espacios reducidos. Altura de trabajo 20 m (60 pies), alcance horizontal 10 m. 188 horas por mes</t>
        </is>
      </c>
      <c r="F8" s="3" t="inlineStr">
        <is>
          <t>mes</t>
        </is>
      </c>
      <c r="G8" s="3" t="inlineStr">
        <is>
          <t>Preliminares</t>
        </is>
      </c>
      <c r="H8" s="3" t="inlineStr">
        <is>
          <t>estandar</t>
        </is>
      </c>
      <c r="I8" s="3" t="inlineStr">
        <is>
          <t>nacional</t>
        </is>
      </c>
      <c r="J8" s="5" t="n">
        <v>1</v>
      </c>
      <c r="K8" s="6" t="n">
        <v>460175.79</v>
      </c>
      <c r="L8" s="6" t="n">
        <v>460175.79</v>
      </c>
      <c r="M8" s="6" t="n">
        <v>460175.79</v>
      </c>
      <c r="N8" s="3" t="inlineStr">
        <is>
          <t>Sí</t>
        </is>
      </c>
      <c r="O8" s="6">
        <f>IF(K8="","",IF(N8="Sí",ROUND(K8/1.18,2),K8))</f>
        <v/>
      </c>
      <c r="P8" s="3" t="inlineStr">
        <is>
          <t>2026-09-10</t>
        </is>
      </c>
      <c r="Q8" s="4" t="inlineStr">
        <is>
          <t>Imper System (Impersystem Tecnologies)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4" t="inlineStr">
        <is>
          <t>Brazo telescópico. Altura de trabajo 40.30 m (125 pies), alcance horizontal 19.90 m. La tarifa incluye operador. 8 horas por día</t>
        </is>
      </c>
      <c r="F9" s="3" t="inlineStr">
        <is>
          <t>día</t>
        </is>
      </c>
      <c r="G9" s="3" t="inlineStr">
        <is>
          <t>Preliminares</t>
        </is>
      </c>
      <c r="H9" s="3" t="inlineStr">
        <is>
          <t>estandar</t>
        </is>
      </c>
      <c r="I9" s="3" t="inlineStr">
        <is>
          <t>nacional</t>
        </is>
      </c>
      <c r="J9" s="5" t="n">
        <v>1</v>
      </c>
      <c r="K9" s="6" t="n">
        <v>55778.88</v>
      </c>
      <c r="L9" s="6" t="n">
        <v>55778.88</v>
      </c>
      <c r="M9" s="6" t="n">
        <v>55778.88</v>
      </c>
      <c r="N9" s="3" t="inlineStr">
        <is>
          <t>Sí</t>
        </is>
      </c>
      <c r="O9" s="6">
        <f>IF(K9="","",IF(N9="Sí",ROUND(K9/1.18,2),K9))</f>
        <v/>
      </c>
      <c r="P9" s="3" t="inlineStr">
        <is>
          <t>2026-09-10</t>
        </is>
      </c>
      <c r="Q9" s="4" t="inlineStr">
        <is>
          <t>Imper System (Impersystem Tecnologies)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4" t="inlineStr">
        <is>
          <t>Brazo telescópico. Altura de trabajo 40.30 m (125 pies), alcance horizontal 19.90 m. La tarifa incluye operador. 40 horas por semana</t>
        </is>
      </c>
      <c r="F10" s="3" t="inlineStr">
        <is>
          <t>semana</t>
        </is>
      </c>
      <c r="G10" s="3" t="inlineStr">
        <is>
          <t>Preliminares</t>
        </is>
      </c>
      <c r="H10" s="3" t="inlineStr">
        <is>
          <t>estandar</t>
        </is>
      </c>
      <c r="I10" s="3" t="inlineStr">
        <is>
          <t>nacional</t>
        </is>
      </c>
      <c r="J10" s="5" t="n">
        <v>1</v>
      </c>
      <c r="K10" s="6" t="n">
        <v>209170.81</v>
      </c>
      <c r="L10" s="6" t="n">
        <v>209170.81</v>
      </c>
      <c r="M10" s="6" t="n">
        <v>209170.81</v>
      </c>
      <c r="N10" s="3" t="inlineStr">
        <is>
          <t>Sí</t>
        </is>
      </c>
      <c r="O10" s="6">
        <f>IF(K10="","",IF(N10="Sí",ROUND(K10/1.18,2),K10))</f>
        <v/>
      </c>
      <c r="P10" s="3" t="inlineStr">
        <is>
          <t>2026-09-10</t>
        </is>
      </c>
      <c r="Q10" s="4" t="inlineStr">
        <is>
          <t>Imper System (Impersystem Tecnologies)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4" t="inlineStr">
        <is>
          <t>Brazo telescópico. Altura de trabajo 40.30 m (125 pies), alcance horizontal 19.90 m. La tarifa incluye operador. 188 horas por mes</t>
        </is>
      </c>
      <c r="F11" s="3" t="inlineStr">
        <is>
          <t>mes</t>
        </is>
      </c>
      <c r="G11" s="3" t="inlineStr">
        <is>
          <t>Preliminares</t>
        </is>
      </c>
      <c r="H11" s="3" t="inlineStr">
        <is>
          <t>estandar</t>
        </is>
      </c>
      <c r="I11" s="3" t="inlineStr">
        <is>
          <t>nacional</t>
        </is>
      </c>
      <c r="J11" s="5" t="n">
        <v>1</v>
      </c>
      <c r="K11" s="6" t="n">
        <v>901177.59</v>
      </c>
      <c r="L11" s="6" t="n">
        <v>901177.59</v>
      </c>
      <c r="M11" s="6" t="n">
        <v>901177.59</v>
      </c>
      <c r="N11" s="3" t="inlineStr">
        <is>
          <t>Sí</t>
        </is>
      </c>
      <c r="O11" s="6">
        <f>IF(K11="","",IF(N11="Sí",ROUND(K11/1.18,2),K11))</f>
        <v/>
      </c>
      <c r="P11" s="3" t="inlineStr">
        <is>
          <t>2026-09-10</t>
        </is>
      </c>
      <c r="Q11" s="4" t="inlineStr">
        <is>
          <t>Imper System (Impersystem Tecnologies)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4" t="inlineStr">
        <is>
          <t>Brazo telescópico diésel. Altura de trabajo 20 m (60 pies). La tarifa incluye operador. 8 horas por día</t>
        </is>
      </c>
      <c r="F12" s="3" t="inlineStr">
        <is>
          <t>día</t>
        </is>
      </c>
      <c r="G12" s="3" t="inlineStr">
        <is>
          <t>Preliminares</t>
        </is>
      </c>
      <c r="H12" s="3" t="inlineStr">
        <is>
          <t>estandar</t>
        </is>
      </c>
      <c r="I12" s="3" t="inlineStr">
        <is>
          <t>nacional</t>
        </is>
      </c>
      <c r="J12" s="5" t="n">
        <v>1</v>
      </c>
      <c r="K12" s="6" t="n">
        <v>18128.14</v>
      </c>
      <c r="L12" s="6" t="n">
        <v>18128.14</v>
      </c>
      <c r="M12" s="6" t="n">
        <v>18128.14</v>
      </c>
      <c r="N12" s="3" t="inlineStr">
        <is>
          <t>Sí</t>
        </is>
      </c>
      <c r="O12" s="6">
        <f>IF(K12="","",IF(N12="Sí",ROUND(K12/1.18,2),K12))</f>
        <v/>
      </c>
      <c r="P12" s="3" t="inlineStr">
        <is>
          <t>2026-09-10</t>
        </is>
      </c>
      <c r="Q12" s="4" t="inlineStr">
        <is>
          <t>Imper System (Impersystem Tecnologies)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4" t="inlineStr">
        <is>
          <t>Brazo telescópico diésel. Altura de trabajo 20 m (60 pies). La tarifa incluye operador. 40 horas por semana</t>
        </is>
      </c>
      <c r="F13" s="3" t="inlineStr">
        <is>
          <t>semana</t>
        </is>
      </c>
      <c r="G13" s="3" t="inlineStr">
        <is>
          <t>Preliminares</t>
        </is>
      </c>
      <c r="H13" s="3" t="inlineStr">
        <is>
          <t>estandar</t>
        </is>
      </c>
      <c r="I13" s="3" t="inlineStr">
        <is>
          <t>nacional</t>
        </is>
      </c>
      <c r="J13" s="5" t="n">
        <v>1</v>
      </c>
      <c r="K13" s="6" t="n">
        <v>76695.96000000001</v>
      </c>
      <c r="L13" s="6" t="n">
        <v>76695.96000000001</v>
      </c>
      <c r="M13" s="6" t="n">
        <v>76695.96000000001</v>
      </c>
      <c r="N13" s="3" t="inlineStr">
        <is>
          <t>Sí</t>
        </is>
      </c>
      <c r="O13" s="6">
        <f>IF(K13="","",IF(N13="Sí",ROUND(K13/1.18,2),K13))</f>
        <v/>
      </c>
      <c r="P13" s="3" t="inlineStr">
        <is>
          <t>2026-09-10</t>
        </is>
      </c>
      <c r="Q13" s="4" t="inlineStr">
        <is>
          <t>Imper System (Impersystem Tecnologies)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4" t="inlineStr">
        <is>
          <t>Brazo telescópico diésel. Altura de trabajo 20 m (60 pies). La tarifa incluye operador. 188 horas por mes</t>
        </is>
      </c>
      <c r="F14" s="3" t="inlineStr">
        <is>
          <t>mes</t>
        </is>
      </c>
      <c r="G14" s="3" t="inlineStr">
        <is>
          <t>Preliminares</t>
        </is>
      </c>
      <c r="H14" s="3" t="inlineStr">
        <is>
          <t>estandar</t>
        </is>
      </c>
      <c r="I14" s="3" t="inlineStr">
        <is>
          <t>nacional</t>
        </is>
      </c>
      <c r="J14" s="5" t="n">
        <v>1</v>
      </c>
      <c r="K14" s="6" t="n">
        <v>362562.74</v>
      </c>
      <c r="L14" s="6" t="n">
        <v>362562.74</v>
      </c>
      <c r="M14" s="6" t="n">
        <v>362562.74</v>
      </c>
      <c r="N14" s="3" t="inlineStr">
        <is>
          <t>Sí</t>
        </is>
      </c>
      <c r="O14" s="6">
        <f>IF(K14="","",IF(N14="Sí",ROUND(K14/1.18,2),K14))</f>
        <v/>
      </c>
      <c r="P14" s="3" t="inlineStr">
        <is>
          <t>2026-09-10</t>
        </is>
      </c>
      <c r="Q14" s="4" t="inlineStr">
        <is>
          <t>Imper System (Impersystem Tecnologies)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4" t="inlineStr">
        <is>
          <t>Brazo articulado. Altura de trabajo 13.45 m (45 pies). La tarifa incluye operador. 8 horas por día</t>
        </is>
      </c>
      <c r="F15" s="3" t="inlineStr">
        <is>
          <t>día</t>
        </is>
      </c>
      <c r="G15" s="3" t="inlineStr">
        <is>
          <t>Preliminares</t>
        </is>
      </c>
      <c r="H15" s="3" t="inlineStr">
        <is>
          <t>estandar</t>
        </is>
      </c>
      <c r="I15" s="3" t="inlineStr">
        <is>
          <t>nacional</t>
        </is>
      </c>
      <c r="J15" s="5" t="n">
        <v>1</v>
      </c>
      <c r="K15" s="6" t="n">
        <v>13247.48</v>
      </c>
      <c r="L15" s="6" t="n">
        <v>13247.48</v>
      </c>
      <c r="M15" s="6" t="n">
        <v>13247.48</v>
      </c>
      <c r="N15" s="3" t="inlineStr">
        <is>
          <t>Sí</t>
        </is>
      </c>
      <c r="O15" s="6">
        <f>IF(K15="","",IF(N15="Sí",ROUND(K15/1.18,2),K15))</f>
        <v/>
      </c>
      <c r="P15" s="3" t="inlineStr">
        <is>
          <t>2026-09-10</t>
        </is>
      </c>
      <c r="Q15" s="4" t="inlineStr">
        <is>
          <t>Imper System (Impersystem Tecnologies)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4" t="inlineStr">
        <is>
          <t>Brazo articulado. Altura de trabajo 13.45 m (45 pies). La tarifa incluye operador. 40 horas por semana</t>
        </is>
      </c>
      <c r="F16" s="3" t="inlineStr">
        <is>
          <t>semana</t>
        </is>
      </c>
      <c r="G16" s="3" t="inlineStr">
        <is>
          <t>Preliminares</t>
        </is>
      </c>
      <c r="H16" s="3" t="inlineStr">
        <is>
          <t>estandar</t>
        </is>
      </c>
      <c r="I16" s="3" t="inlineStr">
        <is>
          <t>nacional</t>
        </is>
      </c>
      <c r="J16" s="5" t="n">
        <v>1</v>
      </c>
      <c r="K16" s="6" t="n">
        <v>59265.06</v>
      </c>
      <c r="L16" s="6" t="n">
        <v>59265.06</v>
      </c>
      <c r="M16" s="6" t="n">
        <v>59265.06</v>
      </c>
      <c r="N16" s="3" t="inlineStr">
        <is>
          <t>Sí</t>
        </is>
      </c>
      <c r="O16" s="6">
        <f>IF(K16="","",IF(N16="Sí",ROUND(K16/1.18,2),K16))</f>
        <v/>
      </c>
      <c r="P16" s="3" t="inlineStr">
        <is>
          <t>2026-09-10</t>
        </is>
      </c>
      <c r="Q16" s="4" t="inlineStr">
        <is>
          <t>Imper System (Impersystem Tecnologies)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4" t="inlineStr">
        <is>
          <t>Brazo articulado. Altura de trabajo 13.45 m (45 pies). La tarifa incluye operador. 188 horas por mes</t>
        </is>
      </c>
      <c r="F17" s="3" t="inlineStr">
        <is>
          <t>mes</t>
        </is>
      </c>
      <c r="G17" s="3" t="inlineStr">
        <is>
          <t>Preliminares</t>
        </is>
      </c>
      <c r="H17" s="3" t="inlineStr">
        <is>
          <t>estandar</t>
        </is>
      </c>
      <c r="I17" s="3" t="inlineStr">
        <is>
          <t>nacional</t>
        </is>
      </c>
      <c r="J17" s="5" t="n">
        <v>1</v>
      </c>
      <c r="K17" s="6" t="n">
        <v>264949.7</v>
      </c>
      <c r="L17" s="6" t="n">
        <v>264949.7</v>
      </c>
      <c r="M17" s="6" t="n">
        <v>264949.7</v>
      </c>
      <c r="N17" s="3" t="inlineStr">
        <is>
          <t>Sí</t>
        </is>
      </c>
      <c r="O17" s="6">
        <f>IF(K17="","",IF(N17="Sí",ROUND(K17/1.18,2),K17))</f>
        <v/>
      </c>
      <c r="P17" s="3" t="inlineStr">
        <is>
          <t>2026-09-10</t>
        </is>
      </c>
      <c r="Q17" s="4" t="inlineStr">
        <is>
          <t>Imper System (Impersystem Tecnologies)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4" t="inlineStr">
        <is>
          <t>Portland mixto tipo IP, NORDOM 2</t>
        </is>
      </c>
      <c r="F18" s="3" t="inlineStr">
        <is>
          <t>funda</t>
        </is>
      </c>
      <c r="G18" s="3" t="inlineStr">
        <is>
          <t>Estructura</t>
        </is>
      </c>
      <c r="H18" s="3" t="inlineStr">
        <is>
          <t>estandar</t>
        </is>
      </c>
      <c r="I18" s="3" t="inlineStr">
        <is>
          <t>nacional</t>
        </is>
      </c>
      <c r="J18" s="5" t="n">
        <v>4</v>
      </c>
      <c r="K18" s="6" t="n">
        <v>595</v>
      </c>
      <c r="L18" s="6" t="n">
        <v>535</v>
      </c>
      <c r="M18" s="6" t="n">
        <v>655</v>
      </c>
      <c r="N18" s="3" t="inlineStr">
        <is>
          <t>Sí</t>
        </is>
      </c>
      <c r="O18" s="6">
        <f>IF(K18="","",IF(N18="Sí",ROUND(K18/1.18,2),K18))</f>
        <v/>
      </c>
      <c r="P18" s="3" t="inlineStr">
        <is>
          <t>2026-09-09</t>
        </is>
      </c>
      <c r="Q18" s="4" t="inlineStr">
        <is>
          <t>Ferremix (Grupo Alterra) · Ferretería Cima · InnovaCentro (La Innovación) · Max Ferretería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4" t="inlineStr">
        <is>
          <t>Para terminación y derretido</t>
        </is>
      </c>
      <c r="F19" s="3" t="inlineStr">
        <is>
          <t>funda</t>
        </is>
      </c>
      <c r="G19" s="3" t="inlineStr">
        <is>
          <t>Terminación de superficies</t>
        </is>
      </c>
      <c r="H19" s="3" t="inlineStr">
        <is>
          <t>estandar</t>
        </is>
      </c>
      <c r="I19" s="3" t="inlineStr">
        <is>
          <t>importado</t>
        </is>
      </c>
      <c r="J19" s="5" t="n">
        <v>1</v>
      </c>
      <c r="K19" s="6" t="n">
        <v>755</v>
      </c>
      <c r="L19" s="6" t="n">
        <v>755</v>
      </c>
      <c r="M19" s="6" t="n">
        <v>755</v>
      </c>
      <c r="N19" s="3" t="inlineStr">
        <is>
          <t>Sí</t>
        </is>
      </c>
      <c r="O19" s="6">
        <f>IF(K19="","",IF(N19="Sí",ROUND(K19/1.18,2),K19))</f>
        <v/>
      </c>
      <c r="P19" s="3" t="inlineStr">
        <is>
          <t>2026-09-09</t>
        </is>
      </c>
      <c r="Q19" s="4" t="inlineStr">
        <is>
          <t>InnovaCentro (La Innovación)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4" t="inlineStr"/>
      <c r="F20" s="3" t="inlineStr">
        <is>
          <t>funda</t>
        </is>
      </c>
      <c r="G20" s="3" t="inlineStr">
        <is>
          <t>Terminación de superficies</t>
        </is>
      </c>
      <c r="H20" s="3" t="inlineStr">
        <is>
          <t>estandar</t>
        </is>
      </c>
      <c r="I20" s="3" t="inlineStr">
        <is>
          <t>importado</t>
        </is>
      </c>
      <c r="J20" s="5" t="n">
        <v>4</v>
      </c>
      <c r="K20" s="6" t="n">
        <v>1295</v>
      </c>
      <c r="L20" s="6" t="n">
        <v>1130.86</v>
      </c>
      <c r="M20" s="6" t="n">
        <v>1595</v>
      </c>
      <c r="N20" s="3" t="inlineStr">
        <is>
          <t>Sí</t>
        </is>
      </c>
      <c r="O20" s="6">
        <f>IF(K20="","",IF(N20="Sí",ROUND(K20/1.18,2),K20))</f>
        <v/>
      </c>
      <c r="P20" s="3" t="inlineStr">
        <is>
          <t>2026-09-09</t>
        </is>
      </c>
      <c r="Q20" s="4" t="inlineStr">
        <is>
          <t>Ferretería Cima · Ferretería Ochoa (8A) · InnovaCentro (La Innovación) · Max Ferretería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4" t="inlineStr"/>
      <c r="F21" s="3" t="inlineStr">
        <is>
          <t>funda</t>
        </is>
      </c>
      <c r="G21" s="3" t="inlineStr">
        <is>
          <t>Terminación de superficies</t>
        </is>
      </c>
      <c r="H21" s="3" t="inlineStr">
        <is>
          <t>economica</t>
        </is>
      </c>
      <c r="I21" s="3" t="inlineStr">
        <is>
          <t>nacional</t>
        </is>
      </c>
      <c r="J21" s="5" t="n">
        <v>2</v>
      </c>
      <c r="K21" s="6" t="n">
        <v>503.66</v>
      </c>
      <c r="L21" s="6" t="n">
        <v>437.31</v>
      </c>
      <c r="M21" s="6" t="n">
        <v>570</v>
      </c>
      <c r="N21" s="3" t="inlineStr">
        <is>
          <t>Sí</t>
        </is>
      </c>
      <c r="O21" s="6">
        <f>IF(K21="","",IF(N21="Sí",ROUND(K21/1.18,2),K21))</f>
        <v/>
      </c>
      <c r="P21" s="3" t="inlineStr">
        <is>
          <t>2026-09-09</t>
        </is>
      </c>
      <c r="Q21" s="4" t="inlineStr">
        <is>
          <t>Ferretería Ochoa (8A) · InnovaCentro (La Innovación)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4" t="inlineStr">
        <is>
          <t>Predosificado</t>
        </is>
      </c>
      <c r="F22" s="3" t="inlineStr">
        <is>
          <t>funda</t>
        </is>
      </c>
      <c r="G22" s="3" t="inlineStr">
        <is>
          <t>Mampostería</t>
        </is>
      </c>
      <c r="H22" s="3" t="inlineStr">
        <is>
          <t>estandar</t>
        </is>
      </c>
      <c r="I22" s="3" t="inlineStr">
        <is>
          <t>nacional</t>
        </is>
      </c>
      <c r="J22" s="5" t="n">
        <v>1</v>
      </c>
      <c r="K22" s="6" t="n">
        <v>345</v>
      </c>
      <c r="L22" s="6" t="n">
        <v>345</v>
      </c>
      <c r="M22" s="6" t="n">
        <v>345</v>
      </c>
      <c r="N22" s="3" t="inlineStr">
        <is>
          <t>Sí</t>
        </is>
      </c>
      <c r="O22" s="6">
        <f>IF(K22="","",IF(N22="Sí",ROUND(K22/1.18,2),K22))</f>
        <v/>
      </c>
      <c r="P22" s="3" t="inlineStr">
        <is>
          <t>2026-09-09</t>
        </is>
      </c>
      <c r="Q22" s="4" t="inlineStr">
        <is>
          <t>Ferretería Cima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4" t="inlineStr">
        <is>
          <t>Para piezas claras</t>
        </is>
      </c>
      <c r="F23" s="3" t="inlineStr">
        <is>
          <t>funda</t>
        </is>
      </c>
      <c r="G23" s="3" t="inlineStr">
        <is>
          <t>Pisos</t>
        </is>
      </c>
      <c r="H23" s="3" t="inlineStr">
        <is>
          <t>estandar</t>
        </is>
      </c>
      <c r="I23" s="3" t="inlineStr">
        <is>
          <t>nacional</t>
        </is>
      </c>
      <c r="J23" s="5" t="n">
        <v>3</v>
      </c>
      <c r="K23" s="6" t="n">
        <v>825</v>
      </c>
      <c r="L23" s="6" t="n">
        <v>554.28</v>
      </c>
      <c r="M23" s="6" t="n">
        <v>1054</v>
      </c>
      <c r="N23" s="3" t="inlineStr">
        <is>
          <t>Sí</t>
        </is>
      </c>
      <c r="O23" s="6">
        <f>IF(K23="","",IF(N23="Sí",ROUND(K23/1.18,2),K23))</f>
        <v/>
      </c>
      <c r="P23" s="3" t="inlineStr">
        <is>
          <t>2026-09-09</t>
        </is>
      </c>
      <c r="Q23" s="4" t="inlineStr">
        <is>
          <t>Ferretería Ochoa (8A) · InnovaCentro (La Innovación) · Max Ferretería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4" t="inlineStr"/>
      <c r="F24" s="3" t="inlineStr">
        <is>
          <t>funda</t>
        </is>
      </c>
      <c r="G24" s="3" t="inlineStr">
        <is>
          <t>Terminación de superficies</t>
        </is>
      </c>
      <c r="H24" s="3" t="inlineStr">
        <is>
          <t>estandar</t>
        </is>
      </c>
      <c r="I24" s="3" t="inlineStr">
        <is>
          <t>nacional</t>
        </is>
      </c>
      <c r="J24" s="5" t="n">
        <v>4</v>
      </c>
      <c r="K24" s="6" t="n">
        <v>365</v>
      </c>
      <c r="L24" s="6" t="n">
        <v>330</v>
      </c>
      <c r="M24" s="6" t="n">
        <v>385</v>
      </c>
      <c r="N24" s="3" t="inlineStr">
        <is>
          <t>Sí</t>
        </is>
      </c>
      <c r="O24" s="6">
        <f>IF(K24="","",IF(N24="Sí",ROUND(K24/1.18,2),K24))</f>
        <v/>
      </c>
      <c r="P24" s="3" t="inlineStr">
        <is>
          <t>2026-09-09</t>
        </is>
      </c>
      <c r="Q24" s="4" t="inlineStr">
        <is>
          <t>Ferretería Cima · Ferretería Ochoa (8A) · InnovaCentro (La Innovación) · Max Ferretería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4" t="inlineStr">
        <is>
          <t>Juntas de 3 mm en adelante</t>
        </is>
      </c>
      <c r="F25" s="3" t="inlineStr">
        <is>
          <t>funda</t>
        </is>
      </c>
      <c r="G25" s="3" t="inlineStr">
        <is>
          <t>Pisos</t>
        </is>
      </c>
      <c r="H25" s="3" t="inlineStr">
        <is>
          <t>estandar</t>
        </is>
      </c>
      <c r="I25" s="3" t="inlineStr">
        <is>
          <t>nacional</t>
        </is>
      </c>
      <c r="J25" s="5" t="n">
        <v>3</v>
      </c>
      <c r="K25" s="6" t="n">
        <v>323.12</v>
      </c>
      <c r="L25" s="6" t="n">
        <v>323.12</v>
      </c>
      <c r="M25" s="6" t="n">
        <v>525</v>
      </c>
      <c r="N25" s="3" t="inlineStr">
        <is>
          <t>Sí</t>
        </is>
      </c>
      <c r="O25" s="6">
        <f>IF(K25="","",IF(N25="Sí",ROUND(K25/1.18,2),K25))</f>
        <v/>
      </c>
      <c r="P25" s="3" t="inlineStr">
        <is>
          <t>2026-09-09</t>
        </is>
      </c>
      <c r="Q25" s="4" t="inlineStr">
        <is>
          <t>Ferretería Cima · Ferretería Ochoa (8A) · Max Ferretería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4" t="inlineStr">
        <is>
          <t>Grado 60 · ASTM A615 / RTD 458</t>
        </is>
      </c>
      <c r="F26" s="3" t="inlineStr">
        <is>
          <t>unidad</t>
        </is>
      </c>
      <c r="G26" s="3" t="inlineStr">
        <is>
          <t>Estructura</t>
        </is>
      </c>
      <c r="H26" s="3" t="inlineStr">
        <is>
          <t>estandar</t>
        </is>
      </c>
      <c r="I26" s="3" t="inlineStr">
        <is>
          <t>nacional</t>
        </is>
      </c>
      <c r="J26" s="5" t="n">
        <v>3</v>
      </c>
      <c r="K26" s="6" t="n">
        <v>249.98</v>
      </c>
      <c r="L26" s="6" t="n">
        <v>243.2</v>
      </c>
      <c r="M26" s="6" t="n">
        <v>442.77</v>
      </c>
      <c r="N26" s="3" t="inlineStr">
        <is>
          <t>Sí</t>
        </is>
      </c>
      <c r="O26" s="6">
        <f>IF(K26="","",IF(N26="Sí",ROUND(K26/1.18,2),K26))</f>
        <v/>
      </c>
      <c r="P26" s="3" t="inlineStr">
        <is>
          <t>2026-09-10</t>
        </is>
      </c>
      <c r="Q26" s="4" t="inlineStr">
        <is>
          <t>Bellón · Ferremix (Grupo Alterra) · Ferretería MC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4" t="inlineStr">
        <is>
          <t>Grado 60 · ASTM A615 / RTD 458</t>
        </is>
      </c>
      <c r="F27" s="3" t="inlineStr">
        <is>
          <t>unidad</t>
        </is>
      </c>
      <c r="G27" s="3" t="inlineStr">
        <is>
          <t>Estructura</t>
        </is>
      </c>
      <c r="H27" s="3" t="inlineStr">
        <is>
          <t>estandar</t>
        </is>
      </c>
      <c r="I27" s="3" t="inlineStr">
        <is>
          <t>nacional</t>
        </is>
      </c>
      <c r="J27" s="5" t="n">
        <v>2</v>
      </c>
      <c r="K27" s="6" t="n">
        <v>445.88</v>
      </c>
      <c r="L27" s="6" t="n">
        <v>445.76</v>
      </c>
      <c r="M27" s="6" t="n">
        <v>446</v>
      </c>
      <c r="N27" s="3" t="inlineStr">
        <is>
          <t>Sí</t>
        </is>
      </c>
      <c r="O27" s="6">
        <f>IF(K27="","",IF(N27="Sí",ROUND(K27/1.18,2),K27))</f>
        <v/>
      </c>
      <c r="P27" s="3" t="inlineStr">
        <is>
          <t>2026-09-10</t>
        </is>
      </c>
      <c r="Q27" s="4" t="inlineStr">
        <is>
          <t>Bellón · Ferretería MC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4" t="inlineStr">
        <is>
          <t>Grado 60 · ASTM A615</t>
        </is>
      </c>
      <c r="F28" s="3" t="inlineStr">
        <is>
          <t>unidad</t>
        </is>
      </c>
      <c r="G28" s="3" t="inlineStr">
        <is>
          <t>Estructura</t>
        </is>
      </c>
      <c r="H28" s="3" t="inlineStr">
        <is>
          <t>estandar</t>
        </is>
      </c>
      <c r="I28" s="3" t="inlineStr">
        <is>
          <t>nacional</t>
        </is>
      </c>
      <c r="J28" s="5" t="n">
        <v>2</v>
      </c>
      <c r="K28" s="6" t="n">
        <v>1006.75</v>
      </c>
      <c r="L28" s="6" t="n">
        <v>1000</v>
      </c>
      <c r="M28" s="6" t="n">
        <v>1013.49</v>
      </c>
      <c r="N28" s="3" t="inlineStr">
        <is>
          <t>Sí</t>
        </is>
      </c>
      <c r="O28" s="6">
        <f>IF(K28="","",IF(N28="Sí",ROUND(K28/1.18,2),K28))</f>
        <v/>
      </c>
      <c r="P28" s="3" t="inlineStr">
        <is>
          <t>2026-09-10</t>
        </is>
      </c>
      <c r="Q28" s="4" t="inlineStr">
        <is>
          <t>Bellón · Ferretería MC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4" t="inlineStr">
        <is>
          <t>Grado 60 · ASTM A615</t>
        </is>
      </c>
      <c r="F29" s="3" t="inlineStr">
        <is>
          <t>unidad</t>
        </is>
      </c>
      <c r="G29" s="3" t="inlineStr">
        <is>
          <t>Estructura</t>
        </is>
      </c>
      <c r="H29" s="3" t="inlineStr">
        <is>
          <t>estandar</t>
        </is>
      </c>
      <c r="I29" s="3" t="inlineStr">
        <is>
          <t>nacional</t>
        </is>
      </c>
      <c r="J29" s="5" t="n">
        <v>2</v>
      </c>
      <c r="K29" s="6" t="n">
        <v>1773.79</v>
      </c>
      <c r="L29" s="6" t="n">
        <v>1761.9</v>
      </c>
      <c r="M29" s="6" t="n">
        <v>1785.67</v>
      </c>
      <c r="N29" s="3" t="inlineStr">
        <is>
          <t>Sí</t>
        </is>
      </c>
      <c r="O29" s="6">
        <f>IF(K29="","",IF(N29="Sí",ROUND(K29/1.18,2),K29))</f>
        <v/>
      </c>
      <c r="P29" s="3" t="inlineStr">
        <is>
          <t>2026-09-10</t>
        </is>
      </c>
      <c r="Q29" s="4" t="inlineStr">
        <is>
          <t>Bellón · Ferretería MC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4" t="inlineStr">
        <is>
          <t>Rollo 2.40 x 40 m</t>
        </is>
      </c>
      <c r="F30" s="3" t="inlineStr">
        <is>
          <t>rollo</t>
        </is>
      </c>
      <c r="G30" s="3" t="inlineStr">
        <is>
          <t>Estructura</t>
        </is>
      </c>
      <c r="H30" s="3" t="inlineStr">
        <is>
          <t>estandar</t>
        </is>
      </c>
      <c r="I30" s="3" t="inlineStr">
        <is>
          <t>nacional</t>
        </is>
      </c>
      <c r="J30" s="5" t="n">
        <v>2</v>
      </c>
      <c r="K30" s="6" t="n">
        <v>18252.92</v>
      </c>
      <c r="L30" s="6" t="n">
        <v>17130.85</v>
      </c>
      <c r="M30" s="6" t="n">
        <v>19375</v>
      </c>
      <c r="N30" s="3" t="inlineStr">
        <is>
          <t>Sí</t>
        </is>
      </c>
      <c r="O30" s="6">
        <f>IF(K30="","",IF(N30="Sí",ROUND(K30/1.18,2),K30))</f>
        <v/>
      </c>
      <c r="P30" s="3" t="inlineStr">
        <is>
          <t>2026-09-09</t>
        </is>
      </c>
      <c r="Q30" s="4" t="inlineStr">
        <is>
          <t>Ferretería MC · Ferretería Ochoa (8A)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4" t="inlineStr">
        <is>
          <t>Rollo 2.40 x 40 m</t>
        </is>
      </c>
      <c r="F31" s="3" t="inlineStr">
        <is>
          <t>rollo</t>
        </is>
      </c>
      <c r="G31" s="3" t="inlineStr">
        <is>
          <t>Estructura</t>
        </is>
      </c>
      <c r="H31" s="3" t="inlineStr">
        <is>
          <t>estandar</t>
        </is>
      </c>
      <c r="I31" s="3" t="inlineStr">
        <is>
          <t>nacional</t>
        </is>
      </c>
      <c r="J31" s="5" t="n">
        <v>1</v>
      </c>
      <c r="K31" s="6" t="n">
        <v>20871.84</v>
      </c>
      <c r="L31" s="6" t="n">
        <v>20871.84</v>
      </c>
      <c r="M31" s="6" t="n">
        <v>20871.84</v>
      </c>
      <c r="N31" s="3" t="inlineStr">
        <is>
          <t>Sí</t>
        </is>
      </c>
      <c r="O31" s="6">
        <f>IF(K31="","",IF(N31="Sí",ROUND(K31/1.18,2),K31))</f>
        <v/>
      </c>
      <c r="P31" s="3" t="inlineStr">
        <is>
          <t>2026-09-09</t>
        </is>
      </c>
      <c r="Q31" s="4" t="inlineStr">
        <is>
          <t>Ferretería MC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4" t="inlineStr">
        <is>
          <t>Rollo 2.40 x 40 m</t>
        </is>
      </c>
      <c r="F32" s="3" t="inlineStr">
        <is>
          <t>rollo</t>
        </is>
      </c>
      <c r="G32" s="3" t="inlineStr">
        <is>
          <t>Estructura</t>
        </is>
      </c>
      <c r="H32" s="3" t="inlineStr">
        <is>
          <t>estandar</t>
        </is>
      </c>
      <c r="I32" s="3" t="inlineStr">
        <is>
          <t>nacional</t>
        </is>
      </c>
      <c r="J32" s="5" t="n">
        <v>1</v>
      </c>
      <c r="K32" s="6" t="n">
        <v>20629.26</v>
      </c>
      <c r="L32" s="6" t="n">
        <v>20629.26</v>
      </c>
      <c r="M32" s="6" t="n">
        <v>20629.26</v>
      </c>
      <c r="N32" s="3" t="inlineStr">
        <is>
          <t>Sí</t>
        </is>
      </c>
      <c r="O32" s="6">
        <f>IF(K32="","",IF(N32="Sí",ROUND(K32/1.18,2),K32))</f>
        <v/>
      </c>
      <c r="P32" s="3" t="inlineStr">
        <is>
          <t>2026-09-09</t>
        </is>
      </c>
      <c r="Q32" s="4" t="inlineStr">
        <is>
          <t>Ferretería Ochoa (8A)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4" t="inlineStr"/>
      <c r="F33" s="3" t="inlineStr">
        <is>
          <t>lb</t>
        </is>
      </c>
      <c r="G33" s="3" t="inlineStr">
        <is>
          <t>Estructura</t>
        </is>
      </c>
      <c r="H33" s="3" t="inlineStr">
        <is>
          <t>estandar</t>
        </is>
      </c>
      <c r="I33" s="3" t="inlineStr">
        <is>
          <t>nacional</t>
        </is>
      </c>
      <c r="J33" s="5" t="n">
        <v>1</v>
      </c>
      <c r="K33" s="6" t="n">
        <v>62.48</v>
      </c>
      <c r="L33" s="6" t="n">
        <v>62.48</v>
      </c>
      <c r="M33" s="6" t="n">
        <v>62.48</v>
      </c>
      <c r="N33" s="3" t="inlineStr">
        <is>
          <t>Sí</t>
        </is>
      </c>
      <c r="O33" s="6">
        <f>IF(K33="","",IF(N33="Sí",ROUND(K33/1.18,2),K33))</f>
        <v/>
      </c>
      <c r="P33" s="3" t="inlineStr">
        <is>
          <t>2026-09-09</t>
        </is>
      </c>
      <c r="Q33" s="4" t="inlineStr">
        <is>
          <t>Ferretería Ochoa (8A)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4" t="inlineStr"/>
      <c r="F34" s="3" t="inlineStr">
        <is>
          <t>lb</t>
        </is>
      </c>
      <c r="G34" s="3" t="inlineStr">
        <is>
          <t>Estructura</t>
        </is>
      </c>
      <c r="H34" s="3" t="inlineStr">
        <is>
          <t>estandar</t>
        </is>
      </c>
      <c r="I34" s="3" t="inlineStr">
        <is>
          <t>nacional</t>
        </is>
      </c>
      <c r="J34" s="5" t="n">
        <v>1</v>
      </c>
      <c r="K34" s="6" t="n">
        <v>61.12</v>
      </c>
      <c r="L34" s="6" t="n">
        <v>61.12</v>
      </c>
      <c r="M34" s="6" t="n">
        <v>61.12</v>
      </c>
      <c r="N34" s="3" t="inlineStr">
        <is>
          <t>Sí</t>
        </is>
      </c>
      <c r="O34" s="6">
        <f>IF(K34="","",IF(N34="Sí",ROUND(K34/1.18,2),K34))</f>
        <v/>
      </c>
      <c r="P34" s="3" t="inlineStr">
        <is>
          <t>2026-09-09</t>
        </is>
      </c>
      <c r="Q34" s="4" t="inlineStr">
        <is>
          <t>Ferretería Ochoa (8A)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4" t="inlineStr">
        <is>
          <t>Perfil L de acero negro</t>
        </is>
      </c>
      <c r="F35" s="3" t="inlineStr">
        <is>
          <t>unidad</t>
        </is>
      </c>
      <c r="G35" s="3" t="inlineStr">
        <is>
          <t>Estructura</t>
        </is>
      </c>
      <c r="H35" s="3" t="inlineStr">
        <is>
          <t>estandar</t>
        </is>
      </c>
      <c r="I35" s="3" t="inlineStr">
        <is>
          <t>nacional</t>
        </is>
      </c>
      <c r="J35" s="5" t="n">
        <v>1</v>
      </c>
      <c r="K35" s="6" t="n">
        <v>861</v>
      </c>
      <c r="L35" s="6" t="n">
        <v>861</v>
      </c>
      <c r="M35" s="6" t="n">
        <v>861</v>
      </c>
      <c r="N35" s="3" t="inlineStr">
        <is>
          <t>Sí</t>
        </is>
      </c>
      <c r="O35" s="6">
        <f>IF(K35="","",IF(N35="Sí",ROUND(K35/1.18,2),K35))</f>
        <v/>
      </c>
      <c r="P35" s="3" t="inlineStr">
        <is>
          <t>2026-09-09</t>
        </is>
      </c>
      <c r="Q35" s="4" t="inlineStr">
        <is>
          <t>Ferretería Ochoa (8A)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4" t="inlineStr">
        <is>
          <t>Pino bruto</t>
        </is>
      </c>
      <c r="F36" s="3" t="inlineStr">
        <is>
          <t>unidad</t>
        </is>
      </c>
      <c r="G36" s="3" t="inlineStr">
        <is>
          <t>Estructura</t>
        </is>
      </c>
      <c r="H36" s="3" t="inlineStr">
        <is>
          <t>estandar</t>
        </is>
      </c>
      <c r="I36" s="3" t="inlineStr">
        <is>
          <t>importado</t>
        </is>
      </c>
      <c r="J36" s="5" t="n">
        <v>1</v>
      </c>
      <c r="K36" s="6" t="n">
        <v>860</v>
      </c>
      <c r="L36" s="6" t="n">
        <v>860</v>
      </c>
      <c r="M36" s="6" t="n">
        <v>860</v>
      </c>
      <c r="N36" s="3" t="inlineStr">
        <is>
          <t>Sí</t>
        </is>
      </c>
      <c r="O36" s="6">
        <f>IF(K36="","",IF(N36="Sí",ROUND(K36/1.18,2),K36))</f>
        <v/>
      </c>
      <c r="P36" s="3" t="inlineStr">
        <is>
          <t>2026-09-09</t>
        </is>
      </c>
      <c r="Q36" s="4" t="inlineStr">
        <is>
          <t>Max Ferretería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4" t="inlineStr"/>
      <c r="F37" s="3" t="inlineStr">
        <is>
          <t>plancha</t>
        </is>
      </c>
      <c r="G37" s="3" t="inlineStr">
        <is>
          <t>Estructura</t>
        </is>
      </c>
      <c r="H37" s="3" t="inlineStr">
        <is>
          <t>economica</t>
        </is>
      </c>
      <c r="I37" s="3" t="inlineStr">
        <is>
          <t>importado</t>
        </is>
      </c>
      <c r="J37" s="5" t="n">
        <v>3</v>
      </c>
      <c r="K37" s="6" t="n">
        <v>1472.5</v>
      </c>
      <c r="L37" s="6" t="n">
        <v>1370</v>
      </c>
      <c r="M37" s="6" t="n">
        <v>1530</v>
      </c>
      <c r="N37" s="3" t="inlineStr">
        <is>
          <t>Sí</t>
        </is>
      </c>
      <c r="O37" s="6">
        <f>IF(K37="","",IF(N37="Sí",ROUND(K37/1.18,2),K37))</f>
        <v/>
      </c>
      <c r="P37" s="3" t="inlineStr">
        <is>
          <t>2026-09-10</t>
        </is>
      </c>
      <c r="Q37" s="4" t="inlineStr">
        <is>
          <t>Bellón · InnovaCentro (La Innovación) · Max Ferretería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4" t="inlineStr"/>
      <c r="F38" s="3" t="inlineStr">
        <is>
          <t>plancha</t>
        </is>
      </c>
      <c r="G38" s="3" t="inlineStr">
        <is>
          <t>Estructura</t>
        </is>
      </c>
      <c r="H38" s="3" t="inlineStr">
        <is>
          <t>estandar</t>
        </is>
      </c>
      <c r="I38" s="3" t="inlineStr">
        <is>
          <t>importado</t>
        </is>
      </c>
      <c r="J38" s="5" t="n">
        <v>3</v>
      </c>
      <c r="K38" s="6" t="n">
        <v>1992.5</v>
      </c>
      <c r="L38" s="6" t="n">
        <v>1955</v>
      </c>
      <c r="M38" s="6" t="n">
        <v>2200</v>
      </c>
      <c r="N38" s="3" t="inlineStr">
        <is>
          <t>Sí</t>
        </is>
      </c>
      <c r="O38" s="6">
        <f>IF(K38="","",IF(N38="Sí",ROUND(K38/1.18,2),K38))</f>
        <v/>
      </c>
      <c r="P38" s="3" t="inlineStr">
        <is>
          <t>2026-09-10</t>
        </is>
      </c>
      <c r="Q38" s="4" t="inlineStr">
        <is>
          <t>Bellón · InnovaCentro (La Innovación) · Max Ferretería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4" t="inlineStr">
        <is>
          <t>Pasta cerámica esmaltada</t>
        </is>
      </c>
      <c r="F39" s="3" t="inlineStr">
        <is>
          <t>m²</t>
        </is>
      </c>
      <c r="G39" s="3" t="inlineStr">
        <is>
          <t>Pisos</t>
        </is>
      </c>
      <c r="H39" s="3" t="inlineStr">
        <is>
          <t>economica</t>
        </is>
      </c>
      <c r="I39" s="3" t="inlineStr">
        <is>
          <t>nacional</t>
        </is>
      </c>
      <c r="J39" s="5" t="n">
        <v>1</v>
      </c>
      <c r="K39" s="6" t="n">
        <v>764.63</v>
      </c>
      <c r="L39" s="6" t="n">
        <v>752</v>
      </c>
      <c r="M39" s="6" t="n">
        <v>1267.13</v>
      </c>
      <c r="N39" s="3" t="inlineStr">
        <is>
          <t>Sí</t>
        </is>
      </c>
      <c r="O39" s="6">
        <f>IF(K39="","",IF(N39="Sí",ROUND(K39/1.18,2),K39))</f>
        <v/>
      </c>
      <c r="P39" s="3" t="inlineStr">
        <is>
          <t>2026-09-09</t>
        </is>
      </c>
      <c r="Q39" s="4" t="inlineStr">
        <is>
          <t>Ferretería Ochoa (8A)</t>
        </is>
      </c>
      <c r="U39" s="7" t="n">
        <v>33</v>
      </c>
      <c r="V39" s="7" t="inlineStr">
        <is>
          <t>33 x 33 cm</t>
        </is>
      </c>
      <c r="AE39" s="7" t="inlineStr">
        <is>
          <t>piso</t>
        </is>
      </c>
      <c r="AF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4" t="inlineStr">
        <is>
          <t>Pasta cerámica esmaltada</t>
        </is>
      </c>
      <c r="F40" s="3" t="inlineStr">
        <is>
          <t>m²</t>
        </is>
      </c>
      <c r="G40" s="3" t="inlineStr">
        <is>
          <t>Pisos</t>
        </is>
      </c>
      <c r="H40" s="3" t="inlineStr">
        <is>
          <t>estandar</t>
        </is>
      </c>
      <c r="I40" s="3" t="inlineStr">
        <is>
          <t>nacional</t>
        </is>
      </c>
      <c r="J40" s="5" t="n">
        <v>1</v>
      </c>
      <c r="K40" s="6" t="n">
        <v>1266.7</v>
      </c>
      <c r="L40" s="6" t="n">
        <v>1134.1</v>
      </c>
      <c r="M40" s="6" t="n">
        <v>1306.5</v>
      </c>
      <c r="N40" s="3" t="inlineStr">
        <is>
          <t>Sí</t>
        </is>
      </c>
      <c r="O40" s="6">
        <f>IF(K40="","",IF(N40="Sí",ROUND(K40/1.18,2),K40))</f>
        <v/>
      </c>
      <c r="P40" s="3" t="inlineStr">
        <is>
          <t>2026-09-09</t>
        </is>
      </c>
      <c r="Q40" s="4" t="inlineStr">
        <is>
          <t>Ferretería Ochoa (8A)</t>
        </is>
      </c>
      <c r="U40" s="7" t="n">
        <v>40</v>
      </c>
      <c r="V40" s="7" t="inlineStr">
        <is>
          <t>40 x 25 cm</t>
        </is>
      </c>
      <c r="AE40" s="7" t="inlineStr">
        <is>
          <t>pared</t>
        </is>
      </c>
      <c r="AF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4" t="inlineStr">
        <is>
          <t>Gres porcelánico</t>
        </is>
      </c>
      <c r="F41" s="3" t="inlineStr">
        <is>
          <t>m²</t>
        </is>
      </c>
      <c r="G41" s="3" t="inlineStr">
        <is>
          <t>Pisos</t>
        </is>
      </c>
      <c r="H41" s="3" t="inlineStr">
        <is>
          <t>estandar</t>
        </is>
      </c>
      <c r="I41" s="3" t="inlineStr">
        <is>
          <t>importado</t>
        </is>
      </c>
      <c r="J41" s="5" t="n">
        <v>1</v>
      </c>
      <c r="K41" s="6" t="n">
        <v>1101.34</v>
      </c>
      <c r="L41" s="6" t="n">
        <v>528.71</v>
      </c>
      <c r="M41" s="6" t="n">
        <v>2113.9</v>
      </c>
      <c r="N41" s="3" t="inlineStr">
        <is>
          <t>Sí</t>
        </is>
      </c>
      <c r="O41" s="6">
        <f>IF(K41="","",IF(N41="Sí",ROUND(K41/1.18,2),K41))</f>
        <v/>
      </c>
      <c r="P41" s="3" t="inlineStr">
        <is>
          <t>2026-09-09</t>
        </is>
      </c>
      <c r="Q41" s="4" t="inlineStr">
        <is>
          <t>Ferretería Ochoa (8A)</t>
        </is>
      </c>
      <c r="U41" s="7" t="n">
        <v>60</v>
      </c>
      <c r="V41" s="7" t="inlineStr">
        <is>
          <t>60 x 60 cm</t>
        </is>
      </c>
      <c r="AE41" s="7" t="inlineStr">
        <is>
          <t>piso</t>
        </is>
      </c>
      <c r="AF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4" t="inlineStr">
        <is>
          <t>SDR-41 sanitario</t>
        </is>
      </c>
      <c r="F42" s="3" t="inlineStr">
        <is>
          <t>tubo</t>
        </is>
      </c>
      <c r="G42" s="3" t="inlineStr">
        <is>
          <t>Instalaciones</t>
        </is>
      </c>
      <c r="H42" s="3" t="inlineStr">
        <is>
          <t>estandar</t>
        </is>
      </c>
      <c r="I42" s="3" t="inlineStr">
        <is>
          <t>nacional</t>
        </is>
      </c>
      <c r="J42" s="5" t="n">
        <v>3</v>
      </c>
      <c r="K42" s="6" t="n">
        <v>1494.58</v>
      </c>
      <c r="L42" s="6" t="n">
        <v>1125</v>
      </c>
      <c r="M42" s="6" t="n">
        <v>1695</v>
      </c>
      <c r="N42" s="3" t="inlineStr">
        <is>
          <t>Sí</t>
        </is>
      </c>
      <c r="O42" s="6">
        <f>IF(K42="","",IF(N42="Sí",ROUND(K42/1.18,2),K42))</f>
        <v/>
      </c>
      <c r="P42" s="3" t="inlineStr">
        <is>
          <t>2026-09-09</t>
        </is>
      </c>
      <c r="Q42" s="4" t="inlineStr">
        <is>
          <t>Ferretería Cima · Ferretería Ochoa (8A) · Max Ferretería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4" t="inlineStr">
        <is>
          <t>SDR-41 sanitario</t>
        </is>
      </c>
      <c r="F43" s="3" t="inlineStr">
        <is>
          <t>tubo</t>
        </is>
      </c>
      <c r="G43" s="3" t="inlineStr">
        <is>
          <t>Instalaciones</t>
        </is>
      </c>
      <c r="H43" s="3" t="inlineStr">
        <is>
          <t>estandar</t>
        </is>
      </c>
      <c r="I43" s="3" t="inlineStr">
        <is>
          <t>nacional</t>
        </is>
      </c>
      <c r="J43" s="5" t="n">
        <v>3</v>
      </c>
      <c r="K43" s="6" t="n">
        <v>503.78</v>
      </c>
      <c r="L43" s="6" t="n">
        <v>350</v>
      </c>
      <c r="M43" s="6" t="n">
        <v>595</v>
      </c>
      <c r="N43" s="3" t="inlineStr">
        <is>
          <t>Sí</t>
        </is>
      </c>
      <c r="O43" s="6">
        <f>IF(K43="","",IF(N43="Sí",ROUND(K43/1.18,2),K43))</f>
        <v/>
      </c>
      <c r="P43" s="3" t="inlineStr">
        <is>
          <t>2026-09-09</t>
        </is>
      </c>
      <c r="Q43" s="4" t="inlineStr">
        <is>
          <t>Ferretería Cima · Ferretería Ochoa (8A) · Max Ferretería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4" t="inlineStr">
        <is>
          <t>SDR-41 sanitario</t>
        </is>
      </c>
      <c r="F44" s="3" t="inlineStr">
        <is>
          <t>tubo</t>
        </is>
      </c>
      <c r="G44" s="3" t="inlineStr">
        <is>
          <t>Instalaciones</t>
        </is>
      </c>
      <c r="H44" s="3" t="inlineStr">
        <is>
          <t>estandar</t>
        </is>
      </c>
      <c r="I44" s="3" t="inlineStr">
        <is>
          <t>nacional</t>
        </is>
      </c>
      <c r="J44" s="5" t="n">
        <v>1</v>
      </c>
      <c r="K44" s="6" t="n">
        <v>2900</v>
      </c>
      <c r="L44" s="6" t="n">
        <v>2900</v>
      </c>
      <c r="M44" s="6" t="n">
        <v>2900</v>
      </c>
      <c r="N44" s="3" t="inlineStr">
        <is>
          <t>Sí</t>
        </is>
      </c>
      <c r="O44" s="6">
        <f>IF(K44="","",IF(N44="Sí",ROUND(K44/1.18,2),K44))</f>
        <v/>
      </c>
      <c r="P44" s="3" t="inlineStr">
        <is>
          <t>2026-09-09</t>
        </is>
      </c>
      <c r="Q44" s="4" t="inlineStr">
        <is>
          <t>Max Ferretería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4" t="inlineStr">
        <is>
          <t>Agua fría a presión</t>
        </is>
      </c>
      <c r="F45" s="3" t="inlineStr">
        <is>
          <t>tubo</t>
        </is>
      </c>
      <c r="G45" s="3" t="inlineStr">
        <is>
          <t>Instalaciones</t>
        </is>
      </c>
      <c r="H45" s="3" t="inlineStr">
        <is>
          <t>estandar</t>
        </is>
      </c>
      <c r="I45" s="3" t="inlineStr">
        <is>
          <t>nacional</t>
        </is>
      </c>
      <c r="J45" s="5" t="n">
        <v>2</v>
      </c>
      <c r="K45" s="6" t="n">
        <v>245.01</v>
      </c>
      <c r="L45" s="6" t="n">
        <v>175.01</v>
      </c>
      <c r="M45" s="6" t="n">
        <v>315</v>
      </c>
      <c r="N45" s="3" t="inlineStr">
        <is>
          <t>Sí</t>
        </is>
      </c>
      <c r="O45" s="6">
        <f>IF(K45="","",IF(N45="Sí",ROUND(K45/1.18,2),K45))</f>
        <v/>
      </c>
      <c r="P45" s="3" t="inlineStr">
        <is>
          <t>2026-09-09</t>
        </is>
      </c>
      <c r="Q45" s="4" t="inlineStr">
        <is>
          <t>Ferretería Cima · Max Ferretería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4" t="inlineStr">
        <is>
          <t>Drenaje sanitario</t>
        </is>
      </c>
      <c r="F46" s="3" t="inlineStr">
        <is>
          <t>unidad</t>
        </is>
      </c>
      <c r="G46" s="3" t="inlineStr">
        <is>
          <t>Instalaciones</t>
        </is>
      </c>
      <c r="H46" s="3" t="inlineStr">
        <is>
          <t>estandar</t>
        </is>
      </c>
      <c r="I46" s="3" t="inlineStr">
        <is>
          <t>nacional</t>
        </is>
      </c>
      <c r="J46" s="5" t="n">
        <v>1</v>
      </c>
      <c r="K46" s="6" t="n">
        <v>165</v>
      </c>
      <c r="L46" s="6" t="n">
        <v>165</v>
      </c>
      <c r="M46" s="6" t="n">
        <v>165</v>
      </c>
      <c r="N46" s="3" t="inlineStr">
        <is>
          <t>Sí</t>
        </is>
      </c>
      <c r="O46" s="6">
        <f>IF(K46="","",IF(N46="Sí",ROUND(K46/1.18,2),K46))</f>
        <v/>
      </c>
      <c r="P46" s="3" t="inlineStr">
        <is>
          <t>2026-09-09</t>
        </is>
      </c>
      <c r="Q46" s="4" t="inlineStr">
        <is>
          <t>Ferretería Cima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4" t="inlineStr">
        <is>
          <t>Con asiento y accesorios</t>
        </is>
      </c>
      <c r="F47" s="3" t="inlineStr">
        <is>
          <t>unidad</t>
        </is>
      </c>
      <c r="G47" s="3" t="inlineStr">
        <is>
          <t>Instalaciones</t>
        </is>
      </c>
      <c r="H47" s="3" t="inlineStr">
        <is>
          <t>economica</t>
        </is>
      </c>
      <c r="I47" s="3" t="inlineStr">
        <is>
          <t>importado</t>
        </is>
      </c>
      <c r="J47" s="5" t="n">
        <v>1</v>
      </c>
      <c r="K47" s="6" t="n">
        <v>6107.2</v>
      </c>
      <c r="L47" s="6" t="n">
        <v>6107.2</v>
      </c>
      <c r="M47" s="6" t="n">
        <v>6107.2</v>
      </c>
      <c r="N47" s="3" t="inlineStr">
        <is>
          <t>Sí</t>
        </is>
      </c>
      <c r="O47" s="6">
        <f>IF(K47="","",IF(N47="Sí",ROUND(K47/1.18,2),K47))</f>
        <v/>
      </c>
      <c r="P47" s="3" t="inlineStr">
        <is>
          <t>2026-09-08</t>
        </is>
      </c>
      <c r="Q47" s="4" t="inlineStr">
        <is>
          <t>Ferretería Ochoa (8A)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4" t="inlineStr">
        <is>
          <t>Cobre · 600 V</t>
        </is>
      </c>
      <c r="F48" s="3" t="inlineStr">
        <is>
          <t>rollo</t>
        </is>
      </c>
      <c r="G48" s="3" t="inlineStr">
        <is>
          <t>Instalaciones</t>
        </is>
      </c>
      <c r="H48" s="3" t="inlineStr">
        <is>
          <t>estandar</t>
        </is>
      </c>
      <c r="I48" s="3" t="inlineStr">
        <is>
          <t>importado</t>
        </is>
      </c>
      <c r="J48" s="5" t="n">
        <v>1</v>
      </c>
      <c r="K48" s="6" t="n">
        <v>1614.24</v>
      </c>
      <c r="L48" s="6" t="n">
        <v>1614.24</v>
      </c>
      <c r="M48" s="6" t="n">
        <v>1614.24</v>
      </c>
      <c r="N48" s="3" t="inlineStr">
        <is>
          <t>Sí</t>
        </is>
      </c>
      <c r="O48" s="6">
        <f>IF(K48="","",IF(N48="Sí",ROUND(K48/1.18,2),K48))</f>
        <v/>
      </c>
      <c r="P48" s="3" t="inlineStr">
        <is>
          <t>2026-09-09</t>
        </is>
      </c>
      <c r="Q48" s="4" t="inlineStr">
        <is>
          <t>Ferretería MC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4" t="inlineStr">
        <is>
          <t>Cobre · 600 V</t>
        </is>
      </c>
      <c r="F49" s="3" t="inlineStr">
        <is>
          <t>rollo</t>
        </is>
      </c>
      <c r="G49" s="3" t="inlineStr">
        <is>
          <t>Instalaciones</t>
        </is>
      </c>
      <c r="H49" s="3" t="inlineStr">
        <is>
          <t>estandar</t>
        </is>
      </c>
      <c r="I49" s="3" t="inlineStr">
        <is>
          <t>importado</t>
        </is>
      </c>
      <c r="J49" s="5" t="n">
        <v>1</v>
      </c>
      <c r="K49" s="6" t="n">
        <v>2560.6</v>
      </c>
      <c r="L49" s="6" t="n">
        <v>2560.6</v>
      </c>
      <c r="M49" s="6" t="n">
        <v>2560.6</v>
      </c>
      <c r="N49" s="3" t="inlineStr">
        <is>
          <t>Sí</t>
        </is>
      </c>
      <c r="O49" s="6">
        <f>IF(K49="","",IF(N49="Sí",ROUND(K49/1.18,2),K49))</f>
        <v/>
      </c>
      <c r="P49" s="3" t="inlineStr">
        <is>
          <t>2026-09-09</t>
        </is>
      </c>
      <c r="Q49" s="4" t="inlineStr">
        <is>
          <t>Ferretería MC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4" t="inlineStr">
        <is>
          <t>Cobre · 600 V</t>
        </is>
      </c>
      <c r="F50" s="3" t="inlineStr">
        <is>
          <t>rollo</t>
        </is>
      </c>
      <c r="G50" s="3" t="inlineStr">
        <is>
          <t>Instalaciones</t>
        </is>
      </c>
      <c r="H50" s="3" t="inlineStr">
        <is>
          <t>estandar</t>
        </is>
      </c>
      <c r="I50" s="3" t="inlineStr">
        <is>
          <t>importado</t>
        </is>
      </c>
      <c r="J50" s="5" t="n">
        <v>1</v>
      </c>
      <c r="K50" s="6" t="n">
        <v>4092.24</v>
      </c>
      <c r="L50" s="6" t="n">
        <v>4092.24</v>
      </c>
      <c r="M50" s="6" t="n">
        <v>4092.24</v>
      </c>
      <c r="N50" s="3" t="inlineStr">
        <is>
          <t>Sí</t>
        </is>
      </c>
      <c r="O50" s="6">
        <f>IF(K50="","",IF(N50="Sí",ROUND(K50/1.18,2),K50))</f>
        <v/>
      </c>
      <c r="P50" s="3" t="inlineStr">
        <is>
          <t>2026-09-09</t>
        </is>
      </c>
      <c r="Q50" s="4" t="inlineStr">
        <is>
          <t>Ferretería MC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4" t="inlineStr"/>
      <c r="F51" s="3" t="inlineStr">
        <is>
          <t>tubo</t>
        </is>
      </c>
      <c r="G51" s="3" t="inlineStr">
        <is>
          <t>Instalaciones</t>
        </is>
      </c>
      <c r="H51" s="3" t="inlineStr">
        <is>
          <t>estandar</t>
        </is>
      </c>
      <c r="I51" s="3" t="inlineStr">
        <is>
          <t>importado</t>
        </is>
      </c>
      <c r="J51" s="5" t="n">
        <v>1</v>
      </c>
      <c r="K51" s="6" t="n">
        <v>194.99</v>
      </c>
      <c r="L51" s="6" t="n">
        <v>194.99</v>
      </c>
      <c r="M51" s="6" t="n">
        <v>194.99</v>
      </c>
      <c r="N51" s="3" t="inlineStr">
        <is>
          <t>Sí</t>
        </is>
      </c>
      <c r="O51" s="6">
        <f>IF(K51="","",IF(N51="Sí",ROUND(K51/1.18,2),K51))</f>
        <v/>
      </c>
      <c r="P51" s="3" t="inlineStr">
        <is>
          <t>2026-09-09</t>
        </is>
      </c>
      <c r="Q51" s="4" t="inlineStr">
        <is>
          <t>Max Ferretería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4" t="inlineStr">
        <is>
          <t>15 A, con placa</t>
        </is>
      </c>
      <c r="F52" s="3" t="inlineStr">
        <is>
          <t>unidad</t>
        </is>
      </c>
      <c r="G52" s="3" t="inlineStr">
        <is>
          <t>Instalaciones</t>
        </is>
      </c>
      <c r="H52" s="3" t="inlineStr">
        <is>
          <t>estandar</t>
        </is>
      </c>
      <c r="I52" s="3" t="inlineStr">
        <is>
          <t>importado</t>
        </is>
      </c>
      <c r="J52" s="5" t="n">
        <v>1</v>
      </c>
      <c r="K52" s="6" t="n">
        <v>194.99</v>
      </c>
      <c r="L52" s="6" t="n">
        <v>30</v>
      </c>
      <c r="M52" s="6" t="n">
        <v>880</v>
      </c>
      <c r="N52" s="3" t="inlineStr">
        <is>
          <t>Sí</t>
        </is>
      </c>
      <c r="O52" s="6">
        <f>IF(K52="","",IF(N52="Sí",ROUND(K52/1.18,2),K52))</f>
        <v/>
      </c>
      <c r="P52" s="3" t="inlineStr">
        <is>
          <t>2026-09-09</t>
        </is>
      </c>
      <c r="Q52" s="4" t="inlineStr">
        <is>
          <t>Max Ferretería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4" t="inlineStr">
        <is>
          <t>1 polo, marca de línea</t>
        </is>
      </c>
      <c r="F53" s="3" t="inlineStr">
        <is>
          <t>unidad</t>
        </is>
      </c>
      <c r="G53" s="3" t="inlineStr">
        <is>
          <t>Instalaciones</t>
        </is>
      </c>
      <c r="H53" s="3" t="inlineStr">
        <is>
          <t>estandar</t>
        </is>
      </c>
      <c r="I53" s="3" t="inlineStr">
        <is>
          <t>importado</t>
        </is>
      </c>
      <c r="J53" s="5" t="n">
        <v>2</v>
      </c>
      <c r="K53" s="6" t="n">
        <v>472.72</v>
      </c>
      <c r="L53" s="6" t="n">
        <v>155</v>
      </c>
      <c r="M53" s="6" t="n">
        <v>480</v>
      </c>
      <c r="N53" s="3" t="inlineStr">
        <is>
          <t>Sí</t>
        </is>
      </c>
      <c r="O53" s="6">
        <f>IF(K53="","",IF(N53="Sí",ROUND(K53/1.18,2),K53))</f>
        <v/>
      </c>
      <c r="P53" s="3" t="inlineStr">
        <is>
          <t>2026-09-09</t>
        </is>
      </c>
      <c r="Q53" s="4" t="inlineStr">
        <is>
          <t>Ferretería Ochoa (8A) · Max Ferretería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4" t="inlineStr">
        <is>
          <t>Sheetrock estándar</t>
        </is>
      </c>
      <c r="F54" s="3" t="inlineStr">
        <is>
          <t>plancha</t>
        </is>
      </c>
      <c r="G54" s="3" t="inlineStr">
        <is>
          <t>Terminación de superficies</t>
        </is>
      </c>
      <c r="H54" s="3" t="inlineStr">
        <is>
          <t>estandar</t>
        </is>
      </c>
      <c r="I54" s="3" t="inlineStr">
        <is>
          <t>nacional</t>
        </is>
      </c>
      <c r="J54" s="5" t="n">
        <v>2</v>
      </c>
      <c r="K54" s="6" t="n">
        <v>925.59</v>
      </c>
      <c r="L54" s="6" t="n">
        <v>895</v>
      </c>
      <c r="M54" s="6" t="n">
        <v>956.17</v>
      </c>
      <c r="N54" s="3" t="inlineStr">
        <is>
          <t>Sí</t>
        </is>
      </c>
      <c r="O54" s="6">
        <f>IF(K54="","",IF(N54="Sí",ROUND(K54/1.18,2),K54))</f>
        <v/>
      </c>
      <c r="P54" s="3" t="inlineStr">
        <is>
          <t>2026-09-09</t>
        </is>
      </c>
      <c r="Q54" s="4" t="inlineStr">
        <is>
          <t>Ferretería Ochoa (8A) · InnovaCentro (La Innovación)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4" t="inlineStr">
        <is>
          <t>Fibra mineral, con suspensión aparte</t>
        </is>
      </c>
      <c r="F55" s="3" t="inlineStr">
        <is>
          <t>plancha</t>
        </is>
      </c>
      <c r="G55" s="3" t="inlineStr">
        <is>
          <t>Terminación de superficies</t>
        </is>
      </c>
      <c r="H55" s="3" t="inlineStr">
        <is>
          <t>estandar</t>
        </is>
      </c>
      <c r="I55" s="3" t="inlineStr">
        <is>
          <t>importado</t>
        </is>
      </c>
      <c r="J55" s="5" t="n">
        <v>1</v>
      </c>
      <c r="K55" s="6" t="n">
        <v>595</v>
      </c>
      <c r="L55" s="6" t="n">
        <v>595</v>
      </c>
      <c r="M55" s="6" t="n">
        <v>595</v>
      </c>
      <c r="N55" s="3" t="inlineStr">
        <is>
          <t>Sí</t>
        </is>
      </c>
      <c r="O55" s="6">
        <f>IF(K55="","",IF(N55="Sí",ROUND(K55/1.18,2),K55))</f>
        <v/>
      </c>
      <c r="P55" s="3" t="inlineStr">
        <is>
          <t>2026-09-09</t>
        </is>
      </c>
      <c r="Q55" s="4" t="inlineStr">
        <is>
          <t>InnovaCentro (La Innovación)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4" t="inlineStr">
        <is>
          <t>Se liquida según el tarifario oficial vigente y el costo de la obra</t>
        </is>
      </c>
      <c r="F56" s="3" t="inlineStr">
        <is>
          <t>ajuste</t>
        </is>
      </c>
      <c r="G56" s="3" t="inlineStr">
        <is>
          <t>Preliminares</t>
        </is>
      </c>
      <c r="H56" s="3" t="inlineStr">
        <is>
          <t>estandar</t>
        </is>
      </c>
      <c r="I56" s="3" t="inlineStr">
        <is>
          <t>nacional</t>
        </is>
      </c>
      <c r="J56" s="5" t="n">
        <v>0</v>
      </c>
      <c r="K56" s="6" t="n"/>
      <c r="L56" s="6" t="n"/>
      <c r="M56" s="6" t="n"/>
      <c r="N56" s="3" t="inlineStr">
        <is>
          <t>No</t>
        </is>
      </c>
      <c r="O56" s="6">
        <f>IF(K56="","",IF(N56="Sí",ROUND(K56/1.18,2),K56))</f>
        <v/>
      </c>
      <c r="P56" s="3" t="inlineStr">
        <is>
          <t>2026-09</t>
        </is>
      </c>
      <c r="Q56" s="4" t="inlineStr"/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4" t="inlineStr">
        <is>
          <t>Según ayuntamiento correspondiente</t>
        </is>
      </c>
      <c r="F57" s="3" t="inlineStr">
        <is>
          <t>ajuste</t>
        </is>
      </c>
      <c r="G57" s="3" t="inlineStr">
        <is>
          <t>Preliminares</t>
        </is>
      </c>
      <c r="H57" s="3" t="inlineStr">
        <is>
          <t>estandar</t>
        </is>
      </c>
      <c r="I57" s="3" t="inlineStr">
        <is>
          <t>nacional</t>
        </is>
      </c>
      <c r="J57" s="5" t="n">
        <v>0</v>
      </c>
      <c r="K57" s="6" t="n"/>
      <c r="L57" s="6" t="n"/>
      <c r="M57" s="6" t="n"/>
      <c r="N57" s="3" t="inlineStr">
        <is>
          <t>No</t>
        </is>
      </c>
      <c r="O57" s="6">
        <f>IF(K57="","",IF(N57="Sí",ROUND(K57/1.18,2),K57))</f>
        <v/>
      </c>
      <c r="P57" s="3" t="inlineStr">
        <is>
          <t>2026-09</t>
        </is>
      </c>
      <c r="Q57" s="4" t="inlineStr"/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4" t="inlineStr">
        <is>
          <t>Aplica según tipo y escala del proyecto</t>
        </is>
      </c>
      <c r="F58" s="3" t="inlineStr">
        <is>
          <t>ajuste</t>
        </is>
      </c>
      <c r="G58" s="3" t="inlineStr">
        <is>
          <t>Preliminares</t>
        </is>
      </c>
      <c r="H58" s="3" t="inlineStr">
        <is>
          <t>estandar</t>
        </is>
      </c>
      <c r="I58" s="3" t="inlineStr">
        <is>
          <t>nacional</t>
        </is>
      </c>
      <c r="J58" s="5" t="n">
        <v>0</v>
      </c>
      <c r="K58" s="6" t="n"/>
      <c r="L58" s="6" t="n"/>
      <c r="M58" s="6" t="n"/>
      <c r="N58" s="3" t="inlineStr">
        <is>
          <t>No</t>
        </is>
      </c>
      <c r="O58" s="6">
        <f>IF(K58="","",IF(N58="Sí",ROUND(K58/1.18,2),K58))</f>
        <v/>
      </c>
      <c r="P58" s="3" t="inlineStr">
        <is>
          <t>2026-09</t>
        </is>
      </c>
      <c r="Q58" s="4" t="inlineStr"/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4" t="inlineStr">
        <is>
          <t>Según diámetro de acometida y zona</t>
        </is>
      </c>
      <c r="F59" s="3" t="inlineStr">
        <is>
          <t>ajuste</t>
        </is>
      </c>
      <c r="G59" s="3" t="inlineStr">
        <is>
          <t>Instalaciones</t>
        </is>
      </c>
      <c r="H59" s="3" t="inlineStr">
        <is>
          <t>estandar</t>
        </is>
      </c>
      <c r="I59" s="3" t="inlineStr">
        <is>
          <t>nacional</t>
        </is>
      </c>
      <c r="J59" s="5" t="n">
        <v>0</v>
      </c>
      <c r="K59" s="6" t="n"/>
      <c r="L59" s="6" t="n"/>
      <c r="M59" s="6" t="n"/>
      <c r="N59" s="3" t="inlineStr">
        <is>
          <t>No</t>
        </is>
      </c>
      <c r="O59" s="6">
        <f>IF(K59="","",IF(N59="Sí",ROUND(K59/1.18,2),K59))</f>
        <v/>
      </c>
      <c r="P59" s="3" t="inlineStr">
        <is>
          <t>2026-09</t>
        </is>
      </c>
      <c r="Q59" s="4" t="inlineStr"/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4" t="inlineStr">
        <is>
          <t>Según carga contratada</t>
        </is>
      </c>
      <c r="F60" s="3" t="inlineStr">
        <is>
          <t>ajuste</t>
        </is>
      </c>
      <c r="G60" s="3" t="inlineStr">
        <is>
          <t>Instalaciones</t>
        </is>
      </c>
      <c r="H60" s="3" t="inlineStr">
        <is>
          <t>estandar</t>
        </is>
      </c>
      <c r="I60" s="3" t="inlineStr">
        <is>
          <t>nacional</t>
        </is>
      </c>
      <c r="J60" s="5" t="n">
        <v>0</v>
      </c>
      <c r="K60" s="6" t="n"/>
      <c r="L60" s="6" t="n"/>
      <c r="M60" s="6" t="n"/>
      <c r="N60" s="3" t="inlineStr">
        <is>
          <t>No</t>
        </is>
      </c>
      <c r="O60" s="6">
        <f>IF(K60="","",IF(N60="Sí",ROUND(K60/1.18,2),K60))</f>
        <v/>
      </c>
      <c r="P60" s="3" t="inlineStr">
        <is>
          <t>2026-09</t>
        </is>
      </c>
      <c r="Q60" s="4" t="inlineStr"/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4" t="inlineStr">
        <is>
          <t>Sistemas de detección y extinción</t>
        </is>
      </c>
      <c r="F61" s="3" t="inlineStr">
        <is>
          <t>ajuste</t>
        </is>
      </c>
      <c r="G61" s="3" t="inlineStr">
        <is>
          <t>Preliminares</t>
        </is>
      </c>
      <c r="H61" s="3" t="inlineStr">
        <is>
          <t>estandar</t>
        </is>
      </c>
      <c r="I61" s="3" t="inlineStr">
        <is>
          <t>nacional</t>
        </is>
      </c>
      <c r="J61" s="5" t="n">
        <v>0</v>
      </c>
      <c r="K61" s="6" t="n"/>
      <c r="L61" s="6" t="n"/>
      <c r="M61" s="6" t="n"/>
      <c r="N61" s="3" t="inlineStr">
        <is>
          <t>No</t>
        </is>
      </c>
      <c r="O61" s="6">
        <f>IF(K61="","",IF(N61="Sí",ROUND(K61/1.18,2),K61))</f>
        <v/>
      </c>
      <c r="P61" s="3" t="inlineStr">
        <is>
          <t>2026-09</t>
        </is>
      </c>
      <c r="Q61" s="4" t="inlineStr"/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4" t="inlineStr"/>
      <c r="F62" s="3" t="inlineStr">
        <is>
          <t>unidad</t>
        </is>
      </c>
      <c r="G62" s="3" t="inlineStr">
        <is>
          <t>Terminación de superficies</t>
        </is>
      </c>
      <c r="H62" s="3" t="inlineStr">
        <is>
          <t>estandar</t>
        </is>
      </c>
      <c r="I62" s="3" t="inlineStr">
        <is>
          <t>importado</t>
        </is>
      </c>
      <c r="J62" s="5" t="n">
        <v>1</v>
      </c>
      <c r="K62" s="6" t="n">
        <v>85.88</v>
      </c>
      <c r="L62" s="6" t="n">
        <v>85.88</v>
      </c>
      <c r="M62" s="6" t="n">
        <v>85.88</v>
      </c>
      <c r="N62" s="3" t="inlineStr">
        <is>
          <t>Sí</t>
        </is>
      </c>
      <c r="O62" s="6">
        <f>IF(K62="","",IF(N62="Sí",ROUND(K62/1.18,2),K62))</f>
        <v/>
      </c>
      <c r="P62" s="3" t="inlineStr">
        <is>
          <t>2026-09-09</t>
        </is>
      </c>
      <c r="Q62" s="4" t="inlineStr">
        <is>
          <t>Tonos y Colores</t>
        </is>
      </c>
      <c r="AF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4" t="inlineStr"/>
      <c r="F63" s="3" t="inlineStr">
        <is>
          <t>unidad</t>
        </is>
      </c>
      <c r="G63" s="3" t="inlineStr">
        <is>
          <t>Terminación de superficies</t>
        </is>
      </c>
      <c r="H63" s="3" t="inlineStr">
        <is>
          <t>estandar</t>
        </is>
      </c>
      <c r="I63" s="3" t="inlineStr">
        <is>
          <t>importado</t>
        </is>
      </c>
      <c r="J63" s="5" t="n">
        <v>1</v>
      </c>
      <c r="K63" s="6" t="n">
        <v>75.15000000000001</v>
      </c>
      <c r="L63" s="6" t="n">
        <v>75.15000000000001</v>
      </c>
      <c r="M63" s="6" t="n">
        <v>75.15000000000001</v>
      </c>
      <c r="N63" s="3" t="inlineStr">
        <is>
          <t>Sí</t>
        </is>
      </c>
      <c r="O63" s="6">
        <f>IF(K63="","",IF(N63="Sí",ROUND(K63/1.18,2),K63))</f>
        <v/>
      </c>
      <c r="P63" s="3" t="inlineStr">
        <is>
          <t>2026-09-09</t>
        </is>
      </c>
      <c r="Q63" s="4" t="inlineStr">
        <is>
          <t>Tonos y Colores</t>
        </is>
      </c>
      <c r="AF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4" t="inlineStr"/>
      <c r="F64" s="3" t="inlineStr">
        <is>
          <t>unidad</t>
        </is>
      </c>
      <c r="G64" s="3" t="inlineStr">
        <is>
          <t>Terminación de superficies</t>
        </is>
      </c>
      <c r="H64" s="3" t="inlineStr">
        <is>
          <t>estandar</t>
        </is>
      </c>
      <c r="I64" s="3" t="inlineStr">
        <is>
          <t>importado</t>
        </is>
      </c>
      <c r="J64" s="5" t="n">
        <v>1</v>
      </c>
      <c r="K64" s="6" t="n">
        <v>45</v>
      </c>
      <c r="L64" s="6" t="n">
        <v>45</v>
      </c>
      <c r="M64" s="6" t="n">
        <v>45</v>
      </c>
      <c r="N64" s="3" t="inlineStr">
        <is>
          <t>Sí</t>
        </is>
      </c>
      <c r="O64" s="6">
        <f>IF(K64="","",IF(N64="Sí",ROUND(K64/1.18,2),K64))</f>
        <v/>
      </c>
      <c r="P64" s="3" t="inlineStr">
        <is>
          <t>2026-09-10</t>
        </is>
      </c>
      <c r="Q64" s="4" t="inlineStr">
        <is>
          <t>Ferremix (Grupo Alterra)</t>
        </is>
      </c>
      <c r="AF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4" t="inlineStr"/>
      <c r="F65" s="3" t="inlineStr">
        <is>
          <t>unidad</t>
        </is>
      </c>
      <c r="G65" s="3" t="inlineStr">
        <is>
          <t>Terminación de superficies</t>
        </is>
      </c>
      <c r="H65" s="3" t="inlineStr">
        <is>
          <t>estandar</t>
        </is>
      </c>
      <c r="I65" s="3" t="inlineStr">
        <is>
          <t>importado</t>
        </is>
      </c>
      <c r="J65" s="5" t="n">
        <v>1</v>
      </c>
      <c r="K65" s="6" t="n">
        <v>101.99</v>
      </c>
      <c r="L65" s="6" t="n">
        <v>101.99</v>
      </c>
      <c r="M65" s="6" t="n">
        <v>101.99</v>
      </c>
      <c r="N65" s="3" t="inlineStr">
        <is>
          <t>Sí</t>
        </is>
      </c>
      <c r="O65" s="6">
        <f>IF(K65="","",IF(N65="Sí",ROUND(K65/1.18,2),K65))</f>
        <v/>
      </c>
      <c r="P65" s="3" t="inlineStr">
        <is>
          <t>2026-09-09</t>
        </is>
      </c>
      <c r="Q65" s="4" t="inlineStr">
        <is>
          <t>Tonos y Colores</t>
        </is>
      </c>
      <c r="AF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4" t="inlineStr"/>
      <c r="F66" s="3" t="inlineStr">
        <is>
          <t>unidad</t>
        </is>
      </c>
      <c r="G66" s="3" t="inlineStr">
        <is>
          <t>Terminación de superficies</t>
        </is>
      </c>
      <c r="H66" s="3" t="inlineStr">
        <is>
          <t>estandar</t>
        </is>
      </c>
      <c r="I66" s="3" t="inlineStr">
        <is>
          <t>importado</t>
        </is>
      </c>
      <c r="J66" s="5" t="n">
        <v>1</v>
      </c>
      <c r="K66" s="6" t="n">
        <v>123.46</v>
      </c>
      <c r="L66" s="6" t="n">
        <v>123.46</v>
      </c>
      <c r="M66" s="6" t="n">
        <v>123.46</v>
      </c>
      <c r="N66" s="3" t="inlineStr">
        <is>
          <t>Sí</t>
        </is>
      </c>
      <c r="O66" s="6">
        <f>IF(K66="","",IF(N66="Sí",ROUND(K66/1.18,2),K66))</f>
        <v/>
      </c>
      <c r="P66" s="3" t="inlineStr">
        <is>
          <t>2026-09-09</t>
        </is>
      </c>
      <c r="Q66" s="4" t="inlineStr">
        <is>
          <t>Tonos y Colores</t>
        </is>
      </c>
      <c r="AF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4" t="inlineStr"/>
      <c r="F67" s="3" t="inlineStr">
        <is>
          <t>unidad</t>
        </is>
      </c>
      <c r="G67" s="3" t="inlineStr">
        <is>
          <t>Terminación de superficies</t>
        </is>
      </c>
      <c r="H67" s="3" t="inlineStr">
        <is>
          <t>estandar</t>
        </is>
      </c>
      <c r="I67" s="3" t="inlineStr">
        <is>
          <t>importado</t>
        </is>
      </c>
      <c r="J67" s="5" t="n">
        <v>1</v>
      </c>
      <c r="K67" s="6" t="n">
        <v>150.31</v>
      </c>
      <c r="L67" s="6" t="n">
        <v>150.31</v>
      </c>
      <c r="M67" s="6" t="n">
        <v>150.31</v>
      </c>
      <c r="N67" s="3" t="inlineStr">
        <is>
          <t>Sí</t>
        </is>
      </c>
      <c r="O67" s="6">
        <f>IF(K67="","",IF(N67="Sí",ROUND(K67/1.18,2),K67))</f>
        <v/>
      </c>
      <c r="P67" s="3" t="inlineStr">
        <is>
          <t>2026-09-09</t>
        </is>
      </c>
      <c r="Q67" s="4" t="inlineStr">
        <is>
          <t>Tonos y Colores</t>
        </is>
      </c>
      <c r="AF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4" t="inlineStr"/>
      <c r="F68" s="3" t="inlineStr">
        <is>
          <t>unidad</t>
        </is>
      </c>
      <c r="G68" s="3" t="inlineStr">
        <is>
          <t>Terminación de superficies</t>
        </is>
      </c>
      <c r="H68" s="3" t="inlineStr">
        <is>
          <t>estandar</t>
        </is>
      </c>
      <c r="I68" s="3" t="inlineStr">
        <is>
          <t>importado</t>
        </is>
      </c>
      <c r="J68" s="5" t="n">
        <v>1</v>
      </c>
      <c r="K68" s="6" t="n">
        <v>203.99</v>
      </c>
      <c r="L68" s="6" t="n">
        <v>203.99</v>
      </c>
      <c r="M68" s="6" t="n">
        <v>203.99</v>
      </c>
      <c r="N68" s="3" t="inlineStr">
        <is>
          <t>Sí</t>
        </is>
      </c>
      <c r="O68" s="6">
        <f>IF(K68="","",IF(N68="Sí",ROUND(K68/1.18,2),K68))</f>
        <v/>
      </c>
      <c r="P68" s="3" t="inlineStr">
        <is>
          <t>2026-09-09</t>
        </is>
      </c>
      <c r="Q68" s="4" t="inlineStr">
        <is>
          <t>Tonos y Colores</t>
        </is>
      </c>
      <c r="AF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4" t="inlineStr"/>
      <c r="F69" s="3" t="inlineStr">
        <is>
          <t>unidad</t>
        </is>
      </c>
      <c r="G69" s="3" t="inlineStr">
        <is>
          <t>Terminación de superficies</t>
        </is>
      </c>
      <c r="H69" s="3" t="inlineStr">
        <is>
          <t>estandar</t>
        </is>
      </c>
      <c r="I69" s="3" t="inlineStr">
        <is>
          <t>importado</t>
        </is>
      </c>
      <c r="J69" s="5" t="n">
        <v>1</v>
      </c>
      <c r="K69" s="6" t="n">
        <v>305</v>
      </c>
      <c r="L69" s="6" t="n">
        <v>305</v>
      </c>
      <c r="M69" s="6" t="n">
        <v>305</v>
      </c>
      <c r="N69" s="3" t="inlineStr">
        <is>
          <t>Sí</t>
        </is>
      </c>
      <c r="O69" s="6">
        <f>IF(K69="","",IF(N69="Sí",ROUND(K69/1.18,2),K69))</f>
        <v/>
      </c>
      <c r="P69" s="3" t="inlineStr">
        <is>
          <t>2026-09-10</t>
        </is>
      </c>
      <c r="Q69" s="4" t="inlineStr">
        <is>
          <t>Ferremix (Grupo Alterra)</t>
        </is>
      </c>
      <c r="AF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4" t="inlineStr"/>
      <c r="F70" s="3" t="inlineStr">
        <is>
          <t>unidad</t>
        </is>
      </c>
      <c r="G70" s="3" t="inlineStr">
        <is>
          <t>Terminación de superficies</t>
        </is>
      </c>
      <c r="H70" s="3" t="inlineStr">
        <is>
          <t>estandar</t>
        </is>
      </c>
      <c r="I70" s="3" t="inlineStr">
        <is>
          <t>importado</t>
        </is>
      </c>
      <c r="J70" s="5" t="n">
        <v>1</v>
      </c>
      <c r="K70" s="6" t="n">
        <v>335</v>
      </c>
      <c r="L70" s="6" t="n">
        <v>335</v>
      </c>
      <c r="M70" s="6" t="n">
        <v>335</v>
      </c>
      <c r="N70" s="3" t="inlineStr">
        <is>
          <t>Sí</t>
        </is>
      </c>
      <c r="O70" s="6">
        <f>IF(K70="","",IF(N70="Sí",ROUND(K70/1.18,2),K70))</f>
        <v/>
      </c>
      <c r="P70" s="3" t="inlineStr">
        <is>
          <t>2026-09-10</t>
        </is>
      </c>
      <c r="Q70" s="4" t="inlineStr">
        <is>
          <t>Ferremix (Grupo Alterra)</t>
        </is>
      </c>
      <c r="AF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4" t="inlineStr"/>
      <c r="F71" s="3" t="inlineStr">
        <is>
          <t>unidad</t>
        </is>
      </c>
      <c r="G71" s="3" t="inlineStr">
        <is>
          <t>Terminación de superficies</t>
        </is>
      </c>
      <c r="H71" s="3" t="inlineStr">
        <is>
          <t>estandar</t>
        </is>
      </c>
      <c r="I71" s="3" t="inlineStr">
        <is>
          <t>importado</t>
        </is>
      </c>
      <c r="J71" s="5" t="n">
        <v>1</v>
      </c>
      <c r="K71" s="6" t="n">
        <v>237.5</v>
      </c>
      <c r="L71" s="6" t="n">
        <v>220</v>
      </c>
      <c r="M71" s="6" t="n">
        <v>255</v>
      </c>
      <c r="N71" s="3" t="inlineStr">
        <is>
          <t>Sí</t>
        </is>
      </c>
      <c r="O71" s="6">
        <f>IF(K71="","",IF(N71="Sí",ROUND(K71/1.18,2),K71))</f>
        <v/>
      </c>
      <c r="P71" s="3" t="inlineStr">
        <is>
          <t>2026-09-10</t>
        </is>
      </c>
      <c r="Q71" s="4" t="inlineStr">
        <is>
          <t>Ferremix (Grupo Alterra)</t>
        </is>
      </c>
      <c r="AF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4" t="inlineStr"/>
      <c r="F72" s="3" t="inlineStr">
        <is>
          <t>unidad</t>
        </is>
      </c>
      <c r="G72" s="3" t="inlineStr">
        <is>
          <t>Terminación de superficies</t>
        </is>
      </c>
      <c r="H72" s="3" t="inlineStr">
        <is>
          <t>estandar</t>
        </is>
      </c>
      <c r="I72" s="3" t="inlineStr">
        <is>
          <t>importado</t>
        </is>
      </c>
      <c r="J72" s="5" t="n">
        <v>1</v>
      </c>
      <c r="K72" s="6" t="n">
        <v>249</v>
      </c>
      <c r="L72" s="6" t="n">
        <v>249</v>
      </c>
      <c r="M72" s="6" t="n">
        <v>249</v>
      </c>
      <c r="N72" s="3" t="inlineStr">
        <is>
          <t>Sí</t>
        </is>
      </c>
      <c r="O72" s="6">
        <f>IF(K72="","",IF(N72="Sí",ROUND(K72/1.18,2),K72))</f>
        <v/>
      </c>
      <c r="P72" s="3" t="inlineStr">
        <is>
          <t>2026-09-10</t>
        </is>
      </c>
      <c r="Q72" s="4" t="inlineStr">
        <is>
          <t>Ferremix (Grupo Alterra)</t>
        </is>
      </c>
      <c r="AF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4" t="inlineStr"/>
      <c r="F73" s="3" t="inlineStr">
        <is>
          <t>unidad</t>
        </is>
      </c>
      <c r="G73" s="3" t="inlineStr">
        <is>
          <t>Terminación de superficies</t>
        </is>
      </c>
      <c r="H73" s="3" t="inlineStr">
        <is>
          <t>estandar</t>
        </is>
      </c>
      <c r="I73" s="3" t="inlineStr">
        <is>
          <t>importado</t>
        </is>
      </c>
      <c r="J73" s="5" t="n">
        <v>1</v>
      </c>
      <c r="K73" s="6" t="n">
        <v>128.83</v>
      </c>
      <c r="L73" s="6" t="n">
        <v>128.83</v>
      </c>
      <c r="M73" s="6" t="n">
        <v>128.83</v>
      </c>
      <c r="N73" s="3" t="inlineStr">
        <is>
          <t>Sí</t>
        </is>
      </c>
      <c r="O73" s="6">
        <f>IF(K73="","",IF(N73="Sí",ROUND(K73/1.18,2),K73))</f>
        <v/>
      </c>
      <c r="P73" s="3" t="inlineStr">
        <is>
          <t>2026-09-09</t>
        </is>
      </c>
      <c r="Q73" s="4" t="inlineStr">
        <is>
          <t>Tonos y Colores</t>
        </is>
      </c>
      <c r="AF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4" t="inlineStr"/>
      <c r="F74" s="3" t="inlineStr">
        <is>
          <t>unidad</t>
        </is>
      </c>
      <c r="G74" s="3" t="inlineStr">
        <is>
          <t>Terminación de superficies</t>
        </is>
      </c>
      <c r="H74" s="3" t="inlineStr">
        <is>
          <t>estandar</t>
        </is>
      </c>
      <c r="I74" s="3" t="inlineStr">
        <is>
          <t>importado</t>
        </is>
      </c>
      <c r="J74" s="5" t="n">
        <v>1</v>
      </c>
      <c r="K74" s="6" t="n">
        <v>380</v>
      </c>
      <c r="L74" s="6" t="n">
        <v>380</v>
      </c>
      <c r="M74" s="6" t="n">
        <v>380</v>
      </c>
      <c r="N74" s="3" t="inlineStr">
        <is>
          <t>Sí</t>
        </is>
      </c>
      <c r="O74" s="6">
        <f>IF(K74="","",IF(N74="Sí",ROUND(K74/1.18,2),K74))</f>
        <v/>
      </c>
      <c r="P74" s="3" t="inlineStr">
        <is>
          <t>2026-09-10</t>
        </is>
      </c>
      <c r="Q74" s="4" t="inlineStr">
        <is>
          <t>Ferremix (Grupo Alterra)</t>
        </is>
      </c>
      <c r="AF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4" t="inlineStr"/>
      <c r="F75" s="3" t="inlineStr">
        <is>
          <t>unidad</t>
        </is>
      </c>
      <c r="G75" s="3" t="inlineStr">
        <is>
          <t>Terminación de superficies</t>
        </is>
      </c>
      <c r="H75" s="3" t="inlineStr">
        <is>
          <t>estandar</t>
        </is>
      </c>
      <c r="I75" s="3" t="inlineStr">
        <is>
          <t>importado</t>
        </is>
      </c>
      <c r="J75" s="5" t="n">
        <v>1</v>
      </c>
      <c r="K75" s="6" t="n">
        <v>265</v>
      </c>
      <c r="L75" s="6" t="n">
        <v>265</v>
      </c>
      <c r="M75" s="6" t="n">
        <v>265</v>
      </c>
      <c r="N75" s="3" t="inlineStr">
        <is>
          <t>Sí</t>
        </is>
      </c>
      <c r="O75" s="6">
        <f>IF(K75="","",IF(N75="Sí",ROUND(K75/1.18,2),K75))</f>
        <v/>
      </c>
      <c r="P75" s="3" t="inlineStr">
        <is>
          <t>2026-09-10</t>
        </is>
      </c>
      <c r="Q75" s="4" t="inlineStr">
        <is>
          <t>Ferremix (Grupo Alterra)</t>
        </is>
      </c>
      <c r="AF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4" t="inlineStr"/>
      <c r="F76" s="3" t="inlineStr">
        <is>
          <t>unidad</t>
        </is>
      </c>
      <c r="G76" s="3" t="inlineStr">
        <is>
          <t>Terminación de superficies</t>
        </is>
      </c>
      <c r="H76" s="3" t="inlineStr">
        <is>
          <t>estandar</t>
        </is>
      </c>
      <c r="I76" s="3" t="inlineStr">
        <is>
          <t>importado</t>
        </is>
      </c>
      <c r="J76" s="5" t="n">
        <v>1</v>
      </c>
      <c r="K76" s="6" t="n">
        <v>249</v>
      </c>
      <c r="L76" s="6" t="n">
        <v>249</v>
      </c>
      <c r="M76" s="6" t="n">
        <v>249</v>
      </c>
      <c r="N76" s="3" t="inlineStr">
        <is>
          <t>Sí</t>
        </is>
      </c>
      <c r="O76" s="6">
        <f>IF(K76="","",IF(N76="Sí",ROUND(K76/1.18,2),K76))</f>
        <v/>
      </c>
      <c r="P76" s="3" t="inlineStr">
        <is>
          <t>2026-09-10</t>
        </is>
      </c>
      <c r="Q76" s="4" t="inlineStr">
        <is>
          <t>Ferremix (Grupo Alterra)</t>
        </is>
      </c>
      <c r="AF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4" t="inlineStr"/>
      <c r="F77" s="3" t="inlineStr">
        <is>
          <t>unidad</t>
        </is>
      </c>
      <c r="G77" s="3" t="inlineStr">
        <is>
          <t>Terminación de superficies</t>
        </is>
      </c>
      <c r="H77" s="3" t="inlineStr">
        <is>
          <t>estandar</t>
        </is>
      </c>
      <c r="I77" s="3" t="inlineStr">
        <is>
          <t>importado</t>
        </is>
      </c>
      <c r="J77" s="5" t="n">
        <v>1</v>
      </c>
      <c r="K77" s="6" t="n">
        <v>115</v>
      </c>
      <c r="L77" s="6" t="n">
        <v>115</v>
      </c>
      <c r="M77" s="6" t="n">
        <v>115</v>
      </c>
      <c r="N77" s="3" t="inlineStr">
        <is>
          <t>Sí</t>
        </is>
      </c>
      <c r="O77" s="6">
        <f>IF(K77="","",IF(N77="Sí",ROUND(K77/1.18,2),K77))</f>
        <v/>
      </c>
      <c r="P77" s="3" t="inlineStr">
        <is>
          <t>2026-09-10</t>
        </is>
      </c>
      <c r="Q77" s="4" t="inlineStr">
        <is>
          <t>Ferremix (Grupo Alterra)</t>
        </is>
      </c>
      <c r="AF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4" t="inlineStr"/>
      <c r="F78" s="3" t="inlineStr">
        <is>
          <t>unidad</t>
        </is>
      </c>
      <c r="G78" s="3" t="inlineStr">
        <is>
          <t>Terminación de superficies</t>
        </is>
      </c>
      <c r="H78" s="3" t="inlineStr">
        <is>
          <t>estandar</t>
        </is>
      </c>
      <c r="I78" s="3" t="inlineStr">
        <is>
          <t>importado</t>
        </is>
      </c>
      <c r="J78" s="5" t="n">
        <v>1</v>
      </c>
      <c r="K78" s="6" t="n">
        <v>119</v>
      </c>
      <c r="L78" s="6" t="n">
        <v>119</v>
      </c>
      <c r="M78" s="6" t="n">
        <v>119</v>
      </c>
      <c r="N78" s="3" t="inlineStr">
        <is>
          <t>Sí</t>
        </is>
      </c>
      <c r="O78" s="6">
        <f>IF(K78="","",IF(N78="Sí",ROUND(K78/1.18,2),K78))</f>
        <v/>
      </c>
      <c r="P78" s="3" t="inlineStr">
        <is>
          <t>2026-09-10</t>
        </is>
      </c>
      <c r="Q78" s="4" t="inlineStr">
        <is>
          <t>Ferremix (Grupo Alterra)</t>
        </is>
      </c>
      <c r="AF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4" t="inlineStr"/>
      <c r="F79" s="3" t="inlineStr">
        <is>
          <t>unidad</t>
        </is>
      </c>
      <c r="G79" s="3" t="inlineStr">
        <is>
          <t>Terminación de superficies</t>
        </is>
      </c>
      <c r="H79" s="3" t="inlineStr">
        <is>
          <t>estandar</t>
        </is>
      </c>
      <c r="I79" s="3" t="inlineStr">
        <is>
          <t>importado</t>
        </is>
      </c>
      <c r="J79" s="5" t="n">
        <v>1</v>
      </c>
      <c r="K79" s="6" t="n">
        <v>240</v>
      </c>
      <c r="L79" s="6" t="n">
        <v>240</v>
      </c>
      <c r="M79" s="6" t="n">
        <v>240</v>
      </c>
      <c r="N79" s="3" t="inlineStr">
        <is>
          <t>Sí</t>
        </is>
      </c>
      <c r="O79" s="6">
        <f>IF(K79="","",IF(N79="Sí",ROUND(K79/1.18,2),K79))</f>
        <v/>
      </c>
      <c r="P79" s="3" t="inlineStr">
        <is>
          <t>2026-09-10</t>
        </is>
      </c>
      <c r="Q79" s="4" t="inlineStr">
        <is>
          <t>Ferremix (Grupo Alterra)</t>
        </is>
      </c>
      <c r="AF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4" t="inlineStr"/>
      <c r="F80" s="3" t="inlineStr">
        <is>
          <t>unidad</t>
        </is>
      </c>
      <c r="G80" s="3" t="inlineStr">
        <is>
          <t>Terminación de superficies</t>
        </is>
      </c>
      <c r="H80" s="3" t="inlineStr">
        <is>
          <t>estandar</t>
        </is>
      </c>
      <c r="I80" s="3" t="inlineStr">
        <is>
          <t>importado</t>
        </is>
      </c>
      <c r="J80" s="5" t="n">
        <v>1</v>
      </c>
      <c r="K80" s="6" t="n">
        <v>70</v>
      </c>
      <c r="L80" s="6" t="n">
        <v>30</v>
      </c>
      <c r="M80" s="6" t="n">
        <v>110</v>
      </c>
      <c r="N80" s="3" t="inlineStr">
        <is>
          <t>Sí</t>
        </is>
      </c>
      <c r="O80" s="6">
        <f>IF(K80="","",IF(N80="Sí",ROUND(K80/1.18,2),K80))</f>
        <v/>
      </c>
      <c r="P80" s="3" t="inlineStr">
        <is>
          <t>2026-09-10</t>
        </is>
      </c>
      <c r="Q80" s="4" t="inlineStr">
        <is>
          <t>Ferremix (Grupo Alterra)</t>
        </is>
      </c>
      <c r="AF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4" t="inlineStr"/>
      <c r="F81" s="3" t="inlineStr">
        <is>
          <t>unidad</t>
        </is>
      </c>
      <c r="G81" s="3" t="inlineStr">
        <is>
          <t>Terminación de superficies</t>
        </is>
      </c>
      <c r="H81" s="3" t="inlineStr">
        <is>
          <t>estandar</t>
        </is>
      </c>
      <c r="I81" s="3" t="inlineStr">
        <is>
          <t>importado</t>
        </is>
      </c>
      <c r="J81" s="5" t="n">
        <v>1</v>
      </c>
      <c r="K81" s="6" t="n">
        <v>395</v>
      </c>
      <c r="L81" s="6" t="n">
        <v>395</v>
      </c>
      <c r="M81" s="6" t="n">
        <v>395</v>
      </c>
      <c r="N81" s="3" t="inlineStr">
        <is>
          <t>Sí</t>
        </is>
      </c>
      <c r="O81" s="6">
        <f>IF(K81="","",IF(N81="Sí",ROUND(K81/1.18,2),K81))</f>
        <v/>
      </c>
      <c r="P81" s="3" t="inlineStr">
        <is>
          <t>2026-09-10</t>
        </is>
      </c>
      <c r="Q81" s="4" t="inlineStr">
        <is>
          <t>Ferremix (Grupo Alterra)</t>
        </is>
      </c>
      <c r="AF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4" t="inlineStr"/>
      <c r="F82" s="3" t="inlineStr">
        <is>
          <t>unidad</t>
        </is>
      </c>
      <c r="G82" s="3" t="inlineStr">
        <is>
          <t>Terminación de superficies</t>
        </is>
      </c>
      <c r="H82" s="3" t="inlineStr">
        <is>
          <t>estandar</t>
        </is>
      </c>
      <c r="I82" s="3" t="inlineStr">
        <is>
          <t>importado</t>
        </is>
      </c>
      <c r="J82" s="5" t="n">
        <v>1</v>
      </c>
      <c r="K82" s="6" t="n">
        <v>102.5</v>
      </c>
      <c r="L82" s="6" t="n">
        <v>60</v>
      </c>
      <c r="M82" s="6" t="n">
        <v>145</v>
      </c>
      <c r="N82" s="3" t="inlineStr">
        <is>
          <t>Sí</t>
        </is>
      </c>
      <c r="O82" s="6">
        <f>IF(K82="","",IF(N82="Sí",ROUND(K82/1.18,2),K82))</f>
        <v/>
      </c>
      <c r="P82" s="3" t="inlineStr">
        <is>
          <t>2026-09-10</t>
        </is>
      </c>
      <c r="Q82" s="4" t="inlineStr">
        <is>
          <t>Ferremix (Grupo Alterra)</t>
        </is>
      </c>
      <c r="AF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4" t="inlineStr"/>
      <c r="F83" s="3" t="inlineStr">
        <is>
          <t>unidad</t>
        </is>
      </c>
      <c r="G83" s="3" t="inlineStr">
        <is>
          <t>Terminación de superficies</t>
        </is>
      </c>
      <c r="H83" s="3" t="inlineStr">
        <is>
          <t>estandar</t>
        </is>
      </c>
      <c r="I83" s="3" t="inlineStr">
        <is>
          <t>importado</t>
        </is>
      </c>
      <c r="J83" s="5" t="n">
        <v>2</v>
      </c>
      <c r="K83" s="6" t="n">
        <v>169</v>
      </c>
      <c r="L83" s="6" t="n">
        <v>75</v>
      </c>
      <c r="M83" s="6" t="n">
        <v>504.59</v>
      </c>
      <c r="N83" s="3" t="inlineStr">
        <is>
          <t>Sí</t>
        </is>
      </c>
      <c r="O83" s="6">
        <f>IF(K83="","",IF(N83="Sí",ROUND(K83/1.18,2),K83))</f>
        <v/>
      </c>
      <c r="P83" s="3" t="inlineStr">
        <is>
          <t>2026-09-10</t>
        </is>
      </c>
      <c r="Q83" s="4" t="inlineStr">
        <is>
          <t>Ferremix (Grupo Alterra) · Tonos y Colores</t>
        </is>
      </c>
      <c r="AF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4" t="inlineStr"/>
      <c r="F84" s="3" t="inlineStr">
        <is>
          <t>unidad</t>
        </is>
      </c>
      <c r="G84" s="3" t="inlineStr">
        <is>
          <t>Preliminares</t>
        </is>
      </c>
      <c r="H84" s="3" t="inlineStr">
        <is>
          <t>estandar</t>
        </is>
      </c>
      <c r="I84" s="3" t="inlineStr">
        <is>
          <t>importado</t>
        </is>
      </c>
      <c r="J84" s="5" t="n">
        <v>1</v>
      </c>
      <c r="K84" s="6" t="n">
        <v>35818.07</v>
      </c>
      <c r="L84" s="6" t="n">
        <v>35818.07</v>
      </c>
      <c r="M84" s="6" t="n">
        <v>35818.07</v>
      </c>
      <c r="N84" s="3" t="inlineStr">
        <is>
          <t>Sí</t>
        </is>
      </c>
      <c r="O84" s="6">
        <f>IF(K84="","",IF(N84="Sí",ROUND(K84/1.18,2),K84))</f>
        <v/>
      </c>
      <c r="P84" s="3" t="inlineStr">
        <is>
          <t>2026-09-09</t>
        </is>
      </c>
      <c r="Q84" s="4" t="inlineStr">
        <is>
          <t>Ferretería Ochoa (8A)</t>
        </is>
      </c>
      <c r="AF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4" t="inlineStr"/>
      <c r="F85" s="3" t="inlineStr">
        <is>
          <t>unidad</t>
        </is>
      </c>
      <c r="G85" s="3" t="inlineStr">
        <is>
          <t>Preliminares</t>
        </is>
      </c>
      <c r="H85" s="3" t="inlineStr">
        <is>
          <t>estandar</t>
        </is>
      </c>
      <c r="I85" s="3" t="inlineStr">
        <is>
          <t>importado</t>
        </is>
      </c>
      <c r="J85" s="5" t="n">
        <v>1</v>
      </c>
      <c r="K85" s="6" t="n">
        <v>32070.28</v>
      </c>
      <c r="L85" s="6" t="n">
        <v>32070.28</v>
      </c>
      <c r="M85" s="6" t="n">
        <v>32070.28</v>
      </c>
      <c r="N85" s="3" t="inlineStr">
        <is>
          <t>Sí</t>
        </is>
      </c>
      <c r="O85" s="6">
        <f>IF(K85="","",IF(N85="Sí",ROUND(K85/1.18,2),K85))</f>
        <v/>
      </c>
      <c r="P85" s="3" t="inlineStr">
        <is>
          <t>2026-09-09</t>
        </is>
      </c>
      <c r="Q85" s="4" t="inlineStr">
        <is>
          <t>Ferretería Ochoa (8A)</t>
        </is>
      </c>
      <c r="AF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4" t="inlineStr"/>
      <c r="F86" s="3" t="inlineStr">
        <is>
          <t>unidad</t>
        </is>
      </c>
      <c r="G86" s="3" t="inlineStr">
        <is>
          <t>Preliminares</t>
        </is>
      </c>
      <c r="H86" s="3" t="inlineStr">
        <is>
          <t>estandar</t>
        </is>
      </c>
      <c r="I86" s="3" t="inlineStr">
        <is>
          <t>importado</t>
        </is>
      </c>
      <c r="J86" s="5" t="n">
        <v>1</v>
      </c>
      <c r="K86" s="6" t="n">
        <v>2857.38</v>
      </c>
      <c r="L86" s="6" t="n">
        <v>2857.38</v>
      </c>
      <c r="M86" s="6" t="n">
        <v>2857.38</v>
      </c>
      <c r="N86" s="3" t="inlineStr">
        <is>
          <t>Sí</t>
        </is>
      </c>
      <c r="O86" s="6">
        <f>IF(K86="","",IF(N86="Sí",ROUND(K86/1.18,2),K86))</f>
        <v/>
      </c>
      <c r="P86" s="3" t="inlineStr">
        <is>
          <t>2026-09-09</t>
        </is>
      </c>
      <c r="Q86" s="4" t="inlineStr">
        <is>
          <t>Ferretería Ochoa (8A)</t>
        </is>
      </c>
      <c r="AF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4" t="inlineStr"/>
      <c r="F87" s="3" t="inlineStr">
        <is>
          <t>unidad</t>
        </is>
      </c>
      <c r="G87" s="3" t="inlineStr">
        <is>
          <t>Preliminares</t>
        </is>
      </c>
      <c r="H87" s="3" t="inlineStr">
        <is>
          <t>estandar</t>
        </is>
      </c>
      <c r="I87" s="3" t="inlineStr">
        <is>
          <t>importado</t>
        </is>
      </c>
      <c r="J87" s="5" t="n">
        <v>1</v>
      </c>
      <c r="K87" s="6" t="n">
        <v>6482.72</v>
      </c>
      <c r="L87" s="6" t="n">
        <v>6482.72</v>
      </c>
      <c r="M87" s="6" t="n">
        <v>6482.72</v>
      </c>
      <c r="N87" s="3" t="inlineStr">
        <is>
          <t>Sí</t>
        </is>
      </c>
      <c r="O87" s="6">
        <f>IF(K87="","",IF(N87="Sí",ROUND(K87/1.18,2),K87))</f>
        <v/>
      </c>
      <c r="P87" s="3" t="inlineStr">
        <is>
          <t>2026-09-09</t>
        </is>
      </c>
      <c r="Q87" s="4" t="inlineStr">
        <is>
          <t>Ferretería Ochoa (8A)</t>
        </is>
      </c>
      <c r="AF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4" t="inlineStr"/>
      <c r="F88" s="3" t="inlineStr">
        <is>
          <t>unidad</t>
        </is>
      </c>
      <c r="G88" s="3" t="inlineStr">
        <is>
          <t>Preliminares</t>
        </is>
      </c>
      <c r="H88" s="3" t="inlineStr">
        <is>
          <t>estandar</t>
        </is>
      </c>
      <c r="I88" s="3" t="inlineStr">
        <is>
          <t>importado</t>
        </is>
      </c>
      <c r="J88" s="5" t="n">
        <v>1</v>
      </c>
      <c r="K88" s="6" t="n">
        <v>9559.049999999999</v>
      </c>
      <c r="L88" s="6" t="n">
        <v>9559.049999999999</v>
      </c>
      <c r="M88" s="6" t="n">
        <v>9559.049999999999</v>
      </c>
      <c r="N88" s="3" t="inlineStr">
        <is>
          <t>Sí</t>
        </is>
      </c>
      <c r="O88" s="6">
        <f>IF(K88="","",IF(N88="Sí",ROUND(K88/1.18,2),K88))</f>
        <v/>
      </c>
      <c r="P88" s="3" t="inlineStr">
        <is>
          <t>2026-09-09</t>
        </is>
      </c>
      <c r="Q88" s="4" t="inlineStr">
        <is>
          <t>Ferretería Ochoa (8A)</t>
        </is>
      </c>
      <c r="AF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4" t="inlineStr"/>
      <c r="F89" s="3" t="inlineStr">
        <is>
          <t>unidad</t>
        </is>
      </c>
      <c r="G89" s="3" t="inlineStr">
        <is>
          <t>Preliminares</t>
        </is>
      </c>
      <c r="H89" s="3" t="inlineStr">
        <is>
          <t>estandar</t>
        </is>
      </c>
      <c r="I89" s="3" t="inlineStr">
        <is>
          <t>importado</t>
        </is>
      </c>
      <c r="J89" s="5" t="n">
        <v>1</v>
      </c>
      <c r="K89" s="6" t="n">
        <v>15050.43</v>
      </c>
      <c r="L89" s="6" t="n">
        <v>15050.43</v>
      </c>
      <c r="M89" s="6" t="n">
        <v>15050.43</v>
      </c>
      <c r="N89" s="3" t="inlineStr">
        <is>
          <t>Sí</t>
        </is>
      </c>
      <c r="O89" s="6">
        <f>IF(K89="","",IF(N89="Sí",ROUND(K89/1.18,2),K89))</f>
        <v/>
      </c>
      <c r="P89" s="3" t="inlineStr">
        <is>
          <t>2026-09-09</t>
        </is>
      </c>
      <c r="Q89" s="4" t="inlineStr">
        <is>
          <t>Ferretería Ochoa (8A)</t>
        </is>
      </c>
      <c r="AF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4" t="inlineStr"/>
      <c r="F90" s="3" t="inlineStr">
        <is>
          <t>unidad</t>
        </is>
      </c>
      <c r="G90" s="3" t="inlineStr">
        <is>
          <t>Preliminares</t>
        </is>
      </c>
      <c r="H90" s="3" t="inlineStr">
        <is>
          <t>estandar</t>
        </is>
      </c>
      <c r="I90" s="3" t="inlineStr">
        <is>
          <t>importado</t>
        </is>
      </c>
      <c r="J90" s="5" t="n">
        <v>2</v>
      </c>
      <c r="K90" s="6" t="n">
        <v>814.6799999999999</v>
      </c>
      <c r="L90" s="6" t="n">
        <v>663.14</v>
      </c>
      <c r="M90" s="6" t="n">
        <v>966.22</v>
      </c>
      <c r="N90" s="3" t="inlineStr">
        <is>
          <t>Sí</t>
        </is>
      </c>
      <c r="O90" s="6">
        <f>IF(K90="","",IF(N90="Sí",ROUND(K90/1.18,2),K90))</f>
        <v/>
      </c>
      <c r="P90" s="3" t="inlineStr">
        <is>
          <t>2026-09-10</t>
        </is>
      </c>
      <c r="Q90" s="4" t="inlineStr">
        <is>
          <t>Ferretería Ochoa (8A) · La Ibérica</t>
        </is>
      </c>
      <c r="AF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4" t="inlineStr"/>
      <c r="F91" s="3" t="inlineStr">
        <is>
          <t>unidad</t>
        </is>
      </c>
      <c r="G91" s="3" t="inlineStr">
        <is>
          <t>Preliminares</t>
        </is>
      </c>
      <c r="H91" s="3" t="inlineStr">
        <is>
          <t>estandar</t>
        </is>
      </c>
      <c r="I91" s="3" t="inlineStr">
        <is>
          <t>importado</t>
        </is>
      </c>
      <c r="J91" s="5" t="n">
        <v>1</v>
      </c>
      <c r="K91" s="6" t="n">
        <v>2931.73</v>
      </c>
      <c r="L91" s="6" t="n">
        <v>1282.31</v>
      </c>
      <c r="M91" s="6" t="n">
        <v>4581.15</v>
      </c>
      <c r="N91" s="3" t="inlineStr">
        <is>
          <t>Sí</t>
        </is>
      </c>
      <c r="O91" s="6">
        <f>IF(K91="","",IF(N91="Sí",ROUND(K91/1.18,2),K91))</f>
        <v/>
      </c>
      <c r="P91" s="3" t="inlineStr">
        <is>
          <t>2026-09-09</t>
        </is>
      </c>
      <c r="Q91" s="4" t="inlineStr">
        <is>
          <t>Ferretería Ochoa (8A)</t>
        </is>
      </c>
      <c r="AF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4" t="inlineStr"/>
      <c r="F92" s="3" t="inlineStr">
        <is>
          <t>unidad</t>
        </is>
      </c>
      <c r="G92" s="3" t="inlineStr">
        <is>
          <t>Preliminares</t>
        </is>
      </c>
      <c r="H92" s="3" t="inlineStr">
        <is>
          <t>estandar</t>
        </is>
      </c>
      <c r="I92" s="3" t="inlineStr">
        <is>
          <t>importado</t>
        </is>
      </c>
      <c r="J92" s="5" t="n">
        <v>1</v>
      </c>
      <c r="K92" s="6" t="n">
        <v>4694.51</v>
      </c>
      <c r="L92" s="6" t="n">
        <v>4694.51</v>
      </c>
      <c r="M92" s="6" t="n">
        <v>4694.51</v>
      </c>
      <c r="N92" s="3" t="inlineStr">
        <is>
          <t>Sí</t>
        </is>
      </c>
      <c r="O92" s="6">
        <f>IF(K92="","",IF(N92="Sí",ROUND(K92/1.18,2),K92))</f>
        <v/>
      </c>
      <c r="P92" s="3" t="inlineStr">
        <is>
          <t>2026-09-09</t>
        </is>
      </c>
      <c r="Q92" s="4" t="inlineStr">
        <is>
          <t>Ferretería Ochoa (8A)</t>
        </is>
      </c>
      <c r="AF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4" t="inlineStr"/>
      <c r="F93" s="3" t="inlineStr">
        <is>
          <t>unidad</t>
        </is>
      </c>
      <c r="G93" s="3" t="inlineStr">
        <is>
          <t>Preliminares</t>
        </is>
      </c>
      <c r="H93" s="3" t="inlineStr">
        <is>
          <t>estandar</t>
        </is>
      </c>
      <c r="I93" s="3" t="inlineStr">
        <is>
          <t>importado</t>
        </is>
      </c>
      <c r="J93" s="5" t="n">
        <v>1</v>
      </c>
      <c r="K93" s="6" t="n">
        <v>323.68</v>
      </c>
      <c r="L93" s="6" t="n">
        <v>226.37</v>
      </c>
      <c r="M93" s="6" t="n">
        <v>420.99</v>
      </c>
      <c r="N93" s="3" t="inlineStr">
        <is>
          <t>Sí</t>
        </is>
      </c>
      <c r="O93" s="6">
        <f>IF(K93="","",IF(N93="Sí",ROUND(K93/1.18,2),K93))</f>
        <v/>
      </c>
      <c r="P93" s="3" t="inlineStr">
        <is>
          <t>2026-09-09</t>
        </is>
      </c>
      <c r="Q93" s="4" t="inlineStr">
        <is>
          <t>Ferretería Ochoa (8A)</t>
        </is>
      </c>
      <c r="AF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4" t="inlineStr"/>
      <c r="F94" s="3" t="inlineStr">
        <is>
          <t>unidad</t>
        </is>
      </c>
      <c r="G94" s="3" t="inlineStr">
        <is>
          <t>Preliminares</t>
        </is>
      </c>
      <c r="H94" s="3" t="inlineStr">
        <is>
          <t>estandar</t>
        </is>
      </c>
      <c r="I94" s="3" t="inlineStr">
        <is>
          <t>importado</t>
        </is>
      </c>
      <c r="J94" s="5" t="n">
        <v>1</v>
      </c>
      <c r="K94" s="6" t="n">
        <v>1279.54</v>
      </c>
      <c r="L94" s="6" t="n">
        <v>1279.54</v>
      </c>
      <c r="M94" s="6" t="n">
        <v>1279.54</v>
      </c>
      <c r="N94" s="3" t="inlineStr">
        <is>
          <t>Sí</t>
        </is>
      </c>
      <c r="O94" s="6">
        <f>IF(K94="","",IF(N94="Sí",ROUND(K94/1.18,2),K94))</f>
        <v/>
      </c>
      <c r="P94" s="3" t="inlineStr">
        <is>
          <t>2026-09-09</t>
        </is>
      </c>
      <c r="Q94" s="4" t="inlineStr">
        <is>
          <t>Ferretería Ochoa (8A)</t>
        </is>
      </c>
      <c r="AF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4" t="inlineStr"/>
      <c r="F95" s="3" t="inlineStr">
        <is>
          <t>unidad</t>
        </is>
      </c>
      <c r="G95" s="3" t="inlineStr">
        <is>
          <t>Preliminares</t>
        </is>
      </c>
      <c r="H95" s="3" t="inlineStr">
        <is>
          <t>estandar</t>
        </is>
      </c>
      <c r="I95" s="3" t="inlineStr">
        <is>
          <t>importado</t>
        </is>
      </c>
      <c r="J95" s="5" t="n">
        <v>1</v>
      </c>
      <c r="K95" s="6" t="n">
        <v>5321.25</v>
      </c>
      <c r="L95" s="6" t="n">
        <v>5321.25</v>
      </c>
      <c r="M95" s="6" t="n">
        <v>5321.25</v>
      </c>
      <c r="N95" s="3" t="inlineStr">
        <is>
          <t>Sí</t>
        </is>
      </c>
      <c r="O95" s="6">
        <f>IF(K95="","",IF(N95="Sí",ROUND(K95/1.18,2),K95))</f>
        <v/>
      </c>
      <c r="P95" s="3" t="inlineStr">
        <is>
          <t>2026-09-09</t>
        </is>
      </c>
      <c r="Q95" s="4" t="inlineStr">
        <is>
          <t>Ferretería Ochoa (8A)</t>
        </is>
      </c>
      <c r="AF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4" t="inlineStr"/>
      <c r="F96" s="3" t="inlineStr">
        <is>
          <t>unidad</t>
        </is>
      </c>
      <c r="G96" s="3" t="inlineStr">
        <is>
          <t>Preliminares</t>
        </is>
      </c>
      <c r="H96" s="3" t="inlineStr">
        <is>
          <t>estandar</t>
        </is>
      </c>
      <c r="I96" s="3" t="inlineStr">
        <is>
          <t>importado</t>
        </is>
      </c>
      <c r="J96" s="5" t="n">
        <v>1</v>
      </c>
      <c r="K96" s="6" t="n">
        <v>1644.46</v>
      </c>
      <c r="L96" s="6" t="n">
        <v>1110.46</v>
      </c>
      <c r="M96" s="6" t="n">
        <v>2178.45</v>
      </c>
      <c r="N96" s="3" t="inlineStr">
        <is>
          <t>Sí</t>
        </is>
      </c>
      <c r="O96" s="6">
        <f>IF(K96="","",IF(N96="Sí",ROUND(K96/1.18,2),K96))</f>
        <v/>
      </c>
      <c r="P96" s="3" t="inlineStr">
        <is>
          <t>2026-09-09</t>
        </is>
      </c>
      <c r="Q96" s="4" t="inlineStr">
        <is>
          <t>Ferretería Ochoa (8A)</t>
        </is>
      </c>
      <c r="AF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4" t="inlineStr"/>
      <c r="F97" s="3" t="inlineStr">
        <is>
          <t>unidad</t>
        </is>
      </c>
      <c r="G97" s="3" t="inlineStr">
        <is>
          <t>Preliminares</t>
        </is>
      </c>
      <c r="H97" s="3" t="inlineStr">
        <is>
          <t>estandar</t>
        </is>
      </c>
      <c r="I97" s="3" t="inlineStr">
        <is>
          <t>importado</t>
        </is>
      </c>
      <c r="J97" s="5" t="n">
        <v>1</v>
      </c>
      <c r="K97" s="6" t="n">
        <v>358.67</v>
      </c>
      <c r="L97" s="6" t="n">
        <v>358.67</v>
      </c>
      <c r="M97" s="6" t="n">
        <v>358.67</v>
      </c>
      <c r="N97" s="3" t="inlineStr">
        <is>
          <t>Sí</t>
        </is>
      </c>
      <c r="O97" s="6">
        <f>IF(K97="","",IF(N97="Sí",ROUND(K97/1.18,2),K97))</f>
        <v/>
      </c>
      <c r="P97" s="3" t="inlineStr">
        <is>
          <t>2026-09-09</t>
        </is>
      </c>
      <c r="Q97" s="4" t="inlineStr">
        <is>
          <t>Ferretería Ochoa (8A)</t>
        </is>
      </c>
      <c r="AF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4" t="inlineStr"/>
      <c r="F98" s="3" t="inlineStr">
        <is>
          <t>unidad</t>
        </is>
      </c>
      <c r="G98" s="3" t="inlineStr">
        <is>
          <t>Preliminares</t>
        </is>
      </c>
      <c r="H98" s="3" t="inlineStr">
        <is>
          <t>estandar</t>
        </is>
      </c>
      <c r="I98" s="3" t="inlineStr">
        <is>
          <t>importado</t>
        </is>
      </c>
      <c r="J98" s="5" t="n">
        <v>1</v>
      </c>
      <c r="K98" s="6" t="n">
        <v>234.67</v>
      </c>
      <c r="L98" s="6" t="n">
        <v>234.67</v>
      </c>
      <c r="M98" s="6" t="n">
        <v>234.67</v>
      </c>
      <c r="N98" s="3" t="inlineStr">
        <is>
          <t>Sí</t>
        </is>
      </c>
      <c r="O98" s="6">
        <f>IF(K98="","",IF(N98="Sí",ROUND(K98/1.18,2),K98))</f>
        <v/>
      </c>
      <c r="P98" s="3" t="inlineStr">
        <is>
          <t>2026-09-09</t>
        </is>
      </c>
      <c r="Q98" s="4" t="inlineStr">
        <is>
          <t>Ferretería Ochoa (8A)</t>
        </is>
      </c>
      <c r="AF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4" t="inlineStr"/>
      <c r="F99" s="3" t="inlineStr">
        <is>
          <t>funda</t>
        </is>
      </c>
      <c r="G99" s="3" t="inlineStr">
        <is>
          <t>Estructura</t>
        </is>
      </c>
      <c r="H99" s="3" t="inlineStr">
        <is>
          <t>estandar</t>
        </is>
      </c>
      <c r="I99" s="3" t="inlineStr">
        <is>
          <t>nacional</t>
        </is>
      </c>
      <c r="J99" s="5" t="n">
        <v>1</v>
      </c>
      <c r="K99" s="6" t="n">
        <v>151.87</v>
      </c>
      <c r="L99" s="6" t="n">
        <v>151.87</v>
      </c>
      <c r="M99" s="6" t="n">
        <v>151.87</v>
      </c>
      <c r="N99" s="3" t="inlineStr">
        <is>
          <t>Sí</t>
        </is>
      </c>
      <c r="O99" s="6">
        <f>IF(K99="","",IF(N99="Sí",ROUND(K99/1.18,2),K99))</f>
        <v/>
      </c>
      <c r="P99" s="3" t="inlineStr">
        <is>
          <t>2026-09-09</t>
        </is>
      </c>
      <c r="Q99" s="4" t="inlineStr">
        <is>
          <t>Ferretería Ochoa (8A)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4" t="inlineStr"/>
      <c r="F100" s="3" t="inlineStr">
        <is>
          <t>funda</t>
        </is>
      </c>
      <c r="G100" s="3" t="inlineStr">
        <is>
          <t>Estructura</t>
        </is>
      </c>
      <c r="H100" s="3" t="inlineStr">
        <is>
          <t>estandar</t>
        </is>
      </c>
      <c r="I100" s="3" t="inlineStr">
        <is>
          <t>nacional</t>
        </is>
      </c>
      <c r="J100" s="5" t="n">
        <v>1</v>
      </c>
      <c r="K100" s="6" t="n">
        <v>448.34</v>
      </c>
      <c r="L100" s="6" t="n">
        <v>448.34</v>
      </c>
      <c r="M100" s="6" t="n">
        <v>448.34</v>
      </c>
      <c r="N100" s="3" t="inlineStr">
        <is>
          <t>Sí</t>
        </is>
      </c>
      <c r="O100" s="6">
        <f>IF(K100="","",IF(N100="Sí",ROUND(K100/1.18,2),K100))</f>
        <v/>
      </c>
      <c r="P100" s="3" t="inlineStr">
        <is>
          <t>2026-09-09</t>
        </is>
      </c>
      <c r="Q100" s="4" t="inlineStr">
        <is>
          <t>Ferretería Ochoa (8A)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4" t="inlineStr"/>
      <c r="F101" s="3" t="inlineStr">
        <is>
          <t>funda</t>
        </is>
      </c>
      <c r="G101" s="3" t="inlineStr">
        <is>
          <t>Estructura</t>
        </is>
      </c>
      <c r="H101" s="3" t="inlineStr">
        <is>
          <t>estandar</t>
        </is>
      </c>
      <c r="I101" s="3" t="inlineStr">
        <is>
          <t>nacional</t>
        </is>
      </c>
      <c r="J101" s="5" t="n">
        <v>1</v>
      </c>
      <c r="K101" s="6" t="n">
        <v>151.87</v>
      </c>
      <c r="L101" s="6" t="n">
        <v>151.87</v>
      </c>
      <c r="M101" s="6" t="n">
        <v>151.87</v>
      </c>
      <c r="N101" s="3" t="inlineStr">
        <is>
          <t>Sí</t>
        </is>
      </c>
      <c r="O101" s="6">
        <f>IF(K101="","",IF(N101="Sí",ROUND(K101/1.18,2),K101))</f>
        <v/>
      </c>
      <c r="P101" s="3" t="inlineStr">
        <is>
          <t>2026-09-09</t>
        </is>
      </c>
      <c r="Q101" s="4" t="inlineStr">
        <is>
          <t>Ferretería Ochoa (8A)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4" t="inlineStr">
        <is>
          <t>Adherencia normal · cerámica de interiores, no porcelanato</t>
        </is>
      </c>
      <c r="F102" s="3" t="inlineStr">
        <is>
          <t>funda</t>
        </is>
      </c>
      <c r="G102" s="3" t="inlineStr">
        <is>
          <t>Pisos</t>
        </is>
      </c>
      <c r="H102" s="3" t="inlineStr">
        <is>
          <t>estandar</t>
        </is>
      </c>
      <c r="I102" s="3" t="inlineStr">
        <is>
          <t>importado</t>
        </is>
      </c>
      <c r="J102" s="5" t="n">
        <v>1</v>
      </c>
      <c r="K102" s="6" t="n">
        <v>1160</v>
      </c>
      <c r="L102" s="6" t="n">
        <v>1160</v>
      </c>
      <c r="M102" s="6" t="n">
        <v>1160</v>
      </c>
      <c r="N102" s="3" t="inlineStr">
        <is>
          <t>Sí</t>
        </is>
      </c>
      <c r="O102" s="6">
        <f>IF(K102="","",IF(N102="Sí",ROUND(K102/1.18,2),K102))</f>
        <v/>
      </c>
      <c r="P102" s="3" t="inlineStr">
        <is>
          <t>2026-09-10</t>
        </is>
      </c>
      <c r="Q102" s="4" t="inlineStr">
        <is>
          <t>La Ibérica</t>
        </is>
      </c>
      <c r="AF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4" t="inlineStr">
        <is>
          <t>Adherencia normal · cerámica de interiores, no porcelanato</t>
        </is>
      </c>
      <c r="F103" s="3" t="inlineStr">
        <is>
          <t>funda</t>
        </is>
      </c>
      <c r="G103" s="3" t="inlineStr">
        <is>
          <t>Pisos</t>
        </is>
      </c>
      <c r="H103" s="3" t="inlineStr">
        <is>
          <t>estandar</t>
        </is>
      </c>
      <c r="I103" s="3" t="inlineStr">
        <is>
          <t>importado</t>
        </is>
      </c>
      <c r="J103" s="5" t="n">
        <v>3</v>
      </c>
      <c r="K103" s="6" t="n">
        <v>322.97</v>
      </c>
      <c r="L103" s="6" t="n">
        <v>290</v>
      </c>
      <c r="M103" s="6" t="n">
        <v>690.83</v>
      </c>
      <c r="N103" s="3" t="inlineStr">
        <is>
          <t>Sí</t>
        </is>
      </c>
      <c r="O103" s="6">
        <f>IF(K103="","",IF(N103="Sí",ROUND(K103/1.18,2),K103))</f>
        <v/>
      </c>
      <c r="P103" s="3" t="inlineStr">
        <is>
          <t>2026-09-09</t>
        </is>
      </c>
      <c r="Q103" s="4" t="inlineStr">
        <is>
          <t>Ferretería Cima · Ferretería Ochoa (8A) · Max Ferretería</t>
        </is>
      </c>
      <c r="AF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4" t="inlineStr">
        <is>
          <t>Adherencia normal · cerámica de interiores, no porcelanato</t>
        </is>
      </c>
      <c r="F104" s="3" t="inlineStr">
        <is>
          <t>funda</t>
        </is>
      </c>
      <c r="G104" s="3" t="inlineStr">
        <is>
          <t>Pisos</t>
        </is>
      </c>
      <c r="H104" s="3" t="inlineStr">
        <is>
          <t>estandar</t>
        </is>
      </c>
      <c r="I104" s="3" t="inlineStr">
        <is>
          <t>importado</t>
        </is>
      </c>
      <c r="J104" s="5" t="n">
        <v>1</v>
      </c>
      <c r="K104" s="6" t="n">
        <v>885</v>
      </c>
      <c r="L104" s="6" t="n">
        <v>885</v>
      </c>
      <c r="M104" s="6" t="n">
        <v>885</v>
      </c>
      <c r="N104" s="3" t="inlineStr">
        <is>
          <t>Sí</t>
        </is>
      </c>
      <c r="O104" s="6">
        <f>IF(K104="","",IF(N104="Sí",ROUND(K104/1.18,2),K104))</f>
        <v/>
      </c>
      <c r="P104" s="3" t="inlineStr">
        <is>
          <t>2026-09-10</t>
        </is>
      </c>
      <c r="Q104" s="4" t="inlineStr">
        <is>
          <t>La Ibérica</t>
        </is>
      </c>
      <c r="AF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4" t="inlineStr">
        <is>
          <t>Adherencia mejorada · porcelanato, gran formato y exteriores</t>
        </is>
      </c>
      <c r="F105" s="3" t="inlineStr">
        <is>
          <t>funda</t>
        </is>
      </c>
      <c r="G105" s="3" t="inlineStr">
        <is>
          <t>Pisos</t>
        </is>
      </c>
      <c r="H105" s="3" t="inlineStr">
        <is>
          <t>estandar</t>
        </is>
      </c>
      <c r="I105" s="3" t="inlineStr">
        <is>
          <t>importado</t>
        </is>
      </c>
      <c r="J105" s="5" t="n">
        <v>1</v>
      </c>
      <c r="K105" s="6" t="n">
        <v>1403.29</v>
      </c>
      <c r="L105" s="6" t="n">
        <v>1403.29</v>
      </c>
      <c r="M105" s="6" t="n">
        <v>1403.29</v>
      </c>
      <c r="N105" s="3" t="inlineStr">
        <is>
          <t>Sí</t>
        </is>
      </c>
      <c r="O105" s="6">
        <f>IF(K105="","",IF(N105="Sí",ROUND(K105/1.18,2),K105))</f>
        <v/>
      </c>
      <c r="P105" s="3" t="inlineStr">
        <is>
          <t>2026-09-09</t>
        </is>
      </c>
      <c r="Q105" s="4" t="inlineStr">
        <is>
          <t>Ferretería Ochoa (8A)</t>
        </is>
      </c>
      <c r="AF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4" t="inlineStr">
        <is>
          <t>Adherencia mejorada · porcelanato, gran formato y exteriores</t>
        </is>
      </c>
      <c r="F106" s="3" t="inlineStr">
        <is>
          <t>funda</t>
        </is>
      </c>
      <c r="G106" s="3" t="inlineStr">
        <is>
          <t>Pisos</t>
        </is>
      </c>
      <c r="H106" s="3" t="inlineStr">
        <is>
          <t>estandar</t>
        </is>
      </c>
      <c r="I106" s="3" t="inlineStr">
        <is>
          <t>importado</t>
        </is>
      </c>
      <c r="J106" s="5" t="n">
        <v>1</v>
      </c>
      <c r="K106" s="6" t="n">
        <v>4784.99</v>
      </c>
      <c r="L106" s="6" t="n">
        <v>4784.99</v>
      </c>
      <c r="M106" s="6" t="n">
        <v>4784.99</v>
      </c>
      <c r="N106" s="3" t="inlineStr">
        <is>
          <t>Sí</t>
        </is>
      </c>
      <c r="O106" s="6">
        <f>IF(K106="","",IF(N106="Sí",ROUND(K106/1.18,2),K106))</f>
        <v/>
      </c>
      <c r="P106" s="3" t="inlineStr">
        <is>
          <t>2026-09-10</t>
        </is>
      </c>
      <c r="Q106" s="4" t="inlineStr">
        <is>
          <t>La Ibérica</t>
        </is>
      </c>
      <c r="AF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4" t="inlineStr">
        <is>
          <t>Adherencia mejorada · porcelanato, gran formato y exteriores</t>
        </is>
      </c>
      <c r="F107" s="3" t="inlineStr">
        <is>
          <t>funda</t>
        </is>
      </c>
      <c r="G107" s="3" t="inlineStr">
        <is>
          <t>Pisos</t>
        </is>
      </c>
      <c r="H107" s="3" t="inlineStr">
        <is>
          <t>estandar</t>
        </is>
      </c>
      <c r="I107" s="3" t="inlineStr">
        <is>
          <t>importado</t>
        </is>
      </c>
      <c r="J107" s="5" t="n">
        <v>1</v>
      </c>
      <c r="K107" s="6" t="n">
        <v>2490</v>
      </c>
      <c r="L107" s="6" t="n">
        <v>2265</v>
      </c>
      <c r="M107" s="6" t="n">
        <v>3375</v>
      </c>
      <c r="N107" s="3" t="inlineStr">
        <is>
          <t>Sí</t>
        </is>
      </c>
      <c r="O107" s="6">
        <f>IF(K107="","",IF(N107="Sí",ROUND(K107/1.18,2),K107))</f>
        <v/>
      </c>
      <c r="P107" s="3" t="inlineStr">
        <is>
          <t>2026-09-10</t>
        </is>
      </c>
      <c r="Q107" s="4" t="inlineStr">
        <is>
          <t>La Ibérica</t>
        </is>
      </c>
      <c r="AF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4" t="inlineStr">
        <is>
          <t>Adherencia mejorada · porcelanato, gran formato y exteriores</t>
        </is>
      </c>
      <c r="F108" s="3" t="inlineStr">
        <is>
          <t>funda</t>
        </is>
      </c>
      <c r="G108" s="3" t="inlineStr">
        <is>
          <t>Pisos</t>
        </is>
      </c>
      <c r="H108" s="3" t="inlineStr">
        <is>
          <t>estandar</t>
        </is>
      </c>
      <c r="I108" s="3" t="inlineStr">
        <is>
          <t>importado</t>
        </is>
      </c>
      <c r="J108" s="5" t="n">
        <v>1</v>
      </c>
      <c r="K108" s="6" t="n">
        <v>1497.5</v>
      </c>
      <c r="L108" s="6" t="n">
        <v>1320</v>
      </c>
      <c r="M108" s="6" t="n">
        <v>1675</v>
      </c>
      <c r="N108" s="3" t="inlineStr">
        <is>
          <t>Sí</t>
        </is>
      </c>
      <c r="O108" s="6">
        <f>IF(K108="","",IF(N108="Sí",ROUND(K108/1.18,2),K108))</f>
        <v/>
      </c>
      <c r="P108" s="3" t="inlineStr">
        <is>
          <t>2026-09-10</t>
        </is>
      </c>
      <c r="Q108" s="4" t="inlineStr">
        <is>
          <t>La Ibérica</t>
        </is>
      </c>
      <c r="AF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4" t="inlineStr">
        <is>
          <t>Adherencia mejorada · porcelanato, gran formato y exteriores</t>
        </is>
      </c>
      <c r="F109" s="3" t="inlineStr">
        <is>
          <t>funda</t>
        </is>
      </c>
      <c r="G109" s="3" t="inlineStr">
        <is>
          <t>Pisos</t>
        </is>
      </c>
      <c r="H109" s="3" t="inlineStr">
        <is>
          <t>estandar</t>
        </is>
      </c>
      <c r="I109" s="3" t="inlineStr">
        <is>
          <t>importado</t>
        </is>
      </c>
      <c r="J109" s="5" t="n">
        <v>2</v>
      </c>
      <c r="K109" s="6" t="n">
        <v>1245.72</v>
      </c>
      <c r="L109" s="6" t="n">
        <v>662.4400000000001</v>
      </c>
      <c r="M109" s="6" t="n">
        <v>1829</v>
      </c>
      <c r="N109" s="3" t="inlineStr">
        <is>
          <t>Sí</t>
        </is>
      </c>
      <c r="O109" s="6">
        <f>IF(K109="","",IF(N109="Sí",ROUND(K109/1.18,2),K109))</f>
        <v/>
      </c>
      <c r="P109" s="3" t="inlineStr">
        <is>
          <t>2026-09-10</t>
        </is>
      </c>
      <c r="Q109" s="4" t="inlineStr">
        <is>
          <t>Ferretería Ochoa (8A) · La Ibérica</t>
        </is>
      </c>
      <c r="AF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cuarto de galón</t>
        </is>
      </c>
      <c r="E110" s="4" t="inlineStr">
        <is>
          <t>Acrílico · solo interiores</t>
        </is>
      </c>
      <c r="F110" s="3" t="inlineStr">
        <is>
          <t>unidad</t>
        </is>
      </c>
      <c r="G110" s="3" t="inlineStr">
        <is>
          <t>Pisos</t>
        </is>
      </c>
      <c r="H110" s="3" t="inlineStr">
        <is>
          <t>estandar</t>
        </is>
      </c>
      <c r="I110" s="3" t="inlineStr">
        <is>
          <t>importado</t>
        </is>
      </c>
      <c r="J110" s="5" t="n">
        <v>1</v>
      </c>
      <c r="K110" s="6" t="n">
        <v>581.85</v>
      </c>
      <c r="L110" s="6" t="n">
        <v>502.13</v>
      </c>
      <c r="M110" s="6" t="n">
        <v>661.5599999999999</v>
      </c>
      <c r="N110" s="3" t="inlineStr">
        <is>
          <t>Sí</t>
        </is>
      </c>
      <c r="O110" s="6">
        <f>IF(K110="","",IF(N110="Sí",ROUND(K110/1.18,2),K110))</f>
        <v/>
      </c>
      <c r="P110" s="3" t="inlineStr">
        <is>
          <t>2026-09-09</t>
        </is>
      </c>
      <c r="Q110" s="4" t="inlineStr">
        <is>
          <t>Ferretería Ochoa (8A)</t>
        </is>
      </c>
      <c r="AF110" s="4" t="inlineStr">
        <is>
          <t>presentacion: cuarto de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4" t="inlineStr">
        <is>
          <t>Acrílico · solo interiores</t>
        </is>
      </c>
      <c r="F111" s="3" t="inlineStr">
        <is>
          <t>unidad</t>
        </is>
      </c>
      <c r="G111" s="3" t="inlineStr">
        <is>
          <t>Pisos</t>
        </is>
      </c>
      <c r="H111" s="3" t="inlineStr">
        <is>
          <t>estandar</t>
        </is>
      </c>
      <c r="I111" s="3" t="inlineStr">
        <is>
          <t>importado</t>
        </is>
      </c>
      <c r="J111" s="5" t="n">
        <v>1</v>
      </c>
      <c r="K111" s="6" t="n">
        <v>1926.69</v>
      </c>
      <c r="L111" s="6" t="n">
        <v>1914.51</v>
      </c>
      <c r="M111" s="6" t="n">
        <v>1938.87</v>
      </c>
      <c r="N111" s="3" t="inlineStr">
        <is>
          <t>Sí</t>
        </is>
      </c>
      <c r="O111" s="6">
        <f>IF(K111="","",IF(N111="Sí",ROUND(K111/1.18,2),K111))</f>
        <v/>
      </c>
      <c r="P111" s="3" t="inlineStr">
        <is>
          <t>2026-09-09</t>
        </is>
      </c>
      <c r="Q111" s="4" t="inlineStr">
        <is>
          <t>Ferretería Ochoa (8A)</t>
        </is>
      </c>
      <c r="AF111" s="4" t="inlineStr">
        <is>
          <t>presentacion: galón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4" t="inlineStr"/>
      <c r="F112" s="3" t="inlineStr">
        <is>
          <t>funda</t>
        </is>
      </c>
      <c r="G112" s="3" t="inlineStr">
        <is>
          <t>Pisos</t>
        </is>
      </c>
      <c r="H112" s="3" t="inlineStr">
        <is>
          <t>estandar</t>
        </is>
      </c>
      <c r="I112" s="3" t="inlineStr">
        <is>
          <t>importado</t>
        </is>
      </c>
      <c r="J112" s="5" t="n">
        <v>1</v>
      </c>
      <c r="K112" s="6" t="n">
        <v>3100</v>
      </c>
      <c r="L112" s="6" t="n">
        <v>1475</v>
      </c>
      <c r="M112" s="6" t="n">
        <v>3425</v>
      </c>
      <c r="N112" s="3" t="inlineStr">
        <is>
          <t>Sí</t>
        </is>
      </c>
      <c r="O112" s="6">
        <f>IF(K112="","",IF(N112="Sí",ROUND(K112/1.18,2),K112))</f>
        <v/>
      </c>
      <c r="P112" s="3" t="inlineStr">
        <is>
          <t>2026-09-10</t>
        </is>
      </c>
      <c r="Q112" s="4" t="inlineStr">
        <is>
          <t>La Ibérica</t>
        </is>
      </c>
      <c r="AF112" s="4" t="inlineStr">
        <is>
          <t>kg: 11.3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4" t="inlineStr"/>
      <c r="F113" s="3" t="inlineStr">
        <is>
          <t>funda</t>
        </is>
      </c>
      <c r="G113" s="3" t="inlineStr">
        <is>
          <t>Pisos</t>
        </is>
      </c>
      <c r="H113" s="3" t="inlineStr">
        <is>
          <t>estandar</t>
        </is>
      </c>
      <c r="I113" s="3" t="inlineStr">
        <is>
          <t>importado</t>
        </is>
      </c>
      <c r="J113" s="5" t="n">
        <v>1</v>
      </c>
      <c r="K113" s="6" t="n">
        <v>1365.01</v>
      </c>
      <c r="L113" s="6" t="n">
        <v>1280.01</v>
      </c>
      <c r="M113" s="6" t="n">
        <v>1450</v>
      </c>
      <c r="N113" s="3" t="inlineStr">
        <is>
          <t>Sí</t>
        </is>
      </c>
      <c r="O113" s="6">
        <f>IF(K113="","",IF(N113="Sí",ROUND(K113/1.18,2),K113))</f>
        <v/>
      </c>
      <c r="P113" s="3" t="inlineStr">
        <is>
          <t>2026-09-10</t>
        </is>
      </c>
      <c r="Q113" s="4" t="inlineStr">
        <is>
          <t>La Ibérica</t>
        </is>
      </c>
      <c r="AF113" s="4" t="inlineStr">
        <is>
          <t>kg: 22.7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4" t="inlineStr"/>
      <c r="F114" s="3" t="inlineStr">
        <is>
          <t>funda</t>
        </is>
      </c>
      <c r="G114" s="3" t="inlineStr">
        <is>
          <t>Pisos</t>
        </is>
      </c>
      <c r="H114" s="3" t="inlineStr">
        <is>
          <t>estandar</t>
        </is>
      </c>
      <c r="I114" s="3" t="inlineStr">
        <is>
          <t>importado</t>
        </is>
      </c>
      <c r="J114" s="5" t="n">
        <v>1</v>
      </c>
      <c r="K114" s="6" t="n">
        <v>1400</v>
      </c>
      <c r="L114" s="6" t="n">
        <v>1200</v>
      </c>
      <c r="M114" s="6" t="n">
        <v>2159.4</v>
      </c>
      <c r="N114" s="3" t="inlineStr">
        <is>
          <t>Sí</t>
        </is>
      </c>
      <c r="O114" s="6">
        <f>IF(K114="","",IF(N114="Sí",ROUND(K114/1.18,2),K114))</f>
        <v/>
      </c>
      <c r="P114" s="3" t="inlineStr">
        <is>
          <t>2026-09-10</t>
        </is>
      </c>
      <c r="Q114" s="4" t="inlineStr">
        <is>
          <t>La Ibérica</t>
        </is>
      </c>
      <c r="AF114" s="4" t="inlineStr">
        <is>
          <t>kg: 4.5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4" t="inlineStr"/>
      <c r="F115" s="3" t="inlineStr">
        <is>
          <t>funda</t>
        </is>
      </c>
      <c r="G115" s="3" t="inlineStr">
        <is>
          <t>Pisos</t>
        </is>
      </c>
      <c r="H115" s="3" t="inlineStr">
        <is>
          <t>estandar</t>
        </is>
      </c>
      <c r="I115" s="3" t="inlineStr">
        <is>
          <t>importado</t>
        </is>
      </c>
      <c r="J115" s="5" t="n">
        <v>2</v>
      </c>
      <c r="K115" s="6" t="n">
        <v>590.12</v>
      </c>
      <c r="L115" s="6" t="n">
        <v>550.23</v>
      </c>
      <c r="M115" s="6" t="n">
        <v>630</v>
      </c>
      <c r="N115" s="3" t="inlineStr">
        <is>
          <t>Sí</t>
        </is>
      </c>
      <c r="O115" s="6">
        <f>IF(K115="","",IF(N115="Sí",ROUND(K115/1.18,2),K115))</f>
        <v/>
      </c>
      <c r="P115" s="3" t="inlineStr">
        <is>
          <t>2026-09-10</t>
        </is>
      </c>
      <c r="Q115" s="4" t="inlineStr">
        <is>
          <t>Ferremix (Grupo Alterra) · Ferretería Ochoa (8A)</t>
        </is>
      </c>
      <c r="AF115" s="4" t="inlineStr">
        <is>
          <t>color: blanco · kg: 14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4" t="inlineStr"/>
      <c r="F116" s="3" t="inlineStr">
        <is>
          <t>funda</t>
        </is>
      </c>
      <c r="G116" s="3" t="inlineStr">
        <is>
          <t>Pisos</t>
        </is>
      </c>
      <c r="H116" s="3" t="inlineStr">
        <is>
          <t>estandar</t>
        </is>
      </c>
      <c r="I116" s="3" t="inlineStr">
        <is>
          <t>importado</t>
        </is>
      </c>
      <c r="J116" s="5" t="n">
        <v>1</v>
      </c>
      <c r="K116" s="6" t="n">
        <v>745</v>
      </c>
      <c r="L116" s="6" t="n">
        <v>745</v>
      </c>
      <c r="M116" s="6" t="n">
        <v>745</v>
      </c>
      <c r="N116" s="3" t="inlineStr">
        <is>
          <t>Sí</t>
        </is>
      </c>
      <c r="O116" s="6">
        <f>IF(K116="","",IF(N116="Sí",ROUND(K116/1.18,2),K116))</f>
        <v/>
      </c>
      <c r="P116" s="3" t="inlineStr">
        <is>
          <t>2026-09-09</t>
        </is>
      </c>
      <c r="Q116" s="4" t="inlineStr">
        <is>
          <t>Max Ferretería</t>
        </is>
      </c>
      <c r="AF116" s="4" t="inlineStr">
        <is>
          <t>color: blanco · kg: 15.9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4" t="inlineStr"/>
      <c r="F117" s="3" t="inlineStr">
        <is>
          <t>funda</t>
        </is>
      </c>
      <c r="G117" s="3" t="inlineStr">
        <is>
          <t>Pisos</t>
        </is>
      </c>
      <c r="H117" s="3" t="inlineStr">
        <is>
          <t>estandar</t>
        </is>
      </c>
      <c r="I117" s="3" t="inlineStr">
        <is>
          <t>importado</t>
        </is>
      </c>
      <c r="J117" s="5" t="n">
        <v>1</v>
      </c>
      <c r="K117" s="6" t="n">
        <v>435</v>
      </c>
      <c r="L117" s="6" t="n">
        <v>435</v>
      </c>
      <c r="M117" s="6" t="n">
        <v>435</v>
      </c>
      <c r="N117" s="3" t="inlineStr">
        <is>
          <t>Sí</t>
        </is>
      </c>
      <c r="O117" s="6">
        <f>IF(K117="","",IF(N117="Sí",ROUND(K117/1.18,2),K117))</f>
        <v/>
      </c>
      <c r="P117" s="3" t="inlineStr">
        <is>
          <t>2026-09-10</t>
        </is>
      </c>
      <c r="Q117" s="4" t="inlineStr">
        <is>
          <t>Ferremix (Grupo Alterra)</t>
        </is>
      </c>
      <c r="AF117" s="4" t="inlineStr">
        <is>
          <t>color: gris · kg: 14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4" t="inlineStr"/>
      <c r="F118" s="3" t="inlineStr">
        <is>
          <t>funda</t>
        </is>
      </c>
      <c r="G118" s="3" t="inlineStr">
        <is>
          <t>Terminación de superficies</t>
        </is>
      </c>
      <c r="H118" s="3" t="inlineStr">
        <is>
          <t>estandar</t>
        </is>
      </c>
      <c r="I118" s="3" t="inlineStr">
        <is>
          <t>importado</t>
        </is>
      </c>
      <c r="J118" s="5" t="n">
        <v>1</v>
      </c>
      <c r="K118" s="6" t="n">
        <v>1720</v>
      </c>
      <c r="L118" s="6" t="n">
        <v>1720</v>
      </c>
      <c r="M118" s="6" t="n">
        <v>1720</v>
      </c>
      <c r="N118" s="3" t="inlineStr">
        <is>
          <t>Sí</t>
        </is>
      </c>
      <c r="O118" s="6">
        <f>IF(K118="","",IF(N118="Sí",ROUND(K118/1.18,2),K118))</f>
        <v/>
      </c>
      <c r="P118" s="3" t="inlineStr">
        <is>
          <t>2026-09-10</t>
        </is>
      </c>
      <c r="Q118" s="4" t="inlineStr">
        <is>
          <t>Ferremix (Grupo Alterra)</t>
        </is>
      </c>
      <c r="AF118" s="4" t="inlineStr">
        <is>
          <t>kg: 22.7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4" t="inlineStr"/>
      <c r="F119" s="3" t="inlineStr">
        <is>
          <t>funda</t>
        </is>
      </c>
      <c r="G119" s="3" t="inlineStr">
        <is>
          <t>Terminación de superficies</t>
        </is>
      </c>
      <c r="H119" s="3" t="inlineStr">
        <is>
          <t>estandar</t>
        </is>
      </c>
      <c r="I119" s="3" t="inlineStr">
        <is>
          <t>importado</t>
        </is>
      </c>
      <c r="J119" s="5" t="n">
        <v>1</v>
      </c>
      <c r="K119" s="6" t="n">
        <v>330</v>
      </c>
      <c r="L119" s="6" t="n">
        <v>330</v>
      </c>
      <c r="M119" s="6" t="n">
        <v>330</v>
      </c>
      <c r="N119" s="3" t="inlineStr">
        <is>
          <t>Sí</t>
        </is>
      </c>
      <c r="O119" s="6">
        <f>IF(K119="","",IF(N119="Sí",ROUND(K119/1.18,2),K119))</f>
        <v/>
      </c>
      <c r="P119" s="3" t="inlineStr">
        <is>
          <t>2026-09-09</t>
        </is>
      </c>
      <c r="Q119" s="4" t="inlineStr">
        <is>
          <t>Max Ferretería</t>
        </is>
      </c>
      <c r="AF119" s="4" t="inlineStr">
        <is>
          <t>kg: 27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4" t="inlineStr"/>
      <c r="F120" s="3" t="inlineStr">
        <is>
          <t>funda</t>
        </is>
      </c>
      <c r="G120" s="3" t="inlineStr">
        <is>
          <t>Estructura</t>
        </is>
      </c>
      <c r="H120" s="3" t="inlineStr">
        <is>
          <t>estandar</t>
        </is>
      </c>
      <c r="I120" s="3" t="inlineStr">
        <is>
          <t>importado</t>
        </is>
      </c>
      <c r="J120" s="5" t="n">
        <v>1</v>
      </c>
      <c r="K120" s="6" t="n">
        <v>245.85</v>
      </c>
      <c r="L120" s="6" t="n">
        <v>245.85</v>
      </c>
      <c r="M120" s="6" t="n">
        <v>245.85</v>
      </c>
      <c r="N120" s="3" t="inlineStr">
        <is>
          <t>Sí</t>
        </is>
      </c>
      <c r="O120" s="6">
        <f>IF(K120="","",IF(N120="Sí",ROUND(K120/1.18,2),K120))</f>
        <v/>
      </c>
      <c r="P120" s="3" t="inlineStr">
        <is>
          <t>2026-09-09</t>
        </is>
      </c>
      <c r="Q120" s="4" t="inlineStr">
        <is>
          <t>Ferretería Ochoa (8A)</t>
        </is>
      </c>
      <c r="AF120" s="4" t="inlineStr">
        <is>
          <t>resistencia: 180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4" t="inlineStr"/>
      <c r="F121" s="3" t="inlineStr">
        <is>
          <t>funda</t>
        </is>
      </c>
      <c r="G121" s="3" t="inlineStr">
        <is>
          <t>Estructura</t>
        </is>
      </c>
      <c r="H121" s="3" t="inlineStr">
        <is>
          <t>estandar</t>
        </is>
      </c>
      <c r="I121" s="3" t="inlineStr">
        <is>
          <t>importado</t>
        </is>
      </c>
      <c r="J121" s="5" t="n">
        <v>1</v>
      </c>
      <c r="K121" s="6" t="n">
        <v>253.1</v>
      </c>
      <c r="L121" s="6" t="n">
        <v>253.1</v>
      </c>
      <c r="M121" s="6" t="n">
        <v>253.1</v>
      </c>
      <c r="N121" s="3" t="inlineStr">
        <is>
          <t>Sí</t>
        </is>
      </c>
      <c r="O121" s="6">
        <f>IF(K121="","",IF(N121="Sí",ROUND(K121/1.18,2),K121))</f>
        <v/>
      </c>
      <c r="P121" s="3" t="inlineStr">
        <is>
          <t>2026-09-09</t>
        </is>
      </c>
      <c r="Q121" s="4" t="inlineStr">
        <is>
          <t>Ferretería Ochoa (8A)</t>
        </is>
      </c>
      <c r="AF121" s="4" t="inlineStr">
        <is>
          <t>resistencia: 210 · lb: 66</t>
        </is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4" t="inlineStr"/>
      <c r="F122" s="3" t="inlineStr">
        <is>
          <t>unidad</t>
        </is>
      </c>
      <c r="G122" s="3" t="inlineStr">
        <is>
          <t>Estructura</t>
        </is>
      </c>
      <c r="H122" s="3" t="inlineStr">
        <is>
          <t>estandar</t>
        </is>
      </c>
      <c r="I122" s="3" t="inlineStr">
        <is>
          <t>importado</t>
        </is>
      </c>
      <c r="J122" s="5" t="n">
        <v>1</v>
      </c>
      <c r="K122" s="6" t="n">
        <v>1460</v>
      </c>
      <c r="L122" s="6" t="n">
        <v>1460</v>
      </c>
      <c r="M122" s="6" t="n">
        <v>1460</v>
      </c>
      <c r="N122" s="3" t="inlineStr">
        <is>
          <t>Sí</t>
        </is>
      </c>
      <c r="O122" s="6">
        <f>IF(K122="","",IF(N122="Sí",ROUND(K122/1.18,2),K122))</f>
        <v/>
      </c>
      <c r="P122" s="3" t="inlineStr">
        <is>
          <t>2026-09-09</t>
        </is>
      </c>
      <c r="Q122" s="4" t="inlineStr">
        <is>
          <t>InnovaCentro (La Innovación)</t>
        </is>
      </c>
      <c r="AA122" s="7" t="n">
        <v>1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4" t="inlineStr"/>
      <c r="F123" s="3" t="inlineStr">
        <is>
          <t>unidad</t>
        </is>
      </c>
      <c r="G123" s="3" t="inlineStr">
        <is>
          <t>Estructura</t>
        </is>
      </c>
      <c r="H123" s="3" t="inlineStr">
        <is>
          <t>estandar</t>
        </is>
      </c>
      <c r="I123" s="3" t="inlineStr">
        <is>
          <t>importado</t>
        </is>
      </c>
      <c r="J123" s="5" t="n">
        <v>1</v>
      </c>
      <c r="K123" s="6" t="n">
        <v>6055</v>
      </c>
      <c r="L123" s="6" t="n">
        <v>6055</v>
      </c>
      <c r="M123" s="6" t="n">
        <v>6055</v>
      </c>
      <c r="N123" s="3" t="inlineStr">
        <is>
          <t>Sí</t>
        </is>
      </c>
      <c r="O123" s="6">
        <f>IF(K123="","",IF(N123="Sí",ROUND(K123/1.18,2),K123))</f>
        <v/>
      </c>
      <c r="P123" s="3" t="inlineStr">
        <is>
          <t>2026-09-09</t>
        </is>
      </c>
      <c r="Q123" s="4" t="inlineStr">
        <is>
          <t>InnovaCentro (La Innovación)</t>
        </is>
      </c>
      <c r="AA123" s="7" t="n">
        <v>5</v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4" t="inlineStr"/>
      <c r="F124" s="3" t="inlineStr">
        <is>
          <t>unidad</t>
        </is>
      </c>
      <c r="G124" s="3" t="inlineStr">
        <is>
          <t>Estructura</t>
        </is>
      </c>
      <c r="H124" s="3" t="inlineStr">
        <is>
          <t>estandar</t>
        </is>
      </c>
      <c r="I124" s="3" t="inlineStr">
        <is>
          <t>importado</t>
        </is>
      </c>
      <c r="J124" s="5" t="n">
        <v>1</v>
      </c>
      <c r="K124" s="6" t="n">
        <v>454.75</v>
      </c>
      <c r="L124" s="6" t="n">
        <v>454.75</v>
      </c>
      <c r="M124" s="6" t="n">
        <v>454.75</v>
      </c>
      <c r="N124" s="3" t="inlineStr">
        <is>
          <t>Sí</t>
        </is>
      </c>
      <c r="O124" s="6">
        <f>IF(K124="","",IF(N124="Sí",ROUND(K124/1.18,2),K124))</f>
        <v/>
      </c>
      <c r="P124" s="3" t="inlineStr">
        <is>
          <t>2026-09-09</t>
        </is>
      </c>
      <c r="Q124" s="4" t="inlineStr">
        <is>
          <t>InnovaCentro (La Innovación)</t>
        </is>
      </c>
      <c r="AE124" s="7" t="inlineStr">
        <is>
          <t>fibra de refuerzo</t>
        </is>
      </c>
      <c r="AF124" s="4" t="inlineStr">
        <is>
          <t>Peso (kg): 0.6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4" t="inlineStr"/>
      <c r="F125" s="3" t="inlineStr">
        <is>
          <t>unidad</t>
        </is>
      </c>
      <c r="G125" s="3" t="inlineStr">
        <is>
          <t>Estructura</t>
        </is>
      </c>
      <c r="H125" s="3" t="inlineStr">
        <is>
          <t>estandar</t>
        </is>
      </c>
      <c r="I125" s="3" t="inlineStr">
        <is>
          <t>importado</t>
        </is>
      </c>
      <c r="J125" s="5" t="n">
        <v>1</v>
      </c>
      <c r="K125" s="6" t="n">
        <v>535</v>
      </c>
      <c r="L125" s="6" t="n">
        <v>465</v>
      </c>
      <c r="M125" s="6" t="n">
        <v>570</v>
      </c>
      <c r="N125" s="3" t="inlineStr">
        <is>
          <t>Sí</t>
        </is>
      </c>
      <c r="O125" s="6">
        <f>IF(K125="","",IF(N125="Sí",ROUND(K125/1.18,2),K125))</f>
        <v/>
      </c>
      <c r="P125" s="3" t="inlineStr">
        <is>
          <t>2026-09-09</t>
        </is>
      </c>
      <c r="Q125" s="4" t="inlineStr">
        <is>
          <t>InnovaCentro (La Innovación)</t>
        </is>
      </c>
      <c r="AA125" s="7" t="n">
        <v>0.5</v>
      </c>
      <c r="AE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4" t="inlineStr"/>
      <c r="F126" s="3" t="inlineStr">
        <is>
          <t>unidad</t>
        </is>
      </c>
      <c r="G126" s="3" t="inlineStr">
        <is>
          <t>Estructura</t>
        </is>
      </c>
      <c r="H126" s="3" t="inlineStr">
        <is>
          <t>estandar</t>
        </is>
      </c>
      <c r="I126" s="3" t="inlineStr">
        <is>
          <t>importado</t>
        </is>
      </c>
      <c r="J126" s="5" t="n">
        <v>1</v>
      </c>
      <c r="K126" s="6" t="n">
        <v>395</v>
      </c>
      <c r="L126" s="6" t="n">
        <v>395</v>
      </c>
      <c r="M126" s="6" t="n">
        <v>395</v>
      </c>
      <c r="N126" s="3" t="inlineStr">
        <is>
          <t>Sí</t>
        </is>
      </c>
      <c r="O126" s="6">
        <f>IF(K126="","",IF(N126="Sí",ROUND(K126/1.18,2),K126))</f>
        <v/>
      </c>
      <c r="P126" s="3" t="inlineStr">
        <is>
          <t>2026-09-09</t>
        </is>
      </c>
      <c r="Q126" s="4" t="inlineStr">
        <is>
          <t>InnovaCentro (La Innovación)</t>
        </is>
      </c>
      <c r="AA126" s="7" t="n">
        <v>0.25</v>
      </c>
      <c r="AE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4" t="inlineStr"/>
      <c r="F127" s="3" t="inlineStr">
        <is>
          <t>unidad</t>
        </is>
      </c>
      <c r="G127" s="3" t="inlineStr">
        <is>
          <t>Estructura</t>
        </is>
      </c>
      <c r="H127" s="3" t="inlineStr">
        <is>
          <t>estandar</t>
        </is>
      </c>
      <c r="I127" s="3" t="inlineStr">
        <is>
          <t>importado</t>
        </is>
      </c>
      <c r="J127" s="5" t="n">
        <v>1</v>
      </c>
      <c r="K127" s="6" t="n">
        <v>1072.5</v>
      </c>
      <c r="L127" s="6" t="n">
        <v>959</v>
      </c>
      <c r="M127" s="6" t="n">
        <v>1185</v>
      </c>
      <c r="N127" s="3" t="inlineStr">
        <is>
          <t>Sí</t>
        </is>
      </c>
      <c r="O127" s="6">
        <f>IF(K127="","",IF(N127="Sí",ROUND(K127/1.18,2),K127))</f>
        <v/>
      </c>
      <c r="P127" s="3" t="inlineStr">
        <is>
          <t>2026-09-09</t>
        </is>
      </c>
      <c r="Q127" s="4" t="inlineStr">
        <is>
          <t>InnovaCentro (La Innovación)</t>
        </is>
      </c>
      <c r="AA127" s="7" t="n">
        <v>1</v>
      </c>
      <c r="AE127" s="7" t="inlineStr">
        <is>
          <t>impermeabilizante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4" t="inlineStr"/>
      <c r="F128" s="3" t="inlineStr">
        <is>
          <t>unidad</t>
        </is>
      </c>
      <c r="G128" s="3" t="inlineStr">
        <is>
          <t>Estructura</t>
        </is>
      </c>
      <c r="H128" s="3" t="inlineStr">
        <is>
          <t>estandar</t>
        </is>
      </c>
      <c r="I128" s="3" t="inlineStr">
        <is>
          <t>importado</t>
        </is>
      </c>
      <c r="J128" s="5" t="n">
        <v>1</v>
      </c>
      <c r="K128" s="6" t="n">
        <v>285</v>
      </c>
      <c r="L128" s="6" t="n">
        <v>265</v>
      </c>
      <c r="M128" s="6" t="n">
        <v>305</v>
      </c>
      <c r="N128" s="3" t="inlineStr">
        <is>
          <t>Sí</t>
        </is>
      </c>
      <c r="O128" s="6">
        <f>IF(K128="","",IF(N128="Sí",ROUND(K128/1.18,2),K128))</f>
        <v/>
      </c>
      <c r="P128" s="3" t="inlineStr">
        <is>
          <t>2026-09-09</t>
        </is>
      </c>
      <c r="Q128" s="4" t="inlineStr">
        <is>
          <t>InnovaCentro (La Innovación)</t>
        </is>
      </c>
      <c r="AE128" s="7" t="inlineStr">
        <is>
          <t>impermeabilizante</t>
        </is>
      </c>
      <c r="AF128" s="4" t="inlineStr">
        <is>
          <t>Capacidad (oz): 32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4" t="inlineStr"/>
      <c r="F129" s="3" t="inlineStr">
        <is>
          <t>unidad</t>
        </is>
      </c>
      <c r="G129" s="3" t="inlineStr">
        <is>
          <t>Estructura</t>
        </is>
      </c>
      <c r="H129" s="3" t="inlineStr">
        <is>
          <t>estandar</t>
        </is>
      </c>
      <c r="I129" s="3" t="inlineStr">
        <is>
          <t>importado</t>
        </is>
      </c>
      <c r="J129" s="5" t="n">
        <v>1</v>
      </c>
      <c r="K129" s="6" t="n">
        <v>8617.5</v>
      </c>
      <c r="L129" s="6" t="n">
        <v>6300</v>
      </c>
      <c r="M129" s="6" t="n">
        <v>10935</v>
      </c>
      <c r="N129" s="3" t="inlineStr">
        <is>
          <t>Sí</t>
        </is>
      </c>
      <c r="O129" s="6">
        <f>IF(K129="","",IF(N129="Sí",ROUND(K129/1.18,2),K129))</f>
        <v/>
      </c>
      <c r="P129" s="3" t="inlineStr">
        <is>
          <t>2026-09-09</t>
        </is>
      </c>
      <c r="Q129" s="4" t="inlineStr">
        <is>
          <t>InnovaCentro (La Innovación)</t>
        </is>
      </c>
      <c r="AA129" s="7" t="n">
        <v>5</v>
      </c>
      <c r="AE129" s="7" t="inlineStr">
        <is>
          <t>impermeabilizante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4" t="inlineStr"/>
      <c r="F130" s="3" t="inlineStr">
        <is>
          <t>unidad</t>
        </is>
      </c>
      <c r="G130" s="3" t="inlineStr">
        <is>
          <t>Estructura</t>
        </is>
      </c>
      <c r="H130" s="3" t="inlineStr">
        <is>
          <t>estandar</t>
        </is>
      </c>
      <c r="I130" s="3" t="inlineStr">
        <is>
          <t>importado</t>
        </is>
      </c>
      <c r="J130" s="5" t="n">
        <v>1</v>
      </c>
      <c r="K130" s="6" t="n">
        <v>1610.75</v>
      </c>
      <c r="L130" s="6" t="n">
        <v>1610.75</v>
      </c>
      <c r="M130" s="6" t="n">
        <v>1610.75</v>
      </c>
      <c r="N130" s="3" t="inlineStr">
        <is>
          <t>Sí</t>
        </is>
      </c>
      <c r="O130" s="6">
        <f>IF(K130="","",IF(N130="Sí",ROUND(K130/1.18,2),K130))</f>
        <v/>
      </c>
      <c r="P130" s="3" t="inlineStr">
        <is>
          <t>2026-09-09</t>
        </is>
      </c>
      <c r="Q130" s="4" t="inlineStr">
        <is>
          <t>InnovaCentro (La Innovación)</t>
        </is>
      </c>
      <c r="AE130" s="7" t="inlineStr">
        <is>
          <t>primer epóxico</t>
        </is>
      </c>
      <c r="AF130" s="4" t="inlineStr">
        <is>
          <t>Peso (kg): 1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4" t="inlineStr"/>
      <c r="F131" s="3" t="inlineStr">
        <is>
          <t>unidad</t>
        </is>
      </c>
      <c r="G131" s="3" t="inlineStr">
        <is>
          <t>Estructura</t>
        </is>
      </c>
      <c r="H131" s="3" t="inlineStr">
        <is>
          <t>estandar</t>
        </is>
      </c>
      <c r="I131" s="3" t="inlineStr">
        <is>
          <t>importado</t>
        </is>
      </c>
      <c r="J131" s="5" t="n">
        <v>1</v>
      </c>
      <c r="K131" s="6" t="n">
        <v>2005</v>
      </c>
      <c r="L131" s="6" t="n">
        <v>2005</v>
      </c>
      <c r="M131" s="6" t="n">
        <v>2005</v>
      </c>
      <c r="N131" s="3" t="inlineStr">
        <is>
          <t>Sí</t>
        </is>
      </c>
      <c r="O131" s="6">
        <f>IF(K131="","",IF(N131="Sí",ROUND(K131/1.18,2),K131))</f>
        <v/>
      </c>
      <c r="P131" s="3" t="inlineStr">
        <is>
          <t>2026-09-09</t>
        </is>
      </c>
      <c r="Q131" s="4" t="inlineStr">
        <is>
          <t>InnovaCentro (La Innovación)</t>
        </is>
      </c>
      <c r="AA131" s="7" t="n">
        <v>1</v>
      </c>
      <c r="AE131" s="7" t="inlineStr">
        <is>
          <t>texturizado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4" t="inlineStr"/>
      <c r="F132" s="3" t="inlineStr">
        <is>
          <t>unidad</t>
        </is>
      </c>
      <c r="G132" s="3" t="inlineStr">
        <is>
          <t>Estructura</t>
        </is>
      </c>
      <c r="H132" s="3" t="inlineStr">
        <is>
          <t>estandar</t>
        </is>
      </c>
      <c r="I132" s="3" t="inlineStr">
        <is>
          <t>importado</t>
        </is>
      </c>
      <c r="J132" s="5" t="n">
        <v>1</v>
      </c>
      <c r="K132" s="6" t="n">
        <v>3952.5</v>
      </c>
      <c r="L132" s="6" t="n">
        <v>3952.5</v>
      </c>
      <c r="M132" s="6" t="n">
        <v>3952.5</v>
      </c>
      <c r="N132" s="3" t="inlineStr">
        <is>
          <t>Sí</t>
        </is>
      </c>
      <c r="O132" s="6">
        <f>IF(K132="","",IF(N132="Sí",ROUND(K132/1.18,2),K132))</f>
        <v/>
      </c>
      <c r="P132" s="3" t="inlineStr">
        <is>
          <t>2026-09-09</t>
        </is>
      </c>
      <c r="Q132" s="4" t="inlineStr">
        <is>
          <t>InnovaCentro (La Innovación)</t>
        </is>
      </c>
      <c r="AB132" s="7" t="n">
        <v>40</v>
      </c>
      <c r="AE132" s="7" t="inlineStr">
        <is>
          <t>autonivelante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4" t="inlineStr"/>
      <c r="F133" s="3" t="inlineStr">
        <is>
          <t>funda</t>
        </is>
      </c>
      <c r="G133" s="3" t="inlineStr">
        <is>
          <t>Estructura</t>
        </is>
      </c>
      <c r="H133" s="3" t="inlineStr">
        <is>
          <t>estandar</t>
        </is>
      </c>
      <c r="I133" s="3" t="inlineStr">
        <is>
          <t>importado</t>
        </is>
      </c>
      <c r="J133" s="5" t="n">
        <v>1</v>
      </c>
      <c r="K133" s="6" t="n">
        <v>533.8</v>
      </c>
      <c r="L133" s="6" t="n">
        <v>533.8</v>
      </c>
      <c r="M133" s="6" t="n">
        <v>533.8</v>
      </c>
      <c r="N133" s="3" t="inlineStr">
        <is>
          <t>Sí</t>
        </is>
      </c>
      <c r="O133" s="6">
        <f>IF(K133="","",IF(N133="Sí",ROUND(K133/1.18,2),K133))</f>
        <v/>
      </c>
      <c r="P133" s="3" t="inlineStr">
        <is>
          <t>2026-09-09</t>
        </is>
      </c>
      <c r="Q133" s="4" t="inlineStr">
        <is>
          <t>InnovaCentro (La Innovación)</t>
        </is>
      </c>
      <c r="AB133" s="7" t="n">
        <v>10</v>
      </c>
      <c r="AE133" s="7" t="inlineStr">
        <is>
          <t>blanco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4" t="inlineStr"/>
      <c r="F134" s="3" t="inlineStr">
        <is>
          <t>unidad</t>
        </is>
      </c>
      <c r="G134" s="3" t="inlineStr">
        <is>
          <t>Estructura</t>
        </is>
      </c>
      <c r="H134" s="3" t="inlineStr">
        <is>
          <t>estandar</t>
        </is>
      </c>
      <c r="I134" s="3" t="inlineStr">
        <is>
          <t>importado</t>
        </is>
      </c>
      <c r="J134" s="5" t="n">
        <v>1</v>
      </c>
      <c r="K134" s="6" t="n">
        <v>377.4</v>
      </c>
      <c r="L134" s="6" t="n">
        <v>377.4</v>
      </c>
      <c r="M134" s="6" t="n">
        <v>377.4</v>
      </c>
      <c r="N134" s="3" t="inlineStr">
        <is>
          <t>Sí</t>
        </is>
      </c>
      <c r="O134" s="6">
        <f>IF(K134="","",IF(N134="Sí",ROUND(K134/1.18,2),K134))</f>
        <v/>
      </c>
      <c r="P134" s="3" t="inlineStr">
        <is>
          <t>2026-09-09</t>
        </is>
      </c>
      <c r="Q134" s="4" t="inlineStr">
        <is>
          <t>InnovaCentro (La Innovación)</t>
        </is>
      </c>
      <c r="AB134" s="7" t="n">
        <v>10</v>
      </c>
      <c r="AE134" s="7" t="inlineStr">
        <is>
          <t>gris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4" t="inlineStr"/>
      <c r="F135" s="3" t="inlineStr">
        <is>
          <t>unidad</t>
        </is>
      </c>
      <c r="G135" s="3" t="inlineStr">
        <is>
          <t>Estructura</t>
        </is>
      </c>
      <c r="H135" s="3" t="inlineStr">
        <is>
          <t>estandar</t>
        </is>
      </c>
      <c r="I135" s="3" t="inlineStr">
        <is>
          <t>importado</t>
        </is>
      </c>
      <c r="J135" s="5" t="n">
        <v>1</v>
      </c>
      <c r="K135" s="6" t="n">
        <v>949.45</v>
      </c>
      <c r="L135" s="6" t="n">
        <v>949.45</v>
      </c>
      <c r="M135" s="6" t="n">
        <v>949.45</v>
      </c>
      <c r="N135" s="3" t="inlineStr">
        <is>
          <t>Sí</t>
        </is>
      </c>
      <c r="O135" s="6">
        <f>IF(K135="","",IF(N135="Sí",ROUND(K135/1.18,2),K135))</f>
        <v/>
      </c>
      <c r="P135" s="3" t="inlineStr">
        <is>
          <t>2026-09-09</t>
        </is>
      </c>
      <c r="Q135" s="4" t="inlineStr">
        <is>
          <t>InnovaCentro (La Innovación)</t>
        </is>
      </c>
      <c r="AA135" s="7" t="n">
        <v>1</v>
      </c>
      <c r="AE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4" t="inlineStr"/>
      <c r="F136" s="3" t="inlineStr">
        <is>
          <t>unidad</t>
        </is>
      </c>
      <c r="G136" s="3" t="inlineStr">
        <is>
          <t>Estructura</t>
        </is>
      </c>
      <c r="H136" s="3" t="inlineStr">
        <is>
          <t>estandar</t>
        </is>
      </c>
      <c r="I136" s="3" t="inlineStr">
        <is>
          <t>importado</t>
        </is>
      </c>
      <c r="J136" s="5" t="n">
        <v>1</v>
      </c>
      <c r="K136" s="6" t="n">
        <v>2817.75</v>
      </c>
      <c r="L136" s="6" t="n">
        <v>2817.75</v>
      </c>
      <c r="M136" s="6" t="n">
        <v>2817.75</v>
      </c>
      <c r="N136" s="3" t="inlineStr">
        <is>
          <t>Sí</t>
        </is>
      </c>
      <c r="O136" s="6">
        <f>IF(K136="","",IF(N136="Sí",ROUND(K136/1.18,2),K136))</f>
        <v/>
      </c>
      <c r="P136" s="3" t="inlineStr">
        <is>
          <t>2026-09-09</t>
        </is>
      </c>
      <c r="Q136" s="4" t="inlineStr">
        <is>
          <t>InnovaCentro (La Innovación)</t>
        </is>
      </c>
      <c r="AB136" s="7" t="n">
        <v>40</v>
      </c>
      <c r="AE136" s="7" t="inlineStr">
        <is>
          <t>hidráulico</t>
        </is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4" t="inlineStr"/>
      <c r="F137" s="3" t="inlineStr">
        <is>
          <t>unidad</t>
        </is>
      </c>
      <c r="G137" s="3" t="inlineStr">
        <is>
          <t>Pisos</t>
        </is>
      </c>
      <c r="H137" s="3" t="inlineStr">
        <is>
          <t>estandar</t>
        </is>
      </c>
      <c r="I137" s="3" t="inlineStr">
        <is>
          <t>importado</t>
        </is>
      </c>
      <c r="J137" s="5" t="n">
        <v>1</v>
      </c>
      <c r="K137" s="6" t="n">
        <v>712</v>
      </c>
      <c r="L137" s="6" t="n">
        <v>712</v>
      </c>
      <c r="M137" s="6" t="n">
        <v>712</v>
      </c>
      <c r="N137" s="3" t="inlineStr">
        <is>
          <t>Sí</t>
        </is>
      </c>
      <c r="O137" s="6">
        <f>IF(K137="","",IF(N137="Sí",ROUND(K137/1.18,2),K137))</f>
        <v/>
      </c>
      <c r="P137" s="3" t="inlineStr">
        <is>
          <t>2026-09-09</t>
        </is>
      </c>
      <c r="Q137" s="4" t="inlineStr">
        <is>
          <t>InnovaCentro (La Innovación)</t>
        </is>
      </c>
      <c r="AB137" s="7" t="n">
        <v>10</v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 blanco, 10 lb</t>
        </is>
      </c>
      <c r="E138" s="4" t="inlineStr"/>
      <c r="F138" s="3" t="inlineStr">
        <is>
          <t>unidad</t>
        </is>
      </c>
      <c r="G138" s="3" t="inlineStr">
        <is>
          <t>Pisos</t>
        </is>
      </c>
      <c r="H138" s="3" t="inlineStr">
        <is>
          <t>estandar</t>
        </is>
      </c>
      <c r="I138" s="3" t="inlineStr">
        <is>
          <t>importado</t>
        </is>
      </c>
      <c r="J138" s="5" t="n">
        <v>1</v>
      </c>
      <c r="K138" s="6" t="n">
        <v>328</v>
      </c>
      <c r="L138" s="6" t="n">
        <v>328</v>
      </c>
      <c r="M138" s="6" t="n">
        <v>328</v>
      </c>
      <c r="N138" s="3" t="inlineStr">
        <is>
          <t>Sí</t>
        </is>
      </c>
      <c r="O138" s="6">
        <f>IF(K138="","",IF(N138="Sí",ROUND(K138/1.18,2),K138))</f>
        <v/>
      </c>
      <c r="P138" s="3" t="inlineStr">
        <is>
          <t>2026-09-09</t>
        </is>
      </c>
      <c r="Q138" s="4" t="inlineStr">
        <is>
          <t>InnovaCentro (La Innovación)</t>
        </is>
      </c>
      <c r="AB138" s="7" t="n">
        <v>10</v>
      </c>
      <c r="AE138" s="7" t="inlineStr">
        <is>
          <t>blanco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4" t="inlineStr"/>
      <c r="F139" s="3" t="inlineStr">
        <is>
          <t>unidad</t>
        </is>
      </c>
      <c r="G139" s="3" t="inlineStr">
        <is>
          <t>Pisos</t>
        </is>
      </c>
      <c r="H139" s="3" t="inlineStr">
        <is>
          <t>estandar</t>
        </is>
      </c>
      <c r="I139" s="3" t="inlineStr">
        <is>
          <t>importado</t>
        </is>
      </c>
      <c r="J139" s="5" t="n">
        <v>1</v>
      </c>
      <c r="K139" s="6" t="n">
        <v>555.05</v>
      </c>
      <c r="L139" s="6" t="n">
        <v>543.15</v>
      </c>
      <c r="M139" s="6" t="n">
        <v>786.25</v>
      </c>
      <c r="N139" s="3" t="inlineStr">
        <is>
          <t>Sí</t>
        </is>
      </c>
      <c r="O139" s="6">
        <f>IF(K139="","",IF(N139="Sí",ROUND(K139/1.18,2),K139))</f>
        <v/>
      </c>
      <c r="P139" s="3" t="inlineStr">
        <is>
          <t>2026-09-09</t>
        </is>
      </c>
      <c r="Q139" s="4" t="inlineStr">
        <is>
          <t>InnovaCentro (La Innovación)</t>
        </is>
      </c>
      <c r="AB139" s="7" t="n">
        <v>10</v>
      </c>
      <c r="AE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cerámica, 50 lb</t>
        </is>
      </c>
      <c r="E140" s="4" t="inlineStr"/>
      <c r="F140" s="3" t="inlineStr">
        <is>
          <t>unidad</t>
        </is>
      </c>
      <c r="G140" s="3" t="inlineStr">
        <is>
          <t>Pisos</t>
        </is>
      </c>
      <c r="H140" s="3" t="inlineStr">
        <is>
          <t>estandar</t>
        </is>
      </c>
      <c r="I140" s="3" t="inlineStr">
        <is>
          <t>importado</t>
        </is>
      </c>
      <c r="J140" s="5" t="n">
        <v>1</v>
      </c>
      <c r="K140" s="6" t="n">
        <v>1365.1</v>
      </c>
      <c r="L140" s="6" t="n">
        <v>1365.1</v>
      </c>
      <c r="M140" s="6" t="n">
        <v>1365.1</v>
      </c>
      <c r="N140" s="3" t="inlineStr">
        <is>
          <t>Sí</t>
        </is>
      </c>
      <c r="O140" s="6">
        <f>IF(K140="","",IF(N140="Sí",ROUND(K140/1.18,2),K140))</f>
        <v/>
      </c>
      <c r="P140" s="3" t="inlineStr">
        <is>
          <t>2026-09-09</t>
        </is>
      </c>
      <c r="Q140" s="4" t="inlineStr">
        <is>
          <t>InnovaCentro (La Innovación)</t>
        </is>
      </c>
      <c r="AB140" s="7" t="n">
        <v>50</v>
      </c>
      <c r="AE140" s="7" t="inlineStr">
        <is>
          <t>para cerámica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anclaje, 22 kg</t>
        </is>
      </c>
      <c r="E141" s="4" t="inlineStr"/>
      <c r="F141" s="3" t="inlineStr">
        <is>
          <t>unidad</t>
        </is>
      </c>
      <c r="G141" s="3" t="inlineStr">
        <is>
          <t>Terminación de superficies</t>
        </is>
      </c>
      <c r="H141" s="3" t="inlineStr">
        <is>
          <t>estandar</t>
        </is>
      </c>
      <c r="I141" s="3" t="inlineStr">
        <is>
          <t>importado</t>
        </is>
      </c>
      <c r="J141" s="5" t="n">
        <v>1</v>
      </c>
      <c r="K141" s="6" t="n">
        <v>1270.75</v>
      </c>
      <c r="L141" s="6" t="n">
        <v>1270.75</v>
      </c>
      <c r="M141" s="6" t="n">
        <v>1270.75</v>
      </c>
      <c r="N141" s="3" t="inlineStr">
        <is>
          <t>Sí</t>
        </is>
      </c>
      <c r="O141" s="6">
        <f>IF(K141="","",IF(N141="Sí",ROUND(K141/1.18,2),K141))</f>
        <v/>
      </c>
      <c r="P141" s="3" t="inlineStr">
        <is>
          <t>2026-09-09</t>
        </is>
      </c>
      <c r="Q141" s="4" t="inlineStr">
        <is>
          <t>InnovaCentro (La Innovación)</t>
        </is>
      </c>
      <c r="AE141" s="7" t="inlineStr">
        <is>
          <t>de anclaje</t>
        </is>
      </c>
      <c r="AF141" s="4" t="inlineStr">
        <is>
          <t>Peso (kg): 22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de pañete, 10 lb</t>
        </is>
      </c>
      <c r="E142" s="4" t="inlineStr"/>
      <c r="F142" s="3" t="inlineStr">
        <is>
          <t>unidad</t>
        </is>
      </c>
      <c r="G142" s="3" t="inlineStr">
        <is>
          <t>Terminación de superficies</t>
        </is>
      </c>
      <c r="H142" s="3" t="inlineStr">
        <is>
          <t>estandar</t>
        </is>
      </c>
      <c r="I142" s="3" t="inlineStr">
        <is>
          <t>importado</t>
        </is>
      </c>
      <c r="J142" s="5" t="n">
        <v>1</v>
      </c>
      <c r="K142" s="6" t="n">
        <v>135</v>
      </c>
      <c r="L142" s="6" t="n">
        <v>135</v>
      </c>
      <c r="M142" s="6" t="n">
        <v>135</v>
      </c>
      <c r="N142" s="3" t="inlineStr">
        <is>
          <t>Sí</t>
        </is>
      </c>
      <c r="O142" s="6">
        <f>IF(K142="","",IF(N142="Sí",ROUND(K142/1.18,2),K142))</f>
        <v/>
      </c>
      <c r="P142" s="3" t="inlineStr">
        <is>
          <t>2026-09-09</t>
        </is>
      </c>
      <c r="Q142" s="4" t="inlineStr">
        <is>
          <t>InnovaCentro (La Innovación)</t>
        </is>
      </c>
      <c r="AB142" s="7" t="n">
        <v>10</v>
      </c>
      <c r="AE142" s="7" t="inlineStr">
        <is>
          <t>de pañete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gris, 50 lb</t>
        </is>
      </c>
      <c r="E143" s="4" t="inlineStr"/>
      <c r="F143" s="3" t="inlineStr">
        <is>
          <t>unidad</t>
        </is>
      </c>
      <c r="G143" s="3" t="inlineStr">
        <is>
          <t>Terminación de superficies</t>
        </is>
      </c>
      <c r="H143" s="3" t="inlineStr">
        <is>
          <t>estandar</t>
        </is>
      </c>
      <c r="I143" s="3" t="inlineStr">
        <is>
          <t>importado</t>
        </is>
      </c>
      <c r="J143" s="5" t="n">
        <v>1</v>
      </c>
      <c r="K143" s="6" t="n">
        <v>1308</v>
      </c>
      <c r="L143" s="6" t="n">
        <v>1308</v>
      </c>
      <c r="M143" s="6" t="n">
        <v>1308</v>
      </c>
      <c r="N143" s="3" t="inlineStr">
        <is>
          <t>Sí</t>
        </is>
      </c>
      <c r="O143" s="6">
        <f>IF(K143="","",IF(N143="Sí",ROUND(K143/1.18,2),K143))</f>
        <v/>
      </c>
      <c r="P143" s="3" t="inlineStr">
        <is>
          <t>2026-09-09</t>
        </is>
      </c>
      <c r="Q143" s="4" t="inlineStr">
        <is>
          <t>InnovaCentro (La Innovación)</t>
        </is>
      </c>
      <c r="AB143" s="7" t="n">
        <v>50</v>
      </c>
      <c r="AE143" s="7" t="inlineStr">
        <is>
          <t>gris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impermeabilizante, 25 kg</t>
        </is>
      </c>
      <c r="E144" s="4" t="inlineStr"/>
      <c r="F144" s="3" t="inlineStr">
        <is>
          <t>unidad</t>
        </is>
      </c>
      <c r="G144" s="3" t="inlineStr">
        <is>
          <t>Terminación de superficies</t>
        </is>
      </c>
      <c r="H144" s="3" t="inlineStr">
        <is>
          <t>estandar</t>
        </is>
      </c>
      <c r="I144" s="3" t="inlineStr">
        <is>
          <t>importado</t>
        </is>
      </c>
      <c r="J144" s="5" t="n">
        <v>1</v>
      </c>
      <c r="K144" s="6" t="n">
        <v>2715.75</v>
      </c>
      <c r="L144" s="6" t="n">
        <v>2715.75</v>
      </c>
      <c r="M144" s="6" t="n">
        <v>2715.75</v>
      </c>
      <c r="N144" s="3" t="inlineStr">
        <is>
          <t>Sí</t>
        </is>
      </c>
      <c r="O144" s="6">
        <f>IF(K144="","",IF(N144="Sí",ROUND(K144/1.18,2),K144))</f>
        <v/>
      </c>
      <c r="P144" s="3" t="inlineStr">
        <is>
          <t>2026-09-09</t>
        </is>
      </c>
      <c r="Q144" s="4" t="inlineStr">
        <is>
          <t>InnovaCentro (La Innovación)</t>
        </is>
      </c>
      <c r="AE144" s="7" t="inlineStr">
        <is>
          <t>impermeabilizante</t>
        </is>
      </c>
      <c r="AF144" s="4" t="inlineStr">
        <is>
          <t>Peso (kg): 25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para cerámica, 50 lb</t>
        </is>
      </c>
      <c r="E145" s="4" t="inlineStr"/>
      <c r="F145" s="3" t="inlineStr">
        <is>
          <t>unidad</t>
        </is>
      </c>
      <c r="G145" s="3" t="inlineStr">
        <is>
          <t>Terminación de superficies</t>
        </is>
      </c>
      <c r="H145" s="3" t="inlineStr">
        <is>
          <t>estandar</t>
        </is>
      </c>
      <c r="I145" s="3" t="inlineStr">
        <is>
          <t>importado</t>
        </is>
      </c>
      <c r="J145" s="5" t="n">
        <v>1</v>
      </c>
      <c r="K145" s="6" t="n">
        <v>2396</v>
      </c>
      <c r="L145" s="6" t="n">
        <v>2396</v>
      </c>
      <c r="M145" s="6" t="n">
        <v>2396</v>
      </c>
      <c r="N145" s="3" t="inlineStr">
        <is>
          <t>Sí</t>
        </is>
      </c>
      <c r="O145" s="6">
        <f>IF(K145="","",IF(N145="Sí",ROUND(K145/1.18,2),K145))</f>
        <v/>
      </c>
      <c r="P145" s="3" t="inlineStr">
        <is>
          <t>2026-09-09</t>
        </is>
      </c>
      <c r="Q145" s="4" t="inlineStr">
        <is>
          <t>InnovaCentro (La Innovación)</t>
        </is>
      </c>
      <c r="AB145" s="7" t="n">
        <v>50</v>
      </c>
      <c r="AE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1/4 galón</t>
        </is>
      </c>
      <c r="E146" s="4" t="inlineStr"/>
      <c r="F146" s="3" t="inlineStr">
        <is>
          <t>unidad</t>
        </is>
      </c>
      <c r="G146" s="3" t="inlineStr">
        <is>
          <t>Pisos</t>
        </is>
      </c>
      <c r="H146" s="3" t="inlineStr">
        <is>
          <t>estandar</t>
        </is>
      </c>
      <c r="I146" s="3" t="inlineStr">
        <is>
          <t>importado</t>
        </is>
      </c>
      <c r="J146" s="5" t="n">
        <v>1</v>
      </c>
      <c r="K146" s="6" t="n">
        <v>625</v>
      </c>
      <c r="L146" s="6" t="n">
        <v>625</v>
      </c>
      <c r="M146" s="6" t="n">
        <v>625</v>
      </c>
      <c r="N146" s="3" t="inlineStr">
        <is>
          <t>Sí</t>
        </is>
      </c>
      <c r="O146" s="6">
        <f>IF(K146="","",IF(N146="Sí",ROUND(K146/1.18,2),K146))</f>
        <v/>
      </c>
      <c r="P146" s="3" t="inlineStr">
        <is>
          <t>2026-09-09</t>
        </is>
      </c>
      <c r="Q146" s="4" t="inlineStr">
        <is>
          <t>InnovaCentro (La Innovación)</t>
        </is>
      </c>
      <c r="AA146" s="7" t="n">
        <v>0.25</v>
      </c>
      <c r="AE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 galón</t>
        </is>
      </c>
      <c r="E147" s="4" t="inlineStr"/>
      <c r="F147" s="3" t="inlineStr">
        <is>
          <t>unidad</t>
        </is>
      </c>
      <c r="G147" s="3" t="inlineStr">
        <is>
          <t>Pisos</t>
        </is>
      </c>
      <c r="H147" s="3" t="inlineStr">
        <is>
          <t>estandar</t>
        </is>
      </c>
      <c r="I147" s="3" t="inlineStr">
        <is>
          <t>importado</t>
        </is>
      </c>
      <c r="J147" s="5" t="n">
        <v>1</v>
      </c>
      <c r="K147" s="6" t="n">
        <v>1845</v>
      </c>
      <c r="L147" s="6" t="n">
        <v>1845</v>
      </c>
      <c r="M147" s="6" t="n">
        <v>1845</v>
      </c>
      <c r="N147" s="3" t="inlineStr">
        <is>
          <t>Sí</t>
        </is>
      </c>
      <c r="O147" s="6">
        <f>IF(K147="","",IF(N147="Sí",ROUND(K147/1.18,2),K147))</f>
        <v/>
      </c>
      <c r="P147" s="3" t="inlineStr">
        <is>
          <t>2026-09-09</t>
        </is>
      </c>
      <c r="Q147" s="4" t="inlineStr">
        <is>
          <t>InnovaCentro (La Innovación)</t>
        </is>
      </c>
      <c r="AA147" s="7" t="n">
        <v>1</v>
      </c>
      <c r="AE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10 lb</t>
        </is>
      </c>
      <c r="E148" s="4" t="inlineStr"/>
      <c r="F148" s="3" t="inlineStr">
        <is>
          <t>unidad</t>
        </is>
      </c>
      <c r="G148" s="3" t="inlineStr">
        <is>
          <t>Pisos</t>
        </is>
      </c>
      <c r="H148" s="3" t="inlineStr">
        <is>
          <t>estandar</t>
        </is>
      </c>
      <c r="I148" s="3" t="inlineStr">
        <is>
          <t>importado</t>
        </is>
      </c>
      <c r="J148" s="5" t="n">
        <v>1</v>
      </c>
      <c r="K148" s="6" t="n">
        <v>569.5</v>
      </c>
      <c r="L148" s="6" t="n">
        <v>437.75</v>
      </c>
      <c r="M148" s="6" t="n">
        <v>610.3</v>
      </c>
      <c r="N148" s="3" t="inlineStr">
        <is>
          <t>Sí</t>
        </is>
      </c>
      <c r="O148" s="6">
        <f>IF(K148="","",IF(N148="Sí",ROUND(K148/1.18,2),K148))</f>
        <v/>
      </c>
      <c r="P148" s="3" t="inlineStr">
        <is>
          <t>2026-09-09</t>
        </is>
      </c>
      <c r="Q148" s="4" t="inlineStr">
        <is>
          <t>InnovaCentro (La Innovación)</t>
        </is>
      </c>
      <c r="AB148" s="7" t="n">
        <v>10</v>
      </c>
      <c r="AE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50 lb</t>
        </is>
      </c>
      <c r="E149" s="4" t="inlineStr"/>
      <c r="F149" s="3" t="inlineStr">
        <is>
          <t>unidad</t>
        </is>
      </c>
      <c r="G149" s="3" t="inlineStr">
        <is>
          <t>Pisos</t>
        </is>
      </c>
      <c r="H149" s="3" t="inlineStr">
        <is>
          <t>estandar</t>
        </is>
      </c>
      <c r="I149" s="3" t="inlineStr">
        <is>
          <t>importado</t>
        </is>
      </c>
      <c r="J149" s="5" t="n">
        <v>1</v>
      </c>
      <c r="K149" s="6" t="n">
        <v>330.5</v>
      </c>
      <c r="L149" s="6" t="n">
        <v>325</v>
      </c>
      <c r="M149" s="6" t="n">
        <v>336</v>
      </c>
      <c r="N149" s="3" t="inlineStr">
        <is>
          <t>Sí</t>
        </is>
      </c>
      <c r="O149" s="6">
        <f>IF(K149="","",IF(N149="Sí",ROUND(K149/1.18,2),K149))</f>
        <v/>
      </c>
      <c r="P149" s="3" t="inlineStr">
        <is>
          <t>2026-09-09</t>
        </is>
      </c>
      <c r="Q149" s="4" t="inlineStr">
        <is>
          <t>InnovaCentro (La Innovación)</t>
        </is>
      </c>
      <c r="AB149" s="7" t="n">
        <v>50</v>
      </c>
      <c r="AE149" s="7" t="inlineStr">
        <is>
          <t>para cerámica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10 lb</t>
        </is>
      </c>
      <c r="E150" s="4" t="inlineStr"/>
      <c r="F150" s="3" t="inlineStr">
        <is>
          <t>unidad</t>
        </is>
      </c>
      <c r="G150" s="3" t="inlineStr">
        <is>
          <t>Terminación de superficies</t>
        </is>
      </c>
      <c r="H150" s="3" t="inlineStr">
        <is>
          <t>estandar</t>
        </is>
      </c>
      <c r="I150" s="3" t="inlineStr">
        <is>
          <t>importado</t>
        </is>
      </c>
      <c r="J150" s="5" t="n">
        <v>1</v>
      </c>
      <c r="K150" s="6" t="n">
        <v>167</v>
      </c>
      <c r="L150" s="6" t="n">
        <v>167</v>
      </c>
      <c r="M150" s="6" t="n">
        <v>167</v>
      </c>
      <c r="N150" s="3" t="inlineStr">
        <is>
          <t>Sí</t>
        </is>
      </c>
      <c r="O150" s="6">
        <f>IF(K150="","",IF(N150="Sí",ROUND(K150/1.18,2),K150))</f>
        <v/>
      </c>
      <c r="P150" s="3" t="inlineStr">
        <is>
          <t>2026-09-09</t>
        </is>
      </c>
      <c r="Q150" s="4" t="inlineStr">
        <is>
          <t>InnovaCentro (La Innovación)</t>
        </is>
      </c>
      <c r="AB150" s="7" t="n">
        <v>10</v>
      </c>
      <c r="AE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Yeso en polvo blanco, 2 lb</t>
        </is>
      </c>
      <c r="E151" s="4" t="inlineStr"/>
      <c r="F151" s="3" t="inlineStr">
        <is>
          <t>unidad</t>
        </is>
      </c>
      <c r="G151" s="3" t="inlineStr">
        <is>
          <t>Terminación de superficies</t>
        </is>
      </c>
      <c r="H151" s="3" t="inlineStr">
        <is>
          <t>estandar</t>
        </is>
      </c>
      <c r="I151" s="3" t="inlineStr">
        <is>
          <t>importado</t>
        </is>
      </c>
      <c r="J151" s="5" t="n">
        <v>3</v>
      </c>
      <c r="K151" s="6" t="n">
        <v>30</v>
      </c>
      <c r="L151" s="6" t="n">
        <v>28</v>
      </c>
      <c r="M151" s="6" t="n">
        <v>45</v>
      </c>
      <c r="N151" s="3" t="inlineStr">
        <is>
          <t>Sí</t>
        </is>
      </c>
      <c r="O151" s="6">
        <f>IF(K151="","",IF(N151="Sí",ROUND(K151/1.18,2),K151))</f>
        <v/>
      </c>
      <c r="P151" s="3" t="inlineStr">
        <is>
          <t>2026-09-09</t>
        </is>
      </c>
      <c r="Q151" s="4" t="inlineStr">
        <is>
          <t>Ferretería Cima · InnovaCentro (La Innovación) · Max Ferretería</t>
        </is>
      </c>
      <c r="AB151" s="7" t="n">
        <v>2</v>
      </c>
      <c r="AE151" s="7" t="inlineStr">
        <is>
          <t>blanco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5 libras</t>
        </is>
      </c>
      <c r="E152" s="4" t="inlineStr"/>
      <c r="F152" s="3" t="inlineStr">
        <is>
          <t>funda</t>
        </is>
      </c>
      <c r="G152" s="3" t="inlineStr">
        <is>
          <t>Terminación de superficies</t>
        </is>
      </c>
      <c r="H152" s="3" t="inlineStr">
        <is>
          <t>estandar</t>
        </is>
      </c>
      <c r="I152" s="3" t="inlineStr">
        <is>
          <t>nacional</t>
        </is>
      </c>
      <c r="J152" s="5" t="n">
        <v>2</v>
      </c>
      <c r="K152" s="6" t="n">
        <v>54.68</v>
      </c>
      <c r="L152" s="6" t="n">
        <v>34.36</v>
      </c>
      <c r="M152" s="6" t="n">
        <v>75</v>
      </c>
      <c r="N152" s="3" t="inlineStr">
        <is>
          <t>Sí</t>
        </is>
      </c>
      <c r="O152" s="6">
        <f>IF(K152="","",IF(N152="Sí",ROUND(K152/1.18,2),K152))</f>
        <v/>
      </c>
      <c r="P152" s="3" t="inlineStr">
        <is>
          <t>2026-09-09</t>
        </is>
      </c>
      <c r="Q152" s="4" t="inlineStr">
        <is>
          <t>Ferretería Cima · Ferretería Ochoa (8A)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gris, funda de 10 libras</t>
        </is>
      </c>
      <c r="E153" s="4" t="inlineStr"/>
      <c r="F153" s="3" t="inlineStr">
        <is>
          <t>funda</t>
        </is>
      </c>
      <c r="G153" s="3" t="inlineStr">
        <is>
          <t>Terminación de superficies</t>
        </is>
      </c>
      <c r="H153" s="3" t="inlineStr">
        <is>
          <t>estandar</t>
        </is>
      </c>
      <c r="I153" s="3" t="inlineStr">
        <is>
          <t>nacional</t>
        </is>
      </c>
      <c r="J153" s="5" t="n">
        <v>2</v>
      </c>
      <c r="K153" s="6" t="n">
        <v>119.48</v>
      </c>
      <c r="L153" s="6" t="n">
        <v>65.95999999999999</v>
      </c>
      <c r="M153" s="6" t="n">
        <v>173</v>
      </c>
      <c r="N153" s="3" t="inlineStr">
        <is>
          <t>Sí</t>
        </is>
      </c>
      <c r="O153" s="6">
        <f>IF(K153="","",IF(N153="Sí",ROUND(K153/1.18,2),K153))</f>
        <v/>
      </c>
      <c r="P153" s="3" t="inlineStr">
        <is>
          <t>2026-09-09</t>
        </is>
      </c>
      <c r="Q153" s="4" t="inlineStr">
        <is>
          <t>Ferretería Ochoa (8A) · InnovaCentro (La Innovación)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2 libras</t>
        </is>
      </c>
      <c r="E154" s="4" t="inlineStr"/>
      <c r="F154" s="3" t="inlineStr">
        <is>
          <t>funda</t>
        </is>
      </c>
      <c r="G154" s="3" t="inlineStr">
        <is>
          <t>Terminación de superficies</t>
        </is>
      </c>
      <c r="H154" s="3" t="inlineStr">
        <is>
          <t>estandar</t>
        </is>
      </c>
      <c r="I154" s="3" t="inlineStr">
        <is>
          <t>importado</t>
        </is>
      </c>
      <c r="J154" s="5" t="n">
        <v>4</v>
      </c>
      <c r="K154" s="6" t="n">
        <v>57</v>
      </c>
      <c r="L154" s="6" t="n">
        <v>49.97</v>
      </c>
      <c r="M154" s="6" t="n">
        <v>75</v>
      </c>
      <c r="N154" s="3" t="inlineStr">
        <is>
          <t>Sí</t>
        </is>
      </c>
      <c r="O154" s="6">
        <f>IF(K154="","",IF(N154="Sí",ROUND(K154/1.18,2),K154))</f>
        <v/>
      </c>
      <c r="P154" s="3" t="inlineStr">
        <is>
          <t>2026-09-09</t>
        </is>
      </c>
      <c r="Q154" s="4" t="inlineStr">
        <is>
          <t>Ferretería Cima · Ferretería Ochoa (8A) · InnovaCentro (La Innovación) · Max Ferretería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5 libras</t>
        </is>
      </c>
      <c r="E155" s="4" t="inlineStr"/>
      <c r="F155" s="3" t="inlineStr">
        <is>
          <t>funda</t>
        </is>
      </c>
      <c r="G155" s="3" t="inlineStr">
        <is>
          <t>Terminación de superficies</t>
        </is>
      </c>
      <c r="H155" s="3" t="inlineStr">
        <is>
          <t>estandar</t>
        </is>
      </c>
      <c r="I155" s="3" t="inlineStr">
        <is>
          <t>importado</t>
        </is>
      </c>
      <c r="J155" s="5" t="n">
        <v>4</v>
      </c>
      <c r="K155" s="6" t="n">
        <v>138.5</v>
      </c>
      <c r="L155" s="6" t="n">
        <v>109.93</v>
      </c>
      <c r="M155" s="6" t="n">
        <v>175</v>
      </c>
      <c r="N155" s="3" t="inlineStr">
        <is>
          <t>Sí</t>
        </is>
      </c>
      <c r="O155" s="6">
        <f>IF(K155="","",IF(N155="Sí",ROUND(K155/1.18,2),K155))</f>
        <v/>
      </c>
      <c r="P155" s="3" t="inlineStr">
        <is>
          <t>2026-09-09</t>
        </is>
      </c>
      <c r="Q155" s="4" t="inlineStr">
        <is>
          <t>Ferretería Cima · Ferretería Ochoa (8A) · InnovaCentro (La Innovación) · Max Ferretería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10 libras</t>
        </is>
      </c>
      <c r="E156" s="4" t="inlineStr"/>
      <c r="F156" s="3" t="inlineStr">
        <is>
          <t>funda</t>
        </is>
      </c>
      <c r="G156" s="3" t="inlineStr">
        <is>
          <t>Terminación de superficies</t>
        </is>
      </c>
      <c r="H156" s="3" t="inlineStr">
        <is>
          <t>estandar</t>
        </is>
      </c>
      <c r="I156" s="3" t="inlineStr">
        <is>
          <t>importado</t>
        </is>
      </c>
      <c r="J156" s="5" t="n">
        <v>1</v>
      </c>
      <c r="K156" s="6" t="n">
        <v>159.1</v>
      </c>
      <c r="L156" s="6" t="n">
        <v>159.1</v>
      </c>
      <c r="M156" s="6" t="n">
        <v>159.1</v>
      </c>
      <c r="N156" s="3" t="inlineStr">
        <is>
          <t>Sí</t>
        </is>
      </c>
      <c r="O156" s="6">
        <f>IF(K156="","",IF(N156="Sí",ROUND(K156/1.18,2),K156))</f>
        <v/>
      </c>
      <c r="P156" s="3" t="inlineStr">
        <is>
          <t>2026-09-09</t>
        </is>
      </c>
      <c r="Q156" s="4" t="inlineStr">
        <is>
          <t>Ferretería Ochoa (8A)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por libra</t>
        </is>
      </c>
      <c r="E157" s="4" t="inlineStr"/>
      <c r="F157" s="3" t="inlineStr">
        <is>
          <t>lb</t>
        </is>
      </c>
      <c r="G157" s="3" t="inlineStr">
        <is>
          <t>Terminación de superficies</t>
        </is>
      </c>
      <c r="H157" s="3" t="inlineStr">
        <is>
          <t>estandar</t>
        </is>
      </c>
      <c r="I157" s="3" t="inlineStr">
        <is>
          <t>nacional</t>
        </is>
      </c>
      <c r="J157" s="5" t="n">
        <v>1</v>
      </c>
      <c r="K157" s="6" t="n">
        <v>4.8</v>
      </c>
      <c r="L157" s="6" t="n">
        <v>4.8</v>
      </c>
      <c r="M157" s="6" t="n">
        <v>4.8</v>
      </c>
      <c r="N157" s="3" t="inlineStr">
        <is>
          <t>Sí</t>
        </is>
      </c>
      <c r="O157" s="6">
        <f>IF(K157="","",IF(N157="Sí",ROUND(K157/1.18,2),K157))</f>
        <v/>
      </c>
      <c r="P157" s="3" t="inlineStr">
        <is>
          <t>2026-09-09</t>
        </is>
      </c>
      <c r="Q157" s="4" t="inlineStr">
        <is>
          <t>Ferretería Ochoa (8A)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polvo, funda de 5 libras</t>
        </is>
      </c>
      <c r="E158" s="4" t="inlineStr"/>
      <c r="F158" s="3" t="inlineStr">
        <is>
          <t>funda</t>
        </is>
      </c>
      <c r="G158" s="3" t="inlineStr">
        <is>
          <t>Terminación de superficies</t>
        </is>
      </c>
      <c r="H158" s="3" t="inlineStr">
        <is>
          <t>estandar</t>
        </is>
      </c>
      <c r="I158" s="3" t="inlineStr">
        <is>
          <t>nacional</t>
        </is>
      </c>
      <c r="J158" s="5" t="n">
        <v>1</v>
      </c>
      <c r="K158" s="6" t="n">
        <v>37.93</v>
      </c>
      <c r="L158" s="6" t="n">
        <v>37.93</v>
      </c>
      <c r="M158" s="6" t="n">
        <v>37.93</v>
      </c>
      <c r="N158" s="3" t="inlineStr">
        <is>
          <t>Sí</t>
        </is>
      </c>
      <c r="O158" s="6">
        <f>IF(K158="","",IF(N158="Sí",ROUND(K158/1.18,2),K158))</f>
        <v/>
      </c>
      <c r="P158" s="3" t="inlineStr">
        <is>
          <t>2026-09-09</t>
        </is>
      </c>
      <c r="Q158" s="4" t="inlineStr">
        <is>
          <t>Ferretería Ochoa (8A)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 Paloma, funda de 65 libras</t>
        </is>
      </c>
      <c r="E159" s="4" t="inlineStr"/>
      <c r="F159" s="3" t="inlineStr">
        <is>
          <t>funda</t>
        </is>
      </c>
      <c r="G159" s="3" t="inlineStr">
        <is>
          <t>Terminación de superficies</t>
        </is>
      </c>
      <c r="H159" s="3" t="inlineStr">
        <is>
          <t>estandar</t>
        </is>
      </c>
      <c r="I159" s="3" t="inlineStr">
        <is>
          <t>nacional</t>
        </is>
      </c>
      <c r="J159" s="5" t="n">
        <v>1</v>
      </c>
      <c r="K159" s="6" t="n">
        <v>373.64</v>
      </c>
      <c r="L159" s="6" t="n">
        <v>373.64</v>
      </c>
      <c r="M159" s="6" t="n">
        <v>373.64</v>
      </c>
      <c r="N159" s="3" t="inlineStr">
        <is>
          <t>Sí</t>
        </is>
      </c>
      <c r="O159" s="6">
        <f>IF(K159="","",IF(N159="Sí",ROUND(K159/1.18,2),K159))</f>
        <v/>
      </c>
      <c r="P159" s="3" t="inlineStr">
        <is>
          <t>2026-09-09</t>
        </is>
      </c>
      <c r="Q159" s="4" t="inlineStr">
        <is>
          <t>Ferretería Ochoa (8A)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Fibra de acero para hormigón, funda de 5.3 kg</t>
        </is>
      </c>
      <c r="E160" s="4" t="inlineStr"/>
      <c r="F160" s="3" t="inlineStr">
        <is>
          <t>funda</t>
        </is>
      </c>
      <c r="G160" s="3" t="inlineStr">
        <is>
          <t>Estructura</t>
        </is>
      </c>
      <c r="H160" s="3" t="inlineStr">
        <is>
          <t>estandar</t>
        </is>
      </c>
      <c r="I160" s="3" t="inlineStr">
        <is>
          <t>importado</t>
        </is>
      </c>
      <c r="J160" s="5" t="n">
        <v>1</v>
      </c>
      <c r="K160" s="6" t="n">
        <v>1295.68</v>
      </c>
      <c r="L160" s="6" t="n">
        <v>1295.68</v>
      </c>
      <c r="M160" s="6" t="n">
        <v>1295.68</v>
      </c>
      <c r="N160" s="3" t="inlineStr">
        <is>
          <t>Sí</t>
        </is>
      </c>
      <c r="O160" s="6">
        <f>IF(K160="","",IF(N160="Sí",ROUND(K160/1.18,2),K160))</f>
        <v/>
      </c>
      <c r="P160" s="3" t="inlineStr">
        <is>
          <t>2026-09-09</t>
        </is>
      </c>
      <c r="Q160" s="4" t="inlineStr">
        <is>
          <t>Ferretería Ochoa (8A)</t>
        </is>
      </c>
    </row>
    <row r="161">
      <c r="A161" s="3" t="inlineStr">
        <is>
          <t>MAT-02-076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Macrofibra sintética para hormigón, funda de 1.5 kg</t>
        </is>
      </c>
      <c r="E161" s="4" t="inlineStr"/>
      <c r="F161" s="3" t="inlineStr">
        <is>
          <t>funda</t>
        </is>
      </c>
      <c r="G161" s="3" t="inlineStr">
        <is>
          <t>Estructura</t>
        </is>
      </c>
      <c r="H161" s="3" t="inlineStr">
        <is>
          <t>estandar</t>
        </is>
      </c>
      <c r="I161" s="3" t="inlineStr">
        <is>
          <t>importado</t>
        </is>
      </c>
      <c r="J161" s="5" t="n">
        <v>1</v>
      </c>
      <c r="K161" s="6" t="n">
        <v>807.79</v>
      </c>
      <c r="L161" s="6" t="n">
        <v>807.79</v>
      </c>
      <c r="M161" s="6" t="n">
        <v>807.79</v>
      </c>
      <c r="N161" s="3" t="inlineStr">
        <is>
          <t>Sí</t>
        </is>
      </c>
      <c r="O161" s="6">
        <f>IF(K161="","",IF(N161="Sí",ROUND(K161/1.18,2),K161))</f>
        <v/>
      </c>
      <c r="P161" s="3" t="inlineStr">
        <is>
          <t>2026-09-09</t>
        </is>
      </c>
      <c r="Q161" s="4" t="inlineStr">
        <is>
          <t>Ferretería Ochoa (8A)</t>
        </is>
      </c>
    </row>
    <row r="162">
      <c r="A162" s="3" t="inlineStr">
        <is>
          <t>MAT-04-027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 1/4" x 40 pies</t>
        </is>
      </c>
      <c r="E162" s="4" t="inlineStr">
        <is>
          <t>Grado 60 · ASTM A615</t>
        </is>
      </c>
      <c r="F162" s="3" t="inlineStr">
        <is>
          <t>unidad</t>
        </is>
      </c>
      <c r="G162" s="3" t="inlineStr">
        <is>
          <t>Estructura</t>
        </is>
      </c>
      <c r="H162" s="3" t="inlineStr">
        <is>
          <t>estandar</t>
        </is>
      </c>
      <c r="I162" s="3" t="inlineStr">
        <is>
          <t>nacional</t>
        </is>
      </c>
      <c r="J162" s="5" t="n">
        <v>1</v>
      </c>
      <c r="K162" s="6" t="n">
        <v>5692.31</v>
      </c>
      <c r="L162" s="6" t="n">
        <v>5692.31</v>
      </c>
      <c r="M162" s="6" t="n">
        <v>5692.31</v>
      </c>
      <c r="N162" s="3" t="inlineStr">
        <is>
          <t>Sí</t>
        </is>
      </c>
      <c r="O162" s="6">
        <f>IF(K162="","",IF(N162="Sí",ROUND(K162/1.18,2),K162))</f>
        <v/>
      </c>
      <c r="P162" s="3" t="inlineStr">
        <is>
          <t>2026-09-10</t>
        </is>
      </c>
      <c r="Q162" s="4" t="inlineStr">
        <is>
          <t>Bellón</t>
        </is>
      </c>
      <c r="Z162" s="7" t="n">
        <v>40</v>
      </c>
      <c r="AF162" s="4" t="inlineStr">
        <is>
          <t>diametro: 1 1/4" · grado: 60</t>
        </is>
      </c>
    </row>
    <row r="163">
      <c r="A163" s="3" t="inlineStr">
        <is>
          <t>MAT-04-028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25 pies</t>
        </is>
      </c>
      <c r="E163" s="4" t="inlineStr">
        <is>
          <t>Grado 60 · ASTM A615 · 16.70 lb por unidad</t>
        </is>
      </c>
      <c r="F163" s="3" t="inlineStr">
        <is>
          <t>unidad</t>
        </is>
      </c>
      <c r="G163" s="3" t="inlineStr">
        <is>
          <t>Estructura</t>
        </is>
      </c>
      <c r="H163" s="3" t="inlineStr">
        <is>
          <t>estandar</t>
        </is>
      </c>
      <c r="I163" s="3" t="inlineStr">
        <is>
          <t>nacional</t>
        </is>
      </c>
      <c r="J163" s="5" t="n">
        <v>1</v>
      </c>
      <c r="K163" s="6" t="n">
        <v>556</v>
      </c>
      <c r="L163" s="6" t="n">
        <v>556</v>
      </c>
      <c r="M163" s="6" t="n">
        <v>556</v>
      </c>
      <c r="N163" s="3" t="inlineStr">
        <is>
          <t>Sí</t>
        </is>
      </c>
      <c r="O163" s="6">
        <f>IF(K163="","",IF(N163="Sí",ROUND(K163/1.18,2),K163))</f>
        <v/>
      </c>
      <c r="P163" s="3" t="inlineStr">
        <is>
          <t>2026-09-10</t>
        </is>
      </c>
      <c r="Q163" s="4" t="inlineStr">
        <is>
          <t>Bellón</t>
        </is>
      </c>
      <c r="Z163" s="7" t="n">
        <v>25</v>
      </c>
      <c r="AB163" s="7" t="inlineStr">
        <is>
          <t>16.70</t>
        </is>
      </c>
      <c r="AF163" s="4" t="inlineStr">
        <is>
          <t>diametro: 1/2" · grado: 60</t>
        </is>
      </c>
    </row>
    <row r="164">
      <c r="A164" s="3" t="inlineStr">
        <is>
          <t>MAT-04-029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30 pies</t>
        </is>
      </c>
      <c r="E164" s="4" t="inlineStr">
        <is>
          <t>Grado 60 · ASTM A615 · 20.04 lb por unidad</t>
        </is>
      </c>
      <c r="F164" s="3" t="inlineStr">
        <is>
          <t>unidad</t>
        </is>
      </c>
      <c r="G164" s="3" t="inlineStr">
        <is>
          <t>Estructura</t>
        </is>
      </c>
      <c r="H164" s="3" t="inlineStr">
        <is>
          <t>estandar</t>
        </is>
      </c>
      <c r="I164" s="3" t="inlineStr">
        <is>
          <t>nacional</t>
        </is>
      </c>
      <c r="J164" s="5" t="n">
        <v>1</v>
      </c>
      <c r="K164" s="6" t="n">
        <v>673</v>
      </c>
      <c r="L164" s="6" t="n">
        <v>673</v>
      </c>
      <c r="M164" s="6" t="n">
        <v>673</v>
      </c>
      <c r="N164" s="3" t="inlineStr">
        <is>
          <t>Sí</t>
        </is>
      </c>
      <c r="O164" s="6">
        <f>IF(K164="","",IF(N164="Sí",ROUND(K164/1.18,2),K164))</f>
        <v/>
      </c>
      <c r="P164" s="3" t="inlineStr">
        <is>
          <t>2026-09-10</t>
        </is>
      </c>
      <c r="Q164" s="4" t="inlineStr">
        <is>
          <t>Bellón</t>
        </is>
      </c>
      <c r="Z164" s="7" t="n">
        <v>30</v>
      </c>
      <c r="AB164" s="7" t="inlineStr">
        <is>
          <t>20.04</t>
        </is>
      </c>
      <c r="AF164" s="4" t="inlineStr">
        <is>
          <t>diametro: 1/2" · grado: 60</t>
        </is>
      </c>
    </row>
    <row r="165">
      <c r="A165" s="3" t="inlineStr">
        <is>
          <t>MAT-04-030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35 pies</t>
        </is>
      </c>
      <c r="E165" s="4" t="inlineStr">
        <is>
          <t>Grado 60 · ASTM A615 · 23.37 lb por unidad</t>
        </is>
      </c>
      <c r="F165" s="3" t="inlineStr">
        <is>
          <t>unidad</t>
        </is>
      </c>
      <c r="G165" s="3" t="inlineStr">
        <is>
          <t>Estructura</t>
        </is>
      </c>
      <c r="H165" s="3" t="inlineStr">
        <is>
          <t>estandar</t>
        </is>
      </c>
      <c r="I165" s="3" t="inlineStr">
        <is>
          <t>nacional</t>
        </is>
      </c>
      <c r="J165" s="5" t="n">
        <v>1</v>
      </c>
      <c r="K165" s="6" t="n">
        <v>778.95</v>
      </c>
      <c r="L165" s="6" t="n">
        <v>778.95</v>
      </c>
      <c r="M165" s="6" t="n">
        <v>778.95</v>
      </c>
      <c r="N165" s="3" t="inlineStr">
        <is>
          <t>Sí</t>
        </is>
      </c>
      <c r="O165" s="6">
        <f>IF(K165="","",IF(N165="Sí",ROUND(K165/1.18,2),K165))</f>
        <v/>
      </c>
      <c r="P165" s="3" t="inlineStr">
        <is>
          <t>2026-09-10</t>
        </is>
      </c>
      <c r="Q165" s="4" t="inlineStr">
        <is>
          <t>Bellón</t>
        </is>
      </c>
      <c r="Z165" s="7" t="n">
        <v>35</v>
      </c>
      <c r="AB165" s="7" t="inlineStr">
        <is>
          <t>23.37</t>
        </is>
      </c>
      <c r="AF165" s="4" t="inlineStr">
        <is>
          <t>diametro: 1/2" · grado: 60</t>
        </is>
      </c>
    </row>
    <row r="166">
      <c r="A166" s="3" t="inlineStr">
        <is>
          <t>MAT-04-031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40 pies</t>
        </is>
      </c>
      <c r="E166" s="4" t="inlineStr">
        <is>
          <t>Grado 60 · ASTM A615</t>
        </is>
      </c>
      <c r="F166" s="3" t="inlineStr">
        <is>
          <t>unidad</t>
        </is>
      </c>
      <c r="G166" s="3" t="inlineStr">
        <is>
          <t>Estructura</t>
        </is>
      </c>
      <c r="H166" s="3" t="inlineStr">
        <is>
          <t>estandar</t>
        </is>
      </c>
      <c r="I166" s="3" t="inlineStr">
        <is>
          <t>nacional</t>
        </is>
      </c>
      <c r="J166" s="5" t="n">
        <v>1</v>
      </c>
      <c r="K166" s="6" t="n">
        <v>892</v>
      </c>
      <c r="L166" s="6" t="n">
        <v>892</v>
      </c>
      <c r="M166" s="6" t="n">
        <v>892</v>
      </c>
      <c r="N166" s="3" t="inlineStr">
        <is>
          <t>Sí</t>
        </is>
      </c>
      <c r="O166" s="6">
        <f>IF(K166="","",IF(N166="Sí",ROUND(K166/1.18,2),K166))</f>
        <v/>
      </c>
      <c r="P166" s="3" t="inlineStr">
        <is>
          <t>2026-09-10</t>
        </is>
      </c>
      <c r="Q166" s="4" t="inlineStr">
        <is>
          <t>Bellón</t>
        </is>
      </c>
      <c r="Z166" s="7" t="n">
        <v>40</v>
      </c>
      <c r="AF166" s="4" t="inlineStr">
        <is>
          <t>diametro: 1/2" · grado: 60</t>
        </is>
      </c>
    </row>
    <row r="167">
      <c r="A167" s="3" t="inlineStr">
        <is>
          <t>MAT-04-032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25 pies</t>
        </is>
      </c>
      <c r="E167" s="4" t="inlineStr">
        <is>
          <t>Grado 60 · ASTM A615 · 66.75 lb por unidad</t>
        </is>
      </c>
      <c r="F167" s="3" t="inlineStr">
        <is>
          <t>unidad</t>
        </is>
      </c>
      <c r="G167" s="3" t="inlineStr">
        <is>
          <t>Estructura</t>
        </is>
      </c>
      <c r="H167" s="3" t="inlineStr">
        <is>
          <t>estandar</t>
        </is>
      </c>
      <c r="I167" s="3" t="inlineStr">
        <is>
          <t>nacional</t>
        </is>
      </c>
      <c r="J167" s="5" t="n">
        <v>1</v>
      </c>
      <c r="K167" s="6" t="n">
        <v>2176.47</v>
      </c>
      <c r="L167" s="6" t="n">
        <v>2176.47</v>
      </c>
      <c r="M167" s="6" t="n">
        <v>2176.47</v>
      </c>
      <c r="N167" s="3" t="inlineStr">
        <is>
          <t>Sí</t>
        </is>
      </c>
      <c r="O167" s="6">
        <f>IF(K167="","",IF(N167="Sí",ROUND(K167/1.18,2),K167))</f>
        <v/>
      </c>
      <c r="P167" s="3" t="inlineStr">
        <is>
          <t>2026-09-10</t>
        </is>
      </c>
      <c r="Q167" s="4" t="inlineStr">
        <is>
          <t>Bellón</t>
        </is>
      </c>
      <c r="Z167" s="7" t="n">
        <v>25</v>
      </c>
      <c r="AB167" s="7" t="inlineStr">
        <is>
          <t>66.75</t>
        </is>
      </c>
      <c r="AF167" s="4" t="inlineStr">
        <is>
          <t>diametro: 1" · grado: 60</t>
        </is>
      </c>
    </row>
    <row r="168">
      <c r="A168" s="3" t="inlineStr">
        <is>
          <t>MAT-04-033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30 pies</t>
        </is>
      </c>
      <c r="E168" s="4" t="inlineStr">
        <is>
          <t>Grado 60 · ASTM A615 · 80.10 lb por unidad</t>
        </is>
      </c>
      <c r="F168" s="3" t="inlineStr">
        <is>
          <t>unidad</t>
        </is>
      </c>
      <c r="G168" s="3" t="inlineStr">
        <is>
          <t>Estructura</t>
        </is>
      </c>
      <c r="H168" s="3" t="inlineStr">
        <is>
          <t>estandar</t>
        </is>
      </c>
      <c r="I168" s="3" t="inlineStr">
        <is>
          <t>nacional</t>
        </is>
      </c>
      <c r="J168" s="5" t="n">
        <v>1</v>
      </c>
      <c r="K168" s="6" t="n">
        <v>2642.86</v>
      </c>
      <c r="L168" s="6" t="n">
        <v>2642.86</v>
      </c>
      <c r="M168" s="6" t="n">
        <v>2642.86</v>
      </c>
      <c r="N168" s="3" t="inlineStr">
        <is>
          <t>Sí</t>
        </is>
      </c>
      <c r="O168" s="6">
        <f>IF(K168="","",IF(N168="Sí",ROUND(K168/1.18,2),K168))</f>
        <v/>
      </c>
      <c r="P168" s="3" t="inlineStr">
        <is>
          <t>2026-09-10</t>
        </is>
      </c>
      <c r="Q168" s="4" t="inlineStr">
        <is>
          <t>Bellón</t>
        </is>
      </c>
      <c r="Z168" s="7" t="n">
        <v>30</v>
      </c>
      <c r="AB168" s="7" t="inlineStr">
        <is>
          <t>80.10</t>
        </is>
      </c>
      <c r="AF168" s="4" t="inlineStr">
        <is>
          <t>diametro: 1" · grado: 60</t>
        </is>
      </c>
    </row>
    <row r="169">
      <c r="A169" s="3" t="inlineStr">
        <is>
          <t>MAT-04-034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35 pies</t>
        </is>
      </c>
      <c r="E169" s="4" t="inlineStr">
        <is>
          <t>Grado 60 · ASTM A615 · 93.46 lb por unidad</t>
        </is>
      </c>
      <c r="F169" s="3" t="inlineStr">
        <is>
          <t>unidad</t>
        </is>
      </c>
      <c r="G169" s="3" t="inlineStr">
        <is>
          <t>Estructura</t>
        </is>
      </c>
      <c r="H169" s="3" t="inlineStr">
        <is>
          <t>estandar</t>
        </is>
      </c>
      <c r="I169" s="3" t="inlineStr">
        <is>
          <t>nacional</t>
        </is>
      </c>
      <c r="J169" s="5" t="n">
        <v>1</v>
      </c>
      <c r="K169" s="6" t="n">
        <v>3083.33</v>
      </c>
      <c r="L169" s="6" t="n">
        <v>3083.33</v>
      </c>
      <c r="M169" s="6" t="n">
        <v>3083.33</v>
      </c>
      <c r="N169" s="3" t="inlineStr">
        <is>
          <t>Sí</t>
        </is>
      </c>
      <c r="O169" s="6">
        <f>IF(K169="","",IF(N169="Sí",ROUND(K169/1.18,2),K169))</f>
        <v/>
      </c>
      <c r="P169" s="3" t="inlineStr">
        <is>
          <t>2026-09-10</t>
        </is>
      </c>
      <c r="Q169" s="4" t="inlineStr">
        <is>
          <t>Bellón</t>
        </is>
      </c>
      <c r="Z169" s="7" t="n">
        <v>35</v>
      </c>
      <c r="AB169" s="7" t="inlineStr">
        <is>
          <t>93.46</t>
        </is>
      </c>
      <c r="AF169" s="4" t="inlineStr">
        <is>
          <t>diametro: 1" · grado: 60</t>
        </is>
      </c>
    </row>
    <row r="170">
      <c r="A170" s="3" t="inlineStr">
        <is>
          <t>MAT-04-035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40 pies</t>
        </is>
      </c>
      <c r="E170" s="4" t="inlineStr">
        <is>
          <t>Grado 60 · ASTM A615</t>
        </is>
      </c>
      <c r="F170" s="3" t="inlineStr">
        <is>
          <t>unidad</t>
        </is>
      </c>
      <c r="G170" s="3" t="inlineStr">
        <is>
          <t>Estructura</t>
        </is>
      </c>
      <c r="H170" s="3" t="inlineStr">
        <is>
          <t>estandar</t>
        </is>
      </c>
      <c r="I170" s="3" t="inlineStr">
        <is>
          <t>nacional</t>
        </is>
      </c>
      <c r="J170" s="5" t="n">
        <v>1</v>
      </c>
      <c r="K170" s="6" t="n">
        <v>3476</v>
      </c>
      <c r="L170" s="6" t="n">
        <v>3476</v>
      </c>
      <c r="M170" s="6" t="n">
        <v>3476</v>
      </c>
      <c r="N170" s="3" t="inlineStr">
        <is>
          <t>Sí</t>
        </is>
      </c>
      <c r="O170" s="6">
        <f>IF(K170="","",IF(N170="Sí",ROUND(K170/1.18,2),K170))</f>
        <v/>
      </c>
      <c r="P170" s="3" t="inlineStr">
        <is>
          <t>2026-09-10</t>
        </is>
      </c>
      <c r="Q170" s="4" t="inlineStr">
        <is>
          <t>Bellón</t>
        </is>
      </c>
      <c r="Z170" s="7" t="n">
        <v>40</v>
      </c>
      <c r="AF170" s="4" t="inlineStr">
        <is>
          <t>diametro: 1" · grado: 60</t>
        </is>
      </c>
    </row>
    <row r="171">
      <c r="A171" s="3" t="inlineStr">
        <is>
          <t>MAT-04-036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25 pies</t>
        </is>
      </c>
      <c r="E171" s="4" t="inlineStr">
        <is>
          <t>Grado 60 · ASTM A615 · 37.55 lb por unidad</t>
        </is>
      </c>
      <c r="F171" s="3" t="inlineStr">
        <is>
          <t>unidad</t>
        </is>
      </c>
      <c r="G171" s="3" t="inlineStr">
        <is>
          <t>Estructura</t>
        </is>
      </c>
      <c r="H171" s="3" t="inlineStr">
        <is>
          <t>estandar</t>
        </is>
      </c>
      <c r="I171" s="3" t="inlineStr">
        <is>
          <t>nacional</t>
        </is>
      </c>
      <c r="J171" s="5" t="n">
        <v>1</v>
      </c>
      <c r="K171" s="6" t="n">
        <v>1233</v>
      </c>
      <c r="L171" s="6" t="n">
        <v>1233</v>
      </c>
      <c r="M171" s="6" t="n">
        <v>1233</v>
      </c>
      <c r="N171" s="3" t="inlineStr">
        <is>
          <t>Sí</t>
        </is>
      </c>
      <c r="O171" s="6">
        <f>IF(K171="","",IF(N171="Sí",ROUND(K171/1.18,2),K171))</f>
        <v/>
      </c>
      <c r="P171" s="3" t="inlineStr">
        <is>
          <t>2026-09-10</t>
        </is>
      </c>
      <c r="Q171" s="4" t="inlineStr">
        <is>
          <t>Bellón</t>
        </is>
      </c>
      <c r="Z171" s="7" t="n">
        <v>25</v>
      </c>
      <c r="AB171" s="7" t="inlineStr">
        <is>
          <t>37.55</t>
        </is>
      </c>
      <c r="AF171" s="4" t="inlineStr">
        <is>
          <t>diametro: 3/4" · grado: 60</t>
        </is>
      </c>
    </row>
    <row r="172">
      <c r="A172" s="3" t="inlineStr">
        <is>
          <t>MAT-04-037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30 pies</t>
        </is>
      </c>
      <c r="E172" s="4" t="inlineStr">
        <is>
          <t>Grado 60 · ASTM A615 · 45.06 lb por unidad</t>
        </is>
      </c>
      <c r="F172" s="3" t="inlineStr">
        <is>
          <t>unidad</t>
        </is>
      </c>
      <c r="G172" s="3" t="inlineStr">
        <is>
          <t>Estructura</t>
        </is>
      </c>
      <c r="H172" s="3" t="inlineStr">
        <is>
          <t>estandar</t>
        </is>
      </c>
      <c r="I172" s="3" t="inlineStr">
        <is>
          <t>nacional</t>
        </is>
      </c>
      <c r="J172" s="5" t="n">
        <v>1</v>
      </c>
      <c r="K172" s="6" t="n">
        <v>1460</v>
      </c>
      <c r="L172" s="6" t="n">
        <v>1460</v>
      </c>
      <c r="M172" s="6" t="n">
        <v>1460</v>
      </c>
      <c r="N172" s="3" t="inlineStr">
        <is>
          <t>Sí</t>
        </is>
      </c>
      <c r="O172" s="6">
        <f>IF(K172="","",IF(N172="Sí",ROUND(K172/1.18,2),K172))</f>
        <v/>
      </c>
      <c r="P172" s="3" t="inlineStr">
        <is>
          <t>2026-09-10</t>
        </is>
      </c>
      <c r="Q172" s="4" t="inlineStr">
        <is>
          <t>Bellón</t>
        </is>
      </c>
      <c r="Z172" s="7" t="n">
        <v>30</v>
      </c>
      <c r="AB172" s="7" t="inlineStr">
        <is>
          <t>45.06</t>
        </is>
      </c>
      <c r="AF172" s="4" t="inlineStr">
        <is>
          <t>diametro: 3/4" · grado: 60</t>
        </is>
      </c>
    </row>
    <row r="173">
      <c r="A173" s="3" t="inlineStr">
        <is>
          <t>MAT-04-038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35 pies</t>
        </is>
      </c>
      <c r="E173" s="4" t="inlineStr">
        <is>
          <t>Grado 60 · ASTM A615 · 52.57 lb por unidad</t>
        </is>
      </c>
      <c r="F173" s="3" t="inlineStr">
        <is>
          <t>unidad</t>
        </is>
      </c>
      <c r="G173" s="3" t="inlineStr">
        <is>
          <t>Estructura</t>
        </is>
      </c>
      <c r="H173" s="3" t="inlineStr">
        <is>
          <t>estandar</t>
        </is>
      </c>
      <c r="I173" s="3" t="inlineStr">
        <is>
          <t>nacional</t>
        </is>
      </c>
      <c r="J173" s="5" t="n">
        <v>1</v>
      </c>
      <c r="K173" s="6" t="n">
        <v>1761.9</v>
      </c>
      <c r="L173" s="6" t="n">
        <v>1761.9</v>
      </c>
      <c r="M173" s="6" t="n">
        <v>1761.9</v>
      </c>
      <c r="N173" s="3" t="inlineStr">
        <is>
          <t>Sí</t>
        </is>
      </c>
      <c r="O173" s="6">
        <f>IF(K173="","",IF(N173="Sí",ROUND(K173/1.18,2),K173))</f>
        <v/>
      </c>
      <c r="P173" s="3" t="inlineStr">
        <is>
          <t>2026-09-10</t>
        </is>
      </c>
      <c r="Q173" s="4" t="inlineStr">
        <is>
          <t>Bellón</t>
        </is>
      </c>
      <c r="Z173" s="7" t="n">
        <v>35</v>
      </c>
      <c r="AB173" s="7" t="inlineStr">
        <is>
          <t>52.57</t>
        </is>
      </c>
      <c r="AF173" s="4" t="inlineStr">
        <is>
          <t>diametro: 3/4" · grado: 60</t>
        </is>
      </c>
    </row>
    <row r="174">
      <c r="A174" s="3" t="inlineStr">
        <is>
          <t>MAT-04-039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40 pies</t>
        </is>
      </c>
      <c r="E174" s="4" t="inlineStr">
        <is>
          <t>Grado 60 · ASTM A615</t>
        </is>
      </c>
      <c r="F174" s="3" t="inlineStr">
        <is>
          <t>unidad</t>
        </is>
      </c>
      <c r="G174" s="3" t="inlineStr">
        <is>
          <t>Estructura</t>
        </is>
      </c>
      <c r="H174" s="3" t="inlineStr">
        <is>
          <t>estandar</t>
        </is>
      </c>
      <c r="I174" s="3" t="inlineStr">
        <is>
          <t>nacional</t>
        </is>
      </c>
      <c r="J174" s="5" t="n">
        <v>1</v>
      </c>
      <c r="K174" s="6" t="n">
        <v>1973</v>
      </c>
      <c r="L174" s="6" t="n">
        <v>1973</v>
      </c>
      <c r="M174" s="6" t="n">
        <v>1973</v>
      </c>
      <c r="N174" s="3" t="inlineStr">
        <is>
          <t>Sí</t>
        </is>
      </c>
      <c r="O174" s="6">
        <f>IF(K174="","",IF(N174="Sí",ROUND(K174/1.18,2),K174))</f>
        <v/>
      </c>
      <c r="P174" s="3" t="inlineStr">
        <is>
          <t>2026-09-10</t>
        </is>
      </c>
      <c r="Q174" s="4" t="inlineStr">
        <is>
          <t>Bellón</t>
        </is>
      </c>
      <c r="Z174" s="7" t="n">
        <v>40</v>
      </c>
      <c r="AF174" s="4" t="inlineStr">
        <is>
          <t>diametro: 3/4" · grado: 60</t>
        </is>
      </c>
    </row>
    <row r="175">
      <c r="A175" s="3" t="inlineStr">
        <is>
          <t>MAT-04-040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25 pies</t>
        </is>
      </c>
      <c r="E175" s="4" t="inlineStr">
        <is>
          <t>Grado 60 · ASTM A615 · 9.40 lb por unidad</t>
        </is>
      </c>
      <c r="F175" s="3" t="inlineStr">
        <is>
          <t>unidad</t>
        </is>
      </c>
      <c r="G175" s="3" t="inlineStr">
        <is>
          <t>Estructura</t>
        </is>
      </c>
      <c r="H175" s="3" t="inlineStr">
        <is>
          <t>estandar</t>
        </is>
      </c>
      <c r="I175" s="3" t="inlineStr">
        <is>
          <t>nacional</t>
        </is>
      </c>
      <c r="J175" s="5" t="n">
        <v>1</v>
      </c>
      <c r="K175" s="6" t="n">
        <v>312.24</v>
      </c>
      <c r="L175" s="6" t="n">
        <v>312.24</v>
      </c>
      <c r="M175" s="6" t="n">
        <v>312.24</v>
      </c>
      <c r="N175" s="3" t="inlineStr">
        <is>
          <t>Sí</t>
        </is>
      </c>
      <c r="O175" s="6">
        <f>IF(K175="","",IF(N175="Sí",ROUND(K175/1.18,2),K175))</f>
        <v/>
      </c>
      <c r="P175" s="3" t="inlineStr">
        <is>
          <t>2026-09-10</t>
        </is>
      </c>
      <c r="Q175" s="4" t="inlineStr">
        <is>
          <t>Bellón</t>
        </is>
      </c>
      <c r="Z175" s="7" t="n">
        <v>25</v>
      </c>
      <c r="AB175" s="7" t="inlineStr">
        <is>
          <t>9.40</t>
        </is>
      </c>
      <c r="AF175" s="4" t="inlineStr">
        <is>
          <t>diametro: 3/8" · grado: 60</t>
        </is>
      </c>
    </row>
    <row r="176">
      <c r="A176" s="3" t="inlineStr">
        <is>
          <t>MAT-04-041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30 pies</t>
        </is>
      </c>
      <c r="E176" s="4" t="inlineStr">
        <is>
          <t>Grado 60 · ASTM A615 · 11.28 lb por unidad</t>
        </is>
      </c>
      <c r="F176" s="3" t="inlineStr">
        <is>
          <t>unidad</t>
        </is>
      </c>
      <c r="G176" s="3" t="inlineStr">
        <is>
          <t>Estructura</t>
        </is>
      </c>
      <c r="H176" s="3" t="inlineStr">
        <is>
          <t>estandar</t>
        </is>
      </c>
      <c r="I176" s="3" t="inlineStr">
        <is>
          <t>nacional</t>
        </is>
      </c>
      <c r="J176" s="5" t="n">
        <v>1</v>
      </c>
      <c r="K176" s="6" t="n">
        <v>378</v>
      </c>
      <c r="L176" s="6" t="n">
        <v>378</v>
      </c>
      <c r="M176" s="6" t="n">
        <v>378</v>
      </c>
      <c r="N176" s="3" t="inlineStr">
        <is>
          <t>Sí</t>
        </is>
      </c>
      <c r="O176" s="6">
        <f>IF(K176="","",IF(N176="Sí",ROUND(K176/1.18,2),K176))</f>
        <v/>
      </c>
      <c r="P176" s="3" t="inlineStr">
        <is>
          <t>2026-09-10</t>
        </is>
      </c>
      <c r="Q176" s="4" t="inlineStr">
        <is>
          <t>Bellón</t>
        </is>
      </c>
      <c r="Z176" s="7" t="n">
        <v>30</v>
      </c>
      <c r="AB176" s="7" t="inlineStr">
        <is>
          <t>11.28</t>
        </is>
      </c>
      <c r="AF176" s="4" t="inlineStr">
        <is>
          <t>diametro: 3/8" · grado: 60</t>
        </is>
      </c>
    </row>
    <row r="177">
      <c r="A177" s="3" t="inlineStr">
        <is>
          <t>MAT-04-042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35 pies</t>
        </is>
      </c>
      <c r="E177" s="4" t="inlineStr">
        <is>
          <t>Grado 60 · ASTM A615 · 13.16 lb por unidad</t>
        </is>
      </c>
      <c r="F177" s="3" t="inlineStr">
        <is>
          <t>unidad</t>
        </is>
      </c>
      <c r="G177" s="3" t="inlineStr">
        <is>
          <t>Estructura</t>
        </is>
      </c>
      <c r="H177" s="3" t="inlineStr">
        <is>
          <t>estandar</t>
        </is>
      </c>
      <c r="I177" s="3" t="inlineStr">
        <is>
          <t>nacional</t>
        </is>
      </c>
      <c r="J177" s="5" t="n">
        <v>1</v>
      </c>
      <c r="K177" s="6" t="n">
        <v>440.48</v>
      </c>
      <c r="L177" s="6" t="n">
        <v>440.48</v>
      </c>
      <c r="M177" s="6" t="n">
        <v>440.48</v>
      </c>
      <c r="N177" s="3" t="inlineStr">
        <is>
          <t>Sí</t>
        </is>
      </c>
      <c r="O177" s="6">
        <f>IF(K177="","",IF(N177="Sí",ROUND(K177/1.18,2),K177))</f>
        <v/>
      </c>
      <c r="P177" s="3" t="inlineStr">
        <is>
          <t>2026-09-10</t>
        </is>
      </c>
      <c r="Q177" s="4" t="inlineStr">
        <is>
          <t>Bellón</t>
        </is>
      </c>
      <c r="Z177" s="7" t="n">
        <v>35</v>
      </c>
      <c r="AB177" s="7" t="inlineStr">
        <is>
          <t>13.16</t>
        </is>
      </c>
      <c r="AF177" s="4" t="inlineStr">
        <is>
          <t>diametro: 3/8" · grado: 60</t>
        </is>
      </c>
    </row>
    <row r="178">
      <c r="A178" s="3" t="inlineStr">
        <is>
          <t>MAT-04-043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40 pies</t>
        </is>
      </c>
      <c r="E178" s="4" t="inlineStr">
        <is>
          <t>Grado 60 · ASTM A615</t>
        </is>
      </c>
      <c r="F178" s="3" t="inlineStr">
        <is>
          <t>unidad</t>
        </is>
      </c>
      <c r="G178" s="3" t="inlineStr">
        <is>
          <t>Estructura</t>
        </is>
      </c>
      <c r="H178" s="3" t="inlineStr">
        <is>
          <t>estandar</t>
        </is>
      </c>
      <c r="I178" s="3" t="inlineStr">
        <is>
          <t>nacional</t>
        </is>
      </c>
      <c r="J178" s="5" t="n">
        <v>1</v>
      </c>
      <c r="K178" s="6" t="n">
        <v>497</v>
      </c>
      <c r="L178" s="6" t="n">
        <v>497</v>
      </c>
      <c r="M178" s="6" t="n">
        <v>497</v>
      </c>
      <c r="N178" s="3" t="inlineStr">
        <is>
          <t>Sí</t>
        </is>
      </c>
      <c r="O178" s="6">
        <f>IF(K178="","",IF(N178="Sí",ROUND(K178/1.18,2),K178))</f>
        <v/>
      </c>
      <c r="P178" s="3" t="inlineStr">
        <is>
          <t>2026-09-10</t>
        </is>
      </c>
      <c r="Q178" s="4" t="inlineStr">
        <is>
          <t>Bellón</t>
        </is>
      </c>
      <c r="Z178" s="7" t="n">
        <v>40</v>
      </c>
      <c r="AF178" s="4" t="inlineStr">
        <is>
          <t>diametro: 3/8" · grado: 60</t>
        </is>
      </c>
    </row>
    <row r="179">
      <c r="A179" s="3" t="inlineStr">
        <is>
          <t>MAT-04-044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10</t>
        </is>
      </c>
      <c r="E179" s="4" t="inlineStr"/>
      <c r="F179" s="3" t="inlineStr">
        <is>
          <t>lb</t>
        </is>
      </c>
      <c r="G179" s="3" t="inlineStr">
        <is>
          <t>Estructura</t>
        </is>
      </c>
      <c r="H179" s="3" t="inlineStr">
        <is>
          <t>estandar</t>
        </is>
      </c>
      <c r="I179" s="3" t="inlineStr">
        <is>
          <t>nacional</t>
        </is>
      </c>
      <c r="J179" s="5" t="n">
        <v>1</v>
      </c>
      <c r="K179" s="6" t="n">
        <v>61.12</v>
      </c>
      <c r="L179" s="6" t="n">
        <v>61.12</v>
      </c>
      <c r="M179" s="6" t="n">
        <v>61.12</v>
      </c>
      <c r="N179" s="3" t="inlineStr">
        <is>
          <t>Sí</t>
        </is>
      </c>
      <c r="O179" s="6">
        <f>IF(K179="","",IF(N179="Sí",ROUND(K179/1.18,2),K179))</f>
        <v/>
      </c>
      <c r="P179" s="3" t="inlineStr">
        <is>
          <t>2026-09-09</t>
        </is>
      </c>
      <c r="Q179" s="4" t="inlineStr">
        <is>
          <t>Ferretería Ochoa (8A)</t>
        </is>
      </c>
    </row>
    <row r="180">
      <c r="A180" s="3" t="inlineStr">
        <is>
          <t>MAT-04-045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12</t>
        </is>
      </c>
      <c r="E180" s="4" t="inlineStr"/>
      <c r="F180" s="3" t="inlineStr">
        <is>
          <t>lb</t>
        </is>
      </c>
      <c r="G180" s="3" t="inlineStr">
        <is>
          <t>Estructura</t>
        </is>
      </c>
      <c r="H180" s="3" t="inlineStr">
        <is>
          <t>estandar</t>
        </is>
      </c>
      <c r="I180" s="3" t="inlineStr">
        <is>
          <t>nacional</t>
        </is>
      </c>
      <c r="J180" s="5" t="n">
        <v>1</v>
      </c>
      <c r="K180" s="6" t="n">
        <v>61.12</v>
      </c>
      <c r="L180" s="6" t="n">
        <v>61.12</v>
      </c>
      <c r="M180" s="6" t="n">
        <v>61.12</v>
      </c>
      <c r="N180" s="3" t="inlineStr">
        <is>
          <t>Sí</t>
        </is>
      </c>
      <c r="O180" s="6">
        <f>IF(K180="","",IF(N180="Sí",ROUND(K180/1.18,2),K180))</f>
        <v/>
      </c>
      <c r="P180" s="3" t="inlineStr">
        <is>
          <t>2026-09-09</t>
        </is>
      </c>
      <c r="Q180" s="4" t="inlineStr">
        <is>
          <t>Ferretería Ochoa (8A)</t>
        </is>
      </c>
    </row>
    <row r="181">
      <c r="A181" s="3" t="inlineStr">
        <is>
          <t>MAT-04-046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16</t>
        </is>
      </c>
      <c r="E181" s="4" t="inlineStr"/>
      <c r="F181" s="3" t="inlineStr">
        <is>
          <t>lb</t>
        </is>
      </c>
      <c r="G181" s="3" t="inlineStr">
        <is>
          <t>Estructura</t>
        </is>
      </c>
      <c r="H181" s="3" t="inlineStr">
        <is>
          <t>estandar</t>
        </is>
      </c>
      <c r="I181" s="3" t="inlineStr">
        <is>
          <t>nacional</t>
        </is>
      </c>
      <c r="J181" s="5" t="n">
        <v>1</v>
      </c>
      <c r="K181" s="6" t="n">
        <v>56.59</v>
      </c>
      <c r="L181" s="6" t="n">
        <v>56.59</v>
      </c>
      <c r="M181" s="6" t="n">
        <v>56.59</v>
      </c>
      <c r="N181" s="3" t="inlineStr">
        <is>
          <t>Sí</t>
        </is>
      </c>
      <c r="O181" s="6">
        <f>IF(K181="","",IF(N181="Sí",ROUND(K181/1.18,2),K181))</f>
        <v/>
      </c>
      <c r="P181" s="3" t="inlineStr">
        <is>
          <t>2026-09-09</t>
        </is>
      </c>
      <c r="Q181" s="4" t="inlineStr">
        <is>
          <t>Ferretería Ochoa (8A)</t>
        </is>
      </c>
    </row>
    <row r="182">
      <c r="A182" s="3" t="inlineStr">
        <is>
          <t>MAT-04-047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3/8"</t>
        </is>
      </c>
      <c r="E182" s="4" t="inlineStr">
        <is>
          <t>La ficha no declara el recubrimiento</t>
        </is>
      </c>
      <c r="F182" s="3" t="inlineStr">
        <is>
          <t>unidad</t>
        </is>
      </c>
      <c r="G182" s="3" t="inlineStr">
        <is>
          <t>Estructura</t>
        </is>
      </c>
      <c r="H182" s="3" t="inlineStr">
        <is>
          <t>estandar</t>
        </is>
      </c>
      <c r="I182" s="3" t="inlineStr">
        <is>
          <t>importado</t>
        </is>
      </c>
      <c r="J182" s="5" t="n">
        <v>1</v>
      </c>
      <c r="K182" s="6" t="n">
        <v>30.48</v>
      </c>
      <c r="L182" s="6" t="n">
        <v>30.48</v>
      </c>
      <c r="M182" s="6" t="n">
        <v>30.48</v>
      </c>
      <c r="N182" s="3" t="inlineStr">
        <is>
          <t>Sí</t>
        </is>
      </c>
      <c r="O182" s="6">
        <f>IF(K182="","",IF(N182="Sí",ROUND(K182/1.18,2),K182))</f>
        <v/>
      </c>
      <c r="P182" s="3" t="inlineStr">
        <is>
          <t>2026-09-09</t>
        </is>
      </c>
      <c r="Q182" s="4" t="inlineStr">
        <is>
          <t>Ferretería Ochoa (8A)</t>
        </is>
      </c>
    </row>
    <row r="183">
      <c r="A183" s="3" t="inlineStr">
        <is>
          <t>MAT-04-048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1/2"</t>
        </is>
      </c>
      <c r="E183" s="4" t="inlineStr">
        <is>
          <t>La ficha no declara el recubrimiento</t>
        </is>
      </c>
      <c r="F183" s="3" t="inlineStr">
        <is>
          <t>unidad</t>
        </is>
      </c>
      <c r="G183" s="3" t="inlineStr">
        <is>
          <t>Estructura</t>
        </is>
      </c>
      <c r="H183" s="3" t="inlineStr">
        <is>
          <t>estandar</t>
        </is>
      </c>
      <c r="I183" s="3" t="inlineStr">
        <is>
          <t>importado</t>
        </is>
      </c>
      <c r="J183" s="5" t="n">
        <v>1</v>
      </c>
      <c r="K183" s="6" t="n">
        <v>45.71</v>
      </c>
      <c r="L183" s="6" t="n">
        <v>45.71</v>
      </c>
      <c r="M183" s="6" t="n">
        <v>45.71</v>
      </c>
      <c r="N183" s="3" t="inlineStr">
        <is>
          <t>Sí</t>
        </is>
      </c>
      <c r="O183" s="6">
        <f>IF(K183="","",IF(N183="Sí",ROUND(K183/1.18,2),K183))</f>
        <v/>
      </c>
      <c r="P183" s="3" t="inlineStr">
        <is>
          <t>2026-09-09</t>
        </is>
      </c>
      <c r="Q183" s="4" t="inlineStr">
        <is>
          <t>Ferretería Ochoa (8A)</t>
        </is>
      </c>
    </row>
    <row r="184">
      <c r="A184" s="3" t="inlineStr">
        <is>
          <t>MAT-04-049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5/8"</t>
        </is>
      </c>
      <c r="E184" s="4" t="inlineStr">
        <is>
          <t>La ficha no declara el recubrimiento</t>
        </is>
      </c>
      <c r="F184" s="3" t="inlineStr">
        <is>
          <t>unidad</t>
        </is>
      </c>
      <c r="G184" s="3" t="inlineStr">
        <is>
          <t>Estructura</t>
        </is>
      </c>
      <c r="H184" s="3" t="inlineStr">
        <is>
          <t>estandar</t>
        </is>
      </c>
      <c r="I184" s="3" t="inlineStr">
        <is>
          <t>importado</t>
        </is>
      </c>
      <c r="J184" s="5" t="n">
        <v>1</v>
      </c>
      <c r="K184" s="6" t="n">
        <v>54.43</v>
      </c>
      <c r="L184" s="6" t="n">
        <v>54.43</v>
      </c>
      <c r="M184" s="6" t="n">
        <v>54.43</v>
      </c>
      <c r="N184" s="3" t="inlineStr">
        <is>
          <t>Sí</t>
        </is>
      </c>
      <c r="O184" s="6">
        <f>IF(K184="","",IF(N184="Sí",ROUND(K184/1.18,2),K184))</f>
        <v/>
      </c>
      <c r="P184" s="3" t="inlineStr">
        <is>
          <t>2026-09-09</t>
        </is>
      </c>
      <c r="Q184" s="4" t="inlineStr">
        <is>
          <t>Ferretería Ochoa (8A)</t>
        </is>
      </c>
    </row>
    <row r="185">
      <c r="A185" s="3" t="inlineStr">
        <is>
          <t>MAT-04-050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3/4"</t>
        </is>
      </c>
      <c r="E185" s="4" t="inlineStr">
        <is>
          <t>La ficha no declara el recubrimiento</t>
        </is>
      </c>
      <c r="F185" s="3" t="inlineStr">
        <is>
          <t>unidad</t>
        </is>
      </c>
      <c r="G185" s="3" t="inlineStr">
        <is>
          <t>Estructura</t>
        </is>
      </c>
      <c r="H185" s="3" t="inlineStr">
        <is>
          <t>estandar</t>
        </is>
      </c>
      <c r="I185" s="3" t="inlineStr">
        <is>
          <t>importado</t>
        </is>
      </c>
      <c r="J185" s="5" t="n">
        <v>1</v>
      </c>
      <c r="K185" s="6" t="n">
        <v>63.13</v>
      </c>
      <c r="L185" s="6" t="n">
        <v>63.13</v>
      </c>
      <c r="M185" s="6" t="n">
        <v>63.13</v>
      </c>
      <c r="N185" s="3" t="inlineStr">
        <is>
          <t>Sí</t>
        </is>
      </c>
      <c r="O185" s="6">
        <f>IF(K185="","",IF(N185="Sí",ROUND(K185/1.18,2),K185))</f>
        <v/>
      </c>
      <c r="P185" s="3" t="inlineStr">
        <is>
          <t>2026-09-09</t>
        </is>
      </c>
      <c r="Q185" s="4" t="inlineStr">
        <is>
          <t>Ferretería Ochoa (8A)</t>
        </is>
      </c>
    </row>
    <row r="186">
      <c r="A186" s="3" t="inlineStr">
        <is>
          <t>MAT-04-051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1"</t>
        </is>
      </c>
      <c r="E186" s="4" t="inlineStr">
        <is>
          <t>La ficha no declara el recubrimiento</t>
        </is>
      </c>
      <c r="F186" s="3" t="inlineStr">
        <is>
          <t>unidad</t>
        </is>
      </c>
      <c r="G186" s="3" t="inlineStr">
        <is>
          <t>Estructura</t>
        </is>
      </c>
      <c r="H186" s="3" t="inlineStr">
        <is>
          <t>estandar</t>
        </is>
      </c>
      <c r="I186" s="3" t="inlineStr">
        <is>
          <t>importado</t>
        </is>
      </c>
      <c r="J186" s="5" t="n">
        <v>1</v>
      </c>
      <c r="K186" s="6" t="n">
        <v>70.75</v>
      </c>
      <c r="L186" s="6" t="n">
        <v>70.75</v>
      </c>
      <c r="M186" s="6" t="n">
        <v>70.75</v>
      </c>
      <c r="N186" s="3" t="inlineStr">
        <is>
          <t>Sí</t>
        </is>
      </c>
      <c r="O186" s="6">
        <f>IF(K186="","",IF(N186="Sí",ROUND(K186/1.18,2),K186))</f>
        <v/>
      </c>
      <c r="P186" s="3" t="inlineStr">
        <is>
          <t>2026-09-09</t>
        </is>
      </c>
      <c r="Q186" s="4" t="inlineStr">
        <is>
          <t>Ferretería Ochoa (8A)</t>
        </is>
      </c>
    </row>
    <row r="187">
      <c r="A187" s="3" t="inlineStr">
        <is>
          <t>MAT-04-052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1 1/4"</t>
        </is>
      </c>
      <c r="E187" s="4" t="inlineStr">
        <is>
          <t>La ficha no declara el recubrimiento</t>
        </is>
      </c>
      <c r="F187" s="3" t="inlineStr">
        <is>
          <t>unidad</t>
        </is>
      </c>
      <c r="G187" s="3" t="inlineStr">
        <is>
          <t>Estructura</t>
        </is>
      </c>
      <c r="H187" s="3" t="inlineStr">
        <is>
          <t>estandar</t>
        </is>
      </c>
      <c r="I187" s="3" t="inlineStr">
        <is>
          <t>importado</t>
        </is>
      </c>
      <c r="J187" s="5" t="n">
        <v>1</v>
      </c>
      <c r="K187" s="6" t="n">
        <v>78.36</v>
      </c>
      <c r="L187" s="6" t="n">
        <v>78.36</v>
      </c>
      <c r="M187" s="6" t="n">
        <v>78.36</v>
      </c>
      <c r="N187" s="3" t="inlineStr">
        <is>
          <t>Sí</t>
        </is>
      </c>
      <c r="O187" s="6">
        <f>IF(K187="","",IF(N187="Sí",ROUND(K187/1.18,2),K187))</f>
        <v/>
      </c>
      <c r="P187" s="3" t="inlineStr">
        <is>
          <t>2026-09-09</t>
        </is>
      </c>
      <c r="Q187" s="4" t="inlineStr">
        <is>
          <t>Ferretería Ochoa (8A)</t>
        </is>
      </c>
    </row>
    <row r="188">
      <c r="A188" s="3" t="inlineStr">
        <is>
          <t>MAT-04-053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3/4"</t>
        </is>
      </c>
      <c r="E188" s="4" t="inlineStr">
        <is>
          <t>Serie Q19</t>
        </is>
      </c>
      <c r="F188" s="3" t="inlineStr">
        <is>
          <t>unidad</t>
        </is>
      </c>
      <c r="G188" s="3" t="inlineStr">
        <is>
          <t>Estructura</t>
        </is>
      </c>
      <c r="H188" s="3" t="inlineStr">
        <is>
          <t>estandar</t>
        </is>
      </c>
      <c r="I188" s="3" t="inlineStr">
        <is>
          <t>importado</t>
        </is>
      </c>
      <c r="J188" s="5" t="n">
        <v>1</v>
      </c>
      <c r="K188" s="6" t="n">
        <v>228.57</v>
      </c>
      <c r="L188" s="6" t="n">
        <v>228.57</v>
      </c>
      <c r="M188" s="6" t="n">
        <v>228.57</v>
      </c>
      <c r="N188" s="3" t="inlineStr">
        <is>
          <t>Sí</t>
        </is>
      </c>
      <c r="O188" s="6">
        <f>IF(K188="","",IF(N188="Sí",ROUND(K188/1.18,2),K188))</f>
        <v/>
      </c>
      <c r="P188" s="3" t="inlineStr">
        <is>
          <t>2026-09-09</t>
        </is>
      </c>
      <c r="Q188" s="4" t="inlineStr">
        <is>
          <t>Ferretería Ochoa (8A)</t>
        </is>
      </c>
    </row>
    <row r="189">
      <c r="A189" s="3" t="inlineStr">
        <is>
          <t>MAT-04-054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1"</t>
        </is>
      </c>
      <c r="E189" s="4" t="inlineStr">
        <is>
          <t>Serie Q25</t>
        </is>
      </c>
      <c r="F189" s="3" t="inlineStr">
        <is>
          <t>unidad</t>
        </is>
      </c>
      <c r="G189" s="3" t="inlineStr">
        <is>
          <t>Estructura</t>
        </is>
      </c>
      <c r="H189" s="3" t="inlineStr">
        <is>
          <t>estandar</t>
        </is>
      </c>
      <c r="I189" s="3" t="inlineStr">
        <is>
          <t>importado</t>
        </is>
      </c>
      <c r="J189" s="5" t="n">
        <v>1</v>
      </c>
      <c r="K189" s="6" t="n">
        <v>434.26</v>
      </c>
      <c r="L189" s="6" t="n">
        <v>434.26</v>
      </c>
      <c r="M189" s="6" t="n">
        <v>434.26</v>
      </c>
      <c r="N189" s="3" t="inlineStr">
        <is>
          <t>Sí</t>
        </is>
      </c>
      <c r="O189" s="6">
        <f>IF(K189="","",IF(N189="Sí",ROUND(K189/1.18,2),K189))</f>
        <v/>
      </c>
      <c r="P189" s="3" t="inlineStr">
        <is>
          <t>2026-09-09</t>
        </is>
      </c>
      <c r="Q189" s="4" t="inlineStr">
        <is>
          <t>Ferretería Ochoa (8A)</t>
        </is>
      </c>
    </row>
    <row r="190">
      <c r="A190" s="3" t="inlineStr">
        <is>
          <t>MAT-04-055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1/8"</t>
        </is>
      </c>
      <c r="E190" s="4" t="inlineStr">
        <is>
          <t>Serie Q28</t>
        </is>
      </c>
      <c r="F190" s="3" t="inlineStr">
        <is>
          <t>unidad</t>
        </is>
      </c>
      <c r="G190" s="3" t="inlineStr">
        <is>
          <t>Estructura</t>
        </is>
      </c>
      <c r="H190" s="3" t="inlineStr">
        <is>
          <t>estandar</t>
        </is>
      </c>
      <c r="I190" s="3" t="inlineStr">
        <is>
          <t>importado</t>
        </is>
      </c>
      <c r="J190" s="5" t="n">
        <v>1</v>
      </c>
      <c r="K190" s="6" t="n">
        <v>697.6799999999999</v>
      </c>
      <c r="L190" s="6" t="n">
        <v>697.6799999999999</v>
      </c>
      <c r="M190" s="6" t="n">
        <v>697.6799999999999</v>
      </c>
      <c r="N190" s="3" t="inlineStr">
        <is>
          <t>Sí</t>
        </is>
      </c>
      <c r="O190" s="6">
        <f>IF(K190="","",IF(N190="Sí",ROUND(K190/1.18,2),K190))</f>
        <v/>
      </c>
      <c r="P190" s="3" t="inlineStr">
        <is>
          <t>2026-09-09</t>
        </is>
      </c>
      <c r="Q190" s="4" t="inlineStr">
        <is>
          <t>Ferretería Ochoa (8A)</t>
        </is>
      </c>
    </row>
    <row r="191">
      <c r="A191" s="3" t="inlineStr">
        <is>
          <t>MAT-04-056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1/4"</t>
        </is>
      </c>
      <c r="E191" s="4" t="inlineStr">
        <is>
          <t>Serie Q32</t>
        </is>
      </c>
      <c r="F191" s="3" t="inlineStr">
        <is>
          <t>unidad</t>
        </is>
      </c>
      <c r="G191" s="3" t="inlineStr">
        <is>
          <t>Estructura</t>
        </is>
      </c>
      <c r="H191" s="3" t="inlineStr">
        <is>
          <t>estandar</t>
        </is>
      </c>
      <c r="I191" s="3" t="inlineStr">
        <is>
          <t>importado</t>
        </is>
      </c>
      <c r="J191" s="5" t="n">
        <v>1</v>
      </c>
      <c r="K191" s="6" t="n">
        <v>854.4</v>
      </c>
      <c r="L191" s="6" t="n">
        <v>854.4</v>
      </c>
      <c r="M191" s="6" t="n">
        <v>854.4</v>
      </c>
      <c r="N191" s="3" t="inlineStr">
        <is>
          <t>Sí</t>
        </is>
      </c>
      <c r="O191" s="6">
        <f>IF(K191="","",IF(N191="Sí",ROUND(K191/1.18,2),K191))</f>
        <v/>
      </c>
      <c r="P191" s="3" t="inlineStr">
        <is>
          <t>2026-09-09</t>
        </is>
      </c>
      <c r="Q191" s="4" t="inlineStr">
        <is>
          <t>Ferretería Ochoa (8A)</t>
        </is>
      </c>
    </row>
    <row r="192">
      <c r="A192" s="3" t="inlineStr">
        <is>
          <t>MAT-04-057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3/8"</t>
        </is>
      </c>
      <c r="E192" s="4" t="inlineStr">
        <is>
          <t>Serie Q35</t>
        </is>
      </c>
      <c r="F192" s="3" t="inlineStr">
        <is>
          <t>unidad</t>
        </is>
      </c>
      <c r="G192" s="3" t="inlineStr">
        <is>
          <t>Estructura</t>
        </is>
      </c>
      <c r="H192" s="3" t="inlineStr">
        <is>
          <t>estandar</t>
        </is>
      </c>
      <c r="I192" s="3" t="inlineStr">
        <is>
          <t>importado</t>
        </is>
      </c>
      <c r="J192" s="5" t="n">
        <v>1</v>
      </c>
      <c r="K192" s="6" t="n">
        <v>1066.64</v>
      </c>
      <c r="L192" s="6" t="n">
        <v>1066.64</v>
      </c>
      <c r="M192" s="6" t="n">
        <v>1066.64</v>
      </c>
      <c r="N192" s="3" t="inlineStr">
        <is>
          <t>Sí</t>
        </is>
      </c>
      <c r="O192" s="6">
        <f>IF(K192="","",IF(N192="Sí",ROUND(K192/1.18,2),K192))</f>
        <v/>
      </c>
      <c r="P192" s="3" t="inlineStr">
        <is>
          <t>2026-09-09</t>
        </is>
      </c>
      <c r="Q192" s="4" t="inlineStr">
        <is>
          <t>Ferretería Ochoa (8A)</t>
        </is>
      </c>
    </row>
    <row r="193">
      <c r="A193" s="3" t="inlineStr">
        <is>
          <t>MAT-04-058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galvanizado picado, caja de 50 lb</t>
        </is>
      </c>
      <c r="E193" s="4" t="inlineStr">
        <is>
          <t>La ficha no declara el calibre</t>
        </is>
      </c>
      <c r="F193" s="3" t="inlineStr">
        <is>
          <t>caja</t>
        </is>
      </c>
      <c r="G193" s="3" t="inlineStr">
        <is>
          <t>Estructura</t>
        </is>
      </c>
      <c r="H193" s="3" t="inlineStr">
        <is>
          <t>estandar</t>
        </is>
      </c>
      <c r="I193" s="3" t="inlineStr">
        <is>
          <t>importado</t>
        </is>
      </c>
      <c r="J193" s="5" t="n">
        <v>1</v>
      </c>
      <c r="K193" s="6" t="n">
        <v>2488.96</v>
      </c>
      <c r="L193" s="6" t="n">
        <v>2488.96</v>
      </c>
      <c r="M193" s="6" t="n">
        <v>2488.96</v>
      </c>
      <c r="N193" s="3" t="inlineStr">
        <is>
          <t>Sí</t>
        </is>
      </c>
      <c r="O193" s="6">
        <f>IF(K193="","",IF(N193="Sí",ROUND(K193/1.18,2),K193))</f>
        <v/>
      </c>
      <c r="P193" s="3" t="inlineStr">
        <is>
          <t>2026-09-09</t>
        </is>
      </c>
      <c r="Q193" s="4" t="inlineStr">
        <is>
          <t>Ferretería Ochoa (8A)</t>
        </is>
      </c>
    </row>
    <row r="194">
      <c r="A194" s="3" t="inlineStr">
        <is>
          <t>MAT-04-059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Alambre liso galvanizado picado calibre 16, paquete de 10 lb</t>
        </is>
      </c>
      <c r="E194" s="4" t="inlineStr"/>
      <c r="F194" s="3" t="inlineStr">
        <is>
          <t>paquete</t>
        </is>
      </c>
      <c r="G194" s="3" t="inlineStr">
        <is>
          <t>Estructura</t>
        </is>
      </c>
      <c r="H194" s="3" t="inlineStr">
        <is>
          <t>estandar</t>
        </is>
      </c>
      <c r="I194" s="3" t="inlineStr">
        <is>
          <t>importado</t>
        </is>
      </c>
      <c r="J194" s="5" t="n">
        <v>1</v>
      </c>
      <c r="K194" s="6" t="n">
        <v>619.63</v>
      </c>
      <c r="L194" s="6" t="n">
        <v>619.63</v>
      </c>
      <c r="M194" s="6" t="n">
        <v>619.63</v>
      </c>
      <c r="N194" s="3" t="inlineStr">
        <is>
          <t>Sí</t>
        </is>
      </c>
      <c r="O194" s="6">
        <f>IF(K194="","",IF(N194="Sí",ROUND(K194/1.18,2),K194))</f>
        <v/>
      </c>
      <c r="P194" s="3" t="inlineStr">
        <is>
          <t>2026-09-09</t>
        </is>
      </c>
      <c r="Q194" s="4" t="inlineStr">
        <is>
          <t>Ferretería Ochoa (8A)</t>
        </is>
      </c>
    </row>
    <row r="195">
      <c r="A195" s="3" t="inlineStr">
        <is>
          <t>MAT-06-018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10" x 16 pies</t>
        </is>
      </c>
      <c r="E195" s="4" t="inlineStr"/>
      <c r="F195" s="3" t="inlineStr">
        <is>
          <t>unidad</t>
        </is>
      </c>
      <c r="G195" s="3" t="inlineStr">
        <is>
          <t>Estructura</t>
        </is>
      </c>
      <c r="H195" s="3" t="inlineStr">
        <is>
          <t>estandar</t>
        </is>
      </c>
      <c r="I195" s="3" t="inlineStr">
        <is>
          <t>importado</t>
        </is>
      </c>
      <c r="J195" s="5" t="n">
        <v>1</v>
      </c>
      <c r="K195" s="6" t="n">
        <v>1425</v>
      </c>
      <c r="L195" s="6" t="n">
        <v>1425</v>
      </c>
      <c r="M195" s="6" t="n">
        <v>1425</v>
      </c>
      <c r="N195" s="3" t="inlineStr">
        <is>
          <t>Sí</t>
        </is>
      </c>
      <c r="O195" s="6">
        <f>IF(K195="","",IF(N195="Sí",ROUND(K195/1.18,2),K195))</f>
        <v/>
      </c>
      <c r="P195" s="3" t="inlineStr">
        <is>
          <t>2026-09-09</t>
        </is>
      </c>
      <c r="Q195" s="4" t="inlineStr">
        <is>
          <t>Max Ferretería</t>
        </is>
      </c>
      <c r="Z195" s="7" t="n">
        <v>16</v>
      </c>
      <c r="AF195" s="4" t="inlineStr">
        <is>
          <t>especie: pino americano · escuadria: 1" x 10" · acabado: cepillada</t>
        </is>
      </c>
    </row>
    <row r="196">
      <c r="A196" s="3" t="inlineStr">
        <is>
          <t>MAT-06-019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1" x 4" x 10 pies</t>
        </is>
      </c>
      <c r="E196" s="4" t="inlineStr"/>
      <c r="F196" s="3" t="inlineStr">
        <is>
          <t>unidad</t>
        </is>
      </c>
      <c r="G196" s="3" t="inlineStr">
        <is>
          <t>Estructura</t>
        </is>
      </c>
      <c r="H196" s="3" t="inlineStr">
        <is>
          <t>estandar</t>
        </is>
      </c>
      <c r="I196" s="3" t="inlineStr">
        <is>
          <t>importado</t>
        </is>
      </c>
      <c r="J196" s="5" t="n">
        <v>1</v>
      </c>
      <c r="K196" s="6" t="n">
        <v>310.01</v>
      </c>
      <c r="L196" s="6" t="n">
        <v>310.01</v>
      </c>
      <c r="M196" s="6" t="n">
        <v>310.01</v>
      </c>
      <c r="N196" s="3" t="inlineStr">
        <is>
          <t>Sí</t>
        </is>
      </c>
      <c r="O196" s="6">
        <f>IF(K196="","",IF(N196="Sí",ROUND(K196/1.18,2),K196))</f>
        <v/>
      </c>
      <c r="P196" s="3" t="inlineStr">
        <is>
          <t>2026-09-09</t>
        </is>
      </c>
      <c r="Q196" s="4" t="inlineStr">
        <is>
          <t>Max Ferretería</t>
        </is>
      </c>
      <c r="Z196" s="7" t="n">
        <v>10</v>
      </c>
      <c r="AF196" s="4" t="inlineStr">
        <is>
          <t>especie: pino americano · escuadria: 1" x 4" · acabado: cepillada</t>
        </is>
      </c>
    </row>
    <row r="197">
      <c r="A197" s="3" t="inlineStr">
        <is>
          <t>MAT-06-020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2" x 4" x 12 pies</t>
        </is>
      </c>
      <c r="E197" s="4" t="inlineStr"/>
      <c r="F197" s="3" t="inlineStr">
        <is>
          <t>unidad</t>
        </is>
      </c>
      <c r="G197" s="3" t="inlineStr">
        <is>
          <t>Estructura</t>
        </is>
      </c>
      <c r="H197" s="3" t="inlineStr">
        <is>
          <t>estandar</t>
        </is>
      </c>
      <c r="I197" s="3" t="inlineStr">
        <is>
          <t>importado</t>
        </is>
      </c>
      <c r="J197" s="5" t="n">
        <v>1</v>
      </c>
      <c r="K197" s="6" t="n">
        <v>635.01</v>
      </c>
      <c r="L197" s="6" t="n">
        <v>635.01</v>
      </c>
      <c r="M197" s="6" t="n">
        <v>635.01</v>
      </c>
      <c r="N197" s="3" t="inlineStr">
        <is>
          <t>Sí</t>
        </is>
      </c>
      <c r="O197" s="6">
        <f>IF(K197="","",IF(N197="Sí",ROUND(K197/1.18,2),K197))</f>
        <v/>
      </c>
      <c r="P197" s="3" t="inlineStr">
        <is>
          <t>2026-09-09</t>
        </is>
      </c>
      <c r="Q197" s="4" t="inlineStr">
        <is>
          <t>Max Ferretería</t>
        </is>
      </c>
      <c r="Z197" s="7" t="n">
        <v>12</v>
      </c>
      <c r="AF197" s="4" t="inlineStr">
        <is>
          <t>especie: pino americano · escuadria: 2" x 4" · acabado: cepillada</t>
        </is>
      </c>
    </row>
    <row r="198">
      <c r="A198" s="3" t="inlineStr">
        <is>
          <t>MAT-06-021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bruta, 2" x 4" x 16 pies</t>
        </is>
      </c>
      <c r="E198" s="4" t="inlineStr"/>
      <c r="F198" s="3" t="inlineStr">
        <is>
          <t>unidad</t>
        </is>
      </c>
      <c r="G198" s="3" t="inlineStr">
        <is>
          <t>Estructura</t>
        </is>
      </c>
      <c r="H198" s="3" t="inlineStr">
        <is>
          <t>estandar</t>
        </is>
      </c>
      <c r="I198" s="3" t="inlineStr">
        <is>
          <t>importado</t>
        </is>
      </c>
      <c r="J198" s="5" t="n">
        <v>1</v>
      </c>
      <c r="K198" s="6" t="n">
        <v>1010</v>
      </c>
      <c r="L198" s="6" t="n">
        <v>1010</v>
      </c>
      <c r="M198" s="6" t="n">
        <v>1010</v>
      </c>
      <c r="N198" s="3" t="inlineStr">
        <is>
          <t>Sí</t>
        </is>
      </c>
      <c r="O198" s="6">
        <f>IF(K198="","",IF(N198="Sí",ROUND(K198/1.18,2),K198))</f>
        <v/>
      </c>
      <c r="P198" s="3" t="inlineStr">
        <is>
          <t>2026-09-09</t>
        </is>
      </c>
      <c r="Q198" s="4" t="inlineStr">
        <is>
          <t>Max Ferretería</t>
        </is>
      </c>
      <c r="Z198" s="7" t="n">
        <v>16</v>
      </c>
      <c r="AF198" s="4" t="inlineStr">
        <is>
          <t>especie: pino americano · escuadria: 2" x 4" · acabado: bruta</t>
        </is>
      </c>
    </row>
    <row r="199">
      <c r="A199" s="3" t="inlineStr">
        <is>
          <t>MAT-06-022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Plywood de formaleta 3/4", 4 x 8 pies</t>
        </is>
      </c>
      <c r="E199" s="4" t="inlineStr"/>
      <c r="F199" s="3" t="inlineStr">
        <is>
          <t>plancha</t>
        </is>
      </c>
      <c r="G199" s="3" t="inlineStr">
        <is>
          <t>Estructura</t>
        </is>
      </c>
      <c r="H199" s="3" t="inlineStr">
        <is>
          <t>estandar</t>
        </is>
      </c>
      <c r="I199" s="3" t="inlineStr">
        <is>
          <t>importado</t>
        </is>
      </c>
      <c r="J199" s="5" t="n">
        <v>2</v>
      </c>
      <c r="K199" s="6" t="n">
        <v>2733</v>
      </c>
      <c r="L199" s="6" t="n">
        <v>2180</v>
      </c>
      <c r="M199" s="6" t="n">
        <v>3140</v>
      </c>
      <c r="N199" s="3" t="inlineStr">
        <is>
          <t>Sí</t>
        </is>
      </c>
      <c r="O199" s="6">
        <f>IF(K199="","",IF(N199="Sí",ROUND(K199/1.18,2),K199))</f>
        <v/>
      </c>
      <c r="P199" s="3" t="inlineStr">
        <is>
          <t>2026-09-10</t>
        </is>
      </c>
      <c r="Q199" s="4" t="inlineStr">
        <is>
          <t>Bellón · Max Ferretería</t>
        </is>
      </c>
      <c r="V199" s="7" t="inlineStr">
        <is>
          <t>4 x 8 pies</t>
        </is>
      </c>
      <c r="AF199" s="4" t="inlineStr">
        <is>
          <t>material: Plywood de formaleta · espesor: 3/4"</t>
        </is>
      </c>
    </row>
    <row r="200">
      <c r="A200" s="3" t="inlineStr">
        <is>
          <t>MAT-06-023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Plywood de okume 0.19", 3 x 7 pies</t>
        </is>
      </c>
      <c r="E200" s="4" t="inlineStr"/>
      <c r="F200" s="3" t="inlineStr">
        <is>
          <t>plancha</t>
        </is>
      </c>
      <c r="G200" s="3" t="inlineStr">
        <is>
          <t>Estructura</t>
        </is>
      </c>
      <c r="H200" s="3" t="inlineStr">
        <is>
          <t>estandar</t>
        </is>
      </c>
      <c r="I200" s="3" t="inlineStr">
        <is>
          <t>importado</t>
        </is>
      </c>
      <c r="J200" s="5" t="n">
        <v>1</v>
      </c>
      <c r="K200" s="6" t="n">
        <v>430</v>
      </c>
      <c r="L200" s="6" t="n">
        <v>430</v>
      </c>
      <c r="M200" s="6" t="n">
        <v>430</v>
      </c>
      <c r="N200" s="3" t="inlineStr">
        <is>
          <t>Sí</t>
        </is>
      </c>
      <c r="O200" s="6">
        <f>IF(K200="","",IF(N200="Sí",ROUND(K200/1.18,2),K200))</f>
        <v/>
      </c>
      <c r="P200" s="3" t="inlineStr">
        <is>
          <t>2026-09-10</t>
        </is>
      </c>
      <c r="Q200" s="4" t="inlineStr">
        <is>
          <t>Bellón</t>
        </is>
      </c>
      <c r="V200" s="7" t="inlineStr">
        <is>
          <t>3 x 7 pies</t>
        </is>
      </c>
      <c r="AF200" s="4" t="inlineStr">
        <is>
          <t>material: Plywood de okume · espesor: 0.19"</t>
        </is>
      </c>
    </row>
    <row r="201">
      <c r="A201" s="3" t="inlineStr">
        <is>
          <t>MAT-06-024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okume 0.19", 4 x 8 pies</t>
        </is>
      </c>
      <c r="E201" s="4" t="inlineStr"/>
      <c r="F201" s="3" t="inlineStr">
        <is>
          <t>plancha</t>
        </is>
      </c>
      <c r="G201" s="3" t="inlineStr">
        <is>
          <t>Estructura</t>
        </is>
      </c>
      <c r="H201" s="3" t="inlineStr">
        <is>
          <t>estandar</t>
        </is>
      </c>
      <c r="I201" s="3" t="inlineStr">
        <is>
          <t>importado</t>
        </is>
      </c>
      <c r="J201" s="5" t="n">
        <v>1</v>
      </c>
      <c r="K201" s="6" t="n">
        <v>501</v>
      </c>
      <c r="L201" s="6" t="n">
        <v>501</v>
      </c>
      <c r="M201" s="6" t="n">
        <v>501</v>
      </c>
      <c r="N201" s="3" t="inlineStr">
        <is>
          <t>Sí</t>
        </is>
      </c>
      <c r="O201" s="6">
        <f>IF(K201="","",IF(N201="Sí",ROUND(K201/1.18,2),K201))</f>
        <v/>
      </c>
      <c r="P201" s="3" t="inlineStr">
        <is>
          <t>2026-09-10</t>
        </is>
      </c>
      <c r="Q201" s="4" t="inlineStr">
        <is>
          <t>Bellón</t>
        </is>
      </c>
      <c r="V201" s="7" t="inlineStr">
        <is>
          <t>4 x 8 pies</t>
        </is>
      </c>
      <c r="AF201" s="4" t="inlineStr">
        <is>
          <t>material: Plywood de okume · espesor: 0.19"</t>
        </is>
      </c>
    </row>
    <row r="202">
      <c r="A202" s="3" t="inlineStr">
        <is>
          <t>MAT-06-025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1/2", 4 x 8 pies</t>
        </is>
      </c>
      <c r="E202" s="4" t="inlineStr"/>
      <c r="F202" s="3" t="inlineStr">
        <is>
          <t>plancha</t>
        </is>
      </c>
      <c r="G202" s="3" t="inlineStr">
        <is>
          <t>Estructura</t>
        </is>
      </c>
      <c r="H202" s="3" t="inlineStr">
        <is>
          <t>estandar</t>
        </is>
      </c>
      <c r="I202" s="3" t="inlineStr">
        <is>
          <t>importado</t>
        </is>
      </c>
      <c r="J202" s="5" t="n">
        <v>1</v>
      </c>
      <c r="K202" s="6" t="n">
        <v>1235</v>
      </c>
      <c r="L202" s="6" t="n">
        <v>1235</v>
      </c>
      <c r="M202" s="6" t="n">
        <v>1235</v>
      </c>
      <c r="N202" s="3" t="inlineStr">
        <is>
          <t>Sí</t>
        </is>
      </c>
      <c r="O202" s="6">
        <f>IF(K202="","",IF(N202="Sí",ROUND(K202/1.18,2),K202))</f>
        <v/>
      </c>
      <c r="P202" s="3" t="inlineStr">
        <is>
          <t>2026-09-10</t>
        </is>
      </c>
      <c r="Q202" s="4" t="inlineStr">
        <is>
          <t>Bellón</t>
        </is>
      </c>
      <c r="V202" s="7" t="inlineStr">
        <is>
          <t>4 x 8 pies</t>
        </is>
      </c>
      <c r="AF202" s="4" t="inlineStr">
        <is>
          <t>material: Plywood de okume · espesor: 1/2"</t>
        </is>
      </c>
    </row>
    <row r="203">
      <c r="A203" s="3" t="inlineStr">
        <is>
          <t>MAT-06-026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1/4", 4 x 8 pies</t>
        </is>
      </c>
      <c r="E203" s="4" t="inlineStr"/>
      <c r="F203" s="3" t="inlineStr">
        <is>
          <t>plancha</t>
        </is>
      </c>
      <c r="G203" s="3" t="inlineStr">
        <is>
          <t>Estructura</t>
        </is>
      </c>
      <c r="H203" s="3" t="inlineStr">
        <is>
          <t>estandar</t>
        </is>
      </c>
      <c r="I203" s="3" t="inlineStr">
        <is>
          <t>importado</t>
        </is>
      </c>
      <c r="J203" s="5" t="n">
        <v>2</v>
      </c>
      <c r="K203" s="6" t="n">
        <v>809.8</v>
      </c>
      <c r="L203" s="6" t="n">
        <v>770</v>
      </c>
      <c r="M203" s="6" t="n">
        <v>849.6</v>
      </c>
      <c r="N203" s="3" t="inlineStr">
        <is>
          <t>Sí</t>
        </is>
      </c>
      <c r="O203" s="6">
        <f>IF(K203="","",IF(N203="Sí",ROUND(K203/1.18,2),K203))</f>
        <v/>
      </c>
      <c r="P203" s="3" t="inlineStr">
        <is>
          <t>2026-09-10</t>
        </is>
      </c>
      <c r="Q203" s="4" t="inlineStr">
        <is>
          <t>Bellón · Max Ferretería</t>
        </is>
      </c>
      <c r="V203" s="7" t="inlineStr">
        <is>
          <t>4 x 8 pies</t>
        </is>
      </c>
      <c r="AF203" s="4" t="inlineStr">
        <is>
          <t>material: Plywood de okume · espesor: 1/4"</t>
        </is>
      </c>
    </row>
    <row r="204">
      <c r="A204" s="3" t="inlineStr">
        <is>
          <t>MAT-06-027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1/8", 4 x 8 pies</t>
        </is>
      </c>
      <c r="E204" s="4" t="inlineStr"/>
      <c r="F204" s="3" t="inlineStr">
        <is>
          <t>plancha</t>
        </is>
      </c>
      <c r="G204" s="3" t="inlineStr">
        <is>
          <t>Estructura</t>
        </is>
      </c>
      <c r="H204" s="3" t="inlineStr">
        <is>
          <t>estandar</t>
        </is>
      </c>
      <c r="I204" s="3" t="inlineStr">
        <is>
          <t>importado</t>
        </is>
      </c>
      <c r="J204" s="5" t="n">
        <v>1</v>
      </c>
      <c r="K204" s="6" t="n">
        <v>450</v>
      </c>
      <c r="L204" s="6" t="n">
        <v>450</v>
      </c>
      <c r="M204" s="6" t="n">
        <v>450</v>
      </c>
      <c r="N204" s="3" t="inlineStr">
        <is>
          <t>Sí</t>
        </is>
      </c>
      <c r="O204" s="6">
        <f>IF(K204="","",IF(N204="Sí",ROUND(K204/1.18,2),K204))</f>
        <v/>
      </c>
      <c r="P204" s="3" t="inlineStr">
        <is>
          <t>2026-09-10</t>
        </is>
      </c>
      <c r="Q204" s="4" t="inlineStr">
        <is>
          <t>Bellón</t>
        </is>
      </c>
      <c r="V204" s="7" t="inlineStr">
        <is>
          <t>4 x 8 pies</t>
        </is>
      </c>
      <c r="AF204" s="4" t="inlineStr">
        <is>
          <t>material: Plywood de okume · espesor: 1/8"</t>
        </is>
      </c>
    </row>
    <row r="205">
      <c r="A205" s="3" t="inlineStr">
        <is>
          <t>MAT-06-028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3/4", 4 x 8 pies</t>
        </is>
      </c>
      <c r="E205" s="4" t="inlineStr"/>
      <c r="F205" s="3" t="inlineStr">
        <is>
          <t>plancha</t>
        </is>
      </c>
      <c r="G205" s="3" t="inlineStr">
        <is>
          <t>Estructura</t>
        </is>
      </c>
      <c r="H205" s="3" t="inlineStr">
        <is>
          <t>estandar</t>
        </is>
      </c>
      <c r="I205" s="3" t="inlineStr">
        <is>
          <t>importado</t>
        </is>
      </c>
      <c r="J205" s="5" t="n">
        <v>1</v>
      </c>
      <c r="K205" s="6" t="n">
        <v>2121</v>
      </c>
      <c r="L205" s="6" t="n">
        <v>2121</v>
      </c>
      <c r="M205" s="6" t="n">
        <v>2121</v>
      </c>
      <c r="N205" s="3" t="inlineStr">
        <is>
          <t>Sí</t>
        </is>
      </c>
      <c r="O205" s="6">
        <f>IF(K205="","",IF(N205="Sí",ROUND(K205/1.18,2),K205))</f>
        <v/>
      </c>
      <c r="P205" s="3" t="inlineStr">
        <is>
          <t>2026-09-10</t>
        </is>
      </c>
      <c r="Q205" s="4" t="inlineStr">
        <is>
          <t>Bellón</t>
        </is>
      </c>
      <c r="V205" s="7" t="inlineStr">
        <is>
          <t>4 x 8 pies</t>
        </is>
      </c>
      <c r="AF205" s="4" t="inlineStr">
        <is>
          <t>material: Plywood de okume · espesor: 3/4"</t>
        </is>
      </c>
    </row>
    <row r="206">
      <c r="A206" s="3" t="inlineStr">
        <is>
          <t>MAT-06-029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3/8", 4 x 8 pies</t>
        </is>
      </c>
      <c r="E206" s="4" t="inlineStr"/>
      <c r="F206" s="3" t="inlineStr">
        <is>
          <t>plancha</t>
        </is>
      </c>
      <c r="G206" s="3" t="inlineStr">
        <is>
          <t>Estructura</t>
        </is>
      </c>
      <c r="H206" s="3" t="inlineStr">
        <is>
          <t>estandar</t>
        </is>
      </c>
      <c r="I206" s="3" t="inlineStr">
        <is>
          <t>importado</t>
        </is>
      </c>
      <c r="J206" s="5" t="n">
        <v>1</v>
      </c>
      <c r="K206" s="6" t="n">
        <v>1249</v>
      </c>
      <c r="L206" s="6" t="n">
        <v>1249</v>
      </c>
      <c r="M206" s="6" t="n">
        <v>1249</v>
      </c>
      <c r="N206" s="3" t="inlineStr">
        <is>
          <t>Sí</t>
        </is>
      </c>
      <c r="O206" s="6">
        <f>IF(K206="","",IF(N206="Sí",ROUND(K206/1.18,2),K206))</f>
        <v/>
      </c>
      <c r="P206" s="3" t="inlineStr">
        <is>
          <t>2026-09-10</t>
        </is>
      </c>
      <c r="Q206" s="4" t="inlineStr">
        <is>
          <t>Bellón</t>
        </is>
      </c>
      <c r="V206" s="7" t="inlineStr">
        <is>
          <t>4 x 8 pies</t>
        </is>
      </c>
      <c r="AF206" s="4" t="inlineStr">
        <is>
          <t>material: Plywood de okume · espesor: 3/8"</t>
        </is>
      </c>
    </row>
    <row r="207">
      <c r="A207" s="3" t="inlineStr">
        <is>
          <t>MAT-06-030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pino 1/4", 4 x 8 pies</t>
        </is>
      </c>
      <c r="E207" s="4" t="inlineStr"/>
      <c r="F207" s="3" t="inlineStr">
        <is>
          <t>plancha</t>
        </is>
      </c>
      <c r="G207" s="3" t="inlineStr">
        <is>
          <t>Estructura</t>
        </is>
      </c>
      <c r="H207" s="3" t="inlineStr">
        <is>
          <t>estandar</t>
        </is>
      </c>
      <c r="I207" s="3" t="inlineStr">
        <is>
          <t>importado</t>
        </is>
      </c>
      <c r="J207" s="5" t="n">
        <v>1</v>
      </c>
      <c r="K207" s="6" t="n">
        <v>705</v>
      </c>
      <c r="L207" s="6" t="n">
        <v>705</v>
      </c>
      <c r="M207" s="6" t="n">
        <v>705</v>
      </c>
      <c r="N207" s="3" t="inlineStr">
        <is>
          <t>Sí</t>
        </is>
      </c>
      <c r="O207" s="6">
        <f>IF(K207="","",IF(N207="Sí",ROUND(K207/1.18,2),K207))</f>
        <v/>
      </c>
      <c r="P207" s="3" t="inlineStr">
        <is>
          <t>2026-09-10</t>
        </is>
      </c>
      <c r="Q207" s="4" t="inlineStr">
        <is>
          <t>Bellón</t>
        </is>
      </c>
      <c r="V207" s="7" t="inlineStr">
        <is>
          <t>4 x 8 pies</t>
        </is>
      </c>
      <c r="AF207" s="4" t="inlineStr">
        <is>
          <t>material: Plywood de pino · espesor: 1/4"</t>
        </is>
      </c>
    </row>
    <row r="208">
      <c r="A208" s="3" t="inlineStr">
        <is>
          <t>MAT-06-031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pino 1/8", 4 x 8 pies</t>
        </is>
      </c>
      <c r="E208" s="4" t="inlineStr"/>
      <c r="F208" s="3" t="inlineStr">
        <is>
          <t>plancha</t>
        </is>
      </c>
      <c r="G208" s="3" t="inlineStr">
        <is>
          <t>Estructura</t>
        </is>
      </c>
      <c r="H208" s="3" t="inlineStr">
        <is>
          <t>estandar</t>
        </is>
      </c>
      <c r="I208" s="3" t="inlineStr">
        <is>
          <t>importado</t>
        </is>
      </c>
      <c r="J208" s="5" t="n">
        <v>1</v>
      </c>
      <c r="K208" s="6" t="n">
        <v>875</v>
      </c>
      <c r="L208" s="6" t="n">
        <v>875</v>
      </c>
      <c r="M208" s="6" t="n">
        <v>875</v>
      </c>
      <c r="N208" s="3" t="inlineStr">
        <is>
          <t>Sí</t>
        </is>
      </c>
      <c r="O208" s="6">
        <f>IF(K208="","",IF(N208="Sí",ROUND(K208/1.18,2),K208))</f>
        <v/>
      </c>
      <c r="P208" s="3" t="inlineStr">
        <is>
          <t>2026-09-10</t>
        </is>
      </c>
      <c r="Q208" s="4" t="inlineStr">
        <is>
          <t>Bellón</t>
        </is>
      </c>
      <c r="V208" s="7" t="inlineStr">
        <is>
          <t>4 x 8 pies</t>
        </is>
      </c>
      <c r="AF208" s="4" t="inlineStr">
        <is>
          <t>material: Plywood de pino · espesor: 1/8"</t>
        </is>
      </c>
    </row>
    <row r="209">
      <c r="A209" s="3" t="inlineStr">
        <is>
          <t>MAT-06-032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pino 3/8", 4 x 8 pies</t>
        </is>
      </c>
      <c r="E209" s="4" t="inlineStr"/>
      <c r="F209" s="3" t="inlineStr">
        <is>
          <t>plancha</t>
        </is>
      </c>
      <c r="G209" s="3" t="inlineStr">
        <is>
          <t>Estructura</t>
        </is>
      </c>
      <c r="H209" s="3" t="inlineStr">
        <is>
          <t>estandar</t>
        </is>
      </c>
      <c r="I209" s="3" t="inlineStr">
        <is>
          <t>importado</t>
        </is>
      </c>
      <c r="J209" s="5" t="n">
        <v>1</v>
      </c>
      <c r="K209" s="6" t="n">
        <v>1030</v>
      </c>
      <c r="L209" s="6" t="n">
        <v>1030</v>
      </c>
      <c r="M209" s="6" t="n">
        <v>1030</v>
      </c>
      <c r="N209" s="3" t="inlineStr">
        <is>
          <t>Sí</t>
        </is>
      </c>
      <c r="O209" s="6">
        <f>IF(K209="","",IF(N209="Sí",ROUND(K209/1.18,2),K209))</f>
        <v/>
      </c>
      <c r="P209" s="3" t="inlineStr">
        <is>
          <t>2026-09-10</t>
        </is>
      </c>
      <c r="Q209" s="4" t="inlineStr">
        <is>
          <t>Bellón</t>
        </is>
      </c>
      <c r="V209" s="7" t="inlineStr">
        <is>
          <t>4 x 8 pies</t>
        </is>
      </c>
      <c r="AF209" s="4" t="inlineStr">
        <is>
          <t>material: Plywood de pino · espesor: 3/8"</t>
        </is>
      </c>
    </row>
    <row r="210">
      <c r="A210" s="3" t="inlineStr">
        <is>
          <t>MAT-06-033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decorativo 1/8", 4 x 8 pies</t>
        </is>
      </c>
      <c r="E210" s="4" t="inlineStr"/>
      <c r="F210" s="3" t="inlineStr">
        <is>
          <t>plancha</t>
        </is>
      </c>
      <c r="G210" s="3" t="inlineStr">
        <is>
          <t>Estructura</t>
        </is>
      </c>
      <c r="H210" s="3" t="inlineStr">
        <is>
          <t>estandar</t>
        </is>
      </c>
      <c r="I210" s="3" t="inlineStr">
        <is>
          <t>importado</t>
        </is>
      </c>
      <c r="J210" s="5" t="n">
        <v>1</v>
      </c>
      <c r="K210" s="6" t="n">
        <v>875</v>
      </c>
      <c r="L210" s="6" t="n">
        <v>875</v>
      </c>
      <c r="M210" s="6" t="n">
        <v>875</v>
      </c>
      <c r="N210" s="3" t="inlineStr">
        <is>
          <t>Sí</t>
        </is>
      </c>
      <c r="O210" s="6">
        <f>IF(K210="","",IF(N210="Sí",ROUND(K210/1.18,2),K210))</f>
        <v/>
      </c>
      <c r="P210" s="3" t="inlineStr">
        <is>
          <t>2026-09-10</t>
        </is>
      </c>
      <c r="Q210" s="4" t="inlineStr">
        <is>
          <t>Bellón</t>
        </is>
      </c>
      <c r="V210" s="7" t="inlineStr">
        <is>
          <t>4 x 8 pies</t>
        </is>
      </c>
      <c r="AF210" s="4" t="inlineStr">
        <is>
          <t>material: Plywood decorativo · espesor: 1/8"</t>
        </is>
      </c>
    </row>
    <row r="211">
      <c r="A211" s="3" t="inlineStr">
        <is>
          <t>MAT-06-034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MDF hidrófugo 1/2", 4 x 8 pies</t>
        </is>
      </c>
      <c r="E211" s="4" t="inlineStr"/>
      <c r="F211" s="3" t="inlineStr">
        <is>
          <t>plancha</t>
        </is>
      </c>
      <c r="G211" s="3" t="inlineStr">
        <is>
          <t>Estructura</t>
        </is>
      </c>
      <c r="H211" s="3" t="inlineStr">
        <is>
          <t>estandar</t>
        </is>
      </c>
      <c r="I211" s="3" t="inlineStr">
        <is>
          <t>importado</t>
        </is>
      </c>
      <c r="J211" s="5" t="n">
        <v>1</v>
      </c>
      <c r="K211" s="6" t="n">
        <v>1735</v>
      </c>
      <c r="L211" s="6" t="n">
        <v>1735</v>
      </c>
      <c r="M211" s="6" t="n">
        <v>1735</v>
      </c>
      <c r="N211" s="3" t="inlineStr">
        <is>
          <t>Sí</t>
        </is>
      </c>
      <c r="O211" s="6">
        <f>IF(K211="","",IF(N211="Sí",ROUND(K211/1.18,2),K211))</f>
        <v/>
      </c>
      <c r="P211" s="3" t="inlineStr">
        <is>
          <t>2026-09-09</t>
        </is>
      </c>
      <c r="Q211" s="4" t="inlineStr">
        <is>
          <t>Max Ferretería</t>
        </is>
      </c>
      <c r="V211" s="7" t="inlineStr">
        <is>
          <t>4 x 8 pies</t>
        </is>
      </c>
      <c r="AF211" s="4" t="inlineStr">
        <is>
          <t>material: Plywood MDF hidrófugo · espesor: 1/2"</t>
        </is>
      </c>
    </row>
    <row r="212">
      <c r="A212" s="3" t="inlineStr">
        <is>
          <t>MAT-06-035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Plywood, 4'X8'X/4" calibre 1/4"</t>
        </is>
      </c>
      <c r="E212" s="4" t="inlineStr"/>
      <c r="F212" s="3" t="inlineStr">
        <is>
          <t>unidad</t>
        </is>
      </c>
      <c r="G212" s="3" t="inlineStr">
        <is>
          <t>Estructura</t>
        </is>
      </c>
      <c r="H212" s="3" t="inlineStr">
        <is>
          <t>estandar</t>
        </is>
      </c>
      <c r="I212" s="3" t="inlineStr">
        <is>
          <t>importado</t>
        </is>
      </c>
      <c r="J212" s="5" t="n">
        <v>1</v>
      </c>
      <c r="K212" s="6" t="n">
        <v>825</v>
      </c>
      <c r="L212" s="6" t="n">
        <v>825</v>
      </c>
      <c r="M212" s="6" t="n">
        <v>825</v>
      </c>
      <c r="N212" s="3" t="inlineStr">
        <is>
          <t>Sí</t>
        </is>
      </c>
      <c r="O212" s="6">
        <f>IF(K212="","",IF(N212="Sí",ROUND(K212/1.18,2),K212))</f>
        <v/>
      </c>
      <c r="P212" s="3" t="inlineStr">
        <is>
          <t>2026-09-09</t>
        </is>
      </c>
      <c r="Q212" s="4" t="inlineStr">
        <is>
          <t>InnovaCentro (La Innovación)</t>
        </is>
      </c>
      <c r="AC212" s="7" t="inlineStr">
        <is>
          <t>1/4"</t>
        </is>
      </c>
      <c r="AD212" s="7" t="inlineStr">
        <is>
          <t>4'X8'X/4"</t>
        </is>
      </c>
    </row>
    <row r="213">
      <c r="A213" s="3" t="inlineStr">
        <is>
          <t>MAT-06-036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Plywood, 4'X8'X1/4"</t>
        </is>
      </c>
      <c r="E213" s="4" t="inlineStr"/>
      <c r="F213" s="3" t="inlineStr">
        <is>
          <t>unidad</t>
        </is>
      </c>
      <c r="G213" s="3" t="inlineStr">
        <is>
          <t>Estructura</t>
        </is>
      </c>
      <c r="H213" s="3" t="inlineStr">
        <is>
          <t>estandar</t>
        </is>
      </c>
      <c r="I213" s="3" t="inlineStr">
        <is>
          <t>importado</t>
        </is>
      </c>
      <c r="J213" s="5" t="n">
        <v>1</v>
      </c>
      <c r="K213" s="6" t="n">
        <v>780</v>
      </c>
      <c r="L213" s="6" t="n">
        <v>780</v>
      </c>
      <c r="M213" s="6" t="n">
        <v>780</v>
      </c>
      <c r="N213" s="3" t="inlineStr">
        <is>
          <t>Sí</t>
        </is>
      </c>
      <c r="O213" s="6">
        <f>IF(K213="","",IF(N213="Sí",ROUND(K213/1.18,2),K213))</f>
        <v/>
      </c>
      <c r="P213" s="3" t="inlineStr">
        <is>
          <t>2026-09-09</t>
        </is>
      </c>
      <c r="Q213" s="4" t="inlineStr">
        <is>
          <t>InnovaCentro (La Innovación)</t>
        </is>
      </c>
      <c r="AC213" s="7" t="inlineStr">
        <is>
          <t>1/4"</t>
        </is>
      </c>
      <c r="AD213" s="7" t="inlineStr">
        <is>
          <t>4'X8'X1/4"</t>
        </is>
      </c>
    </row>
    <row r="214">
      <c r="A214" s="3" t="inlineStr">
        <is>
          <t>MAT-06-037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Plywood, 4'X8'X1/8"</t>
        </is>
      </c>
      <c r="E214" s="4" t="inlineStr"/>
      <c r="F214" s="3" t="inlineStr">
        <is>
          <t>unidad</t>
        </is>
      </c>
      <c r="G214" s="3" t="inlineStr">
        <is>
          <t>Estructura</t>
        </is>
      </c>
      <c r="H214" s="3" t="inlineStr">
        <is>
          <t>estandar</t>
        </is>
      </c>
      <c r="I214" s="3" t="inlineStr">
        <is>
          <t>importado</t>
        </is>
      </c>
      <c r="J214" s="5" t="n">
        <v>1</v>
      </c>
      <c r="K214" s="6" t="n">
        <v>475</v>
      </c>
      <c r="L214" s="6" t="n">
        <v>475</v>
      </c>
      <c r="M214" s="6" t="n">
        <v>475</v>
      </c>
      <c r="N214" s="3" t="inlineStr">
        <is>
          <t>Sí</t>
        </is>
      </c>
      <c r="O214" s="6">
        <f>IF(K214="","",IF(N214="Sí",ROUND(K214/1.18,2),K214))</f>
        <v/>
      </c>
      <c r="P214" s="3" t="inlineStr">
        <is>
          <t>2026-09-09</t>
        </is>
      </c>
      <c r="Q214" s="4" t="inlineStr">
        <is>
          <t>InnovaCentro (La Innovación)</t>
        </is>
      </c>
      <c r="AC214" s="7" t="inlineStr">
        <is>
          <t>1/8"</t>
        </is>
      </c>
      <c r="AD214" s="7" t="inlineStr">
        <is>
          <t>4'X8'X1/8"</t>
        </is>
      </c>
    </row>
    <row r="215">
      <c r="A215" s="3" t="inlineStr">
        <is>
          <t>MAT-06-038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Plywood, 4'X8'X3/8"</t>
        </is>
      </c>
      <c r="E215" s="4" t="inlineStr"/>
      <c r="F215" s="3" t="inlineStr">
        <is>
          <t>unidad</t>
        </is>
      </c>
      <c r="G215" s="3" t="inlineStr">
        <is>
          <t>Estructura</t>
        </is>
      </c>
      <c r="H215" s="3" t="inlineStr">
        <is>
          <t>estandar</t>
        </is>
      </c>
      <c r="I215" s="3" t="inlineStr">
        <is>
          <t>importado</t>
        </is>
      </c>
      <c r="J215" s="5" t="n">
        <v>1</v>
      </c>
      <c r="K215" s="6" t="n">
        <v>1180</v>
      </c>
      <c r="L215" s="6" t="n">
        <v>1115</v>
      </c>
      <c r="M215" s="6" t="n">
        <v>1245</v>
      </c>
      <c r="N215" s="3" t="inlineStr">
        <is>
          <t>Sí</t>
        </is>
      </c>
      <c r="O215" s="6">
        <f>IF(K215="","",IF(N215="Sí",ROUND(K215/1.18,2),K215))</f>
        <v/>
      </c>
      <c r="P215" s="3" t="inlineStr">
        <is>
          <t>2026-09-09</t>
        </is>
      </c>
      <c r="Q215" s="4" t="inlineStr">
        <is>
          <t>InnovaCentro (La Innovación)</t>
        </is>
      </c>
      <c r="AC215" s="7" t="inlineStr">
        <is>
          <t>3/8"</t>
        </is>
      </c>
      <c r="AD215" s="7" t="inlineStr">
        <is>
          <t>4'X8'X3/8"</t>
        </is>
      </c>
    </row>
    <row r="216">
      <c r="A216" s="3" t="inlineStr">
        <is>
          <t>MAT-06-039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Plywood, 4X8'</t>
        </is>
      </c>
      <c r="E216" s="4" t="inlineStr"/>
      <c r="F216" s="3" t="inlineStr">
        <is>
          <t>unidad</t>
        </is>
      </c>
      <c r="G216" s="3" t="inlineStr">
        <is>
          <t>Estructura</t>
        </is>
      </c>
      <c r="H216" s="3" t="inlineStr">
        <is>
          <t>estandar</t>
        </is>
      </c>
      <c r="I216" s="3" t="inlineStr">
        <is>
          <t>importado</t>
        </is>
      </c>
      <c r="J216" s="5" t="n">
        <v>1</v>
      </c>
      <c r="K216" s="6" t="n">
        <v>1995</v>
      </c>
      <c r="L216" s="6" t="n">
        <v>1995</v>
      </c>
      <c r="M216" s="6" t="n">
        <v>1995</v>
      </c>
      <c r="N216" s="3" t="inlineStr">
        <is>
          <t>Sí</t>
        </is>
      </c>
      <c r="O216" s="6">
        <f>IF(K216="","",IF(N216="Sí",ROUND(K216/1.18,2),K216))</f>
        <v/>
      </c>
      <c r="P216" s="3" t="inlineStr">
        <is>
          <t>2026-09-09</t>
        </is>
      </c>
      <c r="Q216" s="4" t="inlineStr">
        <is>
          <t>InnovaCentro (La Innovación)</t>
        </is>
      </c>
      <c r="AD216" s="7" t="inlineStr">
        <is>
          <t>4X8'</t>
        </is>
      </c>
    </row>
    <row r="217">
      <c r="A217" s="3" t="inlineStr">
        <is>
          <t>MAT-07-011</t>
        </is>
      </c>
      <c r="B217" s="3" t="inlineStr">
        <is>
          <t>Materiales</t>
        </is>
      </c>
      <c r="C217" s="3" t="inlineStr">
        <is>
          <t>Techos e impermeabilización</t>
        </is>
      </c>
      <c r="D217" s="4" t="inlineStr">
        <is>
          <t>Zinc acanalado calibre 29, 3 x 6 pies</t>
        </is>
      </c>
      <c r="E217" s="4" t="inlineStr"/>
      <c r="F217" s="3" t="inlineStr">
        <is>
          <t>plancha</t>
        </is>
      </c>
      <c r="G217" s="3" t="inlineStr">
        <is>
          <t>Techos</t>
        </is>
      </c>
      <c r="H217" s="3" t="inlineStr">
        <is>
          <t>economica</t>
        </is>
      </c>
      <c r="I217" s="3" t="inlineStr">
        <is>
          <t>nacional</t>
        </is>
      </c>
      <c r="J217" s="5" t="n">
        <v>3</v>
      </c>
      <c r="K217" s="6" t="n">
        <v>296.18</v>
      </c>
      <c r="L217" s="6" t="n">
        <v>270.21</v>
      </c>
      <c r="M217" s="6" t="n">
        <v>338</v>
      </c>
      <c r="N217" s="3" t="inlineStr">
        <is>
          <t>Sí</t>
        </is>
      </c>
      <c r="O217" s="6">
        <f>IF(K217="","",IF(N217="Sí",ROUND(K217/1.18,2),K217))</f>
        <v/>
      </c>
      <c r="P217" s="3" t="inlineStr">
        <is>
          <t>2026-09-10</t>
        </is>
      </c>
      <c r="Q217" s="4" t="inlineStr">
        <is>
          <t>Bellón · Ferretería Ochoa (8A) · InnovaCentro (La Innovación)</t>
        </is>
      </c>
    </row>
    <row r="218">
      <c r="A218" s="3" t="inlineStr">
        <is>
          <t>MAT-07-012</t>
        </is>
      </c>
      <c r="B218" s="3" t="inlineStr">
        <is>
          <t>Materiales</t>
        </is>
      </c>
      <c r="C218" s="3" t="inlineStr">
        <is>
          <t>Techos e impermeabilización</t>
        </is>
      </c>
      <c r="D218" s="4" t="inlineStr">
        <is>
          <t>Zinc acanalado calibre 29, 3 x 12 pies</t>
        </is>
      </c>
      <c r="E218" s="4" t="inlineStr"/>
      <c r="F218" s="3" t="inlineStr">
        <is>
          <t>plancha</t>
        </is>
      </c>
      <c r="G218" s="3" t="inlineStr">
        <is>
          <t>Techos</t>
        </is>
      </c>
      <c r="H218" s="3" t="inlineStr">
        <is>
          <t>economica</t>
        </is>
      </c>
      <c r="I218" s="3" t="inlineStr">
        <is>
          <t>nacional</t>
        </is>
      </c>
      <c r="J218" s="5" t="n">
        <v>2</v>
      </c>
      <c r="K218" s="6" t="n">
        <v>592.36</v>
      </c>
      <c r="L218" s="6" t="n">
        <v>580</v>
      </c>
      <c r="M218" s="6" t="n">
        <v>668</v>
      </c>
      <c r="N218" s="3" t="inlineStr">
        <is>
          <t>Sí</t>
        </is>
      </c>
      <c r="O218" s="6">
        <f>IF(K218="","",IF(N218="Sí",ROUND(K218/1.18,2),K218))</f>
        <v/>
      </c>
      <c r="P218" s="3" t="inlineStr">
        <is>
          <t>2026-09-10</t>
        </is>
      </c>
      <c r="Q218" s="4" t="inlineStr">
        <is>
          <t>Bellón · Ferretería Ochoa (8A)</t>
        </is>
      </c>
    </row>
    <row r="219">
      <c r="A219" s="3" t="inlineStr">
        <is>
          <t>MAT-07-013</t>
        </is>
      </c>
      <c r="B219" s="3" t="inlineStr">
        <is>
          <t>Materiales</t>
        </is>
      </c>
      <c r="C219" s="3" t="inlineStr">
        <is>
          <t>Techos e impermeabilización</t>
        </is>
      </c>
      <c r="D219" s="4" t="inlineStr">
        <is>
          <t>Zinc acanalado calibre 34, 3 x 6 pies</t>
        </is>
      </c>
      <c r="E219" s="4" t="inlineStr"/>
      <c r="F219" s="3" t="inlineStr">
        <is>
          <t>plancha</t>
        </is>
      </c>
      <c r="G219" s="3" t="inlineStr">
        <is>
          <t>Techos</t>
        </is>
      </c>
      <c r="H219" s="3" t="inlineStr">
        <is>
          <t>economica</t>
        </is>
      </c>
      <c r="I219" s="3" t="inlineStr">
        <is>
          <t>nacional</t>
        </is>
      </c>
      <c r="J219" s="5" t="n">
        <v>4</v>
      </c>
      <c r="K219" s="6" t="n">
        <v>219</v>
      </c>
      <c r="L219" s="6" t="n">
        <v>208.33</v>
      </c>
      <c r="M219" s="6" t="n">
        <v>275.01</v>
      </c>
      <c r="N219" s="3" t="inlineStr">
        <is>
          <t>Sí</t>
        </is>
      </c>
      <c r="O219" s="6">
        <f>IF(K219="","",IF(N219="Sí",ROUND(K219/1.18,2),K219))</f>
        <v/>
      </c>
      <c r="P219" s="3" t="inlineStr">
        <is>
          <t>2026-09-10</t>
        </is>
      </c>
      <c r="Q219" s="4" t="inlineStr">
        <is>
          <t>Bellón · Ferretería Ochoa (8A) · InnovaCentro (La Innovación) · Max Ferretería</t>
        </is>
      </c>
    </row>
    <row r="220">
      <c r="A220" s="3" t="inlineStr">
        <is>
          <t>MAT-07-014</t>
        </is>
      </c>
      <c r="B220" s="3" t="inlineStr">
        <is>
          <t>Materiales</t>
        </is>
      </c>
      <c r="C220" s="3" t="inlineStr">
        <is>
          <t>Techos e impermeabilización</t>
        </is>
      </c>
      <c r="D220" s="4" t="inlineStr">
        <is>
          <t>Zinc acanalado calibre 34, 3 x 12 pies</t>
        </is>
      </c>
      <c r="E220" s="4" t="inlineStr"/>
      <c r="F220" s="3" t="inlineStr">
        <is>
          <t>plancha</t>
        </is>
      </c>
      <c r="G220" s="3" t="inlineStr">
        <is>
          <t>Techos</t>
        </is>
      </c>
      <c r="H220" s="3" t="inlineStr">
        <is>
          <t>economica</t>
        </is>
      </c>
      <c r="I220" s="3" t="inlineStr">
        <is>
          <t>nacional</t>
        </is>
      </c>
      <c r="J220" s="5" t="n">
        <v>2</v>
      </c>
      <c r="K220" s="6" t="n">
        <v>452</v>
      </c>
      <c r="L220" s="6" t="n">
        <v>414.3</v>
      </c>
      <c r="M220" s="6" t="n">
        <v>459</v>
      </c>
      <c r="N220" s="3" t="inlineStr">
        <is>
          <t>Sí</t>
        </is>
      </c>
      <c r="O220" s="6">
        <f>IF(K220="","",IF(N220="Sí",ROUND(K220/1.18,2),K220))</f>
        <v/>
      </c>
      <c r="P220" s="3" t="inlineStr">
        <is>
          <t>2026-09-10</t>
        </is>
      </c>
      <c r="Q220" s="4" t="inlineStr">
        <is>
          <t>Bellón · Ferretería Ochoa (8A)</t>
        </is>
      </c>
    </row>
    <row r="221">
      <c r="A221" s="3" t="inlineStr">
        <is>
          <t>MAT-07-015</t>
        </is>
      </c>
      <c r="B221" s="3" t="inlineStr">
        <is>
          <t>Materiales</t>
        </is>
      </c>
      <c r="C221" s="3" t="inlineStr">
        <is>
          <t>Techos e impermeabilización</t>
        </is>
      </c>
      <c r="D221" s="4" t="inlineStr">
        <is>
          <t>Teja de acero gravillado, 2 piezas por m²</t>
        </is>
      </c>
      <c r="E221" s="4" t="inlineStr"/>
      <c r="F221" s="3" t="inlineStr">
        <is>
          <t>m²</t>
        </is>
      </c>
      <c r="G221" s="3" t="inlineStr">
        <is>
          <t>Techos</t>
        </is>
      </c>
      <c r="H221" s="3" t="inlineStr">
        <is>
          <t>estandar</t>
        </is>
      </c>
      <c r="I221" s="3" t="inlineStr">
        <is>
          <t>importado</t>
        </is>
      </c>
      <c r="J221" s="5" t="n">
        <v>1</v>
      </c>
      <c r="K221" s="6" t="n">
        <v>1026.24</v>
      </c>
      <c r="L221" s="6" t="n">
        <v>1026.24</v>
      </c>
      <c r="M221" s="6" t="n">
        <v>1896.52</v>
      </c>
      <c r="N221" s="3" t="inlineStr">
        <is>
          <t>Sí</t>
        </is>
      </c>
      <c r="O221" s="6">
        <f>IF(K221="","",IF(N221="Sí",ROUND(K221/1.18,2),K221))</f>
        <v/>
      </c>
      <c r="P221" s="3" t="inlineStr">
        <is>
          <t>2026-09-09</t>
        </is>
      </c>
      <c r="Q221" s="4" t="inlineStr">
        <is>
          <t>Ferretería Ochoa (8A)</t>
        </is>
      </c>
      <c r="AF221" s="4" t="inlineStr">
        <is>
          <t>material: acero gravillado · piezas_m2: 2</t>
        </is>
      </c>
    </row>
    <row r="222">
      <c r="A222" s="3" t="inlineStr">
        <is>
          <t>MAT-07-016</t>
        </is>
      </c>
      <c r="B222" s="3" t="inlineStr">
        <is>
          <t>Materiales</t>
        </is>
      </c>
      <c r="C222" s="3" t="inlineStr">
        <is>
          <t>Techos e impermeabilización</t>
        </is>
      </c>
      <c r="D222" s="4" t="inlineStr">
        <is>
          <t>Teja de cerámica, 10.5 piezas por m²</t>
        </is>
      </c>
      <c r="E222" s="4" t="inlineStr"/>
      <c r="F222" s="3" t="inlineStr">
        <is>
          <t>m²</t>
        </is>
      </c>
      <c r="G222" s="3" t="inlineStr">
        <is>
          <t>Techos</t>
        </is>
      </c>
      <c r="H222" s="3" t="inlineStr">
        <is>
          <t>estandar</t>
        </is>
      </c>
      <c r="I222" s="3" t="inlineStr">
        <is>
          <t>importado</t>
        </is>
      </c>
      <c r="J222" s="5" t="n">
        <v>1</v>
      </c>
      <c r="K222" s="6" t="n">
        <v>1677.27</v>
      </c>
      <c r="L222" s="6" t="n">
        <v>1677.27</v>
      </c>
      <c r="M222" s="6" t="n">
        <v>1677.27</v>
      </c>
      <c r="N222" s="3" t="inlineStr">
        <is>
          <t>Sí</t>
        </is>
      </c>
      <c r="O222" s="6">
        <f>IF(K222="","",IF(N222="Sí",ROUND(K222/1.18,2),K222))</f>
        <v/>
      </c>
      <c r="P222" s="3" t="inlineStr">
        <is>
          <t>2026-09-09</t>
        </is>
      </c>
      <c r="Q222" s="4" t="inlineStr">
        <is>
          <t>Ferretería Ochoa (8A)</t>
        </is>
      </c>
      <c r="AF222" s="4" t="inlineStr">
        <is>
          <t>material: cerámica · piezas_m2: 10.5</t>
        </is>
      </c>
    </row>
    <row r="223">
      <c r="A223" s="3" t="inlineStr">
        <is>
          <t>MAT-07-017</t>
        </is>
      </c>
      <c r="B223" s="3" t="inlineStr">
        <is>
          <t>Materiales</t>
        </is>
      </c>
      <c r="C223" s="3" t="inlineStr">
        <is>
          <t>Techos e impermeabilización</t>
        </is>
      </c>
      <c r="D223" s="4" t="inlineStr">
        <is>
          <t>Teja de cerámica, 11.5 piezas por m²</t>
        </is>
      </c>
      <c r="E223" s="4" t="inlineStr"/>
      <c r="F223" s="3" t="inlineStr">
        <is>
          <t>m²</t>
        </is>
      </c>
      <c r="G223" s="3" t="inlineStr">
        <is>
          <t>Techos</t>
        </is>
      </c>
      <c r="H223" s="3" t="inlineStr">
        <is>
          <t>estandar</t>
        </is>
      </c>
      <c r="I223" s="3" t="inlineStr">
        <is>
          <t>importado</t>
        </is>
      </c>
      <c r="J223" s="5" t="n">
        <v>1</v>
      </c>
      <c r="K223" s="6" t="n">
        <v>2064.49</v>
      </c>
      <c r="L223" s="6" t="n">
        <v>2043.67</v>
      </c>
      <c r="M223" s="6" t="n">
        <v>2085.3</v>
      </c>
      <c r="N223" s="3" t="inlineStr">
        <is>
          <t>Sí</t>
        </is>
      </c>
      <c r="O223" s="6">
        <f>IF(K223="","",IF(N223="Sí",ROUND(K223/1.18,2),K223))</f>
        <v/>
      </c>
      <c r="P223" s="3" t="inlineStr">
        <is>
          <t>2026-09-09</t>
        </is>
      </c>
      <c r="Q223" s="4" t="inlineStr">
        <is>
          <t>Ferretería Ochoa (8A)</t>
        </is>
      </c>
      <c r="AF223" s="4" t="inlineStr">
        <is>
          <t>material: cerámica · piezas_m2: 11.5</t>
        </is>
      </c>
    </row>
    <row r="224">
      <c r="A224" s="3" t="inlineStr">
        <is>
          <t>MAT-07-018</t>
        </is>
      </c>
      <c r="B224" s="3" t="inlineStr">
        <is>
          <t>Materiales</t>
        </is>
      </c>
      <c r="C224" s="3" t="inlineStr">
        <is>
          <t>Techos e impermeabilización</t>
        </is>
      </c>
      <c r="D224" s="4" t="inlineStr">
        <is>
          <t>Caballete para teja de acero gravillado</t>
        </is>
      </c>
      <c r="E224" s="4" t="inlineStr"/>
      <c r="F224" s="3" t="inlineStr">
        <is>
          <t>unidad</t>
        </is>
      </c>
      <c r="G224" s="3" t="inlineStr">
        <is>
          <t>Techos</t>
        </is>
      </c>
      <c r="H224" s="3" t="inlineStr">
        <is>
          <t>estandar</t>
        </is>
      </c>
      <c r="I224" s="3" t="inlineStr">
        <is>
          <t>importado</t>
        </is>
      </c>
      <c r="J224" s="5" t="n">
        <v>1</v>
      </c>
      <c r="K224" s="6" t="n">
        <v>386.75</v>
      </c>
      <c r="L224" s="6" t="n">
        <v>202.34</v>
      </c>
      <c r="M224" s="6" t="n">
        <v>394.64</v>
      </c>
      <c r="N224" s="3" t="inlineStr">
        <is>
          <t>Sí</t>
        </is>
      </c>
      <c r="O224" s="6">
        <f>IF(K224="","",IF(N224="Sí",ROUND(K224/1.18,2),K224))</f>
        <v/>
      </c>
      <c r="P224" s="3" t="inlineStr">
        <is>
          <t>2026-09-09</t>
        </is>
      </c>
      <c r="Q224" s="4" t="inlineStr">
        <is>
          <t>Ferretería Ochoa (8A)</t>
        </is>
      </c>
      <c r="AF224" s="4" t="inlineStr">
        <is>
          <t>pieza: caballete · material: acero gravillado</t>
        </is>
      </c>
    </row>
    <row r="225">
      <c r="A225" s="3" t="inlineStr">
        <is>
          <t>MAT-07-019</t>
        </is>
      </c>
      <c r="B225" s="3" t="inlineStr">
        <is>
          <t>Materiales</t>
        </is>
      </c>
      <c r="C225" s="3" t="inlineStr">
        <is>
          <t>Techos e impermeabilización</t>
        </is>
      </c>
      <c r="D225" s="4" t="inlineStr">
        <is>
          <t>Final de caballete para teja de acero gravillado</t>
        </is>
      </c>
      <c r="E225" s="4" t="inlineStr"/>
      <c r="F225" s="3" t="inlineStr">
        <is>
          <t>unidad</t>
        </is>
      </c>
      <c r="G225" s="3" t="inlineStr">
        <is>
          <t>Techos</t>
        </is>
      </c>
      <c r="H225" s="3" t="inlineStr">
        <is>
          <t>estandar</t>
        </is>
      </c>
      <c r="I225" s="3" t="inlineStr">
        <is>
          <t>importado</t>
        </is>
      </c>
      <c r="J225" s="5" t="n">
        <v>1</v>
      </c>
      <c r="K225" s="6" t="n">
        <v>136.66</v>
      </c>
      <c r="L225" s="6" t="n">
        <v>131.47</v>
      </c>
      <c r="M225" s="6" t="n">
        <v>179.5</v>
      </c>
      <c r="N225" s="3" t="inlineStr">
        <is>
          <t>Sí</t>
        </is>
      </c>
      <c r="O225" s="6">
        <f>IF(K225="","",IF(N225="Sí",ROUND(K225/1.18,2),K225))</f>
        <v/>
      </c>
      <c r="P225" s="3" t="inlineStr">
        <is>
          <t>2026-09-09</t>
        </is>
      </c>
      <c r="Q225" s="4" t="inlineStr">
        <is>
          <t>Ferretería Ochoa (8A)</t>
        </is>
      </c>
      <c r="AF225" s="4" t="inlineStr">
        <is>
          <t>pieza: final · material: acero gravillado</t>
        </is>
      </c>
    </row>
    <row r="226">
      <c r="A226" s="3" t="inlineStr">
        <is>
          <t>MAT-07-020</t>
        </is>
      </c>
      <c r="B226" s="3" t="inlineStr">
        <is>
          <t>Materiales</t>
        </is>
      </c>
      <c r="C226" s="3" t="inlineStr">
        <is>
          <t>Techos e impermeabilización</t>
        </is>
      </c>
      <c r="D226" s="4" t="inlineStr">
        <is>
          <t>Final de caballete para teja de cerámica</t>
        </is>
      </c>
      <c r="E226" s="4" t="inlineStr"/>
      <c r="F226" s="3" t="inlineStr">
        <is>
          <t>unidad</t>
        </is>
      </c>
      <c r="G226" s="3" t="inlineStr">
        <is>
          <t>Techos</t>
        </is>
      </c>
      <c r="H226" s="3" t="inlineStr">
        <is>
          <t>estandar</t>
        </is>
      </c>
      <c r="I226" s="3" t="inlineStr">
        <is>
          <t>importado</t>
        </is>
      </c>
      <c r="J226" s="5" t="n">
        <v>1</v>
      </c>
      <c r="K226" s="6" t="n">
        <v>2198.43</v>
      </c>
      <c r="L226" s="6" t="n">
        <v>2198.43</v>
      </c>
      <c r="M226" s="6" t="n">
        <v>2198.43</v>
      </c>
      <c r="N226" s="3" t="inlineStr">
        <is>
          <t>Sí</t>
        </is>
      </c>
      <c r="O226" s="6">
        <f>IF(K226="","",IF(N226="Sí",ROUND(K226/1.18,2),K226))</f>
        <v/>
      </c>
      <c r="P226" s="3" t="inlineStr">
        <is>
          <t>2026-09-09</t>
        </is>
      </c>
      <c r="Q226" s="4" t="inlineStr">
        <is>
          <t>Ferretería Ochoa (8A)</t>
        </is>
      </c>
      <c r="AF226" s="4" t="inlineStr">
        <is>
          <t>pieza: final · material: cerámica</t>
        </is>
      </c>
    </row>
    <row r="227">
      <c r="A227" s="3" t="inlineStr">
        <is>
          <t>MAT-07-021</t>
        </is>
      </c>
      <c r="B227" s="3" t="inlineStr">
        <is>
          <t>Materiales</t>
        </is>
      </c>
      <c r="C227" s="3" t="inlineStr">
        <is>
          <t>Techos e impermeabilización</t>
        </is>
      </c>
      <c r="D227" s="4" t="inlineStr">
        <is>
          <t>Zinc liso calibre 29, 3 x 6 pies</t>
        </is>
      </c>
      <c r="E227" s="4" t="inlineStr"/>
      <c r="F227" s="3" t="inlineStr">
        <is>
          <t>plancha</t>
        </is>
      </c>
      <c r="G227" s="3" t="inlineStr">
        <is>
          <t>Techos</t>
        </is>
      </c>
      <c r="H227" s="3" t="inlineStr">
        <is>
          <t>economica</t>
        </is>
      </c>
      <c r="I227" s="3" t="inlineStr">
        <is>
          <t>nacional</t>
        </is>
      </c>
      <c r="J227" s="5" t="n">
        <v>2</v>
      </c>
      <c r="K227" s="6" t="n">
        <v>302.34</v>
      </c>
      <c r="L227" s="6" t="n">
        <v>270.35</v>
      </c>
      <c r="M227" s="6" t="n">
        <v>331</v>
      </c>
      <c r="N227" s="3" t="inlineStr">
        <is>
          <t>Sí</t>
        </is>
      </c>
      <c r="O227" s="6">
        <f>IF(K227="","",IF(N227="Sí",ROUND(K227/1.18,2),K227))</f>
        <v/>
      </c>
      <c r="P227" s="3" t="inlineStr">
        <is>
          <t>2026-09-10</t>
        </is>
      </c>
      <c r="Q227" s="4" t="inlineStr">
        <is>
          <t>Bellón · Ferretería Ochoa (8A)</t>
        </is>
      </c>
    </row>
    <row r="228">
      <c r="A228" s="3" t="inlineStr">
        <is>
          <t>MAT-07-022</t>
        </is>
      </c>
      <c r="B228" s="3" t="inlineStr">
        <is>
          <t>Materiales</t>
        </is>
      </c>
      <c r="C228" s="3" t="inlineStr">
        <is>
          <t>Techos e impermeabilización</t>
        </is>
      </c>
      <c r="D228" s="4" t="inlineStr">
        <is>
          <t>Zinc liso calibre 34, 3 x 6 pies</t>
        </is>
      </c>
      <c r="E228" s="4" t="inlineStr"/>
      <c r="F228" s="3" t="inlineStr">
        <is>
          <t>plancha</t>
        </is>
      </c>
      <c r="G228" s="3" t="inlineStr">
        <is>
          <t>Techos</t>
        </is>
      </c>
      <c r="H228" s="3" t="inlineStr">
        <is>
          <t>economica</t>
        </is>
      </c>
      <c r="I228" s="3" t="inlineStr">
        <is>
          <t>nacional</t>
        </is>
      </c>
      <c r="J228" s="5" t="n">
        <v>2</v>
      </c>
      <c r="K228" s="6" t="n">
        <v>215.03</v>
      </c>
      <c r="L228" s="6" t="n">
        <v>208.33</v>
      </c>
      <c r="M228" s="6" t="n">
        <v>232</v>
      </c>
      <c r="N228" s="3" t="inlineStr">
        <is>
          <t>Sí</t>
        </is>
      </c>
      <c r="O228" s="6">
        <f>IF(K228="","",IF(N228="Sí",ROUND(K228/1.18,2),K228))</f>
        <v/>
      </c>
      <c r="P228" s="3" t="inlineStr">
        <is>
          <t>2026-09-10</t>
        </is>
      </c>
      <c r="Q228" s="4" t="inlineStr">
        <is>
          <t>Bellón · Ferretería Ochoa (8A)</t>
        </is>
      </c>
    </row>
    <row r="229">
      <c r="A229" s="3" t="inlineStr">
        <is>
          <t>MAT-07-023</t>
        </is>
      </c>
      <c r="B229" s="3" t="inlineStr">
        <is>
          <t>Materiales</t>
        </is>
      </c>
      <c r="C229" s="3" t="inlineStr">
        <is>
          <t>Techos e impermeabilización</t>
        </is>
      </c>
      <c r="D229" s="4" t="inlineStr">
        <is>
          <t>Zinc translúcido 3 x 6 pies</t>
        </is>
      </c>
      <c r="E229" s="4" t="inlineStr"/>
      <c r="F229" s="3" t="inlineStr">
        <is>
          <t>plancha</t>
        </is>
      </c>
      <c r="G229" s="3" t="inlineStr">
        <is>
          <t>Techos</t>
        </is>
      </c>
      <c r="H229" s="3" t="inlineStr">
        <is>
          <t>estandar</t>
        </is>
      </c>
      <c r="I229" s="3" t="inlineStr">
        <is>
          <t>importado</t>
        </is>
      </c>
      <c r="J229" s="5" t="n">
        <v>3</v>
      </c>
      <c r="K229" s="6" t="n">
        <v>1127.34</v>
      </c>
      <c r="L229" s="6" t="n">
        <v>1050.01</v>
      </c>
      <c r="M229" s="6" t="n">
        <v>1795</v>
      </c>
      <c r="N229" s="3" t="inlineStr">
        <is>
          <t>Sí</t>
        </is>
      </c>
      <c r="O229" s="6">
        <f>IF(K229="","",IF(N229="Sí",ROUND(K229/1.18,2),K229))</f>
        <v/>
      </c>
      <c r="P229" s="3" t="inlineStr">
        <is>
          <t>2026-09-09</t>
        </is>
      </c>
      <c r="Q229" s="4" t="inlineStr">
        <is>
          <t>Ferretería Ochoa (8A) · InnovaCentro (La Innovación) · Max Ferretería</t>
        </is>
      </c>
    </row>
    <row r="230">
      <c r="A230" s="3" t="inlineStr">
        <is>
          <t>MAT-07-024</t>
        </is>
      </c>
      <c r="B230" s="3" t="inlineStr">
        <is>
          <t>Materiales</t>
        </is>
      </c>
      <c r="C230" s="3" t="inlineStr">
        <is>
          <t>Techos e impermeabilización</t>
        </is>
      </c>
      <c r="D230" s="4" t="inlineStr">
        <is>
          <t>Caballete para aluzinc 21"</t>
        </is>
      </c>
      <c r="E230" s="4" t="inlineStr">
        <is>
          <t>Tramo de 10 pies</t>
        </is>
      </c>
      <c r="F230" s="3" t="inlineStr">
        <is>
          <t>unidad</t>
        </is>
      </c>
      <c r="G230" s="3" t="inlineStr">
        <is>
          <t>Techos</t>
        </is>
      </c>
      <c r="H230" s="3" t="inlineStr">
        <is>
          <t>estandar</t>
        </is>
      </c>
      <c r="I230" s="3" t="inlineStr">
        <is>
          <t>importado</t>
        </is>
      </c>
      <c r="J230" s="5" t="n">
        <v>1</v>
      </c>
      <c r="K230" s="6" t="n">
        <v>660</v>
      </c>
      <c r="L230" s="6" t="n">
        <v>660</v>
      </c>
      <c r="M230" s="6" t="n">
        <v>660</v>
      </c>
      <c r="N230" s="3" t="inlineStr">
        <is>
          <t>Sí</t>
        </is>
      </c>
      <c r="O230" s="6">
        <f>IF(K230="","",IF(N230="Sí",ROUND(K230/1.18,2),K230))</f>
        <v/>
      </c>
      <c r="P230" s="3" t="inlineStr">
        <is>
          <t>2026-09-09</t>
        </is>
      </c>
      <c r="Q230" s="4" t="inlineStr">
        <is>
          <t>Ferretería Ochoa (8A)</t>
        </is>
      </c>
    </row>
    <row r="231">
      <c r="A231" s="3" t="inlineStr">
        <is>
          <t>MAT-07-025</t>
        </is>
      </c>
      <c r="B231" s="3" t="inlineStr">
        <is>
          <t>Materiales</t>
        </is>
      </c>
      <c r="C231" s="3" t="inlineStr">
        <is>
          <t>Techos e impermeabilización</t>
        </is>
      </c>
      <c r="D231" s="4" t="inlineStr">
        <is>
          <t>Caballete de fibra para techo fibra de refuerzo, 0.76x0.6</t>
        </is>
      </c>
      <c r="E231" s="4" t="inlineStr"/>
      <c r="F231" s="3" t="inlineStr">
        <is>
          <t>unidad</t>
        </is>
      </c>
      <c r="G231" s="3" t="inlineStr">
        <is>
          <t>Techos</t>
        </is>
      </c>
      <c r="H231" s="3" t="inlineStr">
        <is>
          <t>estandar</t>
        </is>
      </c>
      <c r="I231" s="3" t="inlineStr">
        <is>
          <t>importado</t>
        </is>
      </c>
      <c r="J231" s="5" t="n">
        <v>1</v>
      </c>
      <c r="K231" s="6" t="n">
        <v>1535</v>
      </c>
      <c r="L231" s="6" t="n">
        <v>1535</v>
      </c>
      <c r="M231" s="6" t="n">
        <v>1535</v>
      </c>
      <c r="N231" s="3" t="inlineStr">
        <is>
          <t>Sí</t>
        </is>
      </c>
      <c r="O231" s="6">
        <f>IF(K231="","",IF(N231="Sí",ROUND(K231/1.18,2),K231))</f>
        <v/>
      </c>
      <c r="P231" s="3" t="inlineStr">
        <is>
          <t>2026-09-09</t>
        </is>
      </c>
      <c r="Q231" s="4" t="inlineStr">
        <is>
          <t>InnovaCentro (La Innovación)</t>
        </is>
      </c>
      <c r="AD231" s="7" t="inlineStr">
        <is>
          <t>0.76x0.6</t>
        </is>
      </c>
      <c r="AE231" s="7" t="inlineStr">
        <is>
          <t>fibra de refuerzo</t>
        </is>
      </c>
    </row>
    <row r="232">
      <c r="A232" s="3" t="inlineStr">
        <is>
          <t>MAT-07-026</t>
        </is>
      </c>
      <c r="B232" s="3" t="inlineStr">
        <is>
          <t>Materiales</t>
        </is>
      </c>
      <c r="C232" s="3" t="inlineStr">
        <is>
          <t>Techos e impermeabilización</t>
        </is>
      </c>
      <c r="D232" s="4" t="inlineStr">
        <is>
          <t>Plancha tipo teja de fibra fibra de refuerzo, 0.76X1.15</t>
        </is>
      </c>
      <c r="E232" s="4" t="inlineStr"/>
      <c r="F232" s="3" t="inlineStr">
        <is>
          <t>unidad</t>
        </is>
      </c>
      <c r="G232" s="3" t="inlineStr">
        <is>
          <t>Techos</t>
        </is>
      </c>
      <c r="H232" s="3" t="inlineStr">
        <is>
          <t>estandar</t>
        </is>
      </c>
      <c r="I232" s="3" t="inlineStr">
        <is>
          <t>importado</t>
        </is>
      </c>
      <c r="J232" s="5" t="n">
        <v>1</v>
      </c>
      <c r="K232" s="6" t="n">
        <v>1450</v>
      </c>
      <c r="L232" s="6" t="n">
        <v>1450</v>
      </c>
      <c r="M232" s="6" t="n">
        <v>1450</v>
      </c>
      <c r="N232" s="3" t="inlineStr">
        <is>
          <t>Sí</t>
        </is>
      </c>
      <c r="O232" s="6">
        <f>IF(K232="","",IF(N232="Sí",ROUND(K232/1.18,2),K232))</f>
        <v/>
      </c>
      <c r="P232" s="3" t="inlineStr">
        <is>
          <t>2026-09-09</t>
        </is>
      </c>
      <c r="Q232" s="4" t="inlineStr">
        <is>
          <t>InnovaCentro (La Innovación)</t>
        </is>
      </c>
      <c r="AD232" s="7" t="inlineStr">
        <is>
          <t>0.76X1.15</t>
        </is>
      </c>
      <c r="AE232" s="7" t="inlineStr">
        <is>
          <t>fibra de refuerzo</t>
        </is>
      </c>
    </row>
    <row r="233">
      <c r="A233" s="3" t="inlineStr">
        <is>
          <t>MAT-07-027</t>
        </is>
      </c>
      <c r="B233" s="3" t="inlineStr">
        <is>
          <t>Materiales</t>
        </is>
      </c>
      <c r="C233" s="3" t="inlineStr">
        <is>
          <t>Techos e impermeabilización</t>
        </is>
      </c>
      <c r="D233" s="4" t="inlineStr">
        <is>
          <t>Caballete de zinc calibre 29, 6 pies</t>
        </is>
      </c>
      <c r="E233" s="4" t="inlineStr"/>
      <c r="F233" s="3" t="inlineStr">
        <is>
          <t>unidad</t>
        </is>
      </c>
      <c r="G233" s="3" t="inlineStr">
        <is>
          <t>Techos</t>
        </is>
      </c>
      <c r="H233" s="3" t="inlineStr">
        <is>
          <t>economica</t>
        </is>
      </c>
      <c r="I233" s="3" t="inlineStr">
        <is>
          <t>nacional</t>
        </is>
      </c>
      <c r="J233" s="5" t="n">
        <v>1</v>
      </c>
      <c r="K233" s="6" t="n">
        <v>141.1</v>
      </c>
      <c r="L233" s="6" t="n">
        <v>141.1</v>
      </c>
      <c r="M233" s="6" t="n">
        <v>141.1</v>
      </c>
      <c r="N233" s="3" t="inlineStr">
        <is>
          <t>Sí</t>
        </is>
      </c>
      <c r="O233" s="6">
        <f>IF(K233="","",IF(N233="Sí",ROUND(K233/1.18,2),K233))</f>
        <v/>
      </c>
      <c r="P233" s="3" t="inlineStr">
        <is>
          <t>2026-09-09</t>
        </is>
      </c>
      <c r="Q233" s="4" t="inlineStr">
        <is>
          <t>Ferretería Ochoa (8A)</t>
        </is>
      </c>
    </row>
    <row r="234">
      <c r="A234" s="3" t="inlineStr">
        <is>
          <t>MAT-07-028</t>
        </is>
      </c>
      <c r="B234" s="3" t="inlineStr">
        <is>
          <t>Materiales</t>
        </is>
      </c>
      <c r="C234" s="3" t="inlineStr">
        <is>
          <t>Techos e impermeabilización</t>
        </is>
      </c>
      <c r="D234" s="4" t="inlineStr">
        <is>
          <t>Caballete de zinc calibre 34, 6 pies</t>
        </is>
      </c>
      <c r="E234" s="4" t="inlineStr"/>
      <c r="F234" s="3" t="inlineStr">
        <is>
          <t>unidad</t>
        </is>
      </c>
      <c r="G234" s="3" t="inlineStr">
        <is>
          <t>Techos</t>
        </is>
      </c>
      <c r="H234" s="3" t="inlineStr">
        <is>
          <t>economica</t>
        </is>
      </c>
      <c r="I234" s="3" t="inlineStr">
        <is>
          <t>nacional</t>
        </is>
      </c>
      <c r="J234" s="5" t="n">
        <v>1</v>
      </c>
      <c r="K234" s="6" t="n">
        <v>104.29</v>
      </c>
      <c r="L234" s="6" t="n">
        <v>104.29</v>
      </c>
      <c r="M234" s="6" t="n">
        <v>104.29</v>
      </c>
      <c r="N234" s="3" t="inlineStr">
        <is>
          <t>Sí</t>
        </is>
      </c>
      <c r="O234" s="6">
        <f>IF(K234="","",IF(N234="Sí",ROUND(K234/1.18,2),K234))</f>
        <v/>
      </c>
      <c r="P234" s="3" t="inlineStr">
        <is>
          <t>2026-09-09</t>
        </is>
      </c>
      <c r="Q234" s="4" t="inlineStr">
        <is>
          <t>Ferretería Ochoa (8A)</t>
        </is>
      </c>
    </row>
    <row r="235">
      <c r="A235" s="3" t="inlineStr">
        <is>
          <t>MAT-07-029</t>
        </is>
      </c>
      <c r="B235" s="3" t="inlineStr">
        <is>
          <t>Materiales</t>
        </is>
      </c>
      <c r="C235" s="3" t="inlineStr">
        <is>
          <t>Techos e impermeabilización</t>
        </is>
      </c>
      <c r="D235" s="4" t="inlineStr">
        <is>
          <t>Caño para aluzinc 6" x 7" x 10 pies</t>
        </is>
      </c>
      <c r="E235" s="4" t="inlineStr"/>
      <c r="F235" s="3" t="inlineStr">
        <is>
          <t>unidad</t>
        </is>
      </c>
      <c r="G235" s="3" t="inlineStr">
        <is>
          <t>Techos</t>
        </is>
      </c>
      <c r="H235" s="3" t="inlineStr">
        <is>
          <t>estandar</t>
        </is>
      </c>
      <c r="I235" s="3" t="inlineStr">
        <is>
          <t>importado</t>
        </is>
      </c>
      <c r="J235" s="5" t="n">
        <v>1</v>
      </c>
      <c r="K235" s="6" t="n">
        <v>659.86</v>
      </c>
      <c r="L235" s="6" t="n">
        <v>659.86</v>
      </c>
      <c r="M235" s="6" t="n">
        <v>659.86</v>
      </c>
      <c r="N235" s="3" t="inlineStr">
        <is>
          <t>Sí</t>
        </is>
      </c>
      <c r="O235" s="6">
        <f>IF(K235="","",IF(N235="Sí",ROUND(K235/1.18,2),K235))</f>
        <v/>
      </c>
      <c r="P235" s="3" t="inlineStr">
        <is>
          <t>2026-09-09</t>
        </is>
      </c>
      <c r="Q235" s="4" t="inlineStr">
        <is>
          <t>Ferretería Ochoa (8A)</t>
        </is>
      </c>
    </row>
    <row r="236">
      <c r="A236" s="3" t="inlineStr">
        <is>
          <t>MAT-08-014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100 x 30 cm</t>
        </is>
      </c>
      <c r="E236" s="4" t="inlineStr"/>
      <c r="F236" s="3" t="inlineStr">
        <is>
          <t>m²</t>
        </is>
      </c>
      <c r="G236" s="3" t="inlineStr">
        <is>
          <t>Pisos</t>
        </is>
      </c>
      <c r="H236" s="3" t="inlineStr">
        <is>
          <t>estandar</t>
        </is>
      </c>
      <c r="I236" s="3" t="inlineStr">
        <is>
          <t>importado</t>
        </is>
      </c>
      <c r="J236" s="5" t="n">
        <v>2</v>
      </c>
      <c r="K236" s="6" t="n">
        <v>2112.23</v>
      </c>
      <c r="L236" s="6" t="n">
        <v>1291.51</v>
      </c>
      <c r="M236" s="6" t="n">
        <v>3214.08</v>
      </c>
      <c r="N236" s="3" t="inlineStr">
        <is>
          <t>Sí</t>
        </is>
      </c>
      <c r="O236" s="6">
        <f>IF(K236="","",IF(N236="Sí",ROUND(K236/1.18,2),K236))</f>
        <v/>
      </c>
      <c r="P236" s="3" t="inlineStr">
        <is>
          <t>2026-09-10</t>
        </is>
      </c>
      <c r="Q236" s="4" t="inlineStr">
        <is>
          <t>CerArte · Ferretería Ochoa (8A)</t>
        </is>
      </c>
      <c r="U236" s="7" t="n">
        <v>100</v>
      </c>
      <c r="V236" s="7" t="inlineStr">
        <is>
          <t>100 x 30 cm</t>
        </is>
      </c>
      <c r="AE236" s="7" t="inlineStr">
        <is>
          <t>pared</t>
        </is>
      </c>
      <c r="AF236" s="4" t="inlineStr">
        <is>
          <t>material: ceramica · ancho_cm: 30 · piezas_m2: 3.17</t>
        </is>
      </c>
    </row>
    <row r="237">
      <c r="A237" s="3" t="inlineStr">
        <is>
          <t>MAT-08-015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pared, 100 x 33 cm</t>
        </is>
      </c>
      <c r="E237" s="4" t="inlineStr"/>
      <c r="F237" s="3" t="inlineStr">
        <is>
          <t>m²</t>
        </is>
      </c>
      <c r="G237" s="3" t="inlineStr">
        <is>
          <t>Pisos</t>
        </is>
      </c>
      <c r="H237" s="3" t="inlineStr">
        <is>
          <t>estandar</t>
        </is>
      </c>
      <c r="I237" s="3" t="inlineStr">
        <is>
          <t>importado</t>
        </is>
      </c>
      <c r="J237" s="5" t="n">
        <v>2</v>
      </c>
      <c r="K237" s="6" t="n">
        <v>1725.01</v>
      </c>
      <c r="L237" s="6" t="n">
        <v>1239.18</v>
      </c>
      <c r="M237" s="6" t="n">
        <v>1825.08</v>
      </c>
      <c r="N237" s="3" t="inlineStr">
        <is>
          <t>Sí</t>
        </is>
      </c>
      <c r="O237" s="6">
        <f>IF(K237="","",IF(N237="Sí",ROUND(K237/1.18,2),K237))</f>
        <v/>
      </c>
      <c r="P237" s="3" t="inlineStr">
        <is>
          <t>2026-09-10</t>
        </is>
      </c>
      <c r="Q237" s="4" t="inlineStr">
        <is>
          <t>Ferretería Ochoa (8A) · La Ibérica</t>
        </is>
      </c>
      <c r="U237" s="7" t="n">
        <v>100</v>
      </c>
      <c r="V237" s="7" t="inlineStr">
        <is>
          <t>100 x 33 cm</t>
        </is>
      </c>
      <c r="AE237" s="7" t="inlineStr">
        <is>
          <t>pared</t>
        </is>
      </c>
      <c r="AF237" s="4" t="inlineStr">
        <is>
          <t>material: ceramica · ancho_cm: 33 · piezas_m2: 3 · espesor_mm: 5</t>
        </is>
      </c>
    </row>
    <row r="238">
      <c r="A238" s="3" t="inlineStr">
        <is>
          <t>MAT-08-016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pared, 113 x 55 cm</t>
        </is>
      </c>
      <c r="E238" s="4" t="inlineStr"/>
      <c r="F238" s="3" t="inlineStr">
        <is>
          <t>m²</t>
        </is>
      </c>
      <c r="G238" s="3" t="inlineStr">
        <is>
          <t>Pisos</t>
        </is>
      </c>
      <c r="H238" s="3" t="inlineStr">
        <is>
          <t>estandar</t>
        </is>
      </c>
      <c r="I238" s="3" t="inlineStr">
        <is>
          <t>importado</t>
        </is>
      </c>
      <c r="J238" s="5" t="n">
        <v>1</v>
      </c>
      <c r="K238" s="6" t="n">
        <v>1045.19</v>
      </c>
      <c r="L238" s="6" t="n">
        <v>1045.19</v>
      </c>
      <c r="M238" s="6" t="n">
        <v>1045.19</v>
      </c>
      <c r="N238" s="3" t="inlineStr">
        <is>
          <t>Sí</t>
        </is>
      </c>
      <c r="O238" s="6">
        <f>IF(K238="","",IF(N238="Sí",ROUND(K238/1.18,2),K238))</f>
        <v/>
      </c>
      <c r="P238" s="3" t="inlineStr">
        <is>
          <t>2026-09-09</t>
        </is>
      </c>
      <c r="Q238" s="4" t="inlineStr">
        <is>
          <t>Ferretería Ochoa (8A)</t>
        </is>
      </c>
      <c r="U238" s="7" t="n">
        <v>113</v>
      </c>
      <c r="V238" s="7" t="inlineStr">
        <is>
          <t>113 x 55 cm</t>
        </is>
      </c>
      <c r="AE238" s="7" t="inlineStr">
        <is>
          <t>pared</t>
        </is>
      </c>
      <c r="AF238" s="4" t="inlineStr">
        <is>
          <t>material: ceramica · ancho_cm: 55 · piezas_m2: 1.58 · acabado: mate · espesor_mm: 9</t>
        </is>
      </c>
    </row>
    <row r="239">
      <c r="A239" s="3" t="inlineStr">
        <is>
          <t>MAT-08-017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pared, 120 x 120 cm</t>
        </is>
      </c>
      <c r="E239" s="4" t="inlineStr"/>
      <c r="F239" s="3" t="inlineStr">
        <is>
          <t>m²</t>
        </is>
      </c>
      <c r="G239" s="3" t="inlineStr">
        <is>
          <t>Pisos</t>
        </is>
      </c>
      <c r="H239" s="3" t="inlineStr">
        <is>
          <t>estandar</t>
        </is>
      </c>
      <c r="I239" s="3" t="inlineStr">
        <is>
          <t>importado</t>
        </is>
      </c>
      <c r="J239" s="5" t="n">
        <v>1</v>
      </c>
      <c r="K239" s="6" t="n">
        <v>2945.45</v>
      </c>
      <c r="L239" s="6" t="n">
        <v>2945.45</v>
      </c>
      <c r="M239" s="6" t="n">
        <v>2945.45</v>
      </c>
      <c r="N239" s="3" t="inlineStr">
        <is>
          <t>Sí</t>
        </is>
      </c>
      <c r="O239" s="6">
        <f>IF(K239="","",IF(N239="Sí",ROUND(K239/1.18,2),K239))</f>
        <v/>
      </c>
      <c r="P239" s="3" t="inlineStr">
        <is>
          <t>2026-09-09</t>
        </is>
      </c>
      <c r="Q239" s="4" t="inlineStr">
        <is>
          <t>Ferretería Ochoa (8A)</t>
        </is>
      </c>
      <c r="U239" s="7" t="n">
        <v>120</v>
      </c>
      <c r="V239" s="7" t="inlineStr">
        <is>
          <t>120 x 120 cm</t>
        </is>
      </c>
      <c r="AE239" s="7" t="inlineStr">
        <is>
          <t>pared</t>
        </is>
      </c>
      <c r="AF239" s="4" t="inlineStr">
        <is>
          <t>material: ceramica · ancho_cm: 120 · piezas_m2: 0.69</t>
        </is>
      </c>
    </row>
    <row r="240">
      <c r="A240" s="3" t="inlineStr">
        <is>
          <t>MAT-08-018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pared, 120 x 20 cm</t>
        </is>
      </c>
      <c r="E240" s="4" t="inlineStr"/>
      <c r="F240" s="3" t="inlineStr">
        <is>
          <t>m²</t>
        </is>
      </c>
      <c r="G240" s="3" t="inlineStr">
        <is>
          <t>Pisos</t>
        </is>
      </c>
      <c r="H240" s="3" t="inlineStr">
        <is>
          <t>estandar</t>
        </is>
      </c>
      <c r="I240" s="3" t="inlineStr">
        <is>
          <t>importado</t>
        </is>
      </c>
      <c r="J240" s="5" t="n">
        <v>1</v>
      </c>
      <c r="K240" s="6" t="n">
        <v>1459.08</v>
      </c>
      <c r="L240" s="6" t="n">
        <v>1439.19</v>
      </c>
      <c r="M240" s="6" t="n">
        <v>1474.84</v>
      </c>
      <c r="N240" s="3" t="inlineStr">
        <is>
          <t>Sí</t>
        </is>
      </c>
      <c r="O240" s="6">
        <f>IF(K240="","",IF(N240="Sí",ROUND(K240/1.18,2),K240))</f>
        <v/>
      </c>
      <c r="P240" s="3" t="inlineStr">
        <is>
          <t>2026-09-09</t>
        </is>
      </c>
      <c r="Q240" s="4" t="inlineStr">
        <is>
          <t>Ferretería Ochoa (8A)</t>
        </is>
      </c>
      <c r="U240" s="7" t="n">
        <v>120</v>
      </c>
      <c r="V240" s="7" t="inlineStr">
        <is>
          <t>120 x 20 cm</t>
        </is>
      </c>
      <c r="AE240" s="7" t="inlineStr">
        <is>
          <t>pared</t>
        </is>
      </c>
      <c r="AF240" s="4" t="inlineStr">
        <is>
          <t>material: ceramica · ancho_cm: 20 · piezas_m2: 4.16</t>
        </is>
      </c>
    </row>
    <row r="241">
      <c r="A241" s="3" t="inlineStr">
        <is>
          <t>MAT-08-019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pared, 120 x 40 cm</t>
        </is>
      </c>
      <c r="E241" s="4" t="inlineStr"/>
      <c r="F241" s="3" t="inlineStr">
        <is>
          <t>m²</t>
        </is>
      </c>
      <c r="G241" s="3" t="inlineStr">
        <is>
          <t>Pisos</t>
        </is>
      </c>
      <c r="H241" s="3" t="inlineStr">
        <is>
          <t>estandar</t>
        </is>
      </c>
      <c r="I241" s="3" t="inlineStr">
        <is>
          <t>importado</t>
        </is>
      </c>
      <c r="J241" s="5" t="n">
        <v>2</v>
      </c>
      <c r="K241" s="6" t="n">
        <v>2227.8</v>
      </c>
      <c r="L241" s="6" t="n">
        <v>750</v>
      </c>
      <c r="M241" s="6" t="n">
        <v>3697.66</v>
      </c>
      <c r="N241" s="3" t="inlineStr">
        <is>
          <t>Sí</t>
        </is>
      </c>
      <c r="O241" s="6">
        <f>IF(K241="","",IF(N241="Sí",ROUND(K241/1.18,2),K241))</f>
        <v/>
      </c>
      <c r="P241" s="3" t="inlineStr">
        <is>
          <t>2026-09-10</t>
        </is>
      </c>
      <c r="Q241" s="4" t="inlineStr">
        <is>
          <t>CerArte · Ferretería Ochoa (8A)</t>
        </is>
      </c>
      <c r="U241" s="7" t="n">
        <v>120</v>
      </c>
      <c r="V241" s="7" t="inlineStr">
        <is>
          <t>120 x 40 cm</t>
        </is>
      </c>
      <c r="AE241" s="7" t="inlineStr">
        <is>
          <t>pared</t>
        </is>
      </c>
      <c r="AF241" s="4" t="inlineStr">
        <is>
          <t>material: ceramica · ancho_cm: 40 · acabado: mate</t>
        </is>
      </c>
    </row>
    <row r="242">
      <c r="A242" s="3" t="inlineStr">
        <is>
          <t>MAT-08-020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pared, 120 x 45 cm</t>
        </is>
      </c>
      <c r="E242" s="4" t="inlineStr"/>
      <c r="F242" s="3" t="inlineStr">
        <is>
          <t>m²</t>
        </is>
      </c>
      <c r="G242" s="3" t="inlineStr">
        <is>
          <t>Pisos</t>
        </is>
      </c>
      <c r="H242" s="3" t="inlineStr">
        <is>
          <t>estandar</t>
        </is>
      </c>
      <c r="I242" s="3" t="inlineStr">
        <is>
          <t>importado</t>
        </is>
      </c>
      <c r="J242" s="5" t="n">
        <v>1</v>
      </c>
      <c r="K242" s="6" t="n">
        <v>3077.3</v>
      </c>
      <c r="L242" s="6" t="n">
        <v>2625.11</v>
      </c>
      <c r="M242" s="6" t="n">
        <v>3663.85</v>
      </c>
      <c r="N242" s="3" t="inlineStr">
        <is>
          <t>Sí</t>
        </is>
      </c>
      <c r="O242" s="6">
        <f>IF(K242="","",IF(N242="Sí",ROUND(K242/1.18,2),K242))</f>
        <v/>
      </c>
      <c r="P242" s="3" t="inlineStr">
        <is>
          <t>2026-09-10</t>
        </is>
      </c>
      <c r="Q242" s="4" t="inlineStr">
        <is>
          <t>CerArte</t>
        </is>
      </c>
      <c r="V242" s="7" t="inlineStr">
        <is>
          <t>120 x 45 cm</t>
        </is>
      </c>
      <c r="AE242" s="7" t="inlineStr">
        <is>
          <t>pared</t>
        </is>
      </c>
      <c r="AF242" s="4" t="inlineStr">
        <is>
          <t>material: ceramica · acabado: mate</t>
        </is>
      </c>
    </row>
    <row r="243">
      <c r="A243" s="3" t="inlineStr">
        <is>
          <t>MAT-08-021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pared, 120 x 60 cm</t>
        </is>
      </c>
      <c r="E243" s="4" t="inlineStr"/>
      <c r="F243" s="3" t="inlineStr">
        <is>
          <t>m²</t>
        </is>
      </c>
      <c r="G243" s="3" t="inlineStr">
        <is>
          <t>Pisos</t>
        </is>
      </c>
      <c r="H243" s="3" t="inlineStr">
        <is>
          <t>estandar</t>
        </is>
      </c>
      <c r="I243" s="3" t="inlineStr">
        <is>
          <t>importado</t>
        </is>
      </c>
      <c r="J243" s="5" t="n">
        <v>2</v>
      </c>
      <c r="K243" s="6" t="n">
        <v>2520.03</v>
      </c>
      <c r="L243" s="6" t="n">
        <v>2119.72</v>
      </c>
      <c r="M243" s="6" t="n">
        <v>3060.22</v>
      </c>
      <c r="N243" s="3" t="inlineStr">
        <is>
          <t>Sí</t>
        </is>
      </c>
      <c r="O243" s="6">
        <f>IF(K243="","",IF(N243="Sí",ROUND(K243/1.18,2),K243))</f>
        <v/>
      </c>
      <c r="P243" s="3" t="inlineStr">
        <is>
          <t>2026-09-10</t>
        </is>
      </c>
      <c r="Q243" s="4" t="inlineStr">
        <is>
          <t>CerArte · Ferretería Ochoa (8A)</t>
        </is>
      </c>
      <c r="U243" s="7" t="n">
        <v>120</v>
      </c>
      <c r="V243" s="7" t="inlineStr">
        <is>
          <t>120 x 60 cm</t>
        </is>
      </c>
      <c r="AE243" s="7" t="inlineStr">
        <is>
          <t>pared</t>
        </is>
      </c>
      <c r="AF243" s="4" t="inlineStr">
        <is>
          <t>material: ceramica · ancho_cm: 60 · piezas_m2: 1.38 · acabado: mate · espesor_mm: 9</t>
        </is>
      </c>
    </row>
    <row r="244">
      <c r="A244" s="3" t="inlineStr">
        <is>
          <t>MAT-08-022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pared, 15 x 15 cm</t>
        </is>
      </c>
      <c r="E244" s="4" t="inlineStr"/>
      <c r="F244" s="3" t="inlineStr">
        <is>
          <t>m²</t>
        </is>
      </c>
      <c r="G244" s="3" t="inlineStr">
        <is>
          <t>Pisos</t>
        </is>
      </c>
      <c r="H244" s="3" t="inlineStr">
        <is>
          <t>estandar</t>
        </is>
      </c>
      <c r="I244" s="3" t="inlineStr">
        <is>
          <t>importado</t>
        </is>
      </c>
      <c r="J244" s="5" t="n">
        <v>2</v>
      </c>
      <c r="K244" s="6" t="n">
        <v>2854.38</v>
      </c>
      <c r="L244" s="6" t="n">
        <v>2505.07</v>
      </c>
      <c r="M244" s="6" t="n">
        <v>3140.13</v>
      </c>
      <c r="N244" s="3" t="inlineStr">
        <is>
          <t>Sí</t>
        </is>
      </c>
      <c r="O244" s="6">
        <f>IF(K244="","",IF(N244="Sí",ROUND(K244/1.18,2),K244))</f>
        <v/>
      </c>
      <c r="P244" s="3" t="inlineStr">
        <is>
          <t>2026-09-10</t>
        </is>
      </c>
      <c r="Q244" s="4" t="inlineStr">
        <is>
          <t>CerArte · Ferretería Ochoa (8A)</t>
        </is>
      </c>
      <c r="U244" s="7" t="n">
        <v>15</v>
      </c>
      <c r="V244" s="7" t="inlineStr">
        <is>
          <t>15 x 15 cm</t>
        </is>
      </c>
      <c r="AE244" s="7" t="inlineStr">
        <is>
          <t>pared</t>
        </is>
      </c>
      <c r="AF244" s="4" t="inlineStr">
        <is>
          <t>material: ceramica · ancho_cm: 15 · piezas_m2: 44.44 · acabado: mate · espesor_mm: 9</t>
        </is>
      </c>
    </row>
    <row r="245">
      <c r="A245" s="3" t="inlineStr">
        <is>
          <t>MAT-08-023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pared, 15 x 7.5 cm</t>
        </is>
      </c>
      <c r="E245" s="4" t="inlineStr"/>
      <c r="F245" s="3" t="inlineStr">
        <is>
          <t>m²</t>
        </is>
      </c>
      <c r="G245" s="3" t="inlineStr">
        <is>
          <t>Pisos</t>
        </is>
      </c>
      <c r="H245" s="3" t="inlineStr">
        <is>
          <t>estandar</t>
        </is>
      </c>
      <c r="I245" s="3" t="inlineStr">
        <is>
          <t>importado</t>
        </is>
      </c>
      <c r="J245" s="5" t="n">
        <v>1</v>
      </c>
      <c r="K245" s="6" t="n">
        <v>2565.64</v>
      </c>
      <c r="L245" s="6" t="n">
        <v>2209.68</v>
      </c>
      <c r="M245" s="6" t="n">
        <v>2775.52</v>
      </c>
      <c r="N245" s="3" t="inlineStr">
        <is>
          <t>Sí</t>
        </is>
      </c>
      <c r="O245" s="6">
        <f>IF(K245="","",IF(N245="Sí",ROUND(K245/1.18,2),K245))</f>
        <v/>
      </c>
      <c r="P245" s="3" t="inlineStr">
        <is>
          <t>2026-09-09</t>
        </is>
      </c>
      <c r="Q245" s="4" t="inlineStr">
        <is>
          <t>Ferretería Ochoa (8A)</t>
        </is>
      </c>
      <c r="U245" s="7" t="n">
        <v>15</v>
      </c>
      <c r="V245" s="7" t="inlineStr">
        <is>
          <t>15 x 7.5 cm</t>
        </is>
      </c>
      <c r="AE245" s="7" t="inlineStr">
        <is>
          <t>pared</t>
        </is>
      </c>
      <c r="AF245" s="4" t="inlineStr">
        <is>
          <t>material: ceramica · ancho_cm: 7.5 · piezas_m2: 88 · espesor_mm: 7</t>
        </is>
      </c>
    </row>
    <row r="246">
      <c r="A246" s="3" t="inlineStr">
        <is>
          <t>MAT-08-024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pared, 20 x 10 cm</t>
        </is>
      </c>
      <c r="E246" s="4" t="inlineStr"/>
      <c r="F246" s="3" t="inlineStr">
        <is>
          <t>m²</t>
        </is>
      </c>
      <c r="G246" s="3" t="inlineStr">
        <is>
          <t>Pisos</t>
        </is>
      </c>
      <c r="H246" s="3" t="inlineStr">
        <is>
          <t>estandar</t>
        </is>
      </c>
      <c r="I246" s="3" t="inlineStr">
        <is>
          <t>importado</t>
        </is>
      </c>
      <c r="J246" s="5" t="n">
        <v>1</v>
      </c>
      <c r="K246" s="6" t="n">
        <v>1444.74</v>
      </c>
      <c r="L246" s="6" t="n">
        <v>1444.74</v>
      </c>
      <c r="M246" s="6" t="n">
        <v>1444.74</v>
      </c>
      <c r="N246" s="3" t="inlineStr">
        <is>
          <t>Sí</t>
        </is>
      </c>
      <c r="O246" s="6">
        <f>IF(K246="","",IF(N246="Sí",ROUND(K246/1.18,2),K246))</f>
        <v/>
      </c>
      <c r="P246" s="3" t="inlineStr">
        <is>
          <t>2026-09-10</t>
        </is>
      </c>
      <c r="Q246" s="4" t="inlineStr">
        <is>
          <t>CerArte</t>
        </is>
      </c>
      <c r="V246" s="7" t="inlineStr">
        <is>
          <t>20 x 10 cm</t>
        </is>
      </c>
      <c r="AE246" s="7" t="inlineStr">
        <is>
          <t>pared</t>
        </is>
      </c>
      <c r="AF246" s="4" t="inlineStr">
        <is>
          <t>material: ceramica</t>
        </is>
      </c>
    </row>
    <row r="247">
      <c r="A247" s="3" t="inlineStr">
        <is>
          <t>MAT-08-025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pared, 20 x 17.5 cm</t>
        </is>
      </c>
      <c r="E247" s="4" t="inlineStr"/>
      <c r="F247" s="3" t="inlineStr">
        <is>
          <t>m²</t>
        </is>
      </c>
      <c r="G247" s="3" t="inlineStr">
        <is>
          <t>Pisos</t>
        </is>
      </c>
      <c r="H247" s="3" t="inlineStr">
        <is>
          <t>estandar</t>
        </is>
      </c>
      <c r="I247" s="3" t="inlineStr">
        <is>
          <t>importado</t>
        </is>
      </c>
      <c r="J247" s="5" t="n">
        <v>1</v>
      </c>
      <c r="K247" s="6" t="n">
        <v>767.39</v>
      </c>
      <c r="L247" s="6" t="n">
        <v>767.39</v>
      </c>
      <c r="M247" s="6" t="n">
        <v>772.8200000000001</v>
      </c>
      <c r="N247" s="3" t="inlineStr">
        <is>
          <t>Sí</t>
        </is>
      </c>
      <c r="O247" s="6">
        <f>IF(K247="","",IF(N247="Sí",ROUND(K247/1.18,2),K247))</f>
        <v/>
      </c>
      <c r="P247" s="3" t="inlineStr">
        <is>
          <t>2026-09-09</t>
        </is>
      </c>
      <c r="Q247" s="4" t="inlineStr">
        <is>
          <t>Ferretería Ochoa (8A)</t>
        </is>
      </c>
      <c r="U247" s="7" t="n">
        <v>20</v>
      </c>
      <c r="V247" s="7" t="inlineStr">
        <is>
          <t>20 x 17.5 cm</t>
        </is>
      </c>
      <c r="AE247" s="7" t="inlineStr">
        <is>
          <t>pared</t>
        </is>
      </c>
      <c r="AF247" s="4" t="inlineStr">
        <is>
          <t>material: ceramica · ancho_cm: 17.5 · piezas_m2: 28.57 · espesor_mm: 8 · acabado: brillante</t>
        </is>
      </c>
    </row>
    <row r="248">
      <c r="A248" s="3" t="inlineStr">
        <is>
          <t>MAT-08-026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pared, 20 x 20 cm</t>
        </is>
      </c>
      <c r="E248" s="4" t="inlineStr"/>
      <c r="F248" s="3" t="inlineStr">
        <is>
          <t>m²</t>
        </is>
      </c>
      <c r="G248" s="3" t="inlineStr">
        <is>
          <t>Pisos</t>
        </is>
      </c>
      <c r="H248" s="3" t="inlineStr">
        <is>
          <t>estandar</t>
        </is>
      </c>
      <c r="I248" s="3" t="inlineStr">
        <is>
          <t>importado</t>
        </is>
      </c>
      <c r="J248" s="5" t="n">
        <v>2</v>
      </c>
      <c r="K248" s="6" t="n">
        <v>989.73</v>
      </c>
      <c r="L248" s="6" t="n">
        <v>924.83</v>
      </c>
      <c r="M248" s="6" t="n">
        <v>2469.57</v>
      </c>
      <c r="N248" s="3" t="inlineStr">
        <is>
          <t>Sí</t>
        </is>
      </c>
      <c r="O248" s="6">
        <f>IF(K248="","",IF(N248="Sí",ROUND(K248/1.18,2),K248))</f>
        <v/>
      </c>
      <c r="P248" s="3" t="inlineStr">
        <is>
          <t>2026-09-10</t>
        </is>
      </c>
      <c r="Q248" s="4" t="inlineStr">
        <is>
          <t>CerArte · La Ibérica</t>
        </is>
      </c>
      <c r="V248" s="7" t="inlineStr">
        <is>
          <t>20 x 20 cm</t>
        </is>
      </c>
      <c r="AE248" s="7" t="inlineStr">
        <is>
          <t>pared</t>
        </is>
      </c>
      <c r="AF248" s="4" t="inlineStr">
        <is>
          <t>material: ceramica</t>
        </is>
      </c>
    </row>
    <row r="249">
      <c r="A249" s="3" t="inlineStr">
        <is>
          <t>MAT-08-027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pared, 22.3 x 22.3 cm</t>
        </is>
      </c>
      <c r="E249" s="4" t="inlineStr"/>
      <c r="F249" s="3" t="inlineStr">
        <is>
          <t>m²</t>
        </is>
      </c>
      <c r="G249" s="3" t="inlineStr">
        <is>
          <t>Pisos</t>
        </is>
      </c>
      <c r="H249" s="3" t="inlineStr">
        <is>
          <t>estandar</t>
        </is>
      </c>
      <c r="I249" s="3" t="inlineStr">
        <is>
          <t>importado</t>
        </is>
      </c>
      <c r="J249" s="5" t="n">
        <v>1</v>
      </c>
      <c r="K249" s="6" t="n">
        <v>1177.9</v>
      </c>
      <c r="L249" s="6" t="n">
        <v>1177.9</v>
      </c>
      <c r="M249" s="6" t="n">
        <v>1177.9</v>
      </c>
      <c r="N249" s="3" t="inlineStr">
        <is>
          <t>Sí</t>
        </is>
      </c>
      <c r="O249" s="6">
        <f>IF(K249="","",IF(N249="Sí",ROUND(K249/1.18,2),K249))</f>
        <v/>
      </c>
      <c r="P249" s="3" t="inlineStr">
        <is>
          <t>2026-09-09</t>
        </is>
      </c>
      <c r="Q249" s="4" t="inlineStr">
        <is>
          <t>Ferretería Ochoa (8A)</t>
        </is>
      </c>
      <c r="U249" s="7" t="n">
        <v>22.3</v>
      </c>
      <c r="V249" s="7" t="inlineStr">
        <is>
          <t>22.3 x 22.3 cm</t>
        </is>
      </c>
      <c r="AE249" s="7" t="inlineStr">
        <is>
          <t>pared</t>
        </is>
      </c>
      <c r="AF249" s="4" t="inlineStr">
        <is>
          <t>material: ceramica · ancho_cm: 22.3 · piezas_m2: 2.7</t>
        </is>
      </c>
    </row>
    <row r="250">
      <c r="A250" s="3" t="inlineStr">
        <is>
          <t>MAT-08-028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pared, 30 x 10 cm</t>
        </is>
      </c>
      <c r="E250" s="4" t="inlineStr"/>
      <c r="F250" s="3" t="inlineStr">
        <is>
          <t>m²</t>
        </is>
      </c>
      <c r="G250" s="3" t="inlineStr">
        <is>
          <t>Pisos</t>
        </is>
      </c>
      <c r="H250" s="3" t="inlineStr">
        <is>
          <t>estandar</t>
        </is>
      </c>
      <c r="I250" s="3" t="inlineStr">
        <is>
          <t>importado</t>
        </is>
      </c>
      <c r="J250" s="5" t="n">
        <v>1</v>
      </c>
      <c r="K250" s="6" t="n">
        <v>1204.05</v>
      </c>
      <c r="L250" s="6" t="n">
        <v>874.58</v>
      </c>
      <c r="M250" s="6" t="n">
        <v>1480.52</v>
      </c>
      <c r="N250" s="3" t="inlineStr">
        <is>
          <t>Sí</t>
        </is>
      </c>
      <c r="O250" s="6">
        <f>IF(K250="","",IF(N250="Sí",ROUND(K250/1.18,2),K250))</f>
        <v/>
      </c>
      <c r="P250" s="3" t="inlineStr">
        <is>
          <t>2026-09-09</t>
        </is>
      </c>
      <c r="Q250" s="4" t="inlineStr">
        <is>
          <t>Ferretería Ochoa (8A)</t>
        </is>
      </c>
      <c r="U250" s="7" t="n">
        <v>30</v>
      </c>
      <c r="V250" s="7" t="inlineStr">
        <is>
          <t>30 x 10 cm</t>
        </is>
      </c>
      <c r="AE250" s="7" t="inlineStr">
        <is>
          <t>pared</t>
        </is>
      </c>
      <c r="AF250" s="4" t="inlineStr">
        <is>
          <t>material: ceramica · ancho_cm: 10 · piezas_m2: 33.33</t>
        </is>
      </c>
    </row>
    <row r="251">
      <c r="A251" s="3" t="inlineStr">
        <is>
          <t>MAT-08-029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pared, 30 x 20 cm</t>
        </is>
      </c>
      <c r="E251" s="4" t="inlineStr"/>
      <c r="F251" s="3" t="inlineStr">
        <is>
          <t>m²</t>
        </is>
      </c>
      <c r="G251" s="3" t="inlineStr">
        <is>
          <t>Pisos</t>
        </is>
      </c>
      <c r="H251" s="3" t="inlineStr">
        <is>
          <t>estandar</t>
        </is>
      </c>
      <c r="I251" s="3" t="inlineStr">
        <is>
          <t>importado</t>
        </is>
      </c>
      <c r="J251" s="5" t="n">
        <v>1</v>
      </c>
      <c r="K251" s="6" t="n">
        <v>2210.93</v>
      </c>
      <c r="L251" s="6" t="n">
        <v>2210.93</v>
      </c>
      <c r="M251" s="6" t="n">
        <v>2210.93</v>
      </c>
      <c r="N251" s="3" t="inlineStr">
        <is>
          <t>Sí</t>
        </is>
      </c>
      <c r="O251" s="6">
        <f>IF(K251="","",IF(N251="Sí",ROUND(K251/1.18,2),K251))</f>
        <v/>
      </c>
      <c r="P251" s="3" t="inlineStr">
        <is>
          <t>2026-09-10</t>
        </is>
      </c>
      <c r="Q251" s="4" t="inlineStr">
        <is>
          <t>CerArte</t>
        </is>
      </c>
      <c r="V251" s="7" t="inlineStr">
        <is>
          <t>30 x 20 cm</t>
        </is>
      </c>
      <c r="AE251" s="7" t="inlineStr">
        <is>
          <t>pared</t>
        </is>
      </c>
      <c r="AF251" s="4" t="inlineStr">
        <is>
          <t>material: ceramica · acabado: mate</t>
        </is>
      </c>
    </row>
    <row r="252">
      <c r="A252" s="3" t="inlineStr">
        <is>
          <t>MAT-08-030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pared, 30 x 7.5 cm</t>
        </is>
      </c>
      <c r="E252" s="4" t="inlineStr"/>
      <c r="F252" s="3" t="inlineStr">
        <is>
          <t>m²</t>
        </is>
      </c>
      <c r="G252" s="3" t="inlineStr">
        <is>
          <t>Pisos</t>
        </is>
      </c>
      <c r="H252" s="3" t="inlineStr">
        <is>
          <t>estandar</t>
        </is>
      </c>
      <c r="I252" s="3" t="inlineStr">
        <is>
          <t>importado</t>
        </is>
      </c>
      <c r="J252" s="5" t="n">
        <v>2</v>
      </c>
      <c r="K252" s="6" t="n">
        <v>2336.59</v>
      </c>
      <c r="L252" s="6" t="n">
        <v>806.14</v>
      </c>
      <c r="M252" s="6" t="n">
        <v>3184.93</v>
      </c>
      <c r="N252" s="3" t="inlineStr">
        <is>
          <t>Sí</t>
        </is>
      </c>
      <c r="O252" s="6">
        <f>IF(K252="","",IF(N252="Sí",ROUND(K252/1.18,2),K252))</f>
        <v/>
      </c>
      <c r="P252" s="3" t="inlineStr">
        <is>
          <t>2026-09-10</t>
        </is>
      </c>
      <c r="Q252" s="4" t="inlineStr">
        <is>
          <t>CerArte · Ferretería Ochoa (8A)</t>
        </is>
      </c>
      <c r="U252" s="7" t="n">
        <v>30</v>
      </c>
      <c r="V252" s="7" t="inlineStr">
        <is>
          <t>30 x 7.5 cm</t>
        </is>
      </c>
      <c r="AE252" s="7" t="inlineStr">
        <is>
          <t>pared</t>
        </is>
      </c>
      <c r="AF252" s="4" t="inlineStr">
        <is>
          <t>material: ceramica · ancho_cm: 7.5</t>
        </is>
      </c>
    </row>
    <row r="253">
      <c r="A253" s="3" t="inlineStr">
        <is>
          <t>MAT-08-031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pared, 40 x 25 cm</t>
        </is>
      </c>
      <c r="E253" s="4" t="inlineStr"/>
      <c r="F253" s="3" t="inlineStr">
        <is>
          <t>m²</t>
        </is>
      </c>
      <c r="G253" s="3" t="inlineStr">
        <is>
          <t>Pisos</t>
        </is>
      </c>
      <c r="H253" s="3" t="inlineStr">
        <is>
          <t>estandar</t>
        </is>
      </c>
      <c r="I253" s="3" t="inlineStr">
        <is>
          <t>importado</t>
        </is>
      </c>
      <c r="J253" s="5" t="n">
        <v>1</v>
      </c>
      <c r="K253" s="6" t="n">
        <v>1364.21</v>
      </c>
      <c r="L253" s="6" t="n">
        <v>1100</v>
      </c>
      <c r="M253" s="6" t="n">
        <v>1628.41</v>
      </c>
      <c r="N253" s="3" t="inlineStr">
        <is>
          <t>Sí</t>
        </is>
      </c>
      <c r="O253" s="6">
        <f>IF(K253="","",IF(N253="Sí",ROUND(K253/1.18,2),K253))</f>
        <v/>
      </c>
      <c r="P253" s="3" t="inlineStr">
        <is>
          <t>2026-09-10</t>
        </is>
      </c>
      <c r="Q253" s="4" t="inlineStr">
        <is>
          <t>La Ibérica</t>
        </is>
      </c>
      <c r="V253" s="7" t="inlineStr">
        <is>
          <t>40 x 25 cm</t>
        </is>
      </c>
      <c r="AE253" s="7" t="inlineStr">
        <is>
          <t>pared</t>
        </is>
      </c>
      <c r="AF253" s="4" t="inlineStr">
        <is>
          <t>material: ceramica</t>
        </is>
      </c>
    </row>
    <row r="254">
      <c r="A254" s="3" t="inlineStr">
        <is>
          <t>MAT-08-032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pared, 45 x 45 cm</t>
        </is>
      </c>
      <c r="E254" s="4" t="inlineStr"/>
      <c r="F254" s="3" t="inlineStr">
        <is>
          <t>m²</t>
        </is>
      </c>
      <c r="G254" s="3" t="inlineStr">
        <is>
          <t>Pisos</t>
        </is>
      </c>
      <c r="H254" s="3" t="inlineStr">
        <is>
          <t>estandar</t>
        </is>
      </c>
      <c r="I254" s="3" t="inlineStr">
        <is>
          <t>importado</t>
        </is>
      </c>
      <c r="J254" s="5" t="n">
        <v>1</v>
      </c>
      <c r="K254" s="6" t="n">
        <v>832.97</v>
      </c>
      <c r="L254" s="6" t="n">
        <v>709.33</v>
      </c>
      <c r="M254" s="6" t="n">
        <v>1123.94</v>
      </c>
      <c r="N254" s="3" t="inlineStr">
        <is>
          <t>Sí</t>
        </is>
      </c>
      <c r="O254" s="6">
        <f>IF(K254="","",IF(N254="Sí",ROUND(K254/1.18,2),K254))</f>
        <v/>
      </c>
      <c r="P254" s="3" t="inlineStr">
        <is>
          <t>2026-09-09</t>
        </is>
      </c>
      <c r="Q254" s="4" t="inlineStr">
        <is>
          <t>Ferretería Ochoa (8A)</t>
        </is>
      </c>
      <c r="U254" s="7" t="n">
        <v>45</v>
      </c>
      <c r="V254" s="7" t="inlineStr">
        <is>
          <t>45 x 45 cm</t>
        </is>
      </c>
      <c r="AE254" s="7" t="inlineStr">
        <is>
          <t>pared</t>
        </is>
      </c>
      <c r="AF254" s="4" t="inlineStr">
        <is>
          <t>material: ceramica · ancho_cm: 45 · piezas_m2: 4.93</t>
        </is>
      </c>
    </row>
    <row r="255">
      <c r="A255" s="3" t="inlineStr">
        <is>
          <t>MAT-08-033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pared, 50 x 17 cm</t>
        </is>
      </c>
      <c r="E255" s="4" t="inlineStr"/>
      <c r="F255" s="3" t="inlineStr">
        <is>
          <t>m²</t>
        </is>
      </c>
      <c r="G255" s="3" t="inlineStr">
        <is>
          <t>Pisos</t>
        </is>
      </c>
      <c r="H255" s="3" t="inlineStr">
        <is>
          <t>estandar</t>
        </is>
      </c>
      <c r="I255" s="3" t="inlineStr">
        <is>
          <t>importado</t>
        </is>
      </c>
      <c r="J255" s="5" t="n">
        <v>1</v>
      </c>
      <c r="K255" s="6" t="n">
        <v>1238.82</v>
      </c>
      <c r="L255" s="6" t="n">
        <v>1238.82</v>
      </c>
      <c r="M255" s="6" t="n">
        <v>1238.82</v>
      </c>
      <c r="N255" s="3" t="inlineStr">
        <is>
          <t>Sí</t>
        </is>
      </c>
      <c r="O255" s="6">
        <f>IF(K255="","",IF(N255="Sí",ROUND(K255/1.18,2),K255))</f>
        <v/>
      </c>
      <c r="P255" s="3" t="inlineStr">
        <is>
          <t>2026-09-09</t>
        </is>
      </c>
      <c r="Q255" s="4" t="inlineStr">
        <is>
          <t>Ferretería Ochoa (8A)</t>
        </is>
      </c>
      <c r="U255" s="7" t="n">
        <v>50</v>
      </c>
      <c r="V255" s="7" t="inlineStr">
        <is>
          <t>50 x 17 cm</t>
        </is>
      </c>
      <c r="AE255" s="7" t="inlineStr">
        <is>
          <t>pared</t>
        </is>
      </c>
      <c r="AF255" s="4" t="inlineStr">
        <is>
          <t>material: ceramica · ancho_cm: 17 · piezas_m2: 11.33 · acabado: mate</t>
        </is>
      </c>
    </row>
    <row r="256">
      <c r="A256" s="3" t="inlineStr">
        <is>
          <t>MAT-08-034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pared, 50 x 20 cm</t>
        </is>
      </c>
      <c r="E256" s="4" t="inlineStr"/>
      <c r="F256" s="3" t="inlineStr">
        <is>
          <t>m²</t>
        </is>
      </c>
      <c r="G256" s="3" t="inlineStr">
        <is>
          <t>Pisos</t>
        </is>
      </c>
      <c r="H256" s="3" t="inlineStr">
        <is>
          <t>estandar</t>
        </is>
      </c>
      <c r="I256" s="3" t="inlineStr">
        <is>
          <t>importado</t>
        </is>
      </c>
      <c r="J256" s="5" t="n">
        <v>1</v>
      </c>
      <c r="K256" s="6" t="n">
        <v>2752.62</v>
      </c>
      <c r="L256" s="6" t="n">
        <v>2752.62</v>
      </c>
      <c r="M256" s="6" t="n">
        <v>2752.62</v>
      </c>
      <c r="N256" s="3" t="inlineStr">
        <is>
          <t>Sí</t>
        </is>
      </c>
      <c r="O256" s="6">
        <f>IF(K256="","",IF(N256="Sí",ROUND(K256/1.18,2),K256))</f>
        <v/>
      </c>
      <c r="P256" s="3" t="inlineStr">
        <is>
          <t>2026-09-10</t>
        </is>
      </c>
      <c r="Q256" s="4" t="inlineStr">
        <is>
          <t>CerArte</t>
        </is>
      </c>
      <c r="V256" s="7" t="inlineStr">
        <is>
          <t>50 x 20 cm</t>
        </is>
      </c>
      <c r="AE256" s="7" t="inlineStr">
        <is>
          <t>pared</t>
        </is>
      </c>
      <c r="AF256" s="4" t="inlineStr">
        <is>
          <t>material: ceramica · acabado: mate</t>
        </is>
      </c>
    </row>
    <row r="257">
      <c r="A257" s="3" t="inlineStr">
        <is>
          <t>MAT-08-035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pared, 50 x 25 cm</t>
        </is>
      </c>
      <c r="E257" s="4" t="inlineStr"/>
      <c r="F257" s="3" t="inlineStr">
        <is>
          <t>m²</t>
        </is>
      </c>
      <c r="G257" s="3" t="inlineStr">
        <is>
          <t>Pisos</t>
        </is>
      </c>
      <c r="H257" s="3" t="inlineStr">
        <is>
          <t>estandar</t>
        </is>
      </c>
      <c r="I257" s="3" t="inlineStr">
        <is>
          <t>importado</t>
        </is>
      </c>
      <c r="J257" s="5" t="n">
        <v>1</v>
      </c>
      <c r="K257" s="6" t="n">
        <v>541.6799999999999</v>
      </c>
      <c r="L257" s="6" t="n">
        <v>541.6799999999999</v>
      </c>
      <c r="M257" s="6" t="n">
        <v>541.6799999999999</v>
      </c>
      <c r="N257" s="3" t="inlineStr">
        <is>
          <t>Sí</t>
        </is>
      </c>
      <c r="O257" s="6">
        <f>IF(K257="","",IF(N257="Sí",ROUND(K257/1.18,2),K257))</f>
        <v/>
      </c>
      <c r="P257" s="3" t="inlineStr">
        <is>
          <t>2026-09-10</t>
        </is>
      </c>
      <c r="Q257" s="4" t="inlineStr">
        <is>
          <t>CerArte</t>
        </is>
      </c>
      <c r="V257" s="7" t="inlineStr">
        <is>
          <t>50 x 25 cm</t>
        </is>
      </c>
      <c r="AE257" s="7" t="inlineStr">
        <is>
          <t>pared</t>
        </is>
      </c>
      <c r="AF257" s="4" t="inlineStr">
        <is>
          <t>material: ceramica</t>
        </is>
      </c>
    </row>
    <row r="258">
      <c r="A258" s="3" t="inlineStr">
        <is>
          <t>MAT-08-036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50 x 33 cm</t>
        </is>
      </c>
      <c r="E258" s="4" t="inlineStr"/>
      <c r="F258" s="3" t="inlineStr">
        <is>
          <t>m²</t>
        </is>
      </c>
      <c r="G258" s="3" t="inlineStr">
        <is>
          <t>Pisos</t>
        </is>
      </c>
      <c r="H258" s="3" t="inlineStr">
        <is>
          <t>estandar</t>
        </is>
      </c>
      <c r="I258" s="3" t="inlineStr">
        <is>
          <t>importado</t>
        </is>
      </c>
      <c r="J258" s="5" t="n">
        <v>1</v>
      </c>
      <c r="K258" s="6" t="n">
        <v>1229.86</v>
      </c>
      <c r="L258" s="6" t="n">
        <v>1173.88</v>
      </c>
      <c r="M258" s="6" t="n">
        <v>1229.86</v>
      </c>
      <c r="N258" s="3" t="inlineStr">
        <is>
          <t>Sí</t>
        </is>
      </c>
      <c r="O258" s="6">
        <f>IF(K258="","",IF(N258="Sí",ROUND(K258/1.18,2),K258))</f>
        <v/>
      </c>
      <c r="P258" s="3" t="inlineStr">
        <is>
          <t>2026-09-09</t>
        </is>
      </c>
      <c r="Q258" s="4" t="inlineStr">
        <is>
          <t>Ferretería Ochoa (8A)</t>
        </is>
      </c>
      <c r="U258" s="7" t="n">
        <v>50</v>
      </c>
      <c r="V258" s="7" t="inlineStr">
        <is>
          <t>50 x 33 cm</t>
        </is>
      </c>
      <c r="AE258" s="7" t="inlineStr">
        <is>
          <t>pared</t>
        </is>
      </c>
      <c r="AF258" s="4" t="inlineStr">
        <is>
          <t>material: ceramica · ancho_cm: 33 · piezas_m2: 5.88 · acabado: mate</t>
        </is>
      </c>
    </row>
    <row r="259">
      <c r="A259" s="3" t="inlineStr">
        <is>
          <t>MAT-08-037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50 x 35 cm</t>
        </is>
      </c>
      <c r="E259" s="4" t="inlineStr"/>
      <c r="F259" s="3" t="inlineStr">
        <is>
          <t>m²</t>
        </is>
      </c>
      <c r="G259" s="3" t="inlineStr">
        <is>
          <t>Pisos</t>
        </is>
      </c>
      <c r="H259" s="3" t="inlineStr">
        <is>
          <t>estandar</t>
        </is>
      </c>
      <c r="I259" s="3" t="inlineStr">
        <is>
          <t>importado</t>
        </is>
      </c>
      <c r="J259" s="5" t="n">
        <v>1</v>
      </c>
      <c r="K259" s="6" t="n">
        <v>1215.03</v>
      </c>
      <c r="L259" s="6" t="n">
        <v>1215.03</v>
      </c>
      <c r="M259" s="6" t="n">
        <v>1215.03</v>
      </c>
      <c r="N259" s="3" t="inlineStr">
        <is>
          <t>Sí</t>
        </is>
      </c>
      <c r="O259" s="6">
        <f>IF(K259="","",IF(N259="Sí",ROUND(K259/1.18,2),K259))</f>
        <v/>
      </c>
      <c r="P259" s="3" t="inlineStr">
        <is>
          <t>2026-09-10</t>
        </is>
      </c>
      <c r="Q259" s="4" t="inlineStr">
        <is>
          <t>CerArte</t>
        </is>
      </c>
      <c r="V259" s="7" t="inlineStr">
        <is>
          <t>50 x 35 cm</t>
        </is>
      </c>
      <c r="AE259" s="7" t="inlineStr">
        <is>
          <t>pared</t>
        </is>
      </c>
      <c r="AF259" s="4" t="inlineStr">
        <is>
          <t>material: ceramica</t>
        </is>
      </c>
    </row>
    <row r="260">
      <c r="A260" s="3" t="inlineStr">
        <is>
          <t>MAT-08-038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55 x 33 cm</t>
        </is>
      </c>
      <c r="E260" s="4" t="inlineStr"/>
      <c r="F260" s="3" t="inlineStr">
        <is>
          <t>m²</t>
        </is>
      </c>
      <c r="G260" s="3" t="inlineStr">
        <is>
          <t>Pisos</t>
        </is>
      </c>
      <c r="H260" s="3" t="inlineStr">
        <is>
          <t>estandar</t>
        </is>
      </c>
      <c r="I260" s="3" t="inlineStr">
        <is>
          <t>importado</t>
        </is>
      </c>
      <c r="J260" s="5" t="n">
        <v>3</v>
      </c>
      <c r="K260" s="6" t="n">
        <v>822.24</v>
      </c>
      <c r="L260" s="6" t="n">
        <v>680.76</v>
      </c>
      <c r="M260" s="6" t="n">
        <v>1189.99</v>
      </c>
      <c r="N260" s="3" t="inlineStr">
        <is>
          <t>Sí</t>
        </is>
      </c>
      <c r="O260" s="6">
        <f>IF(K260="","",IF(N260="Sí",ROUND(K260/1.18,2),K260))</f>
        <v/>
      </c>
      <c r="P260" s="3" t="inlineStr">
        <is>
          <t>2026-09-10</t>
        </is>
      </c>
      <c r="Q260" s="4" t="inlineStr">
        <is>
          <t>Bellón · Ferretería Ochoa (8A) · La Ibérica</t>
        </is>
      </c>
      <c r="U260" s="7" t="n">
        <v>55</v>
      </c>
      <c r="V260" s="7" t="inlineStr">
        <is>
          <t>55 x 33 cm</t>
        </is>
      </c>
      <c r="AE260" s="7" t="inlineStr">
        <is>
          <t>pared</t>
        </is>
      </c>
      <c r="AF260" s="4" t="inlineStr">
        <is>
          <t>material: ceramica · ancho_cm: 33</t>
        </is>
      </c>
    </row>
    <row r="261">
      <c r="A261" s="3" t="inlineStr">
        <is>
          <t>MAT-08-039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58 x 19 cm</t>
        </is>
      </c>
      <c r="E261" s="4" t="inlineStr"/>
      <c r="F261" s="3" t="inlineStr">
        <is>
          <t>m²</t>
        </is>
      </c>
      <c r="G261" s="3" t="inlineStr">
        <is>
          <t>Pisos</t>
        </is>
      </c>
      <c r="H261" s="3" t="inlineStr">
        <is>
          <t>estandar</t>
        </is>
      </c>
      <c r="I261" s="3" t="inlineStr">
        <is>
          <t>importado</t>
        </is>
      </c>
      <c r="J261" s="5" t="n">
        <v>1</v>
      </c>
      <c r="K261" s="6" t="n">
        <v>785.33</v>
      </c>
      <c r="L261" s="6" t="n">
        <v>760.26</v>
      </c>
      <c r="M261" s="6" t="n">
        <v>1461.04</v>
      </c>
      <c r="N261" s="3" t="inlineStr">
        <is>
          <t>Sí</t>
        </is>
      </c>
      <c r="O261" s="6">
        <f>IF(K261="","",IF(N261="Sí",ROUND(K261/1.18,2),K261))</f>
        <v/>
      </c>
      <c r="P261" s="3" t="inlineStr">
        <is>
          <t>2026-09-09</t>
        </is>
      </c>
      <c r="Q261" s="4" t="inlineStr">
        <is>
          <t>Ferretería Ochoa (8A)</t>
        </is>
      </c>
      <c r="U261" s="7" t="n">
        <v>58</v>
      </c>
      <c r="V261" s="7" t="inlineStr">
        <is>
          <t>58 x 19 cm</t>
        </is>
      </c>
      <c r="AE261" s="7" t="inlineStr">
        <is>
          <t>pared</t>
        </is>
      </c>
      <c r="AF261" s="4" t="inlineStr">
        <is>
          <t>material: ceramica · ancho_cm: 19 · acabado: mate</t>
        </is>
      </c>
    </row>
    <row r="262">
      <c r="A262" s="3" t="inlineStr">
        <is>
          <t>MAT-08-040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58 x 30 cm</t>
        </is>
      </c>
      <c r="E262" s="4" t="inlineStr"/>
      <c r="F262" s="3" t="inlineStr">
        <is>
          <t>m²</t>
        </is>
      </c>
      <c r="G262" s="3" t="inlineStr">
        <is>
          <t>Pisos</t>
        </is>
      </c>
      <c r="H262" s="3" t="inlineStr">
        <is>
          <t>estandar</t>
        </is>
      </c>
      <c r="I262" s="3" t="inlineStr">
        <is>
          <t>importado</t>
        </is>
      </c>
      <c r="J262" s="5" t="n">
        <v>1</v>
      </c>
      <c r="K262" s="6" t="n">
        <v>1684.92</v>
      </c>
      <c r="L262" s="6" t="n">
        <v>1684.92</v>
      </c>
      <c r="M262" s="6" t="n">
        <v>1684.92</v>
      </c>
      <c r="N262" s="3" t="inlineStr">
        <is>
          <t>Sí</t>
        </is>
      </c>
      <c r="O262" s="6">
        <f>IF(K262="","",IF(N262="Sí",ROUND(K262/1.18,2),K262))</f>
        <v/>
      </c>
      <c r="P262" s="3" t="inlineStr">
        <is>
          <t>2026-09-09</t>
        </is>
      </c>
      <c r="Q262" s="4" t="inlineStr">
        <is>
          <t>Ferretería Ochoa (8A)</t>
        </is>
      </c>
      <c r="U262" s="7" t="n">
        <v>58</v>
      </c>
      <c r="V262" s="7" t="inlineStr">
        <is>
          <t>58 x 30 cm</t>
        </is>
      </c>
      <c r="AE262" s="7" t="inlineStr">
        <is>
          <t>pared</t>
        </is>
      </c>
      <c r="AF262" s="4" t="inlineStr">
        <is>
          <t>material: ceramica · ancho_cm: 30 · piezas_m2: 5.75 · espesor_mm: 9</t>
        </is>
      </c>
    </row>
    <row r="263">
      <c r="A263" s="3" t="inlineStr">
        <is>
          <t>MAT-08-041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58 x 33 cm</t>
        </is>
      </c>
      <c r="E263" s="4" t="inlineStr"/>
      <c r="F263" s="3" t="inlineStr">
        <is>
          <t>m²</t>
        </is>
      </c>
      <c r="G263" s="3" t="inlineStr">
        <is>
          <t>Pisos</t>
        </is>
      </c>
      <c r="H263" s="3" t="inlineStr">
        <is>
          <t>estandar</t>
        </is>
      </c>
      <c r="I263" s="3" t="inlineStr">
        <is>
          <t>importado</t>
        </is>
      </c>
      <c r="J263" s="5" t="n">
        <v>2</v>
      </c>
      <c r="K263" s="6" t="n">
        <v>401.21</v>
      </c>
      <c r="L263" s="6" t="n">
        <v>333.42</v>
      </c>
      <c r="M263" s="6" t="n">
        <v>944</v>
      </c>
      <c r="N263" s="3" t="inlineStr">
        <is>
          <t>Sí</t>
        </is>
      </c>
      <c r="O263" s="6">
        <f>IF(K263="","",IF(N263="Sí",ROUND(K263/1.18,2),K263))</f>
        <v/>
      </c>
      <c r="P263" s="3" t="inlineStr">
        <is>
          <t>2026-09-10</t>
        </is>
      </c>
      <c r="Q263" s="4" t="inlineStr">
        <is>
          <t>Ferremix (Grupo Alterra) · Ferretería Ochoa (8A)</t>
        </is>
      </c>
      <c r="U263" s="7" t="n">
        <v>58</v>
      </c>
      <c r="V263" s="7" t="inlineStr">
        <is>
          <t>58 x 33 cm</t>
        </is>
      </c>
      <c r="AE263" s="7" t="inlineStr">
        <is>
          <t>pared</t>
        </is>
      </c>
      <c r="AF263" s="4" t="inlineStr">
        <is>
          <t>material: ceramica · ancho_cm: 33</t>
        </is>
      </c>
    </row>
    <row r="264">
      <c r="A264" s="3" t="inlineStr">
        <is>
          <t>MAT-08-042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60 x 20 cm</t>
        </is>
      </c>
      <c r="E264" s="4" t="inlineStr"/>
      <c r="F264" s="3" t="inlineStr">
        <is>
          <t>m²</t>
        </is>
      </c>
      <c r="G264" s="3" t="inlineStr">
        <is>
          <t>Pisos</t>
        </is>
      </c>
      <c r="H264" s="3" t="inlineStr">
        <is>
          <t>estandar</t>
        </is>
      </c>
      <c r="I264" s="3" t="inlineStr">
        <is>
          <t>importado</t>
        </is>
      </c>
      <c r="J264" s="5" t="n">
        <v>2</v>
      </c>
      <c r="K264" s="6" t="n">
        <v>1264.08</v>
      </c>
      <c r="L264" s="6" t="n">
        <v>1162.7</v>
      </c>
      <c r="M264" s="6" t="n">
        <v>1640.18</v>
      </c>
      <c r="N264" s="3" t="inlineStr">
        <is>
          <t>Sí</t>
        </is>
      </c>
      <c r="O264" s="6">
        <f>IF(K264="","",IF(N264="Sí",ROUND(K264/1.18,2),K264))</f>
        <v/>
      </c>
      <c r="P264" s="3" t="inlineStr">
        <is>
          <t>2026-09-10</t>
        </is>
      </c>
      <c r="Q264" s="4" t="inlineStr">
        <is>
          <t>Ferretería Ochoa (8A) · La Ibérica</t>
        </is>
      </c>
      <c r="U264" s="7" t="n">
        <v>60</v>
      </c>
      <c r="V264" s="7" t="inlineStr">
        <is>
          <t>60 x 20 cm</t>
        </is>
      </c>
      <c r="AE264" s="7" t="inlineStr">
        <is>
          <t>pared</t>
        </is>
      </c>
      <c r="AF264" s="4" t="inlineStr">
        <is>
          <t>material: ceramica · ancho_cm: 20 · piezas_m2: 8.33 · acabado: mate · espesor_mm: 9</t>
        </is>
      </c>
    </row>
    <row r="265">
      <c r="A265" s="3" t="inlineStr">
        <is>
          <t>MAT-08-043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60 x 30 cm</t>
        </is>
      </c>
      <c r="E265" s="4" t="inlineStr"/>
      <c r="F265" s="3" t="inlineStr">
        <is>
          <t>m²</t>
        </is>
      </c>
      <c r="G265" s="3" t="inlineStr">
        <is>
          <t>Pisos</t>
        </is>
      </c>
      <c r="H265" s="3" t="inlineStr">
        <is>
          <t>estandar</t>
        </is>
      </c>
      <c r="I265" s="3" t="inlineStr">
        <is>
          <t>importado</t>
        </is>
      </c>
      <c r="J265" s="5" t="n">
        <v>3</v>
      </c>
      <c r="K265" s="6" t="n">
        <v>800.16</v>
      </c>
      <c r="L265" s="6" t="n">
        <v>418.91</v>
      </c>
      <c r="M265" s="6" t="n">
        <v>1654.68</v>
      </c>
      <c r="N265" s="3" t="inlineStr">
        <is>
          <t>Sí</t>
        </is>
      </c>
      <c r="O265" s="6">
        <f>IF(K265="","",IF(N265="Sí",ROUND(K265/1.18,2),K265))</f>
        <v/>
      </c>
      <c r="P265" s="3" t="inlineStr">
        <is>
          <t>2026-09-10</t>
        </is>
      </c>
      <c r="Q265" s="4" t="inlineStr">
        <is>
          <t>CerArte · Ferretería Ochoa (8A) · La Ibérica</t>
        </is>
      </c>
      <c r="U265" s="7" t="n">
        <v>60</v>
      </c>
      <c r="V265" s="7" t="inlineStr">
        <is>
          <t>60 x 30 cm</t>
        </is>
      </c>
      <c r="AE265" s="7" t="inlineStr">
        <is>
          <t>pared</t>
        </is>
      </c>
      <c r="AF265" s="4" t="inlineStr">
        <is>
          <t>material: ceramica · ancho_cm: 30</t>
        </is>
      </c>
    </row>
    <row r="266">
      <c r="A266" s="3" t="inlineStr">
        <is>
          <t>MAT-08-044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60 x 33 cm</t>
        </is>
      </c>
      <c r="E266" s="4" t="inlineStr"/>
      <c r="F266" s="3" t="inlineStr">
        <is>
          <t>m²</t>
        </is>
      </c>
      <c r="G266" s="3" t="inlineStr">
        <is>
          <t>Pisos</t>
        </is>
      </c>
      <c r="H266" s="3" t="inlineStr">
        <is>
          <t>estandar</t>
        </is>
      </c>
      <c r="I266" s="3" t="inlineStr">
        <is>
          <t>importado</t>
        </is>
      </c>
      <c r="J266" s="5" t="n">
        <v>2</v>
      </c>
      <c r="K266" s="6" t="n">
        <v>876.1</v>
      </c>
      <c r="L266" s="6" t="n">
        <v>724.97</v>
      </c>
      <c r="M266" s="6" t="n">
        <v>1027.23</v>
      </c>
      <c r="N266" s="3" t="inlineStr">
        <is>
          <t>Sí</t>
        </is>
      </c>
      <c r="O266" s="6">
        <f>IF(K266="","",IF(N266="Sí",ROUND(K266/1.18,2),K266))</f>
        <v/>
      </c>
      <c r="P266" s="3" t="inlineStr">
        <is>
          <t>2026-09-10</t>
        </is>
      </c>
      <c r="Q266" s="4" t="inlineStr">
        <is>
          <t>Ferretería Ochoa (8A) · La Ibérica</t>
        </is>
      </c>
      <c r="U266" s="7" t="n">
        <v>60</v>
      </c>
      <c r="V266" s="7" t="inlineStr">
        <is>
          <t>60 x 33 cm</t>
        </is>
      </c>
      <c r="AE266" s="7" t="inlineStr">
        <is>
          <t>pared</t>
        </is>
      </c>
      <c r="AF266" s="4" t="inlineStr">
        <is>
          <t>material: ceramica · ancho_cm: 33 · piezas_m2: 5.27</t>
        </is>
      </c>
    </row>
    <row r="267">
      <c r="A267" s="3" t="inlineStr">
        <is>
          <t>MAT-08-045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60 x 60 cm</t>
        </is>
      </c>
      <c r="E267" s="4" t="inlineStr"/>
      <c r="F267" s="3" t="inlineStr">
        <is>
          <t>m²</t>
        </is>
      </c>
      <c r="G267" s="3" t="inlineStr">
        <is>
          <t>Pisos</t>
        </is>
      </c>
      <c r="H267" s="3" t="inlineStr">
        <is>
          <t>estandar</t>
        </is>
      </c>
      <c r="I267" s="3" t="inlineStr">
        <is>
          <t>importado</t>
        </is>
      </c>
      <c r="J267" s="5" t="n">
        <v>1</v>
      </c>
      <c r="K267" s="6" t="n">
        <v>1195.21</v>
      </c>
      <c r="L267" s="6" t="n">
        <v>1195.21</v>
      </c>
      <c r="M267" s="6" t="n">
        <v>1195.21</v>
      </c>
      <c r="N267" s="3" t="inlineStr">
        <is>
          <t>Sí</t>
        </is>
      </c>
      <c r="O267" s="6">
        <f>IF(K267="","",IF(N267="Sí",ROUND(K267/1.18,2),K267))</f>
        <v/>
      </c>
      <c r="P267" s="3" t="inlineStr">
        <is>
          <t>2026-09-09</t>
        </is>
      </c>
      <c r="Q267" s="4" t="inlineStr">
        <is>
          <t>Ferretería Ochoa (8A)</t>
        </is>
      </c>
      <c r="U267" s="7" t="n">
        <v>60</v>
      </c>
      <c r="V267" s="7" t="inlineStr">
        <is>
          <t>60 x 60 cm</t>
        </is>
      </c>
      <c r="AE267" s="7" t="inlineStr">
        <is>
          <t>pared</t>
        </is>
      </c>
      <c r="AF267" s="4" t="inlineStr">
        <is>
          <t>material: ceramica · ancho_cm: 60 · piezas_m2: 2.7</t>
        </is>
      </c>
    </row>
    <row r="268">
      <c r="A268" s="3" t="inlineStr">
        <is>
          <t>MAT-08-046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70 x 25 cm</t>
        </is>
      </c>
      <c r="E268" s="4" t="inlineStr"/>
      <c r="F268" s="3" t="inlineStr">
        <is>
          <t>m²</t>
        </is>
      </c>
      <c r="G268" s="3" t="inlineStr">
        <is>
          <t>Pisos</t>
        </is>
      </c>
      <c r="H268" s="3" t="inlineStr">
        <is>
          <t>estandar</t>
        </is>
      </c>
      <c r="I268" s="3" t="inlineStr">
        <is>
          <t>importado</t>
        </is>
      </c>
      <c r="J268" s="5" t="n">
        <v>1</v>
      </c>
      <c r="K268" s="6" t="n">
        <v>199.95</v>
      </c>
      <c r="L268" s="6" t="n">
        <v>199.95</v>
      </c>
      <c r="M268" s="6" t="n">
        <v>199.95</v>
      </c>
      <c r="N268" s="3" t="inlineStr">
        <is>
          <t>Sí</t>
        </is>
      </c>
      <c r="O268" s="6">
        <f>IF(K268="","",IF(N268="Sí",ROUND(K268/1.18,2),K268))</f>
        <v/>
      </c>
      <c r="P268" s="3" t="inlineStr">
        <is>
          <t>2026-09-09</t>
        </is>
      </c>
      <c r="Q268" s="4" t="inlineStr">
        <is>
          <t>Ferretería Ochoa (8A)</t>
        </is>
      </c>
      <c r="U268" s="7" t="n">
        <v>70</v>
      </c>
      <c r="V268" s="7" t="inlineStr">
        <is>
          <t>70 x 25 cm</t>
        </is>
      </c>
      <c r="AE268" s="7" t="inlineStr">
        <is>
          <t>pared</t>
        </is>
      </c>
      <c r="AF268" s="4" t="inlineStr">
        <is>
          <t>material: ceramica · ancho_cm: 25 · piezas_m2: 5.69</t>
        </is>
      </c>
    </row>
    <row r="269">
      <c r="A269" s="3" t="inlineStr">
        <is>
          <t>MAT-08-047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75 x 25 cm</t>
        </is>
      </c>
      <c r="E269" s="4" t="inlineStr"/>
      <c r="F269" s="3" t="inlineStr">
        <is>
          <t>m²</t>
        </is>
      </c>
      <c r="G269" s="3" t="inlineStr">
        <is>
          <t>Pisos</t>
        </is>
      </c>
      <c r="H269" s="3" t="inlineStr">
        <is>
          <t>estandar</t>
        </is>
      </c>
      <c r="I269" s="3" t="inlineStr">
        <is>
          <t>importado</t>
        </is>
      </c>
      <c r="J269" s="5" t="n">
        <v>2</v>
      </c>
      <c r="K269" s="6" t="n">
        <v>1279.89</v>
      </c>
      <c r="L269" s="6" t="n">
        <v>883.8200000000001</v>
      </c>
      <c r="M269" s="6" t="n">
        <v>1675.01</v>
      </c>
      <c r="N269" s="3" t="inlineStr">
        <is>
          <t>Sí</t>
        </is>
      </c>
      <c r="O269" s="6">
        <f>IF(K269="","",IF(N269="Sí",ROUND(K269/1.18,2),K269))</f>
        <v/>
      </c>
      <c r="P269" s="3" t="inlineStr">
        <is>
          <t>2026-09-10</t>
        </is>
      </c>
      <c r="Q269" s="4" t="inlineStr">
        <is>
          <t>CerArte · Ferretería Ochoa (8A)</t>
        </is>
      </c>
      <c r="U269" s="7" t="n">
        <v>75</v>
      </c>
      <c r="V269" s="7" t="inlineStr">
        <is>
          <t>75 x 25 cm</t>
        </is>
      </c>
      <c r="AE269" s="7" t="inlineStr">
        <is>
          <t>pared</t>
        </is>
      </c>
      <c r="AF269" s="4" t="inlineStr">
        <is>
          <t>material: ceramica · ancho_cm: 25</t>
        </is>
      </c>
    </row>
    <row r="270">
      <c r="A270" s="3" t="inlineStr">
        <is>
          <t>MAT-08-048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75 x 30 cm</t>
        </is>
      </c>
      <c r="E270" s="4" t="inlineStr"/>
      <c r="F270" s="3" t="inlineStr">
        <is>
          <t>m²</t>
        </is>
      </c>
      <c r="G270" s="3" t="inlineStr">
        <is>
          <t>Pisos</t>
        </is>
      </c>
      <c r="H270" s="3" t="inlineStr">
        <is>
          <t>estandar</t>
        </is>
      </c>
      <c r="I270" s="3" t="inlineStr">
        <is>
          <t>importado</t>
        </is>
      </c>
      <c r="J270" s="5" t="n">
        <v>1</v>
      </c>
      <c r="K270" s="6" t="n">
        <v>1789.97</v>
      </c>
      <c r="L270" s="6" t="n">
        <v>1789.97</v>
      </c>
      <c r="M270" s="6" t="n">
        <v>1789.97</v>
      </c>
      <c r="N270" s="3" t="inlineStr">
        <is>
          <t>Sí</t>
        </is>
      </c>
      <c r="O270" s="6">
        <f>IF(K270="","",IF(N270="Sí",ROUND(K270/1.18,2),K270))</f>
        <v/>
      </c>
      <c r="P270" s="3" t="inlineStr">
        <is>
          <t>2026-09-10</t>
        </is>
      </c>
      <c r="Q270" s="4" t="inlineStr">
        <is>
          <t>La Ibérica</t>
        </is>
      </c>
      <c r="V270" s="7" t="inlineStr">
        <is>
          <t>75 x 30 cm</t>
        </is>
      </c>
      <c r="AE270" s="7" t="inlineStr">
        <is>
          <t>pared</t>
        </is>
      </c>
      <c r="AF270" s="4" t="inlineStr">
        <is>
          <t>material: ceramica</t>
        </is>
      </c>
    </row>
    <row r="271">
      <c r="A271" s="3" t="inlineStr">
        <is>
          <t>MAT-08-049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75 x 35 cm</t>
        </is>
      </c>
      <c r="E271" s="4" t="inlineStr"/>
      <c r="F271" s="3" t="inlineStr">
        <is>
          <t>m²</t>
        </is>
      </c>
      <c r="G271" s="3" t="inlineStr">
        <is>
          <t>Pisos</t>
        </is>
      </c>
      <c r="H271" s="3" t="inlineStr">
        <is>
          <t>estandar</t>
        </is>
      </c>
      <c r="I271" s="3" t="inlineStr">
        <is>
          <t>importado</t>
        </is>
      </c>
      <c r="J271" s="5" t="n">
        <v>1</v>
      </c>
      <c r="K271" s="6" t="n">
        <v>2071.81</v>
      </c>
      <c r="L271" s="6" t="n">
        <v>1856.2</v>
      </c>
      <c r="M271" s="6" t="n">
        <v>2071.82</v>
      </c>
      <c r="N271" s="3" t="inlineStr">
        <is>
          <t>Sí</t>
        </is>
      </c>
      <c r="O271" s="6">
        <f>IF(K271="","",IF(N271="Sí",ROUND(K271/1.18,2),K271))</f>
        <v/>
      </c>
      <c r="P271" s="3" t="inlineStr">
        <is>
          <t>2026-09-10</t>
        </is>
      </c>
      <c r="Q271" s="4" t="inlineStr">
        <is>
          <t>CerArte</t>
        </is>
      </c>
      <c r="V271" s="7" t="inlineStr">
        <is>
          <t>75 x 35 cm</t>
        </is>
      </c>
      <c r="AE271" s="7" t="inlineStr">
        <is>
          <t>pared</t>
        </is>
      </c>
      <c r="AF271" s="4" t="inlineStr">
        <is>
          <t>material: ceramica · acabado: mate</t>
        </is>
      </c>
    </row>
    <row r="272">
      <c r="A272" s="3" t="inlineStr">
        <is>
          <t>MAT-08-050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75 x 38 cm</t>
        </is>
      </c>
      <c r="E272" s="4" t="inlineStr"/>
      <c r="F272" s="3" t="inlineStr">
        <is>
          <t>m²</t>
        </is>
      </c>
      <c r="G272" s="3" t="inlineStr">
        <is>
          <t>Pisos</t>
        </is>
      </c>
      <c r="H272" s="3" t="inlineStr">
        <is>
          <t>estandar</t>
        </is>
      </c>
      <c r="I272" s="3" t="inlineStr">
        <is>
          <t>importado</t>
        </is>
      </c>
      <c r="J272" s="5" t="n">
        <v>1</v>
      </c>
      <c r="K272" s="6" t="n">
        <v>644.1900000000001</v>
      </c>
      <c r="L272" s="6" t="n">
        <v>527.28</v>
      </c>
      <c r="M272" s="6" t="n">
        <v>761.11</v>
      </c>
      <c r="N272" s="3" t="inlineStr">
        <is>
          <t>Sí</t>
        </is>
      </c>
      <c r="O272" s="6">
        <f>IF(K272="","",IF(N272="Sí",ROUND(K272/1.18,2),K272))</f>
        <v/>
      </c>
      <c r="P272" s="3" t="inlineStr">
        <is>
          <t>2026-09-09</t>
        </is>
      </c>
      <c r="Q272" s="4" t="inlineStr">
        <is>
          <t>Ferretería Ochoa (8A)</t>
        </is>
      </c>
      <c r="U272" s="7" t="n">
        <v>75</v>
      </c>
      <c r="V272" s="7" t="inlineStr">
        <is>
          <t>75 x 38 cm</t>
        </is>
      </c>
      <c r="AE272" s="7" t="inlineStr">
        <is>
          <t>pared</t>
        </is>
      </c>
      <c r="AF272" s="4" t="inlineStr">
        <is>
          <t>material: ceramica · ancho_cm: 38 · piezas_m2: 3.5 · acabado: mate · espesor_mm: 9</t>
        </is>
      </c>
    </row>
    <row r="273">
      <c r="A273" s="3" t="inlineStr">
        <is>
          <t>MAT-08-051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80 x 36 cm</t>
        </is>
      </c>
      <c r="E273" s="4" t="inlineStr"/>
      <c r="F273" s="3" t="inlineStr">
        <is>
          <t>m²</t>
        </is>
      </c>
      <c r="G273" s="3" t="inlineStr">
        <is>
          <t>Pisos</t>
        </is>
      </c>
      <c r="H273" s="3" t="inlineStr">
        <is>
          <t>estandar</t>
        </is>
      </c>
      <c r="I273" s="3" t="inlineStr">
        <is>
          <t>importado</t>
        </is>
      </c>
      <c r="J273" s="5" t="n">
        <v>1</v>
      </c>
      <c r="K273" s="6" t="n">
        <v>1511.88</v>
      </c>
      <c r="L273" s="6" t="n">
        <v>1343.86</v>
      </c>
      <c r="M273" s="6" t="n">
        <v>1679.9</v>
      </c>
      <c r="N273" s="3" t="inlineStr">
        <is>
          <t>Sí</t>
        </is>
      </c>
      <c r="O273" s="6">
        <f>IF(K273="","",IF(N273="Sí",ROUND(K273/1.18,2),K273))</f>
        <v/>
      </c>
      <c r="P273" s="3" t="inlineStr">
        <is>
          <t>2026-09-09</t>
        </is>
      </c>
      <c r="Q273" s="4" t="inlineStr">
        <is>
          <t>Ferretería Ochoa (8A)</t>
        </is>
      </c>
      <c r="U273" s="7" t="n">
        <v>80</v>
      </c>
      <c r="V273" s="7" t="inlineStr">
        <is>
          <t>80 x 36 cm</t>
        </is>
      </c>
      <c r="AE273" s="7" t="inlineStr">
        <is>
          <t>pared</t>
        </is>
      </c>
      <c r="AF273" s="4" t="inlineStr">
        <is>
          <t>material: ceramica · ancho_cm: 36 · piezas_m2: 3.47 · acabado: brillante</t>
        </is>
      </c>
    </row>
    <row r="274">
      <c r="A274" s="3" t="inlineStr">
        <is>
          <t>MAT-08-052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90 x 30 cm</t>
        </is>
      </c>
      <c r="E274" s="4" t="inlineStr"/>
      <c r="F274" s="3" t="inlineStr">
        <is>
          <t>m²</t>
        </is>
      </c>
      <c r="G274" s="3" t="inlineStr">
        <is>
          <t>Pisos</t>
        </is>
      </c>
      <c r="H274" s="3" t="inlineStr">
        <is>
          <t>estandar</t>
        </is>
      </c>
      <c r="I274" s="3" t="inlineStr">
        <is>
          <t>importado</t>
        </is>
      </c>
      <c r="J274" s="5" t="n">
        <v>3</v>
      </c>
      <c r="K274" s="6" t="n">
        <v>1817.04</v>
      </c>
      <c r="L274" s="6" t="n">
        <v>401.35</v>
      </c>
      <c r="M274" s="6" t="n">
        <v>2977.12</v>
      </c>
      <c r="N274" s="3" t="inlineStr">
        <is>
          <t>Sí</t>
        </is>
      </c>
      <c r="O274" s="6">
        <f>IF(K274="","",IF(N274="Sí",ROUND(K274/1.18,2),K274))</f>
        <v/>
      </c>
      <c r="P274" s="3" t="inlineStr">
        <is>
          <t>2026-09-10</t>
        </is>
      </c>
      <c r="Q274" s="4" t="inlineStr">
        <is>
          <t>CerArte · Ferretería Ochoa (8A) · La Ibérica</t>
        </is>
      </c>
      <c r="U274" s="7" t="n">
        <v>90</v>
      </c>
      <c r="V274" s="7" t="inlineStr">
        <is>
          <t>90 x 30 cm</t>
        </is>
      </c>
      <c r="AE274" s="7" t="inlineStr">
        <is>
          <t>pared</t>
        </is>
      </c>
      <c r="AF274" s="4" t="inlineStr">
        <is>
          <t>material: ceramica · ancho_cm: 30</t>
        </is>
      </c>
    </row>
    <row r="275">
      <c r="A275" s="3" t="inlineStr">
        <is>
          <t>MAT-08-053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90 x 33 cm</t>
        </is>
      </c>
      <c r="E275" s="4" t="inlineStr"/>
      <c r="F275" s="3" t="inlineStr">
        <is>
          <t>m²</t>
        </is>
      </c>
      <c r="G275" s="3" t="inlineStr">
        <is>
          <t>Pisos</t>
        </is>
      </c>
      <c r="H275" s="3" t="inlineStr">
        <is>
          <t>estandar</t>
        </is>
      </c>
      <c r="I275" s="3" t="inlineStr">
        <is>
          <t>importado</t>
        </is>
      </c>
      <c r="J275" s="5" t="n">
        <v>1</v>
      </c>
      <c r="K275" s="6" t="n">
        <v>1770.01</v>
      </c>
      <c r="L275" s="6" t="n">
        <v>1690.02</v>
      </c>
      <c r="M275" s="6" t="n">
        <v>1850</v>
      </c>
      <c r="N275" s="3" t="inlineStr">
        <is>
          <t>Sí</t>
        </is>
      </c>
      <c r="O275" s="6">
        <f>IF(K275="","",IF(N275="Sí",ROUND(K275/1.18,2),K275))</f>
        <v/>
      </c>
      <c r="P275" s="3" t="inlineStr">
        <is>
          <t>2026-09-10</t>
        </is>
      </c>
      <c r="Q275" s="4" t="inlineStr">
        <is>
          <t>La Ibérica</t>
        </is>
      </c>
      <c r="V275" s="7" t="inlineStr">
        <is>
          <t>90 x 33 cm</t>
        </is>
      </c>
      <c r="AE275" s="7" t="inlineStr">
        <is>
          <t>pared</t>
        </is>
      </c>
      <c r="AF275" s="4" t="inlineStr">
        <is>
          <t>material: ceramica</t>
        </is>
      </c>
    </row>
    <row r="276">
      <c r="A276" s="3" t="inlineStr">
        <is>
          <t>MAT-08-054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90 x 45 cm</t>
        </is>
      </c>
      <c r="E276" s="4" t="inlineStr"/>
      <c r="F276" s="3" t="inlineStr">
        <is>
          <t>m²</t>
        </is>
      </c>
      <c r="G276" s="3" t="inlineStr">
        <is>
          <t>Pisos</t>
        </is>
      </c>
      <c r="H276" s="3" t="inlineStr">
        <is>
          <t>estandar</t>
        </is>
      </c>
      <c r="I276" s="3" t="inlineStr">
        <is>
          <t>importado</t>
        </is>
      </c>
      <c r="J276" s="5" t="n">
        <v>2</v>
      </c>
      <c r="K276" s="6" t="n">
        <v>2169.48</v>
      </c>
      <c r="L276" s="6" t="n">
        <v>1832.08</v>
      </c>
      <c r="M276" s="6" t="n">
        <v>2506.89</v>
      </c>
      <c r="N276" s="3" t="inlineStr">
        <is>
          <t>Sí</t>
        </is>
      </c>
      <c r="O276" s="6">
        <f>IF(K276="","",IF(N276="Sí",ROUND(K276/1.18,2),K276))</f>
        <v/>
      </c>
      <c r="P276" s="3" t="inlineStr">
        <is>
          <t>2026-09-10</t>
        </is>
      </c>
      <c r="Q276" s="4" t="inlineStr">
        <is>
          <t>CerArte · Ferretería Ochoa (8A)</t>
        </is>
      </c>
      <c r="U276" s="7" t="n">
        <v>90</v>
      </c>
      <c r="V276" s="7" t="inlineStr">
        <is>
          <t>90 x 45 cm</t>
        </is>
      </c>
      <c r="AE276" s="7" t="inlineStr">
        <is>
          <t>pared</t>
        </is>
      </c>
      <c r="AF276" s="4" t="inlineStr">
        <is>
          <t>material: ceramica · ancho_cm: 45 · piezas_m2: 2.46 · espesor_mm: 9</t>
        </is>
      </c>
    </row>
    <row r="277">
      <c r="A277" s="3" t="inlineStr">
        <is>
          <t>MAT-08-055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piso, 100 x 33 cm</t>
        </is>
      </c>
      <c r="E277" s="4" t="inlineStr"/>
      <c r="F277" s="3" t="inlineStr">
        <is>
          <t>m²</t>
        </is>
      </c>
      <c r="G277" s="3" t="inlineStr">
        <is>
          <t>Pisos</t>
        </is>
      </c>
      <c r="H277" s="3" t="inlineStr">
        <is>
          <t>estandar</t>
        </is>
      </c>
      <c r="I277" s="3" t="inlineStr">
        <is>
          <t>importado</t>
        </is>
      </c>
      <c r="J277" s="5" t="n">
        <v>1</v>
      </c>
      <c r="K277" s="6" t="n">
        <v>1419.42</v>
      </c>
      <c r="L277" s="6" t="n">
        <v>1333.56</v>
      </c>
      <c r="M277" s="6" t="n">
        <v>1505.28</v>
      </c>
      <c r="N277" s="3" t="inlineStr">
        <is>
          <t>Sí</t>
        </is>
      </c>
      <c r="O277" s="6">
        <f>IF(K277="","",IF(N277="Sí",ROUND(K277/1.18,2),K277))</f>
        <v/>
      </c>
      <c r="P277" s="3" t="inlineStr">
        <is>
          <t>2026-09-09</t>
        </is>
      </c>
      <c r="Q277" s="4" t="inlineStr">
        <is>
          <t>Ferretería Ochoa (8A)</t>
        </is>
      </c>
      <c r="U277" s="7" t="n">
        <v>100</v>
      </c>
      <c r="V277" s="7" t="inlineStr">
        <is>
          <t>100 x 33 cm</t>
        </is>
      </c>
      <c r="AE277" s="7" t="inlineStr">
        <is>
          <t>piso</t>
        </is>
      </c>
      <c r="AF277" s="4" t="inlineStr">
        <is>
          <t>material: ceramica · ancho_cm: 33 · piezas_m2: 3 · espesor_mm: 10</t>
        </is>
      </c>
    </row>
    <row r="278">
      <c r="A278" s="3" t="inlineStr">
        <is>
          <t>MAT-08-056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piso, 100 x 45 cm</t>
        </is>
      </c>
      <c r="E278" s="4" t="inlineStr"/>
      <c r="F278" s="3" t="inlineStr">
        <is>
          <t>m²</t>
        </is>
      </c>
      <c r="G278" s="3" t="inlineStr">
        <is>
          <t>Pisos</t>
        </is>
      </c>
      <c r="H278" s="3" t="inlineStr">
        <is>
          <t>estandar</t>
        </is>
      </c>
      <c r="I278" s="3" t="inlineStr">
        <is>
          <t>importado</t>
        </is>
      </c>
      <c r="J278" s="5" t="n">
        <v>1</v>
      </c>
      <c r="K278" s="6" t="n">
        <v>1352</v>
      </c>
      <c r="L278" s="6" t="n">
        <v>1352</v>
      </c>
      <c r="M278" s="6" t="n">
        <v>1352</v>
      </c>
      <c r="N278" s="3" t="inlineStr">
        <is>
          <t>Sí</t>
        </is>
      </c>
      <c r="O278" s="6">
        <f>IF(K278="","",IF(N278="Sí",ROUND(K278/1.18,2),K278))</f>
        <v/>
      </c>
      <c r="P278" s="3" t="inlineStr">
        <is>
          <t>2026-09-10</t>
        </is>
      </c>
      <c r="Q278" s="4" t="inlineStr">
        <is>
          <t>CerArte</t>
        </is>
      </c>
      <c r="V278" s="7" t="inlineStr">
        <is>
          <t>100 x 45 cm</t>
        </is>
      </c>
      <c r="AE278" s="7" t="inlineStr">
        <is>
          <t>piso</t>
        </is>
      </c>
      <c r="AF278" s="4" t="inlineStr">
        <is>
          <t>material: ceramica · acabado: mate</t>
        </is>
      </c>
    </row>
    <row r="279">
      <c r="A279" s="3" t="inlineStr">
        <is>
          <t>MAT-08-057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piso, 110 x 55 cm</t>
        </is>
      </c>
      <c r="E279" s="4" t="inlineStr"/>
      <c r="F279" s="3" t="inlineStr">
        <is>
          <t>m²</t>
        </is>
      </c>
      <c r="G279" s="3" t="inlineStr">
        <is>
          <t>Pisos</t>
        </is>
      </c>
      <c r="H279" s="3" t="inlineStr">
        <is>
          <t>estandar</t>
        </is>
      </c>
      <c r="I279" s="3" t="inlineStr">
        <is>
          <t>importado</t>
        </is>
      </c>
      <c r="J279" s="5" t="n">
        <v>1</v>
      </c>
      <c r="K279" s="6" t="n">
        <v>784.04</v>
      </c>
      <c r="L279" s="6" t="n">
        <v>784.04</v>
      </c>
      <c r="M279" s="6" t="n">
        <v>784.04</v>
      </c>
      <c r="N279" s="3" t="inlineStr">
        <is>
          <t>Sí</t>
        </is>
      </c>
      <c r="O279" s="6">
        <f>IF(K279="","",IF(N279="Sí",ROUND(K279/1.18,2),K279))</f>
        <v/>
      </c>
      <c r="P279" s="3" t="inlineStr">
        <is>
          <t>2026-09-10</t>
        </is>
      </c>
      <c r="Q279" s="4" t="inlineStr">
        <is>
          <t>CerArte</t>
        </is>
      </c>
      <c r="V279" s="7" t="inlineStr">
        <is>
          <t>110 x 55 cm</t>
        </is>
      </c>
      <c r="AE279" s="7" t="inlineStr">
        <is>
          <t>piso</t>
        </is>
      </c>
      <c r="AF279" s="4" t="inlineStr">
        <is>
          <t>material: ceramica · acabado: pulido</t>
        </is>
      </c>
    </row>
    <row r="280">
      <c r="A280" s="3" t="inlineStr">
        <is>
          <t>MAT-08-058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piso, 113 x 55 cm</t>
        </is>
      </c>
      <c r="E280" s="4" t="inlineStr"/>
      <c r="F280" s="3" t="inlineStr">
        <is>
          <t>m²</t>
        </is>
      </c>
      <c r="G280" s="3" t="inlineStr">
        <is>
          <t>Pisos</t>
        </is>
      </c>
      <c r="H280" s="3" t="inlineStr">
        <is>
          <t>estandar</t>
        </is>
      </c>
      <c r="I280" s="3" t="inlineStr">
        <is>
          <t>importado</t>
        </is>
      </c>
      <c r="J280" s="5" t="n">
        <v>2</v>
      </c>
      <c r="K280" s="6" t="n">
        <v>975</v>
      </c>
      <c r="L280" s="6" t="n">
        <v>489.48</v>
      </c>
      <c r="M280" s="6" t="n">
        <v>975</v>
      </c>
      <c r="N280" s="3" t="inlineStr">
        <is>
          <t>Sí</t>
        </is>
      </c>
      <c r="O280" s="6">
        <f>IF(K280="","",IF(N280="Sí",ROUND(K280/1.18,2),K280))</f>
        <v/>
      </c>
      <c r="P280" s="3" t="inlineStr">
        <is>
          <t>2026-09-10</t>
        </is>
      </c>
      <c r="Q280" s="4" t="inlineStr">
        <is>
          <t>Ferremix (Grupo Alterra) · Ferretería Ochoa (8A)</t>
        </is>
      </c>
      <c r="U280" s="7" t="n">
        <v>113</v>
      </c>
      <c r="V280" s="7" t="inlineStr">
        <is>
          <t>113 x 55 cm</t>
        </is>
      </c>
      <c r="AE280" s="7" t="inlineStr">
        <is>
          <t>piso</t>
        </is>
      </c>
      <c r="AF280" s="4" t="inlineStr">
        <is>
          <t>material: ceramica · ancho_cm: 55 · piezas_m2: 1.58 · espesor_mm: 9</t>
        </is>
      </c>
    </row>
    <row r="281">
      <c r="A281" s="3" t="inlineStr">
        <is>
          <t>MAT-08-059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piso, 114 x 18 cm</t>
        </is>
      </c>
      <c r="E281" s="4" t="inlineStr"/>
      <c r="F281" s="3" t="inlineStr">
        <is>
          <t>m²</t>
        </is>
      </c>
      <c r="G281" s="3" t="inlineStr">
        <is>
          <t>Pisos</t>
        </is>
      </c>
      <c r="H281" s="3" t="inlineStr">
        <is>
          <t>estandar</t>
        </is>
      </c>
      <c r="I281" s="3" t="inlineStr">
        <is>
          <t>importado</t>
        </is>
      </c>
      <c r="J281" s="5" t="n">
        <v>1</v>
      </c>
      <c r="K281" s="6" t="n">
        <v>737.36</v>
      </c>
      <c r="L281" s="6" t="n">
        <v>669.27</v>
      </c>
      <c r="M281" s="6" t="n">
        <v>743.3200000000001</v>
      </c>
      <c r="N281" s="3" t="inlineStr">
        <is>
          <t>Sí</t>
        </is>
      </c>
      <c r="O281" s="6">
        <f>IF(K281="","",IF(N281="Sí",ROUND(K281/1.18,2),K281))</f>
        <v/>
      </c>
      <c r="P281" s="3" t="inlineStr">
        <is>
          <t>2026-09-09</t>
        </is>
      </c>
      <c r="Q281" s="4" t="inlineStr">
        <is>
          <t>Ferretería Ochoa (8A)</t>
        </is>
      </c>
      <c r="U281" s="7" t="n">
        <v>114</v>
      </c>
      <c r="V281" s="7" t="inlineStr">
        <is>
          <t>114 x 18 cm</t>
        </is>
      </c>
      <c r="AE281" s="7" t="inlineStr">
        <is>
          <t>piso</t>
        </is>
      </c>
      <c r="AF281" s="4" t="inlineStr">
        <is>
          <t>material: ceramica · ancho_cm: 18</t>
        </is>
      </c>
    </row>
    <row r="282">
      <c r="A282" s="3" t="inlineStr">
        <is>
          <t>MAT-08-060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piso, 120 x 15 cm</t>
        </is>
      </c>
      <c r="E282" s="4" t="inlineStr"/>
      <c r="F282" s="3" t="inlineStr">
        <is>
          <t>m²</t>
        </is>
      </c>
      <c r="G282" s="3" t="inlineStr">
        <is>
          <t>Pisos</t>
        </is>
      </c>
      <c r="H282" s="3" t="inlineStr">
        <is>
          <t>estandar</t>
        </is>
      </c>
      <c r="I282" s="3" t="inlineStr">
        <is>
          <t>importado</t>
        </is>
      </c>
      <c r="J282" s="5" t="n">
        <v>2</v>
      </c>
      <c r="K282" s="6" t="n">
        <v>3981.13</v>
      </c>
      <c r="L282" s="6" t="n">
        <v>1690</v>
      </c>
      <c r="M282" s="6" t="n">
        <v>4005.16</v>
      </c>
      <c r="N282" s="3" t="inlineStr">
        <is>
          <t>Sí</t>
        </is>
      </c>
      <c r="O282" s="6">
        <f>IF(K282="","",IF(N282="Sí",ROUND(K282/1.18,2),K282))</f>
        <v/>
      </c>
      <c r="P282" s="3" t="inlineStr">
        <is>
          <t>2026-09-10</t>
        </is>
      </c>
      <c r="Q282" s="4" t="inlineStr">
        <is>
          <t>Ferretería Ochoa (8A) · La Ibérica</t>
        </is>
      </c>
      <c r="U282" s="7" t="n">
        <v>120</v>
      </c>
      <c r="V282" s="7" t="inlineStr">
        <is>
          <t>120 x 15 cm</t>
        </is>
      </c>
      <c r="AE282" s="7" t="inlineStr">
        <is>
          <t>piso</t>
        </is>
      </c>
      <c r="AF282" s="4" t="inlineStr">
        <is>
          <t>material: ceramica · ancho_cm: 15 · acabado: mate</t>
        </is>
      </c>
    </row>
    <row r="283">
      <c r="A283" s="3" t="inlineStr">
        <is>
          <t>MAT-08-061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piso, 120 x 20 cm</t>
        </is>
      </c>
      <c r="E283" s="4" t="inlineStr"/>
      <c r="F283" s="3" t="inlineStr">
        <is>
          <t>m²</t>
        </is>
      </c>
      <c r="G283" s="3" t="inlineStr">
        <is>
          <t>Pisos</t>
        </is>
      </c>
      <c r="H283" s="3" t="inlineStr">
        <is>
          <t>estandar</t>
        </is>
      </c>
      <c r="I283" s="3" t="inlineStr">
        <is>
          <t>importado</t>
        </is>
      </c>
      <c r="J283" s="5" t="n">
        <v>1</v>
      </c>
      <c r="K283" s="6" t="n">
        <v>2136.75</v>
      </c>
      <c r="L283" s="6" t="n">
        <v>1732.1</v>
      </c>
      <c r="M283" s="6" t="n">
        <v>2390.44</v>
      </c>
      <c r="N283" s="3" t="inlineStr">
        <is>
          <t>Sí</t>
        </is>
      </c>
      <c r="O283" s="6">
        <f>IF(K283="","",IF(N283="Sí",ROUND(K283/1.18,2),K283))</f>
        <v/>
      </c>
      <c r="P283" s="3" t="inlineStr">
        <is>
          <t>2026-09-09</t>
        </is>
      </c>
      <c r="Q283" s="4" t="inlineStr">
        <is>
          <t>Ferretería Ochoa (8A)</t>
        </is>
      </c>
      <c r="U283" s="7" t="n">
        <v>120</v>
      </c>
      <c r="V283" s="7" t="inlineStr">
        <is>
          <t>120 x 20 cm</t>
        </is>
      </c>
      <c r="AE283" s="7" t="inlineStr">
        <is>
          <t>piso</t>
        </is>
      </c>
      <c r="AF283" s="4" t="inlineStr">
        <is>
          <t>material: ceramica · ancho_cm: 20 · espesor_mm: 9</t>
        </is>
      </c>
    </row>
    <row r="284">
      <c r="A284" s="3" t="inlineStr">
        <is>
          <t>MAT-08-062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piso, 120 x 23 cm</t>
        </is>
      </c>
      <c r="E284" s="4" t="inlineStr"/>
      <c r="F284" s="3" t="inlineStr">
        <is>
          <t>m²</t>
        </is>
      </c>
      <c r="G284" s="3" t="inlineStr">
        <is>
          <t>Pisos</t>
        </is>
      </c>
      <c r="H284" s="3" t="inlineStr">
        <is>
          <t>estandar</t>
        </is>
      </c>
      <c r="I284" s="3" t="inlineStr">
        <is>
          <t>importado</t>
        </is>
      </c>
      <c r="J284" s="5" t="n">
        <v>1</v>
      </c>
      <c r="K284" s="6" t="n">
        <v>1295.89</v>
      </c>
      <c r="L284" s="6" t="n">
        <v>1253.57</v>
      </c>
      <c r="M284" s="6" t="n">
        <v>1327.67</v>
      </c>
      <c r="N284" s="3" t="inlineStr">
        <is>
          <t>Sí</t>
        </is>
      </c>
      <c r="O284" s="6">
        <f>IF(K284="","",IF(N284="Sí",ROUND(K284/1.18,2),K284))</f>
        <v/>
      </c>
      <c r="P284" s="3" t="inlineStr">
        <is>
          <t>2026-09-09</t>
        </is>
      </c>
      <c r="Q284" s="4" t="inlineStr">
        <is>
          <t>Ferretería Ochoa (8A)</t>
        </is>
      </c>
      <c r="U284" s="7" t="n">
        <v>120</v>
      </c>
      <c r="V284" s="7" t="inlineStr">
        <is>
          <t>120 x 23 cm</t>
        </is>
      </c>
      <c r="AE284" s="7" t="inlineStr">
        <is>
          <t>piso</t>
        </is>
      </c>
      <c r="AF284" s="4" t="inlineStr">
        <is>
          <t>material: ceramica · ancho_cm: 23 · piezas_m2: 3.62</t>
        </is>
      </c>
    </row>
    <row r="285">
      <c r="A285" s="3" t="inlineStr">
        <is>
          <t>MAT-08-063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piso, 120 x 40 cm</t>
        </is>
      </c>
      <c r="E285" s="4" t="inlineStr"/>
      <c r="F285" s="3" t="inlineStr">
        <is>
          <t>m²</t>
        </is>
      </c>
      <c r="G285" s="3" t="inlineStr">
        <is>
          <t>Pisos</t>
        </is>
      </c>
      <c r="H285" s="3" t="inlineStr">
        <is>
          <t>estandar</t>
        </is>
      </c>
      <c r="I285" s="3" t="inlineStr">
        <is>
          <t>importado</t>
        </is>
      </c>
      <c r="J285" s="5" t="n">
        <v>1</v>
      </c>
      <c r="K285" s="6" t="n">
        <v>2036.8</v>
      </c>
      <c r="L285" s="6" t="n">
        <v>1624.23</v>
      </c>
      <c r="M285" s="6" t="n">
        <v>3746.48</v>
      </c>
      <c r="N285" s="3" t="inlineStr">
        <is>
          <t>Sí</t>
        </is>
      </c>
      <c r="O285" s="6">
        <f>IF(K285="","",IF(N285="Sí",ROUND(K285/1.18,2),K285))</f>
        <v/>
      </c>
      <c r="P285" s="3" t="inlineStr">
        <is>
          <t>2026-09-09</t>
        </is>
      </c>
      <c r="Q285" s="4" t="inlineStr">
        <is>
          <t>Ferretería Ochoa (8A)</t>
        </is>
      </c>
      <c r="U285" s="7" t="n">
        <v>120</v>
      </c>
      <c r="V285" s="7" t="inlineStr">
        <is>
          <t>120 x 40 cm</t>
        </is>
      </c>
      <c r="AE285" s="7" t="inlineStr">
        <is>
          <t>piso</t>
        </is>
      </c>
      <c r="AF285" s="4" t="inlineStr">
        <is>
          <t>material: ceramica · ancho_cm: 40 · acabado: mate · espesor_mm: 9</t>
        </is>
      </c>
    </row>
    <row r="286">
      <c r="A286" s="3" t="inlineStr">
        <is>
          <t>MAT-08-064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piso, 120 x 60 cm</t>
        </is>
      </c>
      <c r="E286" s="4" t="inlineStr"/>
      <c r="F286" s="3" t="inlineStr">
        <is>
          <t>m²</t>
        </is>
      </c>
      <c r="G286" s="3" t="inlineStr">
        <is>
          <t>Pisos</t>
        </is>
      </c>
      <c r="H286" s="3" t="inlineStr">
        <is>
          <t>estandar</t>
        </is>
      </c>
      <c r="I286" s="3" t="inlineStr">
        <is>
          <t>importado</t>
        </is>
      </c>
      <c r="J286" s="5" t="n">
        <v>2</v>
      </c>
      <c r="K286" s="6" t="n">
        <v>1697.46</v>
      </c>
      <c r="L286" s="6" t="n">
        <v>819.97</v>
      </c>
      <c r="M286" s="6" t="n">
        <v>2737.53</v>
      </c>
      <c r="N286" s="3" t="inlineStr">
        <is>
          <t>Sí</t>
        </is>
      </c>
      <c r="O286" s="6">
        <f>IF(K286="","",IF(N286="Sí",ROUND(K286/1.18,2),K286))</f>
        <v/>
      </c>
      <c r="P286" s="3" t="inlineStr">
        <is>
          <t>2026-09-10</t>
        </is>
      </c>
      <c r="Q286" s="4" t="inlineStr">
        <is>
          <t>CerArte · Ferretería Ochoa (8A)</t>
        </is>
      </c>
      <c r="U286" s="7" t="n">
        <v>120</v>
      </c>
      <c r="V286" s="7" t="inlineStr">
        <is>
          <t>120 x 60 cm</t>
        </is>
      </c>
      <c r="AE286" s="7" t="inlineStr">
        <is>
          <t>piso</t>
        </is>
      </c>
      <c r="AF286" s="4" t="inlineStr">
        <is>
          <t>material: ceramica · ancho_cm: 60 · piezas_m2: 1.38 · espesor_mm: 10</t>
        </is>
      </c>
    </row>
    <row r="287">
      <c r="A287" s="3" t="inlineStr">
        <is>
          <t>MAT-08-065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piso, 15 x 15 cm</t>
        </is>
      </c>
      <c r="E287" s="4" t="inlineStr"/>
      <c r="F287" s="3" t="inlineStr">
        <is>
          <t>m²</t>
        </is>
      </c>
      <c r="G287" s="3" t="inlineStr">
        <is>
          <t>Pisos</t>
        </is>
      </c>
      <c r="H287" s="3" t="inlineStr">
        <is>
          <t>estandar</t>
        </is>
      </c>
      <c r="I287" s="3" t="inlineStr">
        <is>
          <t>importado</t>
        </is>
      </c>
      <c r="J287" s="5" t="n">
        <v>3</v>
      </c>
      <c r="K287" s="6" t="n">
        <v>1889.91</v>
      </c>
      <c r="L287" s="6" t="n">
        <v>741.84</v>
      </c>
      <c r="M287" s="6" t="n">
        <v>2174.92</v>
      </c>
      <c r="N287" s="3" t="inlineStr">
        <is>
          <t>Sí</t>
        </is>
      </c>
      <c r="O287" s="6">
        <f>IF(K287="","",IF(N287="Sí",ROUND(K287/1.18,2),K287))</f>
        <v/>
      </c>
      <c r="P287" s="3" t="inlineStr">
        <is>
          <t>2026-09-10</t>
        </is>
      </c>
      <c r="Q287" s="4" t="inlineStr">
        <is>
          <t>Bellón · Ferretería Ochoa (8A) · La Ibérica</t>
        </is>
      </c>
      <c r="U287" s="7" t="n">
        <v>15</v>
      </c>
      <c r="V287" s="7" t="inlineStr">
        <is>
          <t>15 x 15 cm</t>
        </is>
      </c>
      <c r="AE287" s="7" t="inlineStr">
        <is>
          <t>piso</t>
        </is>
      </c>
      <c r="AF287" s="4" t="inlineStr">
        <is>
          <t>material: ceramica · ancho_cm: 15 · piezas_m2: 44 · acabado: mate · espesor_mm: 9</t>
        </is>
      </c>
    </row>
    <row r="288">
      <c r="A288" s="3" t="inlineStr">
        <is>
          <t>MAT-08-066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piso, 150 x 75 cm</t>
        </is>
      </c>
      <c r="E288" s="4" t="inlineStr"/>
      <c r="F288" s="3" t="inlineStr">
        <is>
          <t>m²</t>
        </is>
      </c>
      <c r="G288" s="3" t="inlineStr">
        <is>
          <t>Pisos</t>
        </is>
      </c>
      <c r="H288" s="3" t="inlineStr">
        <is>
          <t>estandar</t>
        </is>
      </c>
      <c r="I288" s="3" t="inlineStr">
        <is>
          <t>importado</t>
        </is>
      </c>
      <c r="J288" s="5" t="n">
        <v>1</v>
      </c>
      <c r="K288" s="6" t="n">
        <v>3031.01</v>
      </c>
      <c r="L288" s="6" t="n">
        <v>2996.81</v>
      </c>
      <c r="M288" s="6" t="n">
        <v>3033.86</v>
      </c>
      <c r="N288" s="3" t="inlineStr">
        <is>
          <t>Sí</t>
        </is>
      </c>
      <c r="O288" s="6">
        <f>IF(K288="","",IF(N288="Sí",ROUND(K288/1.18,2),K288))</f>
        <v/>
      </c>
      <c r="P288" s="3" t="inlineStr">
        <is>
          <t>2026-09-10</t>
        </is>
      </c>
      <c r="Q288" s="4" t="inlineStr">
        <is>
          <t>CerArte</t>
        </is>
      </c>
      <c r="V288" s="7" t="inlineStr">
        <is>
          <t>150 x 75 cm</t>
        </is>
      </c>
      <c r="AE288" s="7" t="inlineStr">
        <is>
          <t>piso</t>
        </is>
      </c>
      <c r="AF288" s="4" t="inlineStr">
        <is>
          <t>material: ceramica · acabado: mate</t>
        </is>
      </c>
    </row>
    <row r="289">
      <c r="A289" s="3" t="inlineStr">
        <is>
          <t>MAT-08-067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piso, 20 x 20 cm</t>
        </is>
      </c>
      <c r="E289" s="4" t="inlineStr"/>
      <c r="F289" s="3" t="inlineStr">
        <is>
          <t>m²</t>
        </is>
      </c>
      <c r="G289" s="3" t="inlineStr">
        <is>
          <t>Pisos</t>
        </is>
      </c>
      <c r="H289" s="3" t="inlineStr">
        <is>
          <t>estandar</t>
        </is>
      </c>
      <c r="I289" s="3" t="inlineStr">
        <is>
          <t>importado</t>
        </is>
      </c>
      <c r="J289" s="5" t="n">
        <v>1</v>
      </c>
      <c r="K289" s="6" t="n">
        <v>324.25</v>
      </c>
      <c r="L289" s="6" t="n">
        <v>324.25</v>
      </c>
      <c r="M289" s="6" t="n">
        <v>324.25</v>
      </c>
      <c r="N289" s="3" t="inlineStr">
        <is>
          <t>Sí</t>
        </is>
      </c>
      <c r="O289" s="6">
        <f>IF(K289="","",IF(N289="Sí",ROUND(K289/1.18,2),K289))</f>
        <v/>
      </c>
      <c r="P289" s="3" t="inlineStr">
        <is>
          <t>2026-09-09</t>
        </is>
      </c>
      <c r="Q289" s="4" t="inlineStr">
        <is>
          <t>Ferretería Ochoa (8A)</t>
        </is>
      </c>
      <c r="U289" s="7" t="n">
        <v>20</v>
      </c>
      <c r="V289" s="7" t="inlineStr">
        <is>
          <t>20 x 20 cm</t>
        </is>
      </c>
      <c r="AE289" s="7" t="inlineStr">
        <is>
          <t>piso</t>
        </is>
      </c>
      <c r="AF289" s="4" t="inlineStr">
        <is>
          <t>material: ceramica · ancho_cm: 20 · piezas_m2: 25 · acabado: mate · espesor_mm: 9</t>
        </is>
      </c>
    </row>
    <row r="290">
      <c r="A290" s="3" t="inlineStr">
        <is>
          <t>MAT-08-068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piso, 22.3 x 22.3 cm</t>
        </is>
      </c>
      <c r="E290" s="4" t="inlineStr"/>
      <c r="F290" s="3" t="inlineStr">
        <is>
          <t>m²</t>
        </is>
      </c>
      <c r="G290" s="3" t="inlineStr">
        <is>
          <t>Pisos</t>
        </is>
      </c>
      <c r="H290" s="3" t="inlineStr">
        <is>
          <t>estandar</t>
        </is>
      </c>
      <c r="I290" s="3" t="inlineStr">
        <is>
          <t>importado</t>
        </is>
      </c>
      <c r="J290" s="5" t="n">
        <v>1</v>
      </c>
      <c r="K290" s="6" t="n">
        <v>2595</v>
      </c>
      <c r="L290" s="6" t="n">
        <v>2595</v>
      </c>
      <c r="M290" s="6" t="n">
        <v>2595</v>
      </c>
      <c r="N290" s="3" t="inlineStr">
        <is>
          <t>Sí</t>
        </is>
      </c>
      <c r="O290" s="6">
        <f>IF(K290="","",IF(N290="Sí",ROUND(K290/1.18,2),K290))</f>
        <v/>
      </c>
      <c r="P290" s="3" t="inlineStr">
        <is>
          <t>2026-09-09</t>
        </is>
      </c>
      <c r="Q290" s="4" t="inlineStr">
        <is>
          <t>Ferretería Ochoa (8A)</t>
        </is>
      </c>
      <c r="U290" s="7" t="n">
        <v>22.3</v>
      </c>
      <c r="V290" s="7" t="inlineStr">
        <is>
          <t>22.3 x 22.3 cm</t>
        </is>
      </c>
      <c r="AE290" s="7" t="inlineStr">
        <is>
          <t>piso</t>
        </is>
      </c>
      <c r="AF290" s="4" t="inlineStr">
        <is>
          <t>material: ceramica · ancho_cm: 22.3 · piezas_m2: 20</t>
        </is>
      </c>
    </row>
    <row r="291">
      <c r="A291" s="3" t="inlineStr">
        <is>
          <t>MAT-08-069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piso, 30 x 7.5 cm</t>
        </is>
      </c>
      <c r="E291" s="4" t="inlineStr"/>
      <c r="F291" s="3" t="inlineStr">
        <is>
          <t>m²</t>
        </is>
      </c>
      <c r="G291" s="3" t="inlineStr">
        <is>
          <t>Pisos</t>
        </is>
      </c>
      <c r="H291" s="3" t="inlineStr">
        <is>
          <t>estandar</t>
        </is>
      </c>
      <c r="I291" s="3" t="inlineStr">
        <is>
          <t>importado</t>
        </is>
      </c>
      <c r="J291" s="5" t="n">
        <v>1</v>
      </c>
      <c r="K291" s="6" t="n">
        <v>2989.56</v>
      </c>
      <c r="L291" s="6" t="n">
        <v>2989.56</v>
      </c>
      <c r="M291" s="6" t="n">
        <v>2989.56</v>
      </c>
      <c r="N291" s="3" t="inlineStr">
        <is>
          <t>Sí</t>
        </is>
      </c>
      <c r="O291" s="6">
        <f>IF(K291="","",IF(N291="Sí",ROUND(K291/1.18,2),K291))</f>
        <v/>
      </c>
      <c r="P291" s="3" t="inlineStr">
        <is>
          <t>2026-09-10</t>
        </is>
      </c>
      <c r="Q291" s="4" t="inlineStr">
        <is>
          <t>La Ibérica</t>
        </is>
      </c>
      <c r="V291" s="7" t="inlineStr">
        <is>
          <t>30 x 7.5 cm</t>
        </is>
      </c>
      <c r="AE291" s="7" t="inlineStr">
        <is>
          <t>piso</t>
        </is>
      </c>
      <c r="AF291" s="4" t="inlineStr">
        <is>
          <t>material: ceramica</t>
        </is>
      </c>
    </row>
    <row r="292">
      <c r="A292" s="3" t="inlineStr">
        <is>
          <t>MAT-08-070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piso, 33 x 33 cm</t>
        </is>
      </c>
      <c r="E292" s="4" t="inlineStr"/>
      <c r="F292" s="3" t="inlineStr">
        <is>
          <t>m²</t>
        </is>
      </c>
      <c r="G292" s="3" t="inlineStr">
        <is>
          <t>Pisos</t>
        </is>
      </c>
      <c r="H292" s="3" t="inlineStr">
        <is>
          <t>estandar</t>
        </is>
      </c>
      <c r="I292" s="3" t="inlineStr">
        <is>
          <t>importado</t>
        </is>
      </c>
      <c r="J292" s="5" t="n">
        <v>1</v>
      </c>
      <c r="K292" s="6" t="n">
        <v>899.08</v>
      </c>
      <c r="L292" s="6" t="n">
        <v>850</v>
      </c>
      <c r="M292" s="6" t="n">
        <v>948.15</v>
      </c>
      <c r="N292" s="3" t="inlineStr">
        <is>
          <t>Sí</t>
        </is>
      </c>
      <c r="O292" s="6">
        <f>IF(K292="","",IF(N292="Sí",ROUND(K292/1.18,2),K292))</f>
        <v/>
      </c>
      <c r="P292" s="3" t="inlineStr">
        <is>
          <t>2026-09-10</t>
        </is>
      </c>
      <c r="Q292" s="4" t="inlineStr">
        <is>
          <t>La Ibérica</t>
        </is>
      </c>
      <c r="V292" s="7" t="inlineStr">
        <is>
          <t>33 x 33 cm</t>
        </is>
      </c>
      <c r="AE292" s="7" t="inlineStr">
        <is>
          <t>piso</t>
        </is>
      </c>
      <c r="AF292" s="4" t="inlineStr">
        <is>
          <t>material: ceramica</t>
        </is>
      </c>
    </row>
    <row r="293">
      <c r="A293" s="3" t="inlineStr">
        <is>
          <t>MAT-08-071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piso, 45 x 45 cm</t>
        </is>
      </c>
      <c r="E293" s="4" t="inlineStr"/>
      <c r="F293" s="3" t="inlineStr">
        <is>
          <t>m²</t>
        </is>
      </c>
      <c r="G293" s="3" t="inlineStr">
        <is>
          <t>Pisos</t>
        </is>
      </c>
      <c r="H293" s="3" t="inlineStr">
        <is>
          <t>estandar</t>
        </is>
      </c>
      <c r="I293" s="3" t="inlineStr">
        <is>
          <t>importado</t>
        </is>
      </c>
      <c r="J293" s="5" t="n">
        <v>4</v>
      </c>
      <c r="K293" s="6" t="n">
        <v>718.77</v>
      </c>
      <c r="L293" s="6" t="n">
        <v>371.25</v>
      </c>
      <c r="M293" s="6" t="n">
        <v>1597.37</v>
      </c>
      <c r="N293" s="3" t="inlineStr">
        <is>
          <t>Sí</t>
        </is>
      </c>
      <c r="O293" s="6">
        <f>IF(K293="","",IF(N293="Sí",ROUND(K293/1.18,2),K293))</f>
        <v/>
      </c>
      <c r="P293" s="3" t="inlineStr">
        <is>
          <t>2026-09-10</t>
        </is>
      </c>
      <c r="Q293" s="4" t="inlineStr">
        <is>
          <t>Bellón · CerArte · Ferretería Ochoa (8A) · La Ibérica</t>
        </is>
      </c>
      <c r="U293" s="7" t="n">
        <v>45</v>
      </c>
      <c r="V293" s="7" t="inlineStr">
        <is>
          <t>45 x 45 cm</t>
        </is>
      </c>
      <c r="AE293" s="7" t="inlineStr">
        <is>
          <t>piso</t>
        </is>
      </c>
      <c r="AF293" s="4" t="inlineStr">
        <is>
          <t>material: ceramica · ancho_cm: 45</t>
        </is>
      </c>
    </row>
    <row r="294">
      <c r="A294" s="3" t="inlineStr">
        <is>
          <t>MAT-08-072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50 x 17 cm</t>
        </is>
      </c>
      <c r="E294" s="4" t="inlineStr"/>
      <c r="F294" s="3" t="inlineStr">
        <is>
          <t>m²</t>
        </is>
      </c>
      <c r="G294" s="3" t="inlineStr">
        <is>
          <t>Pisos</t>
        </is>
      </c>
      <c r="H294" s="3" t="inlineStr">
        <is>
          <t>estandar</t>
        </is>
      </c>
      <c r="I294" s="3" t="inlineStr">
        <is>
          <t>importado</t>
        </is>
      </c>
      <c r="J294" s="5" t="n">
        <v>1</v>
      </c>
      <c r="K294" s="6" t="n">
        <v>1223.85</v>
      </c>
      <c r="L294" s="6" t="n">
        <v>1169.89</v>
      </c>
      <c r="M294" s="6" t="n">
        <v>1312.83</v>
      </c>
      <c r="N294" s="3" t="inlineStr">
        <is>
          <t>Sí</t>
        </is>
      </c>
      <c r="O294" s="6">
        <f>IF(K294="","",IF(N294="Sí",ROUND(K294/1.18,2),K294))</f>
        <v/>
      </c>
      <c r="P294" s="3" t="inlineStr">
        <is>
          <t>2026-09-09</t>
        </is>
      </c>
      <c r="Q294" s="4" t="inlineStr">
        <is>
          <t>Ferretería Ochoa (8A)</t>
        </is>
      </c>
      <c r="U294" s="7" t="n">
        <v>50</v>
      </c>
      <c r="V294" s="7" t="inlineStr">
        <is>
          <t>50 x 17 cm</t>
        </is>
      </c>
      <c r="AE294" s="7" t="inlineStr">
        <is>
          <t>piso</t>
        </is>
      </c>
      <c r="AF294" s="4" t="inlineStr">
        <is>
          <t>material: ceramica · ancho_cm: 17</t>
        </is>
      </c>
    </row>
    <row r="295">
      <c r="A295" s="3" t="inlineStr">
        <is>
          <t>MAT-08-073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50 x 50 cm</t>
        </is>
      </c>
      <c r="E295" s="4" t="inlineStr"/>
      <c r="F295" s="3" t="inlineStr">
        <is>
          <t>m²</t>
        </is>
      </c>
      <c r="G295" s="3" t="inlineStr">
        <is>
          <t>Pisos</t>
        </is>
      </c>
      <c r="H295" s="3" t="inlineStr">
        <is>
          <t>estandar</t>
        </is>
      </c>
      <c r="I295" s="3" t="inlineStr">
        <is>
          <t>importado</t>
        </is>
      </c>
      <c r="J295" s="5" t="n">
        <v>1</v>
      </c>
      <c r="K295" s="6" t="n">
        <v>394.57</v>
      </c>
      <c r="L295" s="6" t="n">
        <v>344.43</v>
      </c>
      <c r="M295" s="6" t="n">
        <v>767.95</v>
      </c>
      <c r="N295" s="3" t="inlineStr">
        <is>
          <t>Sí</t>
        </is>
      </c>
      <c r="O295" s="6">
        <f>IF(K295="","",IF(N295="Sí",ROUND(K295/1.18,2),K295))</f>
        <v/>
      </c>
      <c r="P295" s="3" t="inlineStr">
        <is>
          <t>2026-09-09</t>
        </is>
      </c>
      <c r="Q295" s="4" t="inlineStr">
        <is>
          <t>Ferretería Ochoa (8A)</t>
        </is>
      </c>
      <c r="U295" s="7" t="n">
        <v>50</v>
      </c>
      <c r="V295" s="7" t="inlineStr">
        <is>
          <t>50 x 50 cm</t>
        </is>
      </c>
      <c r="AE295" s="7" t="inlineStr">
        <is>
          <t>piso</t>
        </is>
      </c>
      <c r="AF295" s="4" t="inlineStr">
        <is>
          <t>material: ceramica · ancho_cm: 50 · piezas_m2: 3.86</t>
        </is>
      </c>
    </row>
    <row r="296">
      <c r="A296" s="3" t="inlineStr">
        <is>
          <t>MAT-08-074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55 x 33 cm</t>
        </is>
      </c>
      <c r="E296" s="4" t="inlineStr"/>
      <c r="F296" s="3" t="inlineStr">
        <is>
          <t>m²</t>
        </is>
      </c>
      <c r="G296" s="3" t="inlineStr">
        <is>
          <t>Pisos</t>
        </is>
      </c>
      <c r="H296" s="3" t="inlineStr">
        <is>
          <t>estandar</t>
        </is>
      </c>
      <c r="I296" s="3" t="inlineStr">
        <is>
          <t>importado</t>
        </is>
      </c>
      <c r="J296" s="5" t="n">
        <v>2</v>
      </c>
      <c r="K296" s="6" t="n">
        <v>831.15</v>
      </c>
      <c r="L296" s="6" t="n">
        <v>596.66</v>
      </c>
      <c r="M296" s="6" t="n">
        <v>1080.68</v>
      </c>
      <c r="N296" s="3" t="inlineStr">
        <is>
          <t>Sí</t>
        </is>
      </c>
      <c r="O296" s="6">
        <f>IF(K296="","",IF(N296="Sí",ROUND(K296/1.18,2),K296))</f>
        <v/>
      </c>
      <c r="P296" s="3" t="inlineStr">
        <is>
          <t>2026-09-10</t>
        </is>
      </c>
      <c r="Q296" s="4" t="inlineStr">
        <is>
          <t>Bellón · Ferretería Ochoa (8A)</t>
        </is>
      </c>
      <c r="U296" s="7" t="n">
        <v>55</v>
      </c>
      <c r="V296" s="7" t="inlineStr">
        <is>
          <t>55 x 33 cm</t>
        </is>
      </c>
      <c r="AE296" s="7" t="inlineStr">
        <is>
          <t>piso</t>
        </is>
      </c>
      <c r="AF296" s="4" t="inlineStr">
        <is>
          <t>material: ceramica · ancho_cm: 33</t>
        </is>
      </c>
    </row>
    <row r="297">
      <c r="A297" s="3" t="inlineStr">
        <is>
          <t>MAT-08-075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55 x 55 cm</t>
        </is>
      </c>
      <c r="E297" s="4" t="inlineStr"/>
      <c r="F297" s="3" t="inlineStr">
        <is>
          <t>m²</t>
        </is>
      </c>
      <c r="G297" s="3" t="inlineStr">
        <is>
          <t>Pisos</t>
        </is>
      </c>
      <c r="H297" s="3" t="inlineStr">
        <is>
          <t>estandar</t>
        </is>
      </c>
      <c r="I297" s="3" t="inlineStr">
        <is>
          <t>importado</t>
        </is>
      </c>
      <c r="J297" s="5" t="n">
        <v>1</v>
      </c>
      <c r="K297" s="6" t="n">
        <v>718.6799999999999</v>
      </c>
      <c r="L297" s="6" t="n">
        <v>524.7</v>
      </c>
      <c r="M297" s="6" t="n">
        <v>906.3</v>
      </c>
      <c r="N297" s="3" t="inlineStr">
        <is>
          <t>Sí</t>
        </is>
      </c>
      <c r="O297" s="6">
        <f>IF(K297="","",IF(N297="Sí",ROUND(K297/1.18,2),K297))</f>
        <v/>
      </c>
      <c r="P297" s="3" t="inlineStr">
        <is>
          <t>2026-09-10</t>
        </is>
      </c>
      <c r="Q297" s="4" t="inlineStr">
        <is>
          <t>Bellón</t>
        </is>
      </c>
      <c r="V297" s="7" t="inlineStr">
        <is>
          <t>55 x 55 cm</t>
        </is>
      </c>
      <c r="AE297" s="7" t="inlineStr">
        <is>
          <t>piso</t>
        </is>
      </c>
      <c r="AF297" s="4" t="inlineStr">
        <is>
          <t>material: ceramica</t>
        </is>
      </c>
    </row>
    <row r="298">
      <c r="A298" s="3" t="inlineStr">
        <is>
          <t>MAT-08-076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58 x 33 cm</t>
        </is>
      </c>
      <c r="E298" s="4" t="inlineStr"/>
      <c r="F298" s="3" t="inlineStr">
        <is>
          <t>m²</t>
        </is>
      </c>
      <c r="G298" s="3" t="inlineStr">
        <is>
          <t>Pisos</t>
        </is>
      </c>
      <c r="H298" s="3" t="inlineStr">
        <is>
          <t>estandar</t>
        </is>
      </c>
      <c r="I298" s="3" t="inlineStr">
        <is>
          <t>importado</t>
        </is>
      </c>
      <c r="J298" s="5" t="n">
        <v>1</v>
      </c>
      <c r="K298" s="6" t="n">
        <v>509.76</v>
      </c>
      <c r="L298" s="6" t="n">
        <v>380.26</v>
      </c>
      <c r="M298" s="6" t="n">
        <v>509.76</v>
      </c>
      <c r="N298" s="3" t="inlineStr">
        <is>
          <t>Sí</t>
        </is>
      </c>
      <c r="O298" s="6">
        <f>IF(K298="","",IF(N298="Sí",ROUND(K298/1.18,2),K298))</f>
        <v/>
      </c>
      <c r="P298" s="3" t="inlineStr">
        <is>
          <t>2026-09-09</t>
        </is>
      </c>
      <c r="Q298" s="4" t="inlineStr">
        <is>
          <t>Ferretería Ochoa (8A)</t>
        </is>
      </c>
      <c r="U298" s="7" t="n">
        <v>58</v>
      </c>
      <c r="V298" s="7" t="inlineStr">
        <is>
          <t>58 x 33 cm</t>
        </is>
      </c>
      <c r="AE298" s="7" t="inlineStr">
        <is>
          <t>piso</t>
        </is>
      </c>
      <c r="AF298" s="4" t="inlineStr">
        <is>
          <t>material: ceramica · ancho_cm: 33</t>
        </is>
      </c>
    </row>
    <row r="299">
      <c r="A299" s="3" t="inlineStr">
        <is>
          <t>MAT-08-077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58 x 58 cm</t>
        </is>
      </c>
      <c r="E299" s="4" t="inlineStr"/>
      <c r="F299" s="3" t="inlineStr">
        <is>
          <t>m²</t>
        </is>
      </c>
      <c r="G299" s="3" t="inlineStr">
        <is>
          <t>Pisos</t>
        </is>
      </c>
      <c r="H299" s="3" t="inlineStr">
        <is>
          <t>estandar</t>
        </is>
      </c>
      <c r="I299" s="3" t="inlineStr">
        <is>
          <t>importado</t>
        </is>
      </c>
      <c r="J299" s="5" t="n">
        <v>2</v>
      </c>
      <c r="K299" s="6" t="n">
        <v>389</v>
      </c>
      <c r="L299" s="6" t="n">
        <v>342.39</v>
      </c>
      <c r="M299" s="6" t="n">
        <v>575.8099999999999</v>
      </c>
      <c r="N299" s="3" t="inlineStr">
        <is>
          <t>Sí</t>
        </is>
      </c>
      <c r="O299" s="6">
        <f>IF(K299="","",IF(N299="Sí",ROUND(K299/1.18,2),K299))</f>
        <v/>
      </c>
      <c r="P299" s="3" t="inlineStr">
        <is>
          <t>2026-09-10</t>
        </is>
      </c>
      <c r="Q299" s="4" t="inlineStr">
        <is>
          <t>Ferremix (Grupo Alterra) · Ferretería Ochoa (8A)</t>
        </is>
      </c>
      <c r="U299" s="7" t="n">
        <v>58</v>
      </c>
      <c r="V299" s="7" t="inlineStr">
        <is>
          <t>58 x 58 cm</t>
        </is>
      </c>
      <c r="AE299" s="7" t="inlineStr">
        <is>
          <t>piso</t>
        </is>
      </c>
      <c r="AF299" s="4" t="inlineStr">
        <is>
          <t>material: ceramica · ancho_cm: 58 · acabado: brillante</t>
        </is>
      </c>
    </row>
    <row r="300">
      <c r="A300" s="3" t="inlineStr">
        <is>
          <t>MAT-08-078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60 x 20 cm</t>
        </is>
      </c>
      <c r="E300" s="4" t="inlineStr"/>
      <c r="F300" s="3" t="inlineStr">
        <is>
          <t>m²</t>
        </is>
      </c>
      <c r="G300" s="3" t="inlineStr">
        <is>
          <t>Pisos</t>
        </is>
      </c>
      <c r="H300" s="3" t="inlineStr">
        <is>
          <t>estandar</t>
        </is>
      </c>
      <c r="I300" s="3" t="inlineStr">
        <is>
          <t>importado</t>
        </is>
      </c>
      <c r="J300" s="5" t="n">
        <v>2</v>
      </c>
      <c r="K300" s="6" t="n">
        <v>880.0599999999999</v>
      </c>
      <c r="L300" s="6" t="n">
        <v>445.65</v>
      </c>
      <c r="M300" s="6" t="n">
        <v>1227.01</v>
      </c>
      <c r="N300" s="3" t="inlineStr">
        <is>
          <t>Sí</t>
        </is>
      </c>
      <c r="O300" s="6">
        <f>IF(K300="","",IF(N300="Sí",ROUND(K300/1.18,2),K300))</f>
        <v/>
      </c>
      <c r="P300" s="3" t="inlineStr">
        <is>
          <t>2026-09-10</t>
        </is>
      </c>
      <c r="Q300" s="4" t="inlineStr">
        <is>
          <t>CerArte · Ferretería Ochoa (8A)</t>
        </is>
      </c>
      <c r="U300" s="7" t="n">
        <v>60</v>
      </c>
      <c r="V300" s="7" t="inlineStr">
        <is>
          <t>60 x 20 cm</t>
        </is>
      </c>
      <c r="AE300" s="7" t="inlineStr">
        <is>
          <t>piso</t>
        </is>
      </c>
      <c r="AF300" s="4" t="inlineStr">
        <is>
          <t>material: ceramica · ancho_cm: 20 · acabado: mate</t>
        </is>
      </c>
    </row>
    <row r="301">
      <c r="A301" s="3" t="inlineStr">
        <is>
          <t>MAT-08-079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60 x 30 cm</t>
        </is>
      </c>
      <c r="E301" s="4" t="inlineStr"/>
      <c r="F301" s="3" t="inlineStr">
        <is>
          <t>m²</t>
        </is>
      </c>
      <c r="G301" s="3" t="inlineStr">
        <is>
          <t>Pisos</t>
        </is>
      </c>
      <c r="H301" s="3" t="inlineStr">
        <is>
          <t>estandar</t>
        </is>
      </c>
      <c r="I301" s="3" t="inlineStr">
        <is>
          <t>importado</t>
        </is>
      </c>
      <c r="J301" s="5" t="n">
        <v>1</v>
      </c>
      <c r="K301" s="6" t="n">
        <v>1343.36</v>
      </c>
      <c r="L301" s="6" t="n">
        <v>846.53</v>
      </c>
      <c r="M301" s="6" t="n">
        <v>2044.4</v>
      </c>
      <c r="N301" s="3" t="inlineStr">
        <is>
          <t>Sí</t>
        </is>
      </c>
      <c r="O301" s="6">
        <f>IF(K301="","",IF(N301="Sí",ROUND(K301/1.18,2),K301))</f>
        <v/>
      </c>
      <c r="P301" s="3" t="inlineStr">
        <is>
          <t>2026-09-09</t>
        </is>
      </c>
      <c r="Q301" s="4" t="inlineStr">
        <is>
          <t>Ferretería Ochoa (8A)</t>
        </is>
      </c>
      <c r="U301" s="7" t="n">
        <v>60</v>
      </c>
      <c r="V301" s="7" t="inlineStr">
        <is>
          <t>60 x 30 cm</t>
        </is>
      </c>
      <c r="AE301" s="7" t="inlineStr">
        <is>
          <t>piso</t>
        </is>
      </c>
      <c r="AF301" s="4" t="inlineStr">
        <is>
          <t>material: ceramica · ancho_cm: 30 · espesor_mm: 9</t>
        </is>
      </c>
    </row>
    <row r="302">
      <c r="A302" s="3" t="inlineStr">
        <is>
          <t>MAT-08-080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60 x 33 cm</t>
        </is>
      </c>
      <c r="E302" s="4" t="inlineStr"/>
      <c r="F302" s="3" t="inlineStr">
        <is>
          <t>m²</t>
        </is>
      </c>
      <c r="G302" s="3" t="inlineStr">
        <is>
          <t>Pisos</t>
        </is>
      </c>
      <c r="H302" s="3" t="inlineStr">
        <is>
          <t>estandar</t>
        </is>
      </c>
      <c r="I302" s="3" t="inlineStr">
        <is>
          <t>importado</t>
        </is>
      </c>
      <c r="J302" s="5" t="n">
        <v>1</v>
      </c>
      <c r="K302" s="6" t="n">
        <v>902.6</v>
      </c>
      <c r="L302" s="6" t="n">
        <v>902.6</v>
      </c>
      <c r="M302" s="6" t="n">
        <v>902.6</v>
      </c>
      <c r="N302" s="3" t="inlineStr">
        <is>
          <t>Sí</t>
        </is>
      </c>
      <c r="O302" s="6">
        <f>IF(K302="","",IF(N302="Sí",ROUND(K302/1.18,2),K302))</f>
        <v/>
      </c>
      <c r="P302" s="3" t="inlineStr">
        <is>
          <t>2026-09-09</t>
        </is>
      </c>
      <c r="Q302" s="4" t="inlineStr">
        <is>
          <t>Ferretería Ochoa (8A)</t>
        </is>
      </c>
      <c r="U302" s="7" t="n">
        <v>60</v>
      </c>
      <c r="V302" s="7" t="inlineStr">
        <is>
          <t>60 x 33 cm</t>
        </is>
      </c>
      <c r="AE302" s="7" t="inlineStr">
        <is>
          <t>piso</t>
        </is>
      </c>
      <c r="AF302" s="4" t="inlineStr">
        <is>
          <t>material: ceramica · ancho_cm: 33 · piezas_m2: 5 · acabado: mate · espesor_mm: 9</t>
        </is>
      </c>
    </row>
    <row r="303">
      <c r="A303" s="3" t="inlineStr">
        <is>
          <t>MAT-08-081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60 x 60 cm</t>
        </is>
      </c>
      <c r="E303" s="4" t="inlineStr"/>
      <c r="F303" s="3" t="inlineStr">
        <is>
          <t>m²</t>
        </is>
      </c>
      <c r="G303" s="3" t="inlineStr">
        <is>
          <t>Pisos</t>
        </is>
      </c>
      <c r="H303" s="3" t="inlineStr">
        <is>
          <t>estandar</t>
        </is>
      </c>
      <c r="I303" s="3" t="inlineStr">
        <is>
          <t>importado</t>
        </is>
      </c>
      <c r="J303" s="5" t="n">
        <v>2</v>
      </c>
      <c r="K303" s="6" t="n">
        <v>1196.92</v>
      </c>
      <c r="L303" s="6" t="n">
        <v>687.72</v>
      </c>
      <c r="M303" s="6" t="n">
        <v>1796.04</v>
      </c>
      <c r="N303" s="3" t="inlineStr">
        <is>
          <t>Sí</t>
        </is>
      </c>
      <c r="O303" s="6">
        <f>IF(K303="","",IF(N303="Sí",ROUND(K303/1.18,2),K303))</f>
        <v/>
      </c>
      <c r="P303" s="3" t="inlineStr">
        <is>
          <t>2026-09-10</t>
        </is>
      </c>
      <c r="Q303" s="4" t="inlineStr">
        <is>
          <t>CerArte · Ferretería Ochoa (8A)</t>
        </is>
      </c>
      <c r="U303" s="7" t="n">
        <v>60</v>
      </c>
      <c r="V303" s="7" t="inlineStr">
        <is>
          <t>60 x 60 cm</t>
        </is>
      </c>
      <c r="AE303" s="7" t="inlineStr">
        <is>
          <t>piso</t>
        </is>
      </c>
      <c r="AF303" s="4" t="inlineStr">
        <is>
          <t>material: ceramica · ancho_cm: 60</t>
        </is>
      </c>
    </row>
    <row r="304">
      <c r="A304" s="3" t="inlineStr">
        <is>
          <t>MAT-08-082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60 x 7.1 cm</t>
        </is>
      </c>
      <c r="E304" s="4" t="inlineStr"/>
      <c r="F304" s="3" t="inlineStr">
        <is>
          <t>m²</t>
        </is>
      </c>
      <c r="G304" s="3" t="inlineStr">
        <is>
          <t>Pisos</t>
        </is>
      </c>
      <c r="H304" s="3" t="inlineStr">
        <is>
          <t>estandar</t>
        </is>
      </c>
      <c r="I304" s="3" t="inlineStr">
        <is>
          <t>importado</t>
        </is>
      </c>
      <c r="J304" s="5" t="n">
        <v>1</v>
      </c>
      <c r="K304" s="6" t="n">
        <v>2092.5</v>
      </c>
      <c r="L304" s="6" t="n">
        <v>2092.5</v>
      </c>
      <c r="M304" s="6" t="n">
        <v>2092.5</v>
      </c>
      <c r="N304" s="3" t="inlineStr">
        <is>
          <t>Sí</t>
        </is>
      </c>
      <c r="O304" s="6">
        <f>IF(K304="","",IF(N304="Sí",ROUND(K304/1.18,2),K304))</f>
        <v/>
      </c>
      <c r="P304" s="3" t="inlineStr">
        <is>
          <t>2026-09-09</t>
        </is>
      </c>
      <c r="Q304" s="4" t="inlineStr">
        <is>
          <t>Ferretería Ochoa (8A)</t>
        </is>
      </c>
      <c r="U304" s="7" t="n">
        <v>60</v>
      </c>
      <c r="V304" s="7" t="inlineStr">
        <is>
          <t>60 x 7.1 cm</t>
        </is>
      </c>
      <c r="AE304" s="7" t="inlineStr">
        <is>
          <t>piso</t>
        </is>
      </c>
      <c r="AF304" s="4" t="inlineStr">
        <is>
          <t>material: ceramica · ancho_cm: 7.1 · piezas_m2: 23.25 · acabado: antideslizante · espesor_mm: 9</t>
        </is>
      </c>
    </row>
    <row r="305">
      <c r="A305" s="3" t="inlineStr">
        <is>
          <t>MAT-08-083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70 x 25 cm</t>
        </is>
      </c>
      <c r="E305" s="4" t="inlineStr"/>
      <c r="F305" s="3" t="inlineStr">
        <is>
          <t>m²</t>
        </is>
      </c>
      <c r="G305" s="3" t="inlineStr">
        <is>
          <t>Pisos</t>
        </is>
      </c>
      <c r="H305" s="3" t="inlineStr">
        <is>
          <t>estandar</t>
        </is>
      </c>
      <c r="I305" s="3" t="inlineStr">
        <is>
          <t>importado</t>
        </is>
      </c>
      <c r="J305" s="5" t="n">
        <v>1</v>
      </c>
      <c r="K305" s="6" t="n">
        <v>509.73</v>
      </c>
      <c r="L305" s="6" t="n">
        <v>509.73</v>
      </c>
      <c r="M305" s="6" t="n">
        <v>509.73</v>
      </c>
      <c r="N305" s="3" t="inlineStr">
        <is>
          <t>Sí</t>
        </is>
      </c>
      <c r="O305" s="6">
        <f>IF(K305="","",IF(N305="Sí",ROUND(K305/1.18,2),K305))</f>
        <v/>
      </c>
      <c r="P305" s="3" t="inlineStr">
        <is>
          <t>2026-09-09</t>
        </is>
      </c>
      <c r="Q305" s="4" t="inlineStr">
        <is>
          <t>Ferretería Ochoa (8A)</t>
        </is>
      </c>
      <c r="U305" s="7" t="n">
        <v>70</v>
      </c>
      <c r="V305" s="7" t="inlineStr">
        <is>
          <t>70 x 25 cm</t>
        </is>
      </c>
      <c r="AE305" s="7" t="inlineStr">
        <is>
          <t>piso</t>
        </is>
      </c>
      <c r="AF305" s="4" t="inlineStr">
        <is>
          <t>material: ceramica · ancho_cm: 25 · piezas_m2: 5.71</t>
        </is>
      </c>
    </row>
    <row r="306">
      <c r="A306" s="3" t="inlineStr">
        <is>
          <t>MAT-08-084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75 x 25 cm</t>
        </is>
      </c>
      <c r="E306" s="4" t="inlineStr"/>
      <c r="F306" s="3" t="inlineStr">
        <is>
          <t>m²</t>
        </is>
      </c>
      <c r="G306" s="3" t="inlineStr">
        <is>
          <t>Pisos</t>
        </is>
      </c>
      <c r="H306" s="3" t="inlineStr">
        <is>
          <t>estandar</t>
        </is>
      </c>
      <c r="I306" s="3" t="inlineStr">
        <is>
          <t>importado</t>
        </is>
      </c>
      <c r="J306" s="5" t="n">
        <v>1</v>
      </c>
      <c r="K306" s="6" t="n">
        <v>1318.41</v>
      </c>
      <c r="L306" s="6" t="n">
        <v>1055.55</v>
      </c>
      <c r="M306" s="6" t="n">
        <v>1618.56</v>
      </c>
      <c r="N306" s="3" t="inlineStr">
        <is>
          <t>Sí</t>
        </is>
      </c>
      <c r="O306" s="6">
        <f>IF(K306="","",IF(N306="Sí",ROUND(K306/1.18,2),K306))</f>
        <v/>
      </c>
      <c r="P306" s="3" t="inlineStr">
        <is>
          <t>2026-09-09</t>
        </is>
      </c>
      <c r="Q306" s="4" t="inlineStr">
        <is>
          <t>Ferretería Ochoa (8A)</t>
        </is>
      </c>
      <c r="U306" s="7" t="n">
        <v>75</v>
      </c>
      <c r="V306" s="7" t="inlineStr">
        <is>
          <t>75 x 25 cm</t>
        </is>
      </c>
      <c r="AE306" s="7" t="inlineStr">
        <is>
          <t>piso</t>
        </is>
      </c>
      <c r="AF306" s="4" t="inlineStr">
        <is>
          <t>material: ceramica · ancho_cm: 25 · piezas_m2: 5.33 · acabado: mate · espesor_mm: 9</t>
        </is>
      </c>
    </row>
    <row r="307">
      <c r="A307" s="3" t="inlineStr">
        <is>
          <t>MAT-08-085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75 x 75 cm</t>
        </is>
      </c>
      <c r="E307" s="4" t="inlineStr"/>
      <c r="F307" s="3" t="inlineStr">
        <is>
          <t>m²</t>
        </is>
      </c>
      <c r="G307" s="3" t="inlineStr">
        <is>
          <t>Pisos</t>
        </is>
      </c>
      <c r="H307" s="3" t="inlineStr">
        <is>
          <t>estandar</t>
        </is>
      </c>
      <c r="I307" s="3" t="inlineStr">
        <is>
          <t>importado</t>
        </is>
      </c>
      <c r="J307" s="5" t="n">
        <v>1</v>
      </c>
      <c r="K307" s="6" t="n">
        <v>1011.3</v>
      </c>
      <c r="L307" s="6" t="n">
        <v>794.1900000000001</v>
      </c>
      <c r="M307" s="6" t="n">
        <v>1228.42</v>
      </c>
      <c r="N307" s="3" t="inlineStr">
        <is>
          <t>Sí</t>
        </is>
      </c>
      <c r="O307" s="6">
        <f>IF(K307="","",IF(N307="Sí",ROUND(K307/1.18,2),K307))</f>
        <v/>
      </c>
      <c r="P307" s="3" t="inlineStr">
        <is>
          <t>2026-09-10</t>
        </is>
      </c>
      <c r="Q307" s="4" t="inlineStr">
        <is>
          <t>CerArte</t>
        </is>
      </c>
      <c r="V307" s="7" t="inlineStr">
        <is>
          <t>75 x 75 cm</t>
        </is>
      </c>
      <c r="AE307" s="7" t="inlineStr">
        <is>
          <t>piso</t>
        </is>
      </c>
      <c r="AF307" s="4" t="inlineStr">
        <is>
          <t>material: ceramica</t>
        </is>
      </c>
    </row>
    <row r="308">
      <c r="A308" s="3" t="inlineStr">
        <is>
          <t>MAT-08-086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80 x 80 cm</t>
        </is>
      </c>
      <c r="E308" s="4" t="inlineStr"/>
      <c r="F308" s="3" t="inlineStr">
        <is>
          <t>m²</t>
        </is>
      </c>
      <c r="G308" s="3" t="inlineStr">
        <is>
          <t>Pisos</t>
        </is>
      </c>
      <c r="H308" s="3" t="inlineStr">
        <is>
          <t>estandar</t>
        </is>
      </c>
      <c r="I308" s="3" t="inlineStr">
        <is>
          <t>importado</t>
        </is>
      </c>
      <c r="J308" s="5" t="n">
        <v>2</v>
      </c>
      <c r="K308" s="6" t="n">
        <v>1191.86</v>
      </c>
      <c r="L308" s="6" t="n">
        <v>845.45</v>
      </c>
      <c r="M308" s="6" t="n">
        <v>1832.08</v>
      </c>
      <c r="N308" s="3" t="inlineStr">
        <is>
          <t>Sí</t>
        </is>
      </c>
      <c r="O308" s="6">
        <f>IF(K308="","",IF(N308="Sí",ROUND(K308/1.18,2),K308))</f>
        <v/>
      </c>
      <c r="P308" s="3" t="inlineStr">
        <is>
          <t>2026-09-10</t>
        </is>
      </c>
      <c r="Q308" s="4" t="inlineStr">
        <is>
          <t>CerArte · Ferretería Ochoa (8A)</t>
        </is>
      </c>
      <c r="U308" s="7" t="n">
        <v>80</v>
      </c>
      <c r="V308" s="7" t="inlineStr">
        <is>
          <t>80 x 80 cm</t>
        </is>
      </c>
      <c r="AE308" s="7" t="inlineStr">
        <is>
          <t>piso</t>
        </is>
      </c>
      <c r="AF308" s="4" t="inlineStr">
        <is>
          <t>material: ceramica · ancho_cm: 80</t>
        </is>
      </c>
    </row>
    <row r="309">
      <c r="A309" s="3" t="inlineStr">
        <is>
          <t>MAT-08-087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90 x 15 cm</t>
        </is>
      </c>
      <c r="E309" s="4" t="inlineStr"/>
      <c r="F309" s="3" t="inlineStr">
        <is>
          <t>m²</t>
        </is>
      </c>
      <c r="G309" s="3" t="inlineStr">
        <is>
          <t>Pisos</t>
        </is>
      </c>
      <c r="H309" s="3" t="inlineStr">
        <is>
          <t>estandar</t>
        </is>
      </c>
      <c r="I309" s="3" t="inlineStr">
        <is>
          <t>importado</t>
        </is>
      </c>
      <c r="J309" s="5" t="n">
        <v>1</v>
      </c>
      <c r="K309" s="6" t="n">
        <v>1042.92</v>
      </c>
      <c r="L309" s="6" t="n">
        <v>1042.92</v>
      </c>
      <c r="M309" s="6" t="n">
        <v>1042.92</v>
      </c>
      <c r="N309" s="3" t="inlineStr">
        <is>
          <t>Sí</t>
        </is>
      </c>
      <c r="O309" s="6">
        <f>IF(K309="","",IF(N309="Sí",ROUND(K309/1.18,2),K309))</f>
        <v/>
      </c>
      <c r="P309" s="3" t="inlineStr">
        <is>
          <t>2026-09-09</t>
        </is>
      </c>
      <c r="Q309" s="4" t="inlineStr">
        <is>
          <t>Ferretería Ochoa (8A)</t>
        </is>
      </c>
      <c r="U309" s="7" t="n">
        <v>90</v>
      </c>
      <c r="V309" s="7" t="inlineStr">
        <is>
          <t>90 x 15 cm</t>
        </is>
      </c>
      <c r="AE309" s="7" t="inlineStr">
        <is>
          <t>piso</t>
        </is>
      </c>
      <c r="AF309" s="4" t="inlineStr">
        <is>
          <t>material: ceramica · ancho_cm: 15 · piezas_m2: 7.69 · acabado: antideslizante · espesor_mm: 9</t>
        </is>
      </c>
    </row>
    <row r="310">
      <c r="A310" s="3" t="inlineStr">
        <is>
          <t>MAT-08-088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90 x 30 cm</t>
        </is>
      </c>
      <c r="E310" s="4" t="inlineStr"/>
      <c r="F310" s="3" t="inlineStr">
        <is>
          <t>m²</t>
        </is>
      </c>
      <c r="G310" s="3" t="inlineStr">
        <is>
          <t>Pisos</t>
        </is>
      </c>
      <c r="H310" s="3" t="inlineStr">
        <is>
          <t>estandar</t>
        </is>
      </c>
      <c r="I310" s="3" t="inlineStr">
        <is>
          <t>importado</t>
        </is>
      </c>
      <c r="J310" s="5" t="n">
        <v>1</v>
      </c>
      <c r="K310" s="6" t="n">
        <v>1646.97</v>
      </c>
      <c r="L310" s="6" t="n">
        <v>954.53</v>
      </c>
      <c r="M310" s="6" t="n">
        <v>2286.13</v>
      </c>
      <c r="N310" s="3" t="inlineStr">
        <is>
          <t>Sí</t>
        </is>
      </c>
      <c r="O310" s="6">
        <f>IF(K310="","",IF(N310="Sí",ROUND(K310/1.18,2),K310))</f>
        <v/>
      </c>
      <c r="P310" s="3" t="inlineStr">
        <is>
          <t>2026-09-09</t>
        </is>
      </c>
      <c r="Q310" s="4" t="inlineStr">
        <is>
          <t>Ferretería Ochoa (8A)</t>
        </is>
      </c>
      <c r="U310" s="7" t="n">
        <v>90</v>
      </c>
      <c r="V310" s="7" t="inlineStr">
        <is>
          <t>90 x 30 cm</t>
        </is>
      </c>
      <c r="AE310" s="7" t="inlineStr">
        <is>
          <t>piso</t>
        </is>
      </c>
      <c r="AF310" s="4" t="inlineStr">
        <is>
          <t>material: ceramica · ancho_cm: 30 · espesor_mm: 9</t>
        </is>
      </c>
    </row>
    <row r="311">
      <c r="A311" s="3" t="inlineStr">
        <is>
          <t>MAT-08-089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 y pared, 100 x 30 cm</t>
        </is>
      </c>
      <c r="E311" s="4" t="inlineStr"/>
      <c r="F311" s="3" t="inlineStr">
        <is>
          <t>m²</t>
        </is>
      </c>
      <c r="G311" s="3" t="inlineStr">
        <is>
          <t>Pisos</t>
        </is>
      </c>
      <c r="H311" s="3" t="inlineStr">
        <is>
          <t>estandar</t>
        </is>
      </c>
      <c r="I311" s="3" t="inlineStr">
        <is>
          <t>importado</t>
        </is>
      </c>
      <c r="J311" s="5" t="n">
        <v>1</v>
      </c>
      <c r="K311" s="6" t="n">
        <v>2014.5</v>
      </c>
      <c r="L311" s="6" t="n">
        <v>1700.29</v>
      </c>
      <c r="M311" s="6" t="n">
        <v>2499.39</v>
      </c>
      <c r="N311" s="3" t="inlineStr">
        <is>
          <t>Sí</t>
        </is>
      </c>
      <c r="O311" s="6">
        <f>IF(K311="","",IF(N311="Sí",ROUND(K311/1.18,2),K311))</f>
        <v/>
      </c>
      <c r="P311" s="3" t="inlineStr">
        <is>
          <t>2026-09-09</t>
        </is>
      </c>
      <c r="Q311" s="4" t="inlineStr">
        <is>
          <t>Ferretería Ochoa (8A)</t>
        </is>
      </c>
      <c r="U311" s="7" t="n">
        <v>100</v>
      </c>
      <c r="V311" s="7" t="inlineStr">
        <is>
          <t>100 x 30 cm</t>
        </is>
      </c>
      <c r="AE311" s="7" t="inlineStr">
        <is>
          <t>piso y pared</t>
        </is>
      </c>
      <c r="AF311" s="4" t="inlineStr">
        <is>
          <t>material: ceramica · ancho_cm: 30 · piezas_m2: 3.17</t>
        </is>
      </c>
    </row>
    <row r="312">
      <c r="A312" s="3" t="inlineStr">
        <is>
          <t>MAT-08-090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 y pared, 113 x 55 cm</t>
        </is>
      </c>
      <c r="E312" s="4" t="inlineStr"/>
      <c r="F312" s="3" t="inlineStr">
        <is>
          <t>m²</t>
        </is>
      </c>
      <c r="G312" s="3" t="inlineStr">
        <is>
          <t>Pisos</t>
        </is>
      </c>
      <c r="H312" s="3" t="inlineStr">
        <is>
          <t>estandar</t>
        </is>
      </c>
      <c r="I312" s="3" t="inlineStr">
        <is>
          <t>importado</t>
        </is>
      </c>
      <c r="J312" s="5" t="n">
        <v>1</v>
      </c>
      <c r="K312" s="6" t="n">
        <v>872.1900000000001</v>
      </c>
      <c r="L312" s="6" t="n">
        <v>493.24</v>
      </c>
      <c r="M312" s="6" t="n">
        <v>918.9400000000001</v>
      </c>
      <c r="N312" s="3" t="inlineStr">
        <is>
          <t>Sí</t>
        </is>
      </c>
      <c r="O312" s="6">
        <f>IF(K312="","",IF(N312="Sí",ROUND(K312/1.18,2),K312))</f>
        <v/>
      </c>
      <c r="P312" s="3" t="inlineStr">
        <is>
          <t>2026-09-09</t>
        </is>
      </c>
      <c r="Q312" s="4" t="inlineStr">
        <is>
          <t>Ferretería Ochoa (8A)</t>
        </is>
      </c>
      <c r="U312" s="7" t="n">
        <v>113</v>
      </c>
      <c r="V312" s="7" t="inlineStr">
        <is>
          <t>113 x 55 cm</t>
        </is>
      </c>
      <c r="AE312" s="7" t="inlineStr">
        <is>
          <t>piso y pared</t>
        </is>
      </c>
      <c r="AF312" s="4" t="inlineStr">
        <is>
          <t>material: ceramica · ancho_cm: 55 · piezas_m2: 1.58 · acabado: pulido</t>
        </is>
      </c>
    </row>
    <row r="313">
      <c r="A313" s="3" t="inlineStr">
        <is>
          <t>MAT-08-091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 y pared, 120 x 20 cm</t>
        </is>
      </c>
      <c r="E313" s="4" t="inlineStr"/>
      <c r="F313" s="3" t="inlineStr">
        <is>
          <t>m²</t>
        </is>
      </c>
      <c r="G313" s="3" t="inlineStr">
        <is>
          <t>Pisos</t>
        </is>
      </c>
      <c r="H313" s="3" t="inlineStr">
        <is>
          <t>estandar</t>
        </is>
      </c>
      <c r="I313" s="3" t="inlineStr">
        <is>
          <t>importado</t>
        </is>
      </c>
      <c r="J313" s="5" t="n">
        <v>1</v>
      </c>
      <c r="K313" s="6" t="n">
        <v>1922.79</v>
      </c>
      <c r="L313" s="6" t="n">
        <v>1294.63</v>
      </c>
      <c r="M313" s="6" t="n">
        <v>2401.05</v>
      </c>
      <c r="N313" s="3" t="inlineStr">
        <is>
          <t>Sí</t>
        </is>
      </c>
      <c r="O313" s="6">
        <f>IF(K313="","",IF(N313="Sí",ROUND(K313/1.18,2),K313))</f>
        <v/>
      </c>
      <c r="P313" s="3" t="inlineStr">
        <is>
          <t>2026-09-09</t>
        </is>
      </c>
      <c r="Q313" s="4" t="inlineStr">
        <is>
          <t>Ferretería Ochoa (8A)</t>
        </is>
      </c>
      <c r="U313" s="7" t="n">
        <v>120</v>
      </c>
      <c r="V313" s="7" t="inlineStr">
        <is>
          <t>120 x 20 cm</t>
        </is>
      </c>
      <c r="AE313" s="7" t="inlineStr">
        <is>
          <t>piso y pared</t>
        </is>
      </c>
      <c r="AF313" s="4" t="inlineStr">
        <is>
          <t>material: ceramica · ancho_cm: 20 · acabado: mate</t>
        </is>
      </c>
    </row>
    <row r="314">
      <c r="A314" s="3" t="inlineStr">
        <is>
          <t>MAT-08-092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 y pared, 120 x 23.3 cm</t>
        </is>
      </c>
      <c r="E314" s="4" t="inlineStr"/>
      <c r="F314" s="3" t="inlineStr">
        <is>
          <t>m²</t>
        </is>
      </c>
      <c r="G314" s="3" t="inlineStr">
        <is>
          <t>Pisos</t>
        </is>
      </c>
      <c r="H314" s="3" t="inlineStr">
        <is>
          <t>estandar</t>
        </is>
      </c>
      <c r="I314" s="3" t="inlineStr">
        <is>
          <t>importado</t>
        </is>
      </c>
      <c r="J314" s="5" t="n">
        <v>1</v>
      </c>
      <c r="K314" s="6" t="n">
        <v>1394.83</v>
      </c>
      <c r="L314" s="6" t="n">
        <v>1394.83</v>
      </c>
      <c r="M314" s="6" t="n">
        <v>1394.83</v>
      </c>
      <c r="N314" s="3" t="inlineStr">
        <is>
          <t>Sí</t>
        </is>
      </c>
      <c r="O314" s="6">
        <f>IF(K314="","",IF(N314="Sí",ROUND(K314/1.18,2),K314))</f>
        <v/>
      </c>
      <c r="P314" s="3" t="inlineStr">
        <is>
          <t>2026-09-09</t>
        </is>
      </c>
      <c r="Q314" s="4" t="inlineStr">
        <is>
          <t>Ferretería Ochoa (8A)</t>
        </is>
      </c>
      <c r="U314" s="7" t="n">
        <v>120</v>
      </c>
      <c r="V314" s="7" t="inlineStr">
        <is>
          <t>120 x 23.3 cm</t>
        </is>
      </c>
      <c r="AE314" s="7" t="inlineStr">
        <is>
          <t>piso y pared</t>
        </is>
      </c>
      <c r="AF314" s="4" t="inlineStr">
        <is>
          <t>material: ceramica · ancho_cm: 23.3 · piezas_m2: 3.57 · acabado: brillante · espesor_mm: 9</t>
        </is>
      </c>
    </row>
    <row r="315">
      <c r="A315" s="3" t="inlineStr">
        <is>
          <t>MAT-08-093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 y pared, 120 x 30 cm</t>
        </is>
      </c>
      <c r="E315" s="4" t="inlineStr"/>
      <c r="F315" s="3" t="inlineStr">
        <is>
          <t>m²</t>
        </is>
      </c>
      <c r="G315" s="3" t="inlineStr">
        <is>
          <t>Pisos</t>
        </is>
      </c>
      <c r="H315" s="3" t="inlineStr">
        <is>
          <t>estandar</t>
        </is>
      </c>
      <c r="I315" s="3" t="inlineStr">
        <is>
          <t>importado</t>
        </is>
      </c>
      <c r="J315" s="5" t="n">
        <v>1</v>
      </c>
      <c r="K315" s="6" t="n">
        <v>1973.41</v>
      </c>
      <c r="L315" s="6" t="n">
        <v>1905.01</v>
      </c>
      <c r="M315" s="6" t="n">
        <v>1981.7</v>
      </c>
      <c r="N315" s="3" t="inlineStr">
        <is>
          <t>Sí</t>
        </is>
      </c>
      <c r="O315" s="6">
        <f>IF(K315="","",IF(N315="Sí",ROUND(K315/1.18,2),K315))</f>
        <v/>
      </c>
      <c r="P315" s="3" t="inlineStr">
        <is>
          <t>2026-09-09</t>
        </is>
      </c>
      <c r="Q315" s="4" t="inlineStr">
        <is>
          <t>Ferretería Ochoa (8A)</t>
        </is>
      </c>
      <c r="U315" s="7" t="n">
        <v>120</v>
      </c>
      <c r="V315" s="7" t="inlineStr">
        <is>
          <t>120 x 30 cm</t>
        </is>
      </c>
      <c r="AE315" s="7" t="inlineStr">
        <is>
          <t>piso y pared</t>
        </is>
      </c>
      <c r="AF315" s="4" t="inlineStr">
        <is>
          <t>material: ceramica · ancho_cm: 30 · piezas_m2: 2.8 · acabado: mate · espesor_mm: 10</t>
        </is>
      </c>
    </row>
    <row r="316">
      <c r="A316" s="3" t="inlineStr">
        <is>
          <t>MAT-08-094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 y pared, 120 x 40 cm</t>
        </is>
      </c>
      <c r="E316" s="4" t="inlineStr"/>
      <c r="F316" s="3" t="inlineStr">
        <is>
          <t>m²</t>
        </is>
      </c>
      <c r="G316" s="3" t="inlineStr">
        <is>
          <t>Pisos</t>
        </is>
      </c>
      <c r="H316" s="3" t="inlineStr">
        <is>
          <t>estandar</t>
        </is>
      </c>
      <c r="I316" s="3" t="inlineStr">
        <is>
          <t>importado</t>
        </is>
      </c>
      <c r="J316" s="5" t="n">
        <v>1</v>
      </c>
      <c r="K316" s="6" t="n">
        <v>2113.36</v>
      </c>
      <c r="L316" s="6" t="n">
        <v>1397.03</v>
      </c>
      <c r="M316" s="6" t="n">
        <v>3055.54</v>
      </c>
      <c r="N316" s="3" t="inlineStr">
        <is>
          <t>Sí</t>
        </is>
      </c>
      <c r="O316" s="6">
        <f>IF(K316="","",IF(N316="Sí",ROUND(K316/1.18,2),K316))</f>
        <v/>
      </c>
      <c r="P316" s="3" t="inlineStr">
        <is>
          <t>2026-09-09</t>
        </is>
      </c>
      <c r="Q316" s="4" t="inlineStr">
        <is>
          <t>Ferretería Ochoa (8A)</t>
        </is>
      </c>
      <c r="U316" s="7" t="n">
        <v>120</v>
      </c>
      <c r="V316" s="7" t="inlineStr">
        <is>
          <t>120 x 40 cm</t>
        </is>
      </c>
      <c r="AE316" s="7" t="inlineStr">
        <is>
          <t>piso y pared</t>
        </is>
      </c>
      <c r="AF316" s="4" t="inlineStr">
        <is>
          <t>material: ceramica · ancho_cm: 40</t>
        </is>
      </c>
    </row>
    <row r="317">
      <c r="A317" s="3" t="inlineStr">
        <is>
          <t>MAT-08-095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 y pared, 120 x 60 cm</t>
        </is>
      </c>
      <c r="E317" s="4" t="inlineStr"/>
      <c r="F317" s="3" t="inlineStr">
        <is>
          <t>m²</t>
        </is>
      </c>
      <c r="G317" s="3" t="inlineStr">
        <is>
          <t>Pisos</t>
        </is>
      </c>
      <c r="H317" s="3" t="inlineStr">
        <is>
          <t>estandar</t>
        </is>
      </c>
      <c r="I317" s="3" t="inlineStr">
        <is>
          <t>importado</t>
        </is>
      </c>
      <c r="J317" s="5" t="n">
        <v>1</v>
      </c>
      <c r="K317" s="6" t="n">
        <v>1964.18</v>
      </c>
      <c r="L317" s="6" t="n">
        <v>1481.03</v>
      </c>
      <c r="M317" s="6" t="n">
        <v>2744.85</v>
      </c>
      <c r="N317" s="3" t="inlineStr">
        <is>
          <t>Sí</t>
        </is>
      </c>
      <c r="O317" s="6">
        <f>IF(K317="","",IF(N317="Sí",ROUND(K317/1.18,2),K317))</f>
        <v/>
      </c>
      <c r="P317" s="3" t="inlineStr">
        <is>
          <t>2026-09-09</t>
        </is>
      </c>
      <c r="Q317" s="4" t="inlineStr">
        <is>
          <t>Ferretería Ochoa (8A)</t>
        </is>
      </c>
      <c r="U317" s="7" t="n">
        <v>120</v>
      </c>
      <c r="V317" s="7" t="inlineStr">
        <is>
          <t>120 x 60 cm</t>
        </is>
      </c>
      <c r="AE317" s="7" t="inlineStr">
        <is>
          <t>piso y pared</t>
        </is>
      </c>
      <c r="AF317" s="4" t="inlineStr">
        <is>
          <t>material: ceramica · ancho_cm: 60 · piezas_m2: 1.38</t>
        </is>
      </c>
    </row>
    <row r="318">
      <c r="A318" s="3" t="inlineStr">
        <is>
          <t>MAT-08-096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 y pared, 15 x 15 cm</t>
        </is>
      </c>
      <c r="E318" s="4" t="inlineStr"/>
      <c r="F318" s="3" t="inlineStr">
        <is>
          <t>m²</t>
        </is>
      </c>
      <c r="G318" s="3" t="inlineStr">
        <is>
          <t>Pisos</t>
        </is>
      </c>
      <c r="H318" s="3" t="inlineStr">
        <is>
          <t>estandar</t>
        </is>
      </c>
      <c r="I318" s="3" t="inlineStr">
        <is>
          <t>importado</t>
        </is>
      </c>
      <c r="J318" s="5" t="n">
        <v>1</v>
      </c>
      <c r="K318" s="6" t="n">
        <v>1640.37</v>
      </c>
      <c r="L318" s="6" t="n">
        <v>516.5599999999999</v>
      </c>
      <c r="M318" s="6" t="n">
        <v>2764.17</v>
      </c>
      <c r="N318" s="3" t="inlineStr">
        <is>
          <t>Sí</t>
        </is>
      </c>
      <c r="O318" s="6">
        <f>IF(K318="","",IF(N318="Sí",ROUND(K318/1.18,2),K318))</f>
        <v/>
      </c>
      <c r="P318" s="3" t="inlineStr">
        <is>
          <t>2026-09-09</t>
        </is>
      </c>
      <c r="Q318" s="4" t="inlineStr">
        <is>
          <t>Ferretería Ochoa (8A)</t>
        </is>
      </c>
      <c r="U318" s="7" t="n">
        <v>15</v>
      </c>
      <c r="V318" s="7" t="inlineStr">
        <is>
          <t>15 x 15 cm</t>
        </is>
      </c>
      <c r="AE318" s="7" t="inlineStr">
        <is>
          <t>piso y pared</t>
        </is>
      </c>
      <c r="AF318" s="4" t="inlineStr">
        <is>
          <t>material: ceramica · ancho_cm: 15 · acabado: mate · espesor_mm: 9</t>
        </is>
      </c>
    </row>
    <row r="319">
      <c r="A319" s="3" t="inlineStr">
        <is>
          <t>MAT-08-097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 y pared, 18.5 x 18.5 cm</t>
        </is>
      </c>
      <c r="E319" s="4" t="inlineStr"/>
      <c r="F319" s="3" t="inlineStr">
        <is>
          <t>m²</t>
        </is>
      </c>
      <c r="G319" s="3" t="inlineStr">
        <is>
          <t>Pisos</t>
        </is>
      </c>
      <c r="H319" s="3" t="inlineStr">
        <is>
          <t>estandar</t>
        </is>
      </c>
      <c r="I319" s="3" t="inlineStr">
        <is>
          <t>importado</t>
        </is>
      </c>
      <c r="J319" s="5" t="n">
        <v>1</v>
      </c>
      <c r="K319" s="6" t="n">
        <v>3184.41</v>
      </c>
      <c r="L319" s="6" t="n">
        <v>3184.41</v>
      </c>
      <c r="M319" s="6" t="n">
        <v>3184.41</v>
      </c>
      <c r="N319" s="3" t="inlineStr">
        <is>
          <t>Sí</t>
        </is>
      </c>
      <c r="O319" s="6">
        <f>IF(K319="","",IF(N319="Sí",ROUND(K319/1.18,2),K319))</f>
        <v/>
      </c>
      <c r="P319" s="3" t="inlineStr">
        <is>
          <t>2026-09-09</t>
        </is>
      </c>
      <c r="Q319" s="4" t="inlineStr">
        <is>
          <t>Ferretería Ochoa (8A)</t>
        </is>
      </c>
      <c r="U319" s="7" t="n">
        <v>18.5</v>
      </c>
      <c r="V319" s="7" t="inlineStr">
        <is>
          <t>18.5 x 18.5 cm</t>
        </is>
      </c>
      <c r="AE319" s="7" t="inlineStr">
        <is>
          <t>piso y pared</t>
        </is>
      </c>
      <c r="AF319" s="4" t="inlineStr">
        <is>
          <t>material: ceramica · ancho_cm: 18.5 · piezas_m2: 29.54 · espesor_mm: 9</t>
        </is>
      </c>
    </row>
    <row r="320">
      <c r="A320" s="3" t="inlineStr">
        <is>
          <t>MAT-08-098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 y pared, 180 x 90 cm</t>
        </is>
      </c>
      <c r="E320" s="4" t="inlineStr"/>
      <c r="F320" s="3" t="inlineStr">
        <is>
          <t>m²</t>
        </is>
      </c>
      <c r="G320" s="3" t="inlineStr">
        <is>
          <t>Pisos</t>
        </is>
      </c>
      <c r="H320" s="3" t="inlineStr">
        <is>
          <t>estandar</t>
        </is>
      </c>
      <c r="I320" s="3" t="inlineStr">
        <is>
          <t>importado</t>
        </is>
      </c>
      <c r="J320" s="5" t="n">
        <v>1</v>
      </c>
      <c r="K320" s="6" t="n">
        <v>3073.71</v>
      </c>
      <c r="L320" s="6" t="n">
        <v>3073.71</v>
      </c>
      <c r="M320" s="6" t="n">
        <v>3073.71</v>
      </c>
      <c r="N320" s="3" t="inlineStr">
        <is>
          <t>Sí</t>
        </is>
      </c>
      <c r="O320" s="6">
        <f>IF(K320="","",IF(N320="Sí",ROUND(K320/1.18,2),K320))</f>
        <v/>
      </c>
      <c r="P320" s="3" t="inlineStr">
        <is>
          <t>2026-09-09</t>
        </is>
      </c>
      <c r="Q320" s="4" t="inlineStr">
        <is>
          <t>Ferretería Ochoa (8A)</t>
        </is>
      </c>
      <c r="U320" s="7" t="n">
        <v>180</v>
      </c>
      <c r="V320" s="7" t="inlineStr">
        <is>
          <t>180 x 90 cm</t>
        </is>
      </c>
      <c r="AE320" s="7" t="inlineStr">
        <is>
          <t>piso y pared</t>
        </is>
      </c>
      <c r="AF320" s="4" t="inlineStr">
        <is>
          <t>material: ceramica · ancho_cm: 90 · piezas_m2: 0.61 · acabado: mate · espesor_mm: 10</t>
        </is>
      </c>
    </row>
    <row r="321">
      <c r="A321" s="3" t="inlineStr">
        <is>
          <t>MAT-08-099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 y pared, 20 x 20 cm</t>
        </is>
      </c>
      <c r="E321" s="4" t="inlineStr"/>
      <c r="F321" s="3" t="inlineStr">
        <is>
          <t>m²</t>
        </is>
      </c>
      <c r="G321" s="3" t="inlineStr">
        <is>
          <t>Pisos</t>
        </is>
      </c>
      <c r="H321" s="3" t="inlineStr">
        <is>
          <t>estandar</t>
        </is>
      </c>
      <c r="I321" s="3" t="inlineStr">
        <is>
          <t>importado</t>
        </is>
      </c>
      <c r="J321" s="5" t="n">
        <v>1</v>
      </c>
      <c r="K321" s="6" t="n">
        <v>915.75</v>
      </c>
      <c r="L321" s="6" t="n">
        <v>915.75</v>
      </c>
      <c r="M321" s="6" t="n">
        <v>915.75</v>
      </c>
      <c r="N321" s="3" t="inlineStr">
        <is>
          <t>Sí</t>
        </is>
      </c>
      <c r="O321" s="6">
        <f>IF(K321="","",IF(N321="Sí",ROUND(K321/1.18,2),K321))</f>
        <v/>
      </c>
      <c r="P321" s="3" t="inlineStr">
        <is>
          <t>2026-09-09</t>
        </is>
      </c>
      <c r="Q321" s="4" t="inlineStr">
        <is>
          <t>Ferretería Ochoa (8A)</t>
        </is>
      </c>
      <c r="U321" s="7" t="n">
        <v>20</v>
      </c>
      <c r="V321" s="7" t="inlineStr">
        <is>
          <t>20 x 20 cm</t>
        </is>
      </c>
      <c r="AE321" s="7" t="inlineStr">
        <is>
          <t>piso y pared</t>
        </is>
      </c>
      <c r="AF321" s="4" t="inlineStr">
        <is>
          <t>material: ceramica · ancho_cm: 20 · piezas_m2: 25</t>
        </is>
      </c>
    </row>
    <row r="322">
      <c r="A322" s="3" t="inlineStr">
        <is>
          <t>MAT-08-100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 y pared, 20 x 6.5 cm</t>
        </is>
      </c>
      <c r="E322" s="4" t="inlineStr"/>
      <c r="F322" s="3" t="inlineStr">
        <is>
          <t>m²</t>
        </is>
      </c>
      <c r="G322" s="3" t="inlineStr">
        <is>
          <t>Pisos</t>
        </is>
      </c>
      <c r="H322" s="3" t="inlineStr">
        <is>
          <t>estandar</t>
        </is>
      </c>
      <c r="I322" s="3" t="inlineStr">
        <is>
          <t>importado</t>
        </is>
      </c>
      <c r="J322" s="5" t="n">
        <v>1</v>
      </c>
      <c r="K322" s="6" t="n">
        <v>2621.99</v>
      </c>
      <c r="L322" s="6" t="n">
        <v>2599.62</v>
      </c>
      <c r="M322" s="6" t="n">
        <v>2644.36</v>
      </c>
      <c r="N322" s="3" t="inlineStr">
        <is>
          <t>Sí</t>
        </is>
      </c>
      <c r="O322" s="6">
        <f>IF(K322="","",IF(N322="Sí",ROUND(K322/1.18,2),K322))</f>
        <v/>
      </c>
      <c r="P322" s="3" t="inlineStr">
        <is>
          <t>2026-09-09</t>
        </is>
      </c>
      <c r="Q322" s="4" t="inlineStr">
        <is>
          <t>Ferretería Ochoa (8A)</t>
        </is>
      </c>
      <c r="U322" s="7" t="n">
        <v>20</v>
      </c>
      <c r="V322" s="7" t="inlineStr">
        <is>
          <t>20 x 6.5 cm</t>
        </is>
      </c>
      <c r="AE322" s="7" t="inlineStr">
        <is>
          <t>piso y pared</t>
        </is>
      </c>
      <c r="AF322" s="4" t="inlineStr">
        <is>
          <t>material: ceramica · ancho_cm: 6.5 · piezas_m2: 77.14 · acabado: mate · espesor_mm: 9</t>
        </is>
      </c>
    </row>
    <row r="323">
      <c r="A323" s="3" t="inlineStr">
        <is>
          <t>MAT-08-101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22.3 x 22.3 cm</t>
        </is>
      </c>
      <c r="E323" s="4" t="inlineStr"/>
      <c r="F323" s="3" t="inlineStr">
        <is>
          <t>m²</t>
        </is>
      </c>
      <c r="G323" s="3" t="inlineStr">
        <is>
          <t>Pisos</t>
        </is>
      </c>
      <c r="H323" s="3" t="inlineStr">
        <is>
          <t>estandar</t>
        </is>
      </c>
      <c r="I323" s="3" t="inlineStr">
        <is>
          <t>importado</t>
        </is>
      </c>
      <c r="J323" s="5" t="n">
        <v>1</v>
      </c>
      <c r="K323" s="6" t="n">
        <v>2550.6</v>
      </c>
      <c r="L323" s="6" t="n">
        <v>2550.6</v>
      </c>
      <c r="M323" s="6" t="n">
        <v>2550.6</v>
      </c>
      <c r="N323" s="3" t="inlineStr">
        <is>
          <t>Sí</t>
        </is>
      </c>
      <c r="O323" s="6">
        <f>IF(K323="","",IF(N323="Sí",ROUND(K323/1.18,2),K323))</f>
        <v/>
      </c>
      <c r="P323" s="3" t="inlineStr">
        <is>
          <t>2026-09-09</t>
        </is>
      </c>
      <c r="Q323" s="4" t="inlineStr">
        <is>
          <t>Ferretería Ochoa (8A)</t>
        </is>
      </c>
      <c r="U323" s="7" t="n">
        <v>22.3</v>
      </c>
      <c r="V323" s="7" t="inlineStr">
        <is>
          <t>22.3 x 22.3 cm</t>
        </is>
      </c>
      <c r="AE323" s="7" t="inlineStr">
        <is>
          <t>piso y pared</t>
        </is>
      </c>
      <c r="AF323" s="4" t="inlineStr">
        <is>
          <t>material: ceramica · ancho_cm: 22.3 · piezas_m2: 20 · espesor_mm: 8</t>
        </is>
      </c>
    </row>
    <row r="324">
      <c r="A324" s="3" t="inlineStr">
        <is>
          <t>MAT-08-102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22.8 x 20 cm</t>
        </is>
      </c>
      <c r="E324" s="4" t="inlineStr"/>
      <c r="F324" s="3" t="inlineStr">
        <is>
          <t>m²</t>
        </is>
      </c>
      <c r="G324" s="3" t="inlineStr">
        <is>
          <t>Pisos</t>
        </is>
      </c>
      <c r="H324" s="3" t="inlineStr">
        <is>
          <t>estandar</t>
        </is>
      </c>
      <c r="I324" s="3" t="inlineStr">
        <is>
          <t>importado</t>
        </is>
      </c>
      <c r="J324" s="5" t="n">
        <v>1</v>
      </c>
      <c r="K324" s="6" t="n">
        <v>2071.61</v>
      </c>
      <c r="L324" s="6" t="n">
        <v>1614.78</v>
      </c>
      <c r="M324" s="6" t="n">
        <v>3195.27</v>
      </c>
      <c r="N324" s="3" t="inlineStr">
        <is>
          <t>Sí</t>
        </is>
      </c>
      <c r="O324" s="6">
        <f>IF(K324="","",IF(N324="Sí",ROUND(K324/1.18,2),K324))</f>
        <v/>
      </c>
      <c r="P324" s="3" t="inlineStr">
        <is>
          <t>2026-09-09</t>
        </is>
      </c>
      <c r="Q324" s="4" t="inlineStr">
        <is>
          <t>Ferretería Ochoa (8A)</t>
        </is>
      </c>
      <c r="U324" s="7" t="n">
        <v>22.8</v>
      </c>
      <c r="V324" s="7" t="inlineStr">
        <is>
          <t>22.8 x 20 cm</t>
        </is>
      </c>
      <c r="AE324" s="7" t="inlineStr">
        <is>
          <t>piso y pared</t>
        </is>
      </c>
      <c r="AF324" s="4" t="inlineStr">
        <is>
          <t>material: ceramica · ancho_cm: 20 · piezas_m2: 28.57 · acabado: mate · espesor_mm: 9</t>
        </is>
      </c>
    </row>
    <row r="325">
      <c r="A325" s="3" t="inlineStr">
        <is>
          <t>MAT-08-103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25 x 25 cm</t>
        </is>
      </c>
      <c r="E325" s="4" t="inlineStr"/>
      <c r="F325" s="3" t="inlineStr">
        <is>
          <t>m²</t>
        </is>
      </c>
      <c r="G325" s="3" t="inlineStr">
        <is>
          <t>Pisos</t>
        </is>
      </c>
      <c r="H325" s="3" t="inlineStr">
        <is>
          <t>estandar</t>
        </is>
      </c>
      <c r="I325" s="3" t="inlineStr">
        <is>
          <t>importado</t>
        </is>
      </c>
      <c r="J325" s="5" t="n">
        <v>1</v>
      </c>
      <c r="K325" s="6" t="n">
        <v>1641.67</v>
      </c>
      <c r="L325" s="6" t="n">
        <v>1470.37</v>
      </c>
      <c r="M325" s="6" t="n">
        <v>1643.9</v>
      </c>
      <c r="N325" s="3" t="inlineStr">
        <is>
          <t>Sí</t>
        </is>
      </c>
      <c r="O325" s="6">
        <f>IF(K325="","",IF(N325="Sí",ROUND(K325/1.18,2),K325))</f>
        <v/>
      </c>
      <c r="P325" s="3" t="inlineStr">
        <is>
          <t>2026-09-09</t>
        </is>
      </c>
      <c r="Q325" s="4" t="inlineStr">
        <is>
          <t>Ferretería Ochoa (8A)</t>
        </is>
      </c>
      <c r="U325" s="7" t="n">
        <v>25</v>
      </c>
      <c r="V325" s="7" t="inlineStr">
        <is>
          <t>25 x 25 cm</t>
        </is>
      </c>
      <c r="AE325" s="7" t="inlineStr">
        <is>
          <t>piso y pared</t>
        </is>
      </c>
      <c r="AF325" s="4" t="inlineStr">
        <is>
          <t>material: ceramica · ancho_cm: 25 · piezas_m2: 15.92 · espesor_mm: 9</t>
        </is>
      </c>
    </row>
    <row r="326">
      <c r="A326" s="3" t="inlineStr">
        <is>
          <t>MAT-08-104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26.8 x 23.2 cm</t>
        </is>
      </c>
      <c r="E326" s="4" t="inlineStr"/>
      <c r="F326" s="3" t="inlineStr">
        <is>
          <t>m²</t>
        </is>
      </c>
      <c r="G326" s="3" t="inlineStr">
        <is>
          <t>Pisos</t>
        </is>
      </c>
      <c r="H326" s="3" t="inlineStr">
        <is>
          <t>estandar</t>
        </is>
      </c>
      <c r="I326" s="3" t="inlineStr">
        <is>
          <t>importado</t>
        </is>
      </c>
      <c r="J326" s="5" t="n">
        <v>1</v>
      </c>
      <c r="K326" s="6" t="n">
        <v>2504.68</v>
      </c>
      <c r="L326" s="6" t="n">
        <v>2504.68</v>
      </c>
      <c r="M326" s="6" t="n">
        <v>2504.68</v>
      </c>
      <c r="N326" s="3" t="inlineStr">
        <is>
          <t>Sí</t>
        </is>
      </c>
      <c r="O326" s="6">
        <f>IF(K326="","",IF(N326="Sí",ROUND(K326/1.18,2),K326))</f>
        <v/>
      </c>
      <c r="P326" s="3" t="inlineStr">
        <is>
          <t>2026-09-09</t>
        </is>
      </c>
      <c r="Q326" s="4" t="inlineStr">
        <is>
          <t>Ferretería Ochoa (8A)</t>
        </is>
      </c>
      <c r="U326" s="7" t="n">
        <v>26.8</v>
      </c>
      <c r="V326" s="7" t="inlineStr">
        <is>
          <t>26.8 x 23.2 cm</t>
        </is>
      </c>
      <c r="AE326" s="7" t="inlineStr">
        <is>
          <t>piso y pared</t>
        </is>
      </c>
      <c r="AF326" s="4" t="inlineStr">
        <is>
          <t>material: ceramica · ancho_cm: 23.2 · piezas_m2: 21.62 · espesor_mm: 8</t>
        </is>
      </c>
    </row>
    <row r="327">
      <c r="A327" s="3" t="inlineStr">
        <is>
          <t>MAT-08-105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30 x 25 cm</t>
        </is>
      </c>
      <c r="E327" s="4" t="inlineStr"/>
      <c r="F327" s="3" t="inlineStr">
        <is>
          <t>m²</t>
        </is>
      </c>
      <c r="G327" s="3" t="inlineStr">
        <is>
          <t>Pisos</t>
        </is>
      </c>
      <c r="H327" s="3" t="inlineStr">
        <is>
          <t>estandar</t>
        </is>
      </c>
      <c r="I327" s="3" t="inlineStr">
        <is>
          <t>importado</t>
        </is>
      </c>
      <c r="J327" s="5" t="n">
        <v>1</v>
      </c>
      <c r="K327" s="6" t="n">
        <v>1914.66</v>
      </c>
      <c r="L327" s="6" t="n">
        <v>1914.66</v>
      </c>
      <c r="M327" s="6" t="n">
        <v>1914.66</v>
      </c>
      <c r="N327" s="3" t="inlineStr">
        <is>
          <t>Sí</t>
        </is>
      </c>
      <c r="O327" s="6">
        <f>IF(K327="","",IF(N327="Sí",ROUND(K327/1.18,2),K327))</f>
        <v/>
      </c>
      <c r="P327" s="3" t="inlineStr">
        <is>
          <t>2026-09-09</t>
        </is>
      </c>
      <c r="Q327" s="4" t="inlineStr">
        <is>
          <t>Ferretería Ochoa (8A)</t>
        </is>
      </c>
      <c r="U327" s="7" t="n">
        <v>30</v>
      </c>
      <c r="V327" s="7" t="inlineStr">
        <is>
          <t>30 x 25 cm</t>
        </is>
      </c>
      <c r="AE327" s="7" t="inlineStr">
        <is>
          <t>piso y pared</t>
        </is>
      </c>
      <c r="AF327" s="4" t="inlineStr">
        <is>
          <t>material: ceramica · ancho_cm: 25 · piezas_m2: 18 · acabado: mate · espesor_mm: 9</t>
        </is>
      </c>
    </row>
    <row r="328">
      <c r="A328" s="3" t="inlineStr">
        <is>
          <t>MAT-08-106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40 x 25 cm</t>
        </is>
      </c>
      <c r="E328" s="4" t="inlineStr"/>
      <c r="F328" s="3" t="inlineStr">
        <is>
          <t>m²</t>
        </is>
      </c>
      <c r="G328" s="3" t="inlineStr">
        <is>
          <t>Pisos</t>
        </is>
      </c>
      <c r="H328" s="3" t="inlineStr">
        <is>
          <t>estandar</t>
        </is>
      </c>
      <c r="I328" s="3" t="inlineStr">
        <is>
          <t>importado</t>
        </is>
      </c>
      <c r="J328" s="5" t="n">
        <v>1</v>
      </c>
      <c r="K328" s="6" t="n">
        <v>779.2</v>
      </c>
      <c r="L328" s="6" t="n">
        <v>779.2</v>
      </c>
      <c r="M328" s="6" t="n">
        <v>779.2</v>
      </c>
      <c r="N328" s="3" t="inlineStr">
        <is>
          <t>Sí</t>
        </is>
      </c>
      <c r="O328" s="6">
        <f>IF(K328="","",IF(N328="Sí",ROUND(K328/1.18,2),K328))</f>
        <v/>
      </c>
      <c r="P328" s="3" t="inlineStr">
        <is>
          <t>2026-09-09</t>
        </is>
      </c>
      <c r="Q328" s="4" t="inlineStr">
        <is>
          <t>Ferretería Ochoa (8A)</t>
        </is>
      </c>
      <c r="U328" s="7" t="n">
        <v>40</v>
      </c>
      <c r="V328" s="7" t="inlineStr">
        <is>
          <t>40 x 25 cm</t>
        </is>
      </c>
      <c r="AE328" s="7" t="inlineStr">
        <is>
          <t>piso y pared</t>
        </is>
      </c>
      <c r="AF328" s="4" t="inlineStr">
        <is>
          <t>material: ceramica · ancho_cm: 25 · piezas_m2: 10 · acabado: mate · espesor_mm: 9</t>
        </is>
      </c>
    </row>
    <row r="329">
      <c r="A329" s="3" t="inlineStr">
        <is>
          <t>MAT-08-107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45 x 45 cm</t>
        </is>
      </c>
      <c r="E329" s="4" t="inlineStr"/>
      <c r="F329" s="3" t="inlineStr">
        <is>
          <t>m²</t>
        </is>
      </c>
      <c r="G329" s="3" t="inlineStr">
        <is>
          <t>Pisos</t>
        </is>
      </c>
      <c r="H329" s="3" t="inlineStr">
        <is>
          <t>estandar</t>
        </is>
      </c>
      <c r="I329" s="3" t="inlineStr">
        <is>
          <t>importado</t>
        </is>
      </c>
      <c r="J329" s="5" t="n">
        <v>1</v>
      </c>
      <c r="K329" s="6" t="n">
        <v>883.6</v>
      </c>
      <c r="L329" s="6" t="n">
        <v>666.6799999999999</v>
      </c>
      <c r="M329" s="6" t="n">
        <v>1415.45</v>
      </c>
      <c r="N329" s="3" t="inlineStr">
        <is>
          <t>Sí</t>
        </is>
      </c>
      <c r="O329" s="6">
        <f>IF(K329="","",IF(N329="Sí",ROUND(K329/1.18,2),K329))</f>
        <v/>
      </c>
      <c r="P329" s="3" t="inlineStr">
        <is>
          <t>2026-09-09</t>
        </is>
      </c>
      <c r="Q329" s="4" t="inlineStr">
        <is>
          <t>Ferretería Ochoa (8A)</t>
        </is>
      </c>
      <c r="U329" s="7" t="n">
        <v>45</v>
      </c>
      <c r="V329" s="7" t="inlineStr">
        <is>
          <t>45 x 45 cm</t>
        </is>
      </c>
      <c r="AE329" s="7" t="inlineStr">
        <is>
          <t>piso y pared</t>
        </is>
      </c>
      <c r="AF329" s="4" t="inlineStr">
        <is>
          <t>material: ceramica · ancho_cm: 45</t>
        </is>
      </c>
    </row>
    <row r="330">
      <c r="A330" s="3" t="inlineStr">
        <is>
          <t>MAT-08-108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55 x 33 cm</t>
        </is>
      </c>
      <c r="E330" s="4" t="inlineStr"/>
      <c r="F330" s="3" t="inlineStr">
        <is>
          <t>m²</t>
        </is>
      </c>
      <c r="G330" s="3" t="inlineStr">
        <is>
          <t>Pisos</t>
        </is>
      </c>
      <c r="H330" s="3" t="inlineStr">
        <is>
          <t>estandar</t>
        </is>
      </c>
      <c r="I330" s="3" t="inlineStr">
        <is>
          <t>importado</t>
        </is>
      </c>
      <c r="J330" s="5" t="n">
        <v>1</v>
      </c>
      <c r="K330" s="6" t="n">
        <v>837.58</v>
      </c>
      <c r="L330" s="6" t="n">
        <v>811.99</v>
      </c>
      <c r="M330" s="6" t="n">
        <v>863.16</v>
      </c>
      <c r="N330" s="3" t="inlineStr">
        <is>
          <t>Sí</t>
        </is>
      </c>
      <c r="O330" s="6">
        <f>IF(K330="","",IF(N330="Sí",ROUND(K330/1.18,2),K330))</f>
        <v/>
      </c>
      <c r="P330" s="3" t="inlineStr">
        <is>
          <t>2026-09-09</t>
        </is>
      </c>
      <c r="Q330" s="4" t="inlineStr">
        <is>
          <t>Ferretería Ochoa (8A)</t>
        </is>
      </c>
      <c r="U330" s="7" t="n">
        <v>55</v>
      </c>
      <c r="V330" s="7" t="inlineStr">
        <is>
          <t>55 x 33 cm</t>
        </is>
      </c>
      <c r="AE330" s="7" t="inlineStr">
        <is>
          <t>piso y pared</t>
        </is>
      </c>
      <c r="AF330" s="4" t="inlineStr">
        <is>
          <t>material: ceramica · ancho_cm: 33 · piezas_m2: 5.52 · acabado: brillante · espesor_mm: 10</t>
        </is>
      </c>
    </row>
    <row r="331">
      <c r="A331" s="3" t="inlineStr">
        <is>
          <t>MAT-08-109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58 x 19 cm</t>
        </is>
      </c>
      <c r="E331" s="4" t="inlineStr"/>
      <c r="F331" s="3" t="inlineStr">
        <is>
          <t>m²</t>
        </is>
      </c>
      <c r="G331" s="3" t="inlineStr">
        <is>
          <t>Pisos</t>
        </is>
      </c>
      <c r="H331" s="3" t="inlineStr">
        <is>
          <t>estandar</t>
        </is>
      </c>
      <c r="I331" s="3" t="inlineStr">
        <is>
          <t>importado</t>
        </is>
      </c>
      <c r="J331" s="5" t="n">
        <v>1</v>
      </c>
      <c r="K331" s="6" t="n">
        <v>884.59</v>
      </c>
      <c r="L331" s="6" t="n">
        <v>851.73</v>
      </c>
      <c r="M331" s="6" t="n">
        <v>917.45</v>
      </c>
      <c r="N331" s="3" t="inlineStr">
        <is>
          <t>Sí</t>
        </is>
      </c>
      <c r="O331" s="6">
        <f>IF(K331="","",IF(N331="Sí",ROUND(K331/1.18,2),K331))</f>
        <v/>
      </c>
      <c r="P331" s="3" t="inlineStr">
        <is>
          <t>2026-09-09</t>
        </is>
      </c>
      <c r="Q331" s="4" t="inlineStr">
        <is>
          <t>Ferretería Ochoa (8A)</t>
        </is>
      </c>
      <c r="U331" s="7" t="n">
        <v>58</v>
      </c>
      <c r="V331" s="7" t="inlineStr">
        <is>
          <t>58 x 19 cm</t>
        </is>
      </c>
      <c r="AE331" s="7" t="inlineStr">
        <is>
          <t>piso y pared</t>
        </is>
      </c>
      <c r="AF331" s="4" t="inlineStr">
        <is>
          <t>material: ceramica · ancho_cm: 19 · piezas_m2: 9.09 · acabado: mate · espesor_mm: 8</t>
        </is>
      </c>
    </row>
    <row r="332">
      <c r="A332" s="3" t="inlineStr">
        <is>
          <t>MAT-08-110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58 x 58 cm</t>
        </is>
      </c>
      <c r="E332" s="4" t="inlineStr"/>
      <c r="F332" s="3" t="inlineStr">
        <is>
          <t>m²</t>
        </is>
      </c>
      <c r="G332" s="3" t="inlineStr">
        <is>
          <t>Pisos</t>
        </is>
      </c>
      <c r="H332" s="3" t="inlineStr">
        <is>
          <t>estandar</t>
        </is>
      </c>
      <c r="I332" s="3" t="inlineStr">
        <is>
          <t>importado</t>
        </is>
      </c>
      <c r="J332" s="5" t="n">
        <v>1</v>
      </c>
      <c r="K332" s="6" t="n">
        <v>1407.51</v>
      </c>
      <c r="L332" s="6" t="n">
        <v>1267.19</v>
      </c>
      <c r="M332" s="6" t="n">
        <v>1547.83</v>
      </c>
      <c r="N332" s="3" t="inlineStr">
        <is>
          <t>Sí</t>
        </is>
      </c>
      <c r="O332" s="6">
        <f>IF(K332="","",IF(N332="Sí",ROUND(K332/1.18,2),K332))</f>
        <v/>
      </c>
      <c r="P332" s="3" t="inlineStr">
        <is>
          <t>2026-09-09</t>
        </is>
      </c>
      <c r="Q332" s="4" t="inlineStr">
        <is>
          <t>Ferretería Ochoa (8A)</t>
        </is>
      </c>
      <c r="U332" s="7" t="n">
        <v>58</v>
      </c>
      <c r="V332" s="7" t="inlineStr">
        <is>
          <t>58 x 58 cm</t>
        </is>
      </c>
      <c r="AE332" s="7" t="inlineStr">
        <is>
          <t>piso y pared</t>
        </is>
      </c>
      <c r="AF332" s="4" t="inlineStr">
        <is>
          <t>material: ceramica · ancho_cm: 58 · piezas_m2: 2.92 · espesor_mm: 9 · acabado: mate</t>
        </is>
      </c>
    </row>
    <row r="333">
      <c r="A333" s="3" t="inlineStr">
        <is>
          <t>MAT-08-111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60 x 20 cm</t>
        </is>
      </c>
      <c r="E333" s="4" t="inlineStr"/>
      <c r="F333" s="3" t="inlineStr">
        <is>
          <t>m²</t>
        </is>
      </c>
      <c r="G333" s="3" t="inlineStr">
        <is>
          <t>Pisos</t>
        </is>
      </c>
      <c r="H333" s="3" t="inlineStr">
        <is>
          <t>estandar</t>
        </is>
      </c>
      <c r="I333" s="3" t="inlineStr">
        <is>
          <t>importado</t>
        </is>
      </c>
      <c r="J333" s="5" t="n">
        <v>1</v>
      </c>
      <c r="K333" s="6" t="n">
        <v>767.4400000000001</v>
      </c>
      <c r="L333" s="6" t="n">
        <v>482.11</v>
      </c>
      <c r="M333" s="6" t="n">
        <v>995.02</v>
      </c>
      <c r="N333" s="3" t="inlineStr">
        <is>
          <t>Sí</t>
        </is>
      </c>
      <c r="O333" s="6">
        <f>IF(K333="","",IF(N333="Sí",ROUND(K333/1.18,2),K333))</f>
        <v/>
      </c>
      <c r="P333" s="3" t="inlineStr">
        <is>
          <t>2026-09-09</t>
        </is>
      </c>
      <c r="Q333" s="4" t="inlineStr">
        <is>
          <t>Ferretería Ochoa (8A)</t>
        </is>
      </c>
      <c r="U333" s="7" t="n">
        <v>60</v>
      </c>
      <c r="V333" s="7" t="inlineStr">
        <is>
          <t>60 x 20 cm</t>
        </is>
      </c>
      <c r="AE333" s="7" t="inlineStr">
        <is>
          <t>piso y pared</t>
        </is>
      </c>
      <c r="AF333" s="4" t="inlineStr">
        <is>
          <t>material: ceramica · ancho_cm: 20</t>
        </is>
      </c>
    </row>
    <row r="334">
      <c r="A334" s="3" t="inlineStr">
        <is>
          <t>MAT-08-112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60 x 30 cm</t>
        </is>
      </c>
      <c r="E334" s="4" t="inlineStr"/>
      <c r="F334" s="3" t="inlineStr">
        <is>
          <t>m²</t>
        </is>
      </c>
      <c r="G334" s="3" t="inlineStr">
        <is>
          <t>Pisos</t>
        </is>
      </c>
      <c r="H334" s="3" t="inlineStr">
        <is>
          <t>estandar</t>
        </is>
      </c>
      <c r="I334" s="3" t="inlineStr">
        <is>
          <t>importado</t>
        </is>
      </c>
      <c r="J334" s="5" t="n">
        <v>1</v>
      </c>
      <c r="K334" s="6" t="n">
        <v>1474.52</v>
      </c>
      <c r="L334" s="6" t="n">
        <v>1048.67</v>
      </c>
      <c r="M334" s="6" t="n">
        <v>1965.14</v>
      </c>
      <c r="N334" s="3" t="inlineStr">
        <is>
          <t>Sí</t>
        </is>
      </c>
      <c r="O334" s="6">
        <f>IF(K334="","",IF(N334="Sí",ROUND(K334/1.18,2),K334))</f>
        <v/>
      </c>
      <c r="P334" s="3" t="inlineStr">
        <is>
          <t>2026-09-09</t>
        </is>
      </c>
      <c r="Q334" s="4" t="inlineStr">
        <is>
          <t>Ferretería Ochoa (8A)</t>
        </is>
      </c>
      <c r="U334" s="7" t="n">
        <v>60</v>
      </c>
      <c r="V334" s="7" t="inlineStr">
        <is>
          <t>60 x 30 cm</t>
        </is>
      </c>
      <c r="AE334" s="7" t="inlineStr">
        <is>
          <t>piso y pared</t>
        </is>
      </c>
      <c r="AF334" s="4" t="inlineStr">
        <is>
          <t>material: ceramica · ancho_cm: 30</t>
        </is>
      </c>
    </row>
    <row r="335">
      <c r="A335" s="3" t="inlineStr">
        <is>
          <t>MAT-08-113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60 x 60 cm</t>
        </is>
      </c>
      <c r="E335" s="4" t="inlineStr"/>
      <c r="F335" s="3" t="inlineStr">
        <is>
          <t>m²</t>
        </is>
      </c>
      <c r="G335" s="3" t="inlineStr">
        <is>
          <t>Pisos</t>
        </is>
      </c>
      <c r="H335" s="3" t="inlineStr">
        <is>
          <t>estandar</t>
        </is>
      </c>
      <c r="I335" s="3" t="inlineStr">
        <is>
          <t>importado</t>
        </is>
      </c>
      <c r="J335" s="5" t="n">
        <v>1</v>
      </c>
      <c r="K335" s="6" t="n">
        <v>1251.4</v>
      </c>
      <c r="L335" s="6" t="n">
        <v>461.4</v>
      </c>
      <c r="M335" s="6" t="n">
        <v>2912.35</v>
      </c>
      <c r="N335" s="3" t="inlineStr">
        <is>
          <t>Sí</t>
        </is>
      </c>
      <c r="O335" s="6">
        <f>IF(K335="","",IF(N335="Sí",ROUND(K335/1.18,2),K335))</f>
        <v/>
      </c>
      <c r="P335" s="3" t="inlineStr">
        <is>
          <t>2026-09-09</t>
        </is>
      </c>
      <c r="Q335" s="4" t="inlineStr">
        <is>
          <t>Ferretería Ochoa (8A)</t>
        </is>
      </c>
      <c r="U335" s="7" t="n">
        <v>60</v>
      </c>
      <c r="V335" s="7" t="inlineStr">
        <is>
          <t>60 x 60 cm</t>
        </is>
      </c>
      <c r="AE335" s="7" t="inlineStr">
        <is>
          <t>piso y pared</t>
        </is>
      </c>
      <c r="AF335" s="4" t="inlineStr">
        <is>
          <t>material: ceramica · ancho_cm: 60</t>
        </is>
      </c>
    </row>
    <row r="336">
      <c r="A336" s="3" t="inlineStr">
        <is>
          <t>MAT-08-114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75 x 25 cm</t>
        </is>
      </c>
      <c r="E336" s="4" t="inlineStr"/>
      <c r="F336" s="3" t="inlineStr">
        <is>
          <t>m²</t>
        </is>
      </c>
      <c r="G336" s="3" t="inlineStr">
        <is>
          <t>Pisos</t>
        </is>
      </c>
      <c r="H336" s="3" t="inlineStr">
        <is>
          <t>estandar</t>
        </is>
      </c>
      <c r="I336" s="3" t="inlineStr">
        <is>
          <t>importado</t>
        </is>
      </c>
      <c r="J336" s="5" t="n">
        <v>1</v>
      </c>
      <c r="K336" s="6" t="n">
        <v>1257.26</v>
      </c>
      <c r="L336" s="6" t="n">
        <v>915.6799999999999</v>
      </c>
      <c r="M336" s="6" t="n">
        <v>1568.95</v>
      </c>
      <c r="N336" s="3" t="inlineStr">
        <is>
          <t>Sí</t>
        </is>
      </c>
      <c r="O336" s="6">
        <f>IF(K336="","",IF(N336="Sí",ROUND(K336/1.18,2),K336))</f>
        <v/>
      </c>
      <c r="P336" s="3" t="inlineStr">
        <is>
          <t>2026-09-09</t>
        </is>
      </c>
      <c r="Q336" s="4" t="inlineStr">
        <is>
          <t>Ferretería Ochoa (8A)</t>
        </is>
      </c>
      <c r="U336" s="7" t="n">
        <v>75</v>
      </c>
      <c r="V336" s="7" t="inlineStr">
        <is>
          <t>75 x 25 cm</t>
        </is>
      </c>
      <c r="AE336" s="7" t="inlineStr">
        <is>
          <t>piso y pared</t>
        </is>
      </c>
      <c r="AF336" s="4" t="inlineStr">
        <is>
          <t>material: ceramica · ancho_cm: 25</t>
        </is>
      </c>
    </row>
    <row r="337">
      <c r="A337" s="3" t="inlineStr">
        <is>
          <t>MAT-08-115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80 x 80 cm</t>
        </is>
      </c>
      <c r="E337" s="4" t="inlineStr"/>
      <c r="F337" s="3" t="inlineStr">
        <is>
          <t>m²</t>
        </is>
      </c>
      <c r="G337" s="3" t="inlineStr">
        <is>
          <t>Pisos</t>
        </is>
      </c>
      <c r="H337" s="3" t="inlineStr">
        <is>
          <t>estandar</t>
        </is>
      </c>
      <c r="I337" s="3" t="inlineStr">
        <is>
          <t>importado</t>
        </is>
      </c>
      <c r="J337" s="5" t="n">
        <v>1</v>
      </c>
      <c r="K337" s="6" t="n">
        <v>929.73</v>
      </c>
      <c r="L337" s="6" t="n">
        <v>908.36</v>
      </c>
      <c r="M337" s="6" t="n">
        <v>951.1</v>
      </c>
      <c r="N337" s="3" t="inlineStr">
        <is>
          <t>Sí</t>
        </is>
      </c>
      <c r="O337" s="6">
        <f>IF(K337="","",IF(N337="Sí",ROUND(K337/1.18,2),K337))</f>
        <v/>
      </c>
      <c r="P337" s="3" t="inlineStr">
        <is>
          <t>2026-09-09</t>
        </is>
      </c>
      <c r="Q337" s="4" t="inlineStr">
        <is>
          <t>Ferretería Ochoa (8A)</t>
        </is>
      </c>
      <c r="U337" s="7" t="n">
        <v>80</v>
      </c>
      <c r="V337" s="7" t="inlineStr">
        <is>
          <t>80 x 80 cm</t>
        </is>
      </c>
      <c r="AE337" s="7" t="inlineStr">
        <is>
          <t>piso y pared</t>
        </is>
      </c>
      <c r="AF337" s="4" t="inlineStr">
        <is>
          <t>material: ceramica · ancho_cm: 80 · acabado: pulido · espesor_mm: 10</t>
        </is>
      </c>
    </row>
    <row r="338">
      <c r="A338" s="3" t="inlineStr">
        <is>
          <t>MAT-08-116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90 x 15 cm</t>
        </is>
      </c>
      <c r="E338" s="4" t="inlineStr"/>
      <c r="F338" s="3" t="inlineStr">
        <is>
          <t>m²</t>
        </is>
      </c>
      <c r="G338" s="3" t="inlineStr">
        <is>
          <t>Pisos</t>
        </is>
      </c>
      <c r="H338" s="3" t="inlineStr">
        <is>
          <t>estandar</t>
        </is>
      </c>
      <c r="I338" s="3" t="inlineStr">
        <is>
          <t>importado</t>
        </is>
      </c>
      <c r="J338" s="5" t="n">
        <v>1</v>
      </c>
      <c r="K338" s="6" t="n">
        <v>1496.73</v>
      </c>
      <c r="L338" s="6" t="n">
        <v>1417.32</v>
      </c>
      <c r="M338" s="6" t="n">
        <v>1576.13</v>
      </c>
      <c r="N338" s="3" t="inlineStr">
        <is>
          <t>Sí</t>
        </is>
      </c>
      <c r="O338" s="6">
        <f>IF(K338="","",IF(N338="Sí",ROUND(K338/1.18,2),K338))</f>
        <v/>
      </c>
      <c r="P338" s="3" t="inlineStr">
        <is>
          <t>2026-09-09</t>
        </is>
      </c>
      <c r="Q338" s="4" t="inlineStr">
        <is>
          <t>Ferretería Ochoa (8A)</t>
        </is>
      </c>
      <c r="U338" s="7" t="n">
        <v>90</v>
      </c>
      <c r="V338" s="7" t="inlineStr">
        <is>
          <t>90 x 15 cm</t>
        </is>
      </c>
      <c r="AE338" s="7" t="inlineStr">
        <is>
          <t>piso y pared</t>
        </is>
      </c>
      <c r="AF338" s="4" t="inlineStr">
        <is>
          <t>material: ceramica · ancho_cm: 15 · piezas_m2: 7.4 · acabado: mate · espesor_mm: 9</t>
        </is>
      </c>
    </row>
    <row r="339">
      <c r="A339" s="3" t="inlineStr">
        <is>
          <t>MAT-08-117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90 x 30 cm</t>
        </is>
      </c>
      <c r="E339" s="4" t="inlineStr"/>
      <c r="F339" s="3" t="inlineStr">
        <is>
          <t>m²</t>
        </is>
      </c>
      <c r="G339" s="3" t="inlineStr">
        <is>
          <t>Pisos</t>
        </is>
      </c>
      <c r="H339" s="3" t="inlineStr">
        <is>
          <t>estandar</t>
        </is>
      </c>
      <c r="I339" s="3" t="inlineStr">
        <is>
          <t>importado</t>
        </is>
      </c>
      <c r="J339" s="5" t="n">
        <v>1</v>
      </c>
      <c r="K339" s="6" t="n">
        <v>2227.75</v>
      </c>
      <c r="L339" s="6" t="n">
        <v>1180.22</v>
      </c>
      <c r="M339" s="6" t="n">
        <v>3142.97</v>
      </c>
      <c r="N339" s="3" t="inlineStr">
        <is>
          <t>Sí</t>
        </is>
      </c>
      <c r="O339" s="6">
        <f>IF(K339="","",IF(N339="Sí",ROUND(K339/1.18,2),K339))</f>
        <v/>
      </c>
      <c r="P339" s="3" t="inlineStr">
        <is>
          <t>2026-09-09</t>
        </is>
      </c>
      <c r="Q339" s="4" t="inlineStr">
        <is>
          <t>Ferretería Ochoa (8A)</t>
        </is>
      </c>
      <c r="U339" s="7" t="n">
        <v>90</v>
      </c>
      <c r="V339" s="7" t="inlineStr">
        <is>
          <t>90 x 30 cm</t>
        </is>
      </c>
      <c r="AE339" s="7" t="inlineStr">
        <is>
          <t>piso y pared</t>
        </is>
      </c>
      <c r="AF339" s="4" t="inlineStr">
        <is>
          <t>material: ceramica · ancho_cm: 30</t>
        </is>
      </c>
    </row>
    <row r="340">
      <c r="A340" s="3" t="inlineStr">
        <is>
          <t>MAT-08-118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90 x 45 cm</t>
        </is>
      </c>
      <c r="E340" s="4" t="inlineStr"/>
      <c r="F340" s="3" t="inlineStr">
        <is>
          <t>m²</t>
        </is>
      </c>
      <c r="G340" s="3" t="inlineStr">
        <is>
          <t>Pisos</t>
        </is>
      </c>
      <c r="H340" s="3" t="inlineStr">
        <is>
          <t>estandar</t>
        </is>
      </c>
      <c r="I340" s="3" t="inlineStr">
        <is>
          <t>importado</t>
        </is>
      </c>
      <c r="J340" s="5" t="n">
        <v>1</v>
      </c>
      <c r="K340" s="6" t="n">
        <v>1988.37</v>
      </c>
      <c r="L340" s="6" t="n">
        <v>1367.94</v>
      </c>
      <c r="M340" s="6" t="n">
        <v>2067.73</v>
      </c>
      <c r="N340" s="3" t="inlineStr">
        <is>
          <t>Sí</t>
        </is>
      </c>
      <c r="O340" s="6">
        <f>IF(K340="","",IF(N340="Sí",ROUND(K340/1.18,2),K340))</f>
        <v/>
      </c>
      <c r="P340" s="3" t="inlineStr">
        <is>
          <t>2026-09-09</t>
        </is>
      </c>
      <c r="Q340" s="4" t="inlineStr">
        <is>
          <t>Ferretería Ochoa (8A)</t>
        </is>
      </c>
      <c r="U340" s="7" t="n">
        <v>90</v>
      </c>
      <c r="V340" s="7" t="inlineStr">
        <is>
          <t>90 x 45 cm</t>
        </is>
      </c>
      <c r="AE340" s="7" t="inlineStr">
        <is>
          <t>piso y pared</t>
        </is>
      </c>
      <c r="AF340" s="4" t="inlineStr">
        <is>
          <t>material: ceramica · ancho_cm: 45</t>
        </is>
      </c>
    </row>
    <row r="341">
      <c r="A341" s="3" t="inlineStr">
        <is>
          <t>MAT-08-119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pared, 100 x 30 cm</t>
        </is>
      </c>
      <c r="E341" s="4" t="inlineStr"/>
      <c r="F341" s="3" t="inlineStr">
        <is>
          <t>m²</t>
        </is>
      </c>
      <c r="G341" s="3" t="inlineStr">
        <is>
          <t>Pisos</t>
        </is>
      </c>
      <c r="H341" s="3" t="inlineStr">
        <is>
          <t>estandar</t>
        </is>
      </c>
      <c r="I341" s="3" t="inlineStr">
        <is>
          <t>importado</t>
        </is>
      </c>
      <c r="J341" s="5" t="n">
        <v>1</v>
      </c>
      <c r="K341" s="6" t="n">
        <v>2062.5</v>
      </c>
      <c r="L341" s="6" t="n">
        <v>1961.18</v>
      </c>
      <c r="M341" s="6" t="n">
        <v>2164.54</v>
      </c>
      <c r="N341" s="3" t="inlineStr">
        <is>
          <t>Sí</t>
        </is>
      </c>
      <c r="O341" s="6">
        <f>IF(K341="","",IF(N341="Sí",ROUND(K341/1.18,2),K341))</f>
        <v/>
      </c>
      <c r="P341" s="3" t="inlineStr">
        <is>
          <t>2026-09-09</t>
        </is>
      </c>
      <c r="Q341" s="4" t="inlineStr">
        <is>
          <t>Ferretería Ochoa (8A)</t>
        </is>
      </c>
      <c r="U341" s="7" t="n">
        <v>100</v>
      </c>
      <c r="V341" s="7" t="inlineStr">
        <is>
          <t>100 x 30 cm</t>
        </is>
      </c>
      <c r="AE341" s="7" t="inlineStr">
        <is>
          <t>pared</t>
        </is>
      </c>
      <c r="AF341" s="4" t="inlineStr">
        <is>
          <t>material: porcelanato · ancho_cm: 30 · piezas_m2: 3.17 · acabado: mate · espesor_mm: 10</t>
        </is>
      </c>
    </row>
    <row r="342">
      <c r="A342" s="3" t="inlineStr">
        <is>
          <t>MAT-08-120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pared, 120 x 120 cm</t>
        </is>
      </c>
      <c r="E342" s="4" t="inlineStr"/>
      <c r="F342" s="3" t="inlineStr">
        <is>
          <t>m²</t>
        </is>
      </c>
      <c r="G342" s="3" t="inlineStr">
        <is>
          <t>Pisos</t>
        </is>
      </c>
      <c r="H342" s="3" t="inlineStr">
        <is>
          <t>estandar</t>
        </is>
      </c>
      <c r="I342" s="3" t="inlineStr">
        <is>
          <t>importado</t>
        </is>
      </c>
      <c r="J342" s="5" t="n">
        <v>1</v>
      </c>
      <c r="K342" s="6" t="n">
        <v>3169.66</v>
      </c>
      <c r="L342" s="6" t="n">
        <v>3169.66</v>
      </c>
      <c r="M342" s="6" t="n">
        <v>3169.66</v>
      </c>
      <c r="N342" s="3" t="inlineStr">
        <is>
          <t>Sí</t>
        </is>
      </c>
      <c r="O342" s="6">
        <f>IF(K342="","",IF(N342="Sí",ROUND(K342/1.18,2),K342))</f>
        <v/>
      </c>
      <c r="P342" s="3" t="inlineStr">
        <is>
          <t>2026-09-10</t>
        </is>
      </c>
      <c r="Q342" s="4" t="inlineStr">
        <is>
          <t>CerArte</t>
        </is>
      </c>
      <c r="V342" s="7" t="inlineStr">
        <is>
          <t>120 x 120 cm</t>
        </is>
      </c>
      <c r="AE342" s="7" t="inlineStr">
        <is>
          <t>pared</t>
        </is>
      </c>
      <c r="AF342" s="4" t="inlineStr">
        <is>
          <t>material: porcelanato · acabado: pulido</t>
        </is>
      </c>
    </row>
    <row r="343">
      <c r="A343" s="3" t="inlineStr">
        <is>
          <t>MAT-08-121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pared, 120 x 40 cm</t>
        </is>
      </c>
      <c r="E343" s="4" t="inlineStr"/>
      <c r="F343" s="3" t="inlineStr">
        <is>
          <t>m²</t>
        </is>
      </c>
      <c r="G343" s="3" t="inlineStr">
        <is>
          <t>Pisos</t>
        </is>
      </c>
      <c r="H343" s="3" t="inlineStr">
        <is>
          <t>estandar</t>
        </is>
      </c>
      <c r="I343" s="3" t="inlineStr">
        <is>
          <t>importado</t>
        </is>
      </c>
      <c r="J343" s="5" t="n">
        <v>1</v>
      </c>
      <c r="K343" s="6" t="n">
        <v>1540.39</v>
      </c>
      <c r="L343" s="6" t="n">
        <v>1241.03</v>
      </c>
      <c r="M343" s="6" t="n">
        <v>1839.74</v>
      </c>
      <c r="N343" s="3" t="inlineStr">
        <is>
          <t>Sí</t>
        </is>
      </c>
      <c r="O343" s="6">
        <f>IF(K343="","",IF(N343="Sí",ROUND(K343/1.18,2),K343))</f>
        <v/>
      </c>
      <c r="P343" s="3" t="inlineStr">
        <is>
          <t>2026-09-09</t>
        </is>
      </c>
      <c r="Q343" s="4" t="inlineStr">
        <is>
          <t>Ferretería Ochoa (8A)</t>
        </is>
      </c>
      <c r="U343" s="7" t="n">
        <v>120</v>
      </c>
      <c r="V343" s="7" t="inlineStr">
        <is>
          <t>120 x 40 cm</t>
        </is>
      </c>
      <c r="AE343" s="7" t="inlineStr">
        <is>
          <t>pared</t>
        </is>
      </c>
      <c r="AF343" s="4" t="inlineStr">
        <is>
          <t>material: porcelanato · ancho_cm: 40 · piezas_m2: 2.08</t>
        </is>
      </c>
    </row>
    <row r="344">
      <c r="A344" s="3" t="inlineStr">
        <is>
          <t>MAT-08-122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pared, 120 x 45 cm</t>
        </is>
      </c>
      <c r="E344" s="4" t="inlineStr"/>
      <c r="F344" s="3" t="inlineStr">
        <is>
          <t>m²</t>
        </is>
      </c>
      <c r="G344" s="3" t="inlineStr">
        <is>
          <t>Pisos</t>
        </is>
      </c>
      <c r="H344" s="3" t="inlineStr">
        <is>
          <t>estandar</t>
        </is>
      </c>
      <c r="I344" s="3" t="inlineStr">
        <is>
          <t>importado</t>
        </is>
      </c>
      <c r="J344" s="5" t="n">
        <v>1</v>
      </c>
      <c r="K344" s="6" t="n">
        <v>2022.32</v>
      </c>
      <c r="L344" s="6" t="n">
        <v>1941.49</v>
      </c>
      <c r="M344" s="6" t="n">
        <v>2022.32</v>
      </c>
      <c r="N344" s="3" t="inlineStr">
        <is>
          <t>Sí</t>
        </is>
      </c>
      <c r="O344" s="6">
        <f>IF(K344="","",IF(N344="Sí",ROUND(K344/1.18,2),K344))</f>
        <v/>
      </c>
      <c r="P344" s="3" t="inlineStr">
        <is>
          <t>2026-09-10</t>
        </is>
      </c>
      <c r="Q344" s="4" t="inlineStr">
        <is>
          <t>CerArte</t>
        </is>
      </c>
      <c r="V344" s="7" t="inlineStr">
        <is>
          <t>120 x 45 cm</t>
        </is>
      </c>
      <c r="AE344" s="7" t="inlineStr">
        <is>
          <t>pared</t>
        </is>
      </c>
      <c r="AF344" s="4" t="inlineStr">
        <is>
          <t>material: porcelanato · acabado: mate</t>
        </is>
      </c>
    </row>
    <row r="345">
      <c r="A345" s="3" t="inlineStr">
        <is>
          <t>MAT-08-123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pared, 120 x 60 cm</t>
        </is>
      </c>
      <c r="E345" s="4" t="inlineStr"/>
      <c r="F345" s="3" t="inlineStr">
        <is>
          <t>m²</t>
        </is>
      </c>
      <c r="G345" s="3" t="inlineStr">
        <is>
          <t>Pisos</t>
        </is>
      </c>
      <c r="H345" s="3" t="inlineStr">
        <is>
          <t>estandar</t>
        </is>
      </c>
      <c r="I345" s="3" t="inlineStr">
        <is>
          <t>importado</t>
        </is>
      </c>
      <c r="J345" s="5" t="n">
        <v>3</v>
      </c>
      <c r="K345" s="6" t="n">
        <v>1811.22</v>
      </c>
      <c r="L345" s="6" t="n">
        <v>1176.22</v>
      </c>
      <c r="M345" s="6" t="n">
        <v>2700.1</v>
      </c>
      <c r="N345" s="3" t="inlineStr">
        <is>
          <t>Sí</t>
        </is>
      </c>
      <c r="O345" s="6">
        <f>IF(K345="","",IF(N345="Sí",ROUND(K345/1.18,2),K345))</f>
        <v/>
      </c>
      <c r="P345" s="3" t="inlineStr">
        <is>
          <t>2026-09-10</t>
        </is>
      </c>
      <c r="Q345" s="4" t="inlineStr">
        <is>
          <t>CerArte · Ferretería Ochoa (8A) · La Ibérica</t>
        </is>
      </c>
      <c r="U345" s="7" t="n">
        <v>120</v>
      </c>
      <c r="V345" s="7" t="inlineStr">
        <is>
          <t>120 x 60 cm</t>
        </is>
      </c>
      <c r="AE345" s="7" t="inlineStr">
        <is>
          <t>pared</t>
        </is>
      </c>
      <c r="AF345" s="4" t="inlineStr">
        <is>
          <t>material: porcelanato · ancho_cm: 60 · piezas_m2: 1.38 · espesor_mm: 9</t>
        </is>
      </c>
    </row>
    <row r="346">
      <c r="A346" s="3" t="inlineStr">
        <is>
          <t>MAT-08-124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pared, 15 x 15 cm</t>
        </is>
      </c>
      <c r="E346" s="4" t="inlineStr"/>
      <c r="F346" s="3" t="inlineStr">
        <is>
          <t>m²</t>
        </is>
      </c>
      <c r="G346" s="3" t="inlineStr">
        <is>
          <t>Pisos</t>
        </is>
      </c>
      <c r="H346" s="3" t="inlineStr">
        <is>
          <t>estandar</t>
        </is>
      </c>
      <c r="I346" s="3" t="inlineStr">
        <is>
          <t>importado</t>
        </is>
      </c>
      <c r="J346" s="5" t="n">
        <v>3</v>
      </c>
      <c r="K346" s="6" t="n">
        <v>2988.15</v>
      </c>
      <c r="L346" s="6" t="n">
        <v>516.5599999999999</v>
      </c>
      <c r="M346" s="6" t="n">
        <v>3759.89</v>
      </c>
      <c r="N346" s="3" t="inlineStr">
        <is>
          <t>Sí</t>
        </is>
      </c>
      <c r="O346" s="6">
        <f>IF(K346="","",IF(N346="Sí",ROUND(K346/1.18,2),K346))</f>
        <v/>
      </c>
      <c r="P346" s="3" t="inlineStr">
        <is>
          <t>2026-09-10</t>
        </is>
      </c>
      <c r="Q346" s="4" t="inlineStr">
        <is>
          <t>CerArte · Ferretería Ochoa (8A) · La Ibérica</t>
        </is>
      </c>
      <c r="U346" s="7" t="n">
        <v>15</v>
      </c>
      <c r="V346" s="7" t="inlineStr">
        <is>
          <t>15 x 15 cm</t>
        </is>
      </c>
      <c r="AE346" s="7" t="inlineStr">
        <is>
          <t>pared</t>
        </is>
      </c>
      <c r="AF346" s="4" t="inlineStr">
        <is>
          <t>material: porcelanato · ancho_cm: 15 · piezas_m2: 44 · acabado: mate · espesor_mm: 8</t>
        </is>
      </c>
    </row>
    <row r="347">
      <c r="A347" s="3" t="inlineStr">
        <is>
          <t>MAT-08-125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pared, 20 x 20 cm</t>
        </is>
      </c>
      <c r="E347" s="4" t="inlineStr"/>
      <c r="F347" s="3" t="inlineStr">
        <is>
          <t>m²</t>
        </is>
      </c>
      <c r="G347" s="3" t="inlineStr">
        <is>
          <t>Pisos</t>
        </is>
      </c>
      <c r="H347" s="3" t="inlineStr">
        <is>
          <t>estandar</t>
        </is>
      </c>
      <c r="I347" s="3" t="inlineStr">
        <is>
          <t>importado</t>
        </is>
      </c>
      <c r="J347" s="5" t="n">
        <v>1</v>
      </c>
      <c r="K347" s="6" t="n">
        <v>2678.99</v>
      </c>
      <c r="L347" s="6" t="n">
        <v>1695.74</v>
      </c>
      <c r="M347" s="6" t="n">
        <v>3255.41</v>
      </c>
      <c r="N347" s="3" t="inlineStr">
        <is>
          <t>Sí</t>
        </is>
      </c>
      <c r="O347" s="6">
        <f>IF(K347="","",IF(N347="Sí",ROUND(K347/1.18,2),K347))</f>
        <v/>
      </c>
      <c r="P347" s="3" t="inlineStr">
        <is>
          <t>2026-09-10</t>
        </is>
      </c>
      <c r="Q347" s="4" t="inlineStr">
        <is>
          <t>CerArte</t>
        </is>
      </c>
      <c r="V347" s="7" t="inlineStr">
        <is>
          <t>20 x 20 cm</t>
        </is>
      </c>
      <c r="AE347" s="7" t="inlineStr">
        <is>
          <t>pared</t>
        </is>
      </c>
      <c r="AF347" s="4" t="inlineStr">
        <is>
          <t>material: porcelanato · acabado: mate</t>
        </is>
      </c>
    </row>
    <row r="348">
      <c r="A348" s="3" t="inlineStr">
        <is>
          <t>MAT-08-126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pared, 25 x 14 cm</t>
        </is>
      </c>
      <c r="E348" s="4" t="inlineStr"/>
      <c r="F348" s="3" t="inlineStr">
        <is>
          <t>m²</t>
        </is>
      </c>
      <c r="G348" s="3" t="inlineStr">
        <is>
          <t>Pisos</t>
        </is>
      </c>
      <c r="H348" s="3" t="inlineStr">
        <is>
          <t>estandar</t>
        </is>
      </c>
      <c r="I348" s="3" t="inlineStr">
        <is>
          <t>importado</t>
        </is>
      </c>
      <c r="J348" s="5" t="n">
        <v>1</v>
      </c>
      <c r="K348" s="6" t="n">
        <v>3926.57</v>
      </c>
      <c r="L348" s="6" t="n">
        <v>3926.57</v>
      </c>
      <c r="M348" s="6" t="n">
        <v>3926.57</v>
      </c>
      <c r="N348" s="3" t="inlineStr">
        <is>
          <t>Sí</t>
        </is>
      </c>
      <c r="O348" s="6">
        <f>IF(K348="","",IF(N348="Sí",ROUND(K348/1.18,2),K348))</f>
        <v/>
      </c>
      <c r="P348" s="3" t="inlineStr">
        <is>
          <t>2026-09-10</t>
        </is>
      </c>
      <c r="Q348" s="4" t="inlineStr">
        <is>
          <t>La Ibérica</t>
        </is>
      </c>
      <c r="V348" s="7" t="inlineStr">
        <is>
          <t>25 x 14 cm</t>
        </is>
      </c>
      <c r="AE348" s="7" t="inlineStr">
        <is>
          <t>pared</t>
        </is>
      </c>
      <c r="AF348" s="4" t="inlineStr">
        <is>
          <t>material: porcelanato</t>
        </is>
      </c>
    </row>
    <row r="349">
      <c r="A349" s="3" t="inlineStr">
        <is>
          <t>MAT-08-127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pared, 25 x 22 cm</t>
        </is>
      </c>
      <c r="E349" s="4" t="inlineStr"/>
      <c r="F349" s="3" t="inlineStr">
        <is>
          <t>m²</t>
        </is>
      </c>
      <c r="G349" s="3" t="inlineStr">
        <is>
          <t>Pisos</t>
        </is>
      </c>
      <c r="H349" s="3" t="inlineStr">
        <is>
          <t>estandar</t>
        </is>
      </c>
      <c r="I349" s="3" t="inlineStr">
        <is>
          <t>importado</t>
        </is>
      </c>
      <c r="J349" s="5" t="n">
        <v>1</v>
      </c>
      <c r="K349" s="6" t="n">
        <v>2990.03</v>
      </c>
      <c r="L349" s="6" t="n">
        <v>2990.03</v>
      </c>
      <c r="M349" s="6" t="n">
        <v>2990.03</v>
      </c>
      <c r="N349" s="3" t="inlineStr">
        <is>
          <t>Sí</t>
        </is>
      </c>
      <c r="O349" s="6">
        <f>IF(K349="","",IF(N349="Sí",ROUND(K349/1.18,2),K349))</f>
        <v/>
      </c>
      <c r="P349" s="3" t="inlineStr">
        <is>
          <t>2026-09-10</t>
        </is>
      </c>
      <c r="Q349" s="4" t="inlineStr">
        <is>
          <t>La Ibérica</t>
        </is>
      </c>
      <c r="V349" s="7" t="inlineStr">
        <is>
          <t>25 x 22 cm</t>
        </is>
      </c>
      <c r="AE349" s="7" t="inlineStr">
        <is>
          <t>pared</t>
        </is>
      </c>
      <c r="AF349" s="4" t="inlineStr">
        <is>
          <t>material: porcelanato</t>
        </is>
      </c>
    </row>
    <row r="350">
      <c r="A350" s="3" t="inlineStr">
        <is>
          <t>MAT-08-128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pared, 25 x 23 cm</t>
        </is>
      </c>
      <c r="E350" s="4" t="inlineStr"/>
      <c r="F350" s="3" t="inlineStr">
        <is>
          <t>m²</t>
        </is>
      </c>
      <c r="G350" s="3" t="inlineStr">
        <is>
          <t>Pisos</t>
        </is>
      </c>
      <c r="H350" s="3" t="inlineStr">
        <is>
          <t>estandar</t>
        </is>
      </c>
      <c r="I350" s="3" t="inlineStr">
        <is>
          <t>importado</t>
        </is>
      </c>
      <c r="J350" s="5" t="n">
        <v>1</v>
      </c>
      <c r="K350" s="6" t="n">
        <v>4291.77</v>
      </c>
      <c r="L350" s="6" t="n">
        <v>4291.77</v>
      </c>
      <c r="M350" s="6" t="n">
        <v>4291.77</v>
      </c>
      <c r="N350" s="3" t="inlineStr">
        <is>
          <t>Sí</t>
        </is>
      </c>
      <c r="O350" s="6">
        <f>IF(K350="","",IF(N350="Sí",ROUND(K350/1.18,2),K350))</f>
        <v/>
      </c>
      <c r="P350" s="3" t="inlineStr">
        <is>
          <t>2026-09-10</t>
        </is>
      </c>
      <c r="Q350" s="4" t="inlineStr">
        <is>
          <t>CerArte</t>
        </is>
      </c>
      <c r="V350" s="7" t="inlineStr">
        <is>
          <t>25 x 23 cm</t>
        </is>
      </c>
      <c r="AE350" s="7" t="inlineStr">
        <is>
          <t>pared</t>
        </is>
      </c>
      <c r="AF350" s="4" t="inlineStr">
        <is>
          <t>material: porcelanato · acabado: mate</t>
        </is>
      </c>
    </row>
    <row r="351">
      <c r="A351" s="3" t="inlineStr">
        <is>
          <t>MAT-08-129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pared, 30 x 30 cm</t>
        </is>
      </c>
      <c r="E351" s="4" t="inlineStr"/>
      <c r="F351" s="3" t="inlineStr">
        <is>
          <t>m²</t>
        </is>
      </c>
      <c r="G351" s="3" t="inlineStr">
        <is>
          <t>Pisos</t>
        </is>
      </c>
      <c r="H351" s="3" t="inlineStr">
        <is>
          <t>estandar</t>
        </is>
      </c>
      <c r="I351" s="3" t="inlineStr">
        <is>
          <t>importado</t>
        </is>
      </c>
      <c r="J351" s="5" t="n">
        <v>1</v>
      </c>
      <c r="K351" s="6" t="n">
        <v>2169.36</v>
      </c>
      <c r="L351" s="6" t="n">
        <v>2169.36</v>
      </c>
      <c r="M351" s="6" t="n">
        <v>2169.36</v>
      </c>
      <c r="N351" s="3" t="inlineStr">
        <is>
          <t>Sí</t>
        </is>
      </c>
      <c r="O351" s="6">
        <f>IF(K351="","",IF(N351="Sí",ROUND(K351/1.18,2),K351))</f>
        <v/>
      </c>
      <c r="P351" s="3" t="inlineStr">
        <is>
          <t>2026-09-10</t>
        </is>
      </c>
      <c r="Q351" s="4" t="inlineStr">
        <is>
          <t>CerArte</t>
        </is>
      </c>
      <c r="V351" s="7" t="inlineStr">
        <is>
          <t>30 x 30 cm</t>
        </is>
      </c>
      <c r="AE351" s="7" t="inlineStr">
        <is>
          <t>pared</t>
        </is>
      </c>
      <c r="AF351" s="4" t="inlineStr">
        <is>
          <t>material: porcelanato · acabado: mate</t>
        </is>
      </c>
    </row>
    <row r="352">
      <c r="A352" s="3" t="inlineStr">
        <is>
          <t>MAT-08-130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pared, 300 x 150 cm</t>
        </is>
      </c>
      <c r="E352" s="4" t="inlineStr"/>
      <c r="F352" s="3" t="inlineStr">
        <is>
          <t>m²</t>
        </is>
      </c>
      <c r="G352" s="3" t="inlineStr">
        <is>
          <t>Pisos</t>
        </is>
      </c>
      <c r="H352" s="3" t="inlineStr">
        <is>
          <t>estandar</t>
        </is>
      </c>
      <c r="I352" s="3" t="inlineStr">
        <is>
          <t>importado</t>
        </is>
      </c>
      <c r="J352" s="5" t="n">
        <v>1</v>
      </c>
      <c r="K352" s="6" t="n">
        <v>8184.41</v>
      </c>
      <c r="L352" s="6" t="n">
        <v>8184.41</v>
      </c>
      <c r="M352" s="6" t="n">
        <v>8184.41</v>
      </c>
      <c r="N352" s="3" t="inlineStr">
        <is>
          <t>Sí</t>
        </is>
      </c>
      <c r="O352" s="6">
        <f>IF(K352="","",IF(N352="Sí",ROUND(K352/1.18,2),K352))</f>
        <v/>
      </c>
      <c r="P352" s="3" t="inlineStr">
        <is>
          <t>2026-09-10</t>
        </is>
      </c>
      <c r="Q352" s="4" t="inlineStr">
        <is>
          <t>CerArte</t>
        </is>
      </c>
      <c r="V352" s="7" t="inlineStr">
        <is>
          <t>300 x 150 cm</t>
        </is>
      </c>
      <c r="AE352" s="7" t="inlineStr">
        <is>
          <t>pared</t>
        </is>
      </c>
      <c r="AF352" s="4" t="inlineStr">
        <is>
          <t>material: porcelanato</t>
        </is>
      </c>
    </row>
    <row r="353">
      <c r="A353" s="3" t="inlineStr">
        <is>
          <t>MAT-08-131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pared, 50 x 17 cm</t>
        </is>
      </c>
      <c r="E353" s="4" t="inlineStr"/>
      <c r="F353" s="3" t="inlineStr">
        <is>
          <t>m²</t>
        </is>
      </c>
      <c r="G353" s="3" t="inlineStr">
        <is>
          <t>Pisos</t>
        </is>
      </c>
      <c r="H353" s="3" t="inlineStr">
        <is>
          <t>estandar</t>
        </is>
      </c>
      <c r="I353" s="3" t="inlineStr">
        <is>
          <t>importado</t>
        </is>
      </c>
      <c r="J353" s="5" t="n">
        <v>1</v>
      </c>
      <c r="K353" s="6" t="n">
        <v>1873.88</v>
      </c>
      <c r="L353" s="6" t="n">
        <v>1550.47</v>
      </c>
      <c r="M353" s="6" t="n">
        <v>2197.29</v>
      </c>
      <c r="N353" s="3" t="inlineStr">
        <is>
          <t>Sí</t>
        </is>
      </c>
      <c r="O353" s="6">
        <f>IF(K353="","",IF(N353="Sí",ROUND(K353/1.18,2),K353))</f>
        <v/>
      </c>
      <c r="P353" s="3" t="inlineStr">
        <is>
          <t>2026-09-09</t>
        </is>
      </c>
      <c r="Q353" s="4" t="inlineStr">
        <is>
          <t>Ferretería Ochoa (8A)</t>
        </is>
      </c>
      <c r="U353" s="7" t="n">
        <v>50</v>
      </c>
      <c r="V353" s="7" t="inlineStr">
        <is>
          <t>50 x 17 cm</t>
        </is>
      </c>
      <c r="AE353" s="7" t="inlineStr">
        <is>
          <t>pared</t>
        </is>
      </c>
      <c r="AF353" s="4" t="inlineStr">
        <is>
          <t>material: porcelanato · ancho_cm: 17 · piezas_m2: 11.3 · acabado: mate · espesor_mm: 12</t>
        </is>
      </c>
    </row>
    <row r="354">
      <c r="A354" s="3" t="inlineStr">
        <is>
          <t>MAT-08-132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55 x 33 cm</t>
        </is>
      </c>
      <c r="E354" s="4" t="inlineStr"/>
      <c r="F354" s="3" t="inlineStr">
        <is>
          <t>m²</t>
        </is>
      </c>
      <c r="G354" s="3" t="inlineStr">
        <is>
          <t>Pisos</t>
        </is>
      </c>
      <c r="H354" s="3" t="inlineStr">
        <is>
          <t>estandar</t>
        </is>
      </c>
      <c r="I354" s="3" t="inlineStr">
        <is>
          <t>importado</t>
        </is>
      </c>
      <c r="J354" s="5" t="n">
        <v>1</v>
      </c>
      <c r="K354" s="6" t="n">
        <v>839.97</v>
      </c>
      <c r="L354" s="6" t="n">
        <v>671.4</v>
      </c>
      <c r="M354" s="6" t="n">
        <v>1073.46</v>
      </c>
      <c r="N354" s="3" t="inlineStr">
        <is>
          <t>Sí</t>
        </is>
      </c>
      <c r="O354" s="6">
        <f>IF(K354="","",IF(N354="Sí",ROUND(K354/1.18,2),K354))</f>
        <v/>
      </c>
      <c r="P354" s="3" t="inlineStr">
        <is>
          <t>2026-09-09</t>
        </is>
      </c>
      <c r="Q354" s="4" t="inlineStr">
        <is>
          <t>Ferretería Ochoa (8A)</t>
        </is>
      </c>
      <c r="U354" s="7" t="n">
        <v>55</v>
      </c>
      <c r="V354" s="7" t="inlineStr">
        <is>
          <t>55 x 33 cm</t>
        </is>
      </c>
      <c r="AE354" s="7" t="inlineStr">
        <is>
          <t>pared</t>
        </is>
      </c>
      <c r="AF354" s="4" t="inlineStr">
        <is>
          <t>material: porcelanato · ancho_cm: 33 · acabado: mate · espesor_mm: 9</t>
        </is>
      </c>
    </row>
    <row r="355">
      <c r="A355" s="3" t="inlineStr">
        <is>
          <t>MAT-08-133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60 x 30 cm</t>
        </is>
      </c>
      <c r="E355" s="4" t="inlineStr"/>
      <c r="F355" s="3" t="inlineStr">
        <is>
          <t>m²</t>
        </is>
      </c>
      <c r="G355" s="3" t="inlineStr">
        <is>
          <t>Pisos</t>
        </is>
      </c>
      <c r="H355" s="3" t="inlineStr">
        <is>
          <t>estandar</t>
        </is>
      </c>
      <c r="I355" s="3" t="inlineStr">
        <is>
          <t>importado</t>
        </is>
      </c>
      <c r="J355" s="5" t="n">
        <v>2</v>
      </c>
      <c r="K355" s="6" t="n">
        <v>1576.66</v>
      </c>
      <c r="L355" s="6" t="n">
        <v>1034.85</v>
      </c>
      <c r="M355" s="6" t="n">
        <v>1686.9</v>
      </c>
      <c r="N355" s="3" t="inlineStr">
        <is>
          <t>Sí</t>
        </is>
      </c>
      <c r="O355" s="6">
        <f>IF(K355="","",IF(N355="Sí",ROUND(K355/1.18,2),K355))</f>
        <v/>
      </c>
      <c r="P355" s="3" t="inlineStr">
        <is>
          <t>2026-09-10</t>
        </is>
      </c>
      <c r="Q355" s="4" t="inlineStr">
        <is>
          <t>CerArte · Ferretería Ochoa (8A)</t>
        </is>
      </c>
      <c r="U355" s="7" t="n">
        <v>60</v>
      </c>
      <c r="V355" s="7" t="inlineStr">
        <is>
          <t>60 x 30 cm</t>
        </is>
      </c>
      <c r="AE355" s="7" t="inlineStr">
        <is>
          <t>pared</t>
        </is>
      </c>
      <c r="AF355" s="4" t="inlineStr">
        <is>
          <t>material: porcelanato · ancho_cm: 30 · piezas_m2: 5.55 · acabado: mate · espesor_mm: 9</t>
        </is>
      </c>
    </row>
    <row r="356">
      <c r="A356" s="3" t="inlineStr">
        <is>
          <t>MAT-08-134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60 x 60 cm</t>
        </is>
      </c>
      <c r="E356" s="4" t="inlineStr"/>
      <c r="F356" s="3" t="inlineStr">
        <is>
          <t>m²</t>
        </is>
      </c>
      <c r="G356" s="3" t="inlineStr">
        <is>
          <t>Pisos</t>
        </is>
      </c>
      <c r="H356" s="3" t="inlineStr">
        <is>
          <t>estandar</t>
        </is>
      </c>
      <c r="I356" s="3" t="inlineStr">
        <is>
          <t>importado</t>
        </is>
      </c>
      <c r="J356" s="5" t="n">
        <v>1</v>
      </c>
      <c r="K356" s="6" t="n">
        <v>1727.89</v>
      </c>
      <c r="L356" s="6" t="n">
        <v>1727.89</v>
      </c>
      <c r="M356" s="6" t="n">
        <v>1727.89</v>
      </c>
      <c r="N356" s="3" t="inlineStr">
        <is>
          <t>Sí</t>
        </is>
      </c>
      <c r="O356" s="6">
        <f>IF(K356="","",IF(N356="Sí",ROUND(K356/1.18,2),K356))</f>
        <v/>
      </c>
      <c r="P356" s="3" t="inlineStr">
        <is>
          <t>2026-09-10</t>
        </is>
      </c>
      <c r="Q356" s="4" t="inlineStr">
        <is>
          <t>CerArte</t>
        </is>
      </c>
      <c r="V356" s="7" t="inlineStr">
        <is>
          <t>60 x 60 cm</t>
        </is>
      </c>
      <c r="AE356" s="7" t="inlineStr">
        <is>
          <t>pared</t>
        </is>
      </c>
      <c r="AF356" s="4" t="inlineStr">
        <is>
          <t>material: porcelanato</t>
        </is>
      </c>
    </row>
    <row r="357">
      <c r="A357" s="3" t="inlineStr">
        <is>
          <t>MAT-08-135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75 x 25 cm</t>
        </is>
      </c>
      <c r="E357" s="4" t="inlineStr"/>
      <c r="F357" s="3" t="inlineStr">
        <is>
          <t>m²</t>
        </is>
      </c>
      <c r="G357" s="3" t="inlineStr">
        <is>
          <t>Pisos</t>
        </is>
      </c>
      <c r="H357" s="3" t="inlineStr">
        <is>
          <t>estandar</t>
        </is>
      </c>
      <c r="I357" s="3" t="inlineStr">
        <is>
          <t>importado</t>
        </is>
      </c>
      <c r="J357" s="5" t="n">
        <v>1</v>
      </c>
      <c r="K357" s="6" t="n">
        <v>796.67</v>
      </c>
      <c r="L357" s="6" t="n">
        <v>796.67</v>
      </c>
      <c r="M357" s="6" t="n">
        <v>1544.37</v>
      </c>
      <c r="N357" s="3" t="inlineStr">
        <is>
          <t>Sí</t>
        </is>
      </c>
      <c r="O357" s="6">
        <f>IF(K357="","",IF(N357="Sí",ROUND(K357/1.18,2),K357))</f>
        <v/>
      </c>
      <c r="P357" s="3" t="inlineStr">
        <is>
          <t>2026-09-09</t>
        </is>
      </c>
      <c r="Q357" s="4" t="inlineStr">
        <is>
          <t>Ferretería Ochoa (8A)</t>
        </is>
      </c>
      <c r="U357" s="7" t="n">
        <v>75</v>
      </c>
      <c r="V357" s="7" t="inlineStr">
        <is>
          <t>75 x 25 cm</t>
        </is>
      </c>
      <c r="AE357" s="7" t="inlineStr">
        <is>
          <t>pared</t>
        </is>
      </c>
      <c r="AF357" s="4" t="inlineStr">
        <is>
          <t>material: porcelanato · ancho_cm: 25 · acabado: mate · espesor_mm: 9</t>
        </is>
      </c>
    </row>
    <row r="358">
      <c r="A358" s="3" t="inlineStr">
        <is>
          <t>MAT-08-136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80 x 80 cm</t>
        </is>
      </c>
      <c r="E358" s="4" t="inlineStr"/>
      <c r="F358" s="3" t="inlineStr">
        <is>
          <t>m²</t>
        </is>
      </c>
      <c r="G358" s="3" t="inlineStr">
        <is>
          <t>Pisos</t>
        </is>
      </c>
      <c r="H358" s="3" t="inlineStr">
        <is>
          <t>estandar</t>
        </is>
      </c>
      <c r="I358" s="3" t="inlineStr">
        <is>
          <t>importado</t>
        </is>
      </c>
      <c r="J358" s="5" t="n">
        <v>1</v>
      </c>
      <c r="K358" s="6" t="n">
        <v>2789.99</v>
      </c>
      <c r="L358" s="6" t="n">
        <v>2789.99</v>
      </c>
      <c r="M358" s="6" t="n">
        <v>2789.99</v>
      </c>
      <c r="N358" s="3" t="inlineStr">
        <is>
          <t>Sí</t>
        </is>
      </c>
      <c r="O358" s="6">
        <f>IF(K358="","",IF(N358="Sí",ROUND(K358/1.18,2),K358))</f>
        <v/>
      </c>
      <c r="P358" s="3" t="inlineStr">
        <is>
          <t>2026-09-10</t>
        </is>
      </c>
      <c r="Q358" s="4" t="inlineStr">
        <is>
          <t>La Ibérica</t>
        </is>
      </c>
      <c r="V358" s="7" t="inlineStr">
        <is>
          <t>80 x 80 cm</t>
        </is>
      </c>
      <c r="AE358" s="7" t="inlineStr">
        <is>
          <t>pared</t>
        </is>
      </c>
      <c r="AF358" s="4" t="inlineStr">
        <is>
          <t>material: porcelanato</t>
        </is>
      </c>
    </row>
    <row r="359">
      <c r="A359" s="3" t="inlineStr">
        <is>
          <t>MAT-08-137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90 x 30 cm</t>
        </is>
      </c>
      <c r="E359" s="4" t="inlineStr"/>
      <c r="F359" s="3" t="inlineStr">
        <is>
          <t>m²</t>
        </is>
      </c>
      <c r="G359" s="3" t="inlineStr">
        <is>
          <t>Pisos</t>
        </is>
      </c>
      <c r="H359" s="3" t="inlineStr">
        <is>
          <t>estandar</t>
        </is>
      </c>
      <c r="I359" s="3" t="inlineStr">
        <is>
          <t>importado</t>
        </is>
      </c>
      <c r="J359" s="5" t="n">
        <v>1</v>
      </c>
      <c r="K359" s="6" t="n">
        <v>1531.25</v>
      </c>
      <c r="L359" s="6" t="n">
        <v>1531.25</v>
      </c>
      <c r="M359" s="6" t="n">
        <v>1531.25</v>
      </c>
      <c r="N359" s="3" t="inlineStr">
        <is>
          <t>Sí</t>
        </is>
      </c>
      <c r="O359" s="6">
        <f>IF(K359="","",IF(N359="Sí",ROUND(K359/1.18,2),K359))</f>
        <v/>
      </c>
      <c r="P359" s="3" t="inlineStr">
        <is>
          <t>2026-09-09</t>
        </is>
      </c>
      <c r="Q359" s="4" t="inlineStr">
        <is>
          <t>Ferretería Ochoa (8A)</t>
        </is>
      </c>
      <c r="U359" s="7" t="n">
        <v>90</v>
      </c>
      <c r="V359" s="7" t="inlineStr">
        <is>
          <t>90 x 30 cm</t>
        </is>
      </c>
      <c r="AE359" s="7" t="inlineStr">
        <is>
          <t>pared</t>
        </is>
      </c>
      <c r="AF359" s="4" t="inlineStr">
        <is>
          <t>material: porcelanato · ancho_cm: 30 · piezas_m2: 3.7 · acabado: mate · espesor_mm: 9</t>
        </is>
      </c>
    </row>
    <row r="360">
      <c r="A360" s="3" t="inlineStr">
        <is>
          <t>MAT-08-138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90 x 45 cm</t>
        </is>
      </c>
      <c r="E360" s="4" t="inlineStr"/>
      <c r="F360" s="3" t="inlineStr">
        <is>
          <t>m²</t>
        </is>
      </c>
      <c r="G360" s="3" t="inlineStr">
        <is>
          <t>Pisos</t>
        </is>
      </c>
      <c r="H360" s="3" t="inlineStr">
        <is>
          <t>estandar</t>
        </is>
      </c>
      <c r="I360" s="3" t="inlineStr">
        <is>
          <t>importado</t>
        </is>
      </c>
      <c r="J360" s="5" t="n">
        <v>1</v>
      </c>
      <c r="K360" s="6" t="n">
        <v>805</v>
      </c>
      <c r="L360" s="6" t="n">
        <v>805</v>
      </c>
      <c r="M360" s="6" t="n">
        <v>805</v>
      </c>
      <c r="N360" s="3" t="inlineStr">
        <is>
          <t>Sí</t>
        </is>
      </c>
      <c r="O360" s="6">
        <f>IF(K360="","",IF(N360="Sí",ROUND(K360/1.18,2),K360))</f>
        <v/>
      </c>
      <c r="P360" s="3" t="inlineStr">
        <is>
          <t>2026-09-10</t>
        </is>
      </c>
      <c r="Q360" s="4" t="inlineStr">
        <is>
          <t>CerArte</t>
        </is>
      </c>
      <c r="V360" s="7" t="inlineStr">
        <is>
          <t>90 x 45 cm</t>
        </is>
      </c>
      <c r="AE360" s="7" t="inlineStr">
        <is>
          <t>pared</t>
        </is>
      </c>
      <c r="AF360" s="4" t="inlineStr">
        <is>
          <t>material: porcelanato · acabado: mate</t>
        </is>
      </c>
    </row>
    <row r="361">
      <c r="A361" s="3" t="inlineStr">
        <is>
          <t>MAT-08-139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piso, 100 x 100 cm</t>
        </is>
      </c>
      <c r="E361" s="4" t="inlineStr"/>
      <c r="F361" s="3" t="inlineStr">
        <is>
          <t>m²</t>
        </is>
      </c>
      <c r="G361" s="3" t="inlineStr">
        <is>
          <t>Pisos</t>
        </is>
      </c>
      <c r="H361" s="3" t="inlineStr">
        <is>
          <t>estandar</t>
        </is>
      </c>
      <c r="I361" s="3" t="inlineStr">
        <is>
          <t>importado</t>
        </is>
      </c>
      <c r="J361" s="5" t="n">
        <v>1</v>
      </c>
      <c r="K361" s="6" t="n">
        <v>2001.81</v>
      </c>
      <c r="L361" s="6" t="n">
        <v>1848.66</v>
      </c>
      <c r="M361" s="6" t="n">
        <v>2001.81</v>
      </c>
      <c r="N361" s="3" t="inlineStr">
        <is>
          <t>Sí</t>
        </is>
      </c>
      <c r="O361" s="6">
        <f>IF(K361="","",IF(N361="Sí",ROUND(K361/1.18,2),K361))</f>
        <v/>
      </c>
      <c r="P361" s="3" t="inlineStr">
        <is>
          <t>2026-09-10</t>
        </is>
      </c>
      <c r="Q361" s="4" t="inlineStr">
        <is>
          <t>CerArte</t>
        </is>
      </c>
      <c r="V361" s="7" t="inlineStr">
        <is>
          <t>100 x 100 cm</t>
        </is>
      </c>
      <c r="AE361" s="7" t="inlineStr">
        <is>
          <t>piso</t>
        </is>
      </c>
      <c r="AF361" s="4" t="inlineStr">
        <is>
          <t>material: porcelanato · acabado: mate</t>
        </is>
      </c>
    </row>
    <row r="362">
      <c r="A362" s="3" t="inlineStr">
        <is>
          <t>MAT-08-140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piso, 100 x 25 cm</t>
        </is>
      </c>
      <c r="E362" s="4" t="inlineStr"/>
      <c r="F362" s="3" t="inlineStr">
        <is>
          <t>m²</t>
        </is>
      </c>
      <c r="G362" s="3" t="inlineStr">
        <is>
          <t>Pisos</t>
        </is>
      </c>
      <c r="H362" s="3" t="inlineStr">
        <is>
          <t>estandar</t>
        </is>
      </c>
      <c r="I362" s="3" t="inlineStr">
        <is>
          <t>importado</t>
        </is>
      </c>
      <c r="J362" s="5" t="n">
        <v>1</v>
      </c>
      <c r="K362" s="6" t="n">
        <v>1269.08</v>
      </c>
      <c r="L362" s="6" t="n">
        <v>1243.64</v>
      </c>
      <c r="M362" s="6" t="n">
        <v>1294.52</v>
      </c>
      <c r="N362" s="3" t="inlineStr">
        <is>
          <t>Sí</t>
        </is>
      </c>
      <c r="O362" s="6">
        <f>IF(K362="","",IF(N362="Sí",ROUND(K362/1.18,2),K362))</f>
        <v/>
      </c>
      <c r="P362" s="3" t="inlineStr">
        <is>
          <t>2026-09-09</t>
        </is>
      </c>
      <c r="Q362" s="4" t="inlineStr">
        <is>
          <t>Ferretería Ochoa (8A)</t>
        </is>
      </c>
      <c r="U362" s="7" t="n">
        <v>100</v>
      </c>
      <c r="V362" s="7" t="inlineStr">
        <is>
          <t>100 x 25 cm</t>
        </is>
      </c>
      <c r="AE362" s="7" t="inlineStr">
        <is>
          <t>piso</t>
        </is>
      </c>
      <c r="AF362" s="4" t="inlineStr">
        <is>
          <t>material: porcelanato · ancho_cm: 25 · piezas_m2: 4 · acabado: mate</t>
        </is>
      </c>
    </row>
    <row r="363">
      <c r="A363" s="3" t="inlineStr">
        <is>
          <t>MAT-08-141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piso, 113 x 55 cm</t>
        </is>
      </c>
      <c r="E363" s="4" t="inlineStr"/>
      <c r="F363" s="3" t="inlineStr">
        <is>
          <t>m²</t>
        </is>
      </c>
      <c r="G363" s="3" t="inlineStr">
        <is>
          <t>Pisos</t>
        </is>
      </c>
      <c r="H363" s="3" t="inlineStr">
        <is>
          <t>estandar</t>
        </is>
      </c>
      <c r="I363" s="3" t="inlineStr">
        <is>
          <t>importado</t>
        </is>
      </c>
      <c r="J363" s="5" t="n">
        <v>1</v>
      </c>
      <c r="K363" s="6" t="n">
        <v>955.09</v>
      </c>
      <c r="L363" s="6" t="n">
        <v>955.09</v>
      </c>
      <c r="M363" s="6" t="n">
        <v>955.09</v>
      </c>
      <c r="N363" s="3" t="inlineStr">
        <is>
          <t>Sí</t>
        </is>
      </c>
      <c r="O363" s="6">
        <f>IF(K363="","",IF(N363="Sí",ROUND(K363/1.18,2),K363))</f>
        <v/>
      </c>
      <c r="P363" s="3" t="inlineStr">
        <is>
          <t>2026-09-09</t>
        </is>
      </c>
      <c r="Q363" s="4" t="inlineStr">
        <is>
          <t>Ferretería Ochoa (8A)</t>
        </is>
      </c>
      <c r="U363" s="7" t="n">
        <v>113</v>
      </c>
      <c r="V363" s="7" t="inlineStr">
        <is>
          <t>113 x 55 cm</t>
        </is>
      </c>
      <c r="AE363" s="7" t="inlineStr">
        <is>
          <t>piso</t>
        </is>
      </c>
      <c r="AF363" s="4" t="inlineStr">
        <is>
          <t>material: porcelanato · ancho_cm: 55 · piezas_m2: 1.58 · acabado: pulido · espesor_mm: 10</t>
        </is>
      </c>
    </row>
    <row r="364">
      <c r="A364" s="3" t="inlineStr">
        <is>
          <t>MAT-08-142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piso, 120 x 120 cm</t>
        </is>
      </c>
      <c r="E364" s="4" t="inlineStr"/>
      <c r="F364" s="3" t="inlineStr">
        <is>
          <t>m²</t>
        </is>
      </c>
      <c r="G364" s="3" t="inlineStr">
        <is>
          <t>Pisos</t>
        </is>
      </c>
      <c r="H364" s="3" t="inlineStr">
        <is>
          <t>estandar</t>
        </is>
      </c>
      <c r="I364" s="3" t="inlineStr">
        <is>
          <t>importado</t>
        </is>
      </c>
      <c r="J364" s="5" t="n">
        <v>1</v>
      </c>
      <c r="K364" s="6" t="n">
        <v>2956.72</v>
      </c>
      <c r="L364" s="6" t="n">
        <v>2956.67</v>
      </c>
      <c r="M364" s="6" t="n">
        <v>2956.77</v>
      </c>
      <c r="N364" s="3" t="inlineStr">
        <is>
          <t>Sí</t>
        </is>
      </c>
      <c r="O364" s="6">
        <f>IF(K364="","",IF(N364="Sí",ROUND(K364/1.18,2),K364))</f>
        <v/>
      </c>
      <c r="P364" s="3" t="inlineStr">
        <is>
          <t>2026-09-10</t>
        </is>
      </c>
      <c r="Q364" s="4" t="inlineStr">
        <is>
          <t>CerArte</t>
        </is>
      </c>
      <c r="V364" s="7" t="inlineStr">
        <is>
          <t>120 x 120 cm</t>
        </is>
      </c>
      <c r="AE364" s="7" t="inlineStr">
        <is>
          <t>piso</t>
        </is>
      </c>
      <c r="AF364" s="4" t="inlineStr">
        <is>
          <t>material: porcelanato · acabado: mate</t>
        </is>
      </c>
    </row>
    <row r="365">
      <c r="A365" s="3" t="inlineStr">
        <is>
          <t>MAT-08-143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piso, 120 x 15 cm</t>
        </is>
      </c>
      <c r="E365" s="4" t="inlineStr"/>
      <c r="F365" s="3" t="inlineStr">
        <is>
          <t>m²</t>
        </is>
      </c>
      <c r="G365" s="3" t="inlineStr">
        <is>
          <t>Pisos</t>
        </is>
      </c>
      <c r="H365" s="3" t="inlineStr">
        <is>
          <t>estandar</t>
        </is>
      </c>
      <c r="I365" s="3" t="inlineStr">
        <is>
          <t>importado</t>
        </is>
      </c>
      <c r="J365" s="5" t="n">
        <v>1</v>
      </c>
      <c r="K365" s="6" t="n">
        <v>3297.03</v>
      </c>
      <c r="L365" s="6" t="n">
        <v>2570.59</v>
      </c>
      <c r="M365" s="6" t="n">
        <v>3981.13</v>
      </c>
      <c r="N365" s="3" t="inlineStr">
        <is>
          <t>Sí</t>
        </is>
      </c>
      <c r="O365" s="6">
        <f>IF(K365="","",IF(N365="Sí",ROUND(K365/1.18,2),K365))</f>
        <v/>
      </c>
      <c r="P365" s="3" t="inlineStr">
        <is>
          <t>2026-09-09</t>
        </is>
      </c>
      <c r="Q365" s="4" t="inlineStr">
        <is>
          <t>Ferretería Ochoa (8A)</t>
        </is>
      </c>
      <c r="U365" s="7" t="n">
        <v>120</v>
      </c>
      <c r="V365" s="7" t="inlineStr">
        <is>
          <t>120 x 15 cm</t>
        </is>
      </c>
      <c r="AE365" s="7" t="inlineStr">
        <is>
          <t>piso</t>
        </is>
      </c>
      <c r="AF365" s="4" t="inlineStr">
        <is>
          <t>material: porcelanato · ancho_cm: 15</t>
        </is>
      </c>
    </row>
    <row r="366">
      <c r="A366" s="3" t="inlineStr">
        <is>
          <t>MAT-08-144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piso, 120 x 20 cm</t>
        </is>
      </c>
      <c r="E366" s="4" t="inlineStr"/>
      <c r="F366" s="3" t="inlineStr">
        <is>
          <t>m²</t>
        </is>
      </c>
      <c r="G366" s="3" t="inlineStr">
        <is>
          <t>Pisos</t>
        </is>
      </c>
      <c r="H366" s="3" t="inlineStr">
        <is>
          <t>estandar</t>
        </is>
      </c>
      <c r="I366" s="3" t="inlineStr">
        <is>
          <t>importado</t>
        </is>
      </c>
      <c r="J366" s="5" t="n">
        <v>2</v>
      </c>
      <c r="K366" s="6" t="n">
        <v>1510.06</v>
      </c>
      <c r="L366" s="6" t="n">
        <v>939.3099999999999</v>
      </c>
      <c r="M366" s="6" t="n">
        <v>2601.39</v>
      </c>
      <c r="N366" s="3" t="inlineStr">
        <is>
          <t>Sí</t>
        </is>
      </c>
      <c r="O366" s="6">
        <f>IF(K366="","",IF(N366="Sí",ROUND(K366/1.18,2),K366))</f>
        <v/>
      </c>
      <c r="P366" s="3" t="inlineStr">
        <is>
          <t>2026-09-10</t>
        </is>
      </c>
      <c r="Q366" s="4" t="inlineStr">
        <is>
          <t>CerArte · Ferretería Ochoa (8A)</t>
        </is>
      </c>
      <c r="U366" s="7" t="n">
        <v>120</v>
      </c>
      <c r="V366" s="7" t="inlineStr">
        <is>
          <t>120 x 20 cm</t>
        </is>
      </c>
      <c r="AE366" s="7" t="inlineStr">
        <is>
          <t>piso</t>
        </is>
      </c>
      <c r="AF366" s="4" t="inlineStr">
        <is>
          <t>material: porcelanato · ancho_cm: 20</t>
        </is>
      </c>
    </row>
    <row r="367">
      <c r="A367" s="3" t="inlineStr">
        <is>
          <t>MAT-08-145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piso, 120 x 23.3 cm</t>
        </is>
      </c>
      <c r="E367" s="4" t="inlineStr"/>
      <c r="F367" s="3" t="inlineStr">
        <is>
          <t>m²</t>
        </is>
      </c>
      <c r="G367" s="3" t="inlineStr">
        <is>
          <t>Pisos</t>
        </is>
      </c>
      <c r="H367" s="3" t="inlineStr">
        <is>
          <t>estandar</t>
        </is>
      </c>
      <c r="I367" s="3" t="inlineStr">
        <is>
          <t>importado</t>
        </is>
      </c>
      <c r="J367" s="5" t="n">
        <v>1</v>
      </c>
      <c r="K367" s="6" t="n">
        <v>1949.98</v>
      </c>
      <c r="L367" s="6" t="n">
        <v>1949.98</v>
      </c>
      <c r="M367" s="6" t="n">
        <v>1949.98</v>
      </c>
      <c r="N367" s="3" t="inlineStr">
        <is>
          <t>Sí</t>
        </is>
      </c>
      <c r="O367" s="6">
        <f>IF(K367="","",IF(N367="Sí",ROUND(K367/1.18,2),K367))</f>
        <v/>
      </c>
      <c r="P367" s="3" t="inlineStr">
        <is>
          <t>2026-09-10</t>
        </is>
      </c>
      <c r="Q367" s="4" t="inlineStr">
        <is>
          <t>La Ibérica</t>
        </is>
      </c>
      <c r="V367" s="7" t="inlineStr">
        <is>
          <t>120 x 23.3 cm</t>
        </is>
      </c>
      <c r="AE367" s="7" t="inlineStr">
        <is>
          <t>piso</t>
        </is>
      </c>
      <c r="AF367" s="4" t="inlineStr">
        <is>
          <t>material: porcelanato</t>
        </is>
      </c>
    </row>
    <row r="368">
      <c r="A368" s="3" t="inlineStr">
        <is>
          <t>MAT-08-146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piso, 120 x 23 cm</t>
        </is>
      </c>
      <c r="E368" s="4" t="inlineStr"/>
      <c r="F368" s="3" t="inlineStr">
        <is>
          <t>m²</t>
        </is>
      </c>
      <c r="G368" s="3" t="inlineStr">
        <is>
          <t>Pisos</t>
        </is>
      </c>
      <c r="H368" s="3" t="inlineStr">
        <is>
          <t>estandar</t>
        </is>
      </c>
      <c r="I368" s="3" t="inlineStr">
        <is>
          <t>importado</t>
        </is>
      </c>
      <c r="J368" s="5" t="n">
        <v>2</v>
      </c>
      <c r="K368" s="6" t="n">
        <v>1798</v>
      </c>
      <c r="L368" s="6" t="n">
        <v>1122.74</v>
      </c>
      <c r="M368" s="6" t="n">
        <v>1949.99</v>
      </c>
      <c r="N368" s="3" t="inlineStr">
        <is>
          <t>Sí</t>
        </is>
      </c>
      <c r="O368" s="6">
        <f>IF(K368="","",IF(N368="Sí",ROUND(K368/1.18,2),K368))</f>
        <v/>
      </c>
      <c r="P368" s="3" t="inlineStr">
        <is>
          <t>2026-09-10</t>
        </is>
      </c>
      <c r="Q368" s="4" t="inlineStr">
        <is>
          <t>Ferretería Ochoa (8A) · La Ibérica</t>
        </is>
      </c>
      <c r="U368" s="7" t="n">
        <v>120</v>
      </c>
      <c r="V368" s="7" t="inlineStr">
        <is>
          <t>120 x 23 cm</t>
        </is>
      </c>
      <c r="AE368" s="7" t="inlineStr">
        <is>
          <t>piso</t>
        </is>
      </c>
      <c r="AF368" s="4" t="inlineStr">
        <is>
          <t>material: porcelanato · ancho_cm: 23 · piezas_m2: 3.62</t>
        </is>
      </c>
    </row>
    <row r="369">
      <c r="A369" s="3" t="inlineStr">
        <is>
          <t>MAT-08-147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piso, 120 x 40 cm</t>
        </is>
      </c>
      <c r="E369" s="4" t="inlineStr"/>
      <c r="F369" s="3" t="inlineStr">
        <is>
          <t>m²</t>
        </is>
      </c>
      <c r="G369" s="3" t="inlineStr">
        <is>
          <t>Pisos</t>
        </is>
      </c>
      <c r="H369" s="3" t="inlineStr">
        <is>
          <t>estandar</t>
        </is>
      </c>
      <c r="I369" s="3" t="inlineStr">
        <is>
          <t>importado</t>
        </is>
      </c>
      <c r="J369" s="5" t="n">
        <v>1</v>
      </c>
      <c r="K369" s="6" t="n">
        <v>1753.98</v>
      </c>
      <c r="L369" s="6" t="n">
        <v>1516.36</v>
      </c>
      <c r="M369" s="6" t="n">
        <v>1991.6</v>
      </c>
      <c r="N369" s="3" t="inlineStr">
        <is>
          <t>Sí</t>
        </is>
      </c>
      <c r="O369" s="6">
        <f>IF(K369="","",IF(N369="Sí",ROUND(K369/1.18,2),K369))</f>
        <v/>
      </c>
      <c r="P369" s="3" t="inlineStr">
        <is>
          <t>2026-09-09</t>
        </is>
      </c>
      <c r="Q369" s="4" t="inlineStr">
        <is>
          <t>Ferretería Ochoa (8A)</t>
        </is>
      </c>
      <c r="U369" s="7" t="n">
        <v>120</v>
      </c>
      <c r="V369" s="7" t="inlineStr">
        <is>
          <t>120 x 40 cm</t>
        </is>
      </c>
      <c r="AE369" s="7" t="inlineStr">
        <is>
          <t>piso</t>
        </is>
      </c>
      <c r="AF369" s="4" t="inlineStr">
        <is>
          <t>material: porcelanato · ancho_cm: 40 · piezas_m2: 2.08</t>
        </is>
      </c>
    </row>
    <row r="370">
      <c r="A370" s="3" t="inlineStr">
        <is>
          <t>MAT-08-148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piso, 120 x 60 cm</t>
        </is>
      </c>
      <c r="E370" s="4" t="inlineStr"/>
      <c r="F370" s="3" t="inlineStr">
        <is>
          <t>m²</t>
        </is>
      </c>
      <c r="G370" s="3" t="inlineStr">
        <is>
          <t>Pisos</t>
        </is>
      </c>
      <c r="H370" s="3" t="inlineStr">
        <is>
          <t>estandar</t>
        </is>
      </c>
      <c r="I370" s="3" t="inlineStr">
        <is>
          <t>importado</t>
        </is>
      </c>
      <c r="J370" s="5" t="n">
        <v>3</v>
      </c>
      <c r="K370" s="6" t="n">
        <v>2249.99</v>
      </c>
      <c r="L370" s="6" t="n">
        <v>819.97</v>
      </c>
      <c r="M370" s="6" t="n">
        <v>3599.99</v>
      </c>
      <c r="N370" s="3" t="inlineStr">
        <is>
          <t>Sí</t>
        </is>
      </c>
      <c r="O370" s="6">
        <f>IF(K370="","",IF(N370="Sí",ROUND(K370/1.18,2),K370))</f>
        <v/>
      </c>
      <c r="P370" s="3" t="inlineStr">
        <is>
          <t>2026-09-10</t>
        </is>
      </c>
      <c r="Q370" s="4" t="inlineStr">
        <is>
          <t>CerArte · Ferretería Ochoa (8A) · La Ibérica</t>
        </is>
      </c>
      <c r="U370" s="7" t="n">
        <v>120</v>
      </c>
      <c r="V370" s="7" t="inlineStr">
        <is>
          <t>120 x 60 cm</t>
        </is>
      </c>
      <c r="AE370" s="7" t="inlineStr">
        <is>
          <t>piso</t>
        </is>
      </c>
      <c r="AF370" s="4" t="inlineStr">
        <is>
          <t>material: porcelanato · ancho_cm: 60 · piezas_m2: 1.38</t>
        </is>
      </c>
    </row>
    <row r="371">
      <c r="A371" s="3" t="inlineStr">
        <is>
          <t>MAT-08-149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piso, 160 x 80 cm</t>
        </is>
      </c>
      <c r="E371" s="4" t="inlineStr"/>
      <c r="F371" s="3" t="inlineStr">
        <is>
          <t>m²</t>
        </is>
      </c>
      <c r="G371" s="3" t="inlineStr">
        <is>
          <t>Pisos</t>
        </is>
      </c>
      <c r="H371" s="3" t="inlineStr">
        <is>
          <t>estandar</t>
        </is>
      </c>
      <c r="I371" s="3" t="inlineStr">
        <is>
          <t>importado</t>
        </is>
      </c>
      <c r="J371" s="5" t="n">
        <v>1</v>
      </c>
      <c r="K371" s="6" t="n">
        <v>2394.87</v>
      </c>
      <c r="L371" s="6" t="n">
        <v>2394.87</v>
      </c>
      <c r="M371" s="6" t="n">
        <v>2394.87</v>
      </c>
      <c r="N371" s="3" t="inlineStr">
        <is>
          <t>Sí</t>
        </is>
      </c>
      <c r="O371" s="6">
        <f>IF(K371="","",IF(N371="Sí",ROUND(K371/1.18,2),K371))</f>
        <v/>
      </c>
      <c r="P371" s="3" t="inlineStr">
        <is>
          <t>2026-09-10</t>
        </is>
      </c>
      <c r="Q371" s="4" t="inlineStr">
        <is>
          <t>CerArte</t>
        </is>
      </c>
      <c r="V371" s="7" t="inlineStr">
        <is>
          <t>160 x 80 cm</t>
        </is>
      </c>
      <c r="AE371" s="7" t="inlineStr">
        <is>
          <t>piso</t>
        </is>
      </c>
      <c r="AF371" s="4" t="inlineStr">
        <is>
          <t>material: porcelanato · acabado: mate</t>
        </is>
      </c>
    </row>
    <row r="372">
      <c r="A372" s="3" t="inlineStr">
        <is>
          <t>MAT-08-150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piso, 20 x 20 cm</t>
        </is>
      </c>
      <c r="E372" s="4" t="inlineStr"/>
      <c r="F372" s="3" t="inlineStr">
        <is>
          <t>m²</t>
        </is>
      </c>
      <c r="G372" s="3" t="inlineStr">
        <is>
          <t>Pisos</t>
        </is>
      </c>
      <c r="H372" s="3" t="inlineStr">
        <is>
          <t>estandar</t>
        </is>
      </c>
      <c r="I372" s="3" t="inlineStr">
        <is>
          <t>importado</t>
        </is>
      </c>
      <c r="J372" s="5" t="n">
        <v>1</v>
      </c>
      <c r="K372" s="6" t="n">
        <v>3368.11</v>
      </c>
      <c r="L372" s="6" t="n">
        <v>3368.11</v>
      </c>
      <c r="M372" s="6" t="n">
        <v>3368.11</v>
      </c>
      <c r="N372" s="3" t="inlineStr">
        <is>
          <t>Sí</t>
        </is>
      </c>
      <c r="O372" s="6">
        <f>IF(K372="","",IF(N372="Sí",ROUND(K372/1.18,2),K372))</f>
        <v/>
      </c>
      <c r="P372" s="3" t="inlineStr">
        <is>
          <t>2026-09-10</t>
        </is>
      </c>
      <c r="Q372" s="4" t="inlineStr">
        <is>
          <t>CerArte</t>
        </is>
      </c>
      <c r="V372" s="7" t="inlineStr">
        <is>
          <t>20 x 20 cm</t>
        </is>
      </c>
      <c r="AE372" s="7" t="inlineStr">
        <is>
          <t>piso</t>
        </is>
      </c>
      <c r="AF372" s="4" t="inlineStr">
        <is>
          <t>material: porcelanato · acabado: mate</t>
        </is>
      </c>
    </row>
    <row r="373">
      <c r="A373" s="3" t="inlineStr">
        <is>
          <t>MAT-08-151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piso, 33 x 33 cm</t>
        </is>
      </c>
      <c r="E373" s="4" t="inlineStr"/>
      <c r="F373" s="3" t="inlineStr">
        <is>
          <t>m²</t>
        </is>
      </c>
      <c r="G373" s="3" t="inlineStr">
        <is>
          <t>Pisos</t>
        </is>
      </c>
      <c r="H373" s="3" t="inlineStr">
        <is>
          <t>estandar</t>
        </is>
      </c>
      <c r="I373" s="3" t="inlineStr">
        <is>
          <t>importado</t>
        </is>
      </c>
      <c r="J373" s="5" t="n">
        <v>1</v>
      </c>
      <c r="K373" s="6" t="n">
        <v>3834.91</v>
      </c>
      <c r="L373" s="6" t="n">
        <v>3834.91</v>
      </c>
      <c r="M373" s="6" t="n">
        <v>3834.91</v>
      </c>
      <c r="N373" s="3" t="inlineStr">
        <is>
          <t>Sí</t>
        </is>
      </c>
      <c r="O373" s="6">
        <f>IF(K373="","",IF(N373="Sí",ROUND(K373/1.18,2),K373))</f>
        <v/>
      </c>
      <c r="P373" s="3" t="inlineStr">
        <is>
          <t>2026-09-10</t>
        </is>
      </c>
      <c r="Q373" s="4" t="inlineStr">
        <is>
          <t>La Ibérica</t>
        </is>
      </c>
      <c r="V373" s="7" t="inlineStr">
        <is>
          <t>33 x 33 cm</t>
        </is>
      </c>
      <c r="AE373" s="7" t="inlineStr">
        <is>
          <t>piso</t>
        </is>
      </c>
      <c r="AF373" s="4" t="inlineStr">
        <is>
          <t>material: porcelanato</t>
        </is>
      </c>
    </row>
    <row r="374">
      <c r="A374" s="3" t="inlineStr">
        <is>
          <t>MAT-08-152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piso, 45 x 45 cm</t>
        </is>
      </c>
      <c r="E374" s="4" t="inlineStr"/>
      <c r="F374" s="3" t="inlineStr">
        <is>
          <t>m²</t>
        </is>
      </c>
      <c r="G374" s="3" t="inlineStr">
        <is>
          <t>Pisos</t>
        </is>
      </c>
      <c r="H374" s="3" t="inlineStr">
        <is>
          <t>estandar</t>
        </is>
      </c>
      <c r="I374" s="3" t="inlineStr">
        <is>
          <t>importado</t>
        </is>
      </c>
      <c r="J374" s="5" t="n">
        <v>1</v>
      </c>
      <c r="K374" s="6" t="n">
        <v>760.16</v>
      </c>
      <c r="L374" s="6" t="n">
        <v>581.79</v>
      </c>
      <c r="M374" s="6" t="n">
        <v>1062.22</v>
      </c>
      <c r="N374" s="3" t="inlineStr">
        <is>
          <t>Sí</t>
        </is>
      </c>
      <c r="O374" s="6">
        <f>IF(K374="","",IF(N374="Sí",ROUND(K374/1.18,2),K374))</f>
        <v/>
      </c>
      <c r="P374" s="3" t="inlineStr">
        <is>
          <t>2026-09-09</t>
        </is>
      </c>
      <c r="Q374" s="4" t="inlineStr">
        <is>
          <t>Ferretería Ochoa (8A)</t>
        </is>
      </c>
      <c r="U374" s="7" t="n">
        <v>45</v>
      </c>
      <c r="V374" s="7" t="inlineStr">
        <is>
          <t>45 x 45 cm</t>
        </is>
      </c>
      <c r="AE374" s="7" t="inlineStr">
        <is>
          <t>piso</t>
        </is>
      </c>
      <c r="AF374" s="4" t="inlineStr">
        <is>
          <t>material: porcelanato · ancho_cm: 45 · piezas_m2: 4.93</t>
        </is>
      </c>
    </row>
    <row r="375">
      <c r="A375" s="3" t="inlineStr">
        <is>
          <t>MAT-08-153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piso, 50 x 50 cm</t>
        </is>
      </c>
      <c r="E375" s="4" t="inlineStr"/>
      <c r="F375" s="3" t="inlineStr">
        <is>
          <t>m²</t>
        </is>
      </c>
      <c r="G375" s="3" t="inlineStr">
        <is>
          <t>Pisos</t>
        </is>
      </c>
      <c r="H375" s="3" t="inlineStr">
        <is>
          <t>estandar</t>
        </is>
      </c>
      <c r="I375" s="3" t="inlineStr">
        <is>
          <t>importado</t>
        </is>
      </c>
      <c r="J375" s="5" t="n">
        <v>1</v>
      </c>
      <c r="K375" s="6" t="n">
        <v>1035.48</v>
      </c>
      <c r="L375" s="6" t="n">
        <v>1035.48</v>
      </c>
      <c r="M375" s="6" t="n">
        <v>1035.48</v>
      </c>
      <c r="N375" s="3" t="inlineStr">
        <is>
          <t>Sí</t>
        </is>
      </c>
      <c r="O375" s="6">
        <f>IF(K375="","",IF(N375="Sí",ROUND(K375/1.18,2),K375))</f>
        <v/>
      </c>
      <c r="P375" s="3" t="inlineStr">
        <is>
          <t>2026-09-09</t>
        </is>
      </c>
      <c r="Q375" s="4" t="inlineStr">
        <is>
          <t>Ferretería Ochoa (8A)</t>
        </is>
      </c>
      <c r="U375" s="7" t="n">
        <v>50</v>
      </c>
      <c r="V375" s="7" t="inlineStr">
        <is>
          <t>50 x 50 cm</t>
        </is>
      </c>
      <c r="AE375" s="7" t="inlineStr">
        <is>
          <t>piso</t>
        </is>
      </c>
      <c r="AF375" s="4" t="inlineStr">
        <is>
          <t>material: porcelanato · ancho_cm: 50 · piezas_m2: 4 · espesor_mm: 10</t>
        </is>
      </c>
    </row>
    <row r="376">
      <c r="A376" s="3" t="inlineStr">
        <is>
          <t>MAT-08-154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piso, 58 x 19 cm</t>
        </is>
      </c>
      <c r="E376" s="4" t="inlineStr"/>
      <c r="F376" s="3" t="inlineStr">
        <is>
          <t>m²</t>
        </is>
      </c>
      <c r="G376" s="3" t="inlineStr">
        <is>
          <t>Pisos</t>
        </is>
      </c>
      <c r="H376" s="3" t="inlineStr">
        <is>
          <t>estandar</t>
        </is>
      </c>
      <c r="I376" s="3" t="inlineStr">
        <is>
          <t>importado</t>
        </is>
      </c>
      <c r="J376" s="5" t="n">
        <v>1</v>
      </c>
      <c r="K376" s="6" t="n">
        <v>777.65</v>
      </c>
      <c r="L376" s="6" t="n">
        <v>772.01</v>
      </c>
      <c r="M376" s="6" t="n">
        <v>783.29</v>
      </c>
      <c r="N376" s="3" t="inlineStr">
        <is>
          <t>Sí</t>
        </is>
      </c>
      <c r="O376" s="6">
        <f>IF(K376="","",IF(N376="Sí",ROUND(K376/1.18,2),K376))</f>
        <v/>
      </c>
      <c r="P376" s="3" t="inlineStr">
        <is>
          <t>2026-09-09</t>
        </is>
      </c>
      <c r="Q376" s="4" t="inlineStr">
        <is>
          <t>Ferretería Ochoa (8A)</t>
        </is>
      </c>
      <c r="U376" s="7" t="n">
        <v>58</v>
      </c>
      <c r="V376" s="7" t="inlineStr">
        <is>
          <t>58 x 19 cm</t>
        </is>
      </c>
      <c r="AE376" s="7" t="inlineStr">
        <is>
          <t>piso</t>
        </is>
      </c>
      <c r="AF376" s="4" t="inlineStr">
        <is>
          <t>material: porcelanato · ancho_cm: 19 · piezas_m2: 9.25</t>
        </is>
      </c>
    </row>
    <row r="377">
      <c r="A377" s="3" t="inlineStr">
        <is>
          <t>MAT-08-155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piso, 58 x 58 cm</t>
        </is>
      </c>
      <c r="E377" s="4" t="inlineStr"/>
      <c r="F377" s="3" t="inlineStr">
        <is>
          <t>m²</t>
        </is>
      </c>
      <c r="G377" s="3" t="inlineStr">
        <is>
          <t>Pisos</t>
        </is>
      </c>
      <c r="H377" s="3" t="inlineStr">
        <is>
          <t>estandar</t>
        </is>
      </c>
      <c r="I377" s="3" t="inlineStr">
        <is>
          <t>importado</t>
        </is>
      </c>
      <c r="J377" s="5" t="n">
        <v>2</v>
      </c>
      <c r="K377" s="6" t="n">
        <v>1344.49</v>
      </c>
      <c r="L377" s="6" t="n">
        <v>998.99</v>
      </c>
      <c r="M377" s="6" t="n">
        <v>1689.98</v>
      </c>
      <c r="N377" s="3" t="inlineStr">
        <is>
          <t>Sí</t>
        </is>
      </c>
      <c r="O377" s="6">
        <f>IF(K377="","",IF(N377="Sí",ROUND(K377/1.18,2),K377))</f>
        <v/>
      </c>
      <c r="P377" s="3" t="inlineStr">
        <is>
          <t>2026-09-10</t>
        </is>
      </c>
      <c r="Q377" s="4" t="inlineStr">
        <is>
          <t>Ferretería Ochoa (8A) · La Ibérica</t>
        </is>
      </c>
      <c r="U377" s="7" t="n">
        <v>58</v>
      </c>
      <c r="V377" s="7" t="inlineStr">
        <is>
          <t>58 x 58 cm</t>
        </is>
      </c>
      <c r="AE377" s="7" t="inlineStr">
        <is>
          <t>piso</t>
        </is>
      </c>
      <c r="AF377" s="4" t="inlineStr">
        <is>
          <t>material: porcelanato · ancho_cm: 58 · piezas_m2: 2.87 · acabado: brillante · espesor_mm: 10</t>
        </is>
      </c>
    </row>
    <row r="378">
      <c r="A378" s="3" t="inlineStr">
        <is>
          <t>MAT-08-156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piso, 60 x 30 cm</t>
        </is>
      </c>
      <c r="E378" s="4" t="inlineStr"/>
      <c r="F378" s="3" t="inlineStr">
        <is>
          <t>m²</t>
        </is>
      </c>
      <c r="G378" s="3" t="inlineStr">
        <is>
          <t>Pisos</t>
        </is>
      </c>
      <c r="H378" s="3" t="inlineStr">
        <is>
          <t>estandar</t>
        </is>
      </c>
      <c r="I378" s="3" t="inlineStr">
        <is>
          <t>importado</t>
        </is>
      </c>
      <c r="J378" s="5" t="n">
        <v>3</v>
      </c>
      <c r="K378" s="6" t="n">
        <v>1349.62</v>
      </c>
      <c r="L378" s="6" t="n">
        <v>988.04</v>
      </c>
      <c r="M378" s="6" t="n">
        <v>2589.94</v>
      </c>
      <c r="N378" s="3" t="inlineStr">
        <is>
          <t>Sí</t>
        </is>
      </c>
      <c r="O378" s="6">
        <f>IF(K378="","",IF(N378="Sí",ROUND(K378/1.18,2),K378))</f>
        <v/>
      </c>
      <c r="P378" s="3" t="inlineStr">
        <is>
          <t>2026-09-10</t>
        </is>
      </c>
      <c r="Q378" s="4" t="inlineStr">
        <is>
          <t>CerArte · Ferretería Ochoa (8A) · La Ibérica</t>
        </is>
      </c>
      <c r="U378" s="7" t="n">
        <v>60</v>
      </c>
      <c r="V378" s="7" t="inlineStr">
        <is>
          <t>60 x 30 cm</t>
        </is>
      </c>
      <c r="AE378" s="7" t="inlineStr">
        <is>
          <t>piso</t>
        </is>
      </c>
      <c r="AF378" s="4" t="inlineStr">
        <is>
          <t>material: porcelanato · ancho_cm: 30</t>
        </is>
      </c>
    </row>
    <row r="379">
      <c r="A379" s="3" t="inlineStr">
        <is>
          <t>MAT-08-157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piso, 60 x 60 cm</t>
        </is>
      </c>
      <c r="E379" s="4" t="inlineStr"/>
      <c r="F379" s="3" t="inlineStr">
        <is>
          <t>m²</t>
        </is>
      </c>
      <c r="G379" s="3" t="inlineStr">
        <is>
          <t>Pisos</t>
        </is>
      </c>
      <c r="H379" s="3" t="inlineStr">
        <is>
          <t>estandar</t>
        </is>
      </c>
      <c r="I379" s="3" t="inlineStr">
        <is>
          <t>importado</t>
        </is>
      </c>
      <c r="J379" s="5" t="n">
        <v>2</v>
      </c>
      <c r="K379" s="6" t="n">
        <v>1190</v>
      </c>
      <c r="L379" s="6" t="n">
        <v>673.23</v>
      </c>
      <c r="M379" s="6" t="n">
        <v>2989.99</v>
      </c>
      <c r="N379" s="3" t="inlineStr">
        <is>
          <t>Sí</t>
        </is>
      </c>
      <c r="O379" s="6">
        <f>IF(K379="","",IF(N379="Sí",ROUND(K379/1.18,2),K379))</f>
        <v/>
      </c>
      <c r="P379" s="3" t="inlineStr">
        <is>
          <t>2026-09-10</t>
        </is>
      </c>
      <c r="Q379" s="4" t="inlineStr">
        <is>
          <t>CerArte · La Ibérica</t>
        </is>
      </c>
      <c r="V379" s="7" t="inlineStr">
        <is>
          <t>60 x 60 cm</t>
        </is>
      </c>
      <c r="AE379" s="7" t="inlineStr">
        <is>
          <t>piso</t>
        </is>
      </c>
      <c r="AF379" s="4" t="inlineStr">
        <is>
          <t>material: porcelanato</t>
        </is>
      </c>
    </row>
    <row r="380">
      <c r="A380" s="3" t="inlineStr">
        <is>
          <t>MAT-08-158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piso, 75 x 75 cm</t>
        </is>
      </c>
      <c r="E380" s="4" t="inlineStr"/>
      <c r="F380" s="3" t="inlineStr">
        <is>
          <t>m²</t>
        </is>
      </c>
      <c r="G380" s="3" t="inlineStr">
        <is>
          <t>Pisos</t>
        </is>
      </c>
      <c r="H380" s="3" t="inlineStr">
        <is>
          <t>estandar</t>
        </is>
      </c>
      <c r="I380" s="3" t="inlineStr">
        <is>
          <t>importado</t>
        </is>
      </c>
      <c r="J380" s="5" t="n">
        <v>1</v>
      </c>
      <c r="K380" s="6" t="n">
        <v>983.85</v>
      </c>
      <c r="L380" s="6" t="n">
        <v>814.46</v>
      </c>
      <c r="M380" s="6" t="n">
        <v>1311.32</v>
      </c>
      <c r="N380" s="3" t="inlineStr">
        <is>
          <t>Sí</t>
        </is>
      </c>
      <c r="O380" s="6">
        <f>IF(K380="","",IF(N380="Sí",ROUND(K380/1.18,2),K380))</f>
        <v/>
      </c>
      <c r="P380" s="3" t="inlineStr">
        <is>
          <t>2026-09-10</t>
        </is>
      </c>
      <c r="Q380" s="4" t="inlineStr">
        <is>
          <t>CerArte</t>
        </is>
      </c>
      <c r="V380" s="7" t="inlineStr">
        <is>
          <t>75 x 75 cm</t>
        </is>
      </c>
      <c r="AE380" s="7" t="inlineStr">
        <is>
          <t>piso</t>
        </is>
      </c>
      <c r="AF380" s="4" t="inlineStr">
        <is>
          <t>material: porcelanato</t>
        </is>
      </c>
    </row>
    <row r="381">
      <c r="A381" s="3" t="inlineStr">
        <is>
          <t>MAT-08-159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piso, 80 x 80 cm</t>
        </is>
      </c>
      <c r="E381" s="4" t="inlineStr"/>
      <c r="F381" s="3" t="inlineStr">
        <is>
          <t>m²</t>
        </is>
      </c>
      <c r="G381" s="3" t="inlineStr">
        <is>
          <t>Pisos</t>
        </is>
      </c>
      <c r="H381" s="3" t="inlineStr">
        <is>
          <t>estandar</t>
        </is>
      </c>
      <c r="I381" s="3" t="inlineStr">
        <is>
          <t>importado</t>
        </is>
      </c>
      <c r="J381" s="5" t="n">
        <v>1</v>
      </c>
      <c r="K381" s="6" t="n">
        <v>1035.67</v>
      </c>
      <c r="L381" s="6" t="n">
        <v>1035.67</v>
      </c>
      <c r="M381" s="6" t="n">
        <v>1035.67</v>
      </c>
      <c r="N381" s="3" t="inlineStr">
        <is>
          <t>Sí</t>
        </is>
      </c>
      <c r="O381" s="6">
        <f>IF(K381="","",IF(N381="Sí",ROUND(K381/1.18,2),K381))</f>
        <v/>
      </c>
      <c r="P381" s="3" t="inlineStr">
        <is>
          <t>2026-09-10</t>
        </is>
      </c>
      <c r="Q381" s="4" t="inlineStr">
        <is>
          <t>CerArte</t>
        </is>
      </c>
      <c r="V381" s="7" t="inlineStr">
        <is>
          <t>80 x 80 cm</t>
        </is>
      </c>
      <c r="AE381" s="7" t="inlineStr">
        <is>
          <t>piso</t>
        </is>
      </c>
      <c r="AF381" s="4" t="inlineStr">
        <is>
          <t>material: porcelanato · acabado: pulido</t>
        </is>
      </c>
    </row>
    <row r="382">
      <c r="A382" s="3" t="inlineStr">
        <is>
          <t>MAT-08-160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piso, 85 x 22 cm</t>
        </is>
      </c>
      <c r="E382" s="4" t="inlineStr"/>
      <c r="F382" s="3" t="inlineStr">
        <is>
          <t>m²</t>
        </is>
      </c>
      <c r="G382" s="3" t="inlineStr">
        <is>
          <t>Pisos</t>
        </is>
      </c>
      <c r="H382" s="3" t="inlineStr">
        <is>
          <t>estandar</t>
        </is>
      </c>
      <c r="I382" s="3" t="inlineStr">
        <is>
          <t>importado</t>
        </is>
      </c>
      <c r="J382" s="5" t="n">
        <v>1</v>
      </c>
      <c r="K382" s="6" t="n">
        <v>2473.17</v>
      </c>
      <c r="L382" s="6" t="n">
        <v>2473.17</v>
      </c>
      <c r="M382" s="6" t="n">
        <v>2473.17</v>
      </c>
      <c r="N382" s="3" t="inlineStr">
        <is>
          <t>Sí</t>
        </is>
      </c>
      <c r="O382" s="6">
        <f>IF(K382="","",IF(N382="Sí",ROUND(K382/1.18,2),K382))</f>
        <v/>
      </c>
      <c r="P382" s="3" t="inlineStr">
        <is>
          <t>2026-09-09</t>
        </is>
      </c>
      <c r="Q382" s="4" t="inlineStr">
        <is>
          <t>Ferretería Ochoa (8A)</t>
        </is>
      </c>
      <c r="U382" s="7" t="n">
        <v>85</v>
      </c>
      <c r="V382" s="7" t="inlineStr">
        <is>
          <t>85 x 22 cm</t>
        </is>
      </c>
      <c r="AE382" s="7" t="inlineStr">
        <is>
          <t>piso</t>
        </is>
      </c>
      <c r="AF382" s="4" t="inlineStr">
        <is>
          <t>material: porcelanato · ancho_cm: 22 · piezas_m2: 5.34 · acabado: mate · espesor_mm: 10</t>
        </is>
      </c>
    </row>
    <row r="383">
      <c r="A383" s="3" t="inlineStr">
        <is>
          <t>MAT-08-161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piso, 90 x 15 cm</t>
        </is>
      </c>
      <c r="E383" s="4" t="inlineStr"/>
      <c r="F383" s="3" t="inlineStr">
        <is>
          <t>m²</t>
        </is>
      </c>
      <c r="G383" s="3" t="inlineStr">
        <is>
          <t>Pisos</t>
        </is>
      </c>
      <c r="H383" s="3" t="inlineStr">
        <is>
          <t>estandar</t>
        </is>
      </c>
      <c r="I383" s="3" t="inlineStr">
        <is>
          <t>importado</t>
        </is>
      </c>
      <c r="J383" s="5" t="n">
        <v>1</v>
      </c>
      <c r="K383" s="6" t="n">
        <v>1187.6</v>
      </c>
      <c r="L383" s="6" t="n">
        <v>1156.35</v>
      </c>
      <c r="M383" s="6" t="n">
        <v>1206.84</v>
      </c>
      <c r="N383" s="3" t="inlineStr">
        <is>
          <t>Sí</t>
        </is>
      </c>
      <c r="O383" s="6">
        <f>IF(K383="","",IF(N383="Sí",ROUND(K383/1.18,2),K383))</f>
        <v/>
      </c>
      <c r="P383" s="3" t="inlineStr">
        <is>
          <t>2026-09-09</t>
        </is>
      </c>
      <c r="Q383" s="4" t="inlineStr">
        <is>
          <t>Ferretería Ochoa (8A)</t>
        </is>
      </c>
      <c r="U383" s="7" t="n">
        <v>90</v>
      </c>
      <c r="V383" s="7" t="inlineStr">
        <is>
          <t>90 x 15 cm</t>
        </is>
      </c>
      <c r="AE383" s="7" t="inlineStr">
        <is>
          <t>piso</t>
        </is>
      </c>
      <c r="AF383" s="4" t="inlineStr">
        <is>
          <t>material: porcelanato · ancho_cm: 15 · piezas_m2: 7.37</t>
        </is>
      </c>
    </row>
    <row r="384">
      <c r="A384" s="3" t="inlineStr">
        <is>
          <t>MAT-08-162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90 x 22.5 cm</t>
        </is>
      </c>
      <c r="E384" s="4" t="inlineStr"/>
      <c r="F384" s="3" t="inlineStr">
        <is>
          <t>m²</t>
        </is>
      </c>
      <c r="G384" s="3" t="inlineStr">
        <is>
          <t>Pisos</t>
        </is>
      </c>
      <c r="H384" s="3" t="inlineStr">
        <is>
          <t>estandar</t>
        </is>
      </c>
      <c r="I384" s="3" t="inlineStr">
        <is>
          <t>importado</t>
        </is>
      </c>
      <c r="J384" s="5" t="n">
        <v>1</v>
      </c>
      <c r="K384" s="6" t="n">
        <v>1619.97</v>
      </c>
      <c r="L384" s="6" t="n">
        <v>1589.97</v>
      </c>
      <c r="M384" s="6" t="n">
        <v>1649.96</v>
      </c>
      <c r="N384" s="3" t="inlineStr">
        <is>
          <t>Sí</t>
        </is>
      </c>
      <c r="O384" s="6">
        <f>IF(K384="","",IF(N384="Sí",ROUND(K384/1.18,2),K384))</f>
        <v/>
      </c>
      <c r="P384" s="3" t="inlineStr">
        <is>
          <t>2026-09-10</t>
        </is>
      </c>
      <c r="Q384" s="4" t="inlineStr">
        <is>
          <t>La Ibérica</t>
        </is>
      </c>
      <c r="V384" s="7" t="inlineStr">
        <is>
          <t>90 x 22.5 cm</t>
        </is>
      </c>
      <c r="AE384" s="7" t="inlineStr">
        <is>
          <t>piso</t>
        </is>
      </c>
      <c r="AF384" s="4" t="inlineStr">
        <is>
          <t>material: porcelanato</t>
        </is>
      </c>
    </row>
    <row r="385">
      <c r="A385" s="3" t="inlineStr">
        <is>
          <t>MAT-08-163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90 x 45 cm</t>
        </is>
      </c>
      <c r="E385" s="4" t="inlineStr"/>
      <c r="F385" s="3" t="inlineStr">
        <is>
          <t>m²</t>
        </is>
      </c>
      <c r="G385" s="3" t="inlineStr">
        <is>
          <t>Pisos</t>
        </is>
      </c>
      <c r="H385" s="3" t="inlineStr">
        <is>
          <t>estandar</t>
        </is>
      </c>
      <c r="I385" s="3" t="inlineStr">
        <is>
          <t>importado</t>
        </is>
      </c>
      <c r="J385" s="5" t="n">
        <v>1</v>
      </c>
      <c r="K385" s="6" t="n">
        <v>1636.87</v>
      </c>
      <c r="L385" s="6" t="n">
        <v>818.71</v>
      </c>
      <c r="M385" s="6" t="n">
        <v>1987.39</v>
      </c>
      <c r="N385" s="3" t="inlineStr">
        <is>
          <t>Sí</t>
        </is>
      </c>
      <c r="O385" s="6">
        <f>IF(K385="","",IF(N385="Sí",ROUND(K385/1.18,2),K385))</f>
        <v/>
      </c>
      <c r="P385" s="3" t="inlineStr">
        <is>
          <t>2026-09-09</t>
        </is>
      </c>
      <c r="Q385" s="4" t="inlineStr">
        <is>
          <t>Ferretería Ochoa (8A)</t>
        </is>
      </c>
      <c r="U385" s="7" t="n">
        <v>90</v>
      </c>
      <c r="V385" s="7" t="inlineStr">
        <is>
          <t>90 x 45 cm</t>
        </is>
      </c>
      <c r="AE385" s="7" t="inlineStr">
        <is>
          <t>piso</t>
        </is>
      </c>
      <c r="AF385" s="4" t="inlineStr">
        <is>
          <t>material: porcelanato · ancho_cm: 45 · acabado: mate</t>
        </is>
      </c>
    </row>
    <row r="386">
      <c r="A386" s="3" t="inlineStr">
        <is>
          <t>MAT-08-164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90 x 90 cm</t>
        </is>
      </c>
      <c r="E386" s="4" t="inlineStr"/>
      <c r="F386" s="3" t="inlineStr">
        <is>
          <t>m²</t>
        </is>
      </c>
      <c r="G386" s="3" t="inlineStr">
        <is>
          <t>Pisos</t>
        </is>
      </c>
      <c r="H386" s="3" t="inlineStr">
        <is>
          <t>estandar</t>
        </is>
      </c>
      <c r="I386" s="3" t="inlineStr">
        <is>
          <t>importado</t>
        </is>
      </c>
      <c r="J386" s="5" t="n">
        <v>2</v>
      </c>
      <c r="K386" s="6" t="n">
        <v>1935.46</v>
      </c>
      <c r="L386" s="6" t="n">
        <v>1569.2</v>
      </c>
      <c r="M386" s="6" t="n">
        <v>2950</v>
      </c>
      <c r="N386" s="3" t="inlineStr">
        <is>
          <t>Sí</t>
        </is>
      </c>
      <c r="O386" s="6">
        <f>IF(K386="","",IF(N386="Sí",ROUND(K386/1.18,2),K386))</f>
        <v/>
      </c>
      <c r="P386" s="3" t="inlineStr">
        <is>
          <t>2026-09-10</t>
        </is>
      </c>
      <c r="Q386" s="4" t="inlineStr">
        <is>
          <t>CerArte · La Ibérica</t>
        </is>
      </c>
      <c r="V386" s="7" t="inlineStr">
        <is>
          <t>90 x 90 cm</t>
        </is>
      </c>
      <c r="AE386" s="7" t="inlineStr">
        <is>
          <t>piso</t>
        </is>
      </c>
      <c r="AF386" s="4" t="inlineStr">
        <is>
          <t>material: porcelanato · acabado: mate</t>
        </is>
      </c>
    </row>
    <row r="387">
      <c r="A387" s="3" t="inlineStr">
        <is>
          <t>MAT-08-165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 y pared, 100 x 30 cm</t>
        </is>
      </c>
      <c r="E387" s="4" t="inlineStr"/>
      <c r="F387" s="3" t="inlineStr">
        <is>
          <t>m²</t>
        </is>
      </c>
      <c r="G387" s="3" t="inlineStr">
        <is>
          <t>Pisos</t>
        </is>
      </c>
      <c r="H387" s="3" t="inlineStr">
        <is>
          <t>estandar</t>
        </is>
      </c>
      <c r="I387" s="3" t="inlineStr">
        <is>
          <t>importado</t>
        </is>
      </c>
      <c r="J387" s="5" t="n">
        <v>1</v>
      </c>
      <c r="K387" s="6" t="n">
        <v>2196.18</v>
      </c>
      <c r="L387" s="6" t="n">
        <v>1782.68</v>
      </c>
      <c r="M387" s="6" t="n">
        <v>2601.37</v>
      </c>
      <c r="N387" s="3" t="inlineStr">
        <is>
          <t>Sí</t>
        </is>
      </c>
      <c r="O387" s="6">
        <f>IF(K387="","",IF(N387="Sí",ROUND(K387/1.18,2),K387))</f>
        <v/>
      </c>
      <c r="P387" s="3" t="inlineStr">
        <is>
          <t>2026-09-09</t>
        </is>
      </c>
      <c r="Q387" s="4" t="inlineStr">
        <is>
          <t>Ferretería Ochoa (8A)</t>
        </is>
      </c>
      <c r="U387" s="7" t="n">
        <v>100</v>
      </c>
      <c r="V387" s="7" t="inlineStr">
        <is>
          <t>100 x 30 cm</t>
        </is>
      </c>
      <c r="AE387" s="7" t="inlineStr">
        <is>
          <t>piso y pared</t>
        </is>
      </c>
      <c r="AF387" s="4" t="inlineStr">
        <is>
          <t>material: porcelanato · ancho_cm: 30 · piezas_m2: 3.17 · acabado: mate · espesor_mm: 10</t>
        </is>
      </c>
    </row>
    <row r="388">
      <c r="A388" s="3" t="inlineStr">
        <is>
          <t>MAT-08-166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 y pared, 100 x 33 cm</t>
        </is>
      </c>
      <c r="E388" s="4" t="inlineStr"/>
      <c r="F388" s="3" t="inlineStr">
        <is>
          <t>m²</t>
        </is>
      </c>
      <c r="G388" s="3" t="inlineStr">
        <is>
          <t>Pisos</t>
        </is>
      </c>
      <c r="H388" s="3" t="inlineStr">
        <is>
          <t>estandar</t>
        </is>
      </c>
      <c r="I388" s="3" t="inlineStr">
        <is>
          <t>importado</t>
        </is>
      </c>
      <c r="J388" s="5" t="n">
        <v>1</v>
      </c>
      <c r="K388" s="6" t="n">
        <v>1493.28</v>
      </c>
      <c r="L388" s="6" t="n">
        <v>1466.73</v>
      </c>
      <c r="M388" s="6" t="n">
        <v>1604.55</v>
      </c>
      <c r="N388" s="3" t="inlineStr">
        <is>
          <t>Sí</t>
        </is>
      </c>
      <c r="O388" s="6">
        <f>IF(K388="","",IF(N388="Sí",ROUND(K388/1.18,2),K388))</f>
        <v/>
      </c>
      <c r="P388" s="3" t="inlineStr">
        <is>
          <t>2026-09-09</t>
        </is>
      </c>
      <c r="Q388" s="4" t="inlineStr">
        <is>
          <t>Ferretería Ochoa (8A)</t>
        </is>
      </c>
      <c r="U388" s="7" t="n">
        <v>100</v>
      </c>
      <c r="V388" s="7" t="inlineStr">
        <is>
          <t>100 x 33 cm</t>
        </is>
      </c>
      <c r="AE388" s="7" t="inlineStr">
        <is>
          <t>piso y pared</t>
        </is>
      </c>
      <c r="AF388" s="4" t="inlineStr">
        <is>
          <t>material: porcelanato · ancho_cm: 33 · piezas_m2: 3 · acabado: pulido · espesor_mm: 10</t>
        </is>
      </c>
    </row>
    <row r="389">
      <c r="A389" s="3" t="inlineStr">
        <is>
          <t>MAT-08-167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 y pared, 100 x 50 cm</t>
        </is>
      </c>
      <c r="E389" s="4" t="inlineStr"/>
      <c r="F389" s="3" t="inlineStr">
        <is>
          <t>m²</t>
        </is>
      </c>
      <c r="G389" s="3" t="inlineStr">
        <is>
          <t>Pisos</t>
        </is>
      </c>
      <c r="H389" s="3" t="inlineStr">
        <is>
          <t>estandar</t>
        </is>
      </c>
      <c r="I389" s="3" t="inlineStr">
        <is>
          <t>importado</t>
        </is>
      </c>
      <c r="J389" s="5" t="n">
        <v>2</v>
      </c>
      <c r="K389" s="6" t="n">
        <v>1801.82</v>
      </c>
      <c r="L389" s="6" t="n">
        <v>1529.79</v>
      </c>
      <c r="M389" s="6" t="n">
        <v>3647.28</v>
      </c>
      <c r="N389" s="3" t="inlineStr">
        <is>
          <t>Sí</t>
        </is>
      </c>
      <c r="O389" s="6">
        <f>IF(K389="","",IF(N389="Sí",ROUND(K389/1.18,2),K389))</f>
        <v/>
      </c>
      <c r="P389" s="3" t="inlineStr">
        <is>
          <t>2026-09-10</t>
        </is>
      </c>
      <c r="Q389" s="4" t="inlineStr">
        <is>
          <t>CerArte · Ferretería Ochoa (8A)</t>
        </is>
      </c>
      <c r="U389" s="7" t="n">
        <v>100</v>
      </c>
      <c r="V389" s="7" t="inlineStr">
        <is>
          <t>100 x 50 cm</t>
        </is>
      </c>
      <c r="AE389" s="7" t="inlineStr">
        <is>
          <t>piso y pared</t>
        </is>
      </c>
      <c r="AF389" s="4" t="inlineStr">
        <is>
          <t>material: porcelanato · ancho_cm: 50 · piezas_m2: 2 · espesor_mm: 9</t>
        </is>
      </c>
    </row>
    <row r="390">
      <c r="A390" s="3" t="inlineStr">
        <is>
          <t>MAT-08-168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 y pared, 120 x 11 cm</t>
        </is>
      </c>
      <c r="E390" s="4" t="inlineStr"/>
      <c r="F390" s="3" t="inlineStr">
        <is>
          <t>m²</t>
        </is>
      </c>
      <c r="G390" s="3" t="inlineStr">
        <is>
          <t>Pisos</t>
        </is>
      </c>
      <c r="H390" s="3" t="inlineStr">
        <is>
          <t>estandar</t>
        </is>
      </c>
      <c r="I390" s="3" t="inlineStr">
        <is>
          <t>importado</t>
        </is>
      </c>
      <c r="J390" s="5" t="n">
        <v>1</v>
      </c>
      <c r="K390" s="6" t="n">
        <v>2242</v>
      </c>
      <c r="L390" s="6" t="n">
        <v>2242</v>
      </c>
      <c r="M390" s="6" t="n">
        <v>2242</v>
      </c>
      <c r="N390" s="3" t="inlineStr">
        <is>
          <t>Sí</t>
        </is>
      </c>
      <c r="O390" s="6">
        <f>IF(K390="","",IF(N390="Sí",ROUND(K390/1.18,2),K390))</f>
        <v/>
      </c>
      <c r="P390" s="3" t="inlineStr">
        <is>
          <t>2026-09-10</t>
        </is>
      </c>
      <c r="Q390" s="4" t="inlineStr">
        <is>
          <t>CerArte</t>
        </is>
      </c>
      <c r="V390" s="7" t="inlineStr">
        <is>
          <t>120 x 11 cm</t>
        </is>
      </c>
      <c r="AE390" s="7" t="inlineStr">
        <is>
          <t>piso y pared</t>
        </is>
      </c>
      <c r="AF390" s="4" t="inlineStr">
        <is>
          <t>material: porcelanato · acabado: mate</t>
        </is>
      </c>
    </row>
    <row r="391">
      <c r="A391" s="3" t="inlineStr">
        <is>
          <t>MAT-08-169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 y pared, 120 x 120 cm</t>
        </is>
      </c>
      <c r="E391" s="4" t="inlineStr"/>
      <c r="F391" s="3" t="inlineStr">
        <is>
          <t>m²</t>
        </is>
      </c>
      <c r="G391" s="3" t="inlineStr">
        <is>
          <t>Pisos</t>
        </is>
      </c>
      <c r="H391" s="3" t="inlineStr">
        <is>
          <t>estandar</t>
        </is>
      </c>
      <c r="I391" s="3" t="inlineStr">
        <is>
          <t>importado</t>
        </is>
      </c>
      <c r="J391" s="5" t="n">
        <v>2</v>
      </c>
      <c r="K391" s="6" t="n">
        <v>2885.43</v>
      </c>
      <c r="L391" s="6" t="n">
        <v>2538.27</v>
      </c>
      <c r="M391" s="6" t="n">
        <v>3205.38</v>
      </c>
      <c r="N391" s="3" t="inlineStr">
        <is>
          <t>Sí</t>
        </is>
      </c>
      <c r="O391" s="6">
        <f>IF(K391="","",IF(N391="Sí",ROUND(K391/1.18,2),K391))</f>
        <v/>
      </c>
      <c r="P391" s="3" t="inlineStr">
        <is>
          <t>2026-09-10</t>
        </is>
      </c>
      <c r="Q391" s="4" t="inlineStr">
        <is>
          <t>CerArte · Ferretería Ochoa (8A)</t>
        </is>
      </c>
      <c r="U391" s="7" t="n">
        <v>120</v>
      </c>
      <c r="V391" s="7" t="inlineStr">
        <is>
          <t>120 x 120 cm</t>
        </is>
      </c>
      <c r="AE391" s="7" t="inlineStr">
        <is>
          <t>piso y pared</t>
        </is>
      </c>
      <c r="AF391" s="4" t="inlineStr">
        <is>
          <t>material: porcelanato · ancho_cm: 120 · piezas_m2: 0.69 · acabado: mate · espesor_mm: 9</t>
        </is>
      </c>
    </row>
    <row r="392">
      <c r="A392" s="3" t="inlineStr">
        <is>
          <t>MAT-08-170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 y pared, 120 x 20 cm</t>
        </is>
      </c>
      <c r="E392" s="4" t="inlineStr"/>
      <c r="F392" s="3" t="inlineStr">
        <is>
          <t>m²</t>
        </is>
      </c>
      <c r="G392" s="3" t="inlineStr">
        <is>
          <t>Pisos</t>
        </is>
      </c>
      <c r="H392" s="3" t="inlineStr">
        <is>
          <t>estandar</t>
        </is>
      </c>
      <c r="I392" s="3" t="inlineStr">
        <is>
          <t>importado</t>
        </is>
      </c>
      <c r="J392" s="5" t="n">
        <v>2</v>
      </c>
      <c r="K392" s="6" t="n">
        <v>2095.03</v>
      </c>
      <c r="L392" s="6" t="n">
        <v>1279.34</v>
      </c>
      <c r="M392" s="6" t="n">
        <v>2260.28</v>
      </c>
      <c r="N392" s="3" t="inlineStr">
        <is>
          <t>Sí</t>
        </is>
      </c>
      <c r="O392" s="6">
        <f>IF(K392="","",IF(N392="Sí",ROUND(K392/1.18,2),K392))</f>
        <v/>
      </c>
      <c r="P392" s="3" t="inlineStr">
        <is>
          <t>2026-09-10</t>
        </is>
      </c>
      <c r="Q392" s="4" t="inlineStr">
        <is>
          <t>CerArte · Ferretería Ochoa (8A)</t>
        </is>
      </c>
      <c r="U392" s="7" t="n">
        <v>120</v>
      </c>
      <c r="V392" s="7" t="inlineStr">
        <is>
          <t>120 x 20 cm</t>
        </is>
      </c>
      <c r="AE392" s="7" t="inlineStr">
        <is>
          <t>piso y pared</t>
        </is>
      </c>
      <c r="AF392" s="4" t="inlineStr">
        <is>
          <t>material: porcelanato · ancho_cm: 20 · piezas_m2: 4 · acabado: mate · espesor_mm: 12</t>
        </is>
      </c>
    </row>
    <row r="393">
      <c r="A393" s="3" t="inlineStr">
        <is>
          <t>MAT-08-171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 y pared, 120 x 40 cm</t>
        </is>
      </c>
      <c r="E393" s="4" t="inlineStr"/>
      <c r="F393" s="3" t="inlineStr">
        <is>
          <t>m²</t>
        </is>
      </c>
      <c r="G393" s="3" t="inlineStr">
        <is>
          <t>Pisos</t>
        </is>
      </c>
      <c r="H393" s="3" t="inlineStr">
        <is>
          <t>estandar</t>
        </is>
      </c>
      <c r="I393" s="3" t="inlineStr">
        <is>
          <t>importado</t>
        </is>
      </c>
      <c r="J393" s="5" t="n">
        <v>1</v>
      </c>
      <c r="K393" s="6" t="n">
        <v>3697.64</v>
      </c>
      <c r="L393" s="6" t="n">
        <v>3697.64</v>
      </c>
      <c r="M393" s="6" t="n">
        <v>3697.64</v>
      </c>
      <c r="N393" s="3" t="inlineStr">
        <is>
          <t>Sí</t>
        </is>
      </c>
      <c r="O393" s="6">
        <f>IF(K393="","",IF(N393="Sí",ROUND(K393/1.18,2),K393))</f>
        <v/>
      </c>
      <c r="P393" s="3" t="inlineStr">
        <is>
          <t>2026-09-09</t>
        </is>
      </c>
      <c r="Q393" s="4" t="inlineStr">
        <is>
          <t>Ferretería Ochoa (8A)</t>
        </is>
      </c>
      <c r="U393" s="7" t="n">
        <v>120</v>
      </c>
      <c r="V393" s="7" t="inlineStr">
        <is>
          <t>120 x 40 cm</t>
        </is>
      </c>
      <c r="AE393" s="7" t="inlineStr">
        <is>
          <t>piso y pared</t>
        </is>
      </c>
      <c r="AF393" s="4" t="inlineStr">
        <is>
          <t>material: porcelanato · ancho_cm: 40 · piezas_m2: 2.1 · acabado: mate · espesor_mm: 10</t>
        </is>
      </c>
    </row>
    <row r="394">
      <c r="A394" s="3" t="inlineStr">
        <is>
          <t>MAT-08-172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 y pared, 120 x 60 cm</t>
        </is>
      </c>
      <c r="E394" s="4" t="inlineStr"/>
      <c r="F394" s="3" t="inlineStr">
        <is>
          <t>m²</t>
        </is>
      </c>
      <c r="G394" s="3" t="inlineStr">
        <is>
          <t>Pisos</t>
        </is>
      </c>
      <c r="H394" s="3" t="inlineStr">
        <is>
          <t>estandar</t>
        </is>
      </c>
      <c r="I394" s="3" t="inlineStr">
        <is>
          <t>importado</t>
        </is>
      </c>
      <c r="J394" s="5" t="n">
        <v>2</v>
      </c>
      <c r="K394" s="6" t="n">
        <v>2098.99</v>
      </c>
      <c r="L394" s="6" t="n">
        <v>819.97</v>
      </c>
      <c r="M394" s="6" t="n">
        <v>3478.01</v>
      </c>
      <c r="N394" s="3" t="inlineStr">
        <is>
          <t>Sí</t>
        </is>
      </c>
      <c r="O394" s="6">
        <f>IF(K394="","",IF(N394="Sí",ROUND(K394/1.18,2),K394))</f>
        <v/>
      </c>
      <c r="P394" s="3" t="inlineStr">
        <is>
          <t>2026-09-10</t>
        </is>
      </c>
      <c r="Q394" s="4" t="inlineStr">
        <is>
          <t>CerArte · Ferretería Ochoa (8A)</t>
        </is>
      </c>
      <c r="U394" s="7" t="n">
        <v>120</v>
      </c>
      <c r="V394" s="7" t="inlineStr">
        <is>
          <t>120 x 60 cm</t>
        </is>
      </c>
      <c r="AE394" s="7" t="inlineStr">
        <is>
          <t>piso y pared</t>
        </is>
      </c>
      <c r="AF394" s="4" t="inlineStr">
        <is>
          <t>material: porcelanato · ancho_cm: 60 · piezas_m2: 1.38 · espesor_mm: 10</t>
        </is>
      </c>
    </row>
    <row r="395">
      <c r="A395" s="3" t="inlineStr">
        <is>
          <t>MAT-08-173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 y pared, 15 x 15 cm</t>
        </is>
      </c>
      <c r="E395" s="4" t="inlineStr"/>
      <c r="F395" s="3" t="inlineStr">
        <is>
          <t>m²</t>
        </is>
      </c>
      <c r="G395" s="3" t="inlineStr">
        <is>
          <t>Pisos</t>
        </is>
      </c>
      <c r="H395" s="3" t="inlineStr">
        <is>
          <t>estandar</t>
        </is>
      </c>
      <c r="I395" s="3" t="inlineStr">
        <is>
          <t>importado</t>
        </is>
      </c>
      <c r="J395" s="5" t="n">
        <v>1</v>
      </c>
      <c r="K395" s="6" t="n">
        <v>2629.95</v>
      </c>
      <c r="L395" s="6" t="n">
        <v>2629.95</v>
      </c>
      <c r="M395" s="6" t="n">
        <v>2629.95</v>
      </c>
      <c r="N395" s="3" t="inlineStr">
        <is>
          <t>Sí</t>
        </is>
      </c>
      <c r="O395" s="6">
        <f>IF(K395="","",IF(N395="Sí",ROUND(K395/1.18,2),K395))</f>
        <v/>
      </c>
      <c r="P395" s="3" t="inlineStr">
        <is>
          <t>2026-09-10</t>
        </is>
      </c>
      <c r="Q395" s="4" t="inlineStr">
        <is>
          <t>CerArte</t>
        </is>
      </c>
      <c r="V395" s="7" t="inlineStr">
        <is>
          <t>15 x 15 cm</t>
        </is>
      </c>
      <c r="AE395" s="7" t="inlineStr">
        <is>
          <t>piso y pared</t>
        </is>
      </c>
      <c r="AF395" s="4" t="inlineStr">
        <is>
          <t>material: porcelanato · acabado: mate</t>
        </is>
      </c>
    </row>
    <row r="396">
      <c r="A396" s="3" t="inlineStr">
        <is>
          <t>MAT-08-174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 y pared, 160 x 80 cm</t>
        </is>
      </c>
      <c r="E396" s="4" t="inlineStr"/>
      <c r="F396" s="3" t="inlineStr">
        <is>
          <t>m²</t>
        </is>
      </c>
      <c r="G396" s="3" t="inlineStr">
        <is>
          <t>Pisos</t>
        </is>
      </c>
      <c r="H396" s="3" t="inlineStr">
        <is>
          <t>estandar</t>
        </is>
      </c>
      <c r="I396" s="3" t="inlineStr">
        <is>
          <t>importado</t>
        </is>
      </c>
      <c r="J396" s="5" t="n">
        <v>1</v>
      </c>
      <c r="K396" s="6" t="n">
        <v>2406.36</v>
      </c>
      <c r="L396" s="6" t="n">
        <v>2406.36</v>
      </c>
      <c r="M396" s="6" t="n">
        <v>2406.36</v>
      </c>
      <c r="N396" s="3" t="inlineStr">
        <is>
          <t>Sí</t>
        </is>
      </c>
      <c r="O396" s="6">
        <f>IF(K396="","",IF(N396="Sí",ROUND(K396/1.18,2),K396))</f>
        <v/>
      </c>
      <c r="P396" s="3" t="inlineStr">
        <is>
          <t>2026-09-10</t>
        </is>
      </c>
      <c r="Q396" s="4" t="inlineStr">
        <is>
          <t>CerArte</t>
        </is>
      </c>
      <c r="V396" s="7" t="inlineStr">
        <is>
          <t>160 x 80 cm</t>
        </is>
      </c>
      <c r="AE396" s="7" t="inlineStr">
        <is>
          <t>piso y pared</t>
        </is>
      </c>
      <c r="AF396" s="4" t="inlineStr">
        <is>
          <t>material: porcelanato · acabado: mate</t>
        </is>
      </c>
    </row>
    <row r="397">
      <c r="A397" s="3" t="inlineStr">
        <is>
          <t>MAT-08-175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 y pared, 180 x 80 cm</t>
        </is>
      </c>
      <c r="E397" s="4" t="inlineStr"/>
      <c r="F397" s="3" t="inlineStr">
        <is>
          <t>m²</t>
        </is>
      </c>
      <c r="G397" s="3" t="inlineStr">
        <is>
          <t>Pisos</t>
        </is>
      </c>
      <c r="H397" s="3" t="inlineStr">
        <is>
          <t>estandar</t>
        </is>
      </c>
      <c r="I397" s="3" t="inlineStr">
        <is>
          <t>importado</t>
        </is>
      </c>
      <c r="J397" s="5" t="n">
        <v>1</v>
      </c>
      <c r="K397" s="6" t="n">
        <v>5709.64</v>
      </c>
      <c r="L397" s="6" t="n">
        <v>5574.62</v>
      </c>
      <c r="M397" s="6" t="n">
        <v>5844.67</v>
      </c>
      <c r="N397" s="3" t="inlineStr">
        <is>
          <t>Sí</t>
        </is>
      </c>
      <c r="O397" s="6">
        <f>IF(K397="","",IF(N397="Sí",ROUND(K397/1.18,2),K397))</f>
        <v/>
      </c>
      <c r="P397" s="3" t="inlineStr">
        <is>
          <t>2026-09-10</t>
        </is>
      </c>
      <c r="Q397" s="4" t="inlineStr">
        <is>
          <t>CerArte</t>
        </is>
      </c>
      <c r="V397" s="7" t="inlineStr">
        <is>
          <t>180 x 80 cm</t>
        </is>
      </c>
      <c r="AE397" s="7" t="inlineStr">
        <is>
          <t>piso y pared</t>
        </is>
      </c>
      <c r="AF397" s="4" t="inlineStr">
        <is>
          <t>material: porcelanato · acabado: pulido</t>
        </is>
      </c>
    </row>
    <row r="398">
      <c r="A398" s="3" t="inlineStr">
        <is>
          <t>MAT-08-176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 y pared, 180 x 90 cm</t>
        </is>
      </c>
      <c r="E398" s="4" t="inlineStr"/>
      <c r="F398" s="3" t="inlineStr">
        <is>
          <t>m²</t>
        </is>
      </c>
      <c r="G398" s="3" t="inlineStr">
        <is>
          <t>Pisos</t>
        </is>
      </c>
      <c r="H398" s="3" t="inlineStr">
        <is>
          <t>estandar</t>
        </is>
      </c>
      <c r="I398" s="3" t="inlineStr">
        <is>
          <t>importado</t>
        </is>
      </c>
      <c r="J398" s="5" t="n">
        <v>1</v>
      </c>
      <c r="K398" s="6" t="n">
        <v>3376.66</v>
      </c>
      <c r="L398" s="6" t="n">
        <v>3376.66</v>
      </c>
      <c r="M398" s="6" t="n">
        <v>3376.66</v>
      </c>
      <c r="N398" s="3" t="inlineStr">
        <is>
          <t>Sí</t>
        </is>
      </c>
      <c r="O398" s="6">
        <f>IF(K398="","",IF(N398="Sí",ROUND(K398/1.18,2),K398))</f>
        <v/>
      </c>
      <c r="P398" s="3" t="inlineStr">
        <is>
          <t>2026-09-09</t>
        </is>
      </c>
      <c r="Q398" s="4" t="inlineStr">
        <is>
          <t>Ferretería Ochoa (8A)</t>
        </is>
      </c>
      <c r="U398" s="7" t="n">
        <v>180</v>
      </c>
      <c r="V398" s="7" t="inlineStr">
        <is>
          <t>180 x 90 cm</t>
        </is>
      </c>
      <c r="AE398" s="7" t="inlineStr">
        <is>
          <t>piso y pared</t>
        </is>
      </c>
      <c r="AF398" s="4" t="inlineStr">
        <is>
          <t>material: porcelanato · ancho_cm: 90 · piezas_m2: 0.61 · acabado: pulido · espesor_mm: 10</t>
        </is>
      </c>
    </row>
    <row r="399">
      <c r="A399" s="3" t="inlineStr">
        <is>
          <t>MAT-08-177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 y pared, 23 x 20 cm</t>
        </is>
      </c>
      <c r="E399" s="4" t="inlineStr"/>
      <c r="F399" s="3" t="inlineStr">
        <is>
          <t>m²</t>
        </is>
      </c>
      <c r="G399" s="3" t="inlineStr">
        <is>
          <t>Pisos</t>
        </is>
      </c>
      <c r="H399" s="3" t="inlineStr">
        <is>
          <t>estandar</t>
        </is>
      </c>
      <c r="I399" s="3" t="inlineStr">
        <is>
          <t>importado</t>
        </is>
      </c>
      <c r="J399" s="5" t="n">
        <v>1</v>
      </c>
      <c r="K399" s="6" t="n">
        <v>2449.22</v>
      </c>
      <c r="L399" s="6" t="n">
        <v>2449.22</v>
      </c>
      <c r="M399" s="6" t="n">
        <v>2449.22</v>
      </c>
      <c r="N399" s="3" t="inlineStr">
        <is>
          <t>Sí</t>
        </is>
      </c>
      <c r="O399" s="6">
        <f>IF(K399="","",IF(N399="Sí",ROUND(K399/1.18,2),K399))</f>
        <v/>
      </c>
      <c r="P399" s="3" t="inlineStr">
        <is>
          <t>2026-09-10</t>
        </is>
      </c>
      <c r="Q399" s="4" t="inlineStr">
        <is>
          <t>CerArte</t>
        </is>
      </c>
      <c r="V399" s="7" t="inlineStr">
        <is>
          <t>23 x 20 cm</t>
        </is>
      </c>
      <c r="AE399" s="7" t="inlineStr">
        <is>
          <t>piso y pared</t>
        </is>
      </c>
      <c r="AF399" s="4" t="inlineStr">
        <is>
          <t>material: porcelanato · acabado: pulido</t>
        </is>
      </c>
    </row>
    <row r="400">
      <c r="A400" s="3" t="inlineStr">
        <is>
          <t>MAT-08-178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 y pared, 240 x 120 cm</t>
        </is>
      </c>
      <c r="E400" s="4" t="inlineStr"/>
      <c r="F400" s="3" t="inlineStr">
        <is>
          <t>m²</t>
        </is>
      </c>
      <c r="G400" s="3" t="inlineStr">
        <is>
          <t>Pisos</t>
        </is>
      </c>
      <c r="H400" s="3" t="inlineStr">
        <is>
          <t>estandar</t>
        </is>
      </c>
      <c r="I400" s="3" t="inlineStr">
        <is>
          <t>importado</t>
        </is>
      </c>
      <c r="J400" s="5" t="n">
        <v>1</v>
      </c>
      <c r="K400" s="6" t="n">
        <v>7223.87</v>
      </c>
      <c r="L400" s="6" t="n">
        <v>6824.2</v>
      </c>
      <c r="M400" s="6" t="n">
        <v>9192.92</v>
      </c>
      <c r="N400" s="3" t="inlineStr">
        <is>
          <t>Sí</t>
        </is>
      </c>
      <c r="O400" s="6">
        <f>IF(K400="","",IF(N400="Sí",ROUND(K400/1.18,2),K400))</f>
        <v/>
      </c>
      <c r="P400" s="3" t="inlineStr">
        <is>
          <t>2026-09-10</t>
        </is>
      </c>
      <c r="Q400" s="4" t="inlineStr">
        <is>
          <t>CerArte</t>
        </is>
      </c>
      <c r="V400" s="7" t="inlineStr">
        <is>
          <t>240 x 120 cm</t>
        </is>
      </c>
      <c r="AE400" s="7" t="inlineStr">
        <is>
          <t>piso y pared</t>
        </is>
      </c>
      <c r="AF400" s="4" t="inlineStr">
        <is>
          <t>material: porcelanato</t>
        </is>
      </c>
    </row>
    <row r="401">
      <c r="A401" s="3" t="inlineStr">
        <is>
          <t>MAT-08-179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 y pared, 270 x 120 cm</t>
        </is>
      </c>
      <c r="E401" s="4" t="inlineStr"/>
      <c r="F401" s="3" t="inlineStr">
        <is>
          <t>m²</t>
        </is>
      </c>
      <c r="G401" s="3" t="inlineStr">
        <is>
          <t>Pisos</t>
        </is>
      </c>
      <c r="H401" s="3" t="inlineStr">
        <is>
          <t>estandar</t>
        </is>
      </c>
      <c r="I401" s="3" t="inlineStr">
        <is>
          <t>importado</t>
        </is>
      </c>
      <c r="J401" s="5" t="n">
        <v>1</v>
      </c>
      <c r="K401" s="6" t="n">
        <v>5758.12</v>
      </c>
      <c r="L401" s="6" t="n">
        <v>5758.12</v>
      </c>
      <c r="M401" s="6" t="n">
        <v>5758.12</v>
      </c>
      <c r="N401" s="3" t="inlineStr">
        <is>
          <t>Sí</t>
        </is>
      </c>
      <c r="O401" s="6">
        <f>IF(K401="","",IF(N401="Sí",ROUND(K401/1.18,2),K401))</f>
        <v/>
      </c>
      <c r="P401" s="3" t="inlineStr">
        <is>
          <t>2026-09-10</t>
        </is>
      </c>
      <c r="Q401" s="4" t="inlineStr">
        <is>
          <t>CerArte</t>
        </is>
      </c>
      <c r="V401" s="7" t="inlineStr">
        <is>
          <t>270 x 120 cm</t>
        </is>
      </c>
      <c r="AE401" s="7" t="inlineStr">
        <is>
          <t>piso y pared</t>
        </is>
      </c>
      <c r="AF401" s="4" t="inlineStr">
        <is>
          <t>material: porcelanato · acabado: mate</t>
        </is>
      </c>
    </row>
    <row r="402">
      <c r="A402" s="3" t="inlineStr">
        <is>
          <t>MAT-08-180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 y pared, 280 x 120 cm</t>
        </is>
      </c>
      <c r="E402" s="4" t="inlineStr"/>
      <c r="F402" s="3" t="inlineStr">
        <is>
          <t>m²</t>
        </is>
      </c>
      <c r="G402" s="3" t="inlineStr">
        <is>
          <t>Pisos</t>
        </is>
      </c>
      <c r="H402" s="3" t="inlineStr">
        <is>
          <t>estandar</t>
        </is>
      </c>
      <c r="I402" s="3" t="inlineStr">
        <is>
          <t>importado</t>
        </is>
      </c>
      <c r="J402" s="5" t="n">
        <v>1</v>
      </c>
      <c r="K402" s="6" t="n">
        <v>7278.68</v>
      </c>
      <c r="L402" s="6" t="n">
        <v>6843.82</v>
      </c>
      <c r="M402" s="6" t="n">
        <v>7777.42</v>
      </c>
      <c r="N402" s="3" t="inlineStr">
        <is>
          <t>Sí</t>
        </is>
      </c>
      <c r="O402" s="6">
        <f>IF(K402="","",IF(N402="Sí",ROUND(K402/1.18,2),K402))</f>
        <v/>
      </c>
      <c r="P402" s="3" t="inlineStr">
        <is>
          <t>2026-09-10</t>
        </is>
      </c>
      <c r="Q402" s="4" t="inlineStr">
        <is>
          <t>CerArte</t>
        </is>
      </c>
      <c r="V402" s="7" t="inlineStr">
        <is>
          <t>280 x 120 cm</t>
        </is>
      </c>
      <c r="AE402" s="7" t="inlineStr">
        <is>
          <t>piso y pared</t>
        </is>
      </c>
      <c r="AF402" s="4" t="inlineStr">
        <is>
          <t>material: porcelanato · acabado: pulido</t>
        </is>
      </c>
    </row>
    <row r="403">
      <c r="A403" s="3" t="inlineStr">
        <is>
          <t>MAT-08-181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 y pared, 30 x 10 cm</t>
        </is>
      </c>
      <c r="E403" s="4" t="inlineStr"/>
      <c r="F403" s="3" t="inlineStr">
        <is>
          <t>m²</t>
        </is>
      </c>
      <c r="G403" s="3" t="inlineStr">
        <is>
          <t>Pisos</t>
        </is>
      </c>
      <c r="H403" s="3" t="inlineStr">
        <is>
          <t>estandar</t>
        </is>
      </c>
      <c r="I403" s="3" t="inlineStr">
        <is>
          <t>importado</t>
        </is>
      </c>
      <c r="J403" s="5" t="n">
        <v>1</v>
      </c>
      <c r="K403" s="6" t="n">
        <v>2835.14</v>
      </c>
      <c r="L403" s="6" t="n">
        <v>2835.14</v>
      </c>
      <c r="M403" s="6" t="n">
        <v>3197.35</v>
      </c>
      <c r="N403" s="3" t="inlineStr">
        <is>
          <t>Sí</t>
        </is>
      </c>
      <c r="O403" s="6">
        <f>IF(K403="","",IF(N403="Sí",ROUND(K403/1.18,2),K403))</f>
        <v/>
      </c>
      <c r="P403" s="3" t="inlineStr">
        <is>
          <t>2026-09-10</t>
        </is>
      </c>
      <c r="Q403" s="4" t="inlineStr">
        <is>
          <t>CerArte</t>
        </is>
      </c>
      <c r="V403" s="7" t="inlineStr">
        <is>
          <t>30 x 10 cm</t>
        </is>
      </c>
      <c r="AE403" s="7" t="inlineStr">
        <is>
          <t>piso y pared</t>
        </is>
      </c>
      <c r="AF403" s="4" t="inlineStr">
        <is>
          <t>material: porcelanato · acabado: pulido</t>
        </is>
      </c>
    </row>
    <row r="404">
      <c r="A404" s="3" t="inlineStr">
        <is>
          <t>MAT-08-182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 y pared, 30 x 30 cm</t>
        </is>
      </c>
      <c r="E404" s="4" t="inlineStr"/>
      <c r="F404" s="3" t="inlineStr">
        <is>
          <t>m²</t>
        </is>
      </c>
      <c r="G404" s="3" t="inlineStr">
        <is>
          <t>Pisos</t>
        </is>
      </c>
      <c r="H404" s="3" t="inlineStr">
        <is>
          <t>estandar</t>
        </is>
      </c>
      <c r="I404" s="3" t="inlineStr">
        <is>
          <t>importado</t>
        </is>
      </c>
      <c r="J404" s="5" t="n">
        <v>2</v>
      </c>
      <c r="K404" s="6" t="n">
        <v>2649.01</v>
      </c>
      <c r="L404" s="6" t="n">
        <v>812.1</v>
      </c>
      <c r="M404" s="6" t="n">
        <v>3050.17</v>
      </c>
      <c r="N404" s="3" t="inlineStr">
        <is>
          <t>Sí</t>
        </is>
      </c>
      <c r="O404" s="6">
        <f>IF(K404="","",IF(N404="Sí",ROUND(K404/1.18,2),K404))</f>
        <v/>
      </c>
      <c r="P404" s="3" t="inlineStr">
        <is>
          <t>2026-09-10</t>
        </is>
      </c>
      <c r="Q404" s="4" t="inlineStr">
        <is>
          <t>CerArte · Ferretería Ochoa (8A)</t>
        </is>
      </c>
      <c r="U404" s="7" t="n">
        <v>30</v>
      </c>
      <c r="V404" s="7" t="inlineStr">
        <is>
          <t>30 x 30 cm</t>
        </is>
      </c>
      <c r="AE404" s="7" t="inlineStr">
        <is>
          <t>piso y pared</t>
        </is>
      </c>
      <c r="AF404" s="4" t="inlineStr">
        <is>
          <t>material: porcelanato · ancho_cm: 30 · piezas_m2: 10</t>
        </is>
      </c>
    </row>
    <row r="405">
      <c r="A405" s="3" t="inlineStr">
        <is>
          <t>MAT-08-183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 y pared, 300 x 100 cm</t>
        </is>
      </c>
      <c r="E405" s="4" t="inlineStr"/>
      <c r="F405" s="3" t="inlineStr">
        <is>
          <t>m²</t>
        </is>
      </c>
      <c r="G405" s="3" t="inlineStr">
        <is>
          <t>Pisos</t>
        </is>
      </c>
      <c r="H405" s="3" t="inlineStr">
        <is>
          <t>estandar</t>
        </is>
      </c>
      <c r="I405" s="3" t="inlineStr">
        <is>
          <t>importado</t>
        </is>
      </c>
      <c r="J405" s="5" t="n">
        <v>1</v>
      </c>
      <c r="K405" s="6" t="n">
        <v>7262.22</v>
      </c>
      <c r="L405" s="6" t="n">
        <v>7262.22</v>
      </c>
      <c r="M405" s="6" t="n">
        <v>7262.22</v>
      </c>
      <c r="N405" s="3" t="inlineStr">
        <is>
          <t>Sí</t>
        </is>
      </c>
      <c r="O405" s="6">
        <f>IF(K405="","",IF(N405="Sí",ROUND(K405/1.18,2),K405))</f>
        <v/>
      </c>
      <c r="P405" s="3" t="inlineStr">
        <is>
          <t>2026-09-10</t>
        </is>
      </c>
      <c r="Q405" s="4" t="inlineStr">
        <is>
          <t>CerArte</t>
        </is>
      </c>
      <c r="V405" s="7" t="inlineStr">
        <is>
          <t>300 x 100 cm</t>
        </is>
      </c>
      <c r="AE405" s="7" t="inlineStr">
        <is>
          <t>piso y pared</t>
        </is>
      </c>
      <c r="AF405" s="4" t="inlineStr">
        <is>
          <t>material: porcelanato · acabado: mate</t>
        </is>
      </c>
    </row>
    <row r="406">
      <c r="A406" s="3" t="inlineStr">
        <is>
          <t>MAT-08-184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 y pared, 300 x 150 cm</t>
        </is>
      </c>
      <c r="E406" s="4" t="inlineStr"/>
      <c r="F406" s="3" t="inlineStr">
        <is>
          <t>m²</t>
        </is>
      </c>
      <c r="G406" s="3" t="inlineStr">
        <is>
          <t>Pisos</t>
        </is>
      </c>
      <c r="H406" s="3" t="inlineStr">
        <is>
          <t>estandar</t>
        </is>
      </c>
      <c r="I406" s="3" t="inlineStr">
        <is>
          <t>importado</t>
        </is>
      </c>
      <c r="J406" s="5" t="n">
        <v>1</v>
      </c>
      <c r="K406" s="6" t="n">
        <v>9310.93</v>
      </c>
      <c r="L406" s="6" t="n">
        <v>7176.34</v>
      </c>
      <c r="M406" s="6" t="n">
        <v>9485.42</v>
      </c>
      <c r="N406" s="3" t="inlineStr">
        <is>
          <t>Sí</t>
        </is>
      </c>
      <c r="O406" s="6">
        <f>IF(K406="","",IF(N406="Sí",ROUND(K406/1.18,2),K406))</f>
        <v/>
      </c>
      <c r="P406" s="3" t="inlineStr">
        <is>
          <t>2026-09-10</t>
        </is>
      </c>
      <c r="Q406" s="4" t="inlineStr">
        <is>
          <t>CerArte</t>
        </is>
      </c>
      <c r="V406" s="7" t="inlineStr">
        <is>
          <t>300 x 150 cm</t>
        </is>
      </c>
      <c r="AE406" s="7" t="inlineStr">
        <is>
          <t>piso y pared</t>
        </is>
      </c>
      <c r="AF406" s="4" t="inlineStr">
        <is>
          <t>material: porcelanato</t>
        </is>
      </c>
    </row>
    <row r="407">
      <c r="A407" s="3" t="inlineStr">
        <is>
          <t>MAT-08-185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 y pared, 324 x 160 cm</t>
        </is>
      </c>
      <c r="E407" s="4" t="inlineStr"/>
      <c r="F407" s="3" t="inlineStr">
        <is>
          <t>m²</t>
        </is>
      </c>
      <c r="G407" s="3" t="inlineStr">
        <is>
          <t>Pisos</t>
        </is>
      </c>
      <c r="H407" s="3" t="inlineStr">
        <is>
          <t>estandar</t>
        </is>
      </c>
      <c r="I407" s="3" t="inlineStr">
        <is>
          <t>importado</t>
        </is>
      </c>
      <c r="J407" s="5" t="n">
        <v>1</v>
      </c>
      <c r="K407" s="6" t="n">
        <v>14792.34</v>
      </c>
      <c r="L407" s="6" t="n">
        <v>4125.46</v>
      </c>
      <c r="M407" s="6" t="n">
        <v>19490.82</v>
      </c>
      <c r="N407" s="3" t="inlineStr">
        <is>
          <t>Sí</t>
        </is>
      </c>
      <c r="O407" s="6">
        <f>IF(K407="","",IF(N407="Sí",ROUND(K407/1.18,2),K407))</f>
        <v/>
      </c>
      <c r="P407" s="3" t="inlineStr">
        <is>
          <t>2026-09-10</t>
        </is>
      </c>
      <c r="Q407" s="4" t="inlineStr">
        <is>
          <t>CerArte</t>
        </is>
      </c>
      <c r="V407" s="7" t="inlineStr">
        <is>
          <t>324 x 160 cm</t>
        </is>
      </c>
      <c r="AE407" s="7" t="inlineStr">
        <is>
          <t>piso y pared</t>
        </is>
      </c>
      <c r="AF407" s="4" t="inlineStr">
        <is>
          <t>material: porcelanato</t>
        </is>
      </c>
    </row>
    <row r="408">
      <c r="A408" s="3" t="inlineStr">
        <is>
          <t>MAT-08-186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 y pared, 45 x 45 cm</t>
        </is>
      </c>
      <c r="E408" s="4" t="inlineStr"/>
      <c r="F408" s="3" t="inlineStr">
        <is>
          <t>m²</t>
        </is>
      </c>
      <c r="G408" s="3" t="inlineStr">
        <is>
          <t>Pisos</t>
        </is>
      </c>
      <c r="H408" s="3" t="inlineStr">
        <is>
          <t>estandar</t>
        </is>
      </c>
      <c r="I408" s="3" t="inlineStr">
        <is>
          <t>importado</t>
        </is>
      </c>
      <c r="J408" s="5" t="n">
        <v>1</v>
      </c>
      <c r="K408" s="6" t="n">
        <v>764.38</v>
      </c>
      <c r="L408" s="6" t="n">
        <v>710.61</v>
      </c>
      <c r="M408" s="6" t="n">
        <v>857.97</v>
      </c>
      <c r="N408" s="3" t="inlineStr">
        <is>
          <t>Sí</t>
        </is>
      </c>
      <c r="O408" s="6">
        <f>IF(K408="","",IF(N408="Sí",ROUND(K408/1.18,2),K408))</f>
        <v/>
      </c>
      <c r="P408" s="3" t="inlineStr">
        <is>
          <t>2026-09-09</t>
        </is>
      </c>
      <c r="Q408" s="4" t="inlineStr">
        <is>
          <t>Ferretería Ochoa (8A)</t>
        </is>
      </c>
      <c r="U408" s="7" t="n">
        <v>45</v>
      </c>
      <c r="V408" s="7" t="inlineStr">
        <is>
          <t>45 x 45 cm</t>
        </is>
      </c>
      <c r="AE408" s="7" t="inlineStr">
        <is>
          <t>piso y pared</t>
        </is>
      </c>
      <c r="AF408" s="4" t="inlineStr">
        <is>
          <t>material: porcelanato · ancho_cm: 45 · piezas_m2: 4.93 · acabado: mate</t>
        </is>
      </c>
    </row>
    <row r="409">
      <c r="A409" s="3" t="inlineStr">
        <is>
          <t>MAT-08-187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 y pared, 55 x 33 cm</t>
        </is>
      </c>
      <c r="E409" s="4" t="inlineStr"/>
      <c r="F409" s="3" t="inlineStr">
        <is>
          <t>m²</t>
        </is>
      </c>
      <c r="G409" s="3" t="inlineStr">
        <is>
          <t>Pisos</t>
        </is>
      </c>
      <c r="H409" s="3" t="inlineStr">
        <is>
          <t>estandar</t>
        </is>
      </c>
      <c r="I409" s="3" t="inlineStr">
        <is>
          <t>importado</t>
        </is>
      </c>
      <c r="J409" s="5" t="n">
        <v>1</v>
      </c>
      <c r="K409" s="6" t="n">
        <v>839.97</v>
      </c>
      <c r="L409" s="6" t="n">
        <v>839.97</v>
      </c>
      <c r="M409" s="6" t="n">
        <v>839.97</v>
      </c>
      <c r="N409" s="3" t="inlineStr">
        <is>
          <t>Sí</t>
        </is>
      </c>
      <c r="O409" s="6">
        <f>IF(K409="","",IF(N409="Sí",ROUND(K409/1.18,2),K409))</f>
        <v/>
      </c>
      <c r="P409" s="3" t="inlineStr">
        <is>
          <t>2026-09-09</t>
        </is>
      </c>
      <c r="Q409" s="4" t="inlineStr">
        <is>
          <t>Ferretería Ochoa (8A)</t>
        </is>
      </c>
      <c r="U409" s="7" t="n">
        <v>55</v>
      </c>
      <c r="V409" s="7" t="inlineStr">
        <is>
          <t>55 x 33 cm</t>
        </is>
      </c>
      <c r="AE409" s="7" t="inlineStr">
        <is>
          <t>piso y pared</t>
        </is>
      </c>
      <c r="AF409" s="4" t="inlineStr">
        <is>
          <t>material: porcelanato · ancho_cm: 33 · piezas_m2: 5.43</t>
        </is>
      </c>
    </row>
    <row r="410">
      <c r="A410" s="3" t="inlineStr">
        <is>
          <t>MAT-08-188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 y pared, 58 x 58 cm</t>
        </is>
      </c>
      <c r="E410" s="4" t="inlineStr"/>
      <c r="F410" s="3" t="inlineStr">
        <is>
          <t>m²</t>
        </is>
      </c>
      <c r="G410" s="3" t="inlineStr">
        <is>
          <t>Pisos</t>
        </is>
      </c>
      <c r="H410" s="3" t="inlineStr">
        <is>
          <t>estandar</t>
        </is>
      </c>
      <c r="I410" s="3" t="inlineStr">
        <is>
          <t>importado</t>
        </is>
      </c>
      <c r="J410" s="5" t="n">
        <v>1</v>
      </c>
      <c r="K410" s="6" t="n">
        <v>2571.44</v>
      </c>
      <c r="L410" s="6" t="n">
        <v>2571.44</v>
      </c>
      <c r="M410" s="6" t="n">
        <v>2571.44</v>
      </c>
      <c r="N410" s="3" t="inlineStr">
        <is>
          <t>Sí</t>
        </is>
      </c>
      <c r="O410" s="6">
        <f>IF(K410="","",IF(N410="Sí",ROUND(K410/1.18,2),K410))</f>
        <v/>
      </c>
      <c r="P410" s="3" t="inlineStr">
        <is>
          <t>2026-09-09</t>
        </is>
      </c>
      <c r="Q410" s="4" t="inlineStr">
        <is>
          <t>Ferretería Ochoa (8A)</t>
        </is>
      </c>
      <c r="U410" s="7" t="n">
        <v>58</v>
      </c>
      <c r="V410" s="7" t="inlineStr">
        <is>
          <t>58 x 58 cm</t>
        </is>
      </c>
      <c r="AE410" s="7" t="inlineStr">
        <is>
          <t>piso y pared</t>
        </is>
      </c>
      <c r="AF410" s="4" t="inlineStr">
        <is>
          <t>material: porcelanato · ancho_cm: 58 · piezas_m2: 2.92</t>
        </is>
      </c>
    </row>
    <row r="411">
      <c r="A411" s="3" t="inlineStr">
        <is>
          <t>MAT-08-189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60 x 20 cm</t>
        </is>
      </c>
      <c r="E411" s="4" t="inlineStr"/>
      <c r="F411" s="3" t="inlineStr">
        <is>
          <t>m²</t>
        </is>
      </c>
      <c r="G411" s="3" t="inlineStr">
        <is>
          <t>Pisos</t>
        </is>
      </c>
      <c r="H411" s="3" t="inlineStr">
        <is>
          <t>estandar</t>
        </is>
      </c>
      <c r="I411" s="3" t="inlineStr">
        <is>
          <t>importado</t>
        </is>
      </c>
      <c r="J411" s="5" t="n">
        <v>1</v>
      </c>
      <c r="K411" s="6" t="n">
        <v>482.11</v>
      </c>
      <c r="L411" s="6" t="n">
        <v>482.11</v>
      </c>
      <c r="M411" s="6" t="n">
        <v>482.11</v>
      </c>
      <c r="N411" s="3" t="inlineStr">
        <is>
          <t>Sí</t>
        </is>
      </c>
      <c r="O411" s="6">
        <f>IF(K411="","",IF(N411="Sí",ROUND(K411/1.18,2),K411))</f>
        <v/>
      </c>
      <c r="P411" s="3" t="inlineStr">
        <is>
          <t>2026-09-09</t>
        </is>
      </c>
      <c r="Q411" s="4" t="inlineStr">
        <is>
          <t>Ferretería Ochoa (8A)</t>
        </is>
      </c>
      <c r="U411" s="7" t="n">
        <v>60</v>
      </c>
      <c r="V411" s="7" t="inlineStr">
        <is>
          <t>60 x 20 cm</t>
        </is>
      </c>
      <c r="AE411" s="7" t="inlineStr">
        <is>
          <t>piso y pared</t>
        </is>
      </c>
      <c r="AF411" s="4" t="inlineStr">
        <is>
          <t>material: porcelanato · ancho_cm: 20 · piezas_m2: 8.23 · acabado: mate · espesor_mm: 10</t>
        </is>
      </c>
    </row>
    <row r="412">
      <c r="A412" s="3" t="inlineStr">
        <is>
          <t>MAT-08-190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60 x 30 cm</t>
        </is>
      </c>
      <c r="E412" s="4" t="inlineStr"/>
      <c r="F412" s="3" t="inlineStr">
        <is>
          <t>m²</t>
        </is>
      </c>
      <c r="G412" s="3" t="inlineStr">
        <is>
          <t>Pisos</t>
        </is>
      </c>
      <c r="H412" s="3" t="inlineStr">
        <is>
          <t>estandar</t>
        </is>
      </c>
      <c r="I412" s="3" t="inlineStr">
        <is>
          <t>importado</t>
        </is>
      </c>
      <c r="J412" s="5" t="n">
        <v>2</v>
      </c>
      <c r="K412" s="6" t="n">
        <v>1371.18</v>
      </c>
      <c r="L412" s="6" t="n">
        <v>778.8</v>
      </c>
      <c r="M412" s="6" t="n">
        <v>2805.98</v>
      </c>
      <c r="N412" s="3" t="inlineStr">
        <is>
          <t>Sí</t>
        </is>
      </c>
      <c r="O412" s="6">
        <f>IF(K412="","",IF(N412="Sí",ROUND(K412/1.18,2),K412))</f>
        <v/>
      </c>
      <c r="P412" s="3" t="inlineStr">
        <is>
          <t>2026-09-10</t>
        </is>
      </c>
      <c r="Q412" s="4" t="inlineStr">
        <is>
          <t>CerArte · Ferretería Ochoa (8A)</t>
        </is>
      </c>
      <c r="U412" s="7" t="n">
        <v>60</v>
      </c>
      <c r="V412" s="7" t="inlineStr">
        <is>
          <t>60 x 30 cm</t>
        </is>
      </c>
      <c r="AE412" s="7" t="inlineStr">
        <is>
          <t>piso y pared</t>
        </is>
      </c>
      <c r="AF412" s="4" t="inlineStr">
        <is>
          <t>material: porcelanato · ancho_cm: 30</t>
        </is>
      </c>
    </row>
    <row r="413">
      <c r="A413" s="3" t="inlineStr">
        <is>
          <t>MAT-08-191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60 x 60 cm</t>
        </is>
      </c>
      <c r="E413" s="4" t="inlineStr"/>
      <c r="F413" s="3" t="inlineStr">
        <is>
          <t>m²</t>
        </is>
      </c>
      <c r="G413" s="3" t="inlineStr">
        <is>
          <t>Pisos</t>
        </is>
      </c>
      <c r="H413" s="3" t="inlineStr">
        <is>
          <t>estandar</t>
        </is>
      </c>
      <c r="I413" s="3" t="inlineStr">
        <is>
          <t>importado</t>
        </is>
      </c>
      <c r="J413" s="5" t="n">
        <v>2</v>
      </c>
      <c r="K413" s="6" t="n">
        <v>1318</v>
      </c>
      <c r="L413" s="6" t="n">
        <v>518.13</v>
      </c>
      <c r="M413" s="6" t="n">
        <v>2562.78</v>
      </c>
      <c r="N413" s="3" t="inlineStr">
        <is>
          <t>Sí</t>
        </is>
      </c>
      <c r="O413" s="6">
        <f>IF(K413="","",IF(N413="Sí",ROUND(K413/1.18,2),K413))</f>
        <v/>
      </c>
      <c r="P413" s="3" t="inlineStr">
        <is>
          <t>2026-09-10</t>
        </is>
      </c>
      <c r="Q413" s="4" t="inlineStr">
        <is>
          <t>CerArte · Ferretería Ochoa (8A)</t>
        </is>
      </c>
      <c r="U413" s="7" t="n">
        <v>60</v>
      </c>
      <c r="V413" s="7" t="inlineStr">
        <is>
          <t>60 x 60 cm</t>
        </is>
      </c>
      <c r="AE413" s="7" t="inlineStr">
        <is>
          <t>piso y pared</t>
        </is>
      </c>
      <c r="AF413" s="4" t="inlineStr">
        <is>
          <t>material: porcelanato · ancho_cm: 60</t>
        </is>
      </c>
    </row>
    <row r="414">
      <c r="A414" s="3" t="inlineStr">
        <is>
          <t>MAT-08-192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75 x 25 cm</t>
        </is>
      </c>
      <c r="E414" s="4" t="inlineStr"/>
      <c r="F414" s="3" t="inlineStr">
        <is>
          <t>m²</t>
        </is>
      </c>
      <c r="G414" s="3" t="inlineStr">
        <is>
          <t>Pisos</t>
        </is>
      </c>
      <c r="H414" s="3" t="inlineStr">
        <is>
          <t>estandar</t>
        </is>
      </c>
      <c r="I414" s="3" t="inlineStr">
        <is>
          <t>importado</t>
        </is>
      </c>
      <c r="J414" s="5" t="n">
        <v>1</v>
      </c>
      <c r="K414" s="6" t="n">
        <v>1403.05</v>
      </c>
      <c r="L414" s="6" t="n">
        <v>1146.06</v>
      </c>
      <c r="M414" s="6" t="n">
        <v>1689.5</v>
      </c>
      <c r="N414" s="3" t="inlineStr">
        <is>
          <t>Sí</t>
        </is>
      </c>
      <c r="O414" s="6">
        <f>IF(K414="","",IF(N414="Sí",ROUND(K414/1.18,2),K414))</f>
        <v/>
      </c>
      <c r="P414" s="3" t="inlineStr">
        <is>
          <t>2026-09-09</t>
        </is>
      </c>
      <c r="Q414" s="4" t="inlineStr">
        <is>
          <t>Ferretería Ochoa (8A)</t>
        </is>
      </c>
      <c r="U414" s="7" t="n">
        <v>75</v>
      </c>
      <c r="V414" s="7" t="inlineStr">
        <is>
          <t>75 x 25 cm</t>
        </is>
      </c>
      <c r="AE414" s="7" t="inlineStr">
        <is>
          <t>piso y pared</t>
        </is>
      </c>
      <c r="AF414" s="4" t="inlineStr">
        <is>
          <t>material: porcelanato · ancho_cm: 25 · piezas_m2: 5.33 · acabado: mate · espesor_mm: 10</t>
        </is>
      </c>
    </row>
    <row r="415">
      <c r="A415" s="3" t="inlineStr">
        <is>
          <t>MAT-08-193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75 x 75 cm</t>
        </is>
      </c>
      <c r="E415" s="4" t="inlineStr"/>
      <c r="F415" s="3" t="inlineStr">
        <is>
          <t>m²</t>
        </is>
      </c>
      <c r="G415" s="3" t="inlineStr">
        <is>
          <t>Pisos</t>
        </is>
      </c>
      <c r="H415" s="3" t="inlineStr">
        <is>
          <t>estandar</t>
        </is>
      </c>
      <c r="I415" s="3" t="inlineStr">
        <is>
          <t>importado</t>
        </is>
      </c>
      <c r="J415" s="5" t="n">
        <v>1</v>
      </c>
      <c r="K415" s="6" t="n">
        <v>1400.04</v>
      </c>
      <c r="L415" s="6" t="n">
        <v>1400.03</v>
      </c>
      <c r="M415" s="6" t="n">
        <v>1400.05</v>
      </c>
      <c r="N415" s="3" t="inlineStr">
        <is>
          <t>Sí</t>
        </is>
      </c>
      <c r="O415" s="6">
        <f>IF(K415="","",IF(N415="Sí",ROUND(K415/1.18,2),K415))</f>
        <v/>
      </c>
      <c r="P415" s="3" t="inlineStr">
        <is>
          <t>2026-09-10</t>
        </is>
      </c>
      <c r="Q415" s="4" t="inlineStr">
        <is>
          <t>CerArte</t>
        </is>
      </c>
      <c r="V415" s="7" t="inlineStr">
        <is>
          <t>75 x 75 cm</t>
        </is>
      </c>
      <c r="AE415" s="7" t="inlineStr">
        <is>
          <t>piso y pared</t>
        </is>
      </c>
      <c r="AF415" s="4" t="inlineStr">
        <is>
          <t>material: porcelanato · acabado: mate</t>
        </is>
      </c>
    </row>
    <row r="416">
      <c r="A416" s="3" t="inlineStr">
        <is>
          <t>MAT-08-194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80 x 80 cm</t>
        </is>
      </c>
      <c r="E416" s="4" t="inlineStr"/>
      <c r="F416" s="3" t="inlineStr">
        <is>
          <t>m²</t>
        </is>
      </c>
      <c r="G416" s="3" t="inlineStr">
        <is>
          <t>Pisos</t>
        </is>
      </c>
      <c r="H416" s="3" t="inlineStr">
        <is>
          <t>estandar</t>
        </is>
      </c>
      <c r="I416" s="3" t="inlineStr">
        <is>
          <t>importado</t>
        </is>
      </c>
      <c r="J416" s="5" t="n">
        <v>1</v>
      </c>
      <c r="K416" s="6" t="n">
        <v>1662.02</v>
      </c>
      <c r="L416" s="6" t="n">
        <v>1324.23</v>
      </c>
      <c r="M416" s="6" t="n">
        <v>2414.91</v>
      </c>
      <c r="N416" s="3" t="inlineStr">
        <is>
          <t>Sí</t>
        </is>
      </c>
      <c r="O416" s="6">
        <f>IF(K416="","",IF(N416="Sí",ROUND(K416/1.18,2),K416))</f>
        <v/>
      </c>
      <c r="P416" s="3" t="inlineStr">
        <is>
          <t>2026-09-10</t>
        </is>
      </c>
      <c r="Q416" s="4" t="inlineStr">
        <is>
          <t>CerArte</t>
        </is>
      </c>
      <c r="V416" s="7" t="inlineStr">
        <is>
          <t>80 x 80 cm</t>
        </is>
      </c>
      <c r="AE416" s="7" t="inlineStr">
        <is>
          <t>piso y pared</t>
        </is>
      </c>
      <c r="AF416" s="4" t="inlineStr">
        <is>
          <t>material: porcelanato</t>
        </is>
      </c>
    </row>
    <row r="417">
      <c r="A417" s="3" t="inlineStr">
        <is>
          <t>MAT-08-195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90 x 15 cm</t>
        </is>
      </c>
      <c r="E417" s="4" t="inlineStr"/>
      <c r="F417" s="3" t="inlineStr">
        <is>
          <t>m²</t>
        </is>
      </c>
      <c r="G417" s="3" t="inlineStr">
        <is>
          <t>Pisos</t>
        </is>
      </c>
      <c r="H417" s="3" t="inlineStr">
        <is>
          <t>estandar</t>
        </is>
      </c>
      <c r="I417" s="3" t="inlineStr">
        <is>
          <t>importado</t>
        </is>
      </c>
      <c r="J417" s="5" t="n">
        <v>1</v>
      </c>
      <c r="K417" s="6" t="n">
        <v>1835.57</v>
      </c>
      <c r="L417" s="6" t="n">
        <v>1835.57</v>
      </c>
      <c r="M417" s="6" t="n">
        <v>1835.57</v>
      </c>
      <c r="N417" s="3" t="inlineStr">
        <is>
          <t>Sí</t>
        </is>
      </c>
      <c r="O417" s="6">
        <f>IF(K417="","",IF(N417="Sí",ROUND(K417/1.18,2),K417))</f>
        <v/>
      </c>
      <c r="P417" s="3" t="inlineStr">
        <is>
          <t>2026-09-09</t>
        </is>
      </c>
      <c r="Q417" s="4" t="inlineStr">
        <is>
          <t>Ferretería Ochoa (8A)</t>
        </is>
      </c>
      <c r="U417" s="7" t="n">
        <v>90</v>
      </c>
      <c r="V417" s="7" t="inlineStr">
        <is>
          <t>90 x 15 cm</t>
        </is>
      </c>
      <c r="AE417" s="7" t="inlineStr">
        <is>
          <t>piso y pared</t>
        </is>
      </c>
      <c r="AF417" s="4" t="inlineStr">
        <is>
          <t>material: porcelanato · ancho_cm: 15 · piezas_m2: 7.4 · acabado: mate · espesor_mm: 10</t>
        </is>
      </c>
    </row>
    <row r="418">
      <c r="A418" s="3" t="inlineStr">
        <is>
          <t>MAT-08-196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90 x 20 cm</t>
        </is>
      </c>
      <c r="E418" s="4" t="inlineStr"/>
      <c r="F418" s="3" t="inlineStr">
        <is>
          <t>m²</t>
        </is>
      </c>
      <c r="G418" s="3" t="inlineStr">
        <is>
          <t>Pisos</t>
        </is>
      </c>
      <c r="H418" s="3" t="inlineStr">
        <is>
          <t>estandar</t>
        </is>
      </c>
      <c r="I418" s="3" t="inlineStr">
        <is>
          <t>importado</t>
        </is>
      </c>
      <c r="J418" s="5" t="n">
        <v>1</v>
      </c>
      <c r="K418" s="6" t="n">
        <v>1649.86</v>
      </c>
      <c r="L418" s="6" t="n">
        <v>1649.86</v>
      </c>
      <c r="M418" s="6" t="n">
        <v>1649.86</v>
      </c>
      <c r="N418" s="3" t="inlineStr">
        <is>
          <t>Sí</t>
        </is>
      </c>
      <c r="O418" s="6">
        <f>IF(K418="","",IF(N418="Sí",ROUND(K418/1.18,2),K418))</f>
        <v/>
      </c>
      <c r="P418" s="3" t="inlineStr">
        <is>
          <t>2026-09-10</t>
        </is>
      </c>
      <c r="Q418" s="4" t="inlineStr">
        <is>
          <t>CerArte</t>
        </is>
      </c>
      <c r="V418" s="7" t="inlineStr">
        <is>
          <t>90 x 20 cm</t>
        </is>
      </c>
      <c r="AE418" s="7" t="inlineStr">
        <is>
          <t>piso y pared</t>
        </is>
      </c>
      <c r="AF418" s="4" t="inlineStr">
        <is>
          <t>material: porcelanato · acabado: mate</t>
        </is>
      </c>
    </row>
    <row r="419">
      <c r="A419" s="3" t="inlineStr">
        <is>
          <t>MAT-08-197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90 x 30 cm</t>
        </is>
      </c>
      <c r="E419" s="4" t="inlineStr"/>
      <c r="F419" s="3" t="inlineStr">
        <is>
          <t>m²</t>
        </is>
      </c>
      <c r="G419" s="3" t="inlineStr">
        <is>
          <t>Pisos</t>
        </is>
      </c>
      <c r="H419" s="3" t="inlineStr">
        <is>
          <t>estandar</t>
        </is>
      </c>
      <c r="I419" s="3" t="inlineStr">
        <is>
          <t>importado</t>
        </is>
      </c>
      <c r="J419" s="5" t="n">
        <v>1</v>
      </c>
      <c r="K419" s="6" t="n">
        <v>2210.12</v>
      </c>
      <c r="L419" s="6" t="n">
        <v>2210.12</v>
      </c>
      <c r="M419" s="6" t="n">
        <v>2210.12</v>
      </c>
      <c r="N419" s="3" t="inlineStr">
        <is>
          <t>Sí</t>
        </is>
      </c>
      <c r="O419" s="6">
        <f>IF(K419="","",IF(N419="Sí",ROUND(K419/1.18,2),K419))</f>
        <v/>
      </c>
      <c r="P419" s="3" t="inlineStr">
        <is>
          <t>2026-09-09</t>
        </is>
      </c>
      <c r="Q419" s="4" t="inlineStr">
        <is>
          <t>Ferretería Ochoa (8A)</t>
        </is>
      </c>
      <c r="U419" s="7" t="n">
        <v>90</v>
      </c>
      <c r="V419" s="7" t="inlineStr">
        <is>
          <t>90 x 30 cm</t>
        </is>
      </c>
      <c r="AE419" s="7" t="inlineStr">
        <is>
          <t>piso y pared</t>
        </is>
      </c>
      <c r="AF419" s="4" t="inlineStr">
        <is>
          <t>material: porcelanato · ancho_cm: 30 · piezas_m2: 3.7 · acabado: mate · espesor_mm: 9</t>
        </is>
      </c>
    </row>
    <row r="420">
      <c r="A420" s="3" t="inlineStr">
        <is>
          <t>MAT-08-198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90 x 45 cm</t>
        </is>
      </c>
      <c r="E420" s="4" t="inlineStr"/>
      <c r="F420" s="3" t="inlineStr">
        <is>
          <t>m²</t>
        </is>
      </c>
      <c r="G420" s="3" t="inlineStr">
        <is>
          <t>Pisos</t>
        </is>
      </c>
      <c r="H420" s="3" t="inlineStr">
        <is>
          <t>estandar</t>
        </is>
      </c>
      <c r="I420" s="3" t="inlineStr">
        <is>
          <t>importado</t>
        </is>
      </c>
      <c r="J420" s="5" t="n">
        <v>2</v>
      </c>
      <c r="K420" s="6" t="n">
        <v>2022.08</v>
      </c>
      <c r="L420" s="6" t="n">
        <v>1630.87</v>
      </c>
      <c r="M420" s="6" t="n">
        <v>6073.73</v>
      </c>
      <c r="N420" s="3" t="inlineStr">
        <is>
          <t>Sí</t>
        </is>
      </c>
      <c r="O420" s="6">
        <f>IF(K420="","",IF(N420="Sí",ROUND(K420/1.18,2),K420))</f>
        <v/>
      </c>
      <c r="P420" s="3" t="inlineStr">
        <is>
          <t>2026-09-10</t>
        </is>
      </c>
      <c r="Q420" s="4" t="inlineStr">
        <is>
          <t>CerArte · Ferretería Ochoa (8A)</t>
        </is>
      </c>
      <c r="U420" s="7" t="n">
        <v>90</v>
      </c>
      <c r="V420" s="7" t="inlineStr">
        <is>
          <t>90 x 45 cm</t>
        </is>
      </c>
      <c r="AE420" s="7" t="inlineStr">
        <is>
          <t>piso y pared</t>
        </is>
      </c>
      <c r="AF420" s="4" t="inlineStr">
        <is>
          <t>material: porcelanato · ancho_cm: 45 · acabado: mate</t>
        </is>
      </c>
    </row>
    <row r="421">
      <c r="A421" s="3" t="inlineStr">
        <is>
          <t>MAT-08-199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90 x 90 cm</t>
        </is>
      </c>
      <c r="E421" s="4" t="inlineStr"/>
      <c r="F421" s="3" t="inlineStr">
        <is>
          <t>m²</t>
        </is>
      </c>
      <c r="G421" s="3" t="inlineStr">
        <is>
          <t>Pisos</t>
        </is>
      </c>
      <c r="H421" s="3" t="inlineStr">
        <is>
          <t>estandar</t>
        </is>
      </c>
      <c r="I421" s="3" t="inlineStr">
        <is>
          <t>importado</t>
        </is>
      </c>
      <c r="J421" s="5" t="n">
        <v>1</v>
      </c>
      <c r="K421" s="6" t="n">
        <v>2167.28</v>
      </c>
      <c r="L421" s="6" t="n">
        <v>2167.28</v>
      </c>
      <c r="M421" s="6" t="n">
        <v>2167.28</v>
      </c>
      <c r="N421" s="3" t="inlineStr">
        <is>
          <t>Sí</t>
        </is>
      </c>
      <c r="O421" s="6">
        <f>IF(K421="","",IF(N421="Sí",ROUND(K421/1.18,2),K421))</f>
        <v/>
      </c>
      <c r="P421" s="3" t="inlineStr">
        <is>
          <t>2026-09-10</t>
        </is>
      </c>
      <c r="Q421" s="4" t="inlineStr">
        <is>
          <t>CerArte</t>
        </is>
      </c>
      <c r="V421" s="7" t="inlineStr">
        <is>
          <t>90 x 90 cm</t>
        </is>
      </c>
      <c r="AE421" s="7" t="inlineStr">
        <is>
          <t>piso y pared</t>
        </is>
      </c>
      <c r="AF421" s="4" t="inlineStr">
        <is>
          <t>material: porcelanato · acabado: mate</t>
        </is>
      </c>
    </row>
    <row r="422">
      <c r="A422" s="3" t="inlineStr">
        <is>
          <t>MAT-08-200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Mosaico cerámico en malla, 2.5 x 2.5 cm</t>
        </is>
      </c>
      <c r="E422" s="4" t="inlineStr"/>
      <c r="F422" s="3" t="inlineStr">
        <is>
          <t>m²</t>
        </is>
      </c>
      <c r="G422" s="3" t="inlineStr">
        <is>
          <t>Pisos</t>
        </is>
      </c>
      <c r="H422" s="3" t="inlineStr">
        <is>
          <t>estandar</t>
        </is>
      </c>
      <c r="I422" s="3" t="inlineStr">
        <is>
          <t>importado</t>
        </is>
      </c>
      <c r="J422" s="5" t="n">
        <v>1</v>
      </c>
      <c r="K422" s="6" t="n">
        <v>495</v>
      </c>
      <c r="L422" s="6" t="n">
        <v>495</v>
      </c>
      <c r="M422" s="6" t="n">
        <v>495</v>
      </c>
      <c r="N422" s="3" t="inlineStr">
        <is>
          <t>Sí</t>
        </is>
      </c>
      <c r="O422" s="6">
        <f>IF(K422="","",IF(N422="Sí",ROUND(K422/1.18,2),K422))</f>
        <v/>
      </c>
      <c r="P422" s="3" t="inlineStr">
        <is>
          <t>2026-09-10</t>
        </is>
      </c>
      <c r="Q422" s="4" t="inlineStr">
        <is>
          <t>La Ibérica</t>
        </is>
      </c>
      <c r="V422" s="7" t="inlineStr">
        <is>
          <t>2.5 x 2.5 cm</t>
        </is>
      </c>
    </row>
    <row r="423">
      <c r="A423" s="3" t="inlineStr">
        <is>
          <t>MAT-08-201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Mosaico cerámico en malla, 20 x 20 cm</t>
        </is>
      </c>
      <c r="E423" s="4" t="inlineStr"/>
      <c r="F423" s="3" t="inlineStr">
        <is>
          <t>m²</t>
        </is>
      </c>
      <c r="G423" s="3" t="inlineStr">
        <is>
          <t>Pisos</t>
        </is>
      </c>
      <c r="H423" s="3" t="inlineStr">
        <is>
          <t>estandar</t>
        </is>
      </c>
      <c r="I423" s="3" t="inlineStr">
        <is>
          <t>importado</t>
        </is>
      </c>
      <c r="J423" s="5" t="n">
        <v>1</v>
      </c>
      <c r="K423" s="6" t="n">
        <v>1099.76</v>
      </c>
      <c r="L423" s="6" t="n">
        <v>1099.76</v>
      </c>
      <c r="M423" s="6" t="n">
        <v>1099.76</v>
      </c>
      <c r="N423" s="3" t="inlineStr">
        <is>
          <t>Sí</t>
        </is>
      </c>
      <c r="O423" s="6">
        <f>IF(K423="","",IF(N423="Sí",ROUND(K423/1.18,2),K423))</f>
        <v/>
      </c>
      <c r="P423" s="3" t="inlineStr">
        <is>
          <t>2026-09-10</t>
        </is>
      </c>
      <c r="Q423" s="4" t="inlineStr">
        <is>
          <t>La Ibérica</t>
        </is>
      </c>
      <c r="V423" s="7" t="inlineStr">
        <is>
          <t>20 x 20 cm</t>
        </is>
      </c>
    </row>
    <row r="424">
      <c r="A424" s="3" t="inlineStr">
        <is>
          <t>MAT-08-202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Mosaico cerámico en malla, 30 x 25 cm</t>
        </is>
      </c>
      <c r="E424" s="4" t="inlineStr"/>
      <c r="F424" s="3" t="inlineStr">
        <is>
          <t>m²</t>
        </is>
      </c>
      <c r="G424" s="3" t="inlineStr">
        <is>
          <t>Pisos</t>
        </is>
      </c>
      <c r="H424" s="3" t="inlineStr">
        <is>
          <t>estandar</t>
        </is>
      </c>
      <c r="I424" s="3" t="inlineStr">
        <is>
          <t>importado</t>
        </is>
      </c>
      <c r="J424" s="5" t="n">
        <v>1</v>
      </c>
      <c r="K424" s="6" t="n">
        <v>1818.95</v>
      </c>
      <c r="L424" s="6" t="n">
        <v>1117.88</v>
      </c>
      <c r="M424" s="6" t="n">
        <v>2008.37</v>
      </c>
      <c r="N424" s="3" t="inlineStr">
        <is>
          <t>Sí</t>
        </is>
      </c>
      <c r="O424" s="6">
        <f>IF(K424="","",IF(N424="Sí",ROUND(K424/1.18,2),K424))</f>
        <v/>
      </c>
      <c r="P424" s="3" t="inlineStr">
        <is>
          <t>2026-09-10</t>
        </is>
      </c>
      <c r="Q424" s="4" t="inlineStr">
        <is>
          <t>CerArte</t>
        </is>
      </c>
      <c r="V424" s="7" t="inlineStr">
        <is>
          <t>30 x 25 cm</t>
        </is>
      </c>
    </row>
    <row r="425">
      <c r="A425" s="3" t="inlineStr">
        <is>
          <t>MAT-08-203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Mosaico cerámico en malla, 30 x 30 cm</t>
        </is>
      </c>
      <c r="E425" s="4" t="inlineStr"/>
      <c r="F425" s="3" t="inlineStr">
        <is>
          <t>m²</t>
        </is>
      </c>
      <c r="G425" s="3" t="inlineStr">
        <is>
          <t>Pisos</t>
        </is>
      </c>
      <c r="H425" s="3" t="inlineStr">
        <is>
          <t>estandar</t>
        </is>
      </c>
      <c r="I425" s="3" t="inlineStr">
        <is>
          <t>importado</t>
        </is>
      </c>
      <c r="J425" s="5" t="n">
        <v>3</v>
      </c>
      <c r="K425" s="6" t="n">
        <v>2863.5</v>
      </c>
      <c r="L425" s="6" t="n">
        <v>156.94</v>
      </c>
      <c r="M425" s="6" t="n">
        <v>7157.4</v>
      </c>
      <c r="N425" s="3" t="inlineStr">
        <is>
          <t>Sí</t>
        </is>
      </c>
      <c r="O425" s="6">
        <f>IF(K425="","",IF(N425="Sí",ROUND(K425/1.18,2),K425))</f>
        <v/>
      </c>
      <c r="P425" s="3" t="inlineStr">
        <is>
          <t>2026-09-10</t>
        </is>
      </c>
      <c r="Q425" s="4" t="inlineStr">
        <is>
          <t>CerArte · Ferretería Ochoa (8A) · La Ibérica</t>
        </is>
      </c>
      <c r="U425" s="7" t="n">
        <v>30</v>
      </c>
      <c r="V425" s="7" t="inlineStr">
        <is>
          <t>30 x 30 cm</t>
        </is>
      </c>
      <c r="AF425" s="4" t="inlineStr">
        <is>
          <t>ancho_cm: 30 · piezas_m2: 10</t>
        </is>
      </c>
    </row>
    <row r="426">
      <c r="A426" s="3" t="inlineStr">
        <is>
          <t>MAT-08-204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Mosaico cerámico en malla, 33 x 30 cm</t>
        </is>
      </c>
      <c r="E426" s="4" t="inlineStr"/>
      <c r="F426" s="3" t="inlineStr">
        <is>
          <t>m²</t>
        </is>
      </c>
      <c r="G426" s="3" t="inlineStr">
        <is>
          <t>Pisos</t>
        </is>
      </c>
      <c r="H426" s="3" t="inlineStr">
        <is>
          <t>estandar</t>
        </is>
      </c>
      <c r="I426" s="3" t="inlineStr">
        <is>
          <t>importado</t>
        </is>
      </c>
      <c r="J426" s="5" t="n">
        <v>1</v>
      </c>
      <c r="K426" s="6" t="n">
        <v>4636.17</v>
      </c>
      <c r="L426" s="6" t="n">
        <v>4369.31</v>
      </c>
      <c r="M426" s="6" t="n">
        <v>6188.82</v>
      </c>
      <c r="N426" s="3" t="inlineStr">
        <is>
          <t>Sí</t>
        </is>
      </c>
      <c r="O426" s="6">
        <f>IF(K426="","",IF(N426="Sí",ROUND(K426/1.18,2),K426))</f>
        <v/>
      </c>
      <c r="P426" s="3" t="inlineStr">
        <is>
          <t>2026-09-09</t>
        </is>
      </c>
      <c r="Q426" s="4" t="inlineStr">
        <is>
          <t>Ferretería Ochoa (8A)</t>
        </is>
      </c>
      <c r="U426" s="7" t="n">
        <v>33</v>
      </c>
      <c r="V426" s="7" t="inlineStr">
        <is>
          <t>33 x 30 cm</t>
        </is>
      </c>
      <c r="AF426" s="4" t="inlineStr">
        <is>
          <t>ancho_cm: 30 · piezas_m2: 11</t>
        </is>
      </c>
    </row>
    <row r="427">
      <c r="A427" s="3" t="inlineStr">
        <is>
          <t>MAT-08-205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Mosaico cerámico en malla, 33 x 33 cm</t>
        </is>
      </c>
      <c r="E427" s="4" t="inlineStr"/>
      <c r="F427" s="3" t="inlineStr">
        <is>
          <t>m²</t>
        </is>
      </c>
      <c r="G427" s="3" t="inlineStr">
        <is>
          <t>Pisos</t>
        </is>
      </c>
      <c r="H427" s="3" t="inlineStr">
        <is>
          <t>estandar</t>
        </is>
      </c>
      <c r="I427" s="3" t="inlineStr">
        <is>
          <t>importado</t>
        </is>
      </c>
      <c r="J427" s="5" t="n">
        <v>2</v>
      </c>
      <c r="K427" s="6" t="n">
        <v>1349.37</v>
      </c>
      <c r="L427" s="6" t="n">
        <v>325</v>
      </c>
      <c r="M427" s="6" t="n">
        <v>4021.38</v>
      </c>
      <c r="N427" s="3" t="inlineStr">
        <is>
          <t>Sí</t>
        </is>
      </c>
      <c r="O427" s="6">
        <f>IF(K427="","",IF(N427="Sí",ROUND(K427/1.18,2),K427))</f>
        <v/>
      </c>
      <c r="P427" s="3" t="inlineStr">
        <is>
          <t>2026-09-10</t>
        </is>
      </c>
      <c r="Q427" s="4" t="inlineStr">
        <is>
          <t>Ferretería Ochoa (8A) · La Ibérica</t>
        </is>
      </c>
      <c r="U427" s="7" t="n">
        <v>33</v>
      </c>
      <c r="V427" s="7" t="inlineStr">
        <is>
          <t>33 x 33 cm</t>
        </is>
      </c>
      <c r="AF427" s="4" t="inlineStr">
        <is>
          <t>ancho_cm: 33 · piezas_m2: 9</t>
        </is>
      </c>
    </row>
    <row r="428">
      <c r="A428" s="3" t="inlineStr">
        <is>
          <t>MAT-08-206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Mosaico cerámico en malla, 40 x 10 cm</t>
        </is>
      </c>
      <c r="E428" s="4" t="inlineStr"/>
      <c r="F428" s="3" t="inlineStr">
        <is>
          <t>m²</t>
        </is>
      </c>
      <c r="G428" s="3" t="inlineStr">
        <is>
          <t>Pisos</t>
        </is>
      </c>
      <c r="H428" s="3" t="inlineStr">
        <is>
          <t>estandar</t>
        </is>
      </c>
      <c r="I428" s="3" t="inlineStr">
        <is>
          <t>importado</t>
        </is>
      </c>
      <c r="J428" s="5" t="n">
        <v>1</v>
      </c>
      <c r="K428" s="6" t="n">
        <v>2768.79</v>
      </c>
      <c r="L428" s="6" t="n">
        <v>2568.55</v>
      </c>
      <c r="M428" s="6" t="n">
        <v>3442.07</v>
      </c>
      <c r="N428" s="3" t="inlineStr">
        <is>
          <t>Sí</t>
        </is>
      </c>
      <c r="O428" s="6">
        <f>IF(K428="","",IF(N428="Sí",ROUND(K428/1.18,2),K428))</f>
        <v/>
      </c>
      <c r="P428" s="3" t="inlineStr">
        <is>
          <t>2026-09-10</t>
        </is>
      </c>
      <c r="Q428" s="4" t="inlineStr">
        <is>
          <t>CerArte</t>
        </is>
      </c>
      <c r="V428" s="7" t="inlineStr">
        <is>
          <t>40 x 10 cm</t>
        </is>
      </c>
    </row>
    <row r="429">
      <c r="A429" s="3" t="inlineStr">
        <is>
          <t>MAT-08-207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Mosaico cerámico en malla, 45 x 30 cm</t>
        </is>
      </c>
      <c r="E429" s="4" t="inlineStr"/>
      <c r="F429" s="3" t="inlineStr">
        <is>
          <t>m²</t>
        </is>
      </c>
      <c r="G429" s="3" t="inlineStr">
        <is>
          <t>Pisos</t>
        </is>
      </c>
      <c r="H429" s="3" t="inlineStr">
        <is>
          <t>estandar</t>
        </is>
      </c>
      <c r="I429" s="3" t="inlineStr">
        <is>
          <t>importado</t>
        </is>
      </c>
      <c r="J429" s="5" t="n">
        <v>1</v>
      </c>
      <c r="K429" s="6" t="n">
        <v>650</v>
      </c>
      <c r="L429" s="6" t="n">
        <v>650</v>
      </c>
      <c r="M429" s="6" t="n">
        <v>650</v>
      </c>
      <c r="N429" s="3" t="inlineStr">
        <is>
          <t>Sí</t>
        </is>
      </c>
      <c r="O429" s="6">
        <f>IF(K429="","",IF(N429="Sí",ROUND(K429/1.18,2),K429))</f>
        <v/>
      </c>
      <c r="P429" s="3" t="inlineStr">
        <is>
          <t>2026-09-10</t>
        </is>
      </c>
      <c r="Q429" s="4" t="inlineStr">
        <is>
          <t>La Ibérica</t>
        </is>
      </c>
      <c r="V429" s="7" t="inlineStr">
        <is>
          <t>45 x 30 cm</t>
        </is>
      </c>
    </row>
    <row r="430">
      <c r="A430" s="3" t="inlineStr">
        <is>
          <t>MAT-08-208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Mosaico cerámico en malla, 45 x 45 cm</t>
        </is>
      </c>
      <c r="E430" s="4" t="inlineStr"/>
      <c r="F430" s="3" t="inlineStr">
        <is>
          <t>m²</t>
        </is>
      </c>
      <c r="G430" s="3" t="inlineStr">
        <is>
          <t>Pisos</t>
        </is>
      </c>
      <c r="H430" s="3" t="inlineStr">
        <is>
          <t>estandar</t>
        </is>
      </c>
      <c r="I430" s="3" t="inlineStr">
        <is>
          <t>importado</t>
        </is>
      </c>
      <c r="J430" s="5" t="n">
        <v>1</v>
      </c>
      <c r="K430" s="6" t="n">
        <v>789.64</v>
      </c>
      <c r="L430" s="6" t="n">
        <v>789.64</v>
      </c>
      <c r="M430" s="6" t="n">
        <v>789.64</v>
      </c>
      <c r="N430" s="3" t="inlineStr">
        <is>
          <t>Sí</t>
        </is>
      </c>
      <c r="O430" s="6">
        <f>IF(K430="","",IF(N430="Sí",ROUND(K430/1.18,2),K430))</f>
        <v/>
      </c>
      <c r="P430" s="3" t="inlineStr">
        <is>
          <t>2026-09-09</t>
        </is>
      </c>
      <c r="Q430" s="4" t="inlineStr">
        <is>
          <t>Ferretería Ochoa (8A)</t>
        </is>
      </c>
      <c r="U430" s="7" t="n">
        <v>45</v>
      </c>
      <c r="V430" s="7" t="inlineStr">
        <is>
          <t>45 x 45 cm</t>
        </is>
      </c>
      <c r="AF430" s="4" t="inlineStr">
        <is>
          <t>ancho_cm: 45 · piezas_m2: 4.93</t>
        </is>
      </c>
    </row>
    <row r="431">
      <c r="A431" s="3" t="inlineStr">
        <is>
          <t>MAT-08-209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Mosaico cerámico en malla, 5 x 5 cm</t>
        </is>
      </c>
      <c r="E431" s="4" t="inlineStr"/>
      <c r="F431" s="3" t="inlineStr">
        <is>
          <t>m²</t>
        </is>
      </c>
      <c r="G431" s="3" t="inlineStr">
        <is>
          <t>Pisos</t>
        </is>
      </c>
      <c r="H431" s="3" t="inlineStr">
        <is>
          <t>estandar</t>
        </is>
      </c>
      <c r="I431" s="3" t="inlineStr">
        <is>
          <t>importado</t>
        </is>
      </c>
      <c r="J431" s="5" t="n">
        <v>1</v>
      </c>
      <c r="K431" s="6" t="n">
        <v>790</v>
      </c>
      <c r="L431" s="6" t="n">
        <v>590</v>
      </c>
      <c r="M431" s="6" t="n">
        <v>790</v>
      </c>
      <c r="N431" s="3" t="inlineStr">
        <is>
          <t>Sí</t>
        </is>
      </c>
      <c r="O431" s="6">
        <f>IF(K431="","",IF(N431="Sí",ROUND(K431/1.18,2),K431))</f>
        <v/>
      </c>
      <c r="P431" s="3" t="inlineStr">
        <is>
          <t>2026-09-10</t>
        </is>
      </c>
      <c r="Q431" s="4" t="inlineStr">
        <is>
          <t>La Ibérica</t>
        </is>
      </c>
      <c r="V431" s="7" t="inlineStr">
        <is>
          <t>5 x 5 cm</t>
        </is>
      </c>
    </row>
    <row r="432">
      <c r="A432" s="3" t="inlineStr">
        <is>
          <t>MAT-08-210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Mosaico cerámico en malla, 60 x 15 cm</t>
        </is>
      </c>
      <c r="E432" s="4" t="inlineStr"/>
      <c r="F432" s="3" t="inlineStr">
        <is>
          <t>m²</t>
        </is>
      </c>
      <c r="G432" s="3" t="inlineStr">
        <is>
          <t>Pisos</t>
        </is>
      </c>
      <c r="H432" s="3" t="inlineStr">
        <is>
          <t>estandar</t>
        </is>
      </c>
      <c r="I432" s="3" t="inlineStr">
        <is>
          <t>importado</t>
        </is>
      </c>
      <c r="J432" s="5" t="n">
        <v>1</v>
      </c>
      <c r="K432" s="6" t="n">
        <v>3110.82</v>
      </c>
      <c r="L432" s="6" t="n">
        <v>2290.15</v>
      </c>
      <c r="M432" s="6" t="n">
        <v>3998.02</v>
      </c>
      <c r="N432" s="3" t="inlineStr">
        <is>
          <t>Sí</t>
        </is>
      </c>
      <c r="O432" s="6">
        <f>IF(K432="","",IF(N432="Sí",ROUND(K432/1.18,2),K432))</f>
        <v/>
      </c>
      <c r="P432" s="3" t="inlineStr">
        <is>
          <t>2026-09-10</t>
        </is>
      </c>
      <c r="Q432" s="4" t="inlineStr">
        <is>
          <t>La Ibérica</t>
        </is>
      </c>
      <c r="V432" s="7" t="inlineStr">
        <is>
          <t>60 x 15 cm</t>
        </is>
      </c>
    </row>
    <row r="433">
      <c r="A433" s="3" t="inlineStr">
        <is>
          <t>MAT-08-211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Mosaico cerámico en malla, 60 x 20 cm</t>
        </is>
      </c>
      <c r="E433" s="4" t="inlineStr"/>
      <c r="F433" s="3" t="inlineStr">
        <is>
          <t>m²</t>
        </is>
      </c>
      <c r="G433" s="3" t="inlineStr">
        <is>
          <t>Pisos</t>
        </is>
      </c>
      <c r="H433" s="3" t="inlineStr">
        <is>
          <t>estandar</t>
        </is>
      </c>
      <c r="I433" s="3" t="inlineStr">
        <is>
          <t>importado</t>
        </is>
      </c>
      <c r="J433" s="5" t="n">
        <v>1</v>
      </c>
      <c r="K433" s="6" t="n">
        <v>743.62</v>
      </c>
      <c r="L433" s="6" t="n">
        <v>743.62</v>
      </c>
      <c r="M433" s="6" t="n">
        <v>743.62</v>
      </c>
      <c r="N433" s="3" t="inlineStr">
        <is>
          <t>Sí</t>
        </is>
      </c>
      <c r="O433" s="6">
        <f>IF(K433="","",IF(N433="Sí",ROUND(K433/1.18,2),K433))</f>
        <v/>
      </c>
      <c r="P433" s="3" t="inlineStr">
        <is>
          <t>2026-09-09</t>
        </is>
      </c>
      <c r="Q433" s="4" t="inlineStr">
        <is>
          <t>Ferretería Ochoa (8A)</t>
        </is>
      </c>
      <c r="U433" s="7" t="n">
        <v>60</v>
      </c>
      <c r="V433" s="7" t="inlineStr">
        <is>
          <t>60 x 20 cm</t>
        </is>
      </c>
      <c r="AF433" s="4" t="inlineStr">
        <is>
          <t>ancho_cm: 20 · piezas_m2: 8.33</t>
        </is>
      </c>
    </row>
    <row r="434">
      <c r="A434" s="3" t="inlineStr">
        <is>
          <t>MAT-08-212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Mosaico cerámico en malla, 7.5 x 7.5 cm</t>
        </is>
      </c>
      <c r="E434" s="4" t="inlineStr"/>
      <c r="F434" s="3" t="inlineStr">
        <is>
          <t>m²</t>
        </is>
      </c>
      <c r="G434" s="3" t="inlineStr">
        <is>
          <t>Pisos</t>
        </is>
      </c>
      <c r="H434" s="3" t="inlineStr">
        <is>
          <t>estandar</t>
        </is>
      </c>
      <c r="I434" s="3" t="inlineStr">
        <is>
          <t>importado</t>
        </is>
      </c>
      <c r="J434" s="5" t="n">
        <v>1</v>
      </c>
      <c r="K434" s="6" t="n">
        <v>1771.16</v>
      </c>
      <c r="L434" s="6" t="n">
        <v>1716.64</v>
      </c>
      <c r="M434" s="6" t="n">
        <v>1784.58</v>
      </c>
      <c r="N434" s="3" t="inlineStr">
        <is>
          <t>Sí</t>
        </is>
      </c>
      <c r="O434" s="6">
        <f>IF(K434="","",IF(N434="Sí",ROUND(K434/1.18,2),K434))</f>
        <v/>
      </c>
      <c r="P434" s="3" t="inlineStr">
        <is>
          <t>2026-09-10</t>
        </is>
      </c>
      <c r="Q434" s="4" t="inlineStr">
        <is>
          <t>CerArte</t>
        </is>
      </c>
      <c r="V434" s="7" t="inlineStr">
        <is>
          <t>7.5 x 7.5 cm</t>
        </is>
      </c>
    </row>
    <row r="435">
      <c r="A435" s="3" t="inlineStr">
        <is>
          <t>MAT-08-213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Peldaño cerámico recto, 120 x 30 cm</t>
        </is>
      </c>
      <c r="E435" s="4" t="inlineStr"/>
      <c r="F435" s="3" t="inlineStr">
        <is>
          <t>unidad</t>
        </is>
      </c>
      <c r="G435" s="3" t="inlineStr">
        <is>
          <t>Pisos</t>
        </is>
      </c>
      <c r="H435" s="3" t="inlineStr">
        <is>
          <t>estandar</t>
        </is>
      </c>
      <c r="I435" s="3" t="inlineStr">
        <is>
          <t>importado</t>
        </is>
      </c>
      <c r="J435" s="5" t="n">
        <v>1</v>
      </c>
      <c r="K435" s="6" t="n">
        <v>2028.35</v>
      </c>
      <c r="L435" s="6" t="n">
        <v>1719.56</v>
      </c>
      <c r="M435" s="6" t="n">
        <v>2179.25</v>
      </c>
      <c r="N435" s="3" t="inlineStr">
        <is>
          <t>Sí</t>
        </is>
      </c>
      <c r="O435" s="6">
        <f>IF(K435="","",IF(N435="Sí",ROUND(K435/1.18,2),K435))</f>
        <v/>
      </c>
      <c r="P435" s="3" t="inlineStr">
        <is>
          <t>2026-09-09</t>
        </is>
      </c>
      <c r="Q435" s="4" t="inlineStr">
        <is>
          <t>Ferretería Ochoa (8A)</t>
        </is>
      </c>
      <c r="U435" s="7" t="n">
        <v>120</v>
      </c>
      <c r="V435" s="7" t="inlineStr">
        <is>
          <t>120 x 30 cm</t>
        </is>
      </c>
      <c r="AF435" s="4" t="inlineStr">
        <is>
          <t>ancho_cm: 30</t>
        </is>
      </c>
    </row>
    <row r="436">
      <c r="A436" s="3" t="inlineStr">
        <is>
          <t>MAT-08-214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Peldaño cerámico recto, 120 x 33 cm</t>
        </is>
      </c>
      <c r="E436" s="4" t="inlineStr"/>
      <c r="F436" s="3" t="inlineStr">
        <is>
          <t>unidad</t>
        </is>
      </c>
      <c r="G436" s="3" t="inlineStr">
        <is>
          <t>Pisos</t>
        </is>
      </c>
      <c r="H436" s="3" t="inlineStr">
        <is>
          <t>estandar</t>
        </is>
      </c>
      <c r="I436" s="3" t="inlineStr">
        <is>
          <t>importado</t>
        </is>
      </c>
      <c r="J436" s="5" t="n">
        <v>2</v>
      </c>
      <c r="K436" s="6" t="n">
        <v>5478.1</v>
      </c>
      <c r="L436" s="6" t="n">
        <v>3607.11</v>
      </c>
      <c r="M436" s="6" t="n">
        <v>9990</v>
      </c>
      <c r="N436" s="3" t="inlineStr">
        <is>
          <t>Sí</t>
        </is>
      </c>
      <c r="O436" s="6">
        <f>IF(K436="","",IF(N436="Sí",ROUND(K436/1.18,2),K436))</f>
        <v/>
      </c>
      <c r="P436" s="3" t="inlineStr">
        <is>
          <t>2026-09-10</t>
        </is>
      </c>
      <c r="Q436" s="4" t="inlineStr">
        <is>
          <t>Ferretería Ochoa (8A) · La Ibérica</t>
        </is>
      </c>
      <c r="U436" s="7" t="n">
        <v>120</v>
      </c>
      <c r="V436" s="7" t="inlineStr">
        <is>
          <t>120 x 33 cm</t>
        </is>
      </c>
      <c r="AF436" s="4" t="inlineStr">
        <is>
          <t>ancho_cm: 33</t>
        </is>
      </c>
    </row>
    <row r="437">
      <c r="A437" s="3" t="inlineStr">
        <is>
          <t>MAT-08-215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Set de huella y contrahuella, 1 cm</t>
        </is>
      </c>
      <c r="E437" s="4" t="inlineStr"/>
      <c r="F437" s="3" t="inlineStr">
        <is>
          <t>juego</t>
        </is>
      </c>
      <c r="G437" s="3" t="inlineStr">
        <is>
          <t>Pisos</t>
        </is>
      </c>
      <c r="H437" s="3" t="inlineStr">
        <is>
          <t>estandar</t>
        </is>
      </c>
      <c r="I437" s="3" t="inlineStr">
        <is>
          <t>importado</t>
        </is>
      </c>
      <c r="J437" s="5" t="n">
        <v>1</v>
      </c>
      <c r="K437" s="6" t="n">
        <v>1427.79</v>
      </c>
      <c r="L437" s="6" t="n">
        <v>1266.29</v>
      </c>
      <c r="M437" s="6" t="n">
        <v>1547.92</v>
      </c>
      <c r="N437" s="3" t="inlineStr">
        <is>
          <t>Sí</t>
        </is>
      </c>
      <c r="O437" s="6">
        <f>IF(K437="","",IF(N437="Sí",ROUND(K437/1.18,2),K437))</f>
        <v/>
      </c>
      <c r="P437" s="3" t="inlineStr">
        <is>
          <t>2026-09-09</t>
        </is>
      </c>
      <c r="Q437" s="4" t="inlineStr">
        <is>
          <t>Ferretería Ochoa (8A)</t>
        </is>
      </c>
      <c r="U437" s="7" t="n">
        <v>1</v>
      </c>
    </row>
    <row r="438">
      <c r="A438" s="3" t="inlineStr">
        <is>
          <t>MAT-08-216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Set de huella y contrahuella, 120 cm</t>
        </is>
      </c>
      <c r="E438" s="4" t="inlineStr"/>
      <c r="F438" s="3" t="inlineStr">
        <is>
          <t>juego</t>
        </is>
      </c>
      <c r="G438" s="3" t="inlineStr">
        <is>
          <t>Pisos</t>
        </is>
      </c>
      <c r="H438" s="3" t="inlineStr">
        <is>
          <t>estandar</t>
        </is>
      </c>
      <c r="I438" s="3" t="inlineStr">
        <is>
          <t>importado</t>
        </is>
      </c>
      <c r="J438" s="5" t="n">
        <v>1</v>
      </c>
      <c r="K438" s="6" t="n">
        <v>1218.66</v>
      </c>
      <c r="L438" s="6" t="n">
        <v>1170.21</v>
      </c>
      <c r="M438" s="6" t="n">
        <v>1267.1</v>
      </c>
      <c r="N438" s="3" t="inlineStr">
        <is>
          <t>Sí</t>
        </is>
      </c>
      <c r="O438" s="6">
        <f>IF(K438="","",IF(N438="Sí",ROUND(K438/1.18,2),K438))</f>
        <v/>
      </c>
      <c r="P438" s="3" t="inlineStr">
        <is>
          <t>2026-09-09</t>
        </is>
      </c>
      <c r="Q438" s="4" t="inlineStr">
        <is>
          <t>Ferretería Ochoa (8A)</t>
        </is>
      </c>
      <c r="U438" s="7" t="n">
        <v>120</v>
      </c>
    </row>
    <row r="439">
      <c r="A439" s="3" t="inlineStr">
        <is>
          <t>MAT-08-217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Borde para peldaño, 70 cm</t>
        </is>
      </c>
      <c r="E439" s="4" t="inlineStr"/>
      <c r="F439" s="3" t="inlineStr">
        <is>
          <t>unidad</t>
        </is>
      </c>
      <c r="G439" s="3" t="inlineStr">
        <is>
          <t>Pisos</t>
        </is>
      </c>
      <c r="H439" s="3" t="inlineStr">
        <is>
          <t>estandar</t>
        </is>
      </c>
      <c r="I439" s="3" t="inlineStr">
        <is>
          <t>importado</t>
        </is>
      </c>
      <c r="J439" s="5" t="n">
        <v>1</v>
      </c>
      <c r="K439" s="6" t="n">
        <v>443.77</v>
      </c>
      <c r="L439" s="6" t="n">
        <v>425.5</v>
      </c>
      <c r="M439" s="6" t="n">
        <v>453.27</v>
      </c>
      <c r="N439" s="3" t="inlineStr">
        <is>
          <t>Sí</t>
        </is>
      </c>
      <c r="O439" s="6">
        <f>IF(K439="","",IF(N439="Sí",ROUND(K439/1.18,2),K439))</f>
        <v/>
      </c>
      <c r="P439" s="3" t="inlineStr">
        <is>
          <t>2026-09-09</t>
        </is>
      </c>
      <c r="Q439" s="4" t="inlineStr">
        <is>
          <t>Ferretería Ochoa (8A)</t>
        </is>
      </c>
      <c r="U439" s="7" t="n">
        <v>70</v>
      </c>
    </row>
    <row r="440">
      <c r="A440" s="3" t="inlineStr">
        <is>
          <t>MAT-08-218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Rodapié de cerámica</t>
        </is>
      </c>
      <c r="E440" s="4" t="inlineStr"/>
      <c r="F440" s="3" t="inlineStr">
        <is>
          <t>ml</t>
        </is>
      </c>
      <c r="G440" s="3" t="inlineStr">
        <is>
          <t>Pisos</t>
        </is>
      </c>
      <c r="H440" s="3" t="inlineStr">
        <is>
          <t>estandar</t>
        </is>
      </c>
      <c r="I440" s="3" t="inlineStr">
        <is>
          <t>importado</t>
        </is>
      </c>
      <c r="J440" s="5" t="n">
        <v>1</v>
      </c>
      <c r="K440" s="6" t="n">
        <v>189.99</v>
      </c>
      <c r="L440" s="6" t="n">
        <v>189.99</v>
      </c>
      <c r="M440" s="6" t="n">
        <v>189.99</v>
      </c>
      <c r="N440" s="3" t="inlineStr">
        <is>
          <t>Sí</t>
        </is>
      </c>
      <c r="O440" s="6">
        <f>IF(K440="","",IF(N440="Sí",ROUND(K440/1.18,2),K440))</f>
        <v/>
      </c>
      <c r="P440" s="3" t="inlineStr">
        <is>
          <t>2026-09-10</t>
        </is>
      </c>
      <c r="Q440" s="4" t="inlineStr">
        <is>
          <t>La Ibérica</t>
        </is>
      </c>
      <c r="AF440" s="4" t="inlineStr">
        <is>
          <t>material: cerámica</t>
        </is>
      </c>
    </row>
    <row r="441">
      <c r="A441" s="3" t="inlineStr">
        <is>
          <t>MAT-08-219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Rodapié de mármol</t>
        </is>
      </c>
      <c r="E441" s="4" t="inlineStr"/>
      <c r="F441" s="3" t="inlineStr">
        <is>
          <t>ml</t>
        </is>
      </c>
      <c r="G441" s="3" t="inlineStr">
        <is>
          <t>Pisos</t>
        </is>
      </c>
      <c r="H441" s="3" t="inlineStr">
        <is>
          <t>estandar</t>
        </is>
      </c>
      <c r="I441" s="3" t="inlineStr">
        <is>
          <t>importado</t>
        </is>
      </c>
      <c r="J441" s="5" t="n">
        <v>1</v>
      </c>
      <c r="K441" s="6" t="n">
        <v>1395.33</v>
      </c>
      <c r="L441" s="6" t="n">
        <v>1395.33</v>
      </c>
      <c r="M441" s="6" t="n">
        <v>1395.33</v>
      </c>
      <c r="N441" s="3" t="inlineStr">
        <is>
          <t>Sí</t>
        </is>
      </c>
      <c r="O441" s="6">
        <f>IF(K441="","",IF(N441="Sí",ROUND(K441/1.18,2),K441))</f>
        <v/>
      </c>
      <c r="P441" s="3" t="inlineStr">
        <is>
          <t>2026-09-09</t>
        </is>
      </c>
      <c r="Q441" s="4" t="inlineStr">
        <is>
          <t>Ferretería Ochoa (8A)</t>
        </is>
      </c>
      <c r="AF441" s="4" t="inlineStr">
        <is>
          <t>material: mármol</t>
        </is>
      </c>
    </row>
    <row r="442">
      <c r="A442" s="3" t="inlineStr">
        <is>
          <t>MAT-08-220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Rodapié de vinil</t>
        </is>
      </c>
      <c r="E442" s="4" t="inlineStr"/>
      <c r="F442" s="3" t="inlineStr">
        <is>
          <t>ml</t>
        </is>
      </c>
      <c r="G442" s="3" t="inlineStr">
        <is>
          <t>Pisos</t>
        </is>
      </c>
      <c r="H442" s="3" t="inlineStr">
        <is>
          <t>estandar</t>
        </is>
      </c>
      <c r="I442" s="3" t="inlineStr">
        <is>
          <t>importado</t>
        </is>
      </c>
      <c r="J442" s="5" t="n">
        <v>1</v>
      </c>
      <c r="K442" s="6" t="n">
        <v>552.91</v>
      </c>
      <c r="L442" s="6" t="n">
        <v>442.88</v>
      </c>
      <c r="M442" s="6" t="n">
        <v>640.8099999999999</v>
      </c>
      <c r="N442" s="3" t="inlineStr">
        <is>
          <t>Sí</t>
        </is>
      </c>
      <c r="O442" s="6">
        <f>IF(K442="","",IF(N442="Sí",ROUND(K442/1.18,2),K442))</f>
        <v/>
      </c>
      <c r="P442" s="3" t="inlineStr">
        <is>
          <t>2026-09-10</t>
        </is>
      </c>
      <c r="Q442" s="4" t="inlineStr">
        <is>
          <t>CerArte</t>
        </is>
      </c>
      <c r="AF442" s="4" t="inlineStr">
        <is>
          <t>material: vinil</t>
        </is>
      </c>
    </row>
    <row r="443">
      <c r="A443" s="3" t="inlineStr">
        <is>
          <t>MAT-08-221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Perfil de canto de acero inoxidable, 10 mm</t>
        </is>
      </c>
      <c r="E443" s="4" t="inlineStr">
        <is>
          <t>Tramo de 2.5 a 2.6 m</t>
        </is>
      </c>
      <c r="F443" s="3" t="inlineStr">
        <is>
          <t>unidad</t>
        </is>
      </c>
      <c r="G443" s="3" t="inlineStr">
        <is>
          <t>Pisos</t>
        </is>
      </c>
      <c r="H443" s="3" t="inlineStr">
        <is>
          <t>estandar</t>
        </is>
      </c>
      <c r="I443" s="3" t="inlineStr">
        <is>
          <t>importado</t>
        </is>
      </c>
      <c r="J443" s="5" t="n">
        <v>1</v>
      </c>
      <c r="K443" s="6" t="n">
        <v>2878.24</v>
      </c>
      <c r="L443" s="6" t="n">
        <v>2492.8</v>
      </c>
      <c r="M443" s="6" t="n">
        <v>3263.69</v>
      </c>
      <c r="N443" s="3" t="inlineStr">
        <is>
          <t>Sí</t>
        </is>
      </c>
      <c r="O443" s="6">
        <f>IF(K443="","",IF(N443="Sí",ROUND(K443/1.18,2),K443))</f>
        <v/>
      </c>
      <c r="P443" s="3" t="inlineStr">
        <is>
          <t>2026-09-10</t>
        </is>
      </c>
      <c r="Q443" s="4" t="inlineStr">
        <is>
          <t>CerArte</t>
        </is>
      </c>
      <c r="AF443" s="4" t="inlineStr">
        <is>
          <t>tipo: canto · material: acero inoxidable · medida_mm: 10</t>
        </is>
      </c>
    </row>
    <row r="444">
      <c r="A444" s="3" t="inlineStr">
        <is>
          <t>MAT-08-222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Perfil de canto de acero inoxidable, 12 mm</t>
        </is>
      </c>
      <c r="E444" s="4" t="inlineStr">
        <is>
          <t>Tramo de 2.5 a 2.6 m</t>
        </is>
      </c>
      <c r="F444" s="3" t="inlineStr">
        <is>
          <t>unidad</t>
        </is>
      </c>
      <c r="G444" s="3" t="inlineStr">
        <is>
          <t>Pisos</t>
        </is>
      </c>
      <c r="H444" s="3" t="inlineStr">
        <is>
          <t>estandar</t>
        </is>
      </c>
      <c r="I444" s="3" t="inlineStr">
        <is>
          <t>importado</t>
        </is>
      </c>
      <c r="J444" s="5" t="n">
        <v>1</v>
      </c>
      <c r="K444" s="6" t="n">
        <v>844.55</v>
      </c>
      <c r="L444" s="6" t="n">
        <v>832.63</v>
      </c>
      <c r="M444" s="6" t="n">
        <v>845.21</v>
      </c>
      <c r="N444" s="3" t="inlineStr">
        <is>
          <t>Sí</t>
        </is>
      </c>
      <c r="O444" s="6">
        <f>IF(K444="","",IF(N444="Sí",ROUND(K444/1.18,2),K444))</f>
        <v/>
      </c>
      <c r="P444" s="3" t="inlineStr">
        <is>
          <t>2026-09-09</t>
        </is>
      </c>
      <c r="Q444" s="4" t="inlineStr">
        <is>
          <t>Ferretería Ochoa (8A)</t>
        </is>
      </c>
      <c r="AF444" s="4" t="inlineStr">
        <is>
          <t>tipo: canto · material: acero inoxidable · medida_mm: 12</t>
        </is>
      </c>
    </row>
    <row r="445">
      <c r="A445" s="3" t="inlineStr">
        <is>
          <t>MAT-08-223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Perfil de canto de acero inoxidable, 12.5 mm</t>
        </is>
      </c>
      <c r="E445" s="4" t="inlineStr">
        <is>
          <t>Tramo de 2.5 a 2.6 m</t>
        </is>
      </c>
      <c r="F445" s="3" t="inlineStr">
        <is>
          <t>unidad</t>
        </is>
      </c>
      <c r="G445" s="3" t="inlineStr">
        <is>
          <t>Pisos</t>
        </is>
      </c>
      <c r="H445" s="3" t="inlineStr">
        <is>
          <t>estandar</t>
        </is>
      </c>
      <c r="I445" s="3" t="inlineStr">
        <is>
          <t>importado</t>
        </is>
      </c>
      <c r="J445" s="5" t="n">
        <v>1</v>
      </c>
      <c r="K445" s="6" t="n">
        <v>3418.96</v>
      </c>
      <c r="L445" s="6" t="n">
        <v>3418.96</v>
      </c>
      <c r="M445" s="6" t="n">
        <v>3418.96</v>
      </c>
      <c r="N445" s="3" t="inlineStr">
        <is>
          <t>Sí</t>
        </is>
      </c>
      <c r="O445" s="6">
        <f>IF(K445="","",IF(N445="Sí",ROUND(K445/1.18,2),K445))</f>
        <v/>
      </c>
      <c r="P445" s="3" t="inlineStr">
        <is>
          <t>2026-09-10</t>
        </is>
      </c>
      <c r="Q445" s="4" t="inlineStr">
        <is>
          <t>CerArte</t>
        </is>
      </c>
      <c r="AF445" s="4" t="inlineStr">
        <is>
          <t>tipo: canto · material: acero inoxidable · medida_mm: 12.5</t>
        </is>
      </c>
    </row>
    <row r="446">
      <c r="A446" s="3" t="inlineStr">
        <is>
          <t>MAT-08-224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Perfil de canto de aluminio, 10 mm</t>
        </is>
      </c>
      <c r="E446" s="4" t="inlineStr">
        <is>
          <t>Tramo de 2.5 a 2.6 m</t>
        </is>
      </c>
      <c r="F446" s="3" t="inlineStr">
        <is>
          <t>unidad</t>
        </is>
      </c>
      <c r="G446" s="3" t="inlineStr">
        <is>
          <t>Pisos</t>
        </is>
      </c>
      <c r="H446" s="3" t="inlineStr">
        <is>
          <t>estandar</t>
        </is>
      </c>
      <c r="I446" s="3" t="inlineStr">
        <is>
          <t>importado</t>
        </is>
      </c>
      <c r="J446" s="5" t="n">
        <v>3</v>
      </c>
      <c r="K446" s="6" t="n">
        <v>1574.47</v>
      </c>
      <c r="L446" s="6" t="n">
        <v>573.59</v>
      </c>
      <c r="M446" s="6" t="n">
        <v>2100</v>
      </c>
      <c r="N446" s="3" t="inlineStr">
        <is>
          <t>Sí</t>
        </is>
      </c>
      <c r="O446" s="6">
        <f>IF(K446="","",IF(N446="Sí",ROUND(K446/1.18,2),K446))</f>
        <v/>
      </c>
      <c r="P446" s="3" t="inlineStr">
        <is>
          <t>2026-09-10</t>
        </is>
      </c>
      <c r="Q446" s="4" t="inlineStr">
        <is>
          <t>CerArte · Ferretería Ochoa (8A) · La Ibérica</t>
        </is>
      </c>
      <c r="AF446" s="4" t="inlineStr">
        <is>
          <t>tipo: canto · material: aluminio · medida_mm: 10</t>
        </is>
      </c>
    </row>
    <row r="447">
      <c r="A447" s="3" t="inlineStr">
        <is>
          <t>MAT-08-225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Perfil de canto de aluminio, 12 mm</t>
        </is>
      </c>
      <c r="E447" s="4" t="inlineStr">
        <is>
          <t>Tramo de 2.5 a 2.6 m</t>
        </is>
      </c>
      <c r="F447" s="3" t="inlineStr">
        <is>
          <t>unidad</t>
        </is>
      </c>
      <c r="G447" s="3" t="inlineStr">
        <is>
          <t>Pisos</t>
        </is>
      </c>
      <c r="H447" s="3" t="inlineStr">
        <is>
          <t>estandar</t>
        </is>
      </c>
      <c r="I447" s="3" t="inlineStr">
        <is>
          <t>importado</t>
        </is>
      </c>
      <c r="J447" s="5" t="n">
        <v>2</v>
      </c>
      <c r="K447" s="6" t="n">
        <v>2100</v>
      </c>
      <c r="L447" s="6" t="n">
        <v>521.95</v>
      </c>
      <c r="M447" s="6" t="n">
        <v>5549.99</v>
      </c>
      <c r="N447" s="3" t="inlineStr">
        <is>
          <t>Sí</t>
        </is>
      </c>
      <c r="O447" s="6">
        <f>IF(K447="","",IF(N447="Sí",ROUND(K447/1.18,2),K447))</f>
        <v/>
      </c>
      <c r="P447" s="3" t="inlineStr">
        <is>
          <t>2026-09-10</t>
        </is>
      </c>
      <c r="Q447" s="4" t="inlineStr">
        <is>
          <t>Ferretería Ochoa (8A) · La Ibérica</t>
        </is>
      </c>
      <c r="AF447" s="4" t="inlineStr">
        <is>
          <t>tipo: canto · material: aluminio · medida_mm: 12</t>
        </is>
      </c>
    </row>
    <row r="448">
      <c r="A448" s="3" t="inlineStr">
        <is>
          <t>MAT-08-226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Perfil de canto de aluminio, 12.5 mm</t>
        </is>
      </c>
      <c r="E448" s="4" t="inlineStr">
        <is>
          <t>Tramo de 2.5 a 2.6 m</t>
        </is>
      </c>
      <c r="F448" s="3" t="inlineStr">
        <is>
          <t>unidad</t>
        </is>
      </c>
      <c r="G448" s="3" t="inlineStr">
        <is>
          <t>Pisos</t>
        </is>
      </c>
      <c r="H448" s="3" t="inlineStr">
        <is>
          <t>estandar</t>
        </is>
      </c>
      <c r="I448" s="3" t="inlineStr">
        <is>
          <t>importado</t>
        </is>
      </c>
      <c r="J448" s="5" t="n">
        <v>1</v>
      </c>
      <c r="K448" s="6" t="n">
        <v>2241.28</v>
      </c>
      <c r="L448" s="6" t="n">
        <v>2100</v>
      </c>
      <c r="M448" s="6" t="n">
        <v>2560</v>
      </c>
      <c r="N448" s="3" t="inlineStr">
        <is>
          <t>Sí</t>
        </is>
      </c>
      <c r="O448" s="6">
        <f>IF(K448="","",IF(N448="Sí",ROUND(K448/1.18,2),K448))</f>
        <v/>
      </c>
      <c r="P448" s="3" t="inlineStr">
        <is>
          <t>2026-09-10</t>
        </is>
      </c>
      <c r="Q448" s="4" t="inlineStr">
        <is>
          <t>La Ibérica</t>
        </is>
      </c>
      <c r="AF448" s="4" t="inlineStr">
        <is>
          <t>tipo: canto · material: aluminio · medida_mm: 12.5</t>
        </is>
      </c>
    </row>
    <row r="449">
      <c r="A449" s="3" t="inlineStr">
        <is>
          <t>MAT-08-227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Perfil de canto de aluminio, 13 mm</t>
        </is>
      </c>
      <c r="E449" s="4" t="inlineStr">
        <is>
          <t>Tramo de 2.5 a 2.6 m</t>
        </is>
      </c>
      <c r="F449" s="3" t="inlineStr">
        <is>
          <t>unidad</t>
        </is>
      </c>
      <c r="G449" s="3" t="inlineStr">
        <is>
          <t>Pisos</t>
        </is>
      </c>
      <c r="H449" s="3" t="inlineStr">
        <is>
          <t>estandar</t>
        </is>
      </c>
      <c r="I449" s="3" t="inlineStr">
        <is>
          <t>importado</t>
        </is>
      </c>
      <c r="J449" s="5" t="n">
        <v>1</v>
      </c>
      <c r="K449" s="6" t="n">
        <v>1699.99</v>
      </c>
      <c r="L449" s="6" t="n">
        <v>1699.99</v>
      </c>
      <c r="M449" s="6" t="n">
        <v>1699.99</v>
      </c>
      <c r="N449" s="3" t="inlineStr">
        <is>
          <t>Sí</t>
        </is>
      </c>
      <c r="O449" s="6">
        <f>IF(K449="","",IF(N449="Sí",ROUND(K449/1.18,2),K449))</f>
        <v/>
      </c>
      <c r="P449" s="3" t="inlineStr">
        <is>
          <t>2026-09-10</t>
        </is>
      </c>
      <c r="Q449" s="4" t="inlineStr">
        <is>
          <t>La Ibérica</t>
        </is>
      </c>
      <c r="AF449" s="4" t="inlineStr">
        <is>
          <t>tipo: canto · material: aluminio · medida_mm: 13</t>
        </is>
      </c>
    </row>
    <row r="450">
      <c r="A450" s="3" t="inlineStr">
        <is>
          <t>MAT-08-228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Perfil de canto de aluminio, 2.7 mm</t>
        </is>
      </c>
      <c r="E450" s="4" t="inlineStr">
        <is>
          <t>Tramo de 2.5 a 2.6 m</t>
        </is>
      </c>
      <c r="F450" s="3" t="inlineStr">
        <is>
          <t>unidad</t>
        </is>
      </c>
      <c r="G450" s="3" t="inlineStr">
        <is>
          <t>Pisos</t>
        </is>
      </c>
      <c r="H450" s="3" t="inlineStr">
        <is>
          <t>estandar</t>
        </is>
      </c>
      <c r="I450" s="3" t="inlineStr">
        <is>
          <t>importado</t>
        </is>
      </c>
      <c r="J450" s="5" t="n">
        <v>1</v>
      </c>
      <c r="K450" s="6" t="n">
        <v>2500</v>
      </c>
      <c r="L450" s="6" t="n">
        <v>2500</v>
      </c>
      <c r="M450" s="6" t="n">
        <v>2500</v>
      </c>
      <c r="N450" s="3" t="inlineStr">
        <is>
          <t>Sí</t>
        </is>
      </c>
      <c r="O450" s="6">
        <f>IF(K450="","",IF(N450="Sí",ROUND(K450/1.18,2),K450))</f>
        <v/>
      </c>
      <c r="P450" s="3" t="inlineStr">
        <is>
          <t>2026-09-10</t>
        </is>
      </c>
      <c r="Q450" s="4" t="inlineStr">
        <is>
          <t>La Ibérica</t>
        </is>
      </c>
      <c r="AF450" s="4" t="inlineStr">
        <is>
          <t>tipo: canto · material: aluminio · medida_mm: 2.7</t>
        </is>
      </c>
    </row>
    <row r="451">
      <c r="A451" s="3" t="inlineStr">
        <is>
          <t>MAT-08-229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Perfil de canto de aluminio, 20 mm</t>
        </is>
      </c>
      <c r="E451" s="4" t="inlineStr">
        <is>
          <t>Tramo de 2.5 a 2.6 m</t>
        </is>
      </c>
      <c r="F451" s="3" t="inlineStr">
        <is>
          <t>unidad</t>
        </is>
      </c>
      <c r="G451" s="3" t="inlineStr">
        <is>
          <t>Pisos</t>
        </is>
      </c>
      <c r="H451" s="3" t="inlineStr">
        <is>
          <t>estandar</t>
        </is>
      </c>
      <c r="I451" s="3" t="inlineStr">
        <is>
          <t>importado</t>
        </is>
      </c>
      <c r="J451" s="5" t="n">
        <v>1</v>
      </c>
      <c r="K451" s="6" t="n">
        <v>1024.48</v>
      </c>
      <c r="L451" s="6" t="n">
        <v>775.1900000000001</v>
      </c>
      <c r="M451" s="6" t="n">
        <v>1273.77</v>
      </c>
      <c r="N451" s="3" t="inlineStr">
        <is>
          <t>Sí</t>
        </is>
      </c>
      <c r="O451" s="6">
        <f>IF(K451="","",IF(N451="Sí",ROUND(K451/1.18,2),K451))</f>
        <v/>
      </c>
      <c r="P451" s="3" t="inlineStr">
        <is>
          <t>2026-09-09</t>
        </is>
      </c>
      <c r="Q451" s="4" t="inlineStr">
        <is>
          <t>Ferretería Ochoa (8A)</t>
        </is>
      </c>
      <c r="AF451" s="4" t="inlineStr">
        <is>
          <t>tipo: canto · material: aluminio · medida_mm: 20</t>
        </is>
      </c>
    </row>
    <row r="452">
      <c r="A452" s="3" t="inlineStr">
        <is>
          <t>MAT-08-230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Perfil de canto de aluminio, 25 mm</t>
        </is>
      </c>
      <c r="E452" s="4" t="inlineStr">
        <is>
          <t>Tramo de 2.5 a 2.6 m</t>
        </is>
      </c>
      <c r="F452" s="3" t="inlineStr">
        <is>
          <t>unidad</t>
        </is>
      </c>
      <c r="G452" s="3" t="inlineStr">
        <is>
          <t>Pisos</t>
        </is>
      </c>
      <c r="H452" s="3" t="inlineStr">
        <is>
          <t>estandar</t>
        </is>
      </c>
      <c r="I452" s="3" t="inlineStr">
        <is>
          <t>importado</t>
        </is>
      </c>
      <c r="J452" s="5" t="n">
        <v>2</v>
      </c>
      <c r="K452" s="6" t="n">
        <v>2161.21</v>
      </c>
      <c r="L452" s="6" t="n">
        <v>627.91</v>
      </c>
      <c r="M452" s="6" t="n">
        <v>4290</v>
      </c>
      <c r="N452" s="3" t="inlineStr">
        <is>
          <t>Sí</t>
        </is>
      </c>
      <c r="O452" s="6">
        <f>IF(K452="","",IF(N452="Sí",ROUND(K452/1.18,2),K452))</f>
        <v/>
      </c>
      <c r="P452" s="3" t="inlineStr">
        <is>
          <t>2026-09-10</t>
        </is>
      </c>
      <c r="Q452" s="4" t="inlineStr">
        <is>
          <t>Ferretería Ochoa (8A) · La Ibérica</t>
        </is>
      </c>
      <c r="AF452" s="4" t="inlineStr">
        <is>
          <t>tipo: canto · material: aluminio · medida_mm: 25</t>
        </is>
      </c>
    </row>
    <row r="453">
      <c r="A453" s="3" t="inlineStr">
        <is>
          <t>MAT-08-231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Perfil de canto de aluminio, 70 mm</t>
        </is>
      </c>
      <c r="E453" s="4" t="inlineStr">
        <is>
          <t>Tramo de 2.5 a 2.6 m</t>
        </is>
      </c>
      <c r="F453" s="3" t="inlineStr">
        <is>
          <t>unidad</t>
        </is>
      </c>
      <c r="G453" s="3" t="inlineStr">
        <is>
          <t>Pisos</t>
        </is>
      </c>
      <c r="H453" s="3" t="inlineStr">
        <is>
          <t>estandar</t>
        </is>
      </c>
      <c r="I453" s="3" t="inlineStr">
        <is>
          <t>importado</t>
        </is>
      </c>
      <c r="J453" s="5" t="n">
        <v>1</v>
      </c>
      <c r="K453" s="6" t="n">
        <v>4875</v>
      </c>
      <c r="L453" s="6" t="n">
        <v>3400</v>
      </c>
      <c r="M453" s="6" t="n">
        <v>6349.99</v>
      </c>
      <c r="N453" s="3" t="inlineStr">
        <is>
          <t>Sí</t>
        </is>
      </c>
      <c r="O453" s="6">
        <f>IF(K453="","",IF(N453="Sí",ROUND(K453/1.18,2),K453))</f>
        <v/>
      </c>
      <c r="P453" s="3" t="inlineStr">
        <is>
          <t>2026-09-10</t>
        </is>
      </c>
      <c r="Q453" s="4" t="inlineStr">
        <is>
          <t>La Ibérica</t>
        </is>
      </c>
      <c r="AF453" s="4" t="inlineStr">
        <is>
          <t>tipo: canto · material: aluminio · medida_mm: 70</t>
        </is>
      </c>
    </row>
    <row r="454">
      <c r="A454" s="3" t="inlineStr">
        <is>
          <t>MAT-08-232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Perfil de canto de aluminio, 9 mm</t>
        </is>
      </c>
      <c r="E454" s="4" t="inlineStr">
        <is>
          <t>Tramo de 2.5 a 2.6 m</t>
        </is>
      </c>
      <c r="F454" s="3" t="inlineStr">
        <is>
          <t>unidad</t>
        </is>
      </c>
      <c r="G454" s="3" t="inlineStr">
        <is>
          <t>Pisos</t>
        </is>
      </c>
      <c r="H454" s="3" t="inlineStr">
        <is>
          <t>estandar</t>
        </is>
      </c>
      <c r="I454" s="3" t="inlineStr">
        <is>
          <t>importado</t>
        </is>
      </c>
      <c r="J454" s="5" t="n">
        <v>1</v>
      </c>
      <c r="K454" s="6" t="n">
        <v>1189.99</v>
      </c>
      <c r="L454" s="6" t="n">
        <v>1189.99</v>
      </c>
      <c r="M454" s="6" t="n">
        <v>1189.99</v>
      </c>
      <c r="N454" s="3" t="inlineStr">
        <is>
          <t>Sí</t>
        </is>
      </c>
      <c r="O454" s="6">
        <f>IF(K454="","",IF(N454="Sí",ROUND(K454/1.18,2),K454))</f>
        <v/>
      </c>
      <c r="P454" s="3" t="inlineStr">
        <is>
          <t>2026-09-10</t>
        </is>
      </c>
      <c r="Q454" s="4" t="inlineStr">
        <is>
          <t>La Ibérica</t>
        </is>
      </c>
      <c r="AF454" s="4" t="inlineStr">
        <is>
          <t>tipo: canto · material: aluminio · medida_mm: 9</t>
        </is>
      </c>
    </row>
    <row r="455">
      <c r="A455" s="3" t="inlineStr">
        <is>
          <t>MAT-08-233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Perfil de canto de fibra vegetal, 10 mm</t>
        </is>
      </c>
      <c r="E455" s="4" t="inlineStr">
        <is>
          <t>Tramo de 2.5 a 2.6 m</t>
        </is>
      </c>
      <c r="F455" s="3" t="inlineStr">
        <is>
          <t>unidad</t>
        </is>
      </c>
      <c r="G455" s="3" t="inlineStr">
        <is>
          <t>Pisos</t>
        </is>
      </c>
      <c r="H455" s="3" t="inlineStr">
        <is>
          <t>estandar</t>
        </is>
      </c>
      <c r="I455" s="3" t="inlineStr">
        <is>
          <t>importado</t>
        </is>
      </c>
      <c r="J455" s="5" t="n">
        <v>1</v>
      </c>
      <c r="K455" s="6" t="n">
        <v>396.66</v>
      </c>
      <c r="L455" s="6" t="n">
        <v>365.33</v>
      </c>
      <c r="M455" s="6" t="n">
        <v>417.52</v>
      </c>
      <c r="N455" s="3" t="inlineStr">
        <is>
          <t>Sí</t>
        </is>
      </c>
      <c r="O455" s="6">
        <f>IF(K455="","",IF(N455="Sí",ROUND(K455/1.18,2),K455))</f>
        <v/>
      </c>
      <c r="P455" s="3" t="inlineStr">
        <is>
          <t>2026-09-09</t>
        </is>
      </c>
      <c r="Q455" s="4" t="inlineStr">
        <is>
          <t>Ferretería Ochoa (8A)</t>
        </is>
      </c>
      <c r="AF455" s="4" t="inlineStr">
        <is>
          <t>tipo: canto · material: fibra vegetal · medida_mm: 10</t>
        </is>
      </c>
    </row>
    <row r="456">
      <c r="A456" s="3" t="inlineStr">
        <is>
          <t>MAT-08-234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Perfil de canto de latón, 10 mm</t>
        </is>
      </c>
      <c r="E456" s="4" t="inlineStr">
        <is>
          <t>Tramo de 2.5 a 2.6 m</t>
        </is>
      </c>
      <c r="F456" s="3" t="inlineStr">
        <is>
          <t>unidad</t>
        </is>
      </c>
      <c r="G456" s="3" t="inlineStr">
        <is>
          <t>Pisos</t>
        </is>
      </c>
      <c r="H456" s="3" t="inlineStr">
        <is>
          <t>estandar</t>
        </is>
      </c>
      <c r="I456" s="3" t="inlineStr">
        <is>
          <t>importado</t>
        </is>
      </c>
      <c r="J456" s="5" t="n">
        <v>1</v>
      </c>
      <c r="K456" s="6" t="n">
        <v>3254.44</v>
      </c>
      <c r="L456" s="6" t="n">
        <v>3254.44</v>
      </c>
      <c r="M456" s="6" t="n">
        <v>3254.44</v>
      </c>
      <c r="N456" s="3" t="inlineStr">
        <is>
          <t>Sí</t>
        </is>
      </c>
      <c r="O456" s="6">
        <f>IF(K456="","",IF(N456="Sí",ROUND(K456/1.18,2),K456))</f>
        <v/>
      </c>
      <c r="P456" s="3" t="inlineStr">
        <is>
          <t>2026-09-10</t>
        </is>
      </c>
      <c r="Q456" s="4" t="inlineStr">
        <is>
          <t>La Ibérica</t>
        </is>
      </c>
      <c r="AF456" s="4" t="inlineStr">
        <is>
          <t>tipo: canto · material: latón · medida_mm: 10</t>
        </is>
      </c>
    </row>
    <row r="457">
      <c r="A457" s="3" t="inlineStr">
        <is>
          <t>MAT-08-235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Perfil de canto de PVC, 10 mm</t>
        </is>
      </c>
      <c r="E457" s="4" t="inlineStr">
        <is>
          <t>Tramo de 2.5 a 2.6 m</t>
        </is>
      </c>
      <c r="F457" s="3" t="inlineStr">
        <is>
          <t>unidad</t>
        </is>
      </c>
      <c r="G457" s="3" t="inlineStr">
        <is>
          <t>Pisos</t>
        </is>
      </c>
      <c r="H457" s="3" t="inlineStr">
        <is>
          <t>estandar</t>
        </is>
      </c>
      <c r="I457" s="3" t="inlineStr">
        <is>
          <t>importado</t>
        </is>
      </c>
      <c r="J457" s="5" t="n">
        <v>2</v>
      </c>
      <c r="K457" s="6" t="n">
        <v>391.85</v>
      </c>
      <c r="L457" s="6" t="n">
        <v>344.42</v>
      </c>
      <c r="M457" s="6" t="n">
        <v>590</v>
      </c>
      <c r="N457" s="3" t="inlineStr">
        <is>
          <t>Sí</t>
        </is>
      </c>
      <c r="O457" s="6">
        <f>IF(K457="","",IF(N457="Sí",ROUND(K457/1.18,2),K457))</f>
        <v/>
      </c>
      <c r="P457" s="3" t="inlineStr">
        <is>
          <t>2026-09-10</t>
        </is>
      </c>
      <c r="Q457" s="4" t="inlineStr">
        <is>
          <t>CerArte · La Ibérica</t>
        </is>
      </c>
      <c r="AF457" s="4" t="inlineStr">
        <is>
          <t>tipo: canto · material: PVC · medida_mm: 10</t>
        </is>
      </c>
    </row>
    <row r="458">
      <c r="A458" s="3" t="inlineStr">
        <is>
          <t>MAT-08-236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Perfil de canto de PVC, 5 mm</t>
        </is>
      </c>
      <c r="E458" s="4" t="inlineStr">
        <is>
          <t>Tramo de 2.5 a 2.6 m</t>
        </is>
      </c>
      <c r="F458" s="3" t="inlineStr">
        <is>
          <t>unidad</t>
        </is>
      </c>
      <c r="G458" s="3" t="inlineStr">
        <is>
          <t>Pisos</t>
        </is>
      </c>
      <c r="H458" s="3" t="inlineStr">
        <is>
          <t>estandar</t>
        </is>
      </c>
      <c r="I458" s="3" t="inlineStr">
        <is>
          <t>importado</t>
        </is>
      </c>
      <c r="J458" s="5" t="n">
        <v>1</v>
      </c>
      <c r="K458" s="6" t="n">
        <v>67.81999999999999</v>
      </c>
      <c r="L458" s="6" t="n">
        <v>66.68000000000001</v>
      </c>
      <c r="M458" s="6" t="n">
        <v>68.95</v>
      </c>
      <c r="N458" s="3" t="inlineStr">
        <is>
          <t>Sí</t>
        </is>
      </c>
      <c r="O458" s="6">
        <f>IF(K458="","",IF(N458="Sí",ROUND(K458/1.18,2),K458))</f>
        <v/>
      </c>
      <c r="P458" s="3" t="inlineStr">
        <is>
          <t>2026-09-09</t>
        </is>
      </c>
      <c r="Q458" s="4" t="inlineStr">
        <is>
          <t>Ferretería Ochoa (8A)</t>
        </is>
      </c>
      <c r="AF458" s="4" t="inlineStr">
        <is>
          <t>tipo: canto · material: PVC · medida_mm: 5</t>
        </is>
      </c>
    </row>
    <row r="459">
      <c r="A459" s="3" t="inlineStr">
        <is>
          <t>MAT-08-237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Perfil de canto de PVC, 8 mm</t>
        </is>
      </c>
      <c r="E459" s="4" t="inlineStr">
        <is>
          <t>Tramo de 2.5 a 2.6 m</t>
        </is>
      </c>
      <c r="F459" s="3" t="inlineStr">
        <is>
          <t>unidad</t>
        </is>
      </c>
      <c r="G459" s="3" t="inlineStr">
        <is>
          <t>Pisos</t>
        </is>
      </c>
      <c r="H459" s="3" t="inlineStr">
        <is>
          <t>estandar</t>
        </is>
      </c>
      <c r="I459" s="3" t="inlineStr">
        <is>
          <t>importado</t>
        </is>
      </c>
      <c r="J459" s="5" t="n">
        <v>1</v>
      </c>
      <c r="K459" s="6" t="n">
        <v>248</v>
      </c>
      <c r="L459" s="6" t="n">
        <v>248</v>
      </c>
      <c r="M459" s="6" t="n">
        <v>248</v>
      </c>
      <c r="N459" s="3" t="inlineStr">
        <is>
          <t>Sí</t>
        </is>
      </c>
      <c r="O459" s="6">
        <f>IF(K459="","",IF(N459="Sí",ROUND(K459/1.18,2),K459))</f>
        <v/>
      </c>
      <c r="P459" s="3" t="inlineStr">
        <is>
          <t>2026-09-09</t>
        </is>
      </c>
      <c r="Q459" s="4" t="inlineStr">
        <is>
          <t>Ferretería Cima</t>
        </is>
      </c>
      <c r="AF459" s="4" t="inlineStr">
        <is>
          <t>tipo: canto · material: PVC · medida_mm: 8</t>
        </is>
      </c>
    </row>
    <row r="460">
      <c r="A460" s="3" t="inlineStr">
        <is>
          <t>MAT-08-238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Perfil de canto de PVC, 8.5 mm</t>
        </is>
      </c>
      <c r="E460" s="4" t="inlineStr">
        <is>
          <t>Tramo de 2.5 a 2.6 m</t>
        </is>
      </c>
      <c r="F460" s="3" t="inlineStr">
        <is>
          <t>unidad</t>
        </is>
      </c>
      <c r="G460" s="3" t="inlineStr">
        <is>
          <t>Pisos</t>
        </is>
      </c>
      <c r="H460" s="3" t="inlineStr">
        <is>
          <t>estandar</t>
        </is>
      </c>
      <c r="I460" s="3" t="inlineStr">
        <is>
          <t>importado</t>
        </is>
      </c>
      <c r="J460" s="5" t="n">
        <v>2</v>
      </c>
      <c r="K460" s="6" t="n">
        <v>68.95</v>
      </c>
      <c r="L460" s="6" t="n">
        <v>66.61</v>
      </c>
      <c r="M460" s="6" t="n">
        <v>224.99</v>
      </c>
      <c r="N460" s="3" t="inlineStr">
        <is>
          <t>Sí</t>
        </is>
      </c>
      <c r="O460" s="6">
        <f>IF(K460="","",IF(N460="Sí",ROUND(K460/1.18,2),K460))</f>
        <v/>
      </c>
      <c r="P460" s="3" t="inlineStr">
        <is>
          <t>2026-09-10</t>
        </is>
      </c>
      <c r="Q460" s="4" t="inlineStr">
        <is>
          <t>Ferretería Ochoa (8A) · La Ibérica</t>
        </is>
      </c>
      <c r="AF460" s="4" t="inlineStr">
        <is>
          <t>tipo: canto · material: PVC · medida_mm: 8.5</t>
        </is>
      </c>
    </row>
    <row r="461">
      <c r="A461" s="3" t="inlineStr">
        <is>
          <t>MAT-08-239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Junta de dilatación de aluminio, 12 mm</t>
        </is>
      </c>
      <c r="E461" s="4" t="inlineStr">
        <is>
          <t>Tramo de 2.5 a 2.6 m</t>
        </is>
      </c>
      <c r="F461" s="3" t="inlineStr">
        <is>
          <t>unidad</t>
        </is>
      </c>
      <c r="G461" s="3" t="inlineStr">
        <is>
          <t>Pisos</t>
        </is>
      </c>
      <c r="H461" s="3" t="inlineStr">
        <is>
          <t>estandar</t>
        </is>
      </c>
      <c r="I461" s="3" t="inlineStr">
        <is>
          <t>importado</t>
        </is>
      </c>
      <c r="J461" s="5" t="n">
        <v>1</v>
      </c>
      <c r="K461" s="6" t="n">
        <v>7649.35</v>
      </c>
      <c r="L461" s="6" t="n">
        <v>5822.12</v>
      </c>
      <c r="M461" s="6" t="n">
        <v>9476.58</v>
      </c>
      <c r="N461" s="3" t="inlineStr">
        <is>
          <t>Sí</t>
        </is>
      </c>
      <c r="O461" s="6">
        <f>IF(K461="","",IF(N461="Sí",ROUND(K461/1.18,2),K461))</f>
        <v/>
      </c>
      <c r="P461" s="3" t="inlineStr">
        <is>
          <t>2026-09-10</t>
        </is>
      </c>
      <c r="Q461" s="4" t="inlineStr">
        <is>
          <t>La Ibérica</t>
        </is>
      </c>
      <c r="AF461" s="4" t="inlineStr">
        <is>
          <t>tipo: dilatacion · material: aluminio · medida_mm: 12</t>
        </is>
      </c>
    </row>
    <row r="462">
      <c r="A462" s="3" t="inlineStr">
        <is>
          <t>MAT-08-240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Junta de dilatación de aluminio, 14 mm</t>
        </is>
      </c>
      <c r="E462" s="4" t="inlineStr">
        <is>
          <t>Tramo de 2.5 a 2.6 m</t>
        </is>
      </c>
      <c r="F462" s="3" t="inlineStr">
        <is>
          <t>unidad</t>
        </is>
      </c>
      <c r="G462" s="3" t="inlineStr">
        <is>
          <t>Pisos</t>
        </is>
      </c>
      <c r="H462" s="3" t="inlineStr">
        <is>
          <t>estandar</t>
        </is>
      </c>
      <c r="I462" s="3" t="inlineStr">
        <is>
          <t>importado</t>
        </is>
      </c>
      <c r="J462" s="5" t="n">
        <v>1</v>
      </c>
      <c r="K462" s="6" t="n">
        <v>1589.99</v>
      </c>
      <c r="L462" s="6" t="n">
        <v>1589.99</v>
      </c>
      <c r="M462" s="6" t="n">
        <v>1589.99</v>
      </c>
      <c r="N462" s="3" t="inlineStr">
        <is>
          <t>Sí</t>
        </is>
      </c>
      <c r="O462" s="6">
        <f>IF(K462="","",IF(N462="Sí",ROUND(K462/1.18,2),K462))</f>
        <v/>
      </c>
      <c r="P462" s="3" t="inlineStr">
        <is>
          <t>2026-09-10</t>
        </is>
      </c>
      <c r="Q462" s="4" t="inlineStr">
        <is>
          <t>La Ibérica</t>
        </is>
      </c>
      <c r="AF462" s="4" t="inlineStr">
        <is>
          <t>tipo: dilatacion · material: aluminio · medida_mm: 14</t>
        </is>
      </c>
    </row>
    <row r="463">
      <c r="A463" s="3" t="inlineStr">
        <is>
          <t>MAT-08-241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Junta de dilatación de aluminio, 26 mm</t>
        </is>
      </c>
      <c r="E463" s="4" t="inlineStr">
        <is>
          <t>Tramo de 2.5 a 2.6 m</t>
        </is>
      </c>
      <c r="F463" s="3" t="inlineStr">
        <is>
          <t>unidad</t>
        </is>
      </c>
      <c r="G463" s="3" t="inlineStr">
        <is>
          <t>Pisos</t>
        </is>
      </c>
      <c r="H463" s="3" t="inlineStr">
        <is>
          <t>estandar</t>
        </is>
      </c>
      <c r="I463" s="3" t="inlineStr">
        <is>
          <t>importado</t>
        </is>
      </c>
      <c r="J463" s="5" t="n">
        <v>1</v>
      </c>
      <c r="K463" s="6" t="n">
        <v>6400</v>
      </c>
      <c r="L463" s="6" t="n">
        <v>6400</v>
      </c>
      <c r="M463" s="6" t="n">
        <v>6400</v>
      </c>
      <c r="N463" s="3" t="inlineStr">
        <is>
          <t>Sí</t>
        </is>
      </c>
      <c r="O463" s="6">
        <f>IF(K463="","",IF(N463="Sí",ROUND(K463/1.18,2),K463))</f>
        <v/>
      </c>
      <c r="P463" s="3" t="inlineStr">
        <is>
          <t>2026-09-10</t>
        </is>
      </c>
      <c r="Q463" s="4" t="inlineStr">
        <is>
          <t>La Ibérica</t>
        </is>
      </c>
      <c r="AF463" s="4" t="inlineStr">
        <is>
          <t>tipo: dilatacion · material: aluminio · medida_mm: 26</t>
        </is>
      </c>
    </row>
    <row r="464">
      <c r="A464" s="3" t="inlineStr">
        <is>
          <t>MAT-08-242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Junta de dilatación de PVC, 25 mm</t>
        </is>
      </c>
      <c r="E464" s="4" t="inlineStr">
        <is>
          <t>Tramo de 2.5 a 2.6 m</t>
        </is>
      </c>
      <c r="F464" s="3" t="inlineStr">
        <is>
          <t>unidad</t>
        </is>
      </c>
      <c r="G464" s="3" t="inlineStr">
        <is>
          <t>Pisos</t>
        </is>
      </c>
      <c r="H464" s="3" t="inlineStr">
        <is>
          <t>estandar</t>
        </is>
      </c>
      <c r="I464" s="3" t="inlineStr">
        <is>
          <t>importado</t>
        </is>
      </c>
      <c r="J464" s="5" t="n">
        <v>1</v>
      </c>
      <c r="K464" s="6" t="n">
        <v>1100</v>
      </c>
      <c r="L464" s="6" t="n">
        <v>1100</v>
      </c>
      <c r="M464" s="6" t="n">
        <v>1100</v>
      </c>
      <c r="N464" s="3" t="inlineStr">
        <is>
          <t>Sí</t>
        </is>
      </c>
      <c r="O464" s="6">
        <f>IF(K464="","",IF(N464="Sí",ROUND(K464/1.18,2),K464))</f>
        <v/>
      </c>
      <c r="P464" s="3" t="inlineStr">
        <is>
          <t>2026-09-10</t>
        </is>
      </c>
      <c r="Q464" s="4" t="inlineStr">
        <is>
          <t>La Ibérica</t>
        </is>
      </c>
      <c r="AF464" s="4" t="inlineStr">
        <is>
          <t>tipo: dilatacion · material: PVC · medida_mm: 25</t>
        </is>
      </c>
    </row>
    <row r="465">
      <c r="A465" s="3" t="inlineStr">
        <is>
          <t>MAT-08-243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Junta de dilatación de PVC, 8 mm</t>
        </is>
      </c>
      <c r="E465" s="4" t="inlineStr">
        <is>
          <t>Tramo de 2.5 a 2.6 m</t>
        </is>
      </c>
      <c r="F465" s="3" t="inlineStr">
        <is>
          <t>unidad</t>
        </is>
      </c>
      <c r="G465" s="3" t="inlineStr">
        <is>
          <t>Pisos</t>
        </is>
      </c>
      <c r="H465" s="3" t="inlineStr">
        <is>
          <t>estandar</t>
        </is>
      </c>
      <c r="I465" s="3" t="inlineStr">
        <is>
          <t>importado</t>
        </is>
      </c>
      <c r="J465" s="5" t="n">
        <v>1</v>
      </c>
      <c r="K465" s="6" t="n">
        <v>720</v>
      </c>
      <c r="L465" s="6" t="n">
        <v>490</v>
      </c>
      <c r="M465" s="6" t="n">
        <v>949.99</v>
      </c>
      <c r="N465" s="3" t="inlineStr">
        <is>
          <t>Sí</t>
        </is>
      </c>
      <c r="O465" s="6">
        <f>IF(K465="","",IF(N465="Sí",ROUND(K465/1.18,2),K465))</f>
        <v/>
      </c>
      <c r="P465" s="3" t="inlineStr">
        <is>
          <t>2026-09-10</t>
        </is>
      </c>
      <c r="Q465" s="4" t="inlineStr">
        <is>
          <t>La Ibérica</t>
        </is>
      </c>
      <c r="AF465" s="4" t="inlineStr">
        <is>
          <t>tipo: dilatacion · material: PVC · medida_mm: 8</t>
        </is>
      </c>
    </row>
    <row r="466">
      <c r="A466" s="3" t="inlineStr">
        <is>
          <t>MAT-08-244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Perfil de peldaño de aluminio, 12 mm</t>
        </is>
      </c>
      <c r="E466" s="4" t="inlineStr">
        <is>
          <t>Tramo de 2.5 a 2.6 m</t>
        </is>
      </c>
      <c r="F466" s="3" t="inlineStr">
        <is>
          <t>unidad</t>
        </is>
      </c>
      <c r="G466" s="3" t="inlineStr">
        <is>
          <t>Pisos</t>
        </is>
      </c>
      <c r="H466" s="3" t="inlineStr">
        <is>
          <t>estandar</t>
        </is>
      </c>
      <c r="I466" s="3" t="inlineStr">
        <is>
          <t>importado</t>
        </is>
      </c>
      <c r="J466" s="5" t="n">
        <v>1</v>
      </c>
      <c r="K466" s="6" t="n">
        <v>3592.5</v>
      </c>
      <c r="L466" s="6" t="n">
        <v>2190</v>
      </c>
      <c r="M466" s="6" t="n">
        <v>4995</v>
      </c>
      <c r="N466" s="3" t="inlineStr">
        <is>
          <t>Sí</t>
        </is>
      </c>
      <c r="O466" s="6">
        <f>IF(K466="","",IF(N466="Sí",ROUND(K466/1.18,2),K466))</f>
        <v/>
      </c>
      <c r="P466" s="3" t="inlineStr">
        <is>
          <t>2026-09-10</t>
        </is>
      </c>
      <c r="Q466" s="4" t="inlineStr">
        <is>
          <t>La Ibérica</t>
        </is>
      </c>
      <c r="AF466" s="4" t="inlineStr">
        <is>
          <t>tipo: peldano · material: aluminio · medida_mm: 12</t>
        </is>
      </c>
    </row>
    <row r="467">
      <c r="A467" s="3" t="inlineStr">
        <is>
          <t>MAT-08-245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Perfil de peldaño de aluminio, 48 mm</t>
        </is>
      </c>
      <c r="E467" s="4" t="inlineStr">
        <is>
          <t>Tramo de 2.5 a 2.6 m</t>
        </is>
      </c>
      <c r="F467" s="3" t="inlineStr">
        <is>
          <t>unidad</t>
        </is>
      </c>
      <c r="G467" s="3" t="inlineStr">
        <is>
          <t>Pisos</t>
        </is>
      </c>
      <c r="H467" s="3" t="inlineStr">
        <is>
          <t>estandar</t>
        </is>
      </c>
      <c r="I467" s="3" t="inlineStr">
        <is>
          <t>importado</t>
        </is>
      </c>
      <c r="J467" s="5" t="n">
        <v>1</v>
      </c>
      <c r="K467" s="6" t="n">
        <v>6525</v>
      </c>
      <c r="L467" s="6" t="n">
        <v>6525</v>
      </c>
      <c r="M467" s="6" t="n">
        <v>6525</v>
      </c>
      <c r="N467" s="3" t="inlineStr">
        <is>
          <t>Sí</t>
        </is>
      </c>
      <c r="O467" s="6">
        <f>IF(K467="","",IF(N467="Sí",ROUND(K467/1.18,2),K467))</f>
        <v/>
      </c>
      <c r="P467" s="3" t="inlineStr">
        <is>
          <t>2026-09-10</t>
        </is>
      </c>
      <c r="Q467" s="4" t="inlineStr">
        <is>
          <t>La Ibérica</t>
        </is>
      </c>
      <c r="AF467" s="4" t="inlineStr">
        <is>
          <t>tipo: peldano · material: aluminio · medida_mm: 48</t>
        </is>
      </c>
    </row>
    <row r="468">
      <c r="A468" s="3" t="inlineStr">
        <is>
          <t>MAT-08-246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Perfil de peldaño de aluminio, 65 mm</t>
        </is>
      </c>
      <c r="E468" s="4" t="inlineStr">
        <is>
          <t>Tramo de 2.5 a 2.6 m</t>
        </is>
      </c>
      <c r="F468" s="3" t="inlineStr">
        <is>
          <t>unidad</t>
        </is>
      </c>
      <c r="G468" s="3" t="inlineStr">
        <is>
          <t>Pisos</t>
        </is>
      </c>
      <c r="H468" s="3" t="inlineStr">
        <is>
          <t>estandar</t>
        </is>
      </c>
      <c r="I468" s="3" t="inlineStr">
        <is>
          <t>importado</t>
        </is>
      </c>
      <c r="J468" s="5" t="n">
        <v>1</v>
      </c>
      <c r="K468" s="6" t="n">
        <v>4893.46</v>
      </c>
      <c r="L468" s="6" t="n">
        <v>4893.46</v>
      </c>
      <c r="M468" s="6" t="n">
        <v>4893.46</v>
      </c>
      <c r="N468" s="3" t="inlineStr">
        <is>
          <t>Sí</t>
        </is>
      </c>
      <c r="O468" s="6">
        <f>IF(K468="","",IF(N468="Sí",ROUND(K468/1.18,2),K468))</f>
        <v/>
      </c>
      <c r="P468" s="3" t="inlineStr">
        <is>
          <t>2026-09-10</t>
        </is>
      </c>
      <c r="Q468" s="4" t="inlineStr">
        <is>
          <t>La Ibérica</t>
        </is>
      </c>
      <c r="AF468" s="4" t="inlineStr">
        <is>
          <t>tipo: peldano · material: aluminio · medida_mm: 65</t>
        </is>
      </c>
    </row>
    <row r="469">
      <c r="A469" s="3" t="inlineStr">
        <is>
          <t>MAT-08-247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Cruceta para cerámica 1.5 mm, funda de 100</t>
        </is>
      </c>
      <c r="E469" s="4" t="inlineStr"/>
      <c r="F469" s="3" t="inlineStr">
        <is>
          <t>funda</t>
        </is>
      </c>
      <c r="G469" s="3" t="inlineStr">
        <is>
          <t>Pisos</t>
        </is>
      </c>
      <c r="H469" s="3" t="inlineStr">
        <is>
          <t>estandar</t>
        </is>
      </c>
      <c r="I469" s="3" t="inlineStr">
        <is>
          <t>importado</t>
        </is>
      </c>
      <c r="J469" s="5" t="n">
        <v>2</v>
      </c>
      <c r="K469" s="6" t="n">
        <v>73.92</v>
      </c>
      <c r="L469" s="6" t="n">
        <v>47.83</v>
      </c>
      <c r="M469" s="6" t="n">
        <v>100.01</v>
      </c>
      <c r="N469" s="3" t="inlineStr">
        <is>
          <t>Sí</t>
        </is>
      </c>
      <c r="O469" s="6">
        <f>IF(K469="","",IF(N469="Sí",ROUND(K469/1.18,2),K469))</f>
        <v/>
      </c>
      <c r="P469" s="3" t="inlineStr">
        <is>
          <t>2026-09-10</t>
        </is>
      </c>
      <c r="Q469" s="4" t="inlineStr">
        <is>
          <t>Ferretería Ochoa (8A) · La Ibérica</t>
        </is>
      </c>
      <c r="T469" s="7" t="n">
        <v>100</v>
      </c>
      <c r="AF469" s="4" t="inlineStr">
        <is>
          <t>espesor_mm: 1.5</t>
        </is>
      </c>
    </row>
    <row r="470">
      <c r="A470" s="3" t="inlineStr">
        <is>
          <t>MAT-08-248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Cruceta para cerámica 1.5 mm, funda de 250</t>
        </is>
      </c>
      <c r="E470" s="4" t="inlineStr"/>
      <c r="F470" s="3" t="inlineStr">
        <is>
          <t>funda</t>
        </is>
      </c>
      <c r="G470" s="3" t="inlineStr">
        <is>
          <t>Pisos</t>
        </is>
      </c>
      <c r="H470" s="3" t="inlineStr">
        <is>
          <t>estandar</t>
        </is>
      </c>
      <c r="I470" s="3" t="inlineStr">
        <is>
          <t>importado</t>
        </is>
      </c>
      <c r="J470" s="5" t="n">
        <v>1</v>
      </c>
      <c r="K470" s="6" t="n">
        <v>114.99</v>
      </c>
      <c r="L470" s="6" t="n">
        <v>114.99</v>
      </c>
      <c r="M470" s="6" t="n">
        <v>114.99</v>
      </c>
      <c r="N470" s="3" t="inlineStr">
        <is>
          <t>Sí</t>
        </is>
      </c>
      <c r="O470" s="6">
        <f>IF(K470="","",IF(N470="Sí",ROUND(K470/1.18,2),K470))</f>
        <v/>
      </c>
      <c r="P470" s="3" t="inlineStr">
        <is>
          <t>2026-09-10</t>
        </is>
      </c>
      <c r="Q470" s="4" t="inlineStr">
        <is>
          <t>La Ibérica</t>
        </is>
      </c>
      <c r="T470" s="7" t="n">
        <v>250</v>
      </c>
      <c r="AF470" s="4" t="inlineStr">
        <is>
          <t>espesor_mm: 1.5</t>
        </is>
      </c>
    </row>
    <row r="471">
      <c r="A471" s="3" t="inlineStr">
        <is>
          <t>MAT-08-249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Cruceta para cerámica 1.5 mm, funda de 300</t>
        </is>
      </c>
      <c r="E471" s="4" t="inlineStr"/>
      <c r="F471" s="3" t="inlineStr">
        <is>
          <t>funda</t>
        </is>
      </c>
      <c r="G471" s="3" t="inlineStr">
        <is>
          <t>Pisos</t>
        </is>
      </c>
      <c r="H471" s="3" t="inlineStr">
        <is>
          <t>estandar</t>
        </is>
      </c>
      <c r="I471" s="3" t="inlineStr">
        <is>
          <t>importado</t>
        </is>
      </c>
      <c r="J471" s="5" t="n">
        <v>2</v>
      </c>
      <c r="K471" s="6" t="n">
        <v>281.88</v>
      </c>
      <c r="L471" s="6" t="n">
        <v>165</v>
      </c>
      <c r="M471" s="6" t="n">
        <v>330</v>
      </c>
      <c r="N471" s="3" t="inlineStr">
        <is>
          <t>Sí</t>
        </is>
      </c>
      <c r="O471" s="6">
        <f>IF(K471="","",IF(N471="Sí",ROUND(K471/1.18,2),K471))</f>
        <v/>
      </c>
      <c r="P471" s="3" t="inlineStr">
        <is>
          <t>2026-09-09</t>
        </is>
      </c>
      <c r="Q471" s="4" t="inlineStr">
        <is>
          <t>Ferretería Cima · Ferretería Ochoa (8A)</t>
        </is>
      </c>
      <c r="T471" s="7" t="n">
        <v>300</v>
      </c>
      <c r="AF471" s="4" t="inlineStr">
        <is>
          <t>espesor_mm: 1.5</t>
        </is>
      </c>
    </row>
    <row r="472">
      <c r="A472" s="3" t="inlineStr">
        <is>
          <t>MAT-08-250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Cruceta para cerámica 1 mm, funda de 100</t>
        </is>
      </c>
      <c r="E472" s="4" t="inlineStr"/>
      <c r="F472" s="3" t="inlineStr">
        <is>
          <t>funda</t>
        </is>
      </c>
      <c r="G472" s="3" t="inlineStr">
        <is>
          <t>Pisos</t>
        </is>
      </c>
      <c r="H472" s="3" t="inlineStr">
        <is>
          <t>estandar</t>
        </is>
      </c>
      <c r="I472" s="3" t="inlineStr">
        <is>
          <t>importado</t>
        </is>
      </c>
      <c r="J472" s="5" t="n">
        <v>1</v>
      </c>
      <c r="K472" s="6" t="n">
        <v>42.56</v>
      </c>
      <c r="L472" s="6" t="n">
        <v>42.56</v>
      </c>
      <c r="M472" s="6" t="n">
        <v>42.56</v>
      </c>
      <c r="N472" s="3" t="inlineStr">
        <is>
          <t>Sí</t>
        </is>
      </c>
      <c r="O472" s="6">
        <f>IF(K472="","",IF(N472="Sí",ROUND(K472/1.18,2),K472))</f>
        <v/>
      </c>
      <c r="P472" s="3" t="inlineStr">
        <is>
          <t>2026-09-09</t>
        </is>
      </c>
      <c r="Q472" s="4" t="inlineStr">
        <is>
          <t>Ferretería Ochoa (8A)</t>
        </is>
      </c>
      <c r="T472" s="7" t="n">
        <v>100</v>
      </c>
      <c r="AF472" s="4" t="inlineStr">
        <is>
          <t>espesor_mm: 1</t>
        </is>
      </c>
    </row>
    <row r="473">
      <c r="A473" s="3" t="inlineStr">
        <is>
          <t>MAT-08-251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Cruceta para cerámica 1 mm, funda de 300</t>
        </is>
      </c>
      <c r="E473" s="4" t="inlineStr"/>
      <c r="F473" s="3" t="inlineStr">
        <is>
          <t>funda</t>
        </is>
      </c>
      <c r="G473" s="3" t="inlineStr">
        <is>
          <t>Pisos</t>
        </is>
      </c>
      <c r="H473" s="3" t="inlineStr">
        <is>
          <t>estandar</t>
        </is>
      </c>
      <c r="I473" s="3" t="inlineStr">
        <is>
          <t>importado</t>
        </is>
      </c>
      <c r="J473" s="5" t="n">
        <v>1</v>
      </c>
      <c r="K473" s="6" t="n">
        <v>10608.65</v>
      </c>
      <c r="L473" s="6" t="n">
        <v>10608.65</v>
      </c>
      <c r="M473" s="6" t="n">
        <v>10608.65</v>
      </c>
      <c r="N473" s="3" t="inlineStr">
        <is>
          <t>Sí</t>
        </is>
      </c>
      <c r="O473" s="6">
        <f>IF(K473="","",IF(N473="Sí",ROUND(K473/1.18,2),K473))</f>
        <v/>
      </c>
      <c r="P473" s="3" t="inlineStr">
        <is>
          <t>2026-09-09</t>
        </is>
      </c>
      <c r="Q473" s="4" t="inlineStr">
        <is>
          <t>Ferretería Ochoa (8A)</t>
        </is>
      </c>
      <c r="T473" s="7" t="n">
        <v>300</v>
      </c>
      <c r="AF473" s="4" t="inlineStr">
        <is>
          <t>espesor_mm: 1</t>
        </is>
      </c>
    </row>
    <row r="474">
      <c r="A474" s="3" t="inlineStr">
        <is>
          <t>MAT-08-252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Cruceta para cerámica 2 mm, funda de 100</t>
        </is>
      </c>
      <c r="E474" s="4" t="inlineStr"/>
      <c r="F474" s="3" t="inlineStr">
        <is>
          <t>funda</t>
        </is>
      </c>
      <c r="G474" s="3" t="inlineStr">
        <is>
          <t>Pisos</t>
        </is>
      </c>
      <c r="H474" s="3" t="inlineStr">
        <is>
          <t>estandar</t>
        </is>
      </c>
      <c r="I474" s="3" t="inlineStr">
        <is>
          <t>importado</t>
        </is>
      </c>
      <c r="J474" s="5" t="n">
        <v>2</v>
      </c>
      <c r="K474" s="6" t="n">
        <v>76.16</v>
      </c>
      <c r="L474" s="6" t="n">
        <v>52.3</v>
      </c>
      <c r="M474" s="6" t="n">
        <v>100.01</v>
      </c>
      <c r="N474" s="3" t="inlineStr">
        <is>
          <t>Sí</t>
        </is>
      </c>
      <c r="O474" s="6">
        <f>IF(K474="","",IF(N474="Sí",ROUND(K474/1.18,2),K474))</f>
        <v/>
      </c>
      <c r="P474" s="3" t="inlineStr">
        <is>
          <t>2026-09-10</t>
        </is>
      </c>
      <c r="Q474" s="4" t="inlineStr">
        <is>
          <t>Ferretería Ochoa (8A) · La Ibérica</t>
        </is>
      </c>
      <c r="T474" s="7" t="n">
        <v>100</v>
      </c>
      <c r="AF474" s="4" t="inlineStr">
        <is>
          <t>espesor_mm: 2</t>
        </is>
      </c>
    </row>
    <row r="475">
      <c r="A475" s="3" t="inlineStr">
        <is>
          <t>MAT-08-253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Cruceta para cerámica 2 mm, funda de 300</t>
        </is>
      </c>
      <c r="E475" s="4" t="inlineStr"/>
      <c r="F475" s="3" t="inlineStr">
        <is>
          <t>funda</t>
        </is>
      </c>
      <c r="G475" s="3" t="inlineStr">
        <is>
          <t>Pisos</t>
        </is>
      </c>
      <c r="H475" s="3" t="inlineStr">
        <is>
          <t>estandar</t>
        </is>
      </c>
      <c r="I475" s="3" t="inlineStr">
        <is>
          <t>importado</t>
        </is>
      </c>
      <c r="J475" s="5" t="n">
        <v>1</v>
      </c>
      <c r="K475" s="6" t="n">
        <v>12274.78</v>
      </c>
      <c r="L475" s="6" t="n">
        <v>12274.78</v>
      </c>
      <c r="M475" s="6" t="n">
        <v>12274.78</v>
      </c>
      <c r="N475" s="3" t="inlineStr">
        <is>
          <t>Sí</t>
        </is>
      </c>
      <c r="O475" s="6">
        <f>IF(K475="","",IF(N475="Sí",ROUND(K475/1.18,2),K475))</f>
        <v/>
      </c>
      <c r="P475" s="3" t="inlineStr">
        <is>
          <t>2026-09-09</t>
        </is>
      </c>
      <c r="Q475" s="4" t="inlineStr">
        <is>
          <t>Ferretería Ochoa (8A)</t>
        </is>
      </c>
      <c r="T475" s="7" t="n">
        <v>300</v>
      </c>
      <c r="AF475" s="4" t="inlineStr">
        <is>
          <t>espesor_mm: 2</t>
        </is>
      </c>
    </row>
    <row r="476">
      <c r="A476" s="3" t="inlineStr">
        <is>
          <t>MAT-08-254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Cruceta para cerámica 2 mm, funda de 500</t>
        </is>
      </c>
      <c r="E476" s="4" t="inlineStr"/>
      <c r="F476" s="3" t="inlineStr">
        <is>
          <t>funda</t>
        </is>
      </c>
      <c r="G476" s="3" t="inlineStr">
        <is>
          <t>Pisos</t>
        </is>
      </c>
      <c r="H476" s="3" t="inlineStr">
        <is>
          <t>estandar</t>
        </is>
      </c>
      <c r="I476" s="3" t="inlineStr">
        <is>
          <t>importado</t>
        </is>
      </c>
      <c r="J476" s="5" t="n">
        <v>1</v>
      </c>
      <c r="K476" s="6" t="n">
        <v>374.71</v>
      </c>
      <c r="L476" s="6" t="n">
        <v>372.08</v>
      </c>
      <c r="M476" s="6" t="n">
        <v>377.35</v>
      </c>
      <c r="N476" s="3" t="inlineStr">
        <is>
          <t>Sí</t>
        </is>
      </c>
      <c r="O476" s="6">
        <f>IF(K476="","",IF(N476="Sí",ROUND(K476/1.18,2),K476))</f>
        <v/>
      </c>
      <c r="P476" s="3" t="inlineStr">
        <is>
          <t>2026-09-10</t>
        </is>
      </c>
      <c r="Q476" s="4" t="inlineStr">
        <is>
          <t>CerArte</t>
        </is>
      </c>
      <c r="T476" s="7" t="n">
        <v>500</v>
      </c>
      <c r="AF476" s="4" t="inlineStr">
        <is>
          <t>espesor_mm: 2</t>
        </is>
      </c>
    </row>
    <row r="477">
      <c r="A477" s="3" t="inlineStr">
        <is>
          <t>MAT-08-255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Cruceta para cerámica 3 mm, funda de 100</t>
        </is>
      </c>
      <c r="E477" s="4" t="inlineStr"/>
      <c r="F477" s="3" t="inlineStr">
        <is>
          <t>funda</t>
        </is>
      </c>
      <c r="G477" s="3" t="inlineStr">
        <is>
          <t>Pisos</t>
        </is>
      </c>
      <c r="H477" s="3" t="inlineStr">
        <is>
          <t>estandar</t>
        </is>
      </c>
      <c r="I477" s="3" t="inlineStr">
        <is>
          <t>importado</t>
        </is>
      </c>
      <c r="J477" s="5" t="n">
        <v>1</v>
      </c>
      <c r="K477" s="6" t="n">
        <v>61.54</v>
      </c>
      <c r="L477" s="6" t="n">
        <v>61.54</v>
      </c>
      <c r="M477" s="6" t="n">
        <v>61.54</v>
      </c>
      <c r="N477" s="3" t="inlineStr">
        <is>
          <t>Sí</t>
        </is>
      </c>
      <c r="O477" s="6">
        <f>IF(K477="","",IF(N477="Sí",ROUND(K477/1.18,2),K477))</f>
        <v/>
      </c>
      <c r="P477" s="3" t="inlineStr">
        <is>
          <t>2026-09-09</t>
        </is>
      </c>
      <c r="Q477" s="4" t="inlineStr">
        <is>
          <t>Ferretería Ochoa (8A)</t>
        </is>
      </c>
      <c r="T477" s="7" t="n">
        <v>100</v>
      </c>
      <c r="AF477" s="4" t="inlineStr">
        <is>
          <t>espesor_mm: 3</t>
        </is>
      </c>
    </row>
    <row r="478">
      <c r="A478" s="3" t="inlineStr">
        <is>
          <t>MAT-08-256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Cruceta para cerámica 3 mm, funda de 200</t>
        </is>
      </c>
      <c r="E478" s="4" t="inlineStr"/>
      <c r="F478" s="3" t="inlineStr">
        <is>
          <t>funda</t>
        </is>
      </c>
      <c r="G478" s="3" t="inlineStr">
        <is>
          <t>Pisos</t>
        </is>
      </c>
      <c r="H478" s="3" t="inlineStr">
        <is>
          <t>estandar</t>
        </is>
      </c>
      <c r="I478" s="3" t="inlineStr">
        <is>
          <t>importado</t>
        </is>
      </c>
      <c r="J478" s="5" t="n">
        <v>3</v>
      </c>
      <c r="K478" s="6" t="n">
        <v>252.59</v>
      </c>
      <c r="L478" s="6" t="n">
        <v>249.99</v>
      </c>
      <c r="M478" s="6" t="n">
        <v>340</v>
      </c>
      <c r="N478" s="3" t="inlineStr">
        <is>
          <t>Sí</t>
        </is>
      </c>
      <c r="O478" s="6">
        <f>IF(K478="","",IF(N478="Sí",ROUND(K478/1.18,2),K478))</f>
        <v/>
      </c>
      <c r="P478" s="3" t="inlineStr">
        <is>
          <t>2026-09-10</t>
        </is>
      </c>
      <c r="Q478" s="4" t="inlineStr">
        <is>
          <t>Ferretería Cima · Ferretería Ochoa (8A) · La Ibérica</t>
        </is>
      </c>
      <c r="T478" s="7" t="n">
        <v>200</v>
      </c>
      <c r="AF478" s="4" t="inlineStr">
        <is>
          <t>espesor_mm: 3</t>
        </is>
      </c>
    </row>
    <row r="479">
      <c r="A479" s="3" t="inlineStr">
        <is>
          <t>MAT-08-257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Cruceta para cerámica 4 mm, funda de 100</t>
        </is>
      </c>
      <c r="E479" s="4" t="inlineStr"/>
      <c r="F479" s="3" t="inlineStr">
        <is>
          <t>funda</t>
        </is>
      </c>
      <c r="G479" s="3" t="inlineStr">
        <is>
          <t>Pisos</t>
        </is>
      </c>
      <c r="H479" s="3" t="inlineStr">
        <is>
          <t>estandar</t>
        </is>
      </c>
      <c r="I479" s="3" t="inlineStr">
        <is>
          <t>importado</t>
        </is>
      </c>
      <c r="J479" s="5" t="n">
        <v>1</v>
      </c>
      <c r="K479" s="6" t="n">
        <v>72.83</v>
      </c>
      <c r="L479" s="6" t="n">
        <v>72.83</v>
      </c>
      <c r="M479" s="6" t="n">
        <v>72.83</v>
      </c>
      <c r="N479" s="3" t="inlineStr">
        <is>
          <t>Sí</t>
        </is>
      </c>
      <c r="O479" s="6">
        <f>IF(K479="","",IF(N479="Sí",ROUND(K479/1.18,2),K479))</f>
        <v/>
      </c>
      <c r="P479" s="3" t="inlineStr">
        <is>
          <t>2026-09-09</t>
        </is>
      </c>
      <c r="Q479" s="4" t="inlineStr">
        <is>
          <t>Ferretería Ochoa (8A)</t>
        </is>
      </c>
      <c r="T479" s="7" t="n">
        <v>100</v>
      </c>
      <c r="AF479" s="4" t="inlineStr">
        <is>
          <t>espesor_mm: 4</t>
        </is>
      </c>
    </row>
    <row r="480">
      <c r="A480" s="3" t="inlineStr">
        <is>
          <t>MAT-08-258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Cruceta para cerámica 4 mm, funda de 200</t>
        </is>
      </c>
      <c r="E480" s="4" t="inlineStr"/>
      <c r="F480" s="3" t="inlineStr">
        <is>
          <t>funda</t>
        </is>
      </c>
      <c r="G480" s="3" t="inlineStr">
        <is>
          <t>Pisos</t>
        </is>
      </c>
      <c r="H480" s="3" t="inlineStr">
        <is>
          <t>estandar</t>
        </is>
      </c>
      <c r="I480" s="3" t="inlineStr">
        <is>
          <t>importado</t>
        </is>
      </c>
      <c r="J480" s="5" t="n">
        <v>1</v>
      </c>
      <c r="K480" s="6" t="n">
        <v>7235.96</v>
      </c>
      <c r="L480" s="6" t="n">
        <v>7235.96</v>
      </c>
      <c r="M480" s="6" t="n">
        <v>7235.96</v>
      </c>
      <c r="N480" s="3" t="inlineStr">
        <is>
          <t>Sí</t>
        </is>
      </c>
      <c r="O480" s="6">
        <f>IF(K480="","",IF(N480="Sí",ROUND(K480/1.18,2),K480))</f>
        <v/>
      </c>
      <c r="P480" s="3" t="inlineStr">
        <is>
          <t>2026-09-09</t>
        </is>
      </c>
      <c r="Q480" s="4" t="inlineStr">
        <is>
          <t>Ferretería Ochoa (8A)</t>
        </is>
      </c>
      <c r="T480" s="7" t="n">
        <v>200</v>
      </c>
      <c r="AF480" s="4" t="inlineStr">
        <is>
          <t>espesor_mm: 4</t>
        </is>
      </c>
    </row>
    <row r="481">
      <c r="A481" s="3" t="inlineStr">
        <is>
          <t>MAT-08-259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Cruceta para cerámica 5 mm, funda de 100</t>
        </is>
      </c>
      <c r="E481" s="4" t="inlineStr"/>
      <c r="F481" s="3" t="inlineStr">
        <is>
          <t>funda</t>
        </is>
      </c>
      <c r="G481" s="3" t="inlineStr">
        <is>
          <t>Pisos</t>
        </is>
      </c>
      <c r="H481" s="3" t="inlineStr">
        <is>
          <t>estandar</t>
        </is>
      </c>
      <c r="I481" s="3" t="inlineStr">
        <is>
          <t>importado</t>
        </is>
      </c>
      <c r="J481" s="5" t="n">
        <v>2</v>
      </c>
      <c r="K481" s="6" t="n">
        <v>235.54</v>
      </c>
      <c r="L481" s="6" t="n">
        <v>81.06999999999999</v>
      </c>
      <c r="M481" s="6" t="n">
        <v>390</v>
      </c>
      <c r="N481" s="3" t="inlineStr">
        <is>
          <t>Sí</t>
        </is>
      </c>
      <c r="O481" s="6">
        <f>IF(K481="","",IF(N481="Sí",ROUND(K481/1.18,2),K481))</f>
        <v/>
      </c>
      <c r="P481" s="3" t="inlineStr">
        <is>
          <t>2026-09-09</t>
        </is>
      </c>
      <c r="Q481" s="4" t="inlineStr">
        <is>
          <t>Ferretería Cima · Ferretería Ochoa (8A)</t>
        </is>
      </c>
      <c r="T481" s="7" t="n">
        <v>100</v>
      </c>
      <c r="AF481" s="4" t="inlineStr">
        <is>
          <t>espesor_mm: 5</t>
        </is>
      </c>
    </row>
    <row r="482">
      <c r="A482" s="3" t="inlineStr">
        <is>
          <t>MAT-08-260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Cruceta para cerámica 6 mm, funda de 100</t>
        </is>
      </c>
      <c r="E482" s="4" t="inlineStr"/>
      <c r="F482" s="3" t="inlineStr">
        <is>
          <t>funda</t>
        </is>
      </c>
      <c r="G482" s="3" t="inlineStr">
        <is>
          <t>Pisos</t>
        </is>
      </c>
      <c r="H482" s="3" t="inlineStr">
        <is>
          <t>estandar</t>
        </is>
      </c>
      <c r="I482" s="3" t="inlineStr">
        <is>
          <t>importado</t>
        </is>
      </c>
      <c r="J482" s="5" t="n">
        <v>1</v>
      </c>
      <c r="K482" s="6" t="n">
        <v>78.89</v>
      </c>
      <c r="L482" s="6" t="n">
        <v>78.89</v>
      </c>
      <c r="M482" s="6" t="n">
        <v>78.89</v>
      </c>
      <c r="N482" s="3" t="inlineStr">
        <is>
          <t>Sí</t>
        </is>
      </c>
      <c r="O482" s="6">
        <f>IF(K482="","",IF(N482="Sí",ROUND(K482/1.18,2),K482))</f>
        <v/>
      </c>
      <c r="P482" s="3" t="inlineStr">
        <is>
          <t>2026-09-09</t>
        </is>
      </c>
      <c r="Q482" s="4" t="inlineStr">
        <is>
          <t>Ferretería Ochoa (8A)</t>
        </is>
      </c>
      <c r="T482" s="7" t="n">
        <v>100</v>
      </c>
      <c r="AF482" s="4" t="inlineStr">
        <is>
          <t>espesor_mm: 6</t>
        </is>
      </c>
    </row>
    <row r="483">
      <c r="A483" s="3" t="inlineStr">
        <is>
          <t>MAT-08-261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Calzo de nivelación para cerámica 0.5 mm</t>
        </is>
      </c>
      <c r="E483" s="4" t="inlineStr">
        <is>
          <t>La medida es la junta · la cuña va aparte</t>
        </is>
      </c>
      <c r="F483" s="3" t="inlineStr">
        <is>
          <t>funda</t>
        </is>
      </c>
      <c r="G483" s="3" t="inlineStr">
        <is>
          <t>Pisos</t>
        </is>
      </c>
      <c r="H483" s="3" t="inlineStr">
        <is>
          <t>estandar</t>
        </is>
      </c>
      <c r="I483" s="3" t="inlineStr">
        <is>
          <t>importado</t>
        </is>
      </c>
      <c r="J483" s="5" t="n">
        <v>1</v>
      </c>
      <c r="K483" s="6" t="n">
        <v>919.9400000000001</v>
      </c>
      <c r="L483" s="6" t="n">
        <v>919.9400000000001</v>
      </c>
      <c r="M483" s="6" t="n">
        <v>919.9400000000001</v>
      </c>
      <c r="N483" s="3" t="inlineStr">
        <is>
          <t>Sí</t>
        </is>
      </c>
      <c r="O483" s="6">
        <f>IF(K483="","",IF(N483="Sí",ROUND(K483/1.18,2),K483))</f>
        <v/>
      </c>
      <c r="P483" s="3" t="inlineStr">
        <is>
          <t>2026-09-09</t>
        </is>
      </c>
      <c r="Q483" s="4" t="inlineStr">
        <is>
          <t>Ferretería Ochoa (8A)</t>
        </is>
      </c>
      <c r="AF483" s="4" t="inlineStr">
        <is>
          <t>pieza: calzo · espesor_mm: 0.5</t>
        </is>
      </c>
    </row>
    <row r="484">
      <c r="A484" s="3" t="inlineStr">
        <is>
          <t>MAT-08-262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Calzo de nivelación para cerámica 1 mm</t>
        </is>
      </c>
      <c r="E484" s="4" t="inlineStr">
        <is>
          <t>La medida es la junta · la cuña va aparte</t>
        </is>
      </c>
      <c r="F484" s="3" t="inlineStr">
        <is>
          <t>funda</t>
        </is>
      </c>
      <c r="G484" s="3" t="inlineStr">
        <is>
          <t>Pisos</t>
        </is>
      </c>
      <c r="H484" s="3" t="inlineStr">
        <is>
          <t>estandar</t>
        </is>
      </c>
      <c r="I484" s="3" t="inlineStr">
        <is>
          <t>importado</t>
        </is>
      </c>
      <c r="J484" s="5" t="n">
        <v>3</v>
      </c>
      <c r="K484" s="6" t="n">
        <v>767.39</v>
      </c>
      <c r="L484" s="6" t="n">
        <v>476.91</v>
      </c>
      <c r="M484" s="6" t="n">
        <v>1490</v>
      </c>
      <c r="N484" s="3" t="inlineStr">
        <is>
          <t>Sí</t>
        </is>
      </c>
      <c r="O484" s="6">
        <f>IF(K484="","",IF(N484="Sí",ROUND(K484/1.18,2),K484))</f>
        <v/>
      </c>
      <c r="P484" s="3" t="inlineStr">
        <is>
          <t>2026-09-10</t>
        </is>
      </c>
      <c r="Q484" s="4" t="inlineStr">
        <is>
          <t>CerArte · Ferretería Ochoa (8A) · La Ibérica</t>
        </is>
      </c>
      <c r="AF484" s="4" t="inlineStr">
        <is>
          <t>pieza: calzo · espesor_mm: 1</t>
        </is>
      </c>
    </row>
    <row r="485">
      <c r="A485" s="3" t="inlineStr">
        <is>
          <t>MAT-08-263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Calzo de nivelación para cerámica 1.5 mm</t>
        </is>
      </c>
      <c r="E485" s="4" t="inlineStr">
        <is>
          <t>La medida es la junta · la cuña va aparte</t>
        </is>
      </c>
      <c r="F485" s="3" t="inlineStr">
        <is>
          <t>funda</t>
        </is>
      </c>
      <c r="G485" s="3" t="inlineStr">
        <is>
          <t>Pisos</t>
        </is>
      </c>
      <c r="H485" s="3" t="inlineStr">
        <is>
          <t>estandar</t>
        </is>
      </c>
      <c r="I485" s="3" t="inlineStr">
        <is>
          <t>importado</t>
        </is>
      </c>
      <c r="J485" s="5" t="n">
        <v>3</v>
      </c>
      <c r="K485" s="6" t="n">
        <v>487.49</v>
      </c>
      <c r="L485" s="6" t="n">
        <v>457.8</v>
      </c>
      <c r="M485" s="6" t="n">
        <v>1490</v>
      </c>
      <c r="N485" s="3" t="inlineStr">
        <is>
          <t>Sí</t>
        </is>
      </c>
      <c r="O485" s="6">
        <f>IF(K485="","",IF(N485="Sí",ROUND(K485/1.18,2),K485))</f>
        <v/>
      </c>
      <c r="P485" s="3" t="inlineStr">
        <is>
          <t>2026-09-10</t>
        </is>
      </c>
      <c r="Q485" s="4" t="inlineStr">
        <is>
          <t>CerArte · Ferretería Ochoa (8A) · La Ibérica</t>
        </is>
      </c>
      <c r="AF485" s="4" t="inlineStr">
        <is>
          <t>pieza: calzo · espesor_mm: 1.5</t>
        </is>
      </c>
    </row>
    <row r="486">
      <c r="A486" s="3" t="inlineStr">
        <is>
          <t>MAT-08-264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Calzo de nivelación para cerámica 2 mm</t>
        </is>
      </c>
      <c r="E486" s="4" t="inlineStr">
        <is>
          <t>La medida es la junta · la cuña va aparte</t>
        </is>
      </c>
      <c r="F486" s="3" t="inlineStr">
        <is>
          <t>funda</t>
        </is>
      </c>
      <c r="G486" s="3" t="inlineStr">
        <is>
          <t>Pisos</t>
        </is>
      </c>
      <c r="H486" s="3" t="inlineStr">
        <is>
          <t>estandar</t>
        </is>
      </c>
      <c r="I486" s="3" t="inlineStr">
        <is>
          <t>importado</t>
        </is>
      </c>
      <c r="J486" s="5" t="n">
        <v>3</v>
      </c>
      <c r="K486" s="6" t="n">
        <v>1058.7</v>
      </c>
      <c r="L486" s="6" t="n">
        <v>476.91</v>
      </c>
      <c r="M486" s="6" t="n">
        <v>1789.99</v>
      </c>
      <c r="N486" s="3" t="inlineStr">
        <is>
          <t>Sí</t>
        </is>
      </c>
      <c r="O486" s="6">
        <f>IF(K486="","",IF(N486="Sí",ROUND(K486/1.18,2),K486))</f>
        <v/>
      </c>
      <c r="P486" s="3" t="inlineStr">
        <is>
          <t>2026-09-10</t>
        </is>
      </c>
      <c r="Q486" s="4" t="inlineStr">
        <is>
          <t>CerArte · Ferretería Ochoa (8A) · La Ibérica</t>
        </is>
      </c>
      <c r="AF486" s="4" t="inlineStr">
        <is>
          <t>pieza: calzo · espesor_mm: 2</t>
        </is>
      </c>
    </row>
    <row r="487">
      <c r="A487" s="3" t="inlineStr">
        <is>
          <t>MAT-08-265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Calzo de nivelación para cerámica 3 mm</t>
        </is>
      </c>
      <c r="E487" s="4" t="inlineStr">
        <is>
          <t>La medida es la junta · la cuña va aparte</t>
        </is>
      </c>
      <c r="F487" s="3" t="inlineStr">
        <is>
          <t>funda</t>
        </is>
      </c>
      <c r="G487" s="3" t="inlineStr">
        <is>
          <t>Pisos</t>
        </is>
      </c>
      <c r="H487" s="3" t="inlineStr">
        <is>
          <t>estandar</t>
        </is>
      </c>
      <c r="I487" s="3" t="inlineStr">
        <is>
          <t>importado</t>
        </is>
      </c>
      <c r="J487" s="5" t="n">
        <v>2</v>
      </c>
      <c r="K487" s="6" t="n">
        <v>655.48</v>
      </c>
      <c r="L487" s="6" t="n">
        <v>437.5</v>
      </c>
      <c r="M487" s="6" t="n">
        <v>873.47</v>
      </c>
      <c r="N487" s="3" t="inlineStr">
        <is>
          <t>Sí</t>
        </is>
      </c>
      <c r="O487" s="6">
        <f>IF(K487="","",IF(N487="Sí",ROUND(K487/1.18,2),K487))</f>
        <v/>
      </c>
      <c r="P487" s="3" t="inlineStr">
        <is>
          <t>2026-09-10</t>
        </is>
      </c>
      <c r="Q487" s="4" t="inlineStr">
        <is>
          <t>CerArte · Ferretería Ochoa (8A)</t>
        </is>
      </c>
      <c r="AF487" s="4" t="inlineStr">
        <is>
          <t>pieza: calzo · espesor_mm: 3</t>
        </is>
      </c>
    </row>
    <row r="488">
      <c r="A488" s="3" t="inlineStr">
        <is>
          <t>MAT-08-266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Clip de nivelación para cerámica 1 mm</t>
        </is>
      </c>
      <c r="E488" s="4" t="inlineStr">
        <is>
          <t>La medida es la junta · la cuña va aparte</t>
        </is>
      </c>
      <c r="F488" s="3" t="inlineStr">
        <is>
          <t>funda</t>
        </is>
      </c>
      <c r="G488" s="3" t="inlineStr">
        <is>
          <t>Pisos</t>
        </is>
      </c>
      <c r="H488" s="3" t="inlineStr">
        <is>
          <t>estandar</t>
        </is>
      </c>
      <c r="I488" s="3" t="inlineStr">
        <is>
          <t>importado</t>
        </is>
      </c>
      <c r="J488" s="5" t="n">
        <v>2</v>
      </c>
      <c r="K488" s="6" t="n">
        <v>1094.69</v>
      </c>
      <c r="L488" s="6" t="n">
        <v>144.94</v>
      </c>
      <c r="M488" s="6" t="n">
        <v>3405.96</v>
      </c>
      <c r="N488" s="3" t="inlineStr">
        <is>
          <t>Sí</t>
        </is>
      </c>
      <c r="O488" s="6">
        <f>IF(K488="","",IF(N488="Sí",ROUND(K488/1.18,2),K488))</f>
        <v/>
      </c>
      <c r="P488" s="3" t="inlineStr">
        <is>
          <t>2026-09-10</t>
        </is>
      </c>
      <c r="Q488" s="4" t="inlineStr">
        <is>
          <t>CerArte · Ferretería Ochoa (8A)</t>
        </is>
      </c>
      <c r="AF488" s="4" t="inlineStr">
        <is>
          <t>pieza: clip · espesor_mm: 1</t>
        </is>
      </c>
    </row>
    <row r="489">
      <c r="A489" s="3" t="inlineStr">
        <is>
          <t>MAT-08-267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Clip de nivelación para cerámica 1.5 mm</t>
        </is>
      </c>
      <c r="E489" s="4" t="inlineStr">
        <is>
          <t>La medida es la junta · la cuña va aparte</t>
        </is>
      </c>
      <c r="F489" s="3" t="inlineStr">
        <is>
          <t>funda</t>
        </is>
      </c>
      <c r="G489" s="3" t="inlineStr">
        <is>
          <t>Pisos</t>
        </is>
      </c>
      <c r="H489" s="3" t="inlineStr">
        <is>
          <t>estandar</t>
        </is>
      </c>
      <c r="I489" s="3" t="inlineStr">
        <is>
          <t>importado</t>
        </is>
      </c>
      <c r="J489" s="5" t="n">
        <v>2</v>
      </c>
      <c r="K489" s="6" t="n">
        <v>219.97</v>
      </c>
      <c r="L489" s="6" t="n">
        <v>144.94</v>
      </c>
      <c r="M489" s="6" t="n">
        <v>295</v>
      </c>
      <c r="N489" s="3" t="inlineStr">
        <is>
          <t>Sí</t>
        </is>
      </c>
      <c r="O489" s="6">
        <f>IF(K489="","",IF(N489="Sí",ROUND(K489/1.18,2),K489))</f>
        <v/>
      </c>
      <c r="P489" s="3" t="inlineStr">
        <is>
          <t>2026-09-10</t>
        </is>
      </c>
      <c r="Q489" s="4" t="inlineStr">
        <is>
          <t>Ferretería Ochoa (8A) · La Ibérica</t>
        </is>
      </c>
      <c r="AF489" s="4" t="inlineStr">
        <is>
          <t>pieza: clip · espesor_mm: 1.5</t>
        </is>
      </c>
    </row>
    <row r="490">
      <c r="A490" s="3" t="inlineStr">
        <is>
          <t>MAT-08-268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Clip de nivelación para cerámica 2 mm</t>
        </is>
      </c>
      <c r="E490" s="4" t="inlineStr">
        <is>
          <t>La medida es la junta · la cuña va aparte</t>
        </is>
      </c>
      <c r="F490" s="3" t="inlineStr">
        <is>
          <t>funda</t>
        </is>
      </c>
      <c r="G490" s="3" t="inlineStr">
        <is>
          <t>Pisos</t>
        </is>
      </c>
      <c r="H490" s="3" t="inlineStr">
        <is>
          <t>estandar</t>
        </is>
      </c>
      <c r="I490" s="3" t="inlineStr">
        <is>
          <t>importado</t>
        </is>
      </c>
      <c r="J490" s="5" t="n">
        <v>3</v>
      </c>
      <c r="K490" s="6" t="n">
        <v>1768.33</v>
      </c>
      <c r="L490" s="6" t="n">
        <v>144.94</v>
      </c>
      <c r="M490" s="6" t="n">
        <v>3405.96</v>
      </c>
      <c r="N490" s="3" t="inlineStr">
        <is>
          <t>Sí</t>
        </is>
      </c>
      <c r="O490" s="6">
        <f>IF(K490="","",IF(N490="Sí",ROUND(K490/1.18,2),K490))</f>
        <v/>
      </c>
      <c r="P490" s="3" t="inlineStr">
        <is>
          <t>2026-09-10</t>
        </is>
      </c>
      <c r="Q490" s="4" t="inlineStr">
        <is>
          <t>CerArte · Ferretería Ochoa (8A) · La Ibérica</t>
        </is>
      </c>
      <c r="AF490" s="4" t="inlineStr">
        <is>
          <t>pieza: clip · espesor_mm: 2</t>
        </is>
      </c>
    </row>
    <row r="491">
      <c r="A491" s="3" t="inlineStr">
        <is>
          <t>MAT-08-269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Clip de nivelación para cerámica 3 mm</t>
        </is>
      </c>
      <c r="E491" s="4" t="inlineStr">
        <is>
          <t>La medida es la junta · la cuña va aparte</t>
        </is>
      </c>
      <c r="F491" s="3" t="inlineStr">
        <is>
          <t>funda</t>
        </is>
      </c>
      <c r="G491" s="3" t="inlineStr">
        <is>
          <t>Pisos</t>
        </is>
      </c>
      <c r="H491" s="3" t="inlineStr">
        <is>
          <t>estandar</t>
        </is>
      </c>
      <c r="I491" s="3" t="inlineStr">
        <is>
          <t>importado</t>
        </is>
      </c>
      <c r="J491" s="5" t="n">
        <v>1</v>
      </c>
      <c r="K491" s="6" t="n">
        <v>1758.39</v>
      </c>
      <c r="L491" s="6" t="n">
        <v>478.62</v>
      </c>
      <c r="M491" s="6" t="n">
        <v>3038.16</v>
      </c>
      <c r="N491" s="3" t="inlineStr">
        <is>
          <t>Sí</t>
        </is>
      </c>
      <c r="O491" s="6">
        <f>IF(K491="","",IF(N491="Sí",ROUND(K491/1.18,2),K491))</f>
        <v/>
      </c>
      <c r="P491" s="3" t="inlineStr">
        <is>
          <t>2026-09-10</t>
        </is>
      </c>
      <c r="Q491" s="4" t="inlineStr">
        <is>
          <t>CerArte</t>
        </is>
      </c>
      <c r="AF491" s="4" t="inlineStr">
        <is>
          <t>pieza: clip · espesor_mm: 3</t>
        </is>
      </c>
    </row>
    <row r="492">
      <c r="A492" s="3" t="inlineStr">
        <is>
          <t>MAT-08-270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Cuña de nivelación para cerámica</t>
        </is>
      </c>
      <c r="E492" s="4" t="inlineStr">
        <is>
          <t>Aprieta calzos y clips de cualquier junta</t>
        </is>
      </c>
      <c r="F492" s="3" t="inlineStr">
        <is>
          <t>funda</t>
        </is>
      </c>
      <c r="G492" s="3" t="inlineStr">
        <is>
          <t>Pisos</t>
        </is>
      </c>
      <c r="H492" s="3" t="inlineStr">
        <is>
          <t>estandar</t>
        </is>
      </c>
      <c r="I492" s="3" t="inlineStr">
        <is>
          <t>importado</t>
        </is>
      </c>
      <c r="J492" s="5" t="n">
        <v>1</v>
      </c>
      <c r="K492" s="6" t="n">
        <v>602.14</v>
      </c>
      <c r="L492" s="6" t="n">
        <v>358.87</v>
      </c>
      <c r="M492" s="6" t="n">
        <v>845.41</v>
      </c>
      <c r="N492" s="3" t="inlineStr">
        <is>
          <t>Sí</t>
        </is>
      </c>
      <c r="O492" s="6">
        <f>IF(K492="","",IF(N492="Sí",ROUND(K492/1.18,2),K492))</f>
        <v/>
      </c>
      <c r="P492" s="3" t="inlineStr">
        <is>
          <t>2026-09-09</t>
        </is>
      </c>
      <c r="Q492" s="4" t="inlineStr">
        <is>
          <t>Ferretería Ochoa (8A)</t>
        </is>
      </c>
      <c r="AF492" s="4" t="inlineStr">
        <is>
          <t>pieza: cuna · espesor_mm: 0</t>
        </is>
      </c>
    </row>
    <row r="493">
      <c r="A493" s="3" t="inlineStr">
        <is>
          <t>MAT-08-271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Panel de vinil para pared, 4.5 mm</t>
        </is>
      </c>
      <c r="E493" s="4" t="inlineStr"/>
      <c r="F493" s="3" t="inlineStr">
        <is>
          <t>m²</t>
        </is>
      </c>
      <c r="G493" s="3" t="inlineStr">
        <is>
          <t>Pisos</t>
        </is>
      </c>
      <c r="H493" s="3" t="inlineStr">
        <is>
          <t>estandar</t>
        </is>
      </c>
      <c r="I493" s="3" t="inlineStr">
        <is>
          <t>importado</t>
        </is>
      </c>
      <c r="J493" s="5" t="n">
        <v>1</v>
      </c>
      <c r="K493" s="6" t="n">
        <v>1537.07</v>
      </c>
      <c r="L493" s="6" t="n">
        <v>1012.06</v>
      </c>
      <c r="M493" s="6" t="n">
        <v>1537.07</v>
      </c>
      <c r="N493" s="3" t="inlineStr">
        <is>
          <t>Sí</t>
        </is>
      </c>
      <c r="O493" s="6">
        <f>IF(K493="","",IF(N493="Sí",ROUND(K493/1.18,2),K493))</f>
        <v/>
      </c>
      <c r="P493" s="3" t="inlineStr">
        <is>
          <t>2026-09-10</t>
        </is>
      </c>
      <c r="Q493" s="4" t="inlineStr">
        <is>
          <t>CerArte</t>
        </is>
      </c>
      <c r="AE493" s="7" t="inlineStr">
        <is>
          <t>pared</t>
        </is>
      </c>
      <c r="AF493" s="4" t="inlineStr">
        <is>
          <t>espesor_mm: 4.5</t>
        </is>
      </c>
    </row>
    <row r="494">
      <c r="A494" s="3" t="inlineStr">
        <is>
          <t>MAT-08-272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Adoquín de hormigón tipo cuadrado</t>
        </is>
      </c>
      <c r="E494" s="4" t="inlineStr"/>
      <c r="F494" s="3" t="inlineStr">
        <is>
          <t>m²</t>
        </is>
      </c>
      <c r="G494" s="3" t="inlineStr">
        <is>
          <t>Exteriores</t>
        </is>
      </c>
      <c r="H494" s="3" t="inlineStr">
        <is>
          <t>estandar</t>
        </is>
      </c>
      <c r="I494" s="3" t="inlineStr">
        <is>
          <t>importado</t>
        </is>
      </c>
      <c r="J494" s="5" t="n">
        <v>1</v>
      </c>
      <c r="K494" s="6" t="n">
        <v>874.38</v>
      </c>
      <c r="L494" s="6" t="n">
        <v>874.38</v>
      </c>
      <c r="M494" s="6" t="n">
        <v>874.38</v>
      </c>
      <c r="N494" s="3" t="inlineStr">
        <is>
          <t>Sí</t>
        </is>
      </c>
      <c r="O494" s="6">
        <f>IF(K494="","",IF(N494="Sí",ROUND(K494/1.18,2),K494))</f>
        <v/>
      </c>
      <c r="P494" s="3" t="inlineStr">
        <is>
          <t>2026-09-09</t>
        </is>
      </c>
      <c r="Q494" s="4" t="inlineStr">
        <is>
          <t>Ferretería Ochoa (8A)</t>
        </is>
      </c>
      <c r="AF494" s="4" t="inlineStr">
        <is>
          <t>tipo: cuadrado · piezas_m2: 6.25</t>
        </is>
      </c>
    </row>
    <row r="495">
      <c r="A495" s="3" t="inlineStr">
        <is>
          <t>MAT-08-273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Adoquín de hormigón tipo flecha</t>
        </is>
      </c>
      <c r="E495" s="4" t="inlineStr"/>
      <c r="F495" s="3" t="inlineStr">
        <is>
          <t>m²</t>
        </is>
      </c>
      <c r="G495" s="3" t="inlineStr">
        <is>
          <t>Exteriores</t>
        </is>
      </c>
      <c r="H495" s="3" t="inlineStr">
        <is>
          <t>estandar</t>
        </is>
      </c>
      <c r="I495" s="3" t="inlineStr">
        <is>
          <t>importado</t>
        </is>
      </c>
      <c r="J495" s="5" t="n">
        <v>1</v>
      </c>
      <c r="K495" s="6" t="n">
        <v>812.28</v>
      </c>
      <c r="L495" s="6" t="n">
        <v>812.28</v>
      </c>
      <c r="M495" s="6" t="n">
        <v>812.28</v>
      </c>
      <c r="N495" s="3" t="inlineStr">
        <is>
          <t>Sí</t>
        </is>
      </c>
      <c r="O495" s="6">
        <f>IF(K495="","",IF(N495="Sí",ROUND(K495/1.18,2),K495))</f>
        <v/>
      </c>
      <c r="P495" s="3" t="inlineStr">
        <is>
          <t>2026-09-09</t>
        </is>
      </c>
      <c r="Q495" s="4" t="inlineStr">
        <is>
          <t>Ferretería Ochoa (8A)</t>
        </is>
      </c>
      <c r="AF495" s="4" t="inlineStr">
        <is>
          <t>tipo: flecha · piezas_m2: 42</t>
        </is>
      </c>
    </row>
    <row r="496">
      <c r="A496" s="3" t="inlineStr">
        <is>
          <t>MAT-08-274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Adoquín de hormigón tipo ladrillo</t>
        </is>
      </c>
      <c r="E496" s="4" t="inlineStr"/>
      <c r="F496" s="3" t="inlineStr">
        <is>
          <t>m²</t>
        </is>
      </c>
      <c r="G496" s="3" t="inlineStr">
        <is>
          <t>Exteriores</t>
        </is>
      </c>
      <c r="H496" s="3" t="inlineStr">
        <is>
          <t>estandar</t>
        </is>
      </c>
      <c r="I496" s="3" t="inlineStr">
        <is>
          <t>importado</t>
        </is>
      </c>
      <c r="J496" s="5" t="n">
        <v>1</v>
      </c>
      <c r="K496" s="6" t="n">
        <v>850</v>
      </c>
      <c r="L496" s="6" t="n">
        <v>850</v>
      </c>
      <c r="M496" s="6" t="n">
        <v>850</v>
      </c>
      <c r="N496" s="3" t="inlineStr">
        <is>
          <t>Sí</t>
        </is>
      </c>
      <c r="O496" s="6">
        <f>IF(K496="","",IF(N496="Sí",ROUND(K496/1.18,2),K496))</f>
        <v/>
      </c>
      <c r="P496" s="3" t="inlineStr">
        <is>
          <t>2026-09-09</t>
        </is>
      </c>
      <c r="Q496" s="4" t="inlineStr">
        <is>
          <t>Ferretería Ochoa (8A)</t>
        </is>
      </c>
      <c r="AF496" s="4" t="inlineStr">
        <is>
          <t>tipo: ladrillo · piezas_m2: 50</t>
        </is>
      </c>
    </row>
    <row r="497">
      <c r="A497" s="3" t="inlineStr">
        <is>
          <t>MAT-08-275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Adoquín de hormigón tipo raqueta</t>
        </is>
      </c>
      <c r="E497" s="4" t="inlineStr"/>
      <c r="F497" s="3" t="inlineStr">
        <is>
          <t>m²</t>
        </is>
      </c>
      <c r="G497" s="3" t="inlineStr">
        <is>
          <t>Exteriores</t>
        </is>
      </c>
      <c r="H497" s="3" t="inlineStr">
        <is>
          <t>estandar</t>
        </is>
      </c>
      <c r="I497" s="3" t="inlineStr">
        <is>
          <t>importado</t>
        </is>
      </c>
      <c r="J497" s="5" t="n">
        <v>1</v>
      </c>
      <c r="K497" s="6" t="n">
        <v>872.87</v>
      </c>
      <c r="L497" s="6" t="n">
        <v>872.87</v>
      </c>
      <c r="M497" s="6" t="n">
        <v>872.87</v>
      </c>
      <c r="N497" s="3" t="inlineStr">
        <is>
          <t>Sí</t>
        </is>
      </c>
      <c r="O497" s="6">
        <f>IF(K497="","",IF(N497="Sí",ROUND(K497/1.18,2),K497))</f>
        <v/>
      </c>
      <c r="P497" s="3" t="inlineStr">
        <is>
          <t>2026-09-09</t>
        </is>
      </c>
      <c r="Q497" s="4" t="inlineStr">
        <is>
          <t>Ferretería Ochoa (8A)</t>
        </is>
      </c>
      <c r="AF497" s="4" t="inlineStr">
        <is>
          <t>tipo: raqueta · piezas_m2: 38.25</t>
        </is>
      </c>
    </row>
    <row r="498">
      <c r="A498" s="3" t="inlineStr">
        <is>
          <t>MAT-08-276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Polvo de color para mosaico amarillo comercial, 1 lb</t>
        </is>
      </c>
      <c r="E498" s="4" t="inlineStr"/>
      <c r="F498" s="3" t="inlineStr">
        <is>
          <t>unidad</t>
        </is>
      </c>
      <c r="G498" s="3" t="inlineStr">
        <is>
          <t>Pisos</t>
        </is>
      </c>
      <c r="H498" s="3" t="inlineStr">
        <is>
          <t>estandar</t>
        </is>
      </c>
      <c r="I498" s="3" t="inlineStr">
        <is>
          <t>importado</t>
        </is>
      </c>
      <c r="J498" s="5" t="n">
        <v>1</v>
      </c>
      <c r="K498" s="6" t="n">
        <v>55.94</v>
      </c>
      <c r="L498" s="6" t="n">
        <v>55.94</v>
      </c>
      <c r="M498" s="6" t="n">
        <v>55.94</v>
      </c>
      <c r="N498" s="3" t="inlineStr">
        <is>
          <t>Sí</t>
        </is>
      </c>
      <c r="O498" s="6">
        <f>IF(K498="","",IF(N498="Sí",ROUND(K498/1.18,2),K498))</f>
        <v/>
      </c>
      <c r="P498" s="3" t="inlineStr">
        <is>
          <t>2026-09-09</t>
        </is>
      </c>
      <c r="Q498" s="4" t="inlineStr">
        <is>
          <t>Ferretería Ochoa (8A)</t>
        </is>
      </c>
    </row>
    <row r="499">
      <c r="A499" s="3" t="inlineStr">
        <is>
          <t>MAT-08-277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Polvo de color para mosaico amarillo industrial, 1 lb</t>
        </is>
      </c>
      <c r="E499" s="4" t="inlineStr"/>
      <c r="F499" s="3" t="inlineStr">
        <is>
          <t>unidad</t>
        </is>
      </c>
      <c r="G499" s="3" t="inlineStr">
        <is>
          <t>Pisos</t>
        </is>
      </c>
      <c r="H499" s="3" t="inlineStr">
        <is>
          <t>premium</t>
        </is>
      </c>
      <c r="I499" s="3" t="inlineStr">
        <is>
          <t>importado</t>
        </is>
      </c>
      <c r="J499" s="5" t="n">
        <v>1</v>
      </c>
      <c r="K499" s="6" t="n">
        <v>153.81</v>
      </c>
      <c r="L499" s="6" t="n">
        <v>153.81</v>
      </c>
      <c r="M499" s="6" t="n">
        <v>153.81</v>
      </c>
      <c r="N499" s="3" t="inlineStr">
        <is>
          <t>Sí</t>
        </is>
      </c>
      <c r="O499" s="6">
        <f>IF(K499="","",IF(N499="Sí",ROUND(K499/1.18,2),K499))</f>
        <v/>
      </c>
      <c r="P499" s="3" t="inlineStr">
        <is>
          <t>2026-09-09</t>
        </is>
      </c>
      <c r="Q499" s="4" t="inlineStr">
        <is>
          <t>Ferretería Ochoa (8A)</t>
        </is>
      </c>
    </row>
    <row r="500">
      <c r="A500" s="3" t="inlineStr">
        <is>
          <t>MAT-08-278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Polvo de color para mosaico azul comercial, 1 lb</t>
        </is>
      </c>
      <c r="E500" s="4" t="inlineStr"/>
      <c r="F500" s="3" t="inlineStr">
        <is>
          <t>unidad</t>
        </is>
      </c>
      <c r="G500" s="3" t="inlineStr">
        <is>
          <t>Pisos</t>
        </is>
      </c>
      <c r="H500" s="3" t="inlineStr">
        <is>
          <t>estandar</t>
        </is>
      </c>
      <c r="I500" s="3" t="inlineStr">
        <is>
          <t>importado</t>
        </is>
      </c>
      <c r="J500" s="5" t="n">
        <v>1</v>
      </c>
      <c r="K500" s="6" t="n">
        <v>82.72</v>
      </c>
      <c r="L500" s="6" t="n">
        <v>82.72</v>
      </c>
      <c r="M500" s="6" t="n">
        <v>82.72</v>
      </c>
      <c r="N500" s="3" t="inlineStr">
        <is>
          <t>Sí</t>
        </is>
      </c>
      <c r="O500" s="6">
        <f>IF(K500="","",IF(N500="Sí",ROUND(K500/1.18,2),K500))</f>
        <v/>
      </c>
      <c r="P500" s="3" t="inlineStr">
        <is>
          <t>2026-09-09</t>
        </is>
      </c>
      <c r="Q500" s="4" t="inlineStr">
        <is>
          <t>Ferretería Ochoa (8A)</t>
        </is>
      </c>
    </row>
    <row r="501">
      <c r="A501" s="3" t="inlineStr">
        <is>
          <t>MAT-08-279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Polvo de color para mosaico azul industrial, 1 lb</t>
        </is>
      </c>
      <c r="E501" s="4" t="inlineStr"/>
      <c r="F501" s="3" t="inlineStr">
        <is>
          <t>unidad</t>
        </is>
      </c>
      <c r="G501" s="3" t="inlineStr">
        <is>
          <t>Pisos</t>
        </is>
      </c>
      <c r="H501" s="3" t="inlineStr">
        <is>
          <t>premium</t>
        </is>
      </c>
      <c r="I501" s="3" t="inlineStr">
        <is>
          <t>importado</t>
        </is>
      </c>
      <c r="J501" s="5" t="n">
        <v>1</v>
      </c>
      <c r="K501" s="6" t="n">
        <v>162.49</v>
      </c>
      <c r="L501" s="6" t="n">
        <v>162.49</v>
      </c>
      <c r="M501" s="6" t="n">
        <v>162.49</v>
      </c>
      <c r="N501" s="3" t="inlineStr">
        <is>
          <t>Sí</t>
        </is>
      </c>
      <c r="O501" s="6">
        <f>IF(K501="","",IF(N501="Sí",ROUND(K501/1.18,2),K501))</f>
        <v/>
      </c>
      <c r="P501" s="3" t="inlineStr">
        <is>
          <t>2026-09-09</t>
        </is>
      </c>
      <c r="Q501" s="4" t="inlineStr">
        <is>
          <t>Ferretería Ochoa (8A)</t>
        </is>
      </c>
    </row>
    <row r="502">
      <c r="A502" s="3" t="inlineStr">
        <is>
          <t>MAT-08-280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Polvo de color para mosaico negro comercial, 1 lb</t>
        </is>
      </c>
      <c r="E502" s="4" t="inlineStr"/>
      <c r="F502" s="3" t="inlineStr">
        <is>
          <t>unidad</t>
        </is>
      </c>
      <c r="G502" s="3" t="inlineStr">
        <is>
          <t>Pisos</t>
        </is>
      </c>
      <c r="H502" s="3" t="inlineStr">
        <is>
          <t>estandar</t>
        </is>
      </c>
      <c r="I502" s="3" t="inlineStr">
        <is>
          <t>importado</t>
        </is>
      </c>
      <c r="J502" s="5" t="n">
        <v>1</v>
      </c>
      <c r="K502" s="6" t="n">
        <v>90.79000000000001</v>
      </c>
      <c r="L502" s="6" t="n">
        <v>90.79000000000001</v>
      </c>
      <c r="M502" s="6" t="n">
        <v>90.79000000000001</v>
      </c>
      <c r="N502" s="3" t="inlineStr">
        <is>
          <t>Sí</t>
        </is>
      </c>
      <c r="O502" s="6">
        <f>IF(K502="","",IF(N502="Sí",ROUND(K502/1.18,2),K502))</f>
        <v/>
      </c>
      <c r="P502" s="3" t="inlineStr">
        <is>
          <t>2026-09-09</t>
        </is>
      </c>
      <c r="Q502" s="4" t="inlineStr">
        <is>
          <t>Ferretería Ochoa (8A)</t>
        </is>
      </c>
    </row>
    <row r="503">
      <c r="A503" s="3" t="inlineStr">
        <is>
          <t>MAT-08-281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Polvo de color para mosaico negro industrial, 1 lb</t>
        </is>
      </c>
      <c r="E503" s="4" t="inlineStr"/>
      <c r="F503" s="3" t="inlineStr">
        <is>
          <t>unidad</t>
        </is>
      </c>
      <c r="G503" s="3" t="inlineStr">
        <is>
          <t>Pisos</t>
        </is>
      </c>
      <c r="H503" s="3" t="inlineStr">
        <is>
          <t>premium</t>
        </is>
      </c>
      <c r="I503" s="3" t="inlineStr">
        <is>
          <t>importado</t>
        </is>
      </c>
      <c r="J503" s="5" t="n">
        <v>1</v>
      </c>
      <c r="K503" s="6" t="n">
        <v>129.29</v>
      </c>
      <c r="L503" s="6" t="n">
        <v>129.29</v>
      </c>
      <c r="M503" s="6" t="n">
        <v>129.29</v>
      </c>
      <c r="N503" s="3" t="inlineStr">
        <is>
          <t>Sí</t>
        </is>
      </c>
      <c r="O503" s="6">
        <f>IF(K503="","",IF(N503="Sí",ROUND(K503/1.18,2),K503))</f>
        <v/>
      </c>
      <c r="P503" s="3" t="inlineStr">
        <is>
          <t>2026-09-09</t>
        </is>
      </c>
      <c r="Q503" s="4" t="inlineStr">
        <is>
          <t>Ferretería Ochoa (8A)</t>
        </is>
      </c>
    </row>
    <row r="504">
      <c r="A504" s="3" t="inlineStr">
        <is>
          <t>MAT-08-282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Polvo de color para mosaico rojo comercial, 1 lb</t>
        </is>
      </c>
      <c r="E504" s="4" t="inlineStr"/>
      <c r="F504" s="3" t="inlineStr">
        <is>
          <t>unidad</t>
        </is>
      </c>
      <c r="G504" s="3" t="inlineStr">
        <is>
          <t>Pisos</t>
        </is>
      </c>
      <c r="H504" s="3" t="inlineStr">
        <is>
          <t>estandar</t>
        </is>
      </c>
      <c r="I504" s="3" t="inlineStr">
        <is>
          <t>importado</t>
        </is>
      </c>
      <c r="J504" s="5" t="n">
        <v>1</v>
      </c>
      <c r="K504" s="6" t="n">
        <v>66.5</v>
      </c>
      <c r="L504" s="6" t="n">
        <v>66.5</v>
      </c>
      <c r="M504" s="6" t="n">
        <v>66.5</v>
      </c>
      <c r="N504" s="3" t="inlineStr">
        <is>
          <t>Sí</t>
        </is>
      </c>
      <c r="O504" s="6">
        <f>IF(K504="","",IF(N504="Sí",ROUND(K504/1.18,2),K504))</f>
        <v/>
      </c>
      <c r="P504" s="3" t="inlineStr">
        <is>
          <t>2026-09-09</t>
        </is>
      </c>
      <c r="Q504" s="4" t="inlineStr">
        <is>
          <t>Ferretería Ochoa (8A)</t>
        </is>
      </c>
    </row>
    <row r="505">
      <c r="A505" s="3" t="inlineStr">
        <is>
          <t>MAT-08-283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Polvo de color para mosaico rojo industrial, 1 lb</t>
        </is>
      </c>
      <c r="E505" s="4" t="inlineStr"/>
      <c r="F505" s="3" t="inlineStr">
        <is>
          <t>unidad</t>
        </is>
      </c>
      <c r="G505" s="3" t="inlineStr">
        <is>
          <t>Pisos</t>
        </is>
      </c>
      <c r="H505" s="3" t="inlineStr">
        <is>
          <t>premium</t>
        </is>
      </c>
      <c r="I505" s="3" t="inlineStr">
        <is>
          <t>importado</t>
        </is>
      </c>
      <c r="J505" s="5" t="n">
        <v>1</v>
      </c>
      <c r="K505" s="6" t="n">
        <v>106.37</v>
      </c>
      <c r="L505" s="6" t="n">
        <v>106.37</v>
      </c>
      <c r="M505" s="6" t="n">
        <v>106.37</v>
      </c>
      <c r="N505" s="3" t="inlineStr">
        <is>
          <t>Sí</t>
        </is>
      </c>
      <c r="O505" s="6">
        <f>IF(K505="","",IF(N505="Sí",ROUND(K505/1.18,2),K505))</f>
        <v/>
      </c>
      <c r="P505" s="3" t="inlineStr">
        <is>
          <t>2026-09-09</t>
        </is>
      </c>
      <c r="Q505" s="4" t="inlineStr">
        <is>
          <t>Ferretería Ochoa (8A)</t>
        </is>
      </c>
    </row>
    <row r="506">
      <c r="A506" s="3" t="inlineStr">
        <is>
          <t>MAT-08-284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Polvo de color para mosaico verde comercial, 1 lb</t>
        </is>
      </c>
      <c r="E506" s="4" t="inlineStr"/>
      <c r="F506" s="3" t="inlineStr">
        <is>
          <t>unidad</t>
        </is>
      </c>
      <c r="G506" s="3" t="inlineStr">
        <is>
          <t>Pisos</t>
        </is>
      </c>
      <c r="H506" s="3" t="inlineStr">
        <is>
          <t>estandar</t>
        </is>
      </c>
      <c r="I506" s="3" t="inlineStr">
        <is>
          <t>importado</t>
        </is>
      </c>
      <c r="J506" s="5" t="n">
        <v>1</v>
      </c>
      <c r="K506" s="6" t="n">
        <v>78.84</v>
      </c>
      <c r="L506" s="6" t="n">
        <v>78.84</v>
      </c>
      <c r="M506" s="6" t="n">
        <v>78.84</v>
      </c>
      <c r="N506" s="3" t="inlineStr">
        <is>
          <t>Sí</t>
        </is>
      </c>
      <c r="O506" s="6">
        <f>IF(K506="","",IF(N506="Sí",ROUND(K506/1.18,2),K506))</f>
        <v/>
      </c>
      <c r="P506" s="3" t="inlineStr">
        <is>
          <t>2026-09-09</t>
        </is>
      </c>
      <c r="Q506" s="4" t="inlineStr">
        <is>
          <t>Ferretería Ochoa (8A)</t>
        </is>
      </c>
    </row>
    <row r="507">
      <c r="A507" s="3" t="inlineStr">
        <is>
          <t>MAT-08-285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Polvo de color para mosaico verde industrial, 1 lb</t>
        </is>
      </c>
      <c r="E507" s="4" t="inlineStr"/>
      <c r="F507" s="3" t="inlineStr">
        <is>
          <t>unidad</t>
        </is>
      </c>
      <c r="G507" s="3" t="inlineStr">
        <is>
          <t>Pisos</t>
        </is>
      </c>
      <c r="H507" s="3" t="inlineStr">
        <is>
          <t>premium</t>
        </is>
      </c>
      <c r="I507" s="3" t="inlineStr">
        <is>
          <t>importado</t>
        </is>
      </c>
      <c r="J507" s="5" t="n">
        <v>1</v>
      </c>
      <c r="K507" s="6" t="n">
        <v>180.39</v>
      </c>
      <c r="L507" s="6" t="n">
        <v>180.39</v>
      </c>
      <c r="M507" s="6" t="n">
        <v>180.39</v>
      </c>
      <c r="N507" s="3" t="inlineStr">
        <is>
          <t>Sí</t>
        </is>
      </c>
      <c r="O507" s="6">
        <f>IF(K507="","",IF(N507="Sí",ROUND(K507/1.18,2),K507))</f>
        <v/>
      </c>
      <c r="P507" s="3" t="inlineStr">
        <is>
          <t>2026-09-09</t>
        </is>
      </c>
      <c r="Q507" s="4" t="inlineStr">
        <is>
          <t>Ferretería Ochoa (8A)</t>
        </is>
      </c>
    </row>
    <row r="508">
      <c r="A508" s="3" t="inlineStr">
        <is>
          <t>MAT-08-286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Polvo de color para mosaico amarillo industrial, 3 lb</t>
        </is>
      </c>
      <c r="E508" s="4" t="inlineStr"/>
      <c r="F508" s="3" t="inlineStr">
        <is>
          <t>unidad</t>
        </is>
      </c>
      <c r="G508" s="3" t="inlineStr">
        <is>
          <t>Pisos</t>
        </is>
      </c>
      <c r="H508" s="3" t="inlineStr">
        <is>
          <t>premium</t>
        </is>
      </c>
      <c r="I508" s="3" t="inlineStr">
        <is>
          <t>importado</t>
        </is>
      </c>
      <c r="J508" s="5" t="n">
        <v>1</v>
      </c>
      <c r="K508" s="6" t="n">
        <v>460.92</v>
      </c>
      <c r="L508" s="6" t="n">
        <v>460.92</v>
      </c>
      <c r="M508" s="6" t="n">
        <v>460.92</v>
      </c>
      <c r="N508" s="3" t="inlineStr">
        <is>
          <t>Sí</t>
        </is>
      </c>
      <c r="O508" s="6">
        <f>IF(K508="","",IF(N508="Sí",ROUND(K508/1.18,2),K508))</f>
        <v/>
      </c>
      <c r="P508" s="3" t="inlineStr">
        <is>
          <t>2026-09-09</t>
        </is>
      </c>
      <c r="Q508" s="4" t="inlineStr">
        <is>
          <t>Ferretería Ochoa (8A)</t>
        </is>
      </c>
    </row>
    <row r="509">
      <c r="A509" s="3" t="inlineStr">
        <is>
          <t>MAT-08-287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Polvo de color para mosaico amarillo comercial, 5 lb</t>
        </is>
      </c>
      <c r="E509" s="4" t="inlineStr"/>
      <c r="F509" s="3" t="inlineStr">
        <is>
          <t>unidad</t>
        </is>
      </c>
      <c r="G509" s="3" t="inlineStr">
        <is>
          <t>Pisos</t>
        </is>
      </c>
      <c r="H509" s="3" t="inlineStr">
        <is>
          <t>estandar</t>
        </is>
      </c>
      <c r="I509" s="3" t="inlineStr">
        <is>
          <t>importado</t>
        </is>
      </c>
      <c r="J509" s="5" t="n">
        <v>1</v>
      </c>
      <c r="K509" s="6" t="n">
        <v>280.64</v>
      </c>
      <c r="L509" s="6" t="n">
        <v>280.64</v>
      </c>
      <c r="M509" s="6" t="n">
        <v>280.64</v>
      </c>
      <c r="N509" s="3" t="inlineStr">
        <is>
          <t>Sí</t>
        </is>
      </c>
      <c r="O509" s="6">
        <f>IF(K509="","",IF(N509="Sí",ROUND(K509/1.18,2),K509))</f>
        <v/>
      </c>
      <c r="P509" s="3" t="inlineStr">
        <is>
          <t>2026-09-09</t>
        </is>
      </c>
      <c r="Q509" s="4" t="inlineStr">
        <is>
          <t>Ferretería Ochoa (8A)</t>
        </is>
      </c>
    </row>
    <row r="510">
      <c r="A510" s="3" t="inlineStr">
        <is>
          <t>MAT-08-288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Polvo de color para mosaico azul comercial, 5 lb</t>
        </is>
      </c>
      <c r="E510" s="4" t="inlineStr"/>
      <c r="F510" s="3" t="inlineStr">
        <is>
          <t>unidad</t>
        </is>
      </c>
      <c r="G510" s="3" t="inlineStr">
        <is>
          <t>Pisos</t>
        </is>
      </c>
      <c r="H510" s="3" t="inlineStr">
        <is>
          <t>estandar</t>
        </is>
      </c>
      <c r="I510" s="3" t="inlineStr">
        <is>
          <t>importado</t>
        </is>
      </c>
      <c r="J510" s="5" t="n">
        <v>1</v>
      </c>
      <c r="K510" s="6" t="n">
        <v>367.96</v>
      </c>
      <c r="L510" s="6" t="n">
        <v>367.96</v>
      </c>
      <c r="M510" s="6" t="n">
        <v>367.96</v>
      </c>
      <c r="N510" s="3" t="inlineStr">
        <is>
          <t>Sí</t>
        </is>
      </c>
      <c r="O510" s="6">
        <f>IF(K510="","",IF(N510="Sí",ROUND(K510/1.18,2),K510))</f>
        <v/>
      </c>
      <c r="P510" s="3" t="inlineStr">
        <is>
          <t>2026-09-09</t>
        </is>
      </c>
      <c r="Q510" s="4" t="inlineStr">
        <is>
          <t>Ferretería Ochoa (8A)</t>
        </is>
      </c>
    </row>
    <row r="511">
      <c r="A511" s="3" t="inlineStr">
        <is>
          <t>MAT-08-289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Polvo de color para mosaico azul industrial, 5 lb</t>
        </is>
      </c>
      <c r="E511" s="4" t="inlineStr"/>
      <c r="F511" s="3" t="inlineStr">
        <is>
          <t>unidad</t>
        </is>
      </c>
      <c r="G511" s="3" t="inlineStr">
        <is>
          <t>Pisos</t>
        </is>
      </c>
      <c r="H511" s="3" t="inlineStr">
        <is>
          <t>premium</t>
        </is>
      </c>
      <c r="I511" s="3" t="inlineStr">
        <is>
          <t>importado</t>
        </is>
      </c>
      <c r="J511" s="5" t="n">
        <v>1</v>
      </c>
      <c r="K511" s="6" t="n">
        <v>813.47</v>
      </c>
      <c r="L511" s="6" t="n">
        <v>813.47</v>
      </c>
      <c r="M511" s="6" t="n">
        <v>813.47</v>
      </c>
      <c r="N511" s="3" t="inlineStr">
        <is>
          <t>Sí</t>
        </is>
      </c>
      <c r="O511" s="6">
        <f>IF(K511="","",IF(N511="Sí",ROUND(K511/1.18,2),K511))</f>
        <v/>
      </c>
      <c r="P511" s="3" t="inlineStr">
        <is>
          <t>2026-09-09</t>
        </is>
      </c>
      <c r="Q511" s="4" t="inlineStr">
        <is>
          <t>Ferretería Ochoa (8A)</t>
        </is>
      </c>
    </row>
    <row r="512">
      <c r="A512" s="3" t="inlineStr">
        <is>
          <t>MAT-08-290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Polvo de color para mosaico negro comercial, 5 lb</t>
        </is>
      </c>
      <c r="E512" s="4" t="inlineStr"/>
      <c r="F512" s="3" t="inlineStr">
        <is>
          <t>unidad</t>
        </is>
      </c>
      <c r="G512" s="3" t="inlineStr">
        <is>
          <t>Pisos</t>
        </is>
      </c>
      <c r="H512" s="3" t="inlineStr">
        <is>
          <t>estandar</t>
        </is>
      </c>
      <c r="I512" s="3" t="inlineStr">
        <is>
          <t>importado</t>
        </is>
      </c>
      <c r="J512" s="5" t="n">
        <v>1</v>
      </c>
      <c r="K512" s="6" t="n">
        <v>406.73</v>
      </c>
      <c r="L512" s="6" t="n">
        <v>406.73</v>
      </c>
      <c r="M512" s="6" t="n">
        <v>406.73</v>
      </c>
      <c r="N512" s="3" t="inlineStr">
        <is>
          <t>Sí</t>
        </is>
      </c>
      <c r="O512" s="6">
        <f>IF(K512="","",IF(N512="Sí",ROUND(K512/1.18,2),K512))</f>
        <v/>
      </c>
      <c r="P512" s="3" t="inlineStr">
        <is>
          <t>2026-09-09</t>
        </is>
      </c>
      <c r="Q512" s="4" t="inlineStr">
        <is>
          <t>Ferretería Ochoa (8A)</t>
        </is>
      </c>
    </row>
    <row r="513">
      <c r="A513" s="3" t="inlineStr">
        <is>
          <t>MAT-08-291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Polvo de color para mosaico negro industrial, 5 lb</t>
        </is>
      </c>
      <c r="E513" s="4" t="inlineStr"/>
      <c r="F513" s="3" t="inlineStr">
        <is>
          <t>unidad</t>
        </is>
      </c>
      <c r="G513" s="3" t="inlineStr">
        <is>
          <t>Pisos</t>
        </is>
      </c>
      <c r="H513" s="3" t="inlineStr">
        <is>
          <t>premium</t>
        </is>
      </c>
      <c r="I513" s="3" t="inlineStr">
        <is>
          <t>importado</t>
        </is>
      </c>
      <c r="J513" s="5" t="n">
        <v>1</v>
      </c>
      <c r="K513" s="6" t="n">
        <v>647.51</v>
      </c>
      <c r="L513" s="6" t="n">
        <v>647.51</v>
      </c>
      <c r="M513" s="6" t="n">
        <v>647.51</v>
      </c>
      <c r="N513" s="3" t="inlineStr">
        <is>
          <t>Sí</t>
        </is>
      </c>
      <c r="O513" s="6">
        <f>IF(K513="","",IF(N513="Sí",ROUND(K513/1.18,2),K513))</f>
        <v/>
      </c>
      <c r="P513" s="3" t="inlineStr">
        <is>
          <t>2026-09-09</t>
        </is>
      </c>
      <c r="Q513" s="4" t="inlineStr">
        <is>
          <t>Ferretería Ochoa (8A)</t>
        </is>
      </c>
    </row>
    <row r="514">
      <c r="A514" s="3" t="inlineStr">
        <is>
          <t>MAT-08-292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Polvo de color para mosaico rojo comercial, 5 lb</t>
        </is>
      </c>
      <c r="E514" s="4" t="inlineStr"/>
      <c r="F514" s="3" t="inlineStr">
        <is>
          <t>unidad</t>
        </is>
      </c>
      <c r="G514" s="3" t="inlineStr">
        <is>
          <t>Pisos</t>
        </is>
      </c>
      <c r="H514" s="3" t="inlineStr">
        <is>
          <t>estandar</t>
        </is>
      </c>
      <c r="I514" s="3" t="inlineStr">
        <is>
          <t>importado</t>
        </is>
      </c>
      <c r="J514" s="5" t="n">
        <v>1</v>
      </c>
      <c r="K514" s="6" t="n">
        <v>333.56</v>
      </c>
      <c r="L514" s="6" t="n">
        <v>333.56</v>
      </c>
      <c r="M514" s="6" t="n">
        <v>333.56</v>
      </c>
      <c r="N514" s="3" t="inlineStr">
        <is>
          <t>Sí</t>
        </is>
      </c>
      <c r="O514" s="6">
        <f>IF(K514="","",IF(N514="Sí",ROUND(K514/1.18,2),K514))</f>
        <v/>
      </c>
      <c r="P514" s="3" t="inlineStr">
        <is>
          <t>2026-09-09</t>
        </is>
      </c>
      <c r="Q514" s="4" t="inlineStr">
        <is>
          <t>Ferretería Ochoa (8A)</t>
        </is>
      </c>
    </row>
    <row r="515">
      <c r="A515" s="3" t="inlineStr">
        <is>
          <t>MAT-08-293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Polvo de color para mosaico rojo industrial, 5 lb</t>
        </is>
      </c>
      <c r="E515" s="4" t="inlineStr"/>
      <c r="F515" s="3" t="inlineStr">
        <is>
          <t>unidad</t>
        </is>
      </c>
      <c r="G515" s="3" t="inlineStr">
        <is>
          <t>Pisos</t>
        </is>
      </c>
      <c r="H515" s="3" t="inlineStr">
        <is>
          <t>premium</t>
        </is>
      </c>
      <c r="I515" s="3" t="inlineStr">
        <is>
          <t>importado</t>
        </is>
      </c>
      <c r="J515" s="5" t="n">
        <v>1</v>
      </c>
      <c r="K515" s="6" t="n">
        <v>472.9</v>
      </c>
      <c r="L515" s="6" t="n">
        <v>472.9</v>
      </c>
      <c r="M515" s="6" t="n">
        <v>472.9</v>
      </c>
      <c r="N515" s="3" t="inlineStr">
        <is>
          <t>Sí</t>
        </is>
      </c>
      <c r="O515" s="6">
        <f>IF(K515="","",IF(N515="Sí",ROUND(K515/1.18,2),K515))</f>
        <v/>
      </c>
      <c r="P515" s="3" t="inlineStr">
        <is>
          <t>2026-09-09</t>
        </is>
      </c>
      <c r="Q515" s="4" t="inlineStr">
        <is>
          <t>Ferretería Ochoa (8A)</t>
        </is>
      </c>
    </row>
    <row r="516">
      <c r="A516" s="3" t="inlineStr">
        <is>
          <t>MAT-08-294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Polvo de color para mosaico verde comercial, 5 lb</t>
        </is>
      </c>
      <c r="E516" s="4" t="inlineStr"/>
      <c r="F516" s="3" t="inlineStr">
        <is>
          <t>unidad</t>
        </is>
      </c>
      <c r="G516" s="3" t="inlineStr">
        <is>
          <t>Pisos</t>
        </is>
      </c>
      <c r="H516" s="3" t="inlineStr">
        <is>
          <t>estandar</t>
        </is>
      </c>
      <c r="I516" s="3" t="inlineStr">
        <is>
          <t>importado</t>
        </is>
      </c>
      <c r="J516" s="5" t="n">
        <v>1</v>
      </c>
      <c r="K516" s="6" t="n">
        <v>350.7</v>
      </c>
      <c r="L516" s="6" t="n">
        <v>350.7</v>
      </c>
      <c r="M516" s="6" t="n">
        <v>350.7</v>
      </c>
      <c r="N516" s="3" t="inlineStr">
        <is>
          <t>Sí</t>
        </is>
      </c>
      <c r="O516" s="6">
        <f>IF(K516="","",IF(N516="Sí",ROUND(K516/1.18,2),K516))</f>
        <v/>
      </c>
      <c r="P516" s="3" t="inlineStr">
        <is>
          <t>2026-09-09</t>
        </is>
      </c>
      <c r="Q516" s="4" t="inlineStr">
        <is>
          <t>Ferretería Ochoa (8A)</t>
        </is>
      </c>
    </row>
    <row r="517">
      <c r="A517" s="3" t="inlineStr">
        <is>
          <t>MAT-08-295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Polvo de color para mosaico verde industrial, 5 lb</t>
        </is>
      </c>
      <c r="E517" s="4" t="inlineStr"/>
      <c r="F517" s="3" t="inlineStr">
        <is>
          <t>unidad</t>
        </is>
      </c>
      <c r="G517" s="3" t="inlineStr">
        <is>
          <t>Pisos</t>
        </is>
      </c>
      <c r="H517" s="3" t="inlineStr">
        <is>
          <t>premium</t>
        </is>
      </c>
      <c r="I517" s="3" t="inlineStr">
        <is>
          <t>importado</t>
        </is>
      </c>
      <c r="J517" s="5" t="n">
        <v>1</v>
      </c>
      <c r="K517" s="6" t="n">
        <v>902.88</v>
      </c>
      <c r="L517" s="6" t="n">
        <v>902.88</v>
      </c>
      <c r="M517" s="6" t="n">
        <v>902.88</v>
      </c>
      <c r="N517" s="3" t="inlineStr">
        <is>
          <t>Sí</t>
        </is>
      </c>
      <c r="O517" s="6">
        <f>IF(K517="","",IF(N517="Sí",ROUND(K517/1.18,2),K517))</f>
        <v/>
      </c>
      <c r="P517" s="3" t="inlineStr">
        <is>
          <t>2026-09-09</t>
        </is>
      </c>
      <c r="Q517" s="4" t="inlineStr">
        <is>
          <t>Ferretería Ochoa (8A)</t>
        </is>
      </c>
    </row>
    <row r="518">
      <c r="A518" s="3" t="inlineStr">
        <is>
          <t>MAT-08-296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Polvo de color para mosaico amarillo comercial, 55 lb</t>
        </is>
      </c>
      <c r="E518" s="4" t="inlineStr"/>
      <c r="F518" s="3" t="inlineStr">
        <is>
          <t>funda</t>
        </is>
      </c>
      <c r="G518" s="3" t="inlineStr">
        <is>
          <t>Pisos</t>
        </is>
      </c>
      <c r="H518" s="3" t="inlineStr">
        <is>
          <t>estandar</t>
        </is>
      </c>
      <c r="I518" s="3" t="inlineStr">
        <is>
          <t>importado</t>
        </is>
      </c>
      <c r="J518" s="5" t="n">
        <v>1</v>
      </c>
      <c r="K518" s="6" t="n">
        <v>3195.68</v>
      </c>
      <c r="L518" s="6" t="n">
        <v>3195.68</v>
      </c>
      <c r="M518" s="6" t="n">
        <v>3195.68</v>
      </c>
      <c r="N518" s="3" t="inlineStr">
        <is>
          <t>Sí</t>
        </is>
      </c>
      <c r="O518" s="6">
        <f>IF(K518="","",IF(N518="Sí",ROUND(K518/1.18,2),K518))</f>
        <v/>
      </c>
      <c r="P518" s="3" t="inlineStr">
        <is>
          <t>2026-09-09</t>
        </is>
      </c>
      <c r="Q518" s="4" t="inlineStr">
        <is>
          <t>Ferretería Ochoa (8A)</t>
        </is>
      </c>
    </row>
    <row r="519">
      <c r="A519" s="3" t="inlineStr">
        <is>
          <t>MAT-08-297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Polvo de color para mosaico amarillo industrial, 55 lb</t>
        </is>
      </c>
      <c r="E519" s="4" t="inlineStr"/>
      <c r="F519" s="3" t="inlineStr">
        <is>
          <t>funda</t>
        </is>
      </c>
      <c r="G519" s="3" t="inlineStr">
        <is>
          <t>Pisos</t>
        </is>
      </c>
      <c r="H519" s="3" t="inlineStr">
        <is>
          <t>premium</t>
        </is>
      </c>
      <c r="I519" s="3" t="inlineStr">
        <is>
          <t>importado</t>
        </is>
      </c>
      <c r="J519" s="5" t="n">
        <v>1</v>
      </c>
      <c r="K519" s="6" t="n">
        <v>7742.13</v>
      </c>
      <c r="L519" s="6" t="n">
        <v>7742.13</v>
      </c>
      <c r="M519" s="6" t="n">
        <v>7742.13</v>
      </c>
      <c r="N519" s="3" t="inlineStr">
        <is>
          <t>Sí</t>
        </is>
      </c>
      <c r="O519" s="6">
        <f>IF(K519="","",IF(N519="Sí",ROUND(K519/1.18,2),K519))</f>
        <v/>
      </c>
      <c r="P519" s="3" t="inlineStr">
        <is>
          <t>2026-09-09</t>
        </is>
      </c>
      <c r="Q519" s="4" t="inlineStr">
        <is>
          <t>Ferretería Ochoa (8A)</t>
        </is>
      </c>
    </row>
    <row r="520">
      <c r="A520" s="3" t="inlineStr">
        <is>
          <t>MAT-08-298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Polvo de color para mosaico azul comercial, 55 lb</t>
        </is>
      </c>
      <c r="E520" s="4" t="inlineStr"/>
      <c r="F520" s="3" t="inlineStr">
        <is>
          <t>funda</t>
        </is>
      </c>
      <c r="G520" s="3" t="inlineStr">
        <is>
          <t>Pisos</t>
        </is>
      </c>
      <c r="H520" s="3" t="inlineStr">
        <is>
          <t>estandar</t>
        </is>
      </c>
      <c r="I520" s="3" t="inlineStr">
        <is>
          <t>importado</t>
        </is>
      </c>
      <c r="J520" s="5" t="n">
        <v>1</v>
      </c>
      <c r="K520" s="6" t="n">
        <v>4220.23</v>
      </c>
      <c r="L520" s="6" t="n">
        <v>4220.23</v>
      </c>
      <c r="M520" s="6" t="n">
        <v>4220.23</v>
      </c>
      <c r="N520" s="3" t="inlineStr">
        <is>
          <t>Sí</t>
        </is>
      </c>
      <c r="O520" s="6">
        <f>IF(K520="","",IF(N520="Sí",ROUND(K520/1.18,2),K520))</f>
        <v/>
      </c>
      <c r="P520" s="3" t="inlineStr">
        <is>
          <t>2026-09-09</t>
        </is>
      </c>
      <c r="Q520" s="4" t="inlineStr">
        <is>
          <t>Ferretería Ochoa (8A)</t>
        </is>
      </c>
    </row>
    <row r="521">
      <c r="A521" s="3" t="inlineStr">
        <is>
          <t>MAT-08-299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Polvo de color para mosaico azul industrial, 55 lb</t>
        </is>
      </c>
      <c r="E521" s="4" t="inlineStr"/>
      <c r="F521" s="3" t="inlineStr">
        <is>
          <t>funda</t>
        </is>
      </c>
      <c r="G521" s="3" t="inlineStr">
        <is>
          <t>Pisos</t>
        </is>
      </c>
      <c r="H521" s="3" t="inlineStr">
        <is>
          <t>premium</t>
        </is>
      </c>
      <c r="I521" s="3" t="inlineStr">
        <is>
          <t>importado</t>
        </is>
      </c>
      <c r="J521" s="5" t="n">
        <v>1</v>
      </c>
      <c r="K521" s="6" t="n">
        <v>8183.45</v>
      </c>
      <c r="L521" s="6" t="n">
        <v>8183.45</v>
      </c>
      <c r="M521" s="6" t="n">
        <v>8183.45</v>
      </c>
      <c r="N521" s="3" t="inlineStr">
        <is>
          <t>Sí</t>
        </is>
      </c>
      <c r="O521" s="6">
        <f>IF(K521="","",IF(N521="Sí",ROUND(K521/1.18,2),K521))</f>
        <v/>
      </c>
      <c r="P521" s="3" t="inlineStr">
        <is>
          <t>2026-09-09</t>
        </is>
      </c>
      <c r="Q521" s="4" t="inlineStr">
        <is>
          <t>Ferretería Ochoa (8A)</t>
        </is>
      </c>
    </row>
    <row r="522">
      <c r="A522" s="3" t="inlineStr">
        <is>
          <t>MAT-08-300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Polvo de color para mosaico negro comercial, 55 lb</t>
        </is>
      </c>
      <c r="E522" s="4" t="inlineStr"/>
      <c r="F522" s="3" t="inlineStr">
        <is>
          <t>funda</t>
        </is>
      </c>
      <c r="G522" s="3" t="inlineStr">
        <is>
          <t>Pisos</t>
        </is>
      </c>
      <c r="H522" s="3" t="inlineStr">
        <is>
          <t>estandar</t>
        </is>
      </c>
      <c r="I522" s="3" t="inlineStr">
        <is>
          <t>importado</t>
        </is>
      </c>
      <c r="J522" s="5" t="n">
        <v>1</v>
      </c>
      <c r="K522" s="6" t="n">
        <v>4640.79</v>
      </c>
      <c r="L522" s="6" t="n">
        <v>4640.79</v>
      </c>
      <c r="M522" s="6" t="n">
        <v>4640.79</v>
      </c>
      <c r="N522" s="3" t="inlineStr">
        <is>
          <t>Sí</t>
        </is>
      </c>
      <c r="O522" s="6">
        <f>IF(K522="","",IF(N522="Sí",ROUND(K522/1.18,2),K522))</f>
        <v/>
      </c>
      <c r="P522" s="3" t="inlineStr">
        <is>
          <t>2026-09-09</t>
        </is>
      </c>
      <c r="Q522" s="4" t="inlineStr">
        <is>
          <t>Ferretería Ochoa (8A)</t>
        </is>
      </c>
    </row>
    <row r="523">
      <c r="A523" s="3" t="inlineStr">
        <is>
          <t>MAT-08-301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Polvo de color para mosaico negro industrial, 55 lb</t>
        </is>
      </c>
      <c r="E523" s="4" t="inlineStr"/>
      <c r="F523" s="3" t="inlineStr">
        <is>
          <t>funda</t>
        </is>
      </c>
      <c r="G523" s="3" t="inlineStr">
        <is>
          <t>Pisos</t>
        </is>
      </c>
      <c r="H523" s="3" t="inlineStr">
        <is>
          <t>premium</t>
        </is>
      </c>
      <c r="I523" s="3" t="inlineStr">
        <is>
          <t>importado</t>
        </is>
      </c>
      <c r="J523" s="5" t="n">
        <v>1</v>
      </c>
      <c r="K523" s="6" t="n">
        <v>6521.15</v>
      </c>
      <c r="L523" s="6" t="n">
        <v>6521.15</v>
      </c>
      <c r="M523" s="6" t="n">
        <v>6521.15</v>
      </c>
      <c r="N523" s="3" t="inlineStr">
        <is>
          <t>Sí</t>
        </is>
      </c>
      <c r="O523" s="6">
        <f>IF(K523="","",IF(N523="Sí",ROUND(K523/1.18,2),K523))</f>
        <v/>
      </c>
      <c r="P523" s="3" t="inlineStr">
        <is>
          <t>2026-09-09</t>
        </is>
      </c>
      <c r="Q523" s="4" t="inlineStr">
        <is>
          <t>Ferretería Ochoa (8A)</t>
        </is>
      </c>
    </row>
    <row r="524">
      <c r="A524" s="3" t="inlineStr">
        <is>
          <t>MAT-08-302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Polvo de color para mosaico rojo comercial, 55 lb</t>
        </is>
      </c>
      <c r="E524" s="4" t="inlineStr"/>
      <c r="F524" s="3" t="inlineStr">
        <is>
          <t>funda</t>
        </is>
      </c>
      <c r="G524" s="3" t="inlineStr">
        <is>
          <t>Pisos</t>
        </is>
      </c>
      <c r="H524" s="3" t="inlineStr">
        <is>
          <t>estandar</t>
        </is>
      </c>
      <c r="I524" s="3" t="inlineStr">
        <is>
          <t>importado</t>
        </is>
      </c>
      <c r="J524" s="5" t="n">
        <v>1</v>
      </c>
      <c r="K524" s="6" t="n">
        <v>3350.57</v>
      </c>
      <c r="L524" s="6" t="n">
        <v>3350.57</v>
      </c>
      <c r="M524" s="6" t="n">
        <v>3350.57</v>
      </c>
      <c r="N524" s="3" t="inlineStr">
        <is>
          <t>Sí</t>
        </is>
      </c>
      <c r="O524" s="6">
        <f>IF(K524="","",IF(N524="Sí",ROUND(K524/1.18,2),K524))</f>
        <v/>
      </c>
      <c r="P524" s="3" t="inlineStr">
        <is>
          <t>2026-09-09</t>
        </is>
      </c>
      <c r="Q524" s="4" t="inlineStr">
        <is>
          <t>Ferretería Ochoa (8A)</t>
        </is>
      </c>
    </row>
    <row r="525">
      <c r="A525" s="3" t="inlineStr">
        <is>
          <t>MAT-08-303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Polvo de color para mosaico rojo industrial, 55 lb</t>
        </is>
      </c>
      <c r="E525" s="4" t="inlineStr"/>
      <c r="F525" s="3" t="inlineStr">
        <is>
          <t>funda</t>
        </is>
      </c>
      <c r="G525" s="3" t="inlineStr">
        <is>
          <t>Pisos</t>
        </is>
      </c>
      <c r="H525" s="3" t="inlineStr">
        <is>
          <t>premium</t>
        </is>
      </c>
      <c r="I525" s="3" t="inlineStr">
        <is>
          <t>importado</t>
        </is>
      </c>
      <c r="J525" s="5" t="n">
        <v>1</v>
      </c>
      <c r="K525" s="6" t="n">
        <v>5451.6</v>
      </c>
      <c r="L525" s="6" t="n">
        <v>5451.6</v>
      </c>
      <c r="M525" s="6" t="n">
        <v>5451.6</v>
      </c>
      <c r="N525" s="3" t="inlineStr">
        <is>
          <t>Sí</t>
        </is>
      </c>
      <c r="O525" s="6">
        <f>IF(K525="","",IF(N525="Sí",ROUND(K525/1.18,2),K525))</f>
        <v/>
      </c>
      <c r="P525" s="3" t="inlineStr">
        <is>
          <t>2026-09-09</t>
        </is>
      </c>
      <c r="Q525" s="4" t="inlineStr">
        <is>
          <t>Ferretería Ochoa (8A)</t>
        </is>
      </c>
    </row>
    <row r="526">
      <c r="A526" s="3" t="inlineStr">
        <is>
          <t>MAT-08-304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Polvo de color para mosaico verde comercial, 55 lb</t>
        </is>
      </c>
      <c r="E526" s="4" t="inlineStr"/>
      <c r="F526" s="3" t="inlineStr">
        <is>
          <t>funda</t>
        </is>
      </c>
      <c r="G526" s="3" t="inlineStr">
        <is>
          <t>Pisos</t>
        </is>
      </c>
      <c r="H526" s="3" t="inlineStr">
        <is>
          <t>estandar</t>
        </is>
      </c>
      <c r="I526" s="3" t="inlineStr">
        <is>
          <t>importado</t>
        </is>
      </c>
      <c r="J526" s="5" t="n">
        <v>1</v>
      </c>
      <c r="K526" s="6" t="n">
        <v>4017.75</v>
      </c>
      <c r="L526" s="6" t="n">
        <v>4017.75</v>
      </c>
      <c r="M526" s="6" t="n">
        <v>4017.75</v>
      </c>
      <c r="N526" s="3" t="inlineStr">
        <is>
          <t>Sí</t>
        </is>
      </c>
      <c r="O526" s="6">
        <f>IF(K526="","",IF(N526="Sí",ROUND(K526/1.18,2),K526))</f>
        <v/>
      </c>
      <c r="P526" s="3" t="inlineStr">
        <is>
          <t>2026-09-09</t>
        </is>
      </c>
      <c r="Q526" s="4" t="inlineStr">
        <is>
          <t>Ferretería Ochoa (8A)</t>
        </is>
      </c>
    </row>
    <row r="527">
      <c r="A527" s="3" t="inlineStr">
        <is>
          <t>MAT-08-305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Polvo de color para mosaico verde industrial, 55 lb</t>
        </is>
      </c>
      <c r="E527" s="4" t="inlineStr"/>
      <c r="F527" s="3" t="inlineStr">
        <is>
          <t>funda</t>
        </is>
      </c>
      <c r="G527" s="3" t="inlineStr">
        <is>
          <t>Pisos</t>
        </is>
      </c>
      <c r="H527" s="3" t="inlineStr">
        <is>
          <t>premium</t>
        </is>
      </c>
      <c r="I527" s="3" t="inlineStr">
        <is>
          <t>importado</t>
        </is>
      </c>
      <c r="J527" s="5" t="n">
        <v>1</v>
      </c>
      <c r="K527" s="6" t="n">
        <v>9092.93</v>
      </c>
      <c r="L527" s="6" t="n">
        <v>9092.93</v>
      </c>
      <c r="M527" s="6" t="n">
        <v>9092.93</v>
      </c>
      <c r="N527" s="3" t="inlineStr">
        <is>
          <t>Sí</t>
        </is>
      </c>
      <c r="O527" s="6">
        <f>IF(K527="","",IF(N527="Sí",ROUND(K527/1.18,2),K527))</f>
        <v/>
      </c>
      <c r="P527" s="3" t="inlineStr">
        <is>
          <t>2026-09-09</t>
        </is>
      </c>
      <c r="Q527" s="4" t="inlineStr">
        <is>
          <t>Ferretería Ochoa (8A)</t>
        </is>
      </c>
    </row>
    <row r="528">
      <c r="A528" s="3" t="inlineStr">
        <is>
          <t>MAT-09-009</t>
        </is>
      </c>
      <c r="B528" s="3" t="inlineStr">
        <is>
          <t>Materiales</t>
        </is>
      </c>
      <c r="C528" s="3" t="inlineStr">
        <is>
          <t>Plomería, sanitarios y gas</t>
        </is>
      </c>
      <c r="D528" s="4" t="inlineStr">
        <is>
          <t>Cabezal de ducha</t>
        </is>
      </c>
      <c r="E528" s="4" t="inlineStr"/>
      <c r="F528" s="3" t="inlineStr">
        <is>
          <t>unidad</t>
        </is>
      </c>
      <c r="G528" s="3" t="inlineStr">
        <is>
          <t>Instalaciones</t>
        </is>
      </c>
      <c r="H528" s="3" t="inlineStr">
        <is>
          <t>estandar</t>
        </is>
      </c>
      <c r="I528" s="3" t="inlineStr">
        <is>
          <t>importado</t>
        </is>
      </c>
      <c r="J528" s="5" t="n">
        <v>5</v>
      </c>
      <c r="K528" s="6" t="n">
        <v>1522.5</v>
      </c>
      <c r="L528" s="6" t="n">
        <v>150</v>
      </c>
      <c r="M528" s="6" t="n">
        <v>169410</v>
      </c>
      <c r="N528" s="3" t="inlineStr">
        <is>
          <t>Sí</t>
        </is>
      </c>
      <c r="O528" s="6">
        <f>IF(K528="","",IF(N528="Sí",ROUND(K528/1.18,2),K528))</f>
        <v/>
      </c>
      <c r="P528" s="3" t="inlineStr">
        <is>
          <t>2026-09-10</t>
        </is>
      </c>
      <c r="Q528" s="4" t="inlineStr">
        <is>
          <t>CerArte · Ferremix (Grupo Alterra) · Ferretería Cima · Ferretería Ochoa (8A) · La Ibérica</t>
        </is>
      </c>
    </row>
    <row r="529">
      <c r="A529" s="3" t="inlineStr">
        <is>
          <t>MAT-09-010</t>
        </is>
      </c>
      <c r="B529" s="3" t="inlineStr">
        <is>
          <t>Materiales</t>
        </is>
      </c>
      <c r="C529" s="3" t="inlineStr">
        <is>
          <t>Plomería, sanitarios y gas</t>
        </is>
      </c>
      <c r="D529" s="4" t="inlineStr">
        <is>
          <t>Ducha teléfono</t>
        </is>
      </c>
      <c r="E529" s="4" t="inlineStr"/>
      <c r="F529" s="3" t="inlineStr">
        <is>
          <t>unidad</t>
        </is>
      </c>
      <c r="G529" s="3" t="inlineStr">
        <is>
          <t>Instalaciones</t>
        </is>
      </c>
      <c r="H529" s="3" t="inlineStr">
        <is>
          <t>estandar</t>
        </is>
      </c>
      <c r="I529" s="3" t="inlineStr">
        <is>
          <t>importado</t>
        </is>
      </c>
      <c r="J529" s="5" t="n">
        <v>5</v>
      </c>
      <c r="K529" s="6" t="n">
        <v>685</v>
      </c>
      <c r="L529" s="6" t="n">
        <v>238.61</v>
      </c>
      <c r="M529" s="6" t="n">
        <v>19666.08</v>
      </c>
      <c r="N529" s="3" t="inlineStr">
        <is>
          <t>Sí</t>
        </is>
      </c>
      <c r="O529" s="6">
        <f>IF(K529="","",IF(N529="Sí",ROUND(K529/1.18,2),K529))</f>
        <v/>
      </c>
      <c r="P529" s="3" t="inlineStr">
        <is>
          <t>2026-09-10</t>
        </is>
      </c>
      <c r="Q529" s="4" t="inlineStr">
        <is>
          <t>Bellón · CerArte · Ferremix (Grupo Alterra) · Ferretería Cima · Ferretería Ochoa (8A)</t>
        </is>
      </c>
    </row>
    <row r="530">
      <c r="A530" s="3" t="inlineStr">
        <is>
          <t>MAT-09-011</t>
        </is>
      </c>
      <c r="B530" s="3" t="inlineStr">
        <is>
          <t>Materiales</t>
        </is>
      </c>
      <c r="C530" s="3" t="inlineStr">
        <is>
          <t>Plomería, sanitarios y gas</t>
        </is>
      </c>
      <c r="D530" s="4" t="inlineStr">
        <is>
          <t>Columna de ducha</t>
        </is>
      </c>
      <c r="E530" s="4" t="inlineStr"/>
      <c r="F530" s="3" t="inlineStr">
        <is>
          <t>unidad</t>
        </is>
      </c>
      <c r="G530" s="3" t="inlineStr">
        <is>
          <t>Instalaciones</t>
        </is>
      </c>
      <c r="H530" s="3" t="inlineStr">
        <is>
          <t>estandar</t>
        </is>
      </c>
      <c r="I530" s="3" t="inlineStr">
        <is>
          <t>importado</t>
        </is>
      </c>
      <c r="J530" s="5" t="n">
        <v>4</v>
      </c>
      <c r="K530" s="6" t="n">
        <v>17325</v>
      </c>
      <c r="L530" s="6" t="n">
        <v>900</v>
      </c>
      <c r="M530" s="6" t="n">
        <v>179163.01</v>
      </c>
      <c r="N530" s="3" t="inlineStr">
        <is>
          <t>Sí</t>
        </is>
      </c>
      <c r="O530" s="6">
        <f>IF(K530="","",IF(N530="Sí",ROUND(K530/1.18,2),K530))</f>
        <v/>
      </c>
      <c r="P530" s="3" t="inlineStr">
        <is>
          <t>2026-09-10</t>
        </is>
      </c>
      <c r="Q530" s="4" t="inlineStr">
        <is>
          <t>CerArte · Ferretería Cima · Ferretería Ochoa (8A) · La Ibérica</t>
        </is>
      </c>
    </row>
    <row r="531">
      <c r="A531" s="3" t="inlineStr">
        <is>
          <t>MAT-09-012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Columna de ducha</t>
        </is>
      </c>
      <c r="E531" s="4" t="inlineStr"/>
      <c r="F531" s="3" t="inlineStr">
        <is>
          <t>unidad</t>
        </is>
      </c>
      <c r="G531" s="3" t="inlineStr">
        <is>
          <t>Instalaciones</t>
        </is>
      </c>
      <c r="H531" s="3" t="inlineStr">
        <is>
          <t>estandar</t>
        </is>
      </c>
      <c r="I531" s="3" t="inlineStr">
        <is>
          <t>importado</t>
        </is>
      </c>
      <c r="J531" s="5" t="n">
        <v>2</v>
      </c>
      <c r="K531" s="6" t="n">
        <v>10189.3</v>
      </c>
      <c r="L531" s="6" t="n">
        <v>553.61</v>
      </c>
      <c r="M531" s="6" t="n">
        <v>29022.19</v>
      </c>
      <c r="N531" s="3" t="inlineStr">
        <is>
          <t>Sí</t>
        </is>
      </c>
      <c r="O531" s="6">
        <f>IF(K531="","",IF(N531="Sí",ROUND(K531/1.18,2),K531))</f>
        <v/>
      </c>
      <c r="P531" s="3" t="inlineStr">
        <is>
          <t>2026-09-10</t>
        </is>
      </c>
      <c r="Q531" s="4" t="inlineStr">
        <is>
          <t>CerArte · Ferretería Ochoa (8A)</t>
        </is>
      </c>
    </row>
    <row r="532">
      <c r="A532" s="3" t="inlineStr">
        <is>
          <t>MAT-09-013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Brazo de ducha</t>
        </is>
      </c>
      <c r="E532" s="4" t="inlineStr"/>
      <c r="F532" s="3" t="inlineStr">
        <is>
          <t>unidad</t>
        </is>
      </c>
      <c r="G532" s="3" t="inlineStr">
        <is>
          <t>Instalaciones</t>
        </is>
      </c>
      <c r="H532" s="3" t="inlineStr">
        <is>
          <t>estandar</t>
        </is>
      </c>
      <c r="I532" s="3" t="inlineStr">
        <is>
          <t>importado</t>
        </is>
      </c>
      <c r="J532" s="5" t="n">
        <v>5</v>
      </c>
      <c r="K532" s="6" t="n">
        <v>1025</v>
      </c>
      <c r="L532" s="6" t="n">
        <v>108.23</v>
      </c>
      <c r="M532" s="6" t="n">
        <v>7015.01</v>
      </c>
      <c r="N532" s="3" t="inlineStr">
        <is>
          <t>Sí</t>
        </is>
      </c>
      <c r="O532" s="6">
        <f>IF(K532="","",IF(N532="Sí",ROUND(K532/1.18,2),K532))</f>
        <v/>
      </c>
      <c r="P532" s="3" t="inlineStr">
        <is>
          <t>2026-09-10</t>
        </is>
      </c>
      <c r="Q532" s="4" t="inlineStr">
        <is>
          <t>CerArte · Ferremix (Grupo Alterra) · Ferretería Cima · Ferretería Ochoa (8A) · La Ibérica</t>
        </is>
      </c>
    </row>
    <row r="533">
      <c r="A533" s="3" t="inlineStr">
        <is>
          <t>MAT-09-014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Mezcladora, de baño</t>
        </is>
      </c>
      <c r="E533" s="4" t="inlineStr"/>
      <c r="F533" s="3" t="inlineStr">
        <is>
          <t>unidad</t>
        </is>
      </c>
      <c r="G533" s="3" t="inlineStr">
        <is>
          <t>Instalaciones</t>
        </is>
      </c>
      <c r="H533" s="3" t="inlineStr">
        <is>
          <t>estandar</t>
        </is>
      </c>
      <c r="I533" s="3" t="inlineStr">
        <is>
          <t>importado</t>
        </is>
      </c>
      <c r="J533" s="5" t="n">
        <v>5</v>
      </c>
      <c r="K533" s="6" t="n">
        <v>5264.28</v>
      </c>
      <c r="L533" s="6" t="n">
        <v>340</v>
      </c>
      <c r="M533" s="6" t="n">
        <v>83292.84</v>
      </c>
      <c r="N533" s="3" t="inlineStr">
        <is>
          <t>Sí</t>
        </is>
      </c>
      <c r="O533" s="6">
        <f>IF(K533="","",IF(N533="Sí",ROUND(K533/1.18,2),K533))</f>
        <v/>
      </c>
      <c r="P533" s="3" t="inlineStr">
        <is>
          <t>2026-09-10</t>
        </is>
      </c>
      <c r="Q533" s="4" t="inlineStr">
        <is>
          <t>Bellón · CerArte · Ferremix (Grupo Alterra) · Ferretería Cima · La Ibérica</t>
        </is>
      </c>
      <c r="AE533" s="7" t="inlineStr">
        <is>
          <t>bano</t>
        </is>
      </c>
      <c r="AF533" s="4" t="inlineStr">
        <is>
          <t>Activación: manual</t>
        </is>
      </c>
    </row>
    <row r="534">
      <c r="A534" s="3" t="inlineStr">
        <is>
          <t>MAT-09-015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Mezcladora, de baño, con sensor</t>
        </is>
      </c>
      <c r="E534" s="4" t="inlineStr"/>
      <c r="F534" s="3" t="inlineStr">
        <is>
          <t>unidad</t>
        </is>
      </c>
      <c r="G534" s="3" t="inlineStr">
        <is>
          <t>Instalaciones</t>
        </is>
      </c>
      <c r="H534" s="3" t="inlineStr">
        <is>
          <t>estandar</t>
        </is>
      </c>
      <c r="I534" s="3" t="inlineStr">
        <is>
          <t>importado</t>
        </is>
      </c>
      <c r="J534" s="5" t="n">
        <v>4</v>
      </c>
      <c r="K534" s="6" t="n">
        <v>6437.22</v>
      </c>
      <c r="L534" s="6" t="n">
        <v>740</v>
      </c>
      <c r="M534" s="6" t="n">
        <v>38069.93</v>
      </c>
      <c r="N534" s="3" t="inlineStr">
        <is>
          <t>Sí</t>
        </is>
      </c>
      <c r="O534" s="6">
        <f>IF(K534="","",IF(N534="Sí",ROUND(K534/1.18,2),K534))</f>
        <v/>
      </c>
      <c r="P534" s="3" t="inlineStr">
        <is>
          <t>2026-09-10</t>
        </is>
      </c>
      <c r="Q534" s="4" t="inlineStr">
        <is>
          <t>Bellón · CerArte · Ferremix (Grupo Alterra) · La Ibérica</t>
        </is>
      </c>
      <c r="AE534" s="7" t="inlineStr">
        <is>
          <t>bano</t>
        </is>
      </c>
      <c r="AF534" s="4" t="inlineStr">
        <is>
          <t>Activación: sensor</t>
        </is>
      </c>
    </row>
    <row r="535">
      <c r="A535" s="3" t="inlineStr">
        <is>
          <t>MAT-09-016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Mezcladora, de fregadero</t>
        </is>
      </c>
      <c r="E535" s="4" t="inlineStr"/>
      <c r="F535" s="3" t="inlineStr">
        <is>
          <t>unidad</t>
        </is>
      </c>
      <c r="G535" s="3" t="inlineStr">
        <is>
          <t>Instalaciones</t>
        </is>
      </c>
      <c r="H535" s="3" t="inlineStr">
        <is>
          <t>estandar</t>
        </is>
      </c>
      <c r="I535" s="3" t="inlineStr">
        <is>
          <t>importado</t>
        </is>
      </c>
      <c r="J535" s="5" t="n">
        <v>5</v>
      </c>
      <c r="K535" s="6" t="n">
        <v>3801.77</v>
      </c>
      <c r="L535" s="6" t="n">
        <v>230</v>
      </c>
      <c r="M535" s="6" t="n">
        <v>53263.37</v>
      </c>
      <c r="N535" s="3" t="inlineStr">
        <is>
          <t>Sí</t>
        </is>
      </c>
      <c r="O535" s="6">
        <f>IF(K535="","",IF(N535="Sí",ROUND(K535/1.18,2),K535))</f>
        <v/>
      </c>
      <c r="P535" s="3" t="inlineStr">
        <is>
          <t>2026-09-10</t>
        </is>
      </c>
      <c r="Q535" s="4" t="inlineStr">
        <is>
          <t>Bellón · CerArte · Ferremix (Grupo Alterra) · Ferretería Cima · La Ibérica</t>
        </is>
      </c>
      <c r="AE535" s="7" t="inlineStr">
        <is>
          <t>fregadero</t>
        </is>
      </c>
      <c r="AF535" s="4" t="inlineStr">
        <is>
          <t>Activación: manual</t>
        </is>
      </c>
    </row>
    <row r="536">
      <c r="A536" s="3" t="inlineStr">
        <is>
          <t>MAT-09-017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Mezcladora de ducha</t>
        </is>
      </c>
      <c r="E536" s="4" t="inlineStr"/>
      <c r="F536" s="3" t="inlineStr">
        <is>
          <t>unidad</t>
        </is>
      </c>
      <c r="G536" s="3" t="inlineStr">
        <is>
          <t>Instalaciones</t>
        </is>
      </c>
      <c r="H536" s="3" t="inlineStr">
        <is>
          <t>estandar</t>
        </is>
      </c>
      <c r="I536" s="3" t="inlineStr">
        <is>
          <t>importado</t>
        </is>
      </c>
      <c r="J536" s="5" t="n">
        <v>6</v>
      </c>
      <c r="K536" s="6" t="n">
        <v>10458.36</v>
      </c>
      <c r="L536" s="6" t="n">
        <v>945</v>
      </c>
      <c r="M536" s="6" t="n">
        <v>92472.53999999999</v>
      </c>
      <c r="N536" s="3" t="inlineStr">
        <is>
          <t>Sí</t>
        </is>
      </c>
      <c r="O536" s="6">
        <f>IF(K536="","",IF(N536="Sí",ROUND(K536/1.18,2),K536))</f>
        <v/>
      </c>
      <c r="P536" s="3" t="inlineStr">
        <is>
          <t>2026-09-10</t>
        </is>
      </c>
      <c r="Q536" s="4" t="inlineStr">
        <is>
          <t>Bellón · CerArte · Ferremix (Grupo Alterra) · Ferretería Cima · Ferretería Ochoa (8A) · La Ibérica</t>
        </is>
      </c>
    </row>
    <row r="537">
      <c r="A537" s="3" t="inlineStr">
        <is>
          <t>MAT-09-018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Manguera para ducha teléfono</t>
        </is>
      </c>
      <c r="E537" s="4" t="inlineStr"/>
      <c r="F537" s="3" t="inlineStr">
        <is>
          <t>unidad</t>
        </is>
      </c>
      <c r="G537" s="3" t="inlineStr">
        <is>
          <t>Instalaciones</t>
        </is>
      </c>
      <c r="H537" s="3" t="inlineStr">
        <is>
          <t>estandar</t>
        </is>
      </c>
      <c r="I537" s="3" t="inlineStr">
        <is>
          <t>importado</t>
        </is>
      </c>
      <c r="J537" s="5" t="n">
        <v>3</v>
      </c>
      <c r="K537" s="6" t="n">
        <v>747.45</v>
      </c>
      <c r="L537" s="6" t="n">
        <v>256.18</v>
      </c>
      <c r="M537" s="6" t="n">
        <v>2460.71</v>
      </c>
      <c r="N537" s="3" t="inlineStr">
        <is>
          <t>Sí</t>
        </is>
      </c>
      <c r="O537" s="6">
        <f>IF(K537="","",IF(N537="Sí",ROUND(K537/1.18,2),K537))</f>
        <v/>
      </c>
      <c r="P537" s="3" t="inlineStr">
        <is>
          <t>2026-09-10</t>
        </is>
      </c>
      <c r="Q537" s="4" t="inlineStr">
        <is>
          <t>CerArte · Ferretería Cima · Ferretería Ochoa (8A)</t>
        </is>
      </c>
    </row>
    <row r="538">
      <c r="A538" s="3" t="inlineStr">
        <is>
          <t>MAT-09-019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Regulador de gas de doble tanque</t>
        </is>
      </c>
      <c r="E538" s="4" t="inlineStr"/>
      <c r="F538" s="3" t="inlineStr">
        <is>
          <t>unidad</t>
        </is>
      </c>
      <c r="G538" s="3" t="inlineStr">
        <is>
          <t>Instalaciones</t>
        </is>
      </c>
      <c r="H538" s="3" t="inlineStr">
        <is>
          <t>estandar</t>
        </is>
      </c>
      <c r="I538" s="3" t="inlineStr">
        <is>
          <t>importado</t>
        </is>
      </c>
      <c r="J538" s="5" t="n">
        <v>1</v>
      </c>
      <c r="K538" s="6" t="n">
        <v>1139</v>
      </c>
      <c r="L538" s="6" t="n">
        <v>1139</v>
      </c>
      <c r="M538" s="6" t="n">
        <v>1139</v>
      </c>
      <c r="N538" s="3" t="inlineStr">
        <is>
          <t>Sí</t>
        </is>
      </c>
      <c r="O538" s="6">
        <f>IF(K538="","",IF(N538="Sí",ROUND(K538/1.18,2),K538))</f>
        <v/>
      </c>
      <c r="P538" s="3" t="inlineStr">
        <is>
          <t>2026-09-09</t>
        </is>
      </c>
      <c r="Q538" s="4" t="inlineStr">
        <is>
          <t>Ferretería Cima</t>
        </is>
      </c>
      <c r="AF538" s="4" t="inlineStr">
        <is>
          <t>tipo: de doble tanque</t>
        </is>
      </c>
    </row>
    <row r="539">
      <c r="A539" s="3" t="inlineStr">
        <is>
          <t>MAT-09-020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Regulador de gas grande</t>
        </is>
      </c>
      <c r="E539" s="4" t="inlineStr"/>
      <c r="F539" s="3" t="inlineStr">
        <is>
          <t>unidad</t>
        </is>
      </c>
      <c r="G539" s="3" t="inlineStr">
        <is>
          <t>Instalaciones</t>
        </is>
      </c>
      <c r="H539" s="3" t="inlineStr">
        <is>
          <t>estandar</t>
        </is>
      </c>
      <c r="I539" s="3" t="inlineStr">
        <is>
          <t>importado</t>
        </is>
      </c>
      <c r="J539" s="5" t="n">
        <v>1</v>
      </c>
      <c r="K539" s="6" t="n">
        <v>656</v>
      </c>
      <c r="L539" s="6" t="n">
        <v>326</v>
      </c>
      <c r="M539" s="6" t="n">
        <v>1315</v>
      </c>
      <c r="N539" s="3" t="inlineStr">
        <is>
          <t>Sí</t>
        </is>
      </c>
      <c r="O539" s="6">
        <f>IF(K539="","",IF(N539="Sí",ROUND(K539/1.18,2),K539))</f>
        <v/>
      </c>
      <c r="P539" s="3" t="inlineStr">
        <is>
          <t>2026-09-09</t>
        </is>
      </c>
      <c r="Q539" s="4" t="inlineStr">
        <is>
          <t>Ferretería Cima</t>
        </is>
      </c>
      <c r="AF539" s="4" t="inlineStr">
        <is>
          <t>tipo: grande</t>
        </is>
      </c>
    </row>
    <row r="540">
      <c r="A540" s="3" t="inlineStr">
        <is>
          <t>MAT-09-021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Regulador de gas pequeño</t>
        </is>
      </c>
      <c r="E540" s="4" t="inlineStr"/>
      <c r="F540" s="3" t="inlineStr">
        <is>
          <t>unidad</t>
        </is>
      </c>
      <c r="G540" s="3" t="inlineStr">
        <is>
          <t>Instalaciones</t>
        </is>
      </c>
      <c r="H540" s="3" t="inlineStr">
        <is>
          <t>estandar</t>
        </is>
      </c>
      <c r="I540" s="3" t="inlineStr">
        <is>
          <t>importado</t>
        </is>
      </c>
      <c r="J540" s="5" t="n">
        <v>1</v>
      </c>
      <c r="K540" s="6" t="n">
        <v>509.5</v>
      </c>
      <c r="L540" s="6" t="n">
        <v>259</v>
      </c>
      <c r="M540" s="6" t="n">
        <v>760</v>
      </c>
      <c r="N540" s="3" t="inlineStr">
        <is>
          <t>Sí</t>
        </is>
      </c>
      <c r="O540" s="6">
        <f>IF(K540="","",IF(N540="Sí",ROUND(K540/1.18,2),K540))</f>
        <v/>
      </c>
      <c r="P540" s="3" t="inlineStr">
        <is>
          <t>2026-09-09</t>
        </is>
      </c>
      <c r="Q540" s="4" t="inlineStr">
        <is>
          <t>Ferretería Cima</t>
        </is>
      </c>
      <c r="AF540" s="4" t="inlineStr">
        <is>
          <t>tipo: pequeño</t>
        </is>
      </c>
    </row>
    <row r="541">
      <c r="A541" s="3" t="inlineStr">
        <is>
          <t>MAT-09-022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Pig tail para conexión de gas</t>
        </is>
      </c>
      <c r="E541" s="4" t="inlineStr">
        <is>
          <t>Del tanque al regulador</t>
        </is>
      </c>
      <c r="F541" s="3" t="inlineStr">
        <is>
          <t>unidad</t>
        </is>
      </c>
      <c r="G541" s="3" t="inlineStr">
        <is>
          <t>Instalaciones</t>
        </is>
      </c>
      <c r="H541" s="3" t="inlineStr">
        <is>
          <t>estandar</t>
        </is>
      </c>
      <c r="I541" s="3" t="inlineStr">
        <is>
          <t>importado</t>
        </is>
      </c>
      <c r="J541" s="5" t="n">
        <v>1</v>
      </c>
      <c r="K541" s="6" t="n">
        <v>489.5</v>
      </c>
      <c r="L541" s="6" t="n">
        <v>299</v>
      </c>
      <c r="M541" s="6" t="n">
        <v>1095</v>
      </c>
      <c r="N541" s="3" t="inlineStr">
        <is>
          <t>Sí</t>
        </is>
      </c>
      <c r="O541" s="6">
        <f>IF(K541="","",IF(N541="Sí",ROUND(K541/1.18,2),K541))</f>
        <v/>
      </c>
      <c r="P541" s="3" t="inlineStr">
        <is>
          <t>2026-09-09</t>
        </is>
      </c>
      <c r="Q541" s="4" t="inlineStr">
        <is>
          <t>Ferretería Cima</t>
        </is>
      </c>
    </row>
    <row r="542">
      <c r="A542" s="3" t="inlineStr">
        <is>
          <t>MAT-09-023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Llave para tanque de gas 7/8"</t>
        </is>
      </c>
      <c r="E542" s="4" t="inlineStr"/>
      <c r="F542" s="3" t="inlineStr">
        <is>
          <t>unidad</t>
        </is>
      </c>
      <c r="G542" s="3" t="inlineStr">
        <is>
          <t>Instalaciones</t>
        </is>
      </c>
      <c r="H542" s="3" t="inlineStr">
        <is>
          <t>estandar</t>
        </is>
      </c>
      <c r="I542" s="3" t="inlineStr">
        <is>
          <t>importado</t>
        </is>
      </c>
      <c r="J542" s="5" t="n">
        <v>1</v>
      </c>
      <c r="K542" s="6" t="n">
        <v>377</v>
      </c>
      <c r="L542" s="6" t="n">
        <v>377</v>
      </c>
      <c r="M542" s="6" t="n">
        <v>377</v>
      </c>
      <c r="N542" s="3" t="inlineStr">
        <is>
          <t>Sí</t>
        </is>
      </c>
      <c r="O542" s="6">
        <f>IF(K542="","",IF(N542="Sí",ROUND(K542/1.18,2),K542))</f>
        <v/>
      </c>
      <c r="P542" s="3" t="inlineStr">
        <is>
          <t>2026-09-09</t>
        </is>
      </c>
      <c r="Q542" s="4" t="inlineStr">
        <is>
          <t>Ferretería Cima</t>
        </is>
      </c>
      <c r="AF542" s="4" t="inlineStr">
        <is>
          <t>medida: 7/8"</t>
        </is>
      </c>
    </row>
    <row r="543">
      <c r="A543" s="3" t="inlineStr">
        <is>
          <t>MAT-09-024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Bomba centrífuga de 1 HP</t>
        </is>
      </c>
      <c r="E543" s="4" t="inlineStr"/>
      <c r="F543" s="3" t="inlineStr">
        <is>
          <t>unidad</t>
        </is>
      </c>
      <c r="G543" s="3" t="inlineStr">
        <is>
          <t>Instalaciones</t>
        </is>
      </c>
      <c r="H543" s="3" t="inlineStr">
        <is>
          <t>estandar</t>
        </is>
      </c>
      <c r="I543" s="3" t="inlineStr">
        <is>
          <t>importado</t>
        </is>
      </c>
      <c r="J543" s="5" t="n">
        <v>1</v>
      </c>
      <c r="K543" s="6" t="n">
        <v>8923.5</v>
      </c>
      <c r="L543" s="6" t="n">
        <v>6802</v>
      </c>
      <c r="M543" s="6" t="n">
        <v>11045</v>
      </c>
      <c r="N543" s="3" t="inlineStr">
        <is>
          <t>Sí</t>
        </is>
      </c>
      <c r="O543" s="6">
        <f>IF(K543="","",IF(N543="Sí",ROUND(K543/1.18,2),K543))</f>
        <v/>
      </c>
      <c r="P543" s="3" t="inlineStr">
        <is>
          <t>2026-09-10</t>
        </is>
      </c>
      <c r="Q543" s="4" t="inlineStr">
        <is>
          <t>Bellón</t>
        </is>
      </c>
      <c r="AF543" s="4" t="inlineStr">
        <is>
          <t>tipo: centrífuga · hp: 1</t>
        </is>
      </c>
    </row>
    <row r="544">
      <c r="A544" s="3" t="inlineStr">
        <is>
          <t>MAT-09-025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Bomba centrífuga de 1 1/3 HP</t>
        </is>
      </c>
      <c r="E544" s="4" t="inlineStr"/>
      <c r="F544" s="3" t="inlineStr">
        <is>
          <t>unidad</t>
        </is>
      </c>
      <c r="G544" s="3" t="inlineStr">
        <is>
          <t>Instalaciones</t>
        </is>
      </c>
      <c r="H544" s="3" t="inlineStr">
        <is>
          <t>estandar</t>
        </is>
      </c>
      <c r="I544" s="3" t="inlineStr">
        <is>
          <t>importado</t>
        </is>
      </c>
      <c r="J544" s="5" t="n">
        <v>1</v>
      </c>
      <c r="K544" s="6" t="n">
        <v>11205</v>
      </c>
      <c r="L544" s="6" t="n">
        <v>11205</v>
      </c>
      <c r="M544" s="6" t="n">
        <v>11205</v>
      </c>
      <c r="N544" s="3" t="inlineStr">
        <is>
          <t>Sí</t>
        </is>
      </c>
      <c r="O544" s="6">
        <f>IF(K544="","",IF(N544="Sí",ROUND(K544/1.18,2),K544))</f>
        <v/>
      </c>
      <c r="P544" s="3" t="inlineStr">
        <is>
          <t>2026-09-10</t>
        </is>
      </c>
      <c r="Q544" s="4" t="inlineStr">
        <is>
          <t>Ferremix (Grupo Alterra)</t>
        </is>
      </c>
      <c r="AF544" s="4" t="inlineStr">
        <is>
          <t>tipo: centrífuga · hp: 1 1/3</t>
        </is>
      </c>
    </row>
    <row r="545">
      <c r="A545" s="3" t="inlineStr">
        <is>
          <t>MAT-09-026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Bomba centrífuga de 1/2 HP</t>
        </is>
      </c>
      <c r="E545" s="4" t="inlineStr"/>
      <c r="F545" s="3" t="inlineStr">
        <is>
          <t>unidad</t>
        </is>
      </c>
      <c r="G545" s="3" t="inlineStr">
        <is>
          <t>Instalaciones</t>
        </is>
      </c>
      <c r="H545" s="3" t="inlineStr">
        <is>
          <t>estandar</t>
        </is>
      </c>
      <c r="I545" s="3" t="inlineStr">
        <is>
          <t>importado</t>
        </is>
      </c>
      <c r="J545" s="5" t="n">
        <v>2</v>
      </c>
      <c r="K545" s="6" t="n">
        <v>7989</v>
      </c>
      <c r="L545" s="6" t="n">
        <v>4732</v>
      </c>
      <c r="M545" s="6" t="n">
        <v>9090</v>
      </c>
      <c r="N545" s="3" t="inlineStr">
        <is>
          <t>Sí</t>
        </is>
      </c>
      <c r="O545" s="6">
        <f>IF(K545="","",IF(N545="Sí",ROUND(K545/1.18,2),K545))</f>
        <v/>
      </c>
      <c r="P545" s="3" t="inlineStr">
        <is>
          <t>2026-09-10</t>
        </is>
      </c>
      <c r="Q545" s="4" t="inlineStr">
        <is>
          <t>Bellón · Ferremix (Grupo Alterra)</t>
        </is>
      </c>
      <c r="AF545" s="4" t="inlineStr">
        <is>
          <t>tipo: centrífuga · hp: 1/2</t>
        </is>
      </c>
    </row>
    <row r="546">
      <c r="A546" s="3" t="inlineStr">
        <is>
          <t>MAT-09-027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Bomba centrífuga de 1.5 HP</t>
        </is>
      </c>
      <c r="E546" s="4" t="inlineStr"/>
      <c r="F546" s="3" t="inlineStr">
        <is>
          <t>unidad</t>
        </is>
      </c>
      <c r="G546" s="3" t="inlineStr">
        <is>
          <t>Instalaciones</t>
        </is>
      </c>
      <c r="H546" s="3" t="inlineStr">
        <is>
          <t>estandar</t>
        </is>
      </c>
      <c r="I546" s="3" t="inlineStr">
        <is>
          <t>importado</t>
        </is>
      </c>
      <c r="J546" s="5" t="n">
        <v>1</v>
      </c>
      <c r="K546" s="6" t="n">
        <v>13164.5</v>
      </c>
      <c r="L546" s="6" t="n">
        <v>8100</v>
      </c>
      <c r="M546" s="6" t="n">
        <v>18229</v>
      </c>
      <c r="N546" s="3" t="inlineStr">
        <is>
          <t>Sí</t>
        </is>
      </c>
      <c r="O546" s="6">
        <f>IF(K546="","",IF(N546="Sí",ROUND(K546/1.18,2),K546))</f>
        <v/>
      </c>
      <c r="P546" s="3" t="inlineStr">
        <is>
          <t>2026-09-10</t>
        </is>
      </c>
      <c r="Q546" s="4" t="inlineStr">
        <is>
          <t>Bellón</t>
        </is>
      </c>
      <c r="AF546" s="4" t="inlineStr">
        <is>
          <t>tipo: centrífuga · hp: 1.5</t>
        </is>
      </c>
    </row>
    <row r="547">
      <c r="A547" s="3" t="inlineStr">
        <is>
          <t>MAT-09-028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Bomba centrífuga de 15 HP</t>
        </is>
      </c>
      <c r="E547" s="4" t="inlineStr"/>
      <c r="F547" s="3" t="inlineStr">
        <is>
          <t>unidad</t>
        </is>
      </c>
      <c r="G547" s="3" t="inlineStr">
        <is>
          <t>Instalaciones</t>
        </is>
      </c>
      <c r="H547" s="3" t="inlineStr">
        <is>
          <t>estandar</t>
        </is>
      </c>
      <c r="I547" s="3" t="inlineStr">
        <is>
          <t>importado</t>
        </is>
      </c>
      <c r="J547" s="5" t="n">
        <v>1</v>
      </c>
      <c r="K547" s="6" t="n">
        <v>30539</v>
      </c>
      <c r="L547" s="6" t="n">
        <v>30539</v>
      </c>
      <c r="M547" s="6" t="n">
        <v>30539</v>
      </c>
      <c r="N547" s="3" t="inlineStr">
        <is>
          <t>Sí</t>
        </is>
      </c>
      <c r="O547" s="6">
        <f>IF(K547="","",IF(N547="Sí",ROUND(K547/1.18,2),K547))</f>
        <v/>
      </c>
      <c r="P547" s="3" t="inlineStr">
        <is>
          <t>2026-09-10</t>
        </is>
      </c>
      <c r="Q547" s="4" t="inlineStr">
        <is>
          <t>Ferremix (Grupo Alterra)</t>
        </is>
      </c>
      <c r="AF547" s="4" t="inlineStr">
        <is>
          <t>tipo: centrífuga · hp: 15</t>
        </is>
      </c>
    </row>
    <row r="548">
      <c r="A548" s="3" t="inlineStr">
        <is>
          <t>MAT-09-029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Bomba centrífuga de 2 HP</t>
        </is>
      </c>
      <c r="E548" s="4" t="inlineStr"/>
      <c r="F548" s="3" t="inlineStr">
        <is>
          <t>unidad</t>
        </is>
      </c>
      <c r="G548" s="3" t="inlineStr">
        <is>
          <t>Instalaciones</t>
        </is>
      </c>
      <c r="H548" s="3" t="inlineStr">
        <is>
          <t>estandar</t>
        </is>
      </c>
      <c r="I548" s="3" t="inlineStr">
        <is>
          <t>importado</t>
        </is>
      </c>
      <c r="J548" s="5" t="n">
        <v>1</v>
      </c>
      <c r="K548" s="6" t="n">
        <v>23097</v>
      </c>
      <c r="L548" s="6" t="n">
        <v>20409</v>
      </c>
      <c r="M548" s="6" t="n">
        <v>25785</v>
      </c>
      <c r="N548" s="3" t="inlineStr">
        <is>
          <t>Sí</t>
        </is>
      </c>
      <c r="O548" s="6">
        <f>IF(K548="","",IF(N548="Sí",ROUND(K548/1.18,2),K548))</f>
        <v/>
      </c>
      <c r="P548" s="3" t="inlineStr">
        <is>
          <t>2026-09-10</t>
        </is>
      </c>
      <c r="Q548" s="4" t="inlineStr">
        <is>
          <t>Bellón</t>
        </is>
      </c>
      <c r="AF548" s="4" t="inlineStr">
        <is>
          <t>tipo: centrífuga · hp: 2</t>
        </is>
      </c>
    </row>
    <row r="549">
      <c r="A549" s="3" t="inlineStr">
        <is>
          <t>MAT-09-030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Bomba centrífuga de 3 HP</t>
        </is>
      </c>
      <c r="E549" s="4" t="inlineStr"/>
      <c r="F549" s="3" t="inlineStr">
        <is>
          <t>unidad</t>
        </is>
      </c>
      <c r="G549" s="3" t="inlineStr">
        <is>
          <t>Instalaciones</t>
        </is>
      </c>
      <c r="H549" s="3" t="inlineStr">
        <is>
          <t>estandar</t>
        </is>
      </c>
      <c r="I549" s="3" t="inlineStr">
        <is>
          <t>importado</t>
        </is>
      </c>
      <c r="J549" s="5" t="n">
        <v>1</v>
      </c>
      <c r="K549" s="6" t="n">
        <v>23699</v>
      </c>
      <c r="L549" s="6" t="n">
        <v>23699</v>
      </c>
      <c r="M549" s="6" t="n">
        <v>23699</v>
      </c>
      <c r="N549" s="3" t="inlineStr">
        <is>
          <t>Sí</t>
        </is>
      </c>
      <c r="O549" s="6">
        <f>IF(K549="","",IF(N549="Sí",ROUND(K549/1.18,2),K549))</f>
        <v/>
      </c>
      <c r="P549" s="3" t="inlineStr">
        <is>
          <t>2026-09-10</t>
        </is>
      </c>
      <c r="Q549" s="4" t="inlineStr">
        <is>
          <t>Bellón</t>
        </is>
      </c>
      <c r="AF549" s="4" t="inlineStr">
        <is>
          <t>tipo: centrífuga · hp: 3</t>
        </is>
      </c>
    </row>
    <row r="550">
      <c r="A550" s="3" t="inlineStr">
        <is>
          <t>MAT-09-031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Bomba centrífuga de 3/4 HP</t>
        </is>
      </c>
      <c r="E550" s="4" t="inlineStr"/>
      <c r="F550" s="3" t="inlineStr">
        <is>
          <t>unidad</t>
        </is>
      </c>
      <c r="G550" s="3" t="inlineStr">
        <is>
          <t>Instalaciones</t>
        </is>
      </c>
      <c r="H550" s="3" t="inlineStr">
        <is>
          <t>estandar</t>
        </is>
      </c>
      <c r="I550" s="3" t="inlineStr">
        <is>
          <t>importado</t>
        </is>
      </c>
      <c r="J550" s="5" t="n">
        <v>1</v>
      </c>
      <c r="K550" s="6" t="n">
        <v>8672</v>
      </c>
      <c r="L550" s="6" t="n">
        <v>7849</v>
      </c>
      <c r="M550" s="6" t="n">
        <v>9495</v>
      </c>
      <c r="N550" s="3" t="inlineStr">
        <is>
          <t>Sí</t>
        </is>
      </c>
      <c r="O550" s="6">
        <f>IF(K550="","",IF(N550="Sí",ROUND(K550/1.18,2),K550))</f>
        <v/>
      </c>
      <c r="P550" s="3" t="inlineStr">
        <is>
          <t>2026-09-10</t>
        </is>
      </c>
      <c r="Q550" s="4" t="inlineStr">
        <is>
          <t>Ferremix (Grupo Alterra)</t>
        </is>
      </c>
      <c r="AF550" s="4" t="inlineStr">
        <is>
          <t>tipo: centrífuga · hp: 3/4</t>
        </is>
      </c>
    </row>
    <row r="551">
      <c r="A551" s="3" t="inlineStr">
        <is>
          <t>MAT-09-032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Bomba centrífuga de 6 1/2 HP</t>
        </is>
      </c>
      <c r="E551" s="4" t="inlineStr"/>
      <c r="F551" s="3" t="inlineStr">
        <is>
          <t>unidad</t>
        </is>
      </c>
      <c r="G551" s="3" t="inlineStr">
        <is>
          <t>Instalaciones</t>
        </is>
      </c>
      <c r="H551" s="3" t="inlineStr">
        <is>
          <t>estandar</t>
        </is>
      </c>
      <c r="I551" s="3" t="inlineStr">
        <is>
          <t>importado</t>
        </is>
      </c>
      <c r="J551" s="5" t="n">
        <v>1</v>
      </c>
      <c r="K551" s="6" t="n">
        <v>13189</v>
      </c>
      <c r="L551" s="6" t="n">
        <v>13189</v>
      </c>
      <c r="M551" s="6" t="n">
        <v>13189</v>
      </c>
      <c r="N551" s="3" t="inlineStr">
        <is>
          <t>Sí</t>
        </is>
      </c>
      <c r="O551" s="6">
        <f>IF(K551="","",IF(N551="Sí",ROUND(K551/1.18,2),K551))</f>
        <v/>
      </c>
      <c r="P551" s="3" t="inlineStr">
        <is>
          <t>2026-09-10</t>
        </is>
      </c>
      <c r="Q551" s="4" t="inlineStr">
        <is>
          <t>Ferremix (Grupo Alterra)</t>
        </is>
      </c>
      <c r="AF551" s="4" t="inlineStr">
        <is>
          <t>tipo: centrífuga · hp: 6 1/2</t>
        </is>
      </c>
    </row>
    <row r="552">
      <c r="A552" s="3" t="inlineStr">
        <is>
          <t>MAT-09-033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Bomba de cisterna de 1/2 HP</t>
        </is>
      </c>
      <c r="E552" s="4" t="inlineStr"/>
      <c r="F552" s="3" t="inlineStr">
        <is>
          <t>unidad</t>
        </is>
      </c>
      <c r="G552" s="3" t="inlineStr">
        <is>
          <t>Instalaciones</t>
        </is>
      </c>
      <c r="H552" s="3" t="inlineStr">
        <is>
          <t>estandar</t>
        </is>
      </c>
      <c r="I552" s="3" t="inlineStr">
        <is>
          <t>importado</t>
        </is>
      </c>
      <c r="J552" s="5" t="n">
        <v>1</v>
      </c>
      <c r="K552" s="6" t="n">
        <v>7106</v>
      </c>
      <c r="L552" s="6" t="n">
        <v>7106</v>
      </c>
      <c r="M552" s="6" t="n">
        <v>7106</v>
      </c>
      <c r="N552" s="3" t="inlineStr">
        <is>
          <t>Sí</t>
        </is>
      </c>
      <c r="O552" s="6">
        <f>IF(K552="","",IF(N552="Sí",ROUND(K552/1.18,2),K552))</f>
        <v/>
      </c>
      <c r="P552" s="3" t="inlineStr">
        <is>
          <t>2026-09-09</t>
        </is>
      </c>
      <c r="Q552" s="4" t="inlineStr">
        <is>
          <t>Ferretería Cima</t>
        </is>
      </c>
      <c r="AF552" s="4" t="inlineStr">
        <is>
          <t>tipo: de cisterna · hp: 1/2</t>
        </is>
      </c>
    </row>
    <row r="553">
      <c r="A553" s="3" t="inlineStr">
        <is>
          <t>MAT-09-034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Bomba ladrona de 1/2 HP</t>
        </is>
      </c>
      <c r="E553" s="4" t="inlineStr"/>
      <c r="F553" s="3" t="inlineStr">
        <is>
          <t>unidad</t>
        </is>
      </c>
      <c r="G553" s="3" t="inlineStr">
        <is>
          <t>Instalaciones</t>
        </is>
      </c>
      <c r="H553" s="3" t="inlineStr">
        <is>
          <t>estandar</t>
        </is>
      </c>
      <c r="I553" s="3" t="inlineStr">
        <is>
          <t>importado</t>
        </is>
      </c>
      <c r="J553" s="5" t="n">
        <v>1</v>
      </c>
      <c r="K553" s="6" t="n">
        <v>3957</v>
      </c>
      <c r="L553" s="6" t="n">
        <v>2670</v>
      </c>
      <c r="M553" s="6" t="n">
        <v>6300</v>
      </c>
      <c r="N553" s="3" t="inlineStr">
        <is>
          <t>Sí</t>
        </is>
      </c>
      <c r="O553" s="6">
        <f>IF(K553="","",IF(N553="Sí",ROUND(K553/1.18,2),K553))</f>
        <v/>
      </c>
      <c r="P553" s="3" t="inlineStr">
        <is>
          <t>2026-09-09</t>
        </is>
      </c>
      <c r="Q553" s="4" t="inlineStr">
        <is>
          <t>Ferretería Cima</t>
        </is>
      </c>
      <c r="AF553" s="4" t="inlineStr">
        <is>
          <t>tipo: ladrona · hp: 1/2</t>
        </is>
      </c>
    </row>
    <row r="554">
      <c r="A554" s="3" t="inlineStr">
        <is>
          <t>MAT-09-035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Bomba periférica de 1 HP</t>
        </is>
      </c>
      <c r="E554" s="4" t="inlineStr"/>
      <c r="F554" s="3" t="inlineStr">
        <is>
          <t>unidad</t>
        </is>
      </c>
      <c r="G554" s="3" t="inlineStr">
        <is>
          <t>Instalaciones</t>
        </is>
      </c>
      <c r="H554" s="3" t="inlineStr">
        <is>
          <t>estandar</t>
        </is>
      </c>
      <c r="I554" s="3" t="inlineStr">
        <is>
          <t>importado</t>
        </is>
      </c>
      <c r="J554" s="5" t="n">
        <v>1</v>
      </c>
      <c r="K554" s="6" t="n">
        <v>5719</v>
      </c>
      <c r="L554" s="6" t="n">
        <v>5719</v>
      </c>
      <c r="M554" s="6" t="n">
        <v>5719</v>
      </c>
      <c r="N554" s="3" t="inlineStr">
        <is>
          <t>Sí</t>
        </is>
      </c>
      <c r="O554" s="6">
        <f>IF(K554="","",IF(N554="Sí",ROUND(K554/1.18,2),K554))</f>
        <v/>
      </c>
      <c r="P554" s="3" t="inlineStr">
        <is>
          <t>2026-09-10</t>
        </is>
      </c>
      <c r="Q554" s="4" t="inlineStr">
        <is>
          <t>Ferremix (Grupo Alterra)</t>
        </is>
      </c>
      <c r="AF554" s="4" t="inlineStr">
        <is>
          <t>tipo: periférica · hp: 1</t>
        </is>
      </c>
    </row>
    <row r="555">
      <c r="A555" s="3" t="inlineStr">
        <is>
          <t>MAT-09-036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Bomba periférica de 1/2 HP</t>
        </is>
      </c>
      <c r="E555" s="4" t="inlineStr"/>
      <c r="F555" s="3" t="inlineStr">
        <is>
          <t>unidad</t>
        </is>
      </c>
      <c r="G555" s="3" t="inlineStr">
        <is>
          <t>Instalaciones</t>
        </is>
      </c>
      <c r="H555" s="3" t="inlineStr">
        <is>
          <t>estandar</t>
        </is>
      </c>
      <c r="I555" s="3" t="inlineStr">
        <is>
          <t>importado</t>
        </is>
      </c>
      <c r="J555" s="5" t="n">
        <v>1</v>
      </c>
      <c r="K555" s="6" t="n">
        <v>1995</v>
      </c>
      <c r="L555" s="6" t="n">
        <v>1995</v>
      </c>
      <c r="M555" s="6" t="n">
        <v>1995</v>
      </c>
      <c r="N555" s="3" t="inlineStr">
        <is>
          <t>Sí</t>
        </is>
      </c>
      <c r="O555" s="6">
        <f>IF(K555="","",IF(N555="Sí",ROUND(K555/1.18,2),K555))</f>
        <v/>
      </c>
      <c r="P555" s="3" t="inlineStr">
        <is>
          <t>2026-09-10</t>
        </is>
      </c>
      <c r="Q555" s="4" t="inlineStr">
        <is>
          <t>Ferremix (Grupo Alterra)</t>
        </is>
      </c>
      <c r="AF555" s="4" t="inlineStr">
        <is>
          <t>tipo: periférica · hp: 1/2</t>
        </is>
      </c>
    </row>
    <row r="556">
      <c r="A556" s="3" t="inlineStr">
        <is>
          <t>MAT-09-037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Bomba periférica de 3/4 HP</t>
        </is>
      </c>
      <c r="E556" s="4" t="inlineStr"/>
      <c r="F556" s="3" t="inlineStr">
        <is>
          <t>unidad</t>
        </is>
      </c>
      <c r="G556" s="3" t="inlineStr">
        <is>
          <t>Instalaciones</t>
        </is>
      </c>
      <c r="H556" s="3" t="inlineStr">
        <is>
          <t>estandar</t>
        </is>
      </c>
      <c r="I556" s="3" t="inlineStr">
        <is>
          <t>importado</t>
        </is>
      </c>
      <c r="J556" s="5" t="n">
        <v>1</v>
      </c>
      <c r="K556" s="6" t="n">
        <v>5079</v>
      </c>
      <c r="L556" s="6" t="n">
        <v>5079</v>
      </c>
      <c r="M556" s="6" t="n">
        <v>5079</v>
      </c>
      <c r="N556" s="3" t="inlineStr">
        <is>
          <t>Sí</t>
        </is>
      </c>
      <c r="O556" s="6">
        <f>IF(K556="","",IF(N556="Sí",ROUND(K556/1.18,2),K556))</f>
        <v/>
      </c>
      <c r="P556" s="3" t="inlineStr">
        <is>
          <t>2026-09-10</t>
        </is>
      </c>
      <c r="Q556" s="4" t="inlineStr">
        <is>
          <t>Ferremix (Grupo Alterra)</t>
        </is>
      </c>
      <c r="AF556" s="4" t="inlineStr">
        <is>
          <t>tipo: periférica · hp: 3/4</t>
        </is>
      </c>
    </row>
    <row r="557">
      <c r="A557" s="3" t="inlineStr">
        <is>
          <t>MAT-09-038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Bomba presurizadora de 1/2 HP</t>
        </is>
      </c>
      <c r="E557" s="4" t="inlineStr"/>
      <c r="F557" s="3" t="inlineStr">
        <is>
          <t>unidad</t>
        </is>
      </c>
      <c r="G557" s="3" t="inlineStr">
        <is>
          <t>Instalaciones</t>
        </is>
      </c>
      <c r="H557" s="3" t="inlineStr">
        <is>
          <t>estandar</t>
        </is>
      </c>
      <c r="I557" s="3" t="inlineStr">
        <is>
          <t>importado</t>
        </is>
      </c>
      <c r="J557" s="5" t="n">
        <v>1</v>
      </c>
      <c r="K557" s="6" t="n">
        <v>5075</v>
      </c>
      <c r="L557" s="6" t="n">
        <v>5075</v>
      </c>
      <c r="M557" s="6" t="n">
        <v>5075</v>
      </c>
      <c r="N557" s="3" t="inlineStr">
        <is>
          <t>Sí</t>
        </is>
      </c>
      <c r="O557" s="6">
        <f>IF(K557="","",IF(N557="Sí",ROUND(K557/1.18,2),K557))</f>
        <v/>
      </c>
      <c r="P557" s="3" t="inlineStr">
        <is>
          <t>2026-09-09</t>
        </is>
      </c>
      <c r="Q557" s="4" t="inlineStr">
        <is>
          <t>Ferretería Cima</t>
        </is>
      </c>
      <c r="AF557" s="4" t="inlineStr">
        <is>
          <t>tipo: presurizadora · hp: 1/2</t>
        </is>
      </c>
    </row>
    <row r="558">
      <c r="A558" s="3" t="inlineStr">
        <is>
          <t>MAT-09-039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Bomba presurizadora de 1/3 HP</t>
        </is>
      </c>
      <c r="E558" s="4" t="inlineStr"/>
      <c r="F558" s="3" t="inlineStr">
        <is>
          <t>unidad</t>
        </is>
      </c>
      <c r="G558" s="3" t="inlineStr">
        <is>
          <t>Instalaciones</t>
        </is>
      </c>
      <c r="H558" s="3" t="inlineStr">
        <is>
          <t>estandar</t>
        </is>
      </c>
      <c r="I558" s="3" t="inlineStr">
        <is>
          <t>importado</t>
        </is>
      </c>
      <c r="J558" s="5" t="n">
        <v>1</v>
      </c>
      <c r="K558" s="6" t="n">
        <v>4914</v>
      </c>
      <c r="L558" s="6" t="n">
        <v>4914</v>
      </c>
      <c r="M558" s="6" t="n">
        <v>4914</v>
      </c>
      <c r="N558" s="3" t="inlineStr">
        <is>
          <t>Sí</t>
        </is>
      </c>
      <c r="O558" s="6">
        <f>IF(K558="","",IF(N558="Sí",ROUND(K558/1.18,2),K558))</f>
        <v/>
      </c>
      <c r="P558" s="3" t="inlineStr">
        <is>
          <t>2026-09-09</t>
        </is>
      </c>
      <c r="Q558" s="4" t="inlineStr">
        <is>
          <t>Ferretería Cima</t>
        </is>
      </c>
      <c r="AF558" s="4" t="inlineStr">
        <is>
          <t>tipo: presurizadora · hp: 1/3</t>
        </is>
      </c>
    </row>
    <row r="559">
      <c r="A559" s="3" t="inlineStr">
        <is>
          <t>MAT-09-040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Bomba presurizadora de 1/6 HP</t>
        </is>
      </c>
      <c r="E559" s="4" t="inlineStr"/>
      <c r="F559" s="3" t="inlineStr">
        <is>
          <t>unidad</t>
        </is>
      </c>
      <c r="G559" s="3" t="inlineStr">
        <is>
          <t>Instalaciones</t>
        </is>
      </c>
      <c r="H559" s="3" t="inlineStr">
        <is>
          <t>estandar</t>
        </is>
      </c>
      <c r="I559" s="3" t="inlineStr">
        <is>
          <t>importado</t>
        </is>
      </c>
      <c r="J559" s="5" t="n">
        <v>1</v>
      </c>
      <c r="K559" s="6" t="n">
        <v>2911</v>
      </c>
      <c r="L559" s="6" t="n">
        <v>2911</v>
      </c>
      <c r="M559" s="6" t="n">
        <v>2911</v>
      </c>
      <c r="N559" s="3" t="inlineStr">
        <is>
          <t>Sí</t>
        </is>
      </c>
      <c r="O559" s="6">
        <f>IF(K559="","",IF(N559="Sí",ROUND(K559/1.18,2),K559))</f>
        <v/>
      </c>
      <c r="P559" s="3" t="inlineStr">
        <is>
          <t>2026-09-09</t>
        </is>
      </c>
      <c r="Q559" s="4" t="inlineStr">
        <is>
          <t>Ferretería Cima</t>
        </is>
      </c>
      <c r="AF559" s="4" t="inlineStr">
        <is>
          <t>tipo: presurizadora · hp: 1/6</t>
        </is>
      </c>
    </row>
    <row r="560">
      <c r="A560" s="3" t="inlineStr">
        <is>
          <t>MAT-09-041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Bomba sumergible de 1 HP</t>
        </is>
      </c>
      <c r="E560" s="4" t="inlineStr"/>
      <c r="F560" s="3" t="inlineStr">
        <is>
          <t>unidad</t>
        </is>
      </c>
      <c r="G560" s="3" t="inlineStr">
        <is>
          <t>Instalaciones</t>
        </is>
      </c>
      <c r="H560" s="3" t="inlineStr">
        <is>
          <t>estandar</t>
        </is>
      </c>
      <c r="I560" s="3" t="inlineStr">
        <is>
          <t>importado</t>
        </is>
      </c>
      <c r="J560" s="5" t="n">
        <v>2</v>
      </c>
      <c r="K560" s="6" t="n">
        <v>7860</v>
      </c>
      <c r="L560" s="6" t="n">
        <v>1920</v>
      </c>
      <c r="M560" s="6" t="n">
        <v>15989</v>
      </c>
      <c r="N560" s="3" t="inlineStr">
        <is>
          <t>Sí</t>
        </is>
      </c>
      <c r="O560" s="6">
        <f>IF(K560="","",IF(N560="Sí",ROUND(K560/1.18,2),K560))</f>
        <v/>
      </c>
      <c r="P560" s="3" t="inlineStr">
        <is>
          <t>2026-09-10</t>
        </is>
      </c>
      <c r="Q560" s="4" t="inlineStr">
        <is>
          <t>Bellón · Ferremix (Grupo Alterra)</t>
        </is>
      </c>
      <c r="AF560" s="4" t="inlineStr">
        <is>
          <t>tipo: sumergible · hp: 1</t>
        </is>
      </c>
    </row>
    <row r="561">
      <c r="A561" s="3" t="inlineStr">
        <is>
          <t>MAT-09-042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Bomba sumergible de 1 1/2 HP</t>
        </is>
      </c>
      <c r="E561" s="4" t="inlineStr"/>
      <c r="F561" s="3" t="inlineStr">
        <is>
          <t>unidad</t>
        </is>
      </c>
      <c r="G561" s="3" t="inlineStr">
        <is>
          <t>Instalaciones</t>
        </is>
      </c>
      <c r="H561" s="3" t="inlineStr">
        <is>
          <t>estandar</t>
        </is>
      </c>
      <c r="I561" s="3" t="inlineStr">
        <is>
          <t>importado</t>
        </is>
      </c>
      <c r="J561" s="5" t="n">
        <v>2</v>
      </c>
      <c r="K561" s="6" t="n">
        <v>13484</v>
      </c>
      <c r="L561" s="6" t="n">
        <v>6623</v>
      </c>
      <c r="M561" s="6" t="n">
        <v>18559</v>
      </c>
      <c r="N561" s="3" t="inlineStr">
        <is>
          <t>Sí</t>
        </is>
      </c>
      <c r="O561" s="6">
        <f>IF(K561="","",IF(N561="Sí",ROUND(K561/1.18,2),K561))</f>
        <v/>
      </c>
      <c r="P561" s="3" t="inlineStr">
        <is>
          <t>2026-09-10</t>
        </is>
      </c>
      <c r="Q561" s="4" t="inlineStr">
        <is>
          <t>Bellón · Ferremix (Grupo Alterra)</t>
        </is>
      </c>
      <c r="AF561" s="4" t="inlineStr">
        <is>
          <t>tipo: sumergible · hp: 1 1/2</t>
        </is>
      </c>
    </row>
    <row r="562">
      <c r="A562" s="3" t="inlineStr">
        <is>
          <t>MAT-09-043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Bomba sumergible de 1/2 HP</t>
        </is>
      </c>
      <c r="E562" s="4" t="inlineStr"/>
      <c r="F562" s="3" t="inlineStr">
        <is>
          <t>unidad</t>
        </is>
      </c>
      <c r="G562" s="3" t="inlineStr">
        <is>
          <t>Instalaciones</t>
        </is>
      </c>
      <c r="H562" s="3" t="inlineStr">
        <is>
          <t>estandar</t>
        </is>
      </c>
      <c r="I562" s="3" t="inlineStr">
        <is>
          <t>importado</t>
        </is>
      </c>
      <c r="J562" s="5" t="n">
        <v>2</v>
      </c>
      <c r="K562" s="6" t="n">
        <v>8167.5</v>
      </c>
      <c r="L562" s="6" t="n">
        <v>2835</v>
      </c>
      <c r="M562" s="6" t="n">
        <v>41232</v>
      </c>
      <c r="N562" s="3" t="inlineStr">
        <is>
          <t>Sí</t>
        </is>
      </c>
      <c r="O562" s="6">
        <f>IF(K562="","",IF(N562="Sí",ROUND(K562/1.18,2),K562))</f>
        <v/>
      </c>
      <c r="P562" s="3" t="inlineStr">
        <is>
          <t>2026-09-10</t>
        </is>
      </c>
      <c r="Q562" s="4" t="inlineStr">
        <is>
          <t>Bellón · Ferremix (Grupo Alterra)</t>
        </is>
      </c>
      <c r="AF562" s="4" t="inlineStr">
        <is>
          <t>tipo: sumergible · hp: 1/2</t>
        </is>
      </c>
    </row>
    <row r="563">
      <c r="A563" s="3" t="inlineStr">
        <is>
          <t>MAT-09-044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Bomba sumergible de 1.5 HP</t>
        </is>
      </c>
      <c r="E563" s="4" t="inlineStr"/>
      <c r="F563" s="3" t="inlineStr">
        <is>
          <t>unidad</t>
        </is>
      </c>
      <c r="G563" s="3" t="inlineStr">
        <is>
          <t>Instalaciones</t>
        </is>
      </c>
      <c r="H563" s="3" t="inlineStr">
        <is>
          <t>estandar</t>
        </is>
      </c>
      <c r="I563" s="3" t="inlineStr">
        <is>
          <t>importado</t>
        </is>
      </c>
      <c r="J563" s="5" t="n">
        <v>1</v>
      </c>
      <c r="K563" s="6" t="n">
        <v>77553</v>
      </c>
      <c r="L563" s="6" t="n">
        <v>77553</v>
      </c>
      <c r="M563" s="6" t="n">
        <v>77553</v>
      </c>
      <c r="N563" s="3" t="inlineStr">
        <is>
          <t>Sí</t>
        </is>
      </c>
      <c r="O563" s="6">
        <f>IF(K563="","",IF(N563="Sí",ROUND(K563/1.18,2),K563))</f>
        <v/>
      </c>
      <c r="P563" s="3" t="inlineStr">
        <is>
          <t>2026-09-10</t>
        </is>
      </c>
      <c r="Q563" s="4" t="inlineStr">
        <is>
          <t>Bellón</t>
        </is>
      </c>
      <c r="AF563" s="4" t="inlineStr">
        <is>
          <t>tipo: sumergible · hp: 1.5</t>
        </is>
      </c>
    </row>
    <row r="564">
      <c r="A564" s="3" t="inlineStr">
        <is>
          <t>MAT-09-045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Bomba sumergible de 1/6 HP</t>
        </is>
      </c>
      <c r="E564" s="4" t="inlineStr"/>
      <c r="F564" s="3" t="inlineStr">
        <is>
          <t>unidad</t>
        </is>
      </c>
      <c r="G564" s="3" t="inlineStr">
        <is>
          <t>Instalaciones</t>
        </is>
      </c>
      <c r="H564" s="3" t="inlineStr">
        <is>
          <t>estandar</t>
        </is>
      </c>
      <c r="I564" s="3" t="inlineStr">
        <is>
          <t>importado</t>
        </is>
      </c>
      <c r="J564" s="5" t="n">
        <v>1</v>
      </c>
      <c r="K564" s="6" t="n">
        <v>21812</v>
      </c>
      <c r="L564" s="6" t="n">
        <v>21812</v>
      </c>
      <c r="M564" s="6" t="n">
        <v>21812</v>
      </c>
      <c r="N564" s="3" t="inlineStr">
        <is>
          <t>Sí</t>
        </is>
      </c>
      <c r="O564" s="6">
        <f>IF(K564="","",IF(N564="Sí",ROUND(K564/1.18,2),K564))</f>
        <v/>
      </c>
      <c r="P564" s="3" t="inlineStr">
        <is>
          <t>2026-09-10</t>
        </is>
      </c>
      <c r="Q564" s="4" t="inlineStr">
        <is>
          <t>Bellón</t>
        </is>
      </c>
      <c r="AF564" s="4" t="inlineStr">
        <is>
          <t>tipo: sumergible · hp: 1/6</t>
        </is>
      </c>
    </row>
    <row r="565">
      <c r="A565" s="3" t="inlineStr">
        <is>
          <t>MAT-09-046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sumergible de 10 HP</t>
        </is>
      </c>
      <c r="E565" s="4" t="inlineStr"/>
      <c r="F565" s="3" t="inlineStr">
        <is>
          <t>unidad</t>
        </is>
      </c>
      <c r="G565" s="3" t="inlineStr">
        <is>
          <t>Instalaciones</t>
        </is>
      </c>
      <c r="H565" s="3" t="inlineStr">
        <is>
          <t>estandar</t>
        </is>
      </c>
      <c r="I565" s="3" t="inlineStr">
        <is>
          <t>importado</t>
        </is>
      </c>
      <c r="J565" s="5" t="n">
        <v>1</v>
      </c>
      <c r="K565" s="6" t="n">
        <v>56995</v>
      </c>
      <c r="L565" s="6" t="n">
        <v>56995</v>
      </c>
      <c r="M565" s="6" t="n">
        <v>56995</v>
      </c>
      <c r="N565" s="3" t="inlineStr">
        <is>
          <t>Sí</t>
        </is>
      </c>
      <c r="O565" s="6">
        <f>IF(K565="","",IF(N565="Sí",ROUND(K565/1.18,2),K565))</f>
        <v/>
      </c>
      <c r="P565" s="3" t="inlineStr">
        <is>
          <t>2026-09-10</t>
        </is>
      </c>
      <c r="Q565" s="4" t="inlineStr">
        <is>
          <t>Bellón</t>
        </is>
      </c>
      <c r="AF565" s="4" t="inlineStr">
        <is>
          <t>tipo: sumergible · hp: 10</t>
        </is>
      </c>
    </row>
    <row r="566">
      <c r="A566" s="3" t="inlineStr">
        <is>
          <t>MAT-09-047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sumergible de 2 HP</t>
        </is>
      </c>
      <c r="E566" s="4" t="inlineStr"/>
      <c r="F566" s="3" t="inlineStr">
        <is>
          <t>unidad</t>
        </is>
      </c>
      <c r="G566" s="3" t="inlineStr">
        <is>
          <t>Instalaciones</t>
        </is>
      </c>
      <c r="H566" s="3" t="inlineStr">
        <is>
          <t>estandar</t>
        </is>
      </c>
      <c r="I566" s="3" t="inlineStr">
        <is>
          <t>importado</t>
        </is>
      </c>
      <c r="J566" s="5" t="n">
        <v>2</v>
      </c>
      <c r="K566" s="6" t="n">
        <v>20127</v>
      </c>
      <c r="L566" s="6" t="n">
        <v>12859</v>
      </c>
      <c r="M566" s="6" t="n">
        <v>61535</v>
      </c>
      <c r="N566" s="3" t="inlineStr">
        <is>
          <t>Sí</t>
        </is>
      </c>
      <c r="O566" s="6">
        <f>IF(K566="","",IF(N566="Sí",ROUND(K566/1.18,2),K566))</f>
        <v/>
      </c>
      <c r="P566" s="3" t="inlineStr">
        <is>
          <t>2026-09-10</t>
        </is>
      </c>
      <c r="Q566" s="4" t="inlineStr">
        <is>
          <t>Bellón · Ferremix (Grupo Alterra)</t>
        </is>
      </c>
      <c r="AF566" s="4" t="inlineStr">
        <is>
          <t>tipo: sumergible · hp: 2</t>
        </is>
      </c>
    </row>
    <row r="567">
      <c r="A567" s="3" t="inlineStr">
        <is>
          <t>MAT-09-048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sumergible de 3 HP</t>
        </is>
      </c>
      <c r="E567" s="4" t="inlineStr"/>
      <c r="F567" s="3" t="inlineStr">
        <is>
          <t>unidad</t>
        </is>
      </c>
      <c r="G567" s="3" t="inlineStr">
        <is>
          <t>Instalaciones</t>
        </is>
      </c>
      <c r="H567" s="3" t="inlineStr">
        <is>
          <t>estandar</t>
        </is>
      </c>
      <c r="I567" s="3" t="inlineStr">
        <is>
          <t>importado</t>
        </is>
      </c>
      <c r="J567" s="5" t="n">
        <v>1</v>
      </c>
      <c r="K567" s="6" t="n">
        <v>23492.5</v>
      </c>
      <c r="L567" s="6" t="n">
        <v>17345</v>
      </c>
      <c r="M567" s="6" t="n">
        <v>29640</v>
      </c>
      <c r="N567" s="3" t="inlineStr">
        <is>
          <t>Sí</t>
        </is>
      </c>
      <c r="O567" s="6">
        <f>IF(K567="","",IF(N567="Sí",ROUND(K567/1.18,2),K567))</f>
        <v/>
      </c>
      <c r="P567" s="3" t="inlineStr">
        <is>
          <t>2026-09-10</t>
        </is>
      </c>
      <c r="Q567" s="4" t="inlineStr">
        <is>
          <t>Bellón</t>
        </is>
      </c>
      <c r="AF567" s="4" t="inlineStr">
        <is>
          <t>tipo: sumergible · hp: 3</t>
        </is>
      </c>
    </row>
    <row r="568">
      <c r="A568" s="3" t="inlineStr">
        <is>
          <t>MAT-09-049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sumergible de 3/4 HP</t>
        </is>
      </c>
      <c r="E568" s="4" t="inlineStr"/>
      <c r="F568" s="3" t="inlineStr">
        <is>
          <t>unidad</t>
        </is>
      </c>
      <c r="G568" s="3" t="inlineStr">
        <is>
          <t>Instalaciones</t>
        </is>
      </c>
      <c r="H568" s="3" t="inlineStr">
        <is>
          <t>estandar</t>
        </is>
      </c>
      <c r="I568" s="3" t="inlineStr">
        <is>
          <t>importado</t>
        </is>
      </c>
      <c r="J568" s="5" t="n">
        <v>2</v>
      </c>
      <c r="K568" s="6" t="n">
        <v>8599</v>
      </c>
      <c r="L568" s="6" t="n">
        <v>2999</v>
      </c>
      <c r="M568" s="6" t="n">
        <v>13303</v>
      </c>
      <c r="N568" s="3" t="inlineStr">
        <is>
          <t>Sí</t>
        </is>
      </c>
      <c r="O568" s="6">
        <f>IF(K568="","",IF(N568="Sí",ROUND(K568/1.18,2),K568))</f>
        <v/>
      </c>
      <c r="P568" s="3" t="inlineStr">
        <is>
          <t>2026-09-10</t>
        </is>
      </c>
      <c r="Q568" s="4" t="inlineStr">
        <is>
          <t>Bellón · Ferremix (Grupo Alterra)</t>
        </is>
      </c>
      <c r="AF568" s="4" t="inlineStr">
        <is>
          <t>tipo: sumergible · hp: 3/4</t>
        </is>
      </c>
    </row>
    <row r="569">
      <c r="A569" s="3" t="inlineStr">
        <is>
          <t>MAT-09-050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sumergible de 5.5 HP</t>
        </is>
      </c>
      <c r="E569" s="4" t="inlineStr"/>
      <c r="F569" s="3" t="inlineStr">
        <is>
          <t>unidad</t>
        </is>
      </c>
      <c r="G569" s="3" t="inlineStr">
        <is>
          <t>Instalaciones</t>
        </is>
      </c>
      <c r="H569" s="3" t="inlineStr">
        <is>
          <t>estandar</t>
        </is>
      </c>
      <c r="I569" s="3" t="inlineStr">
        <is>
          <t>importado</t>
        </is>
      </c>
      <c r="J569" s="5" t="n">
        <v>1</v>
      </c>
      <c r="K569" s="6" t="n">
        <v>27049</v>
      </c>
      <c r="L569" s="6" t="n">
        <v>27049</v>
      </c>
      <c r="M569" s="6" t="n">
        <v>27049</v>
      </c>
      <c r="N569" s="3" t="inlineStr">
        <is>
          <t>Sí</t>
        </is>
      </c>
      <c r="O569" s="6">
        <f>IF(K569="","",IF(N569="Sí",ROUND(K569/1.18,2),K569))</f>
        <v/>
      </c>
      <c r="P569" s="3" t="inlineStr">
        <is>
          <t>2026-09-10</t>
        </is>
      </c>
      <c r="Q569" s="4" t="inlineStr">
        <is>
          <t>Bellón</t>
        </is>
      </c>
      <c r="AF569" s="4" t="inlineStr">
        <is>
          <t>tipo: sumergible · hp: 5.5</t>
        </is>
      </c>
    </row>
    <row r="570">
      <c r="A570" s="3" t="inlineStr">
        <is>
          <t>MAT-09-051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Tanque presurizado de 24 litros</t>
        </is>
      </c>
      <c r="E570" s="4" t="inlineStr"/>
      <c r="F570" s="3" t="inlineStr">
        <is>
          <t>unidad</t>
        </is>
      </c>
      <c r="G570" s="3" t="inlineStr">
        <is>
          <t>Instalaciones</t>
        </is>
      </c>
      <c r="H570" s="3" t="inlineStr">
        <is>
          <t>estandar</t>
        </is>
      </c>
      <c r="I570" s="3" t="inlineStr">
        <is>
          <t>importado</t>
        </is>
      </c>
      <c r="J570" s="5" t="n">
        <v>1</v>
      </c>
      <c r="K570" s="6" t="n">
        <v>1825</v>
      </c>
      <c r="L570" s="6" t="n">
        <v>1825</v>
      </c>
      <c r="M570" s="6" t="n">
        <v>1825</v>
      </c>
      <c r="N570" s="3" t="inlineStr">
        <is>
          <t>Sí</t>
        </is>
      </c>
      <c r="O570" s="6">
        <f>IF(K570="","",IF(N570="Sí",ROUND(K570/1.18,2),K570))</f>
        <v/>
      </c>
      <c r="P570" s="3" t="inlineStr">
        <is>
          <t>2026-09-09</t>
        </is>
      </c>
      <c r="Q570" s="4" t="inlineStr">
        <is>
          <t>Ferretería Cima</t>
        </is>
      </c>
      <c r="AF570" s="4" t="inlineStr">
        <is>
          <t>litros: 24</t>
        </is>
      </c>
    </row>
    <row r="571">
      <c r="A571" s="3" t="inlineStr">
        <is>
          <t>MAT-09-052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Interruptor automático de presión 20–40 PSI</t>
        </is>
      </c>
      <c r="E571" s="4" t="inlineStr"/>
      <c r="F571" s="3" t="inlineStr">
        <is>
          <t>unidad</t>
        </is>
      </c>
      <c r="G571" s="3" t="inlineStr">
        <is>
          <t>Instalaciones</t>
        </is>
      </c>
      <c r="H571" s="3" t="inlineStr">
        <is>
          <t>estandar</t>
        </is>
      </c>
      <c r="I571" s="3" t="inlineStr">
        <is>
          <t>importado</t>
        </is>
      </c>
      <c r="J571" s="5" t="n">
        <v>1</v>
      </c>
      <c r="K571" s="6" t="n">
        <v>1666</v>
      </c>
      <c r="L571" s="6" t="n">
        <v>1666</v>
      </c>
      <c r="M571" s="6" t="n">
        <v>1666</v>
      </c>
      <c r="N571" s="3" t="inlineStr">
        <is>
          <t>Sí</t>
        </is>
      </c>
      <c r="O571" s="6">
        <f>IF(K571="","",IF(N571="Sí",ROUND(K571/1.18,2),K571))</f>
        <v/>
      </c>
      <c r="P571" s="3" t="inlineStr">
        <is>
          <t>2026-09-09</t>
        </is>
      </c>
      <c r="Q571" s="4" t="inlineStr">
        <is>
          <t>Ferretería Cima</t>
        </is>
      </c>
      <c r="AF571" s="4" t="inlineStr">
        <is>
          <t>rango: 20–40</t>
        </is>
      </c>
    </row>
    <row r="572">
      <c r="A572" s="3" t="inlineStr">
        <is>
          <t>MAT-09-053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Interruptor automático de presión 30–50 PSI</t>
        </is>
      </c>
      <c r="E572" s="4" t="inlineStr"/>
      <c r="F572" s="3" t="inlineStr">
        <is>
          <t>unidad</t>
        </is>
      </c>
      <c r="G572" s="3" t="inlineStr">
        <is>
          <t>Instalaciones</t>
        </is>
      </c>
      <c r="H572" s="3" t="inlineStr">
        <is>
          <t>estandar</t>
        </is>
      </c>
      <c r="I572" s="3" t="inlineStr">
        <is>
          <t>importado</t>
        </is>
      </c>
      <c r="J572" s="5" t="n">
        <v>1</v>
      </c>
      <c r="K572" s="6" t="n">
        <v>1631</v>
      </c>
      <c r="L572" s="6" t="n">
        <v>1631</v>
      </c>
      <c r="M572" s="6" t="n">
        <v>1631</v>
      </c>
      <c r="N572" s="3" t="inlineStr">
        <is>
          <t>Sí</t>
        </is>
      </c>
      <c r="O572" s="6">
        <f>IF(K572="","",IF(N572="Sí",ROUND(K572/1.18,2),K572))</f>
        <v/>
      </c>
      <c r="P572" s="3" t="inlineStr">
        <is>
          <t>2026-09-09</t>
        </is>
      </c>
      <c r="Q572" s="4" t="inlineStr">
        <is>
          <t>Ferretería Cima</t>
        </is>
      </c>
      <c r="AF572" s="4" t="inlineStr">
        <is>
          <t>rango: 30–50</t>
        </is>
      </c>
    </row>
    <row r="573">
      <c r="A573" s="3" t="inlineStr">
        <is>
          <t>MAT-09-054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Interruptor automático de presión 40–60 PSI</t>
        </is>
      </c>
      <c r="E573" s="4" t="inlineStr"/>
      <c r="F573" s="3" t="inlineStr">
        <is>
          <t>unidad</t>
        </is>
      </c>
      <c r="G573" s="3" t="inlineStr">
        <is>
          <t>Instalaciones</t>
        </is>
      </c>
      <c r="H573" s="3" t="inlineStr">
        <is>
          <t>estandar</t>
        </is>
      </c>
      <c r="I573" s="3" t="inlineStr">
        <is>
          <t>importado</t>
        </is>
      </c>
      <c r="J573" s="5" t="n">
        <v>1</v>
      </c>
      <c r="K573" s="6" t="n">
        <v>1688</v>
      </c>
      <c r="L573" s="6" t="n">
        <v>1688</v>
      </c>
      <c r="M573" s="6" t="n">
        <v>1688</v>
      </c>
      <c r="N573" s="3" t="inlineStr">
        <is>
          <t>Sí</t>
        </is>
      </c>
      <c r="O573" s="6">
        <f>IF(K573="","",IF(N573="Sí",ROUND(K573/1.18,2),K573))</f>
        <v/>
      </c>
      <c r="P573" s="3" t="inlineStr">
        <is>
          <t>2026-09-09</t>
        </is>
      </c>
      <c r="Q573" s="4" t="inlineStr">
        <is>
          <t>Ferretería Cima</t>
        </is>
      </c>
      <c r="AF573" s="4" t="inlineStr">
        <is>
          <t>rango: 40–60</t>
        </is>
      </c>
    </row>
    <row r="574">
      <c r="A574" s="3" t="inlineStr">
        <is>
          <t>MAT-09-055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Interruptor de flotante eléctrico</t>
        </is>
      </c>
      <c r="E574" s="4" t="inlineStr"/>
      <c r="F574" s="3" t="inlineStr">
        <is>
          <t>unidad</t>
        </is>
      </c>
      <c r="G574" s="3" t="inlineStr">
        <is>
          <t>Instalaciones</t>
        </is>
      </c>
      <c r="H574" s="3" t="inlineStr">
        <is>
          <t>estandar</t>
        </is>
      </c>
      <c r="I574" s="3" t="inlineStr">
        <is>
          <t>importado</t>
        </is>
      </c>
      <c r="J574" s="5" t="n">
        <v>1</v>
      </c>
      <c r="K574" s="6" t="n">
        <v>1072</v>
      </c>
      <c r="L574" s="6" t="n">
        <v>690</v>
      </c>
      <c r="M574" s="6" t="n">
        <v>1454</v>
      </c>
      <c r="N574" s="3" t="inlineStr">
        <is>
          <t>Sí</t>
        </is>
      </c>
      <c r="O574" s="6">
        <f>IF(K574="","",IF(N574="Sí",ROUND(K574/1.18,2),K574))</f>
        <v/>
      </c>
      <c r="P574" s="3" t="inlineStr">
        <is>
          <t>2026-09-09</t>
        </is>
      </c>
      <c r="Q574" s="4" t="inlineStr">
        <is>
          <t>Ferretería Cima</t>
        </is>
      </c>
    </row>
    <row r="575">
      <c r="A575" s="3" t="inlineStr">
        <is>
          <t>MAT-09-056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Control automático de bomba 1"</t>
        </is>
      </c>
      <c r="E575" s="4" t="inlineStr"/>
      <c r="F575" s="3" t="inlineStr">
        <is>
          <t>unidad</t>
        </is>
      </c>
      <c r="G575" s="3" t="inlineStr">
        <is>
          <t>Instalaciones</t>
        </is>
      </c>
      <c r="H575" s="3" t="inlineStr">
        <is>
          <t>estandar</t>
        </is>
      </c>
      <c r="I575" s="3" t="inlineStr">
        <is>
          <t>importado</t>
        </is>
      </c>
      <c r="J575" s="5" t="n">
        <v>1</v>
      </c>
      <c r="K575" s="6" t="n">
        <v>3178</v>
      </c>
      <c r="L575" s="6" t="n">
        <v>3178</v>
      </c>
      <c r="M575" s="6" t="n">
        <v>3178</v>
      </c>
      <c r="N575" s="3" t="inlineStr">
        <is>
          <t>Sí</t>
        </is>
      </c>
      <c r="O575" s="6">
        <f>IF(K575="","",IF(N575="Sí",ROUND(K575/1.18,2),K575))</f>
        <v/>
      </c>
      <c r="P575" s="3" t="inlineStr">
        <is>
          <t>2026-09-09</t>
        </is>
      </c>
      <c r="Q575" s="4" t="inlineStr">
        <is>
          <t>Ferretería Cima</t>
        </is>
      </c>
      <c r="AF575" s="4" t="inlineStr">
        <is>
          <t>medida: 1"</t>
        </is>
      </c>
    </row>
    <row r="576">
      <c r="A576" s="3" t="inlineStr">
        <is>
          <t>MAT-09-057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Manómetro de glicerina de 150 PSI</t>
        </is>
      </c>
      <c r="E576" s="4" t="inlineStr">
        <is>
          <t>El de glicerina aguanta la vibración de la bomba</t>
        </is>
      </c>
      <c r="F576" s="3" t="inlineStr">
        <is>
          <t>unidad</t>
        </is>
      </c>
      <c r="G576" s="3" t="inlineStr">
        <is>
          <t>Instalaciones</t>
        </is>
      </c>
      <c r="H576" s="3" t="inlineStr">
        <is>
          <t>estandar</t>
        </is>
      </c>
      <c r="I576" s="3" t="inlineStr">
        <is>
          <t>importado</t>
        </is>
      </c>
      <c r="J576" s="5" t="n">
        <v>1</v>
      </c>
      <c r="K576" s="6" t="n">
        <v>990</v>
      </c>
      <c r="L576" s="6" t="n">
        <v>990</v>
      </c>
      <c r="M576" s="6" t="n">
        <v>990</v>
      </c>
      <c r="N576" s="3" t="inlineStr">
        <is>
          <t>Sí</t>
        </is>
      </c>
      <c r="O576" s="6">
        <f>IF(K576="","",IF(N576="Sí",ROUND(K576/1.18,2),K576))</f>
        <v/>
      </c>
      <c r="P576" s="3" t="inlineStr">
        <is>
          <t>2026-09-09</t>
        </is>
      </c>
      <c r="Q576" s="4" t="inlineStr">
        <is>
          <t>Ferretería Cima</t>
        </is>
      </c>
      <c r="AF576" s="4" t="inlineStr">
        <is>
          <t>psi: 150 · tipo: de glicerina</t>
        </is>
      </c>
    </row>
    <row r="577">
      <c r="A577" s="3" t="inlineStr">
        <is>
          <t>MAT-09-058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Manómetro de glicerina de 90 PSI</t>
        </is>
      </c>
      <c r="E577" s="4" t="inlineStr">
        <is>
          <t>El de glicerina aguanta la vibración de la bomba</t>
        </is>
      </c>
      <c r="F577" s="3" t="inlineStr">
        <is>
          <t>unidad</t>
        </is>
      </c>
      <c r="G577" s="3" t="inlineStr">
        <is>
          <t>Instalaciones</t>
        </is>
      </c>
      <c r="H577" s="3" t="inlineStr">
        <is>
          <t>estandar</t>
        </is>
      </c>
      <c r="I577" s="3" t="inlineStr">
        <is>
          <t>importado</t>
        </is>
      </c>
      <c r="J577" s="5" t="n">
        <v>1</v>
      </c>
      <c r="K577" s="6" t="n">
        <v>905</v>
      </c>
      <c r="L577" s="6" t="n">
        <v>905</v>
      </c>
      <c r="M577" s="6" t="n">
        <v>905</v>
      </c>
      <c r="N577" s="3" t="inlineStr">
        <is>
          <t>Sí</t>
        </is>
      </c>
      <c r="O577" s="6">
        <f>IF(K577="","",IF(N577="Sí",ROUND(K577/1.18,2),K577))</f>
        <v/>
      </c>
      <c r="P577" s="3" t="inlineStr">
        <is>
          <t>2026-09-09</t>
        </is>
      </c>
      <c r="Q577" s="4" t="inlineStr">
        <is>
          <t>Ferretería Cima</t>
        </is>
      </c>
      <c r="AF577" s="4" t="inlineStr">
        <is>
          <t>psi: 90 · tipo: de glicerina</t>
        </is>
      </c>
    </row>
    <row r="578">
      <c r="A578" s="3" t="inlineStr">
        <is>
          <t>MAT-09-059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Manómetro seco de 90 PSI</t>
        </is>
      </c>
      <c r="E578" s="4" t="inlineStr">
        <is>
          <t>El de glicerina aguanta la vibración de la bomba</t>
        </is>
      </c>
      <c r="F578" s="3" t="inlineStr">
        <is>
          <t>unidad</t>
        </is>
      </c>
      <c r="G578" s="3" t="inlineStr">
        <is>
          <t>Instalaciones</t>
        </is>
      </c>
      <c r="H578" s="3" t="inlineStr">
        <is>
          <t>estandar</t>
        </is>
      </c>
      <c r="I578" s="3" t="inlineStr">
        <is>
          <t>importado</t>
        </is>
      </c>
      <c r="J578" s="5" t="n">
        <v>1</v>
      </c>
      <c r="K578" s="6" t="n">
        <v>407</v>
      </c>
      <c r="L578" s="6" t="n">
        <v>407</v>
      </c>
      <c r="M578" s="6" t="n">
        <v>407</v>
      </c>
      <c r="N578" s="3" t="inlineStr">
        <is>
          <t>Sí</t>
        </is>
      </c>
      <c r="O578" s="6">
        <f>IF(K578="","",IF(N578="Sí",ROUND(K578/1.18,2),K578))</f>
        <v/>
      </c>
      <c r="P578" s="3" t="inlineStr">
        <is>
          <t>2026-09-09</t>
        </is>
      </c>
      <c r="Q578" s="4" t="inlineStr">
        <is>
          <t>Ferretería Cima</t>
        </is>
      </c>
      <c r="AF578" s="4" t="inlineStr">
        <is>
          <t>psi: 90 · tipo: seco</t>
        </is>
      </c>
    </row>
    <row r="579">
      <c r="A579" s="3" t="inlineStr">
        <is>
          <t>MAT-09-060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Calentador de agua a gas de 8 litros por minuto</t>
        </is>
      </c>
      <c r="E579" s="4" t="inlineStr">
        <is>
          <t>De paso</t>
        </is>
      </c>
      <c r="F579" s="3" t="inlineStr">
        <is>
          <t>unidad</t>
        </is>
      </c>
      <c r="G579" s="3" t="inlineStr">
        <is>
          <t>Instalaciones</t>
        </is>
      </c>
      <c r="H579" s="3" t="inlineStr">
        <is>
          <t>estandar</t>
        </is>
      </c>
      <c r="I579" s="3" t="inlineStr">
        <is>
          <t>importado</t>
        </is>
      </c>
      <c r="J579" s="5" t="n">
        <v>1</v>
      </c>
      <c r="K579" s="6" t="n">
        <v>10670</v>
      </c>
      <c r="L579" s="6" t="n">
        <v>5395</v>
      </c>
      <c r="M579" s="6" t="n">
        <v>15945</v>
      </c>
      <c r="N579" s="3" t="inlineStr">
        <is>
          <t>Sí</t>
        </is>
      </c>
      <c r="O579" s="6">
        <f>IF(K579="","",IF(N579="Sí",ROUND(K579/1.18,2),K579))</f>
        <v/>
      </c>
      <c r="P579" s="3" t="inlineStr">
        <is>
          <t>2026-09-09</t>
        </is>
      </c>
      <c r="Q579" s="4" t="inlineStr">
        <is>
          <t>Ferretería Cima</t>
        </is>
      </c>
      <c r="AF579" s="4" t="inlineStr">
        <is>
          <t>energia: a gas · capacidad: 8 litros por minuto</t>
        </is>
      </c>
    </row>
    <row r="580">
      <c r="A580" s="3" t="inlineStr">
        <is>
          <t>MAT-09-061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Calentador de agua eléctrico de 6 galones</t>
        </is>
      </c>
      <c r="E580" s="4" t="inlineStr">
        <is>
          <t>De acumulación</t>
        </is>
      </c>
      <c r="F580" s="3" t="inlineStr">
        <is>
          <t>unidad</t>
        </is>
      </c>
      <c r="G580" s="3" t="inlineStr">
        <is>
          <t>Instalaciones</t>
        </is>
      </c>
      <c r="H580" s="3" t="inlineStr">
        <is>
          <t>estandar</t>
        </is>
      </c>
      <c r="I580" s="3" t="inlineStr">
        <is>
          <t>importado</t>
        </is>
      </c>
      <c r="J580" s="5" t="n">
        <v>1</v>
      </c>
      <c r="K580" s="6" t="n">
        <v>10291</v>
      </c>
      <c r="L580" s="6" t="n">
        <v>10291</v>
      </c>
      <c r="M580" s="6" t="n">
        <v>10291</v>
      </c>
      <c r="N580" s="3" t="inlineStr">
        <is>
          <t>Sí</t>
        </is>
      </c>
      <c r="O580" s="6">
        <f>IF(K580="","",IF(N580="Sí",ROUND(K580/1.18,2),K580))</f>
        <v/>
      </c>
      <c r="P580" s="3" t="inlineStr">
        <is>
          <t>2026-09-09</t>
        </is>
      </c>
      <c r="Q580" s="4" t="inlineStr">
        <is>
          <t>Ferretería Cima</t>
        </is>
      </c>
      <c r="AF580" s="4" t="inlineStr">
        <is>
          <t>energia: eléctrico · capacidad: 6 galones</t>
        </is>
      </c>
    </row>
    <row r="581">
      <c r="A581" s="3" t="inlineStr">
        <is>
          <t>MAT-09-062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Calentador de agua eléctrico de 7 kW</t>
        </is>
      </c>
      <c r="E581" s="4" t="inlineStr"/>
      <c r="F581" s="3" t="inlineStr">
        <is>
          <t>unidad</t>
        </is>
      </c>
      <c r="G581" s="3" t="inlineStr">
        <is>
          <t>Instalaciones</t>
        </is>
      </c>
      <c r="H581" s="3" t="inlineStr">
        <is>
          <t>estandar</t>
        </is>
      </c>
      <c r="I581" s="3" t="inlineStr">
        <is>
          <t>importado</t>
        </is>
      </c>
      <c r="J581" s="5" t="n">
        <v>1</v>
      </c>
      <c r="K581" s="6" t="n">
        <v>20503</v>
      </c>
      <c r="L581" s="6" t="n">
        <v>20503</v>
      </c>
      <c r="M581" s="6" t="n">
        <v>20503</v>
      </c>
      <c r="N581" s="3" t="inlineStr">
        <is>
          <t>Sí</t>
        </is>
      </c>
      <c r="O581" s="6">
        <f>IF(K581="","",IF(N581="Sí",ROUND(K581/1.18,2),K581))</f>
        <v/>
      </c>
      <c r="P581" s="3" t="inlineStr">
        <is>
          <t>2026-09-09</t>
        </is>
      </c>
      <c r="Q581" s="4" t="inlineStr">
        <is>
          <t>Ferretería Cima</t>
        </is>
      </c>
      <c r="AF581" s="4" t="inlineStr">
        <is>
          <t>energia: eléctrico · capacidad: 7 kW</t>
        </is>
      </c>
    </row>
    <row r="582">
      <c r="A582" s="3" t="inlineStr">
        <is>
          <t>MAT-09-063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Calentador de agua eléctrico de 8 galones</t>
        </is>
      </c>
      <c r="E582" s="4" t="inlineStr">
        <is>
          <t>De acumulación</t>
        </is>
      </c>
      <c r="F582" s="3" t="inlineStr">
        <is>
          <t>unidad</t>
        </is>
      </c>
      <c r="G582" s="3" t="inlineStr">
        <is>
          <t>Instalaciones</t>
        </is>
      </c>
      <c r="H582" s="3" t="inlineStr">
        <is>
          <t>estandar</t>
        </is>
      </c>
      <c r="I582" s="3" t="inlineStr">
        <is>
          <t>importado</t>
        </is>
      </c>
      <c r="J582" s="5" t="n">
        <v>1</v>
      </c>
      <c r="K582" s="6" t="n">
        <v>11717</v>
      </c>
      <c r="L582" s="6" t="n">
        <v>11717</v>
      </c>
      <c r="M582" s="6" t="n">
        <v>11717</v>
      </c>
      <c r="N582" s="3" t="inlineStr">
        <is>
          <t>Sí</t>
        </is>
      </c>
      <c r="O582" s="6">
        <f>IF(K582="","",IF(N582="Sí",ROUND(K582/1.18,2),K582))</f>
        <v/>
      </c>
      <c r="P582" s="3" t="inlineStr">
        <is>
          <t>2026-09-09</t>
        </is>
      </c>
      <c r="Q582" s="4" t="inlineStr">
        <is>
          <t>Ferretería Cima</t>
        </is>
      </c>
      <c r="AF582" s="4" t="inlineStr">
        <is>
          <t>energia: eléctrico · capacidad: 8 galones</t>
        </is>
      </c>
    </row>
    <row r="583">
      <c r="A583" s="3" t="inlineStr">
        <is>
          <t>MAT-09-064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Cisterna de fibra de vidrio de 120 galones</t>
        </is>
      </c>
      <c r="E583" s="4" t="inlineStr"/>
      <c r="F583" s="3" t="inlineStr">
        <is>
          <t>unidad</t>
        </is>
      </c>
      <c r="G583" s="3" t="inlineStr">
        <is>
          <t>Instalaciones</t>
        </is>
      </c>
      <c r="H583" s="3" t="inlineStr">
        <is>
          <t>estandar</t>
        </is>
      </c>
      <c r="I583" s="3" t="inlineStr">
        <is>
          <t>importado</t>
        </is>
      </c>
      <c r="J583" s="5" t="n">
        <v>1</v>
      </c>
      <c r="K583" s="6" t="n">
        <v>17755</v>
      </c>
      <c r="L583" s="6" t="n">
        <v>17755</v>
      </c>
      <c r="M583" s="6" t="n">
        <v>17755</v>
      </c>
      <c r="N583" s="3" t="inlineStr">
        <is>
          <t>Sí</t>
        </is>
      </c>
      <c r="O583" s="6">
        <f>IF(K583="","",IF(N583="Sí",ROUND(K583/1.18,2),K583))</f>
        <v/>
      </c>
      <c r="P583" s="3" t="inlineStr">
        <is>
          <t>2026-09-09</t>
        </is>
      </c>
      <c r="Q583" s="4" t="inlineStr">
        <is>
          <t>Ferretería Cima</t>
        </is>
      </c>
      <c r="AA583" s="7" t="n">
        <v>120</v>
      </c>
      <c r="AF583" s="4" t="inlineStr">
        <is>
          <t>material: fibra de vidrio</t>
        </is>
      </c>
    </row>
    <row r="584">
      <c r="A584" s="3" t="inlineStr">
        <is>
          <t>MAT-09-065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Cisterna de fibra de vidrio de 30 galones</t>
        </is>
      </c>
      <c r="E584" s="4" t="inlineStr"/>
      <c r="F584" s="3" t="inlineStr">
        <is>
          <t>unidad</t>
        </is>
      </c>
      <c r="G584" s="3" t="inlineStr">
        <is>
          <t>Instalaciones</t>
        </is>
      </c>
      <c r="H584" s="3" t="inlineStr">
        <is>
          <t>estandar</t>
        </is>
      </c>
      <c r="I584" s="3" t="inlineStr">
        <is>
          <t>importado</t>
        </is>
      </c>
      <c r="J584" s="5" t="n">
        <v>1</v>
      </c>
      <c r="K584" s="6" t="n">
        <v>5101</v>
      </c>
      <c r="L584" s="6" t="n">
        <v>5101</v>
      </c>
      <c r="M584" s="6" t="n">
        <v>5101</v>
      </c>
      <c r="N584" s="3" t="inlineStr">
        <is>
          <t>Sí</t>
        </is>
      </c>
      <c r="O584" s="6">
        <f>IF(K584="","",IF(N584="Sí",ROUND(K584/1.18,2),K584))</f>
        <v/>
      </c>
      <c r="P584" s="3" t="inlineStr">
        <is>
          <t>2026-09-09</t>
        </is>
      </c>
      <c r="Q584" s="4" t="inlineStr">
        <is>
          <t>Ferretería Cima</t>
        </is>
      </c>
      <c r="AA584" s="7" t="n">
        <v>30</v>
      </c>
      <c r="AF584" s="4" t="inlineStr">
        <is>
          <t>material: fibra de vidrio</t>
        </is>
      </c>
    </row>
    <row r="585">
      <c r="A585" s="3" t="inlineStr">
        <is>
          <t>MAT-09-066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Cisterna de fibra de vidrio de 42 galones</t>
        </is>
      </c>
      <c r="E585" s="4" t="inlineStr"/>
      <c r="F585" s="3" t="inlineStr">
        <is>
          <t>unidad</t>
        </is>
      </c>
      <c r="G585" s="3" t="inlineStr">
        <is>
          <t>Instalaciones</t>
        </is>
      </c>
      <c r="H585" s="3" t="inlineStr">
        <is>
          <t>estandar</t>
        </is>
      </c>
      <c r="I585" s="3" t="inlineStr">
        <is>
          <t>importado</t>
        </is>
      </c>
      <c r="J585" s="5" t="n">
        <v>1</v>
      </c>
      <c r="K585" s="6" t="n">
        <v>10852</v>
      </c>
      <c r="L585" s="6" t="n">
        <v>7487</v>
      </c>
      <c r="M585" s="6" t="n">
        <v>14217</v>
      </c>
      <c r="N585" s="3" t="inlineStr">
        <is>
          <t>Sí</t>
        </is>
      </c>
      <c r="O585" s="6">
        <f>IF(K585="","",IF(N585="Sí",ROUND(K585/1.18,2),K585))</f>
        <v/>
      </c>
      <c r="P585" s="3" t="inlineStr">
        <is>
          <t>2026-09-09</t>
        </is>
      </c>
      <c r="Q585" s="4" t="inlineStr">
        <is>
          <t>Ferretería Cima</t>
        </is>
      </c>
      <c r="AA585" s="7" t="n">
        <v>42</v>
      </c>
      <c r="AF585" s="4" t="inlineStr">
        <is>
          <t>material: fibra de vidrio</t>
        </is>
      </c>
    </row>
    <row r="586">
      <c r="A586" s="3" t="inlineStr">
        <is>
          <t>MAT-09-067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Cisterna de fibra de vidrio de 60 galones</t>
        </is>
      </c>
      <c r="E586" s="4" t="inlineStr"/>
      <c r="F586" s="3" t="inlineStr">
        <is>
          <t>unidad</t>
        </is>
      </c>
      <c r="G586" s="3" t="inlineStr">
        <is>
          <t>Instalaciones</t>
        </is>
      </c>
      <c r="H586" s="3" t="inlineStr">
        <is>
          <t>estandar</t>
        </is>
      </c>
      <c r="I586" s="3" t="inlineStr">
        <is>
          <t>importado</t>
        </is>
      </c>
      <c r="J586" s="5" t="n">
        <v>1</v>
      </c>
      <c r="K586" s="6" t="n">
        <v>12989</v>
      </c>
      <c r="L586" s="6" t="n">
        <v>10496</v>
      </c>
      <c r="M586" s="6" t="n">
        <v>15482</v>
      </c>
      <c r="N586" s="3" t="inlineStr">
        <is>
          <t>Sí</t>
        </is>
      </c>
      <c r="O586" s="6">
        <f>IF(K586="","",IF(N586="Sí",ROUND(K586/1.18,2),K586))</f>
        <v/>
      </c>
      <c r="P586" s="3" t="inlineStr">
        <is>
          <t>2026-09-09</t>
        </is>
      </c>
      <c r="Q586" s="4" t="inlineStr">
        <is>
          <t>Ferretería Cima</t>
        </is>
      </c>
      <c r="AA586" s="7" t="n">
        <v>60</v>
      </c>
      <c r="AF586" s="4" t="inlineStr">
        <is>
          <t>material: fibra de vidrio</t>
        </is>
      </c>
    </row>
    <row r="587">
      <c r="A587" s="3" t="inlineStr">
        <is>
          <t>MAT-09-068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Cisterna de fibra de vidrio de 82 galones</t>
        </is>
      </c>
      <c r="E587" s="4" t="inlineStr"/>
      <c r="F587" s="3" t="inlineStr">
        <is>
          <t>unidad</t>
        </is>
      </c>
      <c r="G587" s="3" t="inlineStr">
        <is>
          <t>Instalaciones</t>
        </is>
      </c>
      <c r="H587" s="3" t="inlineStr">
        <is>
          <t>estandar</t>
        </is>
      </c>
      <c r="I587" s="3" t="inlineStr">
        <is>
          <t>importado</t>
        </is>
      </c>
      <c r="J587" s="5" t="n">
        <v>1</v>
      </c>
      <c r="K587" s="6" t="n">
        <v>9895</v>
      </c>
      <c r="L587" s="6" t="n">
        <v>9895</v>
      </c>
      <c r="M587" s="6" t="n">
        <v>9895</v>
      </c>
      <c r="N587" s="3" t="inlineStr">
        <is>
          <t>Sí</t>
        </is>
      </c>
      <c r="O587" s="6">
        <f>IF(K587="","",IF(N587="Sí",ROUND(K587/1.18,2),K587))</f>
        <v/>
      </c>
      <c r="P587" s="3" t="inlineStr">
        <is>
          <t>2026-09-09</t>
        </is>
      </c>
      <c r="Q587" s="4" t="inlineStr">
        <is>
          <t>Ferretería Cima</t>
        </is>
      </c>
      <c r="AA587" s="7" t="n">
        <v>82</v>
      </c>
      <c r="AF587" s="4" t="inlineStr">
        <is>
          <t>material: fibra de vidrio</t>
        </is>
      </c>
    </row>
    <row r="588">
      <c r="A588" s="3" t="inlineStr">
        <is>
          <t>MAT-09-069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Tinaco de 1000 galones</t>
        </is>
      </c>
      <c r="E588" s="4" t="inlineStr"/>
      <c r="F588" s="3" t="inlineStr">
        <is>
          <t>unidad</t>
        </is>
      </c>
      <c r="G588" s="3" t="inlineStr">
        <is>
          <t>Instalaciones</t>
        </is>
      </c>
      <c r="H588" s="3" t="inlineStr">
        <is>
          <t>estandar</t>
        </is>
      </c>
      <c r="I588" s="3" t="inlineStr">
        <is>
          <t>importado</t>
        </is>
      </c>
      <c r="J588" s="5" t="n">
        <v>1</v>
      </c>
      <c r="K588" s="6" t="n">
        <v>35835</v>
      </c>
      <c r="L588" s="6" t="n">
        <v>35835</v>
      </c>
      <c r="M588" s="6" t="n">
        <v>35835</v>
      </c>
      <c r="N588" s="3" t="inlineStr">
        <is>
          <t>Sí</t>
        </is>
      </c>
      <c r="O588" s="6">
        <f>IF(K588="","",IF(N588="Sí",ROUND(K588/1.18,2),K588))</f>
        <v/>
      </c>
      <c r="P588" s="3" t="inlineStr">
        <is>
          <t>2026-09-10</t>
        </is>
      </c>
      <c r="Q588" s="4" t="inlineStr">
        <is>
          <t>Bellón</t>
        </is>
      </c>
      <c r="AA588" s="7" t="n">
        <v>1000</v>
      </c>
    </row>
    <row r="589">
      <c r="A589" s="3" t="inlineStr">
        <is>
          <t>MAT-09-070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Tinaco de 1100 galones</t>
        </is>
      </c>
      <c r="E589" s="4" t="inlineStr"/>
      <c r="F589" s="3" t="inlineStr">
        <is>
          <t>unidad</t>
        </is>
      </c>
      <c r="G589" s="3" t="inlineStr">
        <is>
          <t>Instalaciones</t>
        </is>
      </c>
      <c r="H589" s="3" t="inlineStr">
        <is>
          <t>estandar</t>
        </is>
      </c>
      <c r="I589" s="3" t="inlineStr">
        <is>
          <t>importado</t>
        </is>
      </c>
      <c r="J589" s="5" t="n">
        <v>1</v>
      </c>
      <c r="K589" s="6" t="n">
        <v>41115</v>
      </c>
      <c r="L589" s="6" t="n">
        <v>41115</v>
      </c>
      <c r="M589" s="6" t="n">
        <v>41115</v>
      </c>
      <c r="N589" s="3" t="inlineStr">
        <is>
          <t>Sí</t>
        </is>
      </c>
      <c r="O589" s="6">
        <f>IF(K589="","",IF(N589="Sí",ROUND(K589/1.18,2),K589))</f>
        <v/>
      </c>
      <c r="P589" s="3" t="inlineStr">
        <is>
          <t>2026-09-09</t>
        </is>
      </c>
      <c r="Q589" s="4" t="inlineStr">
        <is>
          <t>Max Ferretería</t>
        </is>
      </c>
      <c r="AA589" s="7" t="n">
        <v>1100</v>
      </c>
    </row>
    <row r="590">
      <c r="A590" s="3" t="inlineStr">
        <is>
          <t>MAT-09-071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Tinaco de 145 galones</t>
        </is>
      </c>
      <c r="E590" s="4" t="inlineStr"/>
      <c r="F590" s="3" t="inlineStr">
        <is>
          <t>unidad</t>
        </is>
      </c>
      <c r="G590" s="3" t="inlineStr">
        <is>
          <t>Instalaciones</t>
        </is>
      </c>
      <c r="H590" s="3" t="inlineStr">
        <is>
          <t>estandar</t>
        </is>
      </c>
      <c r="I590" s="3" t="inlineStr">
        <is>
          <t>importado</t>
        </is>
      </c>
      <c r="J590" s="5" t="n">
        <v>2</v>
      </c>
      <c r="K590" s="6" t="n">
        <v>5385</v>
      </c>
      <c r="L590" s="6" t="n">
        <v>4990</v>
      </c>
      <c r="M590" s="6" t="n">
        <v>5880</v>
      </c>
      <c r="N590" s="3" t="inlineStr">
        <is>
          <t>Sí</t>
        </is>
      </c>
      <c r="O590" s="6">
        <f>IF(K590="","",IF(N590="Sí",ROUND(K590/1.18,2),K590))</f>
        <v/>
      </c>
      <c r="P590" s="3" t="inlineStr">
        <is>
          <t>2026-09-10</t>
        </is>
      </c>
      <c r="Q590" s="4" t="inlineStr">
        <is>
          <t>Bellón · Max Ferretería</t>
        </is>
      </c>
      <c r="AA590" s="7" t="n">
        <v>145</v>
      </c>
    </row>
    <row r="591">
      <c r="A591" s="3" t="inlineStr">
        <is>
          <t>MAT-09-072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Tinaco de 200 galones</t>
        </is>
      </c>
      <c r="E591" s="4" t="inlineStr"/>
      <c r="F591" s="3" t="inlineStr">
        <is>
          <t>unidad</t>
        </is>
      </c>
      <c r="G591" s="3" t="inlineStr">
        <is>
          <t>Instalaciones</t>
        </is>
      </c>
      <c r="H591" s="3" t="inlineStr">
        <is>
          <t>estandar</t>
        </is>
      </c>
      <c r="I591" s="3" t="inlineStr">
        <is>
          <t>importado</t>
        </is>
      </c>
      <c r="J591" s="5" t="n">
        <v>1</v>
      </c>
      <c r="K591" s="6" t="n">
        <v>10469.3</v>
      </c>
      <c r="L591" s="6" t="n">
        <v>10469.3</v>
      </c>
      <c r="M591" s="6" t="n">
        <v>10469.3</v>
      </c>
      <c r="N591" s="3" t="inlineStr">
        <is>
          <t>Sí</t>
        </is>
      </c>
      <c r="O591" s="6">
        <f>IF(K591="","",IF(N591="Sí",ROUND(K591/1.18,2),K591))</f>
        <v/>
      </c>
      <c r="P591" s="3" t="inlineStr">
        <is>
          <t>2026-09-09</t>
        </is>
      </c>
      <c r="Q591" s="4" t="inlineStr">
        <is>
          <t>Max Ferretería</t>
        </is>
      </c>
      <c r="AA591" s="7" t="n">
        <v>200</v>
      </c>
    </row>
    <row r="592">
      <c r="A592" s="3" t="inlineStr">
        <is>
          <t>MAT-09-073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Tinaco de 215 galones</t>
        </is>
      </c>
      <c r="E592" s="4" t="inlineStr"/>
      <c r="F592" s="3" t="inlineStr">
        <is>
          <t>unidad</t>
        </is>
      </c>
      <c r="G592" s="3" t="inlineStr">
        <is>
          <t>Instalaciones</t>
        </is>
      </c>
      <c r="H592" s="3" t="inlineStr">
        <is>
          <t>estandar</t>
        </is>
      </c>
      <c r="I592" s="3" t="inlineStr">
        <is>
          <t>importado</t>
        </is>
      </c>
      <c r="J592" s="5" t="n">
        <v>1</v>
      </c>
      <c r="K592" s="6" t="n">
        <v>6325</v>
      </c>
      <c r="L592" s="6" t="n">
        <v>6325</v>
      </c>
      <c r="M592" s="6" t="n">
        <v>6325</v>
      </c>
      <c r="N592" s="3" t="inlineStr">
        <is>
          <t>Sí</t>
        </is>
      </c>
      <c r="O592" s="6">
        <f>IF(K592="","",IF(N592="Sí",ROUND(K592/1.18,2),K592))</f>
        <v/>
      </c>
      <c r="P592" s="3" t="inlineStr">
        <is>
          <t>2026-09-10</t>
        </is>
      </c>
      <c r="Q592" s="4" t="inlineStr">
        <is>
          <t>Bellón</t>
        </is>
      </c>
      <c r="AA592" s="7" t="n">
        <v>215</v>
      </c>
    </row>
    <row r="593">
      <c r="A593" s="3" t="inlineStr">
        <is>
          <t>MAT-09-074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Tinaco de 250 galones</t>
        </is>
      </c>
      <c r="E593" s="4" t="inlineStr"/>
      <c r="F593" s="3" t="inlineStr">
        <is>
          <t>unidad</t>
        </is>
      </c>
      <c r="G593" s="3" t="inlineStr">
        <is>
          <t>Instalaciones</t>
        </is>
      </c>
      <c r="H593" s="3" t="inlineStr">
        <is>
          <t>estandar</t>
        </is>
      </c>
      <c r="I593" s="3" t="inlineStr">
        <is>
          <t>importado</t>
        </is>
      </c>
      <c r="J593" s="5" t="n">
        <v>1</v>
      </c>
      <c r="K593" s="6" t="n">
        <v>7125</v>
      </c>
      <c r="L593" s="6" t="n">
        <v>7125</v>
      </c>
      <c r="M593" s="6" t="n">
        <v>7125</v>
      </c>
      <c r="N593" s="3" t="inlineStr">
        <is>
          <t>Sí</t>
        </is>
      </c>
      <c r="O593" s="6">
        <f>IF(K593="","",IF(N593="Sí",ROUND(K593/1.18,2),K593))</f>
        <v/>
      </c>
      <c r="P593" s="3" t="inlineStr">
        <is>
          <t>2026-09-10</t>
        </is>
      </c>
      <c r="Q593" s="4" t="inlineStr">
        <is>
          <t>Bellón</t>
        </is>
      </c>
      <c r="AA593" s="7" t="n">
        <v>250</v>
      </c>
    </row>
    <row r="594">
      <c r="A594" s="3" t="inlineStr">
        <is>
          <t>MAT-09-075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Tinaco de 255 galones</t>
        </is>
      </c>
      <c r="E594" s="4" t="inlineStr"/>
      <c r="F594" s="3" t="inlineStr">
        <is>
          <t>unidad</t>
        </is>
      </c>
      <c r="G594" s="3" t="inlineStr">
        <is>
          <t>Instalaciones</t>
        </is>
      </c>
      <c r="H594" s="3" t="inlineStr">
        <is>
          <t>estandar</t>
        </is>
      </c>
      <c r="I594" s="3" t="inlineStr">
        <is>
          <t>importado</t>
        </is>
      </c>
      <c r="J594" s="5" t="n">
        <v>2</v>
      </c>
      <c r="K594" s="6" t="n">
        <v>8019.5</v>
      </c>
      <c r="L594" s="6" t="n">
        <v>7664</v>
      </c>
      <c r="M594" s="6" t="n">
        <v>8375</v>
      </c>
      <c r="N594" s="3" t="inlineStr">
        <is>
          <t>Sí</t>
        </is>
      </c>
      <c r="O594" s="6">
        <f>IF(K594="","",IF(N594="Sí",ROUND(K594/1.18,2),K594))</f>
        <v/>
      </c>
      <c r="P594" s="3" t="inlineStr">
        <is>
          <t>2026-09-10</t>
        </is>
      </c>
      <c r="Q594" s="4" t="inlineStr">
        <is>
          <t>Bellón · Ferremix (Grupo Alterra)</t>
        </is>
      </c>
      <c r="AA594" s="7" t="n">
        <v>255</v>
      </c>
    </row>
    <row r="595">
      <c r="A595" s="3" t="inlineStr">
        <is>
          <t>MAT-09-076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Tinaco de 265 galones</t>
        </is>
      </c>
      <c r="E595" s="4" t="inlineStr"/>
      <c r="F595" s="3" t="inlineStr">
        <is>
          <t>unidad</t>
        </is>
      </c>
      <c r="G595" s="3" t="inlineStr">
        <is>
          <t>Instalaciones</t>
        </is>
      </c>
      <c r="H595" s="3" t="inlineStr">
        <is>
          <t>estandar</t>
        </is>
      </c>
      <c r="I595" s="3" t="inlineStr">
        <is>
          <t>importado</t>
        </is>
      </c>
      <c r="J595" s="5" t="n">
        <v>3</v>
      </c>
      <c r="K595" s="6" t="n">
        <v>8585</v>
      </c>
      <c r="L595" s="6" t="n">
        <v>8050</v>
      </c>
      <c r="M595" s="6" t="n">
        <v>9555</v>
      </c>
      <c r="N595" s="3" t="inlineStr">
        <is>
          <t>Sí</t>
        </is>
      </c>
      <c r="O595" s="6">
        <f>IF(K595="","",IF(N595="Sí",ROUND(K595/1.18,2),K595))</f>
        <v/>
      </c>
      <c r="P595" s="3" t="inlineStr">
        <is>
          <t>2026-09-10</t>
        </is>
      </c>
      <c r="Q595" s="4" t="inlineStr">
        <is>
          <t>Bellón · Ferretería Cima · Max Ferretería</t>
        </is>
      </c>
      <c r="AA595" s="7" t="n">
        <v>265</v>
      </c>
    </row>
    <row r="596">
      <c r="A596" s="3" t="inlineStr">
        <is>
          <t>MAT-09-077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Tinaco de 295 galones</t>
        </is>
      </c>
      <c r="E596" s="4" t="inlineStr"/>
      <c r="F596" s="3" t="inlineStr">
        <is>
          <t>unidad</t>
        </is>
      </c>
      <c r="G596" s="3" t="inlineStr">
        <is>
          <t>Instalaciones</t>
        </is>
      </c>
      <c r="H596" s="3" t="inlineStr">
        <is>
          <t>estandar</t>
        </is>
      </c>
      <c r="I596" s="3" t="inlineStr">
        <is>
          <t>importado</t>
        </is>
      </c>
      <c r="J596" s="5" t="n">
        <v>1</v>
      </c>
      <c r="K596" s="6" t="n">
        <v>8105</v>
      </c>
      <c r="L596" s="6" t="n">
        <v>8105</v>
      </c>
      <c r="M596" s="6" t="n">
        <v>8105</v>
      </c>
      <c r="N596" s="3" t="inlineStr">
        <is>
          <t>Sí</t>
        </is>
      </c>
      <c r="O596" s="6">
        <f>IF(K596="","",IF(N596="Sí",ROUND(K596/1.18,2),K596))</f>
        <v/>
      </c>
      <c r="P596" s="3" t="inlineStr">
        <is>
          <t>2026-09-10</t>
        </is>
      </c>
      <c r="Q596" s="4" t="inlineStr">
        <is>
          <t>Bellón</t>
        </is>
      </c>
      <c r="AA596" s="7" t="n">
        <v>295</v>
      </c>
    </row>
    <row r="597">
      <c r="A597" s="3" t="inlineStr">
        <is>
          <t>MAT-09-078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Tinaco de 300 galones</t>
        </is>
      </c>
      <c r="E597" s="4" t="inlineStr"/>
      <c r="F597" s="3" t="inlineStr">
        <is>
          <t>unidad</t>
        </is>
      </c>
      <c r="G597" s="3" t="inlineStr">
        <is>
          <t>Instalaciones</t>
        </is>
      </c>
      <c r="H597" s="3" t="inlineStr">
        <is>
          <t>estandar</t>
        </is>
      </c>
      <c r="I597" s="3" t="inlineStr">
        <is>
          <t>importado</t>
        </is>
      </c>
      <c r="J597" s="5" t="n">
        <v>2</v>
      </c>
      <c r="K597" s="6" t="n">
        <v>9660</v>
      </c>
      <c r="L597" s="6" t="n">
        <v>7995</v>
      </c>
      <c r="M597" s="6" t="n">
        <v>10080</v>
      </c>
      <c r="N597" s="3" t="inlineStr">
        <is>
          <t>Sí</t>
        </is>
      </c>
      <c r="O597" s="6">
        <f>IF(K597="","",IF(N597="Sí",ROUND(K597/1.18,2),K597))</f>
        <v/>
      </c>
      <c r="P597" s="3" t="inlineStr">
        <is>
          <t>2026-09-10</t>
        </is>
      </c>
      <c r="Q597" s="4" t="inlineStr">
        <is>
          <t>Bellón · Max Ferretería</t>
        </is>
      </c>
      <c r="AA597" s="7" t="n">
        <v>300</v>
      </c>
    </row>
    <row r="598">
      <c r="A598" s="3" t="inlineStr">
        <is>
          <t>MAT-09-079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Tinaco de 350 galones</t>
        </is>
      </c>
      <c r="E598" s="4" t="inlineStr"/>
      <c r="F598" s="3" t="inlineStr">
        <is>
          <t>unidad</t>
        </is>
      </c>
      <c r="G598" s="3" t="inlineStr">
        <is>
          <t>Instalaciones</t>
        </is>
      </c>
      <c r="H598" s="3" t="inlineStr">
        <is>
          <t>estandar</t>
        </is>
      </c>
      <c r="I598" s="3" t="inlineStr">
        <is>
          <t>importado</t>
        </is>
      </c>
      <c r="J598" s="5" t="n">
        <v>1</v>
      </c>
      <c r="K598" s="6" t="n">
        <v>9335</v>
      </c>
      <c r="L598" s="6" t="n">
        <v>9335</v>
      </c>
      <c r="M598" s="6" t="n">
        <v>9335</v>
      </c>
      <c r="N598" s="3" t="inlineStr">
        <is>
          <t>Sí</t>
        </is>
      </c>
      <c r="O598" s="6">
        <f>IF(K598="","",IF(N598="Sí",ROUND(K598/1.18,2),K598))</f>
        <v/>
      </c>
      <c r="P598" s="3" t="inlineStr">
        <is>
          <t>2026-09-10</t>
        </is>
      </c>
      <c r="Q598" s="4" t="inlineStr">
        <is>
          <t>Bellón</t>
        </is>
      </c>
      <c r="AA598" s="7" t="n">
        <v>350</v>
      </c>
    </row>
    <row r="599">
      <c r="A599" s="3" t="inlineStr">
        <is>
          <t>MAT-09-080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Tinaco de 400 galones</t>
        </is>
      </c>
      <c r="E599" s="4" t="inlineStr"/>
      <c r="F599" s="3" t="inlineStr">
        <is>
          <t>unidad</t>
        </is>
      </c>
      <c r="G599" s="3" t="inlineStr">
        <is>
          <t>Instalaciones</t>
        </is>
      </c>
      <c r="H599" s="3" t="inlineStr">
        <is>
          <t>estandar</t>
        </is>
      </c>
      <c r="I599" s="3" t="inlineStr">
        <is>
          <t>importado</t>
        </is>
      </c>
      <c r="J599" s="5" t="n">
        <v>2</v>
      </c>
      <c r="K599" s="6" t="n">
        <v>13140</v>
      </c>
      <c r="L599" s="6" t="n">
        <v>12125</v>
      </c>
      <c r="M599" s="6" t="n">
        <v>13300</v>
      </c>
      <c r="N599" s="3" t="inlineStr">
        <is>
          <t>Sí</t>
        </is>
      </c>
      <c r="O599" s="6">
        <f>IF(K599="","",IF(N599="Sí",ROUND(K599/1.18,2),K599))</f>
        <v/>
      </c>
      <c r="P599" s="3" t="inlineStr">
        <is>
          <t>2026-09-10</t>
        </is>
      </c>
      <c r="Q599" s="4" t="inlineStr">
        <is>
          <t>Bellón · Max Ferretería</t>
        </is>
      </c>
      <c r="AA599" s="7" t="n">
        <v>400</v>
      </c>
    </row>
    <row r="600">
      <c r="A600" s="3" t="inlineStr">
        <is>
          <t>MAT-09-081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Tinaco de 500 galones</t>
        </is>
      </c>
      <c r="E600" s="4" t="inlineStr"/>
      <c r="F600" s="3" t="inlineStr">
        <is>
          <t>unidad</t>
        </is>
      </c>
      <c r="G600" s="3" t="inlineStr">
        <is>
          <t>Instalaciones</t>
        </is>
      </c>
      <c r="H600" s="3" t="inlineStr">
        <is>
          <t>estandar</t>
        </is>
      </c>
      <c r="I600" s="3" t="inlineStr">
        <is>
          <t>importado</t>
        </is>
      </c>
      <c r="J600" s="5" t="n">
        <v>1</v>
      </c>
      <c r="K600" s="6" t="n">
        <v>12940</v>
      </c>
      <c r="L600" s="6" t="n">
        <v>12940</v>
      </c>
      <c r="M600" s="6" t="n">
        <v>12940</v>
      </c>
      <c r="N600" s="3" t="inlineStr">
        <is>
          <t>Sí</t>
        </is>
      </c>
      <c r="O600" s="6">
        <f>IF(K600="","",IF(N600="Sí",ROUND(K600/1.18,2),K600))</f>
        <v/>
      </c>
      <c r="P600" s="3" t="inlineStr">
        <is>
          <t>2026-09-10</t>
        </is>
      </c>
      <c r="Q600" s="4" t="inlineStr">
        <is>
          <t>Bellón</t>
        </is>
      </c>
      <c r="AA600" s="7" t="n">
        <v>500</v>
      </c>
    </row>
    <row r="601">
      <c r="A601" s="3" t="inlineStr">
        <is>
          <t>MAT-09-082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Tinaco de 5000 galones</t>
        </is>
      </c>
      <c r="E601" s="4" t="inlineStr"/>
      <c r="F601" s="3" t="inlineStr">
        <is>
          <t>unidad</t>
        </is>
      </c>
      <c r="G601" s="3" t="inlineStr">
        <is>
          <t>Instalaciones</t>
        </is>
      </c>
      <c r="H601" s="3" t="inlineStr">
        <is>
          <t>estandar</t>
        </is>
      </c>
      <c r="I601" s="3" t="inlineStr">
        <is>
          <t>importado</t>
        </is>
      </c>
      <c r="J601" s="5" t="n">
        <v>1</v>
      </c>
      <c r="K601" s="6" t="n">
        <v>292790</v>
      </c>
      <c r="L601" s="6" t="n">
        <v>292790</v>
      </c>
      <c r="M601" s="6" t="n">
        <v>292790</v>
      </c>
      <c r="N601" s="3" t="inlineStr">
        <is>
          <t>Sí</t>
        </is>
      </c>
      <c r="O601" s="6">
        <f>IF(K601="","",IF(N601="Sí",ROUND(K601/1.18,2),K601))</f>
        <v/>
      </c>
      <c r="P601" s="3" t="inlineStr">
        <is>
          <t>2026-09-10</t>
        </is>
      </c>
      <c r="Q601" s="4" t="inlineStr">
        <is>
          <t>Bellón</t>
        </is>
      </c>
      <c r="AA601" s="7" t="n">
        <v>5000</v>
      </c>
    </row>
    <row r="602">
      <c r="A602" s="3" t="inlineStr">
        <is>
          <t>MAT-09-083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Tinaco de 530 galones</t>
        </is>
      </c>
      <c r="E602" s="4" t="inlineStr"/>
      <c r="F602" s="3" t="inlineStr">
        <is>
          <t>unidad</t>
        </is>
      </c>
      <c r="G602" s="3" t="inlineStr">
        <is>
          <t>Instalaciones</t>
        </is>
      </c>
      <c r="H602" s="3" t="inlineStr">
        <is>
          <t>estandar</t>
        </is>
      </c>
      <c r="I602" s="3" t="inlineStr">
        <is>
          <t>importado</t>
        </is>
      </c>
      <c r="J602" s="5" t="n">
        <v>3</v>
      </c>
      <c r="K602" s="6" t="n">
        <v>15223.23</v>
      </c>
      <c r="L602" s="6" t="n">
        <v>14980</v>
      </c>
      <c r="M602" s="6" t="n">
        <v>18535</v>
      </c>
      <c r="N602" s="3" t="inlineStr">
        <is>
          <t>Sí</t>
        </is>
      </c>
      <c r="O602" s="6">
        <f>IF(K602="","",IF(N602="Sí",ROUND(K602/1.18,2),K602))</f>
        <v/>
      </c>
      <c r="P602" s="3" t="inlineStr">
        <is>
          <t>2026-09-10</t>
        </is>
      </c>
      <c r="Q602" s="4" t="inlineStr">
        <is>
          <t>Bellón · Ferretería Cima · Max Ferretería</t>
        </is>
      </c>
      <c r="AA602" s="7" t="n">
        <v>530</v>
      </c>
    </row>
    <row r="603">
      <c r="A603" s="3" t="inlineStr">
        <is>
          <t>MAT-09-085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Tapa de cisterna de aluminio 24 x 24 pulgadas</t>
        </is>
      </c>
      <c r="E603" s="4" t="inlineStr"/>
      <c r="F603" s="3" t="inlineStr">
        <is>
          <t>unidad</t>
        </is>
      </c>
      <c r="G603" s="3" t="inlineStr">
        <is>
          <t>Instalaciones</t>
        </is>
      </c>
      <c r="H603" s="3" t="inlineStr">
        <is>
          <t>estandar</t>
        </is>
      </c>
      <c r="I603" s="3" t="inlineStr">
        <is>
          <t>importado</t>
        </is>
      </c>
      <c r="J603" s="5" t="n">
        <v>2</v>
      </c>
      <c r="K603" s="6" t="n">
        <v>3554</v>
      </c>
      <c r="L603" s="6" t="n">
        <v>3313</v>
      </c>
      <c r="M603" s="6" t="n">
        <v>3795</v>
      </c>
      <c r="N603" s="3" t="inlineStr">
        <is>
          <t>Sí</t>
        </is>
      </c>
      <c r="O603" s="6">
        <f>IF(K603="","",IF(N603="Sí",ROUND(K603/1.18,2),K603))</f>
        <v/>
      </c>
      <c r="P603" s="3" t="inlineStr">
        <is>
          <t>2026-09-09</t>
        </is>
      </c>
      <c r="Q603" s="4" t="inlineStr">
        <is>
          <t>Ferretería Cima · Max Ferretería</t>
        </is>
      </c>
      <c r="AF603" s="4" t="inlineStr">
        <is>
          <t>material: aluminio · medida: 24 x 24 pulgadas</t>
        </is>
      </c>
    </row>
    <row r="604">
      <c r="A604" s="3" t="inlineStr">
        <is>
          <t>MAT-09-086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Tapa de cisterna de aluminio 30 x 30 pulgadas</t>
        </is>
      </c>
      <c r="E604" s="4" t="inlineStr"/>
      <c r="F604" s="3" t="inlineStr">
        <is>
          <t>unidad</t>
        </is>
      </c>
      <c r="G604" s="3" t="inlineStr">
        <is>
          <t>Instalaciones</t>
        </is>
      </c>
      <c r="H604" s="3" t="inlineStr">
        <is>
          <t>estandar</t>
        </is>
      </c>
      <c r="I604" s="3" t="inlineStr">
        <is>
          <t>importado</t>
        </is>
      </c>
      <c r="J604" s="5" t="n">
        <v>2</v>
      </c>
      <c r="K604" s="6" t="n">
        <v>4624</v>
      </c>
      <c r="L604" s="6" t="n">
        <v>4503</v>
      </c>
      <c r="M604" s="6" t="n">
        <v>4745</v>
      </c>
      <c r="N604" s="3" t="inlineStr">
        <is>
          <t>Sí</t>
        </is>
      </c>
      <c r="O604" s="6">
        <f>IF(K604="","",IF(N604="Sí",ROUND(K604/1.18,2),K604))</f>
        <v/>
      </c>
      <c r="P604" s="3" t="inlineStr">
        <is>
          <t>2026-09-09</t>
        </is>
      </c>
      <c r="Q604" s="4" t="inlineStr">
        <is>
          <t>Ferretería Cima · Max Ferretería</t>
        </is>
      </c>
      <c r="AF604" s="4" t="inlineStr">
        <is>
          <t>material: aluminio · medida: 30 x 30 pulgadas</t>
        </is>
      </c>
    </row>
    <row r="605">
      <c r="A605" s="3" t="inlineStr">
        <is>
          <t>MAT-09-087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Tapa de cisterna de aluminio 33 x 33 pulgadas</t>
        </is>
      </c>
      <c r="E605" s="4" t="inlineStr"/>
      <c r="F605" s="3" t="inlineStr">
        <is>
          <t>unidad</t>
        </is>
      </c>
      <c r="G605" s="3" t="inlineStr">
        <is>
          <t>Instalaciones</t>
        </is>
      </c>
      <c r="H605" s="3" t="inlineStr">
        <is>
          <t>estandar</t>
        </is>
      </c>
      <c r="I605" s="3" t="inlineStr">
        <is>
          <t>importado</t>
        </is>
      </c>
      <c r="J605" s="5" t="n">
        <v>1</v>
      </c>
      <c r="K605" s="6" t="n">
        <v>3995</v>
      </c>
      <c r="L605" s="6" t="n">
        <v>3995</v>
      </c>
      <c r="M605" s="6" t="n">
        <v>3995</v>
      </c>
      <c r="N605" s="3" t="inlineStr">
        <is>
          <t>Sí</t>
        </is>
      </c>
      <c r="O605" s="6">
        <f>IF(K605="","",IF(N605="Sí",ROUND(K605/1.18,2),K605))</f>
        <v/>
      </c>
      <c r="P605" s="3" t="inlineStr">
        <is>
          <t>2026-09-09</t>
        </is>
      </c>
      <c r="Q605" s="4" t="inlineStr">
        <is>
          <t>Ferretería Cima</t>
        </is>
      </c>
      <c r="AF605" s="4" t="inlineStr">
        <is>
          <t>material: aluminio · medida: 33 x 33 pulgadas</t>
        </is>
      </c>
    </row>
    <row r="606">
      <c r="A606" s="3" t="inlineStr">
        <is>
          <t>MAT-09-088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Boya para válvula de cisterna, 120 mm</t>
        </is>
      </c>
      <c r="E606" s="4" t="inlineStr"/>
      <c r="F606" s="3" t="inlineStr">
        <is>
          <t>unidad</t>
        </is>
      </c>
      <c r="G606" s="3" t="inlineStr">
        <is>
          <t>Instalaciones</t>
        </is>
      </c>
      <c r="H606" s="3" t="inlineStr">
        <is>
          <t>estandar</t>
        </is>
      </c>
      <c r="I606" s="3" t="inlineStr">
        <is>
          <t>importado</t>
        </is>
      </c>
      <c r="J606" s="5" t="n">
        <v>1</v>
      </c>
      <c r="K606" s="6" t="n">
        <v>295</v>
      </c>
      <c r="L606" s="6" t="n">
        <v>295</v>
      </c>
      <c r="M606" s="6" t="n">
        <v>295</v>
      </c>
      <c r="N606" s="3" t="inlineStr">
        <is>
          <t>Sí</t>
        </is>
      </c>
      <c r="O606" s="6">
        <f>IF(K606="","",IF(N606="Sí",ROUND(K606/1.18,2),K606))</f>
        <v/>
      </c>
      <c r="P606" s="3" t="inlineStr">
        <is>
          <t>2026-09-09</t>
        </is>
      </c>
      <c r="Q606" s="4" t="inlineStr">
        <is>
          <t>Ferretería Cima</t>
        </is>
      </c>
      <c r="AF606" s="4" t="inlineStr">
        <is>
          <t>medida_mm: 120</t>
        </is>
      </c>
    </row>
    <row r="607">
      <c r="A607" s="3" t="inlineStr">
        <is>
          <t>MAT-09-089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Boya para válvula de cisterna, 150 mm</t>
        </is>
      </c>
      <c r="E607" s="4" t="inlineStr"/>
      <c r="F607" s="3" t="inlineStr">
        <is>
          <t>unidad</t>
        </is>
      </c>
      <c r="G607" s="3" t="inlineStr">
        <is>
          <t>Instalaciones</t>
        </is>
      </c>
      <c r="H607" s="3" t="inlineStr">
        <is>
          <t>estandar</t>
        </is>
      </c>
      <c r="I607" s="3" t="inlineStr">
        <is>
          <t>importado</t>
        </is>
      </c>
      <c r="J607" s="5" t="n">
        <v>1</v>
      </c>
      <c r="K607" s="6" t="n">
        <v>375</v>
      </c>
      <c r="L607" s="6" t="n">
        <v>375</v>
      </c>
      <c r="M607" s="6" t="n">
        <v>375</v>
      </c>
      <c r="N607" s="3" t="inlineStr">
        <is>
          <t>Sí</t>
        </is>
      </c>
      <c r="O607" s="6">
        <f>IF(K607="","",IF(N607="Sí",ROUND(K607/1.18,2),K607))</f>
        <v/>
      </c>
      <c r="P607" s="3" t="inlineStr">
        <is>
          <t>2026-09-09</t>
        </is>
      </c>
      <c r="Q607" s="4" t="inlineStr">
        <is>
          <t>Ferretería Cima</t>
        </is>
      </c>
      <c r="AF607" s="4" t="inlineStr">
        <is>
          <t>medida_mm: 150</t>
        </is>
      </c>
    </row>
    <row r="608">
      <c r="A608" s="3" t="inlineStr">
        <is>
          <t>MAT-09-090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Boya para válvula de cisterna, 90 mm</t>
        </is>
      </c>
      <c r="E608" s="4" t="inlineStr"/>
      <c r="F608" s="3" t="inlineStr">
        <is>
          <t>unidad</t>
        </is>
      </c>
      <c r="G608" s="3" t="inlineStr">
        <is>
          <t>Instalaciones</t>
        </is>
      </c>
      <c r="H608" s="3" t="inlineStr">
        <is>
          <t>estandar</t>
        </is>
      </c>
      <c r="I608" s="3" t="inlineStr">
        <is>
          <t>importado</t>
        </is>
      </c>
      <c r="J608" s="5" t="n">
        <v>1</v>
      </c>
      <c r="K608" s="6" t="n">
        <v>160</v>
      </c>
      <c r="L608" s="6" t="n">
        <v>160</v>
      </c>
      <c r="M608" s="6" t="n">
        <v>160</v>
      </c>
      <c r="N608" s="3" t="inlineStr">
        <is>
          <t>Sí</t>
        </is>
      </c>
      <c r="O608" s="6">
        <f>IF(K608="","",IF(N608="Sí",ROUND(K608/1.18,2),K608))</f>
        <v/>
      </c>
      <c r="P608" s="3" t="inlineStr">
        <is>
          <t>2026-09-09</t>
        </is>
      </c>
      <c r="Q608" s="4" t="inlineStr">
        <is>
          <t>Ferretería Cima</t>
        </is>
      </c>
      <c r="AF608" s="4" t="inlineStr">
        <is>
          <t>medida_mm: 90</t>
        </is>
      </c>
    </row>
    <row r="609">
      <c r="A609" s="3" t="inlineStr">
        <is>
          <t>MAT-09-091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Fregadero de un pozo, 10 x 9 pulgadas</t>
        </is>
      </c>
      <c r="E609" s="4" t="inlineStr"/>
      <c r="F609" s="3" t="inlineStr">
        <is>
          <t>unidad</t>
        </is>
      </c>
      <c r="G609" s="3" t="inlineStr">
        <is>
          <t>Instalaciones</t>
        </is>
      </c>
      <c r="H609" s="3" t="inlineStr">
        <is>
          <t>estandar</t>
        </is>
      </c>
      <c r="I609" s="3" t="inlineStr">
        <is>
          <t>importado</t>
        </is>
      </c>
      <c r="J609" s="5" t="n">
        <v>1</v>
      </c>
      <c r="K609" s="6" t="n">
        <v>4000</v>
      </c>
      <c r="L609" s="6" t="n">
        <v>4000</v>
      </c>
      <c r="M609" s="6" t="n">
        <v>4000</v>
      </c>
      <c r="N609" s="3" t="inlineStr">
        <is>
          <t>Sí</t>
        </is>
      </c>
      <c r="O609" s="6">
        <f>IF(K609="","",IF(N609="Sí",ROUND(K609/1.18,2),K609))</f>
        <v/>
      </c>
      <c r="P609" s="3" t="inlineStr">
        <is>
          <t>2026-09-10</t>
        </is>
      </c>
      <c r="Q609" s="4" t="inlineStr">
        <is>
          <t>La Ibérica</t>
        </is>
      </c>
      <c r="AF609" s="4" t="inlineStr">
        <is>
          <t>pozos: 1 · medida: 10 x 9 pulgadas</t>
        </is>
      </c>
    </row>
    <row r="610">
      <c r="A610" s="3" t="inlineStr">
        <is>
          <t>MAT-09-092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Fregadero de un pozo, 15 x 15 pulgadas</t>
        </is>
      </c>
      <c r="E610" s="4" t="inlineStr"/>
      <c r="F610" s="3" t="inlineStr">
        <is>
          <t>unidad</t>
        </is>
      </c>
      <c r="G610" s="3" t="inlineStr">
        <is>
          <t>Instalaciones</t>
        </is>
      </c>
      <c r="H610" s="3" t="inlineStr">
        <is>
          <t>estandar</t>
        </is>
      </c>
      <c r="I610" s="3" t="inlineStr">
        <is>
          <t>importado</t>
        </is>
      </c>
      <c r="J610" s="5" t="n">
        <v>1</v>
      </c>
      <c r="K610" s="6" t="n">
        <v>1425</v>
      </c>
      <c r="L610" s="6" t="n">
        <v>1425</v>
      </c>
      <c r="M610" s="6" t="n">
        <v>1425</v>
      </c>
      <c r="N610" s="3" t="inlineStr">
        <is>
          <t>Sí</t>
        </is>
      </c>
      <c r="O610" s="6">
        <f>IF(K610="","",IF(N610="Sí",ROUND(K610/1.18,2),K610))</f>
        <v/>
      </c>
      <c r="P610" s="3" t="inlineStr">
        <is>
          <t>2026-09-09</t>
        </is>
      </c>
      <c r="Q610" s="4" t="inlineStr">
        <is>
          <t>Ferretería Cima</t>
        </is>
      </c>
      <c r="AF610" s="4" t="inlineStr">
        <is>
          <t>pozos: 1 · medida: 15 x 15 pulgadas</t>
        </is>
      </c>
    </row>
    <row r="611">
      <c r="A611" s="3" t="inlineStr">
        <is>
          <t>MAT-09-093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Fregadero de un pozo, 16 x 13 pulgadas</t>
        </is>
      </c>
      <c r="E611" s="4" t="inlineStr"/>
      <c r="F611" s="3" t="inlineStr">
        <is>
          <t>unidad</t>
        </is>
      </c>
      <c r="G611" s="3" t="inlineStr">
        <is>
          <t>Instalaciones</t>
        </is>
      </c>
      <c r="H611" s="3" t="inlineStr">
        <is>
          <t>estandar</t>
        </is>
      </c>
      <c r="I611" s="3" t="inlineStr">
        <is>
          <t>importado</t>
        </is>
      </c>
      <c r="J611" s="5" t="n">
        <v>1</v>
      </c>
      <c r="K611" s="6" t="n">
        <v>3262.23</v>
      </c>
      <c r="L611" s="6" t="n">
        <v>3262.23</v>
      </c>
      <c r="M611" s="6" t="n">
        <v>3262.23</v>
      </c>
      <c r="N611" s="3" t="inlineStr">
        <is>
          <t>Sí</t>
        </is>
      </c>
      <c r="O611" s="6">
        <f>IF(K611="","",IF(N611="Sí",ROUND(K611/1.18,2),K611))</f>
        <v/>
      </c>
      <c r="P611" s="3" t="inlineStr">
        <is>
          <t>2026-09-10</t>
        </is>
      </c>
      <c r="Q611" s="4" t="inlineStr">
        <is>
          <t>CerArte</t>
        </is>
      </c>
      <c r="AF611" s="4" t="inlineStr">
        <is>
          <t>pozos: 1 · medida: 16 x 13 pulgadas</t>
        </is>
      </c>
    </row>
    <row r="612">
      <c r="A612" s="3" t="inlineStr">
        <is>
          <t>MAT-09-094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Fregadero de un pozo, 19 x 13 pulgadas</t>
        </is>
      </c>
      <c r="E612" s="4" t="inlineStr"/>
      <c r="F612" s="3" t="inlineStr">
        <is>
          <t>unidad</t>
        </is>
      </c>
      <c r="G612" s="3" t="inlineStr">
        <is>
          <t>Instalaciones</t>
        </is>
      </c>
      <c r="H612" s="3" t="inlineStr">
        <is>
          <t>estandar</t>
        </is>
      </c>
      <c r="I612" s="3" t="inlineStr">
        <is>
          <t>importado</t>
        </is>
      </c>
      <c r="J612" s="5" t="n">
        <v>1</v>
      </c>
      <c r="K612" s="6" t="n">
        <v>3248.99</v>
      </c>
      <c r="L612" s="6" t="n">
        <v>3248.99</v>
      </c>
      <c r="M612" s="6" t="n">
        <v>3248.99</v>
      </c>
      <c r="N612" s="3" t="inlineStr">
        <is>
          <t>Sí</t>
        </is>
      </c>
      <c r="O612" s="6">
        <f>IF(K612="","",IF(N612="Sí",ROUND(K612/1.18,2),K612))</f>
        <v/>
      </c>
      <c r="P612" s="3" t="inlineStr">
        <is>
          <t>2026-09-10</t>
        </is>
      </c>
      <c r="Q612" s="4" t="inlineStr">
        <is>
          <t>CerArte</t>
        </is>
      </c>
      <c r="AF612" s="4" t="inlineStr">
        <is>
          <t>pozos: 1 · medida: 19 x 13 pulgadas</t>
        </is>
      </c>
    </row>
    <row r="613">
      <c r="A613" s="3" t="inlineStr">
        <is>
          <t>MAT-09-095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Fregadero de un pozo, 20 x 16 pulgadas</t>
        </is>
      </c>
      <c r="E613" s="4" t="inlineStr"/>
      <c r="F613" s="3" t="inlineStr">
        <is>
          <t>unidad</t>
        </is>
      </c>
      <c r="G613" s="3" t="inlineStr">
        <is>
          <t>Instalaciones</t>
        </is>
      </c>
      <c r="H613" s="3" t="inlineStr">
        <is>
          <t>estandar</t>
        </is>
      </c>
      <c r="I613" s="3" t="inlineStr">
        <is>
          <t>importado</t>
        </is>
      </c>
      <c r="J613" s="5" t="n">
        <v>1</v>
      </c>
      <c r="K613" s="6" t="n">
        <v>19817.88</v>
      </c>
      <c r="L613" s="6" t="n">
        <v>19817.88</v>
      </c>
      <c r="M613" s="6" t="n">
        <v>19817.88</v>
      </c>
      <c r="N613" s="3" t="inlineStr">
        <is>
          <t>Sí</t>
        </is>
      </c>
      <c r="O613" s="6">
        <f>IF(K613="","",IF(N613="Sí",ROUND(K613/1.18,2),K613))</f>
        <v/>
      </c>
      <c r="P613" s="3" t="inlineStr">
        <is>
          <t>2026-09-10</t>
        </is>
      </c>
      <c r="Q613" s="4" t="inlineStr">
        <is>
          <t>CerArte</t>
        </is>
      </c>
      <c r="AF613" s="4" t="inlineStr">
        <is>
          <t>pozos: 1 · medida: 20 x 16 pulgadas</t>
        </is>
      </c>
    </row>
    <row r="614">
      <c r="A614" s="3" t="inlineStr">
        <is>
          <t>MAT-09-096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Fregadero de un pozo, 22 x 13 pulgadas</t>
        </is>
      </c>
      <c r="E614" s="4" t="inlineStr"/>
      <c r="F614" s="3" t="inlineStr">
        <is>
          <t>unidad</t>
        </is>
      </c>
      <c r="G614" s="3" t="inlineStr">
        <is>
          <t>Instalaciones</t>
        </is>
      </c>
      <c r="H614" s="3" t="inlineStr">
        <is>
          <t>estandar</t>
        </is>
      </c>
      <c r="I614" s="3" t="inlineStr">
        <is>
          <t>importado</t>
        </is>
      </c>
      <c r="J614" s="5" t="n">
        <v>1</v>
      </c>
      <c r="K614" s="6" t="n">
        <v>5428.74</v>
      </c>
      <c r="L614" s="6" t="n">
        <v>5428.74</v>
      </c>
      <c r="M614" s="6" t="n">
        <v>5428.74</v>
      </c>
      <c r="N614" s="3" t="inlineStr">
        <is>
          <t>Sí</t>
        </is>
      </c>
      <c r="O614" s="6">
        <f>IF(K614="","",IF(N614="Sí",ROUND(K614/1.18,2),K614))</f>
        <v/>
      </c>
      <c r="P614" s="3" t="inlineStr">
        <is>
          <t>2026-09-10</t>
        </is>
      </c>
      <c r="Q614" s="4" t="inlineStr">
        <is>
          <t>CerArte</t>
        </is>
      </c>
      <c r="AF614" s="4" t="inlineStr">
        <is>
          <t>pozos: 1 · medida: 22 x 13 pulgadas</t>
        </is>
      </c>
    </row>
    <row r="615">
      <c r="A615" s="3" t="inlineStr">
        <is>
          <t>MAT-09-097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Fregadero de un pozo, 24 x 19 pulgadas</t>
        </is>
      </c>
      <c r="E615" s="4" t="inlineStr"/>
      <c r="F615" s="3" t="inlineStr">
        <is>
          <t>unidad</t>
        </is>
      </c>
      <c r="G615" s="3" t="inlineStr">
        <is>
          <t>Instalaciones</t>
        </is>
      </c>
      <c r="H615" s="3" t="inlineStr">
        <is>
          <t>estandar</t>
        </is>
      </c>
      <c r="I615" s="3" t="inlineStr">
        <is>
          <t>importado</t>
        </is>
      </c>
      <c r="J615" s="5" t="n">
        <v>1</v>
      </c>
      <c r="K615" s="6" t="n">
        <v>18281.61</v>
      </c>
      <c r="L615" s="6" t="n">
        <v>18281.61</v>
      </c>
      <c r="M615" s="6" t="n">
        <v>18281.61</v>
      </c>
      <c r="N615" s="3" t="inlineStr">
        <is>
          <t>Sí</t>
        </is>
      </c>
      <c r="O615" s="6">
        <f>IF(K615="","",IF(N615="Sí",ROUND(K615/1.18,2),K615))</f>
        <v/>
      </c>
      <c r="P615" s="3" t="inlineStr">
        <is>
          <t>2026-09-10</t>
        </is>
      </c>
      <c r="Q615" s="4" t="inlineStr">
        <is>
          <t>CerArte</t>
        </is>
      </c>
      <c r="AF615" s="4" t="inlineStr">
        <is>
          <t>pozos: 1 · medida: 24 x 19 pulgadas</t>
        </is>
      </c>
    </row>
    <row r="616">
      <c r="A616" s="3" t="inlineStr">
        <is>
          <t>MAT-09-098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Fregadero de un pozo, 28 x 16 pulgadas</t>
        </is>
      </c>
      <c r="E616" s="4" t="inlineStr"/>
      <c r="F616" s="3" t="inlineStr">
        <is>
          <t>unidad</t>
        </is>
      </c>
      <c r="G616" s="3" t="inlineStr">
        <is>
          <t>Instalaciones</t>
        </is>
      </c>
      <c r="H616" s="3" t="inlineStr">
        <is>
          <t>estandar</t>
        </is>
      </c>
      <c r="I616" s="3" t="inlineStr">
        <is>
          <t>importado</t>
        </is>
      </c>
      <c r="J616" s="5" t="n">
        <v>1</v>
      </c>
      <c r="K616" s="6" t="n">
        <v>21671.14</v>
      </c>
      <c r="L616" s="6" t="n">
        <v>21671.14</v>
      </c>
      <c r="M616" s="6" t="n">
        <v>21671.14</v>
      </c>
      <c r="N616" s="3" t="inlineStr">
        <is>
          <t>Sí</t>
        </is>
      </c>
      <c r="O616" s="6">
        <f>IF(K616="","",IF(N616="Sí",ROUND(K616/1.18,2),K616))</f>
        <v/>
      </c>
      <c r="P616" s="3" t="inlineStr">
        <is>
          <t>2026-09-10</t>
        </is>
      </c>
      <c r="Q616" s="4" t="inlineStr">
        <is>
          <t>CerArte</t>
        </is>
      </c>
      <c r="AF616" s="4" t="inlineStr">
        <is>
          <t>pozos: 1 · medida: 28 x 16 pulgadas</t>
        </is>
      </c>
    </row>
    <row r="617">
      <c r="A617" s="3" t="inlineStr">
        <is>
          <t>MAT-09-099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Fregadero de un pozo, 29 x 16 pulgadas</t>
        </is>
      </c>
      <c r="E617" s="4" t="inlineStr"/>
      <c r="F617" s="3" t="inlineStr">
        <is>
          <t>unidad</t>
        </is>
      </c>
      <c r="G617" s="3" t="inlineStr">
        <is>
          <t>Instalaciones</t>
        </is>
      </c>
      <c r="H617" s="3" t="inlineStr">
        <is>
          <t>estandar</t>
        </is>
      </c>
      <c r="I617" s="3" t="inlineStr">
        <is>
          <t>importado</t>
        </is>
      </c>
      <c r="J617" s="5" t="n">
        <v>1</v>
      </c>
      <c r="K617" s="6" t="n">
        <v>28269.25</v>
      </c>
      <c r="L617" s="6" t="n">
        <v>28269.25</v>
      </c>
      <c r="M617" s="6" t="n">
        <v>28269.25</v>
      </c>
      <c r="N617" s="3" t="inlineStr">
        <is>
          <t>Sí</t>
        </is>
      </c>
      <c r="O617" s="6">
        <f>IF(K617="","",IF(N617="Sí",ROUND(K617/1.18,2),K617))</f>
        <v/>
      </c>
      <c r="P617" s="3" t="inlineStr">
        <is>
          <t>2026-09-10</t>
        </is>
      </c>
      <c r="Q617" s="4" t="inlineStr">
        <is>
          <t>CerArte</t>
        </is>
      </c>
      <c r="AF617" s="4" t="inlineStr">
        <is>
          <t>pozos: 1 · medida: 29 x 16 pulgadas</t>
        </is>
      </c>
    </row>
    <row r="618">
      <c r="A618" s="3" t="inlineStr">
        <is>
          <t>MAT-09-100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Fregadero de un pozo, 31 x 20 pulgadas</t>
        </is>
      </c>
      <c r="E618" s="4" t="inlineStr"/>
      <c r="F618" s="3" t="inlineStr">
        <is>
          <t>unidad</t>
        </is>
      </c>
      <c r="G618" s="3" t="inlineStr">
        <is>
          <t>Instalaciones</t>
        </is>
      </c>
      <c r="H618" s="3" t="inlineStr">
        <is>
          <t>estandar</t>
        </is>
      </c>
      <c r="I618" s="3" t="inlineStr">
        <is>
          <t>importado</t>
        </is>
      </c>
      <c r="J618" s="5" t="n">
        <v>1</v>
      </c>
      <c r="K618" s="6" t="n">
        <v>1635</v>
      </c>
      <c r="L618" s="6" t="n">
        <v>1635</v>
      </c>
      <c r="M618" s="6" t="n">
        <v>1635</v>
      </c>
      <c r="N618" s="3" t="inlineStr">
        <is>
          <t>Sí</t>
        </is>
      </c>
      <c r="O618" s="6">
        <f>IF(K618="","",IF(N618="Sí",ROUND(K618/1.18,2),K618))</f>
        <v/>
      </c>
      <c r="P618" s="3" t="inlineStr">
        <is>
          <t>2026-09-10</t>
        </is>
      </c>
      <c r="Q618" s="4" t="inlineStr">
        <is>
          <t>Ferremix (Grupo Alterra)</t>
        </is>
      </c>
      <c r="AF618" s="4" t="inlineStr">
        <is>
          <t>pozos: 1 · medida: 31 x 20 pulgadas</t>
        </is>
      </c>
    </row>
    <row r="619">
      <c r="A619" s="3" t="inlineStr">
        <is>
          <t>MAT-09-101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Fregadero de un pozo, 8 x 8 pulgadas</t>
        </is>
      </c>
      <c r="E619" s="4" t="inlineStr"/>
      <c r="F619" s="3" t="inlineStr">
        <is>
          <t>unidad</t>
        </is>
      </c>
      <c r="G619" s="3" t="inlineStr">
        <is>
          <t>Instalaciones</t>
        </is>
      </c>
      <c r="H619" s="3" t="inlineStr">
        <is>
          <t>estandar</t>
        </is>
      </c>
      <c r="I619" s="3" t="inlineStr">
        <is>
          <t>importado</t>
        </is>
      </c>
      <c r="J619" s="5" t="n">
        <v>1</v>
      </c>
      <c r="K619" s="6" t="n">
        <v>74.84999999999999</v>
      </c>
      <c r="L619" s="6" t="n">
        <v>74.84999999999999</v>
      </c>
      <c r="M619" s="6" t="n">
        <v>74.84999999999999</v>
      </c>
      <c r="N619" s="3" t="inlineStr">
        <is>
          <t>Sí</t>
        </is>
      </c>
      <c r="O619" s="6">
        <f>IF(K619="","",IF(N619="Sí",ROUND(K619/1.18,2),K619))</f>
        <v/>
      </c>
      <c r="P619" s="3" t="inlineStr">
        <is>
          <t>2026-09-10</t>
        </is>
      </c>
      <c r="Q619" s="4" t="inlineStr">
        <is>
          <t>La Ibérica</t>
        </is>
      </c>
      <c r="AF619" s="4" t="inlineStr">
        <is>
          <t>pozos: 1 · medida: 8 x 8 pulgadas</t>
        </is>
      </c>
    </row>
    <row r="620">
      <c r="A620" s="3" t="inlineStr">
        <is>
          <t>MAT-09-102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Fregadero de un pozo, 9 x 7 pulgadas</t>
        </is>
      </c>
      <c r="E620" s="4" t="inlineStr"/>
      <c r="F620" s="3" t="inlineStr">
        <is>
          <t>unidad</t>
        </is>
      </c>
      <c r="G620" s="3" t="inlineStr">
        <is>
          <t>Instalaciones</t>
        </is>
      </c>
      <c r="H620" s="3" t="inlineStr">
        <is>
          <t>estandar</t>
        </is>
      </c>
      <c r="I620" s="3" t="inlineStr">
        <is>
          <t>importado</t>
        </is>
      </c>
      <c r="J620" s="5" t="n">
        <v>1</v>
      </c>
      <c r="K620" s="6" t="n">
        <v>5265.16</v>
      </c>
      <c r="L620" s="6" t="n">
        <v>5265.16</v>
      </c>
      <c r="M620" s="6" t="n">
        <v>5265.16</v>
      </c>
      <c r="N620" s="3" t="inlineStr">
        <is>
          <t>Sí</t>
        </is>
      </c>
      <c r="O620" s="6">
        <f>IF(K620="","",IF(N620="Sí",ROUND(K620/1.18,2),K620))</f>
        <v/>
      </c>
      <c r="P620" s="3" t="inlineStr">
        <is>
          <t>2026-09-10</t>
        </is>
      </c>
      <c r="Q620" s="4" t="inlineStr">
        <is>
          <t>La Ibérica</t>
        </is>
      </c>
      <c r="AF620" s="4" t="inlineStr">
        <is>
          <t>pozos: 1 · medida: 9 x 7 pulgadas</t>
        </is>
      </c>
    </row>
    <row r="621">
      <c r="A621" s="3" t="inlineStr">
        <is>
          <t>MAT-09-103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Fregadero de un pozo, medida estándar</t>
        </is>
      </c>
      <c r="E621" s="4" t="inlineStr"/>
      <c r="F621" s="3" t="inlineStr">
        <is>
          <t>unidad</t>
        </is>
      </c>
      <c r="G621" s="3" t="inlineStr">
        <is>
          <t>Instalaciones</t>
        </is>
      </c>
      <c r="H621" s="3" t="inlineStr">
        <is>
          <t>estandar</t>
        </is>
      </c>
      <c r="I621" s="3" t="inlineStr">
        <is>
          <t>importado</t>
        </is>
      </c>
      <c r="J621" s="5" t="n">
        <v>1</v>
      </c>
      <c r="K621" s="6" t="n">
        <v>3040</v>
      </c>
      <c r="L621" s="6" t="n">
        <v>3040</v>
      </c>
      <c r="M621" s="6" t="n">
        <v>3040</v>
      </c>
      <c r="N621" s="3" t="inlineStr">
        <is>
          <t>Sí</t>
        </is>
      </c>
      <c r="O621" s="6">
        <f>IF(K621="","",IF(N621="Sí",ROUND(K621/1.18,2),K621))</f>
        <v/>
      </c>
      <c r="P621" s="3" t="inlineStr">
        <is>
          <t>2026-09-09</t>
        </is>
      </c>
      <c r="Q621" s="4" t="inlineStr">
        <is>
          <t>Ferretería Cima</t>
        </is>
      </c>
      <c r="AF621" s="4" t="inlineStr">
        <is>
          <t>pozos: 1 · medida: medida estándar</t>
        </is>
      </c>
    </row>
    <row r="622">
      <c r="A622" s="3" t="inlineStr">
        <is>
          <t>MAT-09-104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Fregadero de 2 pozos, 28 x 16 pulgadas</t>
        </is>
      </c>
      <c r="E622" s="4" t="inlineStr"/>
      <c r="F622" s="3" t="inlineStr">
        <is>
          <t>unidad</t>
        </is>
      </c>
      <c r="G622" s="3" t="inlineStr">
        <is>
          <t>Instalaciones</t>
        </is>
      </c>
      <c r="H622" s="3" t="inlineStr">
        <is>
          <t>estandar</t>
        </is>
      </c>
      <c r="I622" s="3" t="inlineStr">
        <is>
          <t>importado</t>
        </is>
      </c>
      <c r="J622" s="5" t="n">
        <v>1</v>
      </c>
      <c r="K622" s="6" t="n">
        <v>13423.68</v>
      </c>
      <c r="L622" s="6" t="n">
        <v>13423.68</v>
      </c>
      <c r="M622" s="6" t="n">
        <v>13423.68</v>
      </c>
      <c r="N622" s="3" t="inlineStr">
        <is>
          <t>Sí</t>
        </is>
      </c>
      <c r="O622" s="6">
        <f>IF(K622="","",IF(N622="Sí",ROUND(K622/1.18,2),K622))</f>
        <v/>
      </c>
      <c r="P622" s="3" t="inlineStr">
        <is>
          <t>2026-09-10</t>
        </is>
      </c>
      <c r="Q622" s="4" t="inlineStr">
        <is>
          <t>CerArte</t>
        </is>
      </c>
      <c r="AF622" s="4" t="inlineStr">
        <is>
          <t>pozos: 2 · medida: 28 x 16 pulgadas</t>
        </is>
      </c>
    </row>
    <row r="623">
      <c r="A623" s="3" t="inlineStr">
        <is>
          <t>MAT-09-105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Fregadero de 2 pozos, 31 x 18 pulgadas</t>
        </is>
      </c>
      <c r="E623" s="4" t="inlineStr"/>
      <c r="F623" s="3" t="inlineStr">
        <is>
          <t>unidad</t>
        </is>
      </c>
      <c r="G623" s="3" t="inlineStr">
        <is>
          <t>Instalaciones</t>
        </is>
      </c>
      <c r="H623" s="3" t="inlineStr">
        <is>
          <t>estandar</t>
        </is>
      </c>
      <c r="I623" s="3" t="inlineStr">
        <is>
          <t>importado</t>
        </is>
      </c>
      <c r="J623" s="5" t="n">
        <v>1</v>
      </c>
      <c r="K623" s="6" t="n">
        <v>37416.26</v>
      </c>
      <c r="L623" s="6" t="n">
        <v>21435.03</v>
      </c>
      <c r="M623" s="6" t="n">
        <v>53397.49</v>
      </c>
      <c r="N623" s="3" t="inlineStr">
        <is>
          <t>Sí</t>
        </is>
      </c>
      <c r="O623" s="6">
        <f>IF(K623="","",IF(N623="Sí",ROUND(K623/1.18,2),K623))</f>
        <v/>
      </c>
      <c r="P623" s="3" t="inlineStr">
        <is>
          <t>2026-09-10</t>
        </is>
      </c>
      <c r="Q623" s="4" t="inlineStr">
        <is>
          <t>CerArte</t>
        </is>
      </c>
      <c r="AF623" s="4" t="inlineStr">
        <is>
          <t>pozos: 2 · medida: 31 x 18 pulgadas</t>
        </is>
      </c>
    </row>
    <row r="624">
      <c r="A624" s="3" t="inlineStr">
        <is>
          <t>MAT-09-106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Fregadero de 2 pozos, 31 x 19 pulgadas</t>
        </is>
      </c>
      <c r="E624" s="4" t="inlineStr"/>
      <c r="F624" s="3" t="inlineStr">
        <is>
          <t>unidad</t>
        </is>
      </c>
      <c r="G624" s="3" t="inlineStr">
        <is>
          <t>Instalaciones</t>
        </is>
      </c>
      <c r="H624" s="3" t="inlineStr">
        <is>
          <t>estandar</t>
        </is>
      </c>
      <c r="I624" s="3" t="inlineStr">
        <is>
          <t>importado</t>
        </is>
      </c>
      <c r="J624" s="5" t="n">
        <v>1</v>
      </c>
      <c r="K624" s="6" t="n">
        <v>21066.29</v>
      </c>
      <c r="L624" s="6" t="n">
        <v>21066.29</v>
      </c>
      <c r="M624" s="6" t="n">
        <v>21066.29</v>
      </c>
      <c r="N624" s="3" t="inlineStr">
        <is>
          <t>Sí</t>
        </is>
      </c>
      <c r="O624" s="6">
        <f>IF(K624="","",IF(N624="Sí",ROUND(K624/1.18,2),K624))</f>
        <v/>
      </c>
      <c r="P624" s="3" t="inlineStr">
        <is>
          <t>2026-09-10</t>
        </is>
      </c>
      <c r="Q624" s="4" t="inlineStr">
        <is>
          <t>CerArte</t>
        </is>
      </c>
      <c r="AF624" s="4" t="inlineStr">
        <is>
          <t>pozos: 2 · medida: 31 x 19 pulgadas</t>
        </is>
      </c>
    </row>
    <row r="625">
      <c r="A625" s="3" t="inlineStr">
        <is>
          <t>MAT-09-107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Fregadero de 2 pozos, 31 x 20 pulgadas</t>
        </is>
      </c>
      <c r="E625" s="4" t="inlineStr"/>
      <c r="F625" s="3" t="inlineStr">
        <is>
          <t>unidad</t>
        </is>
      </c>
      <c r="G625" s="3" t="inlineStr">
        <is>
          <t>Instalaciones</t>
        </is>
      </c>
      <c r="H625" s="3" t="inlineStr">
        <is>
          <t>estandar</t>
        </is>
      </c>
      <c r="I625" s="3" t="inlineStr">
        <is>
          <t>importado</t>
        </is>
      </c>
      <c r="J625" s="5" t="n">
        <v>1</v>
      </c>
      <c r="K625" s="6" t="n">
        <v>13464.3</v>
      </c>
      <c r="L625" s="6" t="n">
        <v>6601.13</v>
      </c>
      <c r="M625" s="6" t="n">
        <v>20327.47</v>
      </c>
      <c r="N625" s="3" t="inlineStr">
        <is>
          <t>Sí</t>
        </is>
      </c>
      <c r="O625" s="6">
        <f>IF(K625="","",IF(N625="Sí",ROUND(K625/1.18,2),K625))</f>
        <v/>
      </c>
      <c r="P625" s="3" t="inlineStr">
        <is>
          <t>2026-09-10</t>
        </is>
      </c>
      <c r="Q625" s="4" t="inlineStr">
        <is>
          <t>CerArte</t>
        </is>
      </c>
      <c r="AF625" s="4" t="inlineStr">
        <is>
          <t>pozos: 2 · medida: 31 x 20 pulgadas</t>
        </is>
      </c>
    </row>
    <row r="626">
      <c r="A626" s="3" t="inlineStr">
        <is>
          <t>MAT-09-108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Fregadero de 2 pozos, 33 x 14 pulgadas</t>
        </is>
      </c>
      <c r="E626" s="4" t="inlineStr"/>
      <c r="F626" s="3" t="inlineStr">
        <is>
          <t>unidad</t>
        </is>
      </c>
      <c r="G626" s="3" t="inlineStr">
        <is>
          <t>Instalaciones</t>
        </is>
      </c>
      <c r="H626" s="3" t="inlineStr">
        <is>
          <t>estandar</t>
        </is>
      </c>
      <c r="I626" s="3" t="inlineStr">
        <is>
          <t>importado</t>
        </is>
      </c>
      <c r="J626" s="5" t="n">
        <v>1</v>
      </c>
      <c r="K626" s="6" t="n">
        <v>13176.46</v>
      </c>
      <c r="L626" s="6" t="n">
        <v>13176.46</v>
      </c>
      <c r="M626" s="6" t="n">
        <v>13176.46</v>
      </c>
      <c r="N626" s="3" t="inlineStr">
        <is>
          <t>Sí</t>
        </is>
      </c>
      <c r="O626" s="6">
        <f>IF(K626="","",IF(N626="Sí",ROUND(K626/1.18,2),K626))</f>
        <v/>
      </c>
      <c r="P626" s="3" t="inlineStr">
        <is>
          <t>2026-09-10</t>
        </is>
      </c>
      <c r="Q626" s="4" t="inlineStr">
        <is>
          <t>CerArte</t>
        </is>
      </c>
      <c r="AF626" s="4" t="inlineStr">
        <is>
          <t>pozos: 2 · medida: 33 x 14 pulgadas</t>
        </is>
      </c>
    </row>
    <row r="627">
      <c r="A627" s="3" t="inlineStr">
        <is>
          <t>MAT-09-109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Fregadero de 2 pozos, 33 x 19 pulgadas</t>
        </is>
      </c>
      <c r="E627" s="4" t="inlineStr"/>
      <c r="F627" s="3" t="inlineStr">
        <is>
          <t>unidad</t>
        </is>
      </c>
      <c r="G627" s="3" t="inlineStr">
        <is>
          <t>Instalaciones</t>
        </is>
      </c>
      <c r="H627" s="3" t="inlineStr">
        <is>
          <t>estandar</t>
        </is>
      </c>
      <c r="I627" s="3" t="inlineStr">
        <is>
          <t>importado</t>
        </is>
      </c>
      <c r="J627" s="5" t="n">
        <v>1</v>
      </c>
      <c r="K627" s="6" t="n">
        <v>3285</v>
      </c>
      <c r="L627" s="6" t="n">
        <v>3285</v>
      </c>
      <c r="M627" s="6" t="n">
        <v>3285</v>
      </c>
      <c r="N627" s="3" t="inlineStr">
        <is>
          <t>Sí</t>
        </is>
      </c>
      <c r="O627" s="6">
        <f>IF(K627="","",IF(N627="Sí",ROUND(K627/1.18,2),K627))</f>
        <v/>
      </c>
      <c r="P627" s="3" t="inlineStr">
        <is>
          <t>2026-09-09</t>
        </is>
      </c>
      <c r="Q627" s="4" t="inlineStr">
        <is>
          <t>Ferretería Cima</t>
        </is>
      </c>
      <c r="AF627" s="4" t="inlineStr">
        <is>
          <t>pozos: 2 · medida: 33 x 19 pulgadas</t>
        </is>
      </c>
    </row>
    <row r="628">
      <c r="A628" s="3" t="inlineStr">
        <is>
          <t>MAT-09-110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Fregadero de 2 pozos, 33 x 22 pulgadas</t>
        </is>
      </c>
      <c r="E628" s="4" t="inlineStr"/>
      <c r="F628" s="3" t="inlineStr">
        <is>
          <t>unidad</t>
        </is>
      </c>
      <c r="G628" s="3" t="inlineStr">
        <is>
          <t>Instalaciones</t>
        </is>
      </c>
      <c r="H628" s="3" t="inlineStr">
        <is>
          <t>estandar</t>
        </is>
      </c>
      <c r="I628" s="3" t="inlineStr">
        <is>
          <t>importado</t>
        </is>
      </c>
      <c r="J628" s="5" t="n">
        <v>1</v>
      </c>
      <c r="K628" s="6" t="n">
        <v>6540</v>
      </c>
      <c r="L628" s="6" t="n">
        <v>6540</v>
      </c>
      <c r="M628" s="6" t="n">
        <v>6540</v>
      </c>
      <c r="N628" s="3" t="inlineStr">
        <is>
          <t>Sí</t>
        </is>
      </c>
      <c r="O628" s="6">
        <f>IF(K628="","",IF(N628="Sí",ROUND(K628/1.18,2),K628))</f>
        <v/>
      </c>
      <c r="P628" s="3" t="inlineStr">
        <is>
          <t>2026-09-09</t>
        </is>
      </c>
      <c r="Q628" s="4" t="inlineStr">
        <is>
          <t>Ferretería Cima</t>
        </is>
      </c>
      <c r="AF628" s="4" t="inlineStr">
        <is>
          <t>pozos: 2 · medida: 33 x 22 pulgadas</t>
        </is>
      </c>
    </row>
    <row r="629">
      <c r="A629" s="3" t="inlineStr">
        <is>
          <t>MAT-09-111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Fregadero de 2 pozos, 34 x 17 pulgadas</t>
        </is>
      </c>
      <c r="E629" s="4" t="inlineStr"/>
      <c r="F629" s="3" t="inlineStr">
        <is>
          <t>unidad</t>
        </is>
      </c>
      <c r="G629" s="3" t="inlineStr">
        <is>
          <t>Instalaciones</t>
        </is>
      </c>
      <c r="H629" s="3" t="inlineStr">
        <is>
          <t>estandar</t>
        </is>
      </c>
      <c r="I629" s="3" t="inlineStr">
        <is>
          <t>importado</t>
        </is>
      </c>
      <c r="J629" s="5" t="n">
        <v>1</v>
      </c>
      <c r="K629" s="6" t="n">
        <v>45860</v>
      </c>
      <c r="L629" s="6" t="n">
        <v>45860</v>
      </c>
      <c r="M629" s="6" t="n">
        <v>45860</v>
      </c>
      <c r="N629" s="3" t="inlineStr">
        <is>
          <t>Sí</t>
        </is>
      </c>
      <c r="O629" s="6">
        <f>IF(K629="","",IF(N629="Sí",ROUND(K629/1.18,2),K629))</f>
        <v/>
      </c>
      <c r="P629" s="3" t="inlineStr">
        <is>
          <t>2026-09-10</t>
        </is>
      </c>
      <c r="Q629" s="4" t="inlineStr">
        <is>
          <t>La Ibérica</t>
        </is>
      </c>
      <c r="AF629" s="4" t="inlineStr">
        <is>
          <t>pozos: 2 · medida: 34 x 17 pulgadas</t>
        </is>
      </c>
    </row>
    <row r="630">
      <c r="A630" s="3" t="inlineStr">
        <is>
          <t>MAT-09-112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Fregadero de 2 pozos, 34 x 18 pulgadas</t>
        </is>
      </c>
      <c r="E630" s="4" t="inlineStr"/>
      <c r="F630" s="3" t="inlineStr">
        <is>
          <t>unidad</t>
        </is>
      </c>
      <c r="G630" s="3" t="inlineStr">
        <is>
          <t>Instalaciones</t>
        </is>
      </c>
      <c r="H630" s="3" t="inlineStr">
        <is>
          <t>estandar</t>
        </is>
      </c>
      <c r="I630" s="3" t="inlineStr">
        <is>
          <t>importado</t>
        </is>
      </c>
      <c r="J630" s="5" t="n">
        <v>1</v>
      </c>
      <c r="K630" s="6" t="n">
        <v>20289.07</v>
      </c>
      <c r="L630" s="6" t="n">
        <v>20289.07</v>
      </c>
      <c r="M630" s="6" t="n">
        <v>20289.07</v>
      </c>
      <c r="N630" s="3" t="inlineStr">
        <is>
          <t>Sí</t>
        </is>
      </c>
      <c r="O630" s="6">
        <f>IF(K630="","",IF(N630="Sí",ROUND(K630/1.18,2),K630))</f>
        <v/>
      </c>
      <c r="P630" s="3" t="inlineStr">
        <is>
          <t>2026-09-10</t>
        </is>
      </c>
      <c r="Q630" s="4" t="inlineStr">
        <is>
          <t>CerArte</t>
        </is>
      </c>
      <c r="AF630" s="4" t="inlineStr">
        <is>
          <t>pozos: 2 · medida: 34 x 18 pulgadas</t>
        </is>
      </c>
    </row>
    <row r="631">
      <c r="A631" s="3" t="inlineStr">
        <is>
          <t>MAT-09-113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2 pozos, 47 x 20 pulgadas</t>
        </is>
      </c>
      <c r="E631" s="4" t="inlineStr"/>
      <c r="F631" s="3" t="inlineStr">
        <is>
          <t>unidad</t>
        </is>
      </c>
      <c r="G631" s="3" t="inlineStr">
        <is>
          <t>Instalaciones</t>
        </is>
      </c>
      <c r="H631" s="3" t="inlineStr">
        <is>
          <t>estandar</t>
        </is>
      </c>
      <c r="I631" s="3" t="inlineStr">
        <is>
          <t>importado</t>
        </is>
      </c>
      <c r="J631" s="5" t="n">
        <v>1</v>
      </c>
      <c r="K631" s="6" t="n">
        <v>6672.5</v>
      </c>
      <c r="L631" s="6" t="n">
        <v>6665</v>
      </c>
      <c r="M631" s="6" t="n">
        <v>6680</v>
      </c>
      <c r="N631" s="3" t="inlineStr">
        <is>
          <t>Sí</t>
        </is>
      </c>
      <c r="O631" s="6">
        <f>IF(K631="","",IF(N631="Sí",ROUND(K631/1.18,2),K631))</f>
        <v/>
      </c>
      <c r="P631" s="3" t="inlineStr">
        <is>
          <t>2026-09-10</t>
        </is>
      </c>
      <c r="Q631" s="4" t="inlineStr">
        <is>
          <t>Ferremix (Grupo Alterra)</t>
        </is>
      </c>
      <c r="AF631" s="4" t="inlineStr">
        <is>
          <t>pozos: 2 · medida: 47 x 20 pulgadas</t>
        </is>
      </c>
    </row>
    <row r="632">
      <c r="A632" s="3" t="inlineStr">
        <is>
          <t>MAT-09-114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Llave de bebedero</t>
        </is>
      </c>
      <c r="E632" s="4" t="inlineStr">
        <is>
          <t>Plástico</t>
        </is>
      </c>
      <c r="F632" s="3" t="inlineStr">
        <is>
          <t>unidad</t>
        </is>
      </c>
      <c r="G632" s="3" t="inlineStr">
        <is>
          <t>Instalaciones</t>
        </is>
      </c>
      <c r="H632" s="3" t="inlineStr">
        <is>
          <t>estandar</t>
        </is>
      </c>
      <c r="I632" s="3" t="inlineStr">
        <is>
          <t>importado</t>
        </is>
      </c>
      <c r="J632" s="5" t="n">
        <v>1</v>
      </c>
      <c r="K632" s="6" t="n">
        <v>217.5</v>
      </c>
      <c r="L632" s="6" t="n">
        <v>205</v>
      </c>
      <c r="M632" s="6" t="n">
        <v>256</v>
      </c>
      <c r="N632" s="3" t="inlineStr">
        <is>
          <t>Sí</t>
        </is>
      </c>
      <c r="O632" s="6">
        <f>IF(K632="","",IF(N632="Sí",ROUND(K632/1.18,2),K632))</f>
        <v/>
      </c>
      <c r="P632" s="3" t="inlineStr">
        <is>
          <t>2026-09-09</t>
        </is>
      </c>
      <c r="Q632" s="4" t="inlineStr">
        <is>
          <t>Ferretería Cima</t>
        </is>
      </c>
    </row>
    <row r="633">
      <c r="A633" s="3" t="inlineStr">
        <is>
          <t>MAT-10-017</t>
        </is>
      </c>
      <c r="B633" s="3" t="inlineStr">
        <is>
          <t>Materiales</t>
        </is>
      </c>
      <c r="C633" s="3" t="inlineStr">
        <is>
          <t>Electricidad e iluminación</t>
        </is>
      </c>
      <c r="D633" s="4" t="inlineStr">
        <is>
          <t>Bombillo ahorrador de 105 W</t>
        </is>
      </c>
      <c r="E633" s="4" t="inlineStr"/>
      <c r="F633" s="3" t="inlineStr">
        <is>
          <t>unidad</t>
        </is>
      </c>
      <c r="G633" s="3" t="inlineStr">
        <is>
          <t>Instalaciones</t>
        </is>
      </c>
      <c r="H633" s="3" t="inlineStr">
        <is>
          <t>estandar</t>
        </is>
      </c>
      <c r="I633" s="3" t="inlineStr">
        <is>
          <t>importado</t>
        </is>
      </c>
      <c r="J633" s="5" t="n">
        <v>1</v>
      </c>
      <c r="K633" s="6" t="n">
        <v>785</v>
      </c>
      <c r="L633" s="6" t="n">
        <v>785</v>
      </c>
      <c r="M633" s="6" t="n">
        <v>785</v>
      </c>
      <c r="N633" s="3" t="inlineStr">
        <is>
          <t>Sí</t>
        </is>
      </c>
      <c r="O633" s="6">
        <f>IF(K633="","",IF(N633="Sí",ROUND(K633/1.18,2),K633))</f>
        <v/>
      </c>
      <c r="P633" s="3" t="inlineStr">
        <is>
          <t>2026-09-09</t>
        </is>
      </c>
      <c r="Q633" s="4" t="inlineStr">
        <is>
          <t>Max Ferretería</t>
        </is>
      </c>
      <c r="V633" s="7" t="inlineStr">
        <is>
          <t>E40</t>
        </is>
      </c>
      <c r="X633" s="7" t="inlineStr">
        <is>
          <t>ahorrador</t>
        </is>
      </c>
      <c r="AF633" s="4" t="inlineStr">
        <is>
          <t>potencia_w: 105 · temp_k: 6400</t>
        </is>
      </c>
    </row>
    <row r="634">
      <c r="A634" s="3" t="inlineStr">
        <is>
          <t>MAT-10-018</t>
        </is>
      </c>
      <c r="B634" s="3" t="inlineStr">
        <is>
          <t>Materiales</t>
        </is>
      </c>
      <c r="C634" s="3" t="inlineStr">
        <is>
          <t>Electricidad e iluminación</t>
        </is>
      </c>
      <c r="D634" s="4" t="inlineStr">
        <is>
          <t>Bombillo ahorrador de 11 W</t>
        </is>
      </c>
      <c r="E634" s="4" t="inlineStr"/>
      <c r="F634" s="3" t="inlineStr">
        <is>
          <t>unidad</t>
        </is>
      </c>
      <c r="G634" s="3" t="inlineStr">
        <is>
          <t>Instalaciones</t>
        </is>
      </c>
      <c r="H634" s="3" t="inlineStr">
        <is>
          <t>estandar</t>
        </is>
      </c>
      <c r="I634" s="3" t="inlineStr">
        <is>
          <t>importado</t>
        </is>
      </c>
      <c r="J634" s="5" t="n">
        <v>1</v>
      </c>
      <c r="K634" s="6" t="n">
        <v>100</v>
      </c>
      <c r="L634" s="6" t="n">
        <v>100</v>
      </c>
      <c r="M634" s="6" t="n">
        <v>100</v>
      </c>
      <c r="N634" s="3" t="inlineStr">
        <is>
          <t>Sí</t>
        </is>
      </c>
      <c r="O634" s="6">
        <f>IF(K634="","",IF(N634="Sí",ROUND(K634/1.18,2),K634))</f>
        <v/>
      </c>
      <c r="P634" s="3" t="inlineStr">
        <is>
          <t>2026-09-09</t>
        </is>
      </c>
      <c r="Q634" s="4" t="inlineStr">
        <is>
          <t>Max Ferretería</t>
        </is>
      </c>
      <c r="X634" s="7" t="inlineStr">
        <is>
          <t>ahorrador</t>
        </is>
      </c>
      <c r="AF634" s="4" t="inlineStr">
        <is>
          <t>potencia_w: 11 · temp_k: 2700</t>
        </is>
      </c>
    </row>
    <row r="635">
      <c r="A635" s="3" t="inlineStr">
        <is>
          <t>MAT-10-019</t>
        </is>
      </c>
      <c r="B635" s="3" t="inlineStr">
        <is>
          <t>Materiales</t>
        </is>
      </c>
      <c r="C635" s="3" t="inlineStr">
        <is>
          <t>Electricidad e iluminación</t>
        </is>
      </c>
      <c r="D635" s="4" t="inlineStr">
        <is>
          <t>Bombillo ahorrador de 15 W</t>
        </is>
      </c>
      <c r="E635" s="4" t="inlineStr"/>
      <c r="F635" s="3" t="inlineStr">
        <is>
          <t>unidad</t>
        </is>
      </c>
      <c r="G635" s="3" t="inlineStr">
        <is>
          <t>Instalaciones</t>
        </is>
      </c>
      <c r="H635" s="3" t="inlineStr">
        <is>
          <t>estandar</t>
        </is>
      </c>
      <c r="I635" s="3" t="inlineStr">
        <is>
          <t>importado</t>
        </is>
      </c>
      <c r="J635" s="5" t="n">
        <v>1</v>
      </c>
      <c r="K635" s="6" t="n">
        <v>100</v>
      </c>
      <c r="L635" s="6" t="n">
        <v>100</v>
      </c>
      <c r="M635" s="6" t="n">
        <v>100</v>
      </c>
      <c r="N635" s="3" t="inlineStr">
        <is>
          <t>Sí</t>
        </is>
      </c>
      <c r="O635" s="6">
        <f>IF(K635="","",IF(N635="Sí",ROUND(K635/1.18,2),K635))</f>
        <v/>
      </c>
      <c r="P635" s="3" t="inlineStr">
        <is>
          <t>2026-09-09</t>
        </is>
      </c>
      <c r="Q635" s="4" t="inlineStr">
        <is>
          <t>Max Ferretería</t>
        </is>
      </c>
      <c r="X635" s="7" t="inlineStr">
        <is>
          <t>ahorrador</t>
        </is>
      </c>
      <c r="AF635" s="4" t="inlineStr">
        <is>
          <t>potencia_w: 15</t>
        </is>
      </c>
    </row>
    <row r="636">
      <c r="A636" s="3" t="inlineStr">
        <is>
          <t>MAT-10-020</t>
        </is>
      </c>
      <c r="B636" s="3" t="inlineStr">
        <is>
          <t>Materiales</t>
        </is>
      </c>
      <c r="C636" s="3" t="inlineStr">
        <is>
          <t>Electricidad e iluminación</t>
        </is>
      </c>
      <c r="D636" s="4" t="inlineStr">
        <is>
          <t>Bombillo ahorrador de 25 W</t>
        </is>
      </c>
      <c r="E636" s="4" t="inlineStr"/>
      <c r="F636" s="3" t="inlineStr">
        <is>
          <t>unidad</t>
        </is>
      </c>
      <c r="G636" s="3" t="inlineStr">
        <is>
          <t>Instalaciones</t>
        </is>
      </c>
      <c r="H636" s="3" t="inlineStr">
        <is>
          <t>estandar</t>
        </is>
      </c>
      <c r="I636" s="3" t="inlineStr">
        <is>
          <t>importado</t>
        </is>
      </c>
      <c r="J636" s="5" t="n">
        <v>1</v>
      </c>
      <c r="K636" s="6" t="n">
        <v>100</v>
      </c>
      <c r="L636" s="6" t="n">
        <v>100</v>
      </c>
      <c r="M636" s="6" t="n">
        <v>127.12</v>
      </c>
      <c r="N636" s="3" t="inlineStr">
        <is>
          <t>Sí</t>
        </is>
      </c>
      <c r="O636" s="6">
        <f>IF(K636="","",IF(N636="Sí",ROUND(K636/1.18,2),K636))</f>
        <v/>
      </c>
      <c r="P636" s="3" t="inlineStr">
        <is>
          <t>2026-09-09</t>
        </is>
      </c>
      <c r="Q636" s="4" t="inlineStr">
        <is>
          <t>Max Ferretería</t>
        </is>
      </c>
      <c r="X636" s="7" t="inlineStr">
        <is>
          <t>ahorrador</t>
        </is>
      </c>
      <c r="AF636" s="4" t="inlineStr">
        <is>
          <t>potencia_w: 25</t>
        </is>
      </c>
    </row>
    <row r="637">
      <c r="A637" s="3" t="inlineStr">
        <is>
          <t>MAT-10-021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Bombillo ahorrador de 45 W</t>
        </is>
      </c>
      <c r="E637" s="4" t="inlineStr"/>
      <c r="F637" s="3" t="inlineStr">
        <is>
          <t>unidad</t>
        </is>
      </c>
      <c r="G637" s="3" t="inlineStr">
        <is>
          <t>Instalaciones</t>
        </is>
      </c>
      <c r="H637" s="3" t="inlineStr">
        <is>
          <t>estandar</t>
        </is>
      </c>
      <c r="I637" s="3" t="inlineStr">
        <is>
          <t>importado</t>
        </is>
      </c>
      <c r="J637" s="5" t="n">
        <v>1</v>
      </c>
      <c r="K637" s="6" t="n">
        <v>313.56</v>
      </c>
      <c r="L637" s="6" t="n">
        <v>313.56</v>
      </c>
      <c r="M637" s="6" t="n">
        <v>313.56</v>
      </c>
      <c r="N637" s="3" t="inlineStr">
        <is>
          <t>Sí</t>
        </is>
      </c>
      <c r="O637" s="6">
        <f>IF(K637="","",IF(N637="Sí",ROUND(K637/1.18,2),K637))</f>
        <v/>
      </c>
      <c r="P637" s="3" t="inlineStr">
        <is>
          <t>2026-09-09</t>
        </is>
      </c>
      <c r="Q637" s="4" t="inlineStr">
        <is>
          <t>Max Ferretería</t>
        </is>
      </c>
      <c r="X637" s="7" t="inlineStr">
        <is>
          <t>ahorrador</t>
        </is>
      </c>
      <c r="AF637" s="4" t="inlineStr">
        <is>
          <t>potencia_w: 45</t>
        </is>
      </c>
    </row>
    <row r="638">
      <c r="A638" s="3" t="inlineStr">
        <is>
          <t>MAT-10-022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Bombillo ahorrador de 7 W</t>
        </is>
      </c>
      <c r="E638" s="4" t="inlineStr"/>
      <c r="F638" s="3" t="inlineStr">
        <is>
          <t>unidad</t>
        </is>
      </c>
      <c r="G638" s="3" t="inlineStr">
        <is>
          <t>Instalaciones</t>
        </is>
      </c>
      <c r="H638" s="3" t="inlineStr">
        <is>
          <t>estandar</t>
        </is>
      </c>
      <c r="I638" s="3" t="inlineStr">
        <is>
          <t>importado</t>
        </is>
      </c>
      <c r="J638" s="5" t="n">
        <v>1</v>
      </c>
      <c r="K638" s="6" t="n">
        <v>100</v>
      </c>
      <c r="L638" s="6" t="n">
        <v>100</v>
      </c>
      <c r="M638" s="6" t="n">
        <v>100</v>
      </c>
      <c r="N638" s="3" t="inlineStr">
        <is>
          <t>Sí</t>
        </is>
      </c>
      <c r="O638" s="6">
        <f>IF(K638="","",IF(N638="Sí",ROUND(K638/1.18,2),K638))</f>
        <v/>
      </c>
      <c r="P638" s="3" t="inlineStr">
        <is>
          <t>2026-09-09</t>
        </is>
      </c>
      <c r="Q638" s="4" t="inlineStr">
        <is>
          <t>Max Ferretería</t>
        </is>
      </c>
      <c r="X638" s="7" t="inlineStr">
        <is>
          <t>ahorrador</t>
        </is>
      </c>
      <c r="AF638" s="4" t="inlineStr">
        <is>
          <t>potencia_w: 7 · temp_k: 6500</t>
        </is>
      </c>
    </row>
    <row r="639">
      <c r="A639" s="3" t="inlineStr">
        <is>
          <t>MAT-10-023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Bombillo ahorrador de 85 W</t>
        </is>
      </c>
      <c r="E639" s="4" t="inlineStr"/>
      <c r="F639" s="3" t="inlineStr">
        <is>
          <t>unidad</t>
        </is>
      </c>
      <c r="G639" s="3" t="inlineStr">
        <is>
          <t>Instalaciones</t>
        </is>
      </c>
      <c r="H639" s="3" t="inlineStr">
        <is>
          <t>estandar</t>
        </is>
      </c>
      <c r="I639" s="3" t="inlineStr">
        <is>
          <t>importado</t>
        </is>
      </c>
      <c r="J639" s="5" t="n">
        <v>1</v>
      </c>
      <c r="K639" s="6" t="n">
        <v>795</v>
      </c>
      <c r="L639" s="6" t="n">
        <v>795</v>
      </c>
      <c r="M639" s="6" t="n">
        <v>795</v>
      </c>
      <c r="N639" s="3" t="inlineStr">
        <is>
          <t>Sí</t>
        </is>
      </c>
      <c r="O639" s="6">
        <f>IF(K639="","",IF(N639="Sí",ROUND(K639/1.18,2),K639))</f>
        <v/>
      </c>
      <c r="P639" s="3" t="inlineStr">
        <is>
          <t>2026-09-09</t>
        </is>
      </c>
      <c r="Q639" s="4" t="inlineStr">
        <is>
          <t>Max Ferretería</t>
        </is>
      </c>
      <c r="X639" s="7" t="inlineStr">
        <is>
          <t>ahorrador</t>
        </is>
      </c>
      <c r="AF639" s="4" t="inlineStr">
        <is>
          <t>potencia_w: 85 · temp_k: 6400</t>
        </is>
      </c>
    </row>
    <row r="640">
      <c r="A640" s="3" t="inlineStr">
        <is>
          <t>MAT-10-024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Bombillo bajo consumo de 11 W</t>
        </is>
      </c>
      <c r="E640" s="4" t="inlineStr"/>
      <c r="F640" s="3" t="inlineStr">
        <is>
          <t>unidad</t>
        </is>
      </c>
      <c r="G640" s="3" t="inlineStr">
        <is>
          <t>Instalaciones</t>
        </is>
      </c>
      <c r="H640" s="3" t="inlineStr">
        <is>
          <t>estandar</t>
        </is>
      </c>
      <c r="I640" s="3" t="inlineStr">
        <is>
          <t>importado</t>
        </is>
      </c>
      <c r="J640" s="5" t="n">
        <v>1</v>
      </c>
      <c r="K640" s="6" t="n">
        <v>95</v>
      </c>
      <c r="L640" s="6" t="n">
        <v>95</v>
      </c>
      <c r="M640" s="6" t="n">
        <v>95</v>
      </c>
      <c r="N640" s="3" t="inlineStr">
        <is>
          <t>Sí</t>
        </is>
      </c>
      <c r="O640" s="6">
        <f>IF(K640="","",IF(N640="Sí",ROUND(K640/1.18,2),K640))</f>
        <v/>
      </c>
      <c r="P640" s="3" t="inlineStr">
        <is>
          <t>2026-09-10</t>
        </is>
      </c>
      <c r="Q640" s="4" t="inlineStr">
        <is>
          <t>Bellón</t>
        </is>
      </c>
      <c r="X640" s="7" t="inlineStr">
        <is>
          <t>bajo consumo</t>
        </is>
      </c>
      <c r="AF640" s="4" t="inlineStr">
        <is>
          <t>potencia_w: 11</t>
        </is>
      </c>
    </row>
    <row r="641">
      <c r="A641" s="3" t="inlineStr">
        <is>
          <t>MAT-10-025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Bombillo bajo consumo de 13 W</t>
        </is>
      </c>
      <c r="E641" s="4" t="inlineStr"/>
      <c r="F641" s="3" t="inlineStr">
        <is>
          <t>unidad</t>
        </is>
      </c>
      <c r="G641" s="3" t="inlineStr">
        <is>
          <t>Instalaciones</t>
        </is>
      </c>
      <c r="H641" s="3" t="inlineStr">
        <is>
          <t>estandar</t>
        </is>
      </c>
      <c r="I641" s="3" t="inlineStr">
        <is>
          <t>importado</t>
        </is>
      </c>
      <c r="J641" s="5" t="n">
        <v>1</v>
      </c>
      <c r="K641" s="6" t="n">
        <v>102</v>
      </c>
      <c r="L641" s="6" t="n">
        <v>102</v>
      </c>
      <c r="M641" s="6" t="n">
        <v>102</v>
      </c>
      <c r="N641" s="3" t="inlineStr">
        <is>
          <t>Sí</t>
        </is>
      </c>
      <c r="O641" s="6">
        <f>IF(K641="","",IF(N641="Sí",ROUND(K641/1.18,2),K641))</f>
        <v/>
      </c>
      <c r="P641" s="3" t="inlineStr">
        <is>
          <t>2026-09-10</t>
        </is>
      </c>
      <c r="Q641" s="4" t="inlineStr">
        <is>
          <t>Bellón</t>
        </is>
      </c>
      <c r="X641" s="7" t="inlineStr">
        <is>
          <t>bajo consumo</t>
        </is>
      </c>
      <c r="AF641" s="4" t="inlineStr">
        <is>
          <t>potencia_w: 13</t>
        </is>
      </c>
    </row>
    <row r="642">
      <c r="A642" s="3" t="inlineStr">
        <is>
          <t>MAT-10-026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Bombillo bajo consumo de 15 W</t>
        </is>
      </c>
      <c r="E642" s="4" t="inlineStr"/>
      <c r="F642" s="3" t="inlineStr">
        <is>
          <t>unidad</t>
        </is>
      </c>
      <c r="G642" s="3" t="inlineStr">
        <is>
          <t>Instalaciones</t>
        </is>
      </c>
      <c r="H642" s="3" t="inlineStr">
        <is>
          <t>estandar</t>
        </is>
      </c>
      <c r="I642" s="3" t="inlineStr">
        <is>
          <t>importado</t>
        </is>
      </c>
      <c r="J642" s="5" t="n">
        <v>2</v>
      </c>
      <c r="K642" s="6" t="n">
        <v>115.5</v>
      </c>
      <c r="L642" s="6" t="n">
        <v>85</v>
      </c>
      <c r="M642" s="6" t="n">
        <v>187</v>
      </c>
      <c r="N642" s="3" t="inlineStr">
        <is>
          <t>Sí</t>
        </is>
      </c>
      <c r="O642" s="6">
        <f>IF(K642="","",IF(N642="Sí",ROUND(K642/1.18,2),K642))</f>
        <v/>
      </c>
      <c r="P642" s="3" t="inlineStr">
        <is>
          <t>2026-09-10</t>
        </is>
      </c>
      <c r="Q642" s="4" t="inlineStr">
        <is>
          <t>Bellón · Ferremix (Grupo Alterra)</t>
        </is>
      </c>
      <c r="X642" s="7" t="inlineStr">
        <is>
          <t>bajo consumo</t>
        </is>
      </c>
      <c r="AF642" s="4" t="inlineStr">
        <is>
          <t>potencia_w: 15</t>
        </is>
      </c>
    </row>
    <row r="643">
      <c r="A643" s="3" t="inlineStr">
        <is>
          <t>MAT-10-027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Bombillo bajo consumo de 20 W</t>
        </is>
      </c>
      <c r="E643" s="4" t="inlineStr"/>
      <c r="F643" s="3" t="inlineStr">
        <is>
          <t>unidad</t>
        </is>
      </c>
      <c r="G643" s="3" t="inlineStr">
        <is>
          <t>Instalaciones</t>
        </is>
      </c>
      <c r="H643" s="3" t="inlineStr">
        <is>
          <t>estandar</t>
        </is>
      </c>
      <c r="I643" s="3" t="inlineStr">
        <is>
          <t>importado</t>
        </is>
      </c>
      <c r="J643" s="5" t="n">
        <v>2</v>
      </c>
      <c r="K643" s="6" t="n">
        <v>135</v>
      </c>
      <c r="L643" s="6" t="n">
        <v>110</v>
      </c>
      <c r="M643" s="6" t="n">
        <v>187</v>
      </c>
      <c r="N643" s="3" t="inlineStr">
        <is>
          <t>Sí</t>
        </is>
      </c>
      <c r="O643" s="6">
        <f>IF(K643="","",IF(N643="Sí",ROUND(K643/1.18,2),K643))</f>
        <v/>
      </c>
      <c r="P643" s="3" t="inlineStr">
        <is>
          <t>2026-09-10</t>
        </is>
      </c>
      <c r="Q643" s="4" t="inlineStr">
        <is>
          <t>Bellón · Ferremix (Grupo Alterra)</t>
        </is>
      </c>
      <c r="X643" s="7" t="inlineStr">
        <is>
          <t>bajo consumo</t>
        </is>
      </c>
      <c r="AF643" s="4" t="inlineStr">
        <is>
          <t>potencia_w: 20</t>
        </is>
      </c>
    </row>
    <row r="644">
      <c r="A644" s="3" t="inlineStr">
        <is>
          <t>MAT-10-028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Bombillo bajo consumo de 24 W</t>
        </is>
      </c>
      <c r="E644" s="4" t="inlineStr"/>
      <c r="F644" s="3" t="inlineStr">
        <is>
          <t>unidad</t>
        </is>
      </c>
      <c r="G644" s="3" t="inlineStr">
        <is>
          <t>Instalaciones</t>
        </is>
      </c>
      <c r="H644" s="3" t="inlineStr">
        <is>
          <t>estandar</t>
        </is>
      </c>
      <c r="I644" s="3" t="inlineStr">
        <is>
          <t>importado</t>
        </is>
      </c>
      <c r="J644" s="5" t="n">
        <v>1</v>
      </c>
      <c r="K644" s="6" t="n">
        <v>145</v>
      </c>
      <c r="L644" s="6" t="n">
        <v>145</v>
      </c>
      <c r="M644" s="6" t="n">
        <v>145</v>
      </c>
      <c r="N644" s="3" t="inlineStr">
        <is>
          <t>Sí</t>
        </is>
      </c>
      <c r="O644" s="6">
        <f>IF(K644="","",IF(N644="Sí",ROUND(K644/1.18,2),K644))</f>
        <v/>
      </c>
      <c r="P644" s="3" t="inlineStr">
        <is>
          <t>2026-09-10</t>
        </is>
      </c>
      <c r="Q644" s="4" t="inlineStr">
        <is>
          <t>Ferremix (Grupo Alterra)</t>
        </is>
      </c>
      <c r="X644" s="7" t="inlineStr">
        <is>
          <t>bajo consumo</t>
        </is>
      </c>
      <c r="AF644" s="4" t="inlineStr">
        <is>
          <t>potencia_w: 24</t>
        </is>
      </c>
    </row>
    <row r="645">
      <c r="A645" s="3" t="inlineStr">
        <is>
          <t>MAT-10-029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Bombillo bajo consumo de 45 W</t>
        </is>
      </c>
      <c r="E645" s="4" t="inlineStr"/>
      <c r="F645" s="3" t="inlineStr">
        <is>
          <t>unidad</t>
        </is>
      </c>
      <c r="G645" s="3" t="inlineStr">
        <is>
          <t>Instalaciones</t>
        </is>
      </c>
      <c r="H645" s="3" t="inlineStr">
        <is>
          <t>estandar</t>
        </is>
      </c>
      <c r="I645" s="3" t="inlineStr">
        <is>
          <t>importado</t>
        </is>
      </c>
      <c r="J645" s="5" t="n">
        <v>1</v>
      </c>
      <c r="K645" s="6" t="n">
        <v>595</v>
      </c>
      <c r="L645" s="6" t="n">
        <v>595</v>
      </c>
      <c r="M645" s="6" t="n">
        <v>595</v>
      </c>
      <c r="N645" s="3" t="inlineStr">
        <is>
          <t>Sí</t>
        </is>
      </c>
      <c r="O645" s="6">
        <f>IF(K645="","",IF(N645="Sí",ROUND(K645/1.18,2),K645))</f>
        <v/>
      </c>
      <c r="P645" s="3" t="inlineStr">
        <is>
          <t>2026-09-10</t>
        </is>
      </c>
      <c r="Q645" s="4" t="inlineStr">
        <is>
          <t>Bellón</t>
        </is>
      </c>
      <c r="X645" s="7" t="inlineStr">
        <is>
          <t>bajo consumo</t>
        </is>
      </c>
      <c r="AF645" s="4" t="inlineStr">
        <is>
          <t>potencia_w: 45</t>
        </is>
      </c>
    </row>
    <row r="646">
      <c r="A646" s="3" t="inlineStr">
        <is>
          <t>MAT-10-030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Bombillo halógeno de 50 W</t>
        </is>
      </c>
      <c r="E646" s="4" t="inlineStr"/>
      <c r="F646" s="3" t="inlineStr">
        <is>
          <t>unidad</t>
        </is>
      </c>
      <c r="G646" s="3" t="inlineStr">
        <is>
          <t>Instalaciones</t>
        </is>
      </c>
      <c r="H646" s="3" t="inlineStr">
        <is>
          <t>estandar</t>
        </is>
      </c>
      <c r="I646" s="3" t="inlineStr">
        <is>
          <t>importado</t>
        </is>
      </c>
      <c r="J646" s="5" t="n">
        <v>2</v>
      </c>
      <c r="K646" s="6" t="n">
        <v>70</v>
      </c>
      <c r="L646" s="6" t="n">
        <v>59</v>
      </c>
      <c r="M646" s="6" t="n">
        <v>122</v>
      </c>
      <c r="N646" s="3" t="inlineStr">
        <is>
          <t>Sí</t>
        </is>
      </c>
      <c r="O646" s="6">
        <f>IF(K646="","",IF(N646="Sí",ROUND(K646/1.18,2),K646))</f>
        <v/>
      </c>
      <c r="P646" s="3" t="inlineStr">
        <is>
          <t>2026-09-10</t>
        </is>
      </c>
      <c r="Q646" s="4" t="inlineStr">
        <is>
          <t>Bellón · Ferremix (Grupo Alterra)</t>
        </is>
      </c>
      <c r="X646" s="7" t="inlineStr">
        <is>
          <t>halógeno</t>
        </is>
      </c>
      <c r="AF646" s="4" t="inlineStr">
        <is>
          <t>potencia_w: 50</t>
        </is>
      </c>
    </row>
    <row r="647">
      <c r="A647" s="3" t="inlineStr">
        <is>
          <t>MAT-10-031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Bombillo halógeno de 75 W</t>
        </is>
      </c>
      <c r="E647" s="4" t="inlineStr"/>
      <c r="F647" s="3" t="inlineStr">
        <is>
          <t>unidad</t>
        </is>
      </c>
      <c r="G647" s="3" t="inlineStr">
        <is>
          <t>Instalaciones</t>
        </is>
      </c>
      <c r="H647" s="3" t="inlineStr">
        <is>
          <t>estandar</t>
        </is>
      </c>
      <c r="I647" s="3" t="inlineStr">
        <is>
          <t>importado</t>
        </is>
      </c>
      <c r="J647" s="5" t="n">
        <v>1</v>
      </c>
      <c r="K647" s="6" t="n">
        <v>234</v>
      </c>
      <c r="L647" s="6" t="n">
        <v>234</v>
      </c>
      <c r="M647" s="6" t="n">
        <v>234</v>
      </c>
      <c r="N647" s="3" t="inlineStr">
        <is>
          <t>Sí</t>
        </is>
      </c>
      <c r="O647" s="6">
        <f>IF(K647="","",IF(N647="Sí",ROUND(K647/1.18,2),K647))</f>
        <v/>
      </c>
      <c r="P647" s="3" t="inlineStr">
        <is>
          <t>2026-09-10</t>
        </is>
      </c>
      <c r="Q647" s="4" t="inlineStr">
        <is>
          <t>Bellón</t>
        </is>
      </c>
      <c r="X647" s="7" t="inlineStr">
        <is>
          <t>halógeno</t>
        </is>
      </c>
      <c r="AF647" s="4" t="inlineStr">
        <is>
          <t>potencia_w: 75</t>
        </is>
      </c>
    </row>
    <row r="648">
      <c r="A648" s="3" t="inlineStr">
        <is>
          <t>MAT-10-032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Bombillo incandescente de 100 W</t>
        </is>
      </c>
      <c r="E648" s="4" t="inlineStr"/>
      <c r="F648" s="3" t="inlineStr">
        <is>
          <t>unidad</t>
        </is>
      </c>
      <c r="G648" s="3" t="inlineStr">
        <is>
          <t>Instalaciones</t>
        </is>
      </c>
      <c r="H648" s="3" t="inlineStr">
        <is>
          <t>estandar</t>
        </is>
      </c>
      <c r="I648" s="3" t="inlineStr">
        <is>
          <t>importado</t>
        </is>
      </c>
      <c r="J648" s="5" t="n">
        <v>1</v>
      </c>
      <c r="K648" s="6" t="n">
        <v>41</v>
      </c>
      <c r="L648" s="6" t="n">
        <v>41</v>
      </c>
      <c r="M648" s="6" t="n">
        <v>41</v>
      </c>
      <c r="N648" s="3" t="inlineStr">
        <is>
          <t>Sí</t>
        </is>
      </c>
      <c r="O648" s="6">
        <f>IF(K648="","",IF(N648="Sí",ROUND(K648/1.18,2),K648))</f>
        <v/>
      </c>
      <c r="P648" s="3" t="inlineStr">
        <is>
          <t>2026-09-10</t>
        </is>
      </c>
      <c r="Q648" s="4" t="inlineStr">
        <is>
          <t>Bellón</t>
        </is>
      </c>
      <c r="X648" s="7" t="inlineStr">
        <is>
          <t>incandescente</t>
        </is>
      </c>
      <c r="AF648" s="4" t="inlineStr">
        <is>
          <t>potencia_w: 100</t>
        </is>
      </c>
    </row>
    <row r="649">
      <c r="A649" s="3" t="inlineStr">
        <is>
          <t>MAT-10-033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Bombillo incandescente de 11 W</t>
        </is>
      </c>
      <c r="E649" s="4" t="inlineStr"/>
      <c r="F649" s="3" t="inlineStr">
        <is>
          <t>unidad</t>
        </is>
      </c>
      <c r="G649" s="3" t="inlineStr">
        <is>
          <t>Instalaciones</t>
        </is>
      </c>
      <c r="H649" s="3" t="inlineStr">
        <is>
          <t>estandar</t>
        </is>
      </c>
      <c r="I649" s="3" t="inlineStr">
        <is>
          <t>importado</t>
        </is>
      </c>
      <c r="J649" s="5" t="n">
        <v>1</v>
      </c>
      <c r="K649" s="6" t="n">
        <v>50</v>
      </c>
      <c r="L649" s="6" t="n">
        <v>50</v>
      </c>
      <c r="M649" s="6" t="n">
        <v>50</v>
      </c>
      <c r="N649" s="3" t="inlineStr">
        <is>
          <t>Sí</t>
        </is>
      </c>
      <c r="O649" s="6">
        <f>IF(K649="","",IF(N649="Sí",ROUND(K649/1.18,2),K649))</f>
        <v/>
      </c>
      <c r="P649" s="3" t="inlineStr">
        <is>
          <t>2026-09-10</t>
        </is>
      </c>
      <c r="Q649" s="4" t="inlineStr">
        <is>
          <t>Ferremix (Grupo Alterra)</t>
        </is>
      </c>
      <c r="X649" s="7" t="inlineStr">
        <is>
          <t>incandescente</t>
        </is>
      </c>
      <c r="AF649" s="4" t="inlineStr">
        <is>
          <t>potencia_w: 11</t>
        </is>
      </c>
    </row>
    <row r="650">
      <c r="A650" s="3" t="inlineStr">
        <is>
          <t>MAT-10-034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Bombillo incandescente de 15 W</t>
        </is>
      </c>
      <c r="E650" s="4" t="inlineStr"/>
      <c r="F650" s="3" t="inlineStr">
        <is>
          <t>unidad</t>
        </is>
      </c>
      <c r="G650" s="3" t="inlineStr">
        <is>
          <t>Instalaciones</t>
        </is>
      </c>
      <c r="H650" s="3" t="inlineStr">
        <is>
          <t>estandar</t>
        </is>
      </c>
      <c r="I650" s="3" t="inlineStr">
        <is>
          <t>importado</t>
        </is>
      </c>
      <c r="J650" s="5" t="n">
        <v>1</v>
      </c>
      <c r="K650" s="6" t="n">
        <v>148</v>
      </c>
      <c r="L650" s="6" t="n">
        <v>148</v>
      </c>
      <c r="M650" s="6" t="n">
        <v>148</v>
      </c>
      <c r="N650" s="3" t="inlineStr">
        <is>
          <t>Sí</t>
        </is>
      </c>
      <c r="O650" s="6">
        <f>IF(K650="","",IF(N650="Sí",ROUND(K650/1.18,2),K650))</f>
        <v/>
      </c>
      <c r="P650" s="3" t="inlineStr">
        <is>
          <t>2026-09-10</t>
        </is>
      </c>
      <c r="Q650" s="4" t="inlineStr">
        <is>
          <t>Bellón</t>
        </is>
      </c>
      <c r="X650" s="7" t="inlineStr">
        <is>
          <t>incandescente</t>
        </is>
      </c>
      <c r="AF650" s="4" t="inlineStr">
        <is>
          <t>potencia_w: 15</t>
        </is>
      </c>
    </row>
    <row r="651">
      <c r="A651" s="3" t="inlineStr">
        <is>
          <t>MAT-10-035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Bombillo incandescente de 25 W</t>
        </is>
      </c>
      <c r="E651" s="4" t="inlineStr"/>
      <c r="F651" s="3" t="inlineStr">
        <is>
          <t>unidad</t>
        </is>
      </c>
      <c r="G651" s="3" t="inlineStr">
        <is>
          <t>Instalaciones</t>
        </is>
      </c>
      <c r="H651" s="3" t="inlineStr">
        <is>
          <t>estandar</t>
        </is>
      </c>
      <c r="I651" s="3" t="inlineStr">
        <is>
          <t>importado</t>
        </is>
      </c>
      <c r="J651" s="5" t="n">
        <v>2</v>
      </c>
      <c r="K651" s="6" t="n">
        <v>106.5</v>
      </c>
      <c r="L651" s="6" t="n">
        <v>85</v>
      </c>
      <c r="M651" s="6" t="n">
        <v>247</v>
      </c>
      <c r="N651" s="3" t="inlineStr">
        <is>
          <t>Sí</t>
        </is>
      </c>
      <c r="O651" s="6">
        <f>IF(K651="","",IF(N651="Sí",ROUND(K651/1.18,2),K651))</f>
        <v/>
      </c>
      <c r="P651" s="3" t="inlineStr">
        <is>
          <t>2026-09-10</t>
        </is>
      </c>
      <c r="Q651" s="4" t="inlineStr">
        <is>
          <t>Bellón · Max Ferretería</t>
        </is>
      </c>
      <c r="X651" s="7" t="inlineStr">
        <is>
          <t>incandescente</t>
        </is>
      </c>
      <c r="AF651" s="4" t="inlineStr">
        <is>
          <t>potencia_w: 25</t>
        </is>
      </c>
    </row>
    <row r="652">
      <c r="A652" s="3" t="inlineStr">
        <is>
          <t>MAT-10-036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Bombillo incandescente de 250 W</t>
        </is>
      </c>
      <c r="E652" s="4" t="inlineStr"/>
      <c r="F652" s="3" t="inlineStr">
        <is>
          <t>unidad</t>
        </is>
      </c>
      <c r="G652" s="3" t="inlineStr">
        <is>
          <t>Instalaciones</t>
        </is>
      </c>
      <c r="H652" s="3" t="inlineStr">
        <is>
          <t>estandar</t>
        </is>
      </c>
      <c r="I652" s="3" t="inlineStr">
        <is>
          <t>importado</t>
        </is>
      </c>
      <c r="J652" s="5" t="n">
        <v>1</v>
      </c>
      <c r="K652" s="6" t="n">
        <v>628</v>
      </c>
      <c r="L652" s="6" t="n">
        <v>628</v>
      </c>
      <c r="M652" s="6" t="n">
        <v>628</v>
      </c>
      <c r="N652" s="3" t="inlineStr">
        <is>
          <t>Sí</t>
        </is>
      </c>
      <c r="O652" s="6">
        <f>IF(K652="","",IF(N652="Sí",ROUND(K652/1.18,2),K652))</f>
        <v/>
      </c>
      <c r="P652" s="3" t="inlineStr">
        <is>
          <t>2026-09-10</t>
        </is>
      </c>
      <c r="Q652" s="4" t="inlineStr">
        <is>
          <t>Bellón</t>
        </is>
      </c>
      <c r="X652" s="7" t="inlineStr">
        <is>
          <t>incandescente</t>
        </is>
      </c>
      <c r="AF652" s="4" t="inlineStr">
        <is>
          <t>potencia_w: 250</t>
        </is>
      </c>
    </row>
    <row r="653">
      <c r="A653" s="3" t="inlineStr">
        <is>
          <t>MAT-10-037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Bombillo incandescente de 40 W</t>
        </is>
      </c>
      <c r="E653" s="4" t="inlineStr"/>
      <c r="F653" s="3" t="inlineStr">
        <is>
          <t>unidad</t>
        </is>
      </c>
      <c r="G653" s="3" t="inlineStr">
        <is>
          <t>Instalaciones</t>
        </is>
      </c>
      <c r="H653" s="3" t="inlineStr">
        <is>
          <t>estandar</t>
        </is>
      </c>
      <c r="I653" s="3" t="inlineStr">
        <is>
          <t>importado</t>
        </is>
      </c>
      <c r="J653" s="5" t="n">
        <v>3</v>
      </c>
      <c r="K653" s="6" t="n">
        <v>122</v>
      </c>
      <c r="L653" s="6" t="n">
        <v>80</v>
      </c>
      <c r="M653" s="6" t="n">
        <v>475</v>
      </c>
      <c r="N653" s="3" t="inlineStr">
        <is>
          <t>Sí</t>
        </is>
      </c>
      <c r="O653" s="6">
        <f>IF(K653="","",IF(N653="Sí",ROUND(K653/1.18,2),K653))</f>
        <v/>
      </c>
      <c r="P653" s="3" t="inlineStr">
        <is>
          <t>2026-09-10</t>
        </is>
      </c>
      <c r="Q653" s="4" t="inlineStr">
        <is>
          <t>Bellón · Ferremix (Grupo Alterra) · Max Ferretería</t>
        </is>
      </c>
      <c r="X653" s="7" t="inlineStr">
        <is>
          <t>incandescente</t>
        </is>
      </c>
      <c r="AF653" s="4" t="inlineStr">
        <is>
          <t>potencia_w: 40</t>
        </is>
      </c>
    </row>
    <row r="654">
      <c r="A654" s="3" t="inlineStr">
        <is>
          <t>MAT-10-038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Bombillo incandescente de 50 W</t>
        </is>
      </c>
      <c r="E654" s="4" t="inlineStr"/>
      <c r="F654" s="3" t="inlineStr">
        <is>
          <t>unidad</t>
        </is>
      </c>
      <c r="G654" s="3" t="inlineStr">
        <is>
          <t>Instalaciones</t>
        </is>
      </c>
      <c r="H654" s="3" t="inlineStr">
        <is>
          <t>estandar</t>
        </is>
      </c>
      <c r="I654" s="3" t="inlineStr">
        <is>
          <t>importado</t>
        </is>
      </c>
      <c r="J654" s="5" t="n">
        <v>1</v>
      </c>
      <c r="K654" s="6" t="n">
        <v>235.06</v>
      </c>
      <c r="L654" s="6" t="n">
        <v>235.06</v>
      </c>
      <c r="M654" s="6" t="n">
        <v>235.06</v>
      </c>
      <c r="N654" s="3" t="inlineStr">
        <is>
          <t>Sí</t>
        </is>
      </c>
      <c r="O654" s="6">
        <f>IF(K654="","",IF(N654="Sí",ROUND(K654/1.18,2),K654))</f>
        <v/>
      </c>
      <c r="P654" s="3" t="inlineStr">
        <is>
          <t>2026-09-09</t>
        </is>
      </c>
      <c r="Q654" s="4" t="inlineStr">
        <is>
          <t>Max Ferretería</t>
        </is>
      </c>
      <c r="V654" s="7" t="inlineStr">
        <is>
          <t>R20</t>
        </is>
      </c>
      <c r="X654" s="7" t="inlineStr">
        <is>
          <t>incandescente</t>
        </is>
      </c>
      <c r="AF654" s="4" t="inlineStr">
        <is>
          <t>potencia_w: 50</t>
        </is>
      </c>
    </row>
    <row r="655">
      <c r="A655" s="3" t="inlineStr">
        <is>
          <t>MAT-10-039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incandescente de 75 W</t>
        </is>
      </c>
      <c r="E655" s="4" t="inlineStr"/>
      <c r="F655" s="3" t="inlineStr">
        <is>
          <t>unidad</t>
        </is>
      </c>
      <c r="G655" s="3" t="inlineStr">
        <is>
          <t>Instalaciones</t>
        </is>
      </c>
      <c r="H655" s="3" t="inlineStr">
        <is>
          <t>estandar</t>
        </is>
      </c>
      <c r="I655" s="3" t="inlineStr">
        <is>
          <t>importado</t>
        </is>
      </c>
      <c r="J655" s="5" t="n">
        <v>1</v>
      </c>
      <c r="K655" s="6" t="n">
        <v>42</v>
      </c>
      <c r="L655" s="6" t="n">
        <v>42</v>
      </c>
      <c r="M655" s="6" t="n">
        <v>42</v>
      </c>
      <c r="N655" s="3" t="inlineStr">
        <is>
          <t>Sí</t>
        </is>
      </c>
      <c r="O655" s="6">
        <f>IF(K655="","",IF(N655="Sí",ROUND(K655/1.18,2),K655))</f>
        <v/>
      </c>
      <c r="P655" s="3" t="inlineStr">
        <is>
          <t>2026-09-10</t>
        </is>
      </c>
      <c r="Q655" s="4" t="inlineStr">
        <is>
          <t>Bellón</t>
        </is>
      </c>
      <c r="X655" s="7" t="inlineStr">
        <is>
          <t>incandescente</t>
        </is>
      </c>
      <c r="AF655" s="4" t="inlineStr">
        <is>
          <t>potencia_w: 75</t>
        </is>
      </c>
    </row>
    <row r="656">
      <c r="A656" s="3" t="inlineStr">
        <is>
          <t>MAT-10-041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LED de 1.2 W</t>
        </is>
      </c>
      <c r="E656" s="4" t="inlineStr"/>
      <c r="F656" s="3" t="inlineStr">
        <is>
          <t>unidad</t>
        </is>
      </c>
      <c r="G656" s="3" t="inlineStr">
        <is>
          <t>Instalaciones</t>
        </is>
      </c>
      <c r="H656" s="3" t="inlineStr">
        <is>
          <t>estandar</t>
        </is>
      </c>
      <c r="I656" s="3" t="inlineStr">
        <is>
          <t>importado</t>
        </is>
      </c>
      <c r="J656" s="5" t="n">
        <v>1</v>
      </c>
      <c r="K656" s="6" t="n">
        <v>40</v>
      </c>
      <c r="L656" s="6" t="n">
        <v>40</v>
      </c>
      <c r="M656" s="6" t="n">
        <v>40</v>
      </c>
      <c r="N656" s="3" t="inlineStr">
        <is>
          <t>Sí</t>
        </is>
      </c>
      <c r="O656" s="6">
        <f>IF(K656="","",IF(N656="Sí",ROUND(K656/1.18,2),K656))</f>
        <v/>
      </c>
      <c r="P656" s="3" t="inlineStr">
        <is>
          <t>2026-09-09</t>
        </is>
      </c>
      <c r="Q656" s="4" t="inlineStr">
        <is>
          <t>Max Ferretería</t>
        </is>
      </c>
      <c r="X656" s="7" t="inlineStr">
        <is>
          <t>LED</t>
        </is>
      </c>
      <c r="AF656" s="4" t="inlineStr">
        <is>
          <t>potencia_w: 1.2</t>
        </is>
      </c>
    </row>
    <row r="657">
      <c r="A657" s="3" t="inlineStr">
        <is>
          <t>MAT-10-042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led de 1.6 W</t>
        </is>
      </c>
      <c r="E657" s="4" t="inlineStr"/>
      <c r="F657" s="3" t="inlineStr">
        <is>
          <t>unidad</t>
        </is>
      </c>
      <c r="G657" s="3" t="inlineStr">
        <is>
          <t>Instalaciones</t>
        </is>
      </c>
      <c r="H657" s="3" t="inlineStr">
        <is>
          <t>estandar</t>
        </is>
      </c>
      <c r="I657" s="3" t="inlineStr">
        <is>
          <t>importado</t>
        </is>
      </c>
      <c r="J657" s="5" t="n">
        <v>1</v>
      </c>
      <c r="K657" s="6" t="n">
        <v>648.5</v>
      </c>
      <c r="L657" s="6" t="n">
        <v>530</v>
      </c>
      <c r="M657" s="6" t="n">
        <v>767</v>
      </c>
      <c r="N657" s="3" t="inlineStr">
        <is>
          <t>Sí</t>
        </is>
      </c>
      <c r="O657" s="6">
        <f>IF(K657="","",IF(N657="Sí",ROUND(K657/1.18,2),K657))</f>
        <v/>
      </c>
      <c r="P657" s="3" t="inlineStr">
        <is>
          <t>2026-09-10</t>
        </is>
      </c>
      <c r="Q657" s="4" t="inlineStr">
        <is>
          <t>Bellón</t>
        </is>
      </c>
      <c r="X657" s="7" t="inlineStr">
        <is>
          <t>led</t>
        </is>
      </c>
      <c r="AF657" s="4" t="inlineStr">
        <is>
          <t>potencia_w: 1.6</t>
        </is>
      </c>
    </row>
    <row r="658">
      <c r="A658" s="3" t="inlineStr">
        <is>
          <t>MAT-10-043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LED de 10 W</t>
        </is>
      </c>
      <c r="E658" s="4" t="inlineStr"/>
      <c r="F658" s="3" t="inlineStr">
        <is>
          <t>unidad</t>
        </is>
      </c>
      <c r="G658" s="3" t="inlineStr">
        <is>
          <t>Instalaciones</t>
        </is>
      </c>
      <c r="H658" s="3" t="inlineStr">
        <is>
          <t>estandar</t>
        </is>
      </c>
      <c r="I658" s="3" t="inlineStr">
        <is>
          <t>importado</t>
        </is>
      </c>
      <c r="J658" s="5" t="n">
        <v>3</v>
      </c>
      <c r="K658" s="6" t="n">
        <v>215</v>
      </c>
      <c r="L658" s="6" t="n">
        <v>159</v>
      </c>
      <c r="M658" s="6" t="n">
        <v>674</v>
      </c>
      <c r="N658" s="3" t="inlineStr">
        <is>
          <t>Sí</t>
        </is>
      </c>
      <c r="O658" s="6">
        <f>IF(K658="","",IF(N658="Sí",ROUND(K658/1.18,2),K658))</f>
        <v/>
      </c>
      <c r="P658" s="3" t="inlineStr">
        <is>
          <t>2026-09-10</t>
        </is>
      </c>
      <c r="Q658" s="4" t="inlineStr">
        <is>
          <t>Bellón · Ferremix (Grupo Alterra) · Max Ferretería</t>
        </is>
      </c>
      <c r="V658" s="7" t="inlineStr">
        <is>
          <t>A60</t>
        </is>
      </c>
      <c r="AF658" s="4" t="inlineStr">
        <is>
          <t>potencia_w: 10 · temp_k: 3000</t>
        </is>
      </c>
    </row>
    <row r="659">
      <c r="A659" s="3" t="inlineStr">
        <is>
          <t>MAT-10-044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led de 100 W</t>
        </is>
      </c>
      <c r="E659" s="4" t="inlineStr"/>
      <c r="F659" s="3" t="inlineStr">
        <is>
          <t>unidad</t>
        </is>
      </c>
      <c r="G659" s="3" t="inlineStr">
        <is>
          <t>Instalaciones</t>
        </is>
      </c>
      <c r="H659" s="3" t="inlineStr">
        <is>
          <t>estandar</t>
        </is>
      </c>
      <c r="I659" s="3" t="inlineStr">
        <is>
          <t>importado</t>
        </is>
      </c>
      <c r="J659" s="5" t="n">
        <v>1</v>
      </c>
      <c r="K659" s="6" t="n">
        <v>1825</v>
      </c>
      <c r="L659" s="6" t="n">
        <v>1825</v>
      </c>
      <c r="M659" s="6" t="n">
        <v>1825</v>
      </c>
      <c r="N659" s="3" t="inlineStr">
        <is>
          <t>Sí</t>
        </is>
      </c>
      <c r="O659" s="6">
        <f>IF(K659="","",IF(N659="Sí",ROUND(K659/1.18,2),K659))</f>
        <v/>
      </c>
      <c r="P659" s="3" t="inlineStr">
        <is>
          <t>2026-09-10</t>
        </is>
      </c>
      <c r="Q659" s="4" t="inlineStr">
        <is>
          <t>Bellón</t>
        </is>
      </c>
      <c r="X659" s="7" t="inlineStr">
        <is>
          <t>led</t>
        </is>
      </c>
      <c r="AF659" s="4" t="inlineStr">
        <is>
          <t>potencia_w: 100</t>
        </is>
      </c>
    </row>
    <row r="660">
      <c r="A660" s="3" t="inlineStr">
        <is>
          <t>MAT-10-045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LED de 11 W</t>
        </is>
      </c>
      <c r="E660" s="4" t="inlineStr"/>
      <c r="F660" s="3" t="inlineStr">
        <is>
          <t>unidad</t>
        </is>
      </c>
      <c r="G660" s="3" t="inlineStr">
        <is>
          <t>Instalaciones</t>
        </is>
      </c>
      <c r="H660" s="3" t="inlineStr">
        <is>
          <t>estandar</t>
        </is>
      </c>
      <c r="I660" s="3" t="inlineStr">
        <is>
          <t>importado</t>
        </is>
      </c>
      <c r="J660" s="5" t="n">
        <v>2</v>
      </c>
      <c r="K660" s="6" t="n">
        <v>515</v>
      </c>
      <c r="L660" s="6" t="n">
        <v>190</v>
      </c>
      <c r="M660" s="6" t="n">
        <v>930.01</v>
      </c>
      <c r="N660" s="3" t="inlineStr">
        <is>
          <t>Sí</t>
        </is>
      </c>
      <c r="O660" s="6">
        <f>IF(K660="","",IF(N660="Sí",ROUND(K660/1.18,2),K660))</f>
        <v/>
      </c>
      <c r="P660" s="3" t="inlineStr">
        <is>
          <t>2026-09-10</t>
        </is>
      </c>
      <c r="Q660" s="4" t="inlineStr">
        <is>
          <t>Bellón · Max Ferretería</t>
        </is>
      </c>
      <c r="AF660" s="4" t="inlineStr">
        <is>
          <t>potencia_w: 11</t>
        </is>
      </c>
    </row>
    <row r="661">
      <c r="A661" s="3" t="inlineStr">
        <is>
          <t>MAT-10-046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LED de 12 W</t>
        </is>
      </c>
      <c r="E661" s="4" t="inlineStr"/>
      <c r="F661" s="3" t="inlineStr">
        <is>
          <t>unidad</t>
        </is>
      </c>
      <c r="G661" s="3" t="inlineStr">
        <is>
          <t>Instalaciones</t>
        </is>
      </c>
      <c r="H661" s="3" t="inlineStr">
        <is>
          <t>estandar</t>
        </is>
      </c>
      <c r="I661" s="3" t="inlineStr">
        <is>
          <t>importado</t>
        </is>
      </c>
      <c r="J661" s="5" t="n">
        <v>4</v>
      </c>
      <c r="K661" s="6" t="n">
        <v>202</v>
      </c>
      <c r="L661" s="6" t="n">
        <v>60</v>
      </c>
      <c r="M661" s="6" t="n">
        <v>945</v>
      </c>
      <c r="N661" s="3" t="inlineStr">
        <is>
          <t>Sí</t>
        </is>
      </c>
      <c r="O661" s="6">
        <f>IF(K661="","",IF(N661="Sí",ROUND(K661/1.18,2),K661))</f>
        <v/>
      </c>
      <c r="P661" s="3" t="inlineStr">
        <is>
          <t>2026-09-10</t>
        </is>
      </c>
      <c r="Q661" s="4" t="inlineStr">
        <is>
          <t>Bellón · Ferremix (Grupo Alterra) · Max Ferretería · Mundo LED</t>
        </is>
      </c>
      <c r="V661" s="7" t="inlineStr">
        <is>
          <t>A60</t>
        </is>
      </c>
      <c r="AF661" s="4" t="inlineStr">
        <is>
          <t>potencia_w: 12</t>
        </is>
      </c>
    </row>
    <row r="662">
      <c r="A662" s="3" t="inlineStr">
        <is>
          <t>MAT-10-047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led de 125 W</t>
        </is>
      </c>
      <c r="E662" s="4" t="inlineStr"/>
      <c r="F662" s="3" t="inlineStr">
        <is>
          <t>unidad</t>
        </is>
      </c>
      <c r="G662" s="3" t="inlineStr">
        <is>
          <t>Instalaciones</t>
        </is>
      </c>
      <c r="H662" s="3" t="inlineStr">
        <is>
          <t>estandar</t>
        </is>
      </c>
      <c r="I662" s="3" t="inlineStr">
        <is>
          <t>importado</t>
        </is>
      </c>
      <c r="J662" s="5" t="n">
        <v>1</v>
      </c>
      <c r="K662" s="6" t="n">
        <v>295</v>
      </c>
      <c r="L662" s="6" t="n">
        <v>295</v>
      </c>
      <c r="M662" s="6" t="n">
        <v>295</v>
      </c>
      <c r="N662" s="3" t="inlineStr">
        <is>
          <t>Sí</t>
        </is>
      </c>
      <c r="O662" s="6">
        <f>IF(K662="","",IF(N662="Sí",ROUND(K662/1.18,2),K662))</f>
        <v/>
      </c>
      <c r="P662" s="3" t="inlineStr">
        <is>
          <t>2026-09-10</t>
        </is>
      </c>
      <c r="Q662" s="4" t="inlineStr">
        <is>
          <t>Ferremix (Grupo Alterra)</t>
        </is>
      </c>
      <c r="X662" s="7" t="inlineStr">
        <is>
          <t>led</t>
        </is>
      </c>
      <c r="AF662" s="4" t="inlineStr">
        <is>
          <t>potencia_w: 125</t>
        </is>
      </c>
    </row>
    <row r="663">
      <c r="A663" s="3" t="inlineStr">
        <is>
          <t>MAT-10-048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led de 13 W</t>
        </is>
      </c>
      <c r="E663" s="4" t="inlineStr"/>
      <c r="F663" s="3" t="inlineStr">
        <is>
          <t>unidad</t>
        </is>
      </c>
      <c r="G663" s="3" t="inlineStr">
        <is>
          <t>Instalaciones</t>
        </is>
      </c>
      <c r="H663" s="3" t="inlineStr">
        <is>
          <t>estandar</t>
        </is>
      </c>
      <c r="I663" s="3" t="inlineStr">
        <is>
          <t>importado</t>
        </is>
      </c>
      <c r="J663" s="5" t="n">
        <v>1</v>
      </c>
      <c r="K663" s="6" t="n">
        <v>245</v>
      </c>
      <c r="L663" s="6" t="n">
        <v>245</v>
      </c>
      <c r="M663" s="6" t="n">
        <v>245</v>
      </c>
      <c r="N663" s="3" t="inlineStr">
        <is>
          <t>Sí</t>
        </is>
      </c>
      <c r="O663" s="6">
        <f>IF(K663="","",IF(N663="Sí",ROUND(K663/1.18,2),K663))</f>
        <v/>
      </c>
      <c r="P663" s="3" t="inlineStr">
        <is>
          <t>2026-09-10</t>
        </is>
      </c>
      <c r="Q663" s="4" t="inlineStr">
        <is>
          <t>Bellón</t>
        </is>
      </c>
      <c r="X663" s="7" t="inlineStr">
        <is>
          <t>led</t>
        </is>
      </c>
      <c r="AF663" s="4" t="inlineStr">
        <is>
          <t>potencia_w: 13</t>
        </is>
      </c>
    </row>
    <row r="664">
      <c r="A664" s="3" t="inlineStr">
        <is>
          <t>MAT-10-049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LED de 14 W</t>
        </is>
      </c>
      <c r="E664" s="4" t="inlineStr"/>
      <c r="F664" s="3" t="inlineStr">
        <is>
          <t>unidad</t>
        </is>
      </c>
      <c r="G664" s="3" t="inlineStr">
        <is>
          <t>Instalaciones</t>
        </is>
      </c>
      <c r="H664" s="3" t="inlineStr">
        <is>
          <t>estandar</t>
        </is>
      </c>
      <c r="I664" s="3" t="inlineStr">
        <is>
          <t>importado</t>
        </is>
      </c>
      <c r="J664" s="5" t="n">
        <v>3</v>
      </c>
      <c r="K664" s="6" t="n">
        <v>240</v>
      </c>
      <c r="L664" s="6" t="n">
        <v>69</v>
      </c>
      <c r="M664" s="6" t="n">
        <v>1058</v>
      </c>
      <c r="N664" s="3" t="inlineStr">
        <is>
          <t>Sí</t>
        </is>
      </c>
      <c r="O664" s="6">
        <f>IF(K664="","",IF(N664="Sí",ROUND(K664/1.18,2),K664))</f>
        <v/>
      </c>
      <c r="P664" s="3" t="inlineStr">
        <is>
          <t>2026-09-10</t>
        </is>
      </c>
      <c r="Q664" s="4" t="inlineStr">
        <is>
          <t>Bellón · Ferremix (Grupo Alterra) · Max Ferretería</t>
        </is>
      </c>
      <c r="AF664" s="4" t="inlineStr">
        <is>
          <t>potencia_w: 14 · temp_k: 6500</t>
        </is>
      </c>
    </row>
    <row r="665">
      <c r="A665" s="3" t="inlineStr">
        <is>
          <t>MAT-10-050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LED de 15 W</t>
        </is>
      </c>
      <c r="E665" s="4" t="inlineStr"/>
      <c r="F665" s="3" t="inlineStr">
        <is>
          <t>unidad</t>
        </is>
      </c>
      <c r="G665" s="3" t="inlineStr">
        <is>
          <t>Instalaciones</t>
        </is>
      </c>
      <c r="H665" s="3" t="inlineStr">
        <is>
          <t>estandar</t>
        </is>
      </c>
      <c r="I665" s="3" t="inlineStr">
        <is>
          <t>importado</t>
        </is>
      </c>
      <c r="J665" s="5" t="n">
        <v>3</v>
      </c>
      <c r="K665" s="6" t="n">
        <v>140</v>
      </c>
      <c r="L665" s="6" t="n">
        <v>35</v>
      </c>
      <c r="M665" s="6" t="n">
        <v>200</v>
      </c>
      <c r="N665" s="3" t="inlineStr">
        <is>
          <t>Sí</t>
        </is>
      </c>
      <c r="O665" s="6">
        <f>IF(K665="","",IF(N665="Sí",ROUND(K665/1.18,2),K665))</f>
        <v/>
      </c>
      <c r="P665" s="3" t="inlineStr">
        <is>
          <t>2026-09-10</t>
        </is>
      </c>
      <c r="Q665" s="4" t="inlineStr">
        <is>
          <t>Bellón · Max Ferretería · Mundo LED</t>
        </is>
      </c>
      <c r="AF665" s="4" t="inlineStr">
        <is>
          <t>potencia_w: 15</t>
        </is>
      </c>
    </row>
    <row r="666">
      <c r="A666" s="3" t="inlineStr">
        <is>
          <t>MAT-10-051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LED de 18 W</t>
        </is>
      </c>
      <c r="E666" s="4" t="inlineStr"/>
      <c r="F666" s="3" t="inlineStr">
        <is>
          <t>unidad</t>
        </is>
      </c>
      <c r="G666" s="3" t="inlineStr">
        <is>
          <t>Instalaciones</t>
        </is>
      </c>
      <c r="H666" s="3" t="inlineStr">
        <is>
          <t>estandar</t>
        </is>
      </c>
      <c r="I666" s="3" t="inlineStr">
        <is>
          <t>importado</t>
        </is>
      </c>
      <c r="J666" s="5" t="n">
        <v>3</v>
      </c>
      <c r="K666" s="6" t="n">
        <v>132</v>
      </c>
      <c r="L666" s="6" t="n">
        <v>95</v>
      </c>
      <c r="M666" s="6" t="n">
        <v>260</v>
      </c>
      <c r="N666" s="3" t="inlineStr">
        <is>
          <t>Sí</t>
        </is>
      </c>
      <c r="O666" s="6">
        <f>IF(K666="","",IF(N666="Sí",ROUND(K666/1.18,2),K666))</f>
        <v/>
      </c>
      <c r="P666" s="3" t="inlineStr">
        <is>
          <t>2026-09-10</t>
        </is>
      </c>
      <c r="Q666" s="4" t="inlineStr">
        <is>
          <t>Bellón · Ferremix (Grupo Alterra) · Max Ferretería</t>
        </is>
      </c>
      <c r="AF666" s="4" t="inlineStr">
        <is>
          <t>potencia_w: 18 · temp_k: 4000</t>
        </is>
      </c>
    </row>
    <row r="667">
      <c r="A667" s="3" t="inlineStr">
        <is>
          <t>MAT-10-052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led de 2 W</t>
        </is>
      </c>
      <c r="E667" s="4" t="inlineStr"/>
      <c r="F667" s="3" t="inlineStr">
        <is>
          <t>unidad</t>
        </is>
      </c>
      <c r="G667" s="3" t="inlineStr">
        <is>
          <t>Instalaciones</t>
        </is>
      </c>
      <c r="H667" s="3" t="inlineStr">
        <is>
          <t>estandar</t>
        </is>
      </c>
      <c r="I667" s="3" t="inlineStr">
        <is>
          <t>importado</t>
        </is>
      </c>
      <c r="J667" s="5" t="n">
        <v>2</v>
      </c>
      <c r="K667" s="6" t="n">
        <v>265</v>
      </c>
      <c r="L667" s="6" t="n">
        <v>250</v>
      </c>
      <c r="M667" s="6" t="n">
        <v>265</v>
      </c>
      <c r="N667" s="3" t="inlineStr">
        <is>
          <t>Sí</t>
        </is>
      </c>
      <c r="O667" s="6">
        <f>IF(K667="","",IF(N667="Sí",ROUND(K667/1.18,2),K667))</f>
        <v/>
      </c>
      <c r="P667" s="3" t="inlineStr">
        <is>
          <t>2026-09-10</t>
        </is>
      </c>
      <c r="Q667" s="4" t="inlineStr">
        <is>
          <t>Bellón · Ferremix (Grupo Alterra)</t>
        </is>
      </c>
      <c r="X667" s="7" t="inlineStr">
        <is>
          <t>led</t>
        </is>
      </c>
      <c r="AF667" s="4" t="inlineStr">
        <is>
          <t>potencia_w: 2</t>
        </is>
      </c>
    </row>
    <row r="668">
      <c r="A668" s="3" t="inlineStr">
        <is>
          <t>MAT-10-053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LED de 2.5 W</t>
        </is>
      </c>
      <c r="E668" s="4" t="inlineStr"/>
      <c r="F668" s="3" t="inlineStr">
        <is>
          <t>unidad</t>
        </is>
      </c>
      <c r="G668" s="3" t="inlineStr">
        <is>
          <t>Instalaciones</t>
        </is>
      </c>
      <c r="H668" s="3" t="inlineStr">
        <is>
          <t>estandar</t>
        </is>
      </c>
      <c r="I668" s="3" t="inlineStr">
        <is>
          <t>importado</t>
        </is>
      </c>
      <c r="J668" s="5" t="n">
        <v>2</v>
      </c>
      <c r="K668" s="6" t="n">
        <v>265</v>
      </c>
      <c r="L668" s="6" t="n">
        <v>265</v>
      </c>
      <c r="M668" s="6" t="n">
        <v>310</v>
      </c>
      <c r="N668" s="3" t="inlineStr">
        <is>
          <t>Sí</t>
        </is>
      </c>
      <c r="O668" s="6">
        <f>IF(K668="","",IF(N668="Sí",ROUND(K668/1.18,2),K668))</f>
        <v/>
      </c>
      <c r="P668" s="3" t="inlineStr">
        <is>
          <t>2026-09-10</t>
        </is>
      </c>
      <c r="Q668" s="4" t="inlineStr">
        <is>
          <t>Bellón · Max Ferretería</t>
        </is>
      </c>
      <c r="V668" s="7" t="inlineStr">
        <is>
          <t>G9</t>
        </is>
      </c>
      <c r="AF668" s="4" t="inlineStr">
        <is>
          <t>potencia_w: 2.5 · temp_k: 6500</t>
        </is>
      </c>
    </row>
    <row r="669">
      <c r="A669" s="3" t="inlineStr">
        <is>
          <t>MAT-10-054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led de 20 W</t>
        </is>
      </c>
      <c r="E669" s="4" t="inlineStr"/>
      <c r="F669" s="3" t="inlineStr">
        <is>
          <t>unidad</t>
        </is>
      </c>
      <c r="G669" s="3" t="inlineStr">
        <is>
          <t>Instalaciones</t>
        </is>
      </c>
      <c r="H669" s="3" t="inlineStr">
        <is>
          <t>estandar</t>
        </is>
      </c>
      <c r="I669" s="3" t="inlineStr">
        <is>
          <t>importado</t>
        </is>
      </c>
      <c r="J669" s="5" t="n">
        <v>2</v>
      </c>
      <c r="K669" s="6" t="n">
        <v>222.5</v>
      </c>
      <c r="L669" s="6" t="n">
        <v>149</v>
      </c>
      <c r="M669" s="6" t="n">
        <v>280</v>
      </c>
      <c r="N669" s="3" t="inlineStr">
        <is>
          <t>Sí</t>
        </is>
      </c>
      <c r="O669" s="6">
        <f>IF(K669="","",IF(N669="Sí",ROUND(K669/1.18,2),K669))</f>
        <v/>
      </c>
      <c r="P669" s="3" t="inlineStr">
        <is>
          <t>2026-09-10</t>
        </is>
      </c>
      <c r="Q669" s="4" t="inlineStr">
        <is>
          <t>Bellón · Ferremix (Grupo Alterra)</t>
        </is>
      </c>
      <c r="X669" s="7" t="inlineStr">
        <is>
          <t>led</t>
        </is>
      </c>
      <c r="AF669" s="4" t="inlineStr">
        <is>
          <t>potencia_w: 20</t>
        </is>
      </c>
    </row>
    <row r="670">
      <c r="A670" s="3" t="inlineStr">
        <is>
          <t>MAT-10-055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led de 25 W</t>
        </is>
      </c>
      <c r="E670" s="4" t="inlineStr"/>
      <c r="F670" s="3" t="inlineStr">
        <is>
          <t>unidad</t>
        </is>
      </c>
      <c r="G670" s="3" t="inlineStr">
        <is>
          <t>Instalaciones</t>
        </is>
      </c>
      <c r="H670" s="3" t="inlineStr">
        <is>
          <t>estandar</t>
        </is>
      </c>
      <c r="I670" s="3" t="inlineStr">
        <is>
          <t>importado</t>
        </is>
      </c>
      <c r="J670" s="5" t="n">
        <v>1</v>
      </c>
      <c r="K670" s="6" t="n">
        <v>214</v>
      </c>
      <c r="L670" s="6" t="n">
        <v>199</v>
      </c>
      <c r="M670" s="6" t="n">
        <v>229</v>
      </c>
      <c r="N670" s="3" t="inlineStr">
        <is>
          <t>Sí</t>
        </is>
      </c>
      <c r="O670" s="6">
        <f>IF(K670="","",IF(N670="Sí",ROUND(K670/1.18,2),K670))</f>
        <v/>
      </c>
      <c r="P670" s="3" t="inlineStr">
        <is>
          <t>2026-09-10</t>
        </is>
      </c>
      <c r="Q670" s="4" t="inlineStr">
        <is>
          <t>Ferremix (Grupo Alterra)</t>
        </is>
      </c>
      <c r="X670" s="7" t="inlineStr">
        <is>
          <t>led</t>
        </is>
      </c>
      <c r="AF670" s="4" t="inlineStr">
        <is>
          <t>potencia_w: 25</t>
        </is>
      </c>
    </row>
    <row r="671">
      <c r="A671" s="3" t="inlineStr">
        <is>
          <t>MAT-10-056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led de 28 W</t>
        </is>
      </c>
      <c r="E671" s="4" t="inlineStr"/>
      <c r="F671" s="3" t="inlineStr">
        <is>
          <t>unidad</t>
        </is>
      </c>
      <c r="G671" s="3" t="inlineStr">
        <is>
          <t>Instalaciones</t>
        </is>
      </c>
      <c r="H671" s="3" t="inlineStr">
        <is>
          <t>estandar</t>
        </is>
      </c>
      <c r="I671" s="3" t="inlineStr">
        <is>
          <t>importado</t>
        </is>
      </c>
      <c r="J671" s="5" t="n">
        <v>1</v>
      </c>
      <c r="K671" s="6" t="n">
        <v>455</v>
      </c>
      <c r="L671" s="6" t="n">
        <v>455</v>
      </c>
      <c r="M671" s="6" t="n">
        <v>455</v>
      </c>
      <c r="N671" s="3" t="inlineStr">
        <is>
          <t>Sí</t>
        </is>
      </c>
      <c r="O671" s="6">
        <f>IF(K671="","",IF(N671="Sí",ROUND(K671/1.18,2),K671))</f>
        <v/>
      </c>
      <c r="P671" s="3" t="inlineStr">
        <is>
          <t>2026-09-10</t>
        </is>
      </c>
      <c r="Q671" s="4" t="inlineStr">
        <is>
          <t>Bellón</t>
        </is>
      </c>
      <c r="X671" s="7" t="inlineStr">
        <is>
          <t>led</t>
        </is>
      </c>
      <c r="AF671" s="4" t="inlineStr">
        <is>
          <t>potencia_w: 28</t>
        </is>
      </c>
    </row>
    <row r="672">
      <c r="A672" s="3" t="inlineStr">
        <is>
          <t>MAT-10-057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LED de 3 W</t>
        </is>
      </c>
      <c r="E672" s="4" t="inlineStr"/>
      <c r="F672" s="3" t="inlineStr">
        <is>
          <t>unidad</t>
        </is>
      </c>
      <c r="G672" s="3" t="inlineStr">
        <is>
          <t>Instalaciones</t>
        </is>
      </c>
      <c r="H672" s="3" t="inlineStr">
        <is>
          <t>estandar</t>
        </is>
      </c>
      <c r="I672" s="3" t="inlineStr">
        <is>
          <t>importado</t>
        </is>
      </c>
      <c r="J672" s="5" t="n">
        <v>4</v>
      </c>
      <c r="K672" s="6" t="n">
        <v>150</v>
      </c>
      <c r="L672" s="6" t="n">
        <v>50</v>
      </c>
      <c r="M672" s="6" t="n">
        <v>218</v>
      </c>
      <c r="N672" s="3" t="inlineStr">
        <is>
          <t>Sí</t>
        </is>
      </c>
      <c r="O672" s="6">
        <f>IF(K672="","",IF(N672="Sí",ROUND(K672/1.18,2),K672))</f>
        <v/>
      </c>
      <c r="P672" s="3" t="inlineStr">
        <is>
          <t>2026-09-10</t>
        </is>
      </c>
      <c r="Q672" s="4" t="inlineStr">
        <is>
          <t>Bellón · Ferremix (Grupo Alterra) · Max Ferretería · Mundo LED</t>
        </is>
      </c>
      <c r="AF672" s="4" t="inlineStr">
        <is>
          <t>potencia_w: 3 · temp_k: 3000</t>
        </is>
      </c>
    </row>
    <row r="673">
      <c r="A673" s="3" t="inlineStr">
        <is>
          <t>MAT-10-058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led de 3.5 W</t>
        </is>
      </c>
      <c r="E673" s="4" t="inlineStr"/>
      <c r="F673" s="3" t="inlineStr">
        <is>
          <t>unidad</t>
        </is>
      </c>
      <c r="G673" s="3" t="inlineStr">
        <is>
          <t>Instalaciones</t>
        </is>
      </c>
      <c r="H673" s="3" t="inlineStr">
        <is>
          <t>estandar</t>
        </is>
      </c>
      <c r="I673" s="3" t="inlineStr">
        <is>
          <t>importado</t>
        </is>
      </c>
      <c r="J673" s="5" t="n">
        <v>1</v>
      </c>
      <c r="K673" s="6" t="n">
        <v>474.36</v>
      </c>
      <c r="L673" s="6" t="n">
        <v>474.36</v>
      </c>
      <c r="M673" s="6" t="n">
        <v>474.36</v>
      </c>
      <c r="N673" s="3" t="inlineStr">
        <is>
          <t>Sí</t>
        </is>
      </c>
      <c r="O673" s="6">
        <f>IF(K673="","",IF(N673="Sí",ROUND(K673/1.18,2),K673))</f>
        <v/>
      </c>
      <c r="P673" s="3" t="inlineStr">
        <is>
          <t>2026-09-10</t>
        </is>
      </c>
      <c r="Q673" s="4" t="inlineStr">
        <is>
          <t>Ferremix (Grupo Alterra)</t>
        </is>
      </c>
      <c r="X673" s="7" t="inlineStr">
        <is>
          <t>led</t>
        </is>
      </c>
      <c r="AF673" s="4" t="inlineStr">
        <is>
          <t>potencia_w: 3.5</t>
        </is>
      </c>
    </row>
    <row r="674">
      <c r="A674" s="3" t="inlineStr">
        <is>
          <t>MAT-10-059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LED de 30 W</t>
        </is>
      </c>
      <c r="E674" s="4" t="inlineStr"/>
      <c r="F674" s="3" t="inlineStr">
        <is>
          <t>unidad</t>
        </is>
      </c>
      <c r="G674" s="3" t="inlineStr">
        <is>
          <t>Instalaciones</t>
        </is>
      </c>
      <c r="H674" s="3" t="inlineStr">
        <is>
          <t>estandar</t>
        </is>
      </c>
      <c r="I674" s="3" t="inlineStr">
        <is>
          <t>importado</t>
        </is>
      </c>
      <c r="J674" s="5" t="n">
        <v>2</v>
      </c>
      <c r="K674" s="6" t="n">
        <v>385</v>
      </c>
      <c r="L674" s="6" t="n">
        <v>123</v>
      </c>
      <c r="M674" s="6" t="n">
        <v>596</v>
      </c>
      <c r="N674" s="3" t="inlineStr">
        <is>
          <t>Sí</t>
        </is>
      </c>
      <c r="O674" s="6">
        <f>IF(K674="","",IF(N674="Sí",ROUND(K674/1.18,2),K674))</f>
        <v/>
      </c>
      <c r="P674" s="3" t="inlineStr">
        <is>
          <t>2026-09-10</t>
        </is>
      </c>
      <c r="Q674" s="4" t="inlineStr">
        <is>
          <t>Bellón · Max Ferretería</t>
        </is>
      </c>
      <c r="AF674" s="4" t="inlineStr">
        <is>
          <t>potencia_w: 30</t>
        </is>
      </c>
    </row>
    <row r="675">
      <c r="A675" s="3" t="inlineStr">
        <is>
          <t>MAT-10-060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LED de 35 W</t>
        </is>
      </c>
      <c r="E675" s="4" t="inlineStr"/>
      <c r="F675" s="3" t="inlineStr">
        <is>
          <t>unidad</t>
        </is>
      </c>
      <c r="G675" s="3" t="inlineStr">
        <is>
          <t>Instalaciones</t>
        </is>
      </c>
      <c r="H675" s="3" t="inlineStr">
        <is>
          <t>estandar</t>
        </is>
      </c>
      <c r="I675" s="3" t="inlineStr">
        <is>
          <t>importado</t>
        </is>
      </c>
      <c r="J675" s="5" t="n">
        <v>2</v>
      </c>
      <c r="K675" s="6" t="n">
        <v>767</v>
      </c>
      <c r="L675" s="6" t="n">
        <v>339</v>
      </c>
      <c r="M675" s="6" t="n">
        <v>1195</v>
      </c>
      <c r="N675" s="3" t="inlineStr">
        <is>
          <t>Sí</t>
        </is>
      </c>
      <c r="O675" s="6">
        <f>IF(K675="","",IF(N675="Sí",ROUND(K675/1.18,2),K675))</f>
        <v/>
      </c>
      <c r="P675" s="3" t="inlineStr">
        <is>
          <t>2026-09-10</t>
        </is>
      </c>
      <c r="Q675" s="4" t="inlineStr">
        <is>
          <t>Ferremix (Grupo Alterra) · Max Ferretería</t>
        </is>
      </c>
      <c r="AF675" s="4" t="inlineStr">
        <is>
          <t>potencia_w: 35</t>
        </is>
      </c>
    </row>
    <row r="676">
      <c r="A676" s="3" t="inlineStr">
        <is>
          <t>MAT-10-061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LED de 4 W</t>
        </is>
      </c>
      <c r="E676" s="4" t="inlineStr"/>
      <c r="F676" s="3" t="inlineStr">
        <is>
          <t>unidad</t>
        </is>
      </c>
      <c r="G676" s="3" t="inlineStr">
        <is>
          <t>Instalaciones</t>
        </is>
      </c>
      <c r="H676" s="3" t="inlineStr">
        <is>
          <t>estandar</t>
        </is>
      </c>
      <c r="I676" s="3" t="inlineStr">
        <is>
          <t>importado</t>
        </is>
      </c>
      <c r="J676" s="5" t="n">
        <v>3</v>
      </c>
      <c r="K676" s="6" t="n">
        <v>180</v>
      </c>
      <c r="L676" s="6" t="n">
        <v>64.98999999999999</v>
      </c>
      <c r="M676" s="6" t="n">
        <v>1349</v>
      </c>
      <c r="N676" s="3" t="inlineStr">
        <is>
          <t>Sí</t>
        </is>
      </c>
      <c r="O676" s="6">
        <f>IF(K676="","",IF(N676="Sí",ROUND(K676/1.18,2),K676))</f>
        <v/>
      </c>
      <c r="P676" s="3" t="inlineStr">
        <is>
          <t>2026-09-10</t>
        </is>
      </c>
      <c r="Q676" s="4" t="inlineStr">
        <is>
          <t>Bellón · Max Ferretería · Mundo LED</t>
        </is>
      </c>
      <c r="AF676" s="4" t="inlineStr">
        <is>
          <t>potencia_w: 4</t>
        </is>
      </c>
    </row>
    <row r="677">
      <c r="A677" s="3" t="inlineStr">
        <is>
          <t>MAT-10-062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LED de 4.9 W</t>
        </is>
      </c>
      <c r="E677" s="4" t="inlineStr"/>
      <c r="F677" s="3" t="inlineStr">
        <is>
          <t>unidad</t>
        </is>
      </c>
      <c r="G677" s="3" t="inlineStr">
        <is>
          <t>Instalaciones</t>
        </is>
      </c>
      <c r="H677" s="3" t="inlineStr">
        <is>
          <t>estandar</t>
        </is>
      </c>
      <c r="I677" s="3" t="inlineStr">
        <is>
          <t>importado</t>
        </is>
      </c>
      <c r="J677" s="5" t="n">
        <v>1</v>
      </c>
      <c r="K677" s="6" t="n">
        <v>105</v>
      </c>
      <c r="L677" s="6" t="n">
        <v>105</v>
      </c>
      <c r="M677" s="6" t="n">
        <v>105</v>
      </c>
      <c r="N677" s="3" t="inlineStr">
        <is>
          <t>Sí</t>
        </is>
      </c>
      <c r="O677" s="6">
        <f>IF(K677="","",IF(N677="Sí",ROUND(K677/1.18,2),K677))</f>
        <v/>
      </c>
      <c r="P677" s="3" t="inlineStr">
        <is>
          <t>2026-09-09</t>
        </is>
      </c>
      <c r="Q677" s="4" t="inlineStr">
        <is>
          <t>Max Ferretería</t>
        </is>
      </c>
      <c r="X677" s="7" t="inlineStr">
        <is>
          <t>LED</t>
        </is>
      </c>
      <c r="AF677" s="4" t="inlineStr">
        <is>
          <t>potencia_w: 4.9 · temp_k: 6500</t>
        </is>
      </c>
    </row>
    <row r="678">
      <c r="A678" s="3" t="inlineStr">
        <is>
          <t>MAT-10-063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40 W</t>
        </is>
      </c>
      <c r="E678" s="4" t="inlineStr"/>
      <c r="F678" s="3" t="inlineStr">
        <is>
          <t>unidad</t>
        </is>
      </c>
      <c r="G678" s="3" t="inlineStr">
        <is>
          <t>Instalaciones</t>
        </is>
      </c>
      <c r="H678" s="3" t="inlineStr">
        <is>
          <t>estandar</t>
        </is>
      </c>
      <c r="I678" s="3" t="inlineStr">
        <is>
          <t>importado</t>
        </is>
      </c>
      <c r="J678" s="5" t="n">
        <v>3</v>
      </c>
      <c r="K678" s="6" t="n">
        <v>500</v>
      </c>
      <c r="L678" s="6" t="n">
        <v>470</v>
      </c>
      <c r="M678" s="6" t="n">
        <v>880</v>
      </c>
      <c r="N678" s="3" t="inlineStr">
        <is>
          <t>Sí</t>
        </is>
      </c>
      <c r="O678" s="6">
        <f>IF(K678="","",IF(N678="Sí",ROUND(K678/1.18,2),K678))</f>
        <v/>
      </c>
      <c r="P678" s="3" t="inlineStr">
        <is>
          <t>2026-09-10</t>
        </is>
      </c>
      <c r="Q678" s="4" t="inlineStr">
        <is>
          <t>Bellón · Ferremix (Grupo Alterra) · Max Ferretería</t>
        </is>
      </c>
      <c r="AF678" s="4" t="inlineStr">
        <is>
          <t>potencia_w: 40</t>
        </is>
      </c>
    </row>
    <row r="679">
      <c r="A679" s="3" t="inlineStr">
        <is>
          <t>MAT-10-064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5 W</t>
        </is>
      </c>
      <c r="E679" s="4" t="inlineStr"/>
      <c r="F679" s="3" t="inlineStr">
        <is>
          <t>unidad</t>
        </is>
      </c>
      <c r="G679" s="3" t="inlineStr">
        <is>
          <t>Instalaciones</t>
        </is>
      </c>
      <c r="H679" s="3" t="inlineStr">
        <is>
          <t>estandar</t>
        </is>
      </c>
      <c r="I679" s="3" t="inlineStr">
        <is>
          <t>importado</t>
        </is>
      </c>
      <c r="J679" s="5" t="n">
        <v>4</v>
      </c>
      <c r="K679" s="6" t="n">
        <v>180</v>
      </c>
      <c r="L679" s="6" t="n">
        <v>47.45</v>
      </c>
      <c r="M679" s="6" t="n">
        <v>500</v>
      </c>
      <c r="N679" s="3" t="inlineStr">
        <is>
          <t>Sí</t>
        </is>
      </c>
      <c r="O679" s="6">
        <f>IF(K679="","",IF(N679="Sí",ROUND(K679/1.18,2),K679))</f>
        <v/>
      </c>
      <c r="P679" s="3" t="inlineStr">
        <is>
          <t>2026-09-10</t>
        </is>
      </c>
      <c r="Q679" s="4" t="inlineStr">
        <is>
          <t>Bellón · Ferremix (Grupo Alterra) · Max Ferretería · Mundo LED</t>
        </is>
      </c>
      <c r="V679" s="7" t="inlineStr">
        <is>
          <t>MR16</t>
        </is>
      </c>
      <c r="AF679" s="4" t="inlineStr">
        <is>
          <t>potencia_w: 5</t>
        </is>
      </c>
    </row>
    <row r="680">
      <c r="A680" s="3" t="inlineStr">
        <is>
          <t>MAT-10-065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50 W</t>
        </is>
      </c>
      <c r="E680" s="4" t="inlineStr"/>
      <c r="F680" s="3" t="inlineStr">
        <is>
          <t>unidad</t>
        </is>
      </c>
      <c r="G680" s="3" t="inlineStr">
        <is>
          <t>Instalaciones</t>
        </is>
      </c>
      <c r="H680" s="3" t="inlineStr">
        <is>
          <t>estandar</t>
        </is>
      </c>
      <c r="I680" s="3" t="inlineStr">
        <is>
          <t>importado</t>
        </is>
      </c>
      <c r="J680" s="5" t="n">
        <v>2</v>
      </c>
      <c r="K680" s="6" t="n">
        <v>492.5</v>
      </c>
      <c r="L680" s="6" t="n">
        <v>166</v>
      </c>
      <c r="M680" s="6" t="n">
        <v>1115</v>
      </c>
      <c r="N680" s="3" t="inlineStr">
        <is>
          <t>Sí</t>
        </is>
      </c>
      <c r="O680" s="6">
        <f>IF(K680="","",IF(N680="Sí",ROUND(K680/1.18,2),K680))</f>
        <v/>
      </c>
      <c r="P680" s="3" t="inlineStr">
        <is>
          <t>2026-09-10</t>
        </is>
      </c>
      <c r="Q680" s="4" t="inlineStr">
        <is>
          <t>Bellón · Max Ferretería</t>
        </is>
      </c>
      <c r="AF680" s="4" t="inlineStr">
        <is>
          <t>potencia_w: 50</t>
        </is>
      </c>
    </row>
    <row r="681">
      <c r="A681" s="3" t="inlineStr">
        <is>
          <t>MAT-10-066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55 W</t>
        </is>
      </c>
      <c r="E681" s="4" t="inlineStr"/>
      <c r="F681" s="3" t="inlineStr">
        <is>
          <t>unidad</t>
        </is>
      </c>
      <c r="G681" s="3" t="inlineStr">
        <is>
          <t>Instalaciones</t>
        </is>
      </c>
      <c r="H681" s="3" t="inlineStr">
        <is>
          <t>estandar</t>
        </is>
      </c>
      <c r="I681" s="3" t="inlineStr">
        <is>
          <t>importado</t>
        </is>
      </c>
      <c r="J681" s="5" t="n">
        <v>1</v>
      </c>
      <c r="K681" s="6" t="n">
        <v>1724.99</v>
      </c>
      <c r="L681" s="6" t="n">
        <v>1724.99</v>
      </c>
      <c r="M681" s="6" t="n">
        <v>1724.99</v>
      </c>
      <c r="N681" s="3" t="inlineStr">
        <is>
          <t>Sí</t>
        </is>
      </c>
      <c r="O681" s="6">
        <f>IF(K681="","",IF(N681="Sí",ROUND(K681/1.18,2),K681))</f>
        <v/>
      </c>
      <c r="P681" s="3" t="inlineStr">
        <is>
          <t>2026-09-09</t>
        </is>
      </c>
      <c r="Q681" s="4" t="inlineStr">
        <is>
          <t>Max Ferretería</t>
        </is>
      </c>
      <c r="X681" s="7" t="inlineStr">
        <is>
          <t>LED</t>
        </is>
      </c>
      <c r="AF681" s="4" t="inlineStr">
        <is>
          <t>potencia_w: 55</t>
        </is>
      </c>
    </row>
    <row r="682">
      <c r="A682" s="3" t="inlineStr">
        <is>
          <t>MAT-10-067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6 W</t>
        </is>
      </c>
      <c r="E682" s="4" t="inlineStr"/>
      <c r="F682" s="3" t="inlineStr">
        <is>
          <t>unidad</t>
        </is>
      </c>
      <c r="G682" s="3" t="inlineStr">
        <is>
          <t>Instalaciones</t>
        </is>
      </c>
      <c r="H682" s="3" t="inlineStr">
        <is>
          <t>estandar</t>
        </is>
      </c>
      <c r="I682" s="3" t="inlineStr">
        <is>
          <t>importado</t>
        </is>
      </c>
      <c r="J682" s="5" t="n">
        <v>4</v>
      </c>
      <c r="K682" s="6" t="n">
        <v>185</v>
      </c>
      <c r="L682" s="6" t="n">
        <v>65</v>
      </c>
      <c r="M682" s="6" t="n">
        <v>674</v>
      </c>
      <c r="N682" s="3" t="inlineStr">
        <is>
          <t>Sí</t>
        </is>
      </c>
      <c r="O682" s="6">
        <f>IF(K682="","",IF(N682="Sí",ROUND(K682/1.18,2),K682))</f>
        <v/>
      </c>
      <c r="P682" s="3" t="inlineStr">
        <is>
          <t>2026-09-10</t>
        </is>
      </c>
      <c r="Q682" s="4" t="inlineStr">
        <is>
          <t>Bellón · Ferremix (Grupo Alterra) · Max Ferretería · Mundo LED</t>
        </is>
      </c>
      <c r="AF682" s="4" t="inlineStr">
        <is>
          <t>potencia_w: 6</t>
        </is>
      </c>
    </row>
    <row r="683">
      <c r="A683" s="3" t="inlineStr">
        <is>
          <t>MAT-10-068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6.5 W</t>
        </is>
      </c>
      <c r="E683" s="4" t="inlineStr"/>
      <c r="F683" s="3" t="inlineStr">
        <is>
          <t>unidad</t>
        </is>
      </c>
      <c r="G683" s="3" t="inlineStr">
        <is>
          <t>Instalaciones</t>
        </is>
      </c>
      <c r="H683" s="3" t="inlineStr">
        <is>
          <t>estandar</t>
        </is>
      </c>
      <c r="I683" s="3" t="inlineStr">
        <is>
          <t>importado</t>
        </is>
      </c>
      <c r="J683" s="5" t="n">
        <v>1</v>
      </c>
      <c r="K683" s="6" t="n">
        <v>370</v>
      </c>
      <c r="L683" s="6" t="n">
        <v>370</v>
      </c>
      <c r="M683" s="6" t="n">
        <v>370</v>
      </c>
      <c r="N683" s="3" t="inlineStr">
        <is>
          <t>Sí</t>
        </is>
      </c>
      <c r="O683" s="6">
        <f>IF(K683="","",IF(N683="Sí",ROUND(K683/1.18,2),K683))</f>
        <v/>
      </c>
      <c r="P683" s="3" t="inlineStr">
        <is>
          <t>2026-09-10</t>
        </is>
      </c>
      <c r="Q683" s="4" t="inlineStr">
        <is>
          <t>Bellón</t>
        </is>
      </c>
      <c r="X683" s="7" t="inlineStr">
        <is>
          <t>led</t>
        </is>
      </c>
      <c r="AF683" s="4" t="inlineStr">
        <is>
          <t>potencia_w: 6.5</t>
        </is>
      </c>
    </row>
    <row r="684">
      <c r="A684" s="3" t="inlineStr">
        <is>
          <t>MAT-10-069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65 W</t>
        </is>
      </c>
      <c r="E684" s="4" t="inlineStr"/>
      <c r="F684" s="3" t="inlineStr">
        <is>
          <t>unidad</t>
        </is>
      </c>
      <c r="G684" s="3" t="inlineStr">
        <is>
          <t>Instalaciones</t>
        </is>
      </c>
      <c r="H684" s="3" t="inlineStr">
        <is>
          <t>estandar</t>
        </is>
      </c>
      <c r="I684" s="3" t="inlineStr">
        <is>
          <t>importado</t>
        </is>
      </c>
      <c r="J684" s="5" t="n">
        <v>1</v>
      </c>
      <c r="K684" s="6" t="n">
        <v>341</v>
      </c>
      <c r="L684" s="6" t="n">
        <v>341</v>
      </c>
      <c r="M684" s="6" t="n">
        <v>341</v>
      </c>
      <c r="N684" s="3" t="inlineStr">
        <is>
          <t>Sí</t>
        </is>
      </c>
      <c r="O684" s="6">
        <f>IF(K684="","",IF(N684="Sí",ROUND(K684/1.18,2),K684))</f>
        <v/>
      </c>
      <c r="P684" s="3" t="inlineStr">
        <is>
          <t>2026-09-10</t>
        </is>
      </c>
      <c r="Q684" s="4" t="inlineStr">
        <is>
          <t>Bellón</t>
        </is>
      </c>
      <c r="X684" s="7" t="inlineStr">
        <is>
          <t>led</t>
        </is>
      </c>
      <c r="AF684" s="4" t="inlineStr">
        <is>
          <t>potencia_w: 65</t>
        </is>
      </c>
    </row>
    <row r="685">
      <c r="A685" s="3" t="inlineStr">
        <is>
          <t>MAT-10-070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7 W</t>
        </is>
      </c>
      <c r="E685" s="4" t="inlineStr"/>
      <c r="F685" s="3" t="inlineStr">
        <is>
          <t>unidad</t>
        </is>
      </c>
      <c r="G685" s="3" t="inlineStr">
        <is>
          <t>Instalaciones</t>
        </is>
      </c>
      <c r="H685" s="3" t="inlineStr">
        <is>
          <t>estandar</t>
        </is>
      </c>
      <c r="I685" s="3" t="inlineStr">
        <is>
          <t>importado</t>
        </is>
      </c>
      <c r="J685" s="5" t="n">
        <v>3</v>
      </c>
      <c r="K685" s="6" t="n">
        <v>103</v>
      </c>
      <c r="L685" s="6" t="n">
        <v>77</v>
      </c>
      <c r="M685" s="6" t="n">
        <v>360</v>
      </c>
      <c r="N685" s="3" t="inlineStr">
        <is>
          <t>Sí</t>
        </is>
      </c>
      <c r="O685" s="6">
        <f>IF(K685="","",IF(N685="Sí",ROUND(K685/1.18,2),K685))</f>
        <v/>
      </c>
      <c r="P685" s="3" t="inlineStr">
        <is>
          <t>2026-09-10</t>
        </is>
      </c>
      <c r="Q685" s="4" t="inlineStr">
        <is>
          <t>Bellón · Max Ferretería · Mundo LED</t>
        </is>
      </c>
      <c r="AF685" s="4" t="inlineStr">
        <is>
          <t>potencia_w: 7</t>
        </is>
      </c>
    </row>
    <row r="686">
      <c r="A686" s="3" t="inlineStr">
        <is>
          <t>MAT-10-071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8 W</t>
        </is>
      </c>
      <c r="E686" s="4" t="inlineStr"/>
      <c r="F686" s="3" t="inlineStr">
        <is>
          <t>unidad</t>
        </is>
      </c>
      <c r="G686" s="3" t="inlineStr">
        <is>
          <t>Instalaciones</t>
        </is>
      </c>
      <c r="H686" s="3" t="inlineStr">
        <is>
          <t>estandar</t>
        </is>
      </c>
      <c r="I686" s="3" t="inlineStr">
        <is>
          <t>importado</t>
        </is>
      </c>
      <c r="J686" s="5" t="n">
        <v>3</v>
      </c>
      <c r="K686" s="6" t="n">
        <v>220</v>
      </c>
      <c r="L686" s="6" t="n">
        <v>75</v>
      </c>
      <c r="M686" s="6" t="n">
        <v>553</v>
      </c>
      <c r="N686" s="3" t="inlineStr">
        <is>
          <t>Sí</t>
        </is>
      </c>
      <c r="O686" s="6">
        <f>IF(K686="","",IF(N686="Sí",ROUND(K686/1.18,2),K686))</f>
        <v/>
      </c>
      <c r="P686" s="3" t="inlineStr">
        <is>
          <t>2026-09-10</t>
        </is>
      </c>
      <c r="Q686" s="4" t="inlineStr">
        <is>
          <t>Bellón · Ferremix (Grupo Alterra) · Mundo LED</t>
        </is>
      </c>
      <c r="X686" s="7" t="inlineStr">
        <is>
          <t>led</t>
        </is>
      </c>
      <c r="AF686" s="4" t="inlineStr">
        <is>
          <t>potencia_w: 8</t>
        </is>
      </c>
    </row>
    <row r="687">
      <c r="A687" s="3" t="inlineStr">
        <is>
          <t>MAT-10-072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9 W</t>
        </is>
      </c>
      <c r="E687" s="4" t="inlineStr"/>
      <c r="F687" s="3" t="inlineStr">
        <is>
          <t>unidad</t>
        </is>
      </c>
      <c r="G687" s="3" t="inlineStr">
        <is>
          <t>Instalaciones</t>
        </is>
      </c>
      <c r="H687" s="3" t="inlineStr">
        <is>
          <t>estandar</t>
        </is>
      </c>
      <c r="I687" s="3" t="inlineStr">
        <is>
          <t>importado</t>
        </is>
      </c>
      <c r="J687" s="5" t="n">
        <v>4</v>
      </c>
      <c r="K687" s="6" t="n">
        <v>105</v>
      </c>
      <c r="L687" s="6" t="n">
        <v>77</v>
      </c>
      <c r="M687" s="6" t="n">
        <v>660</v>
      </c>
      <c r="N687" s="3" t="inlineStr">
        <is>
          <t>Sí</t>
        </is>
      </c>
      <c r="O687" s="6">
        <f>IF(K687="","",IF(N687="Sí",ROUND(K687/1.18,2),K687))</f>
        <v/>
      </c>
      <c r="P687" s="3" t="inlineStr">
        <is>
          <t>2026-09-10</t>
        </is>
      </c>
      <c r="Q687" s="4" t="inlineStr">
        <is>
          <t>Bellón · Ferremix (Grupo Alterra) · Max Ferretería · Mundo LED</t>
        </is>
      </c>
      <c r="AF687" s="4" t="inlineStr">
        <is>
          <t>potencia_w: 9 · temp_k: 6500</t>
        </is>
      </c>
    </row>
    <row r="688">
      <c r="A688" s="3" t="inlineStr">
        <is>
          <t>MAT-10-073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9.5 W</t>
        </is>
      </c>
      <c r="E688" s="4" t="inlineStr"/>
      <c r="F688" s="3" t="inlineStr">
        <is>
          <t>unidad</t>
        </is>
      </c>
      <c r="G688" s="3" t="inlineStr">
        <is>
          <t>Instalaciones</t>
        </is>
      </c>
      <c r="H688" s="3" t="inlineStr">
        <is>
          <t>estandar</t>
        </is>
      </c>
      <c r="I688" s="3" t="inlineStr">
        <is>
          <t>importado</t>
        </is>
      </c>
      <c r="J688" s="5" t="n">
        <v>1</v>
      </c>
      <c r="K688" s="6" t="n">
        <v>182</v>
      </c>
      <c r="L688" s="6" t="n">
        <v>171</v>
      </c>
      <c r="M688" s="6" t="n">
        <v>634</v>
      </c>
      <c r="N688" s="3" t="inlineStr">
        <is>
          <t>Sí</t>
        </is>
      </c>
      <c r="O688" s="6">
        <f>IF(K688="","",IF(N688="Sí",ROUND(K688/1.18,2),K688))</f>
        <v/>
      </c>
      <c r="P688" s="3" t="inlineStr">
        <is>
          <t>2026-09-10</t>
        </is>
      </c>
      <c r="Q688" s="4" t="inlineStr">
        <is>
          <t>Bellón</t>
        </is>
      </c>
      <c r="X688" s="7" t="inlineStr">
        <is>
          <t>led</t>
        </is>
      </c>
      <c r="AF688" s="4" t="inlineStr">
        <is>
          <t>potencia_w: 9.5</t>
        </is>
      </c>
    </row>
    <row r="689">
      <c r="A689" s="3" t="inlineStr">
        <is>
          <t>MAT-10-074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Panel LED empotrado cuadrado de 18 W</t>
        </is>
      </c>
      <c r="E689" s="4" t="inlineStr"/>
      <c r="F689" s="3" t="inlineStr">
        <is>
          <t>unidad</t>
        </is>
      </c>
      <c r="G689" s="3" t="inlineStr">
        <is>
          <t>Instalaciones</t>
        </is>
      </c>
      <c r="H689" s="3" t="inlineStr">
        <is>
          <t>estandar</t>
        </is>
      </c>
      <c r="I689" s="3" t="inlineStr">
        <is>
          <t>importado</t>
        </is>
      </c>
      <c r="J689" s="5" t="n">
        <v>1</v>
      </c>
      <c r="K689" s="6" t="n">
        <v>340.01</v>
      </c>
      <c r="L689" s="6" t="n">
        <v>340.01</v>
      </c>
      <c r="M689" s="6" t="n">
        <v>340.01</v>
      </c>
      <c r="N689" s="3" t="inlineStr">
        <is>
          <t>Sí</t>
        </is>
      </c>
      <c r="O689" s="6">
        <f>IF(K689="","",IF(N689="Sí",ROUND(K689/1.18,2),K689))</f>
        <v/>
      </c>
      <c r="P689" s="3" t="inlineStr">
        <is>
          <t>2026-09-09</t>
        </is>
      </c>
      <c r="Q689" s="4" t="inlineStr">
        <is>
          <t>Max Ferretería</t>
        </is>
      </c>
      <c r="R689" s="7" t="inlineStr">
        <is>
          <t>cuadrado</t>
        </is>
      </c>
      <c r="S689" s="7" t="inlineStr">
        <is>
          <t>empotrado</t>
        </is>
      </c>
      <c r="AF689" s="4" t="inlineStr">
        <is>
          <t>potencia_w: 18 · temp_k: 6500</t>
        </is>
      </c>
    </row>
    <row r="690">
      <c r="A690" s="3" t="inlineStr">
        <is>
          <t>MAT-10-075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Panel LED empotrado cuadrado de 3 W</t>
        </is>
      </c>
      <c r="E690" s="4" t="inlineStr"/>
      <c r="F690" s="3" t="inlineStr">
        <is>
          <t>unidad</t>
        </is>
      </c>
      <c r="G690" s="3" t="inlineStr">
        <is>
          <t>Instalaciones</t>
        </is>
      </c>
      <c r="H690" s="3" t="inlineStr">
        <is>
          <t>estandar</t>
        </is>
      </c>
      <c r="I690" s="3" t="inlineStr">
        <is>
          <t>importado</t>
        </is>
      </c>
      <c r="J690" s="5" t="n">
        <v>1</v>
      </c>
      <c r="K690" s="6" t="n">
        <v>240</v>
      </c>
      <c r="L690" s="6" t="n">
        <v>240</v>
      </c>
      <c r="M690" s="6" t="n">
        <v>240</v>
      </c>
      <c r="N690" s="3" t="inlineStr">
        <is>
          <t>Sí</t>
        </is>
      </c>
      <c r="O690" s="6">
        <f>IF(K690="","",IF(N690="Sí",ROUND(K690/1.18,2),K690))</f>
        <v/>
      </c>
      <c r="P690" s="3" t="inlineStr">
        <is>
          <t>2026-09-09</t>
        </is>
      </c>
      <c r="Q690" s="4" t="inlineStr">
        <is>
          <t>Max Ferretería</t>
        </is>
      </c>
      <c r="R690" s="7" t="inlineStr">
        <is>
          <t>cuadrado</t>
        </is>
      </c>
      <c r="S690" s="7" t="inlineStr">
        <is>
          <t>empotrado</t>
        </is>
      </c>
      <c r="AF690" s="4" t="inlineStr">
        <is>
          <t>potencia_w: 3 · temp_k: 3000</t>
        </is>
      </c>
    </row>
    <row r="691">
      <c r="A691" s="3" t="inlineStr">
        <is>
          <t>MAT-10-076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Panel LED empotrado redondo de 12 W</t>
        </is>
      </c>
      <c r="E691" s="4" t="inlineStr"/>
      <c r="F691" s="3" t="inlineStr">
        <is>
          <t>unidad</t>
        </is>
      </c>
      <c r="G691" s="3" t="inlineStr">
        <is>
          <t>Instalaciones</t>
        </is>
      </c>
      <c r="H691" s="3" t="inlineStr">
        <is>
          <t>estandar</t>
        </is>
      </c>
      <c r="I691" s="3" t="inlineStr">
        <is>
          <t>importado</t>
        </is>
      </c>
      <c r="J691" s="5" t="n">
        <v>1</v>
      </c>
      <c r="K691" s="6" t="n">
        <v>304.99</v>
      </c>
      <c r="L691" s="6" t="n">
        <v>304.99</v>
      </c>
      <c r="M691" s="6" t="n">
        <v>304.99</v>
      </c>
      <c r="N691" s="3" t="inlineStr">
        <is>
          <t>Sí</t>
        </is>
      </c>
      <c r="O691" s="6">
        <f>IF(K691="","",IF(N691="Sí",ROUND(K691/1.18,2),K691))</f>
        <v/>
      </c>
      <c r="P691" s="3" t="inlineStr">
        <is>
          <t>2026-09-09</t>
        </is>
      </c>
      <c r="Q691" s="4" t="inlineStr">
        <is>
          <t>Max Ferretería</t>
        </is>
      </c>
      <c r="R691" s="7" t="inlineStr">
        <is>
          <t>redondo</t>
        </is>
      </c>
      <c r="S691" s="7" t="inlineStr">
        <is>
          <t>empotrado</t>
        </is>
      </c>
      <c r="AF691" s="4" t="inlineStr">
        <is>
          <t>potencia_w: 12 · temp_k: 6500</t>
        </is>
      </c>
    </row>
    <row r="692">
      <c r="A692" s="3" t="inlineStr">
        <is>
          <t>MAT-10-077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Panel LED empotrado redondo de 18 W</t>
        </is>
      </c>
      <c r="E692" s="4" t="inlineStr"/>
      <c r="F692" s="3" t="inlineStr">
        <is>
          <t>unidad</t>
        </is>
      </c>
      <c r="G692" s="3" t="inlineStr">
        <is>
          <t>Instalaciones</t>
        </is>
      </c>
      <c r="H692" s="3" t="inlineStr">
        <is>
          <t>estandar</t>
        </is>
      </c>
      <c r="I692" s="3" t="inlineStr">
        <is>
          <t>importado</t>
        </is>
      </c>
      <c r="J692" s="5" t="n">
        <v>1</v>
      </c>
      <c r="K692" s="6" t="n">
        <v>290</v>
      </c>
      <c r="L692" s="6" t="n">
        <v>290</v>
      </c>
      <c r="M692" s="6" t="n">
        <v>290</v>
      </c>
      <c r="N692" s="3" t="inlineStr">
        <is>
          <t>Sí</t>
        </is>
      </c>
      <c r="O692" s="6">
        <f>IF(K692="","",IF(N692="Sí",ROUND(K692/1.18,2),K692))</f>
        <v/>
      </c>
      <c r="P692" s="3" t="inlineStr">
        <is>
          <t>2026-09-09</t>
        </is>
      </c>
      <c r="Q692" s="4" t="inlineStr">
        <is>
          <t>Max Ferretería</t>
        </is>
      </c>
      <c r="R692" s="7" t="inlineStr">
        <is>
          <t>redondo</t>
        </is>
      </c>
      <c r="S692" s="7" t="inlineStr">
        <is>
          <t>empotrado</t>
        </is>
      </c>
      <c r="AF692" s="4" t="inlineStr">
        <is>
          <t>potencia_w: 18 · temp_k: 6500</t>
        </is>
      </c>
    </row>
    <row r="693">
      <c r="A693" s="3" t="inlineStr">
        <is>
          <t>MAT-10-078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Panel LED empotrado redondo de 24 W</t>
        </is>
      </c>
      <c r="E693" s="4" t="inlineStr"/>
      <c r="F693" s="3" t="inlineStr">
        <is>
          <t>unidad</t>
        </is>
      </c>
      <c r="G693" s="3" t="inlineStr">
        <is>
          <t>Instalaciones</t>
        </is>
      </c>
      <c r="H693" s="3" t="inlineStr">
        <is>
          <t>estandar</t>
        </is>
      </c>
      <c r="I693" s="3" t="inlineStr">
        <is>
          <t>importado</t>
        </is>
      </c>
      <c r="J693" s="5" t="n">
        <v>1</v>
      </c>
      <c r="K693" s="6" t="n">
        <v>650</v>
      </c>
      <c r="L693" s="6" t="n">
        <v>650</v>
      </c>
      <c r="M693" s="6" t="n">
        <v>650</v>
      </c>
      <c r="N693" s="3" t="inlineStr">
        <is>
          <t>Sí</t>
        </is>
      </c>
      <c r="O693" s="6">
        <f>IF(K693="","",IF(N693="Sí",ROUND(K693/1.18,2),K693))</f>
        <v/>
      </c>
      <c r="P693" s="3" t="inlineStr">
        <is>
          <t>2026-09-09</t>
        </is>
      </c>
      <c r="Q693" s="4" t="inlineStr">
        <is>
          <t>Max Ferretería</t>
        </is>
      </c>
      <c r="R693" s="7" t="inlineStr">
        <is>
          <t>redondo</t>
        </is>
      </c>
      <c r="S693" s="7" t="inlineStr">
        <is>
          <t>empotrado</t>
        </is>
      </c>
      <c r="AF693" s="4" t="inlineStr">
        <is>
          <t>potencia_w: 24 · temp_k: 6500</t>
        </is>
      </c>
    </row>
    <row r="694">
      <c r="A694" s="3" t="inlineStr">
        <is>
          <t>MAT-10-079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Panel LED empotrar cuadrado de 10 W</t>
        </is>
      </c>
      <c r="E694" s="4" t="inlineStr"/>
      <c r="F694" s="3" t="inlineStr">
        <is>
          <t>unidad</t>
        </is>
      </c>
      <c r="G694" s="3" t="inlineStr">
        <is>
          <t>Instalaciones</t>
        </is>
      </c>
      <c r="H694" s="3" t="inlineStr">
        <is>
          <t>estandar</t>
        </is>
      </c>
      <c r="I694" s="3" t="inlineStr">
        <is>
          <t>importado</t>
        </is>
      </c>
      <c r="J694" s="5" t="n">
        <v>1</v>
      </c>
      <c r="K694" s="6" t="n">
        <v>845</v>
      </c>
      <c r="L694" s="6" t="n">
        <v>845</v>
      </c>
      <c r="M694" s="6" t="n">
        <v>845</v>
      </c>
      <c r="N694" s="3" t="inlineStr">
        <is>
          <t>Sí</t>
        </is>
      </c>
      <c r="O694" s="6">
        <f>IF(K694="","",IF(N694="Sí",ROUND(K694/1.18,2),K694))</f>
        <v/>
      </c>
      <c r="P694" s="3" t="inlineStr">
        <is>
          <t>2026-09-10</t>
        </is>
      </c>
      <c r="Q694" s="4" t="inlineStr">
        <is>
          <t>Bellón</t>
        </is>
      </c>
      <c r="R694" s="7" t="inlineStr">
        <is>
          <t>cuadrado</t>
        </is>
      </c>
      <c r="S694" s="7" t="inlineStr">
        <is>
          <t>empotrar</t>
        </is>
      </c>
      <c r="AF694" s="4" t="inlineStr">
        <is>
          <t>potencia_w: 10</t>
        </is>
      </c>
    </row>
    <row r="695">
      <c r="A695" s="3" t="inlineStr">
        <is>
          <t>MAT-10-080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Panel LED empotrar cuadrado de 11.5 W</t>
        </is>
      </c>
      <c r="E695" s="4" t="inlineStr"/>
      <c r="F695" s="3" t="inlineStr">
        <is>
          <t>unidad</t>
        </is>
      </c>
      <c r="G695" s="3" t="inlineStr">
        <is>
          <t>Instalaciones</t>
        </is>
      </c>
      <c r="H695" s="3" t="inlineStr">
        <is>
          <t>estandar</t>
        </is>
      </c>
      <c r="I695" s="3" t="inlineStr">
        <is>
          <t>importado</t>
        </is>
      </c>
      <c r="J695" s="5" t="n">
        <v>1</v>
      </c>
      <c r="K695" s="6" t="n">
        <v>926</v>
      </c>
      <c r="L695" s="6" t="n">
        <v>465</v>
      </c>
      <c r="M695" s="6" t="n">
        <v>1330</v>
      </c>
      <c r="N695" s="3" t="inlineStr">
        <is>
          <t>Sí</t>
        </is>
      </c>
      <c r="O695" s="6">
        <f>IF(K695="","",IF(N695="Sí",ROUND(K695/1.18,2),K695))</f>
        <v/>
      </c>
      <c r="P695" s="3" t="inlineStr">
        <is>
          <t>2026-09-10</t>
        </is>
      </c>
      <c r="Q695" s="4" t="inlineStr">
        <is>
          <t>Bellón</t>
        </is>
      </c>
      <c r="R695" s="7" t="inlineStr">
        <is>
          <t>cuadrado</t>
        </is>
      </c>
      <c r="S695" s="7" t="inlineStr">
        <is>
          <t>empotrar</t>
        </is>
      </c>
      <c r="AF695" s="4" t="inlineStr">
        <is>
          <t>potencia_w: 11.5</t>
        </is>
      </c>
    </row>
    <row r="696">
      <c r="A696" s="3" t="inlineStr">
        <is>
          <t>MAT-10-081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Panel LED empotrar cuadrado de 12 W</t>
        </is>
      </c>
      <c r="E696" s="4" t="inlineStr"/>
      <c r="F696" s="3" t="inlineStr">
        <is>
          <t>unidad</t>
        </is>
      </c>
      <c r="G696" s="3" t="inlineStr">
        <is>
          <t>Instalaciones</t>
        </is>
      </c>
      <c r="H696" s="3" t="inlineStr">
        <is>
          <t>estandar</t>
        </is>
      </c>
      <c r="I696" s="3" t="inlineStr">
        <is>
          <t>importado</t>
        </is>
      </c>
      <c r="J696" s="5" t="n">
        <v>2</v>
      </c>
      <c r="K696" s="6" t="n">
        <v>245</v>
      </c>
      <c r="L696" s="6" t="n">
        <v>170</v>
      </c>
      <c r="M696" s="6" t="n">
        <v>430</v>
      </c>
      <c r="N696" s="3" t="inlineStr">
        <is>
          <t>Sí</t>
        </is>
      </c>
      <c r="O696" s="6">
        <f>IF(K696="","",IF(N696="Sí",ROUND(K696/1.18,2),K696))</f>
        <v/>
      </c>
      <c r="P696" s="3" t="inlineStr">
        <is>
          <t>2026-09-10</t>
        </is>
      </c>
      <c r="Q696" s="4" t="inlineStr">
        <is>
          <t>Bellón · Ferremix (Grupo Alterra)</t>
        </is>
      </c>
      <c r="R696" s="7" t="inlineStr">
        <is>
          <t>cuadrado</t>
        </is>
      </c>
      <c r="S696" s="7" t="inlineStr">
        <is>
          <t>empotrar</t>
        </is>
      </c>
      <c r="AF696" s="4" t="inlineStr">
        <is>
          <t>potencia_w: 12</t>
        </is>
      </c>
    </row>
    <row r="697">
      <c r="A697" s="3" t="inlineStr">
        <is>
          <t>MAT-10-082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Panel LED empotrar cuadrado de 15 W</t>
        </is>
      </c>
      <c r="E697" s="4" t="inlineStr"/>
      <c r="F697" s="3" t="inlineStr">
        <is>
          <t>unidad</t>
        </is>
      </c>
      <c r="G697" s="3" t="inlineStr">
        <is>
          <t>Instalaciones</t>
        </is>
      </c>
      <c r="H697" s="3" t="inlineStr">
        <is>
          <t>estandar</t>
        </is>
      </c>
      <c r="I697" s="3" t="inlineStr">
        <is>
          <t>importado</t>
        </is>
      </c>
      <c r="J697" s="5" t="n">
        <v>1</v>
      </c>
      <c r="K697" s="6" t="n">
        <v>1764</v>
      </c>
      <c r="L697" s="6" t="n">
        <v>1764</v>
      </c>
      <c r="M697" s="6" t="n">
        <v>1764</v>
      </c>
      <c r="N697" s="3" t="inlineStr">
        <is>
          <t>Sí</t>
        </is>
      </c>
      <c r="O697" s="6">
        <f>IF(K697="","",IF(N697="Sí",ROUND(K697/1.18,2),K697))</f>
        <v/>
      </c>
      <c r="P697" s="3" t="inlineStr">
        <is>
          <t>2026-09-10</t>
        </is>
      </c>
      <c r="Q697" s="4" t="inlineStr">
        <is>
          <t>Bellón</t>
        </is>
      </c>
      <c r="R697" s="7" t="inlineStr">
        <is>
          <t>cuadrado</t>
        </is>
      </c>
      <c r="S697" s="7" t="inlineStr">
        <is>
          <t>empotrar</t>
        </is>
      </c>
      <c r="AF697" s="4" t="inlineStr">
        <is>
          <t>potencia_w: 15</t>
        </is>
      </c>
    </row>
    <row r="698">
      <c r="A698" s="3" t="inlineStr">
        <is>
          <t>MAT-10-083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Panel LED empotrar cuadrado de 18 W</t>
        </is>
      </c>
      <c r="E698" s="4" t="inlineStr"/>
      <c r="F698" s="3" t="inlineStr">
        <is>
          <t>unidad</t>
        </is>
      </c>
      <c r="G698" s="3" t="inlineStr">
        <is>
          <t>Instalaciones</t>
        </is>
      </c>
      <c r="H698" s="3" t="inlineStr">
        <is>
          <t>estandar</t>
        </is>
      </c>
      <c r="I698" s="3" t="inlineStr">
        <is>
          <t>importado</t>
        </is>
      </c>
      <c r="J698" s="5" t="n">
        <v>2</v>
      </c>
      <c r="K698" s="6" t="n">
        <v>439.5</v>
      </c>
      <c r="L698" s="6" t="n">
        <v>349</v>
      </c>
      <c r="M698" s="6" t="n">
        <v>599</v>
      </c>
      <c r="N698" s="3" t="inlineStr">
        <is>
          <t>Sí</t>
        </is>
      </c>
      <c r="O698" s="6">
        <f>IF(K698="","",IF(N698="Sí",ROUND(K698/1.18,2),K698))</f>
        <v/>
      </c>
      <c r="P698" s="3" t="inlineStr">
        <is>
          <t>2026-09-10</t>
        </is>
      </c>
      <c r="Q698" s="4" t="inlineStr">
        <is>
          <t>Bellón · Ferremix (Grupo Alterra)</t>
        </is>
      </c>
      <c r="R698" s="7" t="inlineStr">
        <is>
          <t>cuadrado</t>
        </is>
      </c>
      <c r="S698" s="7" t="inlineStr">
        <is>
          <t>empotrar</t>
        </is>
      </c>
      <c r="AF698" s="4" t="inlineStr">
        <is>
          <t>potencia_w: 18</t>
        </is>
      </c>
    </row>
    <row r="699">
      <c r="A699" s="3" t="inlineStr">
        <is>
          <t>MAT-10-084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Panel LED empotrar cuadrado de 22 W</t>
        </is>
      </c>
      <c r="E699" s="4" t="inlineStr"/>
      <c r="F699" s="3" t="inlineStr">
        <is>
          <t>unidad</t>
        </is>
      </c>
      <c r="G699" s="3" t="inlineStr">
        <is>
          <t>Instalaciones</t>
        </is>
      </c>
      <c r="H699" s="3" t="inlineStr">
        <is>
          <t>estandar</t>
        </is>
      </c>
      <c r="I699" s="3" t="inlineStr">
        <is>
          <t>importado</t>
        </is>
      </c>
      <c r="J699" s="5" t="n">
        <v>1</v>
      </c>
      <c r="K699" s="6" t="n">
        <v>665</v>
      </c>
      <c r="L699" s="6" t="n">
        <v>665</v>
      </c>
      <c r="M699" s="6" t="n">
        <v>665</v>
      </c>
      <c r="N699" s="3" t="inlineStr">
        <is>
          <t>Sí</t>
        </is>
      </c>
      <c r="O699" s="6">
        <f>IF(K699="","",IF(N699="Sí",ROUND(K699/1.18,2),K699))</f>
        <v/>
      </c>
      <c r="P699" s="3" t="inlineStr">
        <is>
          <t>2026-09-10</t>
        </is>
      </c>
      <c r="Q699" s="4" t="inlineStr">
        <is>
          <t>Bellón</t>
        </is>
      </c>
      <c r="R699" s="7" t="inlineStr">
        <is>
          <t>cuadrado</t>
        </is>
      </c>
      <c r="S699" s="7" t="inlineStr">
        <is>
          <t>empotrar</t>
        </is>
      </c>
      <c r="AF699" s="4" t="inlineStr">
        <is>
          <t>potencia_w: 22</t>
        </is>
      </c>
    </row>
    <row r="700">
      <c r="A700" s="3" t="inlineStr">
        <is>
          <t>MAT-10-085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Panel LED empotrar cuadrado de 24 W</t>
        </is>
      </c>
      <c r="E700" s="4" t="inlineStr"/>
      <c r="F700" s="3" t="inlineStr">
        <is>
          <t>unidad</t>
        </is>
      </c>
      <c r="G700" s="3" t="inlineStr">
        <is>
          <t>Instalaciones</t>
        </is>
      </c>
      <c r="H700" s="3" t="inlineStr">
        <is>
          <t>estandar</t>
        </is>
      </c>
      <c r="I700" s="3" t="inlineStr">
        <is>
          <t>importado</t>
        </is>
      </c>
      <c r="J700" s="5" t="n">
        <v>1</v>
      </c>
      <c r="K700" s="6" t="n">
        <v>699</v>
      </c>
      <c r="L700" s="6" t="n">
        <v>699</v>
      </c>
      <c r="M700" s="6" t="n">
        <v>699</v>
      </c>
      <c r="N700" s="3" t="inlineStr">
        <is>
          <t>Sí</t>
        </is>
      </c>
      <c r="O700" s="6">
        <f>IF(K700="","",IF(N700="Sí",ROUND(K700/1.18,2),K700))</f>
        <v/>
      </c>
      <c r="P700" s="3" t="inlineStr">
        <is>
          <t>2026-09-10</t>
        </is>
      </c>
      <c r="Q700" s="4" t="inlineStr">
        <is>
          <t>Bellón</t>
        </is>
      </c>
      <c r="R700" s="7" t="inlineStr">
        <is>
          <t>cuadrado</t>
        </is>
      </c>
      <c r="S700" s="7" t="inlineStr">
        <is>
          <t>empotrar</t>
        </is>
      </c>
      <c r="AF700" s="4" t="inlineStr">
        <is>
          <t>potencia_w: 24</t>
        </is>
      </c>
    </row>
    <row r="701">
      <c r="A701" s="3" t="inlineStr">
        <is>
          <t>MAT-10-086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Panel LED empotrar cuadrado de 3 W</t>
        </is>
      </c>
      <c r="E701" s="4" t="inlineStr"/>
      <c r="F701" s="3" t="inlineStr">
        <is>
          <t>unidad</t>
        </is>
      </c>
      <c r="G701" s="3" t="inlineStr">
        <is>
          <t>Instalaciones</t>
        </is>
      </c>
      <c r="H701" s="3" t="inlineStr">
        <is>
          <t>estandar</t>
        </is>
      </c>
      <c r="I701" s="3" t="inlineStr">
        <is>
          <t>importado</t>
        </is>
      </c>
      <c r="J701" s="5" t="n">
        <v>1</v>
      </c>
      <c r="K701" s="6" t="n">
        <v>265</v>
      </c>
      <c r="L701" s="6" t="n">
        <v>265</v>
      </c>
      <c r="M701" s="6" t="n">
        <v>265</v>
      </c>
      <c r="N701" s="3" t="inlineStr">
        <is>
          <t>Sí</t>
        </is>
      </c>
      <c r="O701" s="6">
        <f>IF(K701="","",IF(N701="Sí",ROUND(K701/1.18,2),K701))</f>
        <v/>
      </c>
      <c r="P701" s="3" t="inlineStr">
        <is>
          <t>2026-09-10</t>
        </is>
      </c>
      <c r="Q701" s="4" t="inlineStr">
        <is>
          <t>Bellón</t>
        </is>
      </c>
      <c r="R701" s="7" t="inlineStr">
        <is>
          <t>cuadrado</t>
        </is>
      </c>
      <c r="S701" s="7" t="inlineStr">
        <is>
          <t>empotrar</t>
        </is>
      </c>
      <c r="AF701" s="4" t="inlineStr">
        <is>
          <t>potencia_w: 3</t>
        </is>
      </c>
    </row>
    <row r="702">
      <c r="A702" s="3" t="inlineStr">
        <is>
          <t>MAT-10-087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Panel LED empotrar cuadrado de 36 W</t>
        </is>
      </c>
      <c r="E702" s="4" t="inlineStr"/>
      <c r="F702" s="3" t="inlineStr">
        <is>
          <t>unidad</t>
        </is>
      </c>
      <c r="G702" s="3" t="inlineStr">
        <is>
          <t>Instalaciones</t>
        </is>
      </c>
      <c r="H702" s="3" t="inlineStr">
        <is>
          <t>estandar</t>
        </is>
      </c>
      <c r="I702" s="3" t="inlineStr">
        <is>
          <t>importado</t>
        </is>
      </c>
      <c r="J702" s="5" t="n">
        <v>2</v>
      </c>
      <c r="K702" s="6" t="n">
        <v>1077</v>
      </c>
      <c r="L702" s="6" t="n">
        <v>1050</v>
      </c>
      <c r="M702" s="6" t="n">
        <v>1104</v>
      </c>
      <c r="N702" s="3" t="inlineStr">
        <is>
          <t>Sí</t>
        </is>
      </c>
      <c r="O702" s="6">
        <f>IF(K702="","",IF(N702="Sí",ROUND(K702/1.18,2),K702))</f>
        <v/>
      </c>
      <c r="P702" s="3" t="inlineStr">
        <is>
          <t>2026-09-10</t>
        </is>
      </c>
      <c r="Q702" s="4" t="inlineStr">
        <is>
          <t>Bellón · Mundo LED</t>
        </is>
      </c>
      <c r="R702" s="7" t="inlineStr">
        <is>
          <t>cuadrado</t>
        </is>
      </c>
      <c r="S702" s="7" t="inlineStr">
        <is>
          <t>empotrar</t>
        </is>
      </c>
      <c r="AF702" s="4" t="inlineStr">
        <is>
          <t>potencia_w: 36</t>
        </is>
      </c>
    </row>
    <row r="703">
      <c r="A703" s="3" t="inlineStr">
        <is>
          <t>MAT-10-088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Panel LED empotrar cuadrado de 4 W</t>
        </is>
      </c>
      <c r="E703" s="4" t="inlineStr"/>
      <c r="F703" s="3" t="inlineStr">
        <is>
          <t>unidad</t>
        </is>
      </c>
      <c r="G703" s="3" t="inlineStr">
        <is>
          <t>Instalaciones</t>
        </is>
      </c>
      <c r="H703" s="3" t="inlineStr">
        <is>
          <t>estandar</t>
        </is>
      </c>
      <c r="I703" s="3" t="inlineStr">
        <is>
          <t>importado</t>
        </is>
      </c>
      <c r="J703" s="5" t="n">
        <v>1</v>
      </c>
      <c r="K703" s="6" t="n">
        <v>245</v>
      </c>
      <c r="L703" s="6" t="n">
        <v>245</v>
      </c>
      <c r="M703" s="6" t="n">
        <v>245</v>
      </c>
      <c r="N703" s="3" t="inlineStr">
        <is>
          <t>Sí</t>
        </is>
      </c>
      <c r="O703" s="6">
        <f>IF(K703="","",IF(N703="Sí",ROUND(K703/1.18,2),K703))</f>
        <v/>
      </c>
      <c r="P703" s="3" t="inlineStr">
        <is>
          <t>2026-09-10</t>
        </is>
      </c>
      <c r="Q703" s="4" t="inlineStr">
        <is>
          <t>Bellón</t>
        </is>
      </c>
      <c r="R703" s="7" t="inlineStr">
        <is>
          <t>cuadrado</t>
        </is>
      </c>
      <c r="S703" s="7" t="inlineStr">
        <is>
          <t>empotrar</t>
        </is>
      </c>
      <c r="AF703" s="4" t="inlineStr">
        <is>
          <t>potencia_w: 4</t>
        </is>
      </c>
    </row>
    <row r="704">
      <c r="A704" s="3" t="inlineStr">
        <is>
          <t>MAT-10-089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Panel LED empotrar cuadrado de 40 W</t>
        </is>
      </c>
      <c r="E704" s="4" t="inlineStr"/>
      <c r="F704" s="3" t="inlineStr">
        <is>
          <t>unidad</t>
        </is>
      </c>
      <c r="G704" s="3" t="inlineStr">
        <is>
          <t>Instalaciones</t>
        </is>
      </c>
      <c r="H704" s="3" t="inlineStr">
        <is>
          <t>estandar</t>
        </is>
      </c>
      <c r="I704" s="3" t="inlineStr">
        <is>
          <t>importado</t>
        </is>
      </c>
      <c r="J704" s="5" t="n">
        <v>1</v>
      </c>
      <c r="K704" s="6" t="n">
        <v>1475</v>
      </c>
      <c r="L704" s="6" t="n">
        <v>1150</v>
      </c>
      <c r="M704" s="6" t="n">
        <v>2500</v>
      </c>
      <c r="N704" s="3" t="inlineStr">
        <is>
          <t>Sí</t>
        </is>
      </c>
      <c r="O704" s="6">
        <f>IF(K704="","",IF(N704="Sí",ROUND(K704/1.18,2),K704))</f>
        <v/>
      </c>
      <c r="P704" s="3" t="inlineStr">
        <is>
          <t>2026-09-10</t>
        </is>
      </c>
      <c r="Q704" s="4" t="inlineStr">
        <is>
          <t>Mundo LED</t>
        </is>
      </c>
      <c r="R704" s="7" t="inlineStr">
        <is>
          <t>cuadrado</t>
        </is>
      </c>
      <c r="S704" s="7" t="inlineStr">
        <is>
          <t>empotrar</t>
        </is>
      </c>
      <c r="AF704" s="4" t="inlineStr">
        <is>
          <t>potencia_w: 40</t>
        </is>
      </c>
    </row>
    <row r="705">
      <c r="A705" s="3" t="inlineStr">
        <is>
          <t>MAT-10-090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Panel LED empotrar cuadrado de 6 W</t>
        </is>
      </c>
      <c r="E705" s="4" t="inlineStr"/>
      <c r="F705" s="3" t="inlineStr">
        <is>
          <t>unidad</t>
        </is>
      </c>
      <c r="G705" s="3" t="inlineStr">
        <is>
          <t>Instalaciones</t>
        </is>
      </c>
      <c r="H705" s="3" t="inlineStr">
        <is>
          <t>estandar</t>
        </is>
      </c>
      <c r="I705" s="3" t="inlineStr">
        <is>
          <t>importado</t>
        </is>
      </c>
      <c r="J705" s="5" t="n">
        <v>2</v>
      </c>
      <c r="K705" s="6" t="n">
        <v>241</v>
      </c>
      <c r="L705" s="6" t="n">
        <v>159</v>
      </c>
      <c r="M705" s="6" t="n">
        <v>285</v>
      </c>
      <c r="N705" s="3" t="inlineStr">
        <is>
          <t>Sí</t>
        </is>
      </c>
      <c r="O705" s="6">
        <f>IF(K705="","",IF(N705="Sí",ROUND(K705/1.18,2),K705))</f>
        <v/>
      </c>
      <c r="P705" s="3" t="inlineStr">
        <is>
          <t>2026-09-10</t>
        </is>
      </c>
      <c r="Q705" s="4" t="inlineStr">
        <is>
          <t>Bellón · Ferremix (Grupo Alterra)</t>
        </is>
      </c>
      <c r="R705" s="7" t="inlineStr">
        <is>
          <t>cuadrado</t>
        </is>
      </c>
      <c r="S705" s="7" t="inlineStr">
        <is>
          <t>empotrar</t>
        </is>
      </c>
      <c r="AF705" s="4" t="inlineStr">
        <is>
          <t>potencia_w: 6</t>
        </is>
      </c>
    </row>
    <row r="706">
      <c r="A706" s="3" t="inlineStr">
        <is>
          <t>MAT-10-091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Panel LED empotrar cuadrado de 7 W</t>
        </is>
      </c>
      <c r="E706" s="4" t="inlineStr"/>
      <c r="F706" s="3" t="inlineStr">
        <is>
          <t>unidad</t>
        </is>
      </c>
      <c r="G706" s="3" t="inlineStr">
        <is>
          <t>Instalaciones</t>
        </is>
      </c>
      <c r="H706" s="3" t="inlineStr">
        <is>
          <t>estandar</t>
        </is>
      </c>
      <c r="I706" s="3" t="inlineStr">
        <is>
          <t>importado</t>
        </is>
      </c>
      <c r="J706" s="5" t="n">
        <v>1</v>
      </c>
      <c r="K706" s="6" t="n">
        <v>895.5</v>
      </c>
      <c r="L706" s="6" t="n">
        <v>880</v>
      </c>
      <c r="M706" s="6" t="n">
        <v>911</v>
      </c>
      <c r="N706" s="3" t="inlineStr">
        <is>
          <t>Sí</t>
        </is>
      </c>
      <c r="O706" s="6">
        <f>IF(K706="","",IF(N706="Sí",ROUND(K706/1.18,2),K706))</f>
        <v/>
      </c>
      <c r="P706" s="3" t="inlineStr">
        <is>
          <t>2026-09-10</t>
        </is>
      </c>
      <c r="Q706" s="4" t="inlineStr">
        <is>
          <t>Bellón</t>
        </is>
      </c>
      <c r="R706" s="7" t="inlineStr">
        <is>
          <t>cuadrado</t>
        </is>
      </c>
      <c r="S706" s="7" t="inlineStr">
        <is>
          <t>empotrar</t>
        </is>
      </c>
      <c r="AF706" s="4" t="inlineStr">
        <is>
          <t>potencia_w: 7</t>
        </is>
      </c>
    </row>
    <row r="707">
      <c r="A707" s="3" t="inlineStr">
        <is>
          <t>MAT-10-092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Panel LED empotrar cuadrado de 7.8 W</t>
        </is>
      </c>
      <c r="E707" s="4" t="inlineStr"/>
      <c r="F707" s="3" t="inlineStr">
        <is>
          <t>unidad</t>
        </is>
      </c>
      <c r="G707" s="3" t="inlineStr">
        <is>
          <t>Instalaciones</t>
        </is>
      </c>
      <c r="H707" s="3" t="inlineStr">
        <is>
          <t>estandar</t>
        </is>
      </c>
      <c r="I707" s="3" t="inlineStr">
        <is>
          <t>importado</t>
        </is>
      </c>
      <c r="J707" s="5" t="n">
        <v>1</v>
      </c>
      <c r="K707" s="6" t="n">
        <v>530.5</v>
      </c>
      <c r="L707" s="6" t="n">
        <v>405</v>
      </c>
      <c r="M707" s="6" t="n">
        <v>656</v>
      </c>
      <c r="N707" s="3" t="inlineStr">
        <is>
          <t>Sí</t>
        </is>
      </c>
      <c r="O707" s="6">
        <f>IF(K707="","",IF(N707="Sí",ROUND(K707/1.18,2),K707))</f>
        <v/>
      </c>
      <c r="P707" s="3" t="inlineStr">
        <is>
          <t>2026-09-10</t>
        </is>
      </c>
      <c r="Q707" s="4" t="inlineStr">
        <is>
          <t>Bellón</t>
        </is>
      </c>
      <c r="R707" s="7" t="inlineStr">
        <is>
          <t>cuadrado</t>
        </is>
      </c>
      <c r="S707" s="7" t="inlineStr">
        <is>
          <t>empotrar</t>
        </is>
      </c>
      <c r="AF707" s="4" t="inlineStr">
        <is>
          <t>potencia_w: 7.8</t>
        </is>
      </c>
    </row>
    <row r="708">
      <c r="A708" s="3" t="inlineStr">
        <is>
          <t>MAT-10-093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Panel LED empotrar cuadrado de 9 W</t>
        </is>
      </c>
      <c r="E708" s="4" t="inlineStr"/>
      <c r="F708" s="3" t="inlineStr">
        <is>
          <t>unidad</t>
        </is>
      </c>
      <c r="G708" s="3" t="inlineStr">
        <is>
          <t>Instalaciones</t>
        </is>
      </c>
      <c r="H708" s="3" t="inlineStr">
        <is>
          <t>estandar</t>
        </is>
      </c>
      <c r="I708" s="3" t="inlineStr">
        <is>
          <t>importado</t>
        </is>
      </c>
      <c r="J708" s="5" t="n">
        <v>1</v>
      </c>
      <c r="K708" s="6" t="n">
        <v>1054</v>
      </c>
      <c r="L708" s="6" t="n">
        <v>1044</v>
      </c>
      <c r="M708" s="6" t="n">
        <v>1064</v>
      </c>
      <c r="N708" s="3" t="inlineStr">
        <is>
          <t>Sí</t>
        </is>
      </c>
      <c r="O708" s="6">
        <f>IF(K708="","",IF(N708="Sí",ROUND(K708/1.18,2),K708))</f>
        <v/>
      </c>
      <c r="P708" s="3" t="inlineStr">
        <is>
          <t>2026-09-10</t>
        </is>
      </c>
      <c r="Q708" s="4" t="inlineStr">
        <is>
          <t>Bellón</t>
        </is>
      </c>
      <c r="R708" s="7" t="inlineStr">
        <is>
          <t>cuadrado</t>
        </is>
      </c>
      <c r="S708" s="7" t="inlineStr">
        <is>
          <t>empotrar</t>
        </is>
      </c>
      <c r="AF708" s="4" t="inlineStr">
        <is>
          <t>potencia_w: 9</t>
        </is>
      </c>
    </row>
    <row r="709">
      <c r="A709" s="3" t="inlineStr">
        <is>
          <t>MAT-10-094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Panel LED empotrar redondo de 11.5 W</t>
        </is>
      </c>
      <c r="E709" s="4" t="inlineStr"/>
      <c r="F709" s="3" t="inlineStr">
        <is>
          <t>unidad</t>
        </is>
      </c>
      <c r="G709" s="3" t="inlineStr">
        <is>
          <t>Instalaciones</t>
        </is>
      </c>
      <c r="H709" s="3" t="inlineStr">
        <is>
          <t>estandar</t>
        </is>
      </c>
      <c r="I709" s="3" t="inlineStr">
        <is>
          <t>importado</t>
        </is>
      </c>
      <c r="J709" s="5" t="n">
        <v>1</v>
      </c>
      <c r="K709" s="6" t="n">
        <v>516.5</v>
      </c>
      <c r="L709" s="6" t="n">
        <v>465</v>
      </c>
      <c r="M709" s="6" t="n">
        <v>568</v>
      </c>
      <c r="N709" s="3" t="inlineStr">
        <is>
          <t>Sí</t>
        </is>
      </c>
      <c r="O709" s="6">
        <f>IF(K709="","",IF(N709="Sí",ROUND(K709/1.18,2),K709))</f>
        <v/>
      </c>
      <c r="P709" s="3" t="inlineStr">
        <is>
          <t>2026-09-10</t>
        </is>
      </c>
      <c r="Q709" s="4" t="inlineStr">
        <is>
          <t>Bellón</t>
        </is>
      </c>
      <c r="R709" s="7" t="inlineStr">
        <is>
          <t>redondo</t>
        </is>
      </c>
      <c r="S709" s="7" t="inlineStr">
        <is>
          <t>empotrar</t>
        </is>
      </c>
      <c r="AF709" s="4" t="inlineStr">
        <is>
          <t>potencia_w: 11.5</t>
        </is>
      </c>
    </row>
    <row r="710">
      <c r="A710" s="3" t="inlineStr">
        <is>
          <t>MAT-10-095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Panel LED empotrar redondo de 11.6 W</t>
        </is>
      </c>
      <c r="E710" s="4" t="inlineStr"/>
      <c r="F710" s="3" t="inlineStr">
        <is>
          <t>unidad</t>
        </is>
      </c>
      <c r="G710" s="3" t="inlineStr">
        <is>
          <t>Instalaciones</t>
        </is>
      </c>
      <c r="H710" s="3" t="inlineStr">
        <is>
          <t>estandar</t>
        </is>
      </c>
      <c r="I710" s="3" t="inlineStr">
        <is>
          <t>importado</t>
        </is>
      </c>
      <c r="J710" s="5" t="n">
        <v>1</v>
      </c>
      <c r="K710" s="6" t="n">
        <v>1552</v>
      </c>
      <c r="L710" s="6" t="n">
        <v>1552</v>
      </c>
      <c r="M710" s="6" t="n">
        <v>1552</v>
      </c>
      <c r="N710" s="3" t="inlineStr">
        <is>
          <t>Sí</t>
        </is>
      </c>
      <c r="O710" s="6">
        <f>IF(K710="","",IF(N710="Sí",ROUND(K710/1.18,2),K710))</f>
        <v/>
      </c>
      <c r="P710" s="3" t="inlineStr">
        <is>
          <t>2026-09-10</t>
        </is>
      </c>
      <c r="Q710" s="4" t="inlineStr">
        <is>
          <t>Bellón</t>
        </is>
      </c>
      <c r="R710" s="7" t="inlineStr">
        <is>
          <t>redondo</t>
        </is>
      </c>
      <c r="S710" s="7" t="inlineStr">
        <is>
          <t>empotrar</t>
        </is>
      </c>
      <c r="AF710" s="4" t="inlineStr">
        <is>
          <t>potencia_w: 11.6</t>
        </is>
      </c>
    </row>
    <row r="711">
      <c r="A711" s="3" t="inlineStr">
        <is>
          <t>MAT-10-096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empotrar redondo de 12 W</t>
        </is>
      </c>
      <c r="E711" s="4" t="inlineStr"/>
      <c r="F711" s="3" t="inlineStr">
        <is>
          <t>unidad</t>
        </is>
      </c>
      <c r="G711" s="3" t="inlineStr">
        <is>
          <t>Instalaciones</t>
        </is>
      </c>
      <c r="H711" s="3" t="inlineStr">
        <is>
          <t>estandar</t>
        </is>
      </c>
      <c r="I711" s="3" t="inlineStr">
        <is>
          <t>importado</t>
        </is>
      </c>
      <c r="J711" s="5" t="n">
        <v>3</v>
      </c>
      <c r="K711" s="6" t="n">
        <v>350</v>
      </c>
      <c r="L711" s="6" t="n">
        <v>135</v>
      </c>
      <c r="M711" s="6" t="n">
        <v>992</v>
      </c>
      <c r="N711" s="3" t="inlineStr">
        <is>
          <t>Sí</t>
        </is>
      </c>
      <c r="O711" s="6">
        <f>IF(K711="","",IF(N711="Sí",ROUND(K711/1.18,2),K711))</f>
        <v/>
      </c>
      <c r="P711" s="3" t="inlineStr">
        <is>
          <t>2026-09-10</t>
        </is>
      </c>
      <c r="Q711" s="4" t="inlineStr">
        <is>
          <t>Bellón · Ferremix (Grupo Alterra) · Mundo LED</t>
        </is>
      </c>
      <c r="R711" s="7" t="inlineStr">
        <is>
          <t>redondo</t>
        </is>
      </c>
      <c r="S711" s="7" t="inlineStr">
        <is>
          <t>empotrar</t>
        </is>
      </c>
      <c r="AF711" s="4" t="inlineStr">
        <is>
          <t>potencia_w: 12</t>
        </is>
      </c>
    </row>
    <row r="712">
      <c r="A712" s="3" t="inlineStr">
        <is>
          <t>MAT-10-097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empotrar redondo de 15 W</t>
        </is>
      </c>
      <c r="E712" s="4" t="inlineStr"/>
      <c r="F712" s="3" t="inlineStr">
        <is>
          <t>unidad</t>
        </is>
      </c>
      <c r="G712" s="3" t="inlineStr">
        <is>
          <t>Instalaciones</t>
        </is>
      </c>
      <c r="H712" s="3" t="inlineStr">
        <is>
          <t>estandar</t>
        </is>
      </c>
      <c r="I712" s="3" t="inlineStr">
        <is>
          <t>importado</t>
        </is>
      </c>
      <c r="J712" s="5" t="n">
        <v>1</v>
      </c>
      <c r="K712" s="6" t="n">
        <v>232</v>
      </c>
      <c r="L712" s="6" t="n">
        <v>232</v>
      </c>
      <c r="M712" s="6" t="n">
        <v>232</v>
      </c>
      <c r="N712" s="3" t="inlineStr">
        <is>
          <t>Sí</t>
        </is>
      </c>
      <c r="O712" s="6">
        <f>IF(K712="","",IF(N712="Sí",ROUND(K712/1.18,2),K712))</f>
        <v/>
      </c>
      <c r="P712" s="3" t="inlineStr">
        <is>
          <t>2026-09-10</t>
        </is>
      </c>
      <c r="Q712" s="4" t="inlineStr">
        <is>
          <t>Mundo LED</t>
        </is>
      </c>
      <c r="R712" s="7" t="inlineStr">
        <is>
          <t>redondo</t>
        </is>
      </c>
      <c r="S712" s="7" t="inlineStr">
        <is>
          <t>empotrar</t>
        </is>
      </c>
      <c r="AF712" s="4" t="inlineStr">
        <is>
          <t>potencia_w: 15</t>
        </is>
      </c>
    </row>
    <row r="713">
      <c r="A713" s="3" t="inlineStr">
        <is>
          <t>MAT-10-098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empotrar redondo de 18 W</t>
        </is>
      </c>
      <c r="E713" s="4" t="inlineStr"/>
      <c r="F713" s="3" t="inlineStr">
        <is>
          <t>unidad</t>
        </is>
      </c>
      <c r="G713" s="3" t="inlineStr">
        <is>
          <t>Instalaciones</t>
        </is>
      </c>
      <c r="H713" s="3" t="inlineStr">
        <is>
          <t>estandar</t>
        </is>
      </c>
      <c r="I713" s="3" t="inlineStr">
        <is>
          <t>importado</t>
        </is>
      </c>
      <c r="J713" s="5" t="n">
        <v>3</v>
      </c>
      <c r="K713" s="6" t="n">
        <v>381</v>
      </c>
      <c r="L713" s="6" t="n">
        <v>205</v>
      </c>
      <c r="M713" s="6" t="n">
        <v>1313</v>
      </c>
      <c r="N713" s="3" t="inlineStr">
        <is>
          <t>Sí</t>
        </is>
      </c>
      <c r="O713" s="6">
        <f>IF(K713="","",IF(N713="Sí",ROUND(K713/1.18,2),K713))</f>
        <v/>
      </c>
      <c r="P713" s="3" t="inlineStr">
        <is>
          <t>2026-09-10</t>
        </is>
      </c>
      <c r="Q713" s="4" t="inlineStr">
        <is>
          <t>Bellón · Ferremix (Grupo Alterra) · Mundo LED</t>
        </is>
      </c>
      <c r="R713" s="7" t="inlineStr">
        <is>
          <t>redondo</t>
        </is>
      </c>
      <c r="S713" s="7" t="inlineStr">
        <is>
          <t>empotrar</t>
        </is>
      </c>
      <c r="AF713" s="4" t="inlineStr">
        <is>
          <t>potencia_w: 18</t>
        </is>
      </c>
    </row>
    <row r="714">
      <c r="A714" s="3" t="inlineStr">
        <is>
          <t>MAT-10-099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empotrar redondo de 22 W</t>
        </is>
      </c>
      <c r="E714" s="4" t="inlineStr"/>
      <c r="F714" s="3" t="inlineStr">
        <is>
          <t>unidad</t>
        </is>
      </c>
      <c r="G714" s="3" t="inlineStr">
        <is>
          <t>Instalaciones</t>
        </is>
      </c>
      <c r="H714" s="3" t="inlineStr">
        <is>
          <t>estandar</t>
        </is>
      </c>
      <c r="I714" s="3" t="inlineStr">
        <is>
          <t>importado</t>
        </is>
      </c>
      <c r="J714" s="5" t="n">
        <v>1</v>
      </c>
      <c r="K714" s="6" t="n">
        <v>786</v>
      </c>
      <c r="L714" s="6" t="n">
        <v>660</v>
      </c>
      <c r="M714" s="6" t="n">
        <v>912</v>
      </c>
      <c r="N714" s="3" t="inlineStr">
        <is>
          <t>Sí</t>
        </is>
      </c>
      <c r="O714" s="6">
        <f>IF(K714="","",IF(N714="Sí",ROUND(K714/1.18,2),K714))</f>
        <v/>
      </c>
      <c r="P714" s="3" t="inlineStr">
        <is>
          <t>2026-09-10</t>
        </is>
      </c>
      <c r="Q714" s="4" t="inlineStr">
        <is>
          <t>Bellón</t>
        </is>
      </c>
      <c r="R714" s="7" t="inlineStr">
        <is>
          <t>redondo</t>
        </is>
      </c>
      <c r="S714" s="7" t="inlineStr">
        <is>
          <t>empotrar</t>
        </is>
      </c>
      <c r="AF714" s="4" t="inlineStr">
        <is>
          <t>potencia_w: 22</t>
        </is>
      </c>
    </row>
    <row r="715">
      <c r="A715" s="3" t="inlineStr">
        <is>
          <t>MAT-10-100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empotrar redondo de 24 W</t>
        </is>
      </c>
      <c r="E715" s="4" t="inlineStr"/>
      <c r="F715" s="3" t="inlineStr">
        <is>
          <t>unidad</t>
        </is>
      </c>
      <c r="G715" s="3" t="inlineStr">
        <is>
          <t>Instalaciones</t>
        </is>
      </c>
      <c r="H715" s="3" t="inlineStr">
        <is>
          <t>estandar</t>
        </is>
      </c>
      <c r="I715" s="3" t="inlineStr">
        <is>
          <t>importado</t>
        </is>
      </c>
      <c r="J715" s="5" t="n">
        <v>2</v>
      </c>
      <c r="K715" s="6" t="n">
        <v>514</v>
      </c>
      <c r="L715" s="6" t="n">
        <v>295</v>
      </c>
      <c r="M715" s="6" t="n">
        <v>744</v>
      </c>
      <c r="N715" s="3" t="inlineStr">
        <is>
          <t>Sí</t>
        </is>
      </c>
      <c r="O715" s="6">
        <f>IF(K715="","",IF(N715="Sí",ROUND(K715/1.18,2),K715))</f>
        <v/>
      </c>
      <c r="P715" s="3" t="inlineStr">
        <is>
          <t>2026-09-10</t>
        </is>
      </c>
      <c r="Q715" s="4" t="inlineStr">
        <is>
          <t>Bellón · Mundo LED</t>
        </is>
      </c>
      <c r="R715" s="7" t="inlineStr">
        <is>
          <t>redondo</t>
        </is>
      </c>
      <c r="S715" s="7" t="inlineStr">
        <is>
          <t>empotrar</t>
        </is>
      </c>
      <c r="AF715" s="4" t="inlineStr">
        <is>
          <t>potencia_w: 24</t>
        </is>
      </c>
    </row>
    <row r="716">
      <c r="A716" s="3" t="inlineStr">
        <is>
          <t>MAT-10-101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redondo de 25 W</t>
        </is>
      </c>
      <c r="E716" s="4" t="inlineStr"/>
      <c r="F716" s="3" t="inlineStr">
        <is>
          <t>unidad</t>
        </is>
      </c>
      <c r="G716" s="3" t="inlineStr">
        <is>
          <t>Instalaciones</t>
        </is>
      </c>
      <c r="H716" s="3" t="inlineStr">
        <is>
          <t>estandar</t>
        </is>
      </c>
      <c r="I716" s="3" t="inlineStr">
        <is>
          <t>importado</t>
        </is>
      </c>
      <c r="J716" s="5" t="n">
        <v>1</v>
      </c>
      <c r="K716" s="6" t="n">
        <v>646.5</v>
      </c>
      <c r="L716" s="6" t="n">
        <v>630</v>
      </c>
      <c r="M716" s="6" t="n">
        <v>663</v>
      </c>
      <c r="N716" s="3" t="inlineStr">
        <is>
          <t>Sí</t>
        </is>
      </c>
      <c r="O716" s="6">
        <f>IF(K716="","",IF(N716="Sí",ROUND(K716/1.18,2),K716))</f>
        <v/>
      </c>
      <c r="P716" s="3" t="inlineStr">
        <is>
          <t>2026-09-10</t>
        </is>
      </c>
      <c r="Q716" s="4" t="inlineStr">
        <is>
          <t>Bellón</t>
        </is>
      </c>
      <c r="R716" s="7" t="inlineStr">
        <is>
          <t>redondo</t>
        </is>
      </c>
      <c r="S716" s="7" t="inlineStr">
        <is>
          <t>empotrar</t>
        </is>
      </c>
      <c r="AF716" s="4" t="inlineStr">
        <is>
          <t>potencia_w: 25</t>
        </is>
      </c>
    </row>
    <row r="717">
      <c r="A717" s="3" t="inlineStr">
        <is>
          <t>MAT-10-102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redondo de 3 W</t>
        </is>
      </c>
      <c r="E717" s="4" t="inlineStr"/>
      <c r="F717" s="3" t="inlineStr">
        <is>
          <t>unidad</t>
        </is>
      </c>
      <c r="G717" s="3" t="inlineStr">
        <is>
          <t>Instalaciones</t>
        </is>
      </c>
      <c r="H717" s="3" t="inlineStr">
        <is>
          <t>estandar</t>
        </is>
      </c>
      <c r="I717" s="3" t="inlineStr">
        <is>
          <t>importado</t>
        </is>
      </c>
      <c r="J717" s="5" t="n">
        <v>2</v>
      </c>
      <c r="K717" s="6" t="n">
        <v>142.5</v>
      </c>
      <c r="L717" s="6" t="n">
        <v>90</v>
      </c>
      <c r="M717" s="6" t="n">
        <v>502</v>
      </c>
      <c r="N717" s="3" t="inlineStr">
        <is>
          <t>Sí</t>
        </is>
      </c>
      <c r="O717" s="6">
        <f>IF(K717="","",IF(N717="Sí",ROUND(K717/1.18,2),K717))</f>
        <v/>
      </c>
      <c r="P717" s="3" t="inlineStr">
        <is>
          <t>2026-09-10</t>
        </is>
      </c>
      <c r="Q717" s="4" t="inlineStr">
        <is>
          <t>Bellón · Mundo LED</t>
        </is>
      </c>
      <c r="R717" s="7" t="inlineStr">
        <is>
          <t>redondo</t>
        </is>
      </c>
      <c r="S717" s="7" t="inlineStr">
        <is>
          <t>empotrar</t>
        </is>
      </c>
      <c r="AF717" s="4" t="inlineStr">
        <is>
          <t>potencia_w: 3</t>
        </is>
      </c>
    </row>
    <row r="718">
      <c r="A718" s="3" t="inlineStr">
        <is>
          <t>MAT-10-103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redondo de 36 W</t>
        </is>
      </c>
      <c r="E718" s="4" t="inlineStr"/>
      <c r="F718" s="3" t="inlineStr">
        <is>
          <t>unidad</t>
        </is>
      </c>
      <c r="G718" s="3" t="inlineStr">
        <is>
          <t>Instalaciones</t>
        </is>
      </c>
      <c r="H718" s="3" t="inlineStr">
        <is>
          <t>estandar</t>
        </is>
      </c>
      <c r="I718" s="3" t="inlineStr">
        <is>
          <t>importado</t>
        </is>
      </c>
      <c r="J718" s="5" t="n">
        <v>1</v>
      </c>
      <c r="K718" s="6" t="n">
        <v>808</v>
      </c>
      <c r="L718" s="6" t="n">
        <v>808</v>
      </c>
      <c r="M718" s="6" t="n">
        <v>808</v>
      </c>
      <c r="N718" s="3" t="inlineStr">
        <is>
          <t>Sí</t>
        </is>
      </c>
      <c r="O718" s="6">
        <f>IF(K718="","",IF(N718="Sí",ROUND(K718/1.18,2),K718))</f>
        <v/>
      </c>
      <c r="P718" s="3" t="inlineStr">
        <is>
          <t>2026-09-10</t>
        </is>
      </c>
      <c r="Q718" s="4" t="inlineStr">
        <is>
          <t>Bellón</t>
        </is>
      </c>
      <c r="R718" s="7" t="inlineStr">
        <is>
          <t>redondo</t>
        </is>
      </c>
      <c r="S718" s="7" t="inlineStr">
        <is>
          <t>empotrar</t>
        </is>
      </c>
      <c r="AF718" s="4" t="inlineStr">
        <is>
          <t>potencia_w: 36</t>
        </is>
      </c>
    </row>
    <row r="719">
      <c r="A719" s="3" t="inlineStr">
        <is>
          <t>MAT-10-104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redondo de 4 W</t>
        </is>
      </c>
      <c r="E719" s="4" t="inlineStr"/>
      <c r="F719" s="3" t="inlineStr">
        <is>
          <t>unidad</t>
        </is>
      </c>
      <c r="G719" s="3" t="inlineStr">
        <is>
          <t>Instalaciones</t>
        </is>
      </c>
      <c r="H719" s="3" t="inlineStr">
        <is>
          <t>estandar</t>
        </is>
      </c>
      <c r="I719" s="3" t="inlineStr">
        <is>
          <t>importado</t>
        </is>
      </c>
      <c r="J719" s="5" t="n">
        <v>1</v>
      </c>
      <c r="K719" s="6" t="n">
        <v>280</v>
      </c>
      <c r="L719" s="6" t="n">
        <v>245</v>
      </c>
      <c r="M719" s="6" t="n">
        <v>315</v>
      </c>
      <c r="N719" s="3" t="inlineStr">
        <is>
          <t>Sí</t>
        </is>
      </c>
      <c r="O719" s="6">
        <f>IF(K719="","",IF(N719="Sí",ROUND(K719/1.18,2),K719))</f>
        <v/>
      </c>
      <c r="P719" s="3" t="inlineStr">
        <is>
          <t>2026-09-10</t>
        </is>
      </c>
      <c r="Q719" s="4" t="inlineStr">
        <is>
          <t>Bellón</t>
        </is>
      </c>
      <c r="R719" s="7" t="inlineStr">
        <is>
          <t>redondo</t>
        </is>
      </c>
      <c r="S719" s="7" t="inlineStr">
        <is>
          <t>empotrar</t>
        </is>
      </c>
      <c r="AF719" s="4" t="inlineStr">
        <is>
          <t>potencia_w: 4</t>
        </is>
      </c>
    </row>
    <row r="720">
      <c r="A720" s="3" t="inlineStr">
        <is>
          <t>MAT-10-105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redondo de 40 W</t>
        </is>
      </c>
      <c r="E720" s="4" t="inlineStr"/>
      <c r="F720" s="3" t="inlineStr">
        <is>
          <t>unidad</t>
        </is>
      </c>
      <c r="G720" s="3" t="inlineStr">
        <is>
          <t>Instalaciones</t>
        </is>
      </c>
      <c r="H720" s="3" t="inlineStr">
        <is>
          <t>estandar</t>
        </is>
      </c>
      <c r="I720" s="3" t="inlineStr">
        <is>
          <t>importado</t>
        </is>
      </c>
      <c r="J720" s="5" t="n">
        <v>1</v>
      </c>
      <c r="K720" s="6" t="n">
        <v>1600</v>
      </c>
      <c r="L720" s="6" t="n">
        <v>1600</v>
      </c>
      <c r="M720" s="6" t="n">
        <v>1600</v>
      </c>
      <c r="N720" s="3" t="inlineStr">
        <is>
          <t>Sí</t>
        </is>
      </c>
      <c r="O720" s="6">
        <f>IF(K720="","",IF(N720="Sí",ROUND(K720/1.18,2),K720))</f>
        <v/>
      </c>
      <c r="P720" s="3" t="inlineStr">
        <is>
          <t>2026-09-10</t>
        </is>
      </c>
      <c r="Q720" s="4" t="inlineStr">
        <is>
          <t>Mundo LED</t>
        </is>
      </c>
      <c r="R720" s="7" t="inlineStr">
        <is>
          <t>redondo</t>
        </is>
      </c>
      <c r="S720" s="7" t="inlineStr">
        <is>
          <t>empotrar</t>
        </is>
      </c>
      <c r="AF720" s="4" t="inlineStr">
        <is>
          <t>potencia_w: 40</t>
        </is>
      </c>
    </row>
    <row r="721">
      <c r="A721" s="3" t="inlineStr">
        <is>
          <t>MAT-10-106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redondo de 5 W</t>
        </is>
      </c>
      <c r="E721" s="4" t="inlineStr"/>
      <c r="F721" s="3" t="inlineStr">
        <is>
          <t>unidad</t>
        </is>
      </c>
      <c r="G721" s="3" t="inlineStr">
        <is>
          <t>Instalaciones</t>
        </is>
      </c>
      <c r="H721" s="3" t="inlineStr">
        <is>
          <t>estandar</t>
        </is>
      </c>
      <c r="I721" s="3" t="inlineStr">
        <is>
          <t>importado</t>
        </is>
      </c>
      <c r="J721" s="5" t="n">
        <v>1</v>
      </c>
      <c r="K721" s="6" t="n">
        <v>159</v>
      </c>
      <c r="L721" s="6" t="n">
        <v>159</v>
      </c>
      <c r="M721" s="6" t="n">
        <v>159</v>
      </c>
      <c r="N721" s="3" t="inlineStr">
        <is>
          <t>Sí</t>
        </is>
      </c>
      <c r="O721" s="6">
        <f>IF(K721="","",IF(N721="Sí",ROUND(K721/1.18,2),K721))</f>
        <v/>
      </c>
      <c r="P721" s="3" t="inlineStr">
        <is>
          <t>2026-09-10</t>
        </is>
      </c>
      <c r="Q721" s="4" t="inlineStr">
        <is>
          <t>Ferremix (Grupo Alterra)</t>
        </is>
      </c>
      <c r="R721" s="7" t="inlineStr">
        <is>
          <t>redondo</t>
        </is>
      </c>
      <c r="S721" s="7" t="inlineStr">
        <is>
          <t>empotrar</t>
        </is>
      </c>
      <c r="AF721" s="4" t="inlineStr">
        <is>
          <t>potencia_w: 5</t>
        </is>
      </c>
    </row>
    <row r="722">
      <c r="A722" s="3" t="inlineStr">
        <is>
          <t>MAT-10-107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redondo de 6 W</t>
        </is>
      </c>
      <c r="E722" s="4" t="inlineStr"/>
      <c r="F722" s="3" t="inlineStr">
        <is>
          <t>unidad</t>
        </is>
      </c>
      <c r="G722" s="3" t="inlineStr">
        <is>
          <t>Instalaciones</t>
        </is>
      </c>
      <c r="H722" s="3" t="inlineStr">
        <is>
          <t>estandar</t>
        </is>
      </c>
      <c r="I722" s="3" t="inlineStr">
        <is>
          <t>importado</t>
        </is>
      </c>
      <c r="J722" s="5" t="n">
        <v>3</v>
      </c>
      <c r="K722" s="6" t="n">
        <v>189</v>
      </c>
      <c r="L722" s="6" t="n">
        <v>95</v>
      </c>
      <c r="M722" s="6" t="n">
        <v>624</v>
      </c>
      <c r="N722" s="3" t="inlineStr">
        <is>
          <t>Sí</t>
        </is>
      </c>
      <c r="O722" s="6">
        <f>IF(K722="","",IF(N722="Sí",ROUND(K722/1.18,2),K722))</f>
        <v/>
      </c>
      <c r="P722" s="3" t="inlineStr">
        <is>
          <t>2026-09-10</t>
        </is>
      </c>
      <c r="Q722" s="4" t="inlineStr">
        <is>
          <t>Bellón · Ferremix (Grupo Alterra) · Mundo LED</t>
        </is>
      </c>
      <c r="R722" s="7" t="inlineStr">
        <is>
          <t>redondo</t>
        </is>
      </c>
      <c r="S722" s="7" t="inlineStr">
        <is>
          <t>empotrar</t>
        </is>
      </c>
      <c r="AF722" s="4" t="inlineStr">
        <is>
          <t>potencia_w: 6</t>
        </is>
      </c>
    </row>
    <row r="723">
      <c r="A723" s="3" t="inlineStr">
        <is>
          <t>MAT-10-108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redondo de 7 W</t>
        </is>
      </c>
      <c r="E723" s="4" t="inlineStr"/>
      <c r="F723" s="3" t="inlineStr">
        <is>
          <t>unidad</t>
        </is>
      </c>
      <c r="G723" s="3" t="inlineStr">
        <is>
          <t>Instalaciones</t>
        </is>
      </c>
      <c r="H723" s="3" t="inlineStr">
        <is>
          <t>estandar</t>
        </is>
      </c>
      <c r="I723" s="3" t="inlineStr">
        <is>
          <t>importado</t>
        </is>
      </c>
      <c r="J723" s="5" t="n">
        <v>1</v>
      </c>
      <c r="K723" s="6" t="n">
        <v>219</v>
      </c>
      <c r="L723" s="6" t="n">
        <v>219</v>
      </c>
      <c r="M723" s="6" t="n">
        <v>219</v>
      </c>
      <c r="N723" s="3" t="inlineStr">
        <is>
          <t>Sí</t>
        </is>
      </c>
      <c r="O723" s="6">
        <f>IF(K723="","",IF(N723="Sí",ROUND(K723/1.18,2),K723))</f>
        <v/>
      </c>
      <c r="P723" s="3" t="inlineStr">
        <is>
          <t>2026-09-10</t>
        </is>
      </c>
      <c r="Q723" s="4" t="inlineStr">
        <is>
          <t>Ferremix (Grupo Alterra)</t>
        </is>
      </c>
      <c r="R723" s="7" t="inlineStr">
        <is>
          <t>redondo</t>
        </is>
      </c>
      <c r="S723" s="7" t="inlineStr">
        <is>
          <t>empotrar</t>
        </is>
      </c>
      <c r="AF723" s="4" t="inlineStr">
        <is>
          <t>potencia_w: 7</t>
        </is>
      </c>
    </row>
    <row r="724">
      <c r="A724" s="3" t="inlineStr">
        <is>
          <t>MAT-10-109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redondo de 7.8 W</t>
        </is>
      </c>
      <c r="E724" s="4" t="inlineStr"/>
      <c r="F724" s="3" t="inlineStr">
        <is>
          <t>unidad</t>
        </is>
      </c>
      <c r="G724" s="3" t="inlineStr">
        <is>
          <t>Instalaciones</t>
        </is>
      </c>
      <c r="H724" s="3" t="inlineStr">
        <is>
          <t>estandar</t>
        </is>
      </c>
      <c r="I724" s="3" t="inlineStr">
        <is>
          <t>importado</t>
        </is>
      </c>
      <c r="J724" s="5" t="n">
        <v>1</v>
      </c>
      <c r="K724" s="6" t="n">
        <v>385</v>
      </c>
      <c r="L724" s="6" t="n">
        <v>335</v>
      </c>
      <c r="M724" s="6" t="n">
        <v>435</v>
      </c>
      <c r="N724" s="3" t="inlineStr">
        <is>
          <t>Sí</t>
        </is>
      </c>
      <c r="O724" s="6">
        <f>IF(K724="","",IF(N724="Sí",ROUND(K724/1.18,2),K724))</f>
        <v/>
      </c>
      <c r="P724" s="3" t="inlineStr">
        <is>
          <t>2026-09-10</t>
        </is>
      </c>
      <c r="Q724" s="4" t="inlineStr">
        <is>
          <t>Bellón</t>
        </is>
      </c>
      <c r="R724" s="7" t="inlineStr">
        <is>
          <t>redondo</t>
        </is>
      </c>
      <c r="S724" s="7" t="inlineStr">
        <is>
          <t>empotrar</t>
        </is>
      </c>
      <c r="AF724" s="4" t="inlineStr">
        <is>
          <t>potencia_w: 7.8</t>
        </is>
      </c>
    </row>
    <row r="725">
      <c r="A725" s="3" t="inlineStr">
        <is>
          <t>MAT-10-110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redondo de 8.5 W</t>
        </is>
      </c>
      <c r="E725" s="4" t="inlineStr"/>
      <c r="F725" s="3" t="inlineStr">
        <is>
          <t>unidad</t>
        </is>
      </c>
      <c r="G725" s="3" t="inlineStr">
        <is>
          <t>Instalaciones</t>
        </is>
      </c>
      <c r="H725" s="3" t="inlineStr">
        <is>
          <t>estandar</t>
        </is>
      </c>
      <c r="I725" s="3" t="inlineStr">
        <is>
          <t>importado</t>
        </is>
      </c>
      <c r="J725" s="5" t="n">
        <v>1</v>
      </c>
      <c r="K725" s="6" t="n">
        <v>1268</v>
      </c>
      <c r="L725" s="6" t="n">
        <v>1268</v>
      </c>
      <c r="M725" s="6" t="n">
        <v>1268</v>
      </c>
      <c r="N725" s="3" t="inlineStr">
        <is>
          <t>Sí</t>
        </is>
      </c>
      <c r="O725" s="6">
        <f>IF(K725="","",IF(N725="Sí",ROUND(K725/1.18,2),K725))</f>
        <v/>
      </c>
      <c r="P725" s="3" t="inlineStr">
        <is>
          <t>2026-09-10</t>
        </is>
      </c>
      <c r="Q725" s="4" t="inlineStr">
        <is>
          <t>Bellón</t>
        </is>
      </c>
      <c r="R725" s="7" t="inlineStr">
        <is>
          <t>redondo</t>
        </is>
      </c>
      <c r="S725" s="7" t="inlineStr">
        <is>
          <t>empotrar</t>
        </is>
      </c>
      <c r="AF725" s="4" t="inlineStr">
        <is>
          <t>potencia_w: 8.5</t>
        </is>
      </c>
    </row>
    <row r="726">
      <c r="A726" s="3" t="inlineStr">
        <is>
          <t>MAT-10-111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redondo de 9 W</t>
        </is>
      </c>
      <c r="E726" s="4" t="inlineStr"/>
      <c r="F726" s="3" t="inlineStr">
        <is>
          <t>unidad</t>
        </is>
      </c>
      <c r="G726" s="3" t="inlineStr">
        <is>
          <t>Instalaciones</t>
        </is>
      </c>
      <c r="H726" s="3" t="inlineStr">
        <is>
          <t>estandar</t>
        </is>
      </c>
      <c r="I726" s="3" t="inlineStr">
        <is>
          <t>importado</t>
        </is>
      </c>
      <c r="J726" s="5" t="n">
        <v>2</v>
      </c>
      <c r="K726" s="6" t="n">
        <v>310</v>
      </c>
      <c r="L726" s="6" t="n">
        <v>120</v>
      </c>
      <c r="M726" s="6" t="n">
        <v>893</v>
      </c>
      <c r="N726" s="3" t="inlineStr">
        <is>
          <t>Sí</t>
        </is>
      </c>
      <c r="O726" s="6">
        <f>IF(K726="","",IF(N726="Sí",ROUND(K726/1.18,2),K726))</f>
        <v/>
      </c>
      <c r="P726" s="3" t="inlineStr">
        <is>
          <t>2026-09-10</t>
        </is>
      </c>
      <c r="Q726" s="4" t="inlineStr">
        <is>
          <t>Bellón · Mundo LED</t>
        </is>
      </c>
      <c r="R726" s="7" t="inlineStr">
        <is>
          <t>redondo</t>
        </is>
      </c>
      <c r="S726" s="7" t="inlineStr">
        <is>
          <t>empotrar</t>
        </is>
      </c>
      <c r="AF726" s="4" t="inlineStr">
        <is>
          <t>potencia_w: 9</t>
        </is>
      </c>
    </row>
    <row r="727">
      <c r="A727" s="3" t="inlineStr">
        <is>
          <t>MAT-10-112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empotrar redondo de 9.8 W</t>
        </is>
      </c>
      <c r="E727" s="4" t="inlineStr"/>
      <c r="F727" s="3" t="inlineStr">
        <is>
          <t>unidad</t>
        </is>
      </c>
      <c r="G727" s="3" t="inlineStr">
        <is>
          <t>Instalaciones</t>
        </is>
      </c>
      <c r="H727" s="3" t="inlineStr">
        <is>
          <t>estandar</t>
        </is>
      </c>
      <c r="I727" s="3" t="inlineStr">
        <is>
          <t>importado</t>
        </is>
      </c>
      <c r="J727" s="5" t="n">
        <v>1</v>
      </c>
      <c r="K727" s="6" t="n">
        <v>859</v>
      </c>
      <c r="L727" s="6" t="n">
        <v>859</v>
      </c>
      <c r="M727" s="6" t="n">
        <v>859</v>
      </c>
      <c r="N727" s="3" t="inlineStr">
        <is>
          <t>Sí</t>
        </is>
      </c>
      <c r="O727" s="6">
        <f>IF(K727="","",IF(N727="Sí",ROUND(K727/1.18,2),K727))</f>
        <v/>
      </c>
      <c r="P727" s="3" t="inlineStr">
        <is>
          <t>2026-09-10</t>
        </is>
      </c>
      <c r="Q727" s="4" t="inlineStr">
        <is>
          <t>Bellón</t>
        </is>
      </c>
      <c r="R727" s="7" t="inlineStr">
        <is>
          <t>redondo</t>
        </is>
      </c>
      <c r="S727" s="7" t="inlineStr">
        <is>
          <t>empotrar</t>
        </is>
      </c>
      <c r="AF727" s="4" t="inlineStr">
        <is>
          <t>potencia_w: 9.8</t>
        </is>
      </c>
    </row>
    <row r="728">
      <c r="A728" s="3" t="inlineStr">
        <is>
          <t>MAT-10-113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sobreponer cuadrado de 10.5 W</t>
        </is>
      </c>
      <c r="E728" s="4" t="inlineStr"/>
      <c r="F728" s="3" t="inlineStr">
        <is>
          <t>unidad</t>
        </is>
      </c>
      <c r="G728" s="3" t="inlineStr">
        <is>
          <t>Instalaciones</t>
        </is>
      </c>
      <c r="H728" s="3" t="inlineStr">
        <is>
          <t>estandar</t>
        </is>
      </c>
      <c r="I728" s="3" t="inlineStr">
        <is>
          <t>importado</t>
        </is>
      </c>
      <c r="J728" s="5" t="n">
        <v>1</v>
      </c>
      <c r="K728" s="6" t="n">
        <v>2536</v>
      </c>
      <c r="L728" s="6" t="n">
        <v>2536</v>
      </c>
      <c r="M728" s="6" t="n">
        <v>2536</v>
      </c>
      <c r="N728" s="3" t="inlineStr">
        <is>
          <t>Sí</t>
        </is>
      </c>
      <c r="O728" s="6">
        <f>IF(K728="","",IF(N728="Sí",ROUND(K728/1.18,2),K728))</f>
        <v/>
      </c>
      <c r="P728" s="3" t="inlineStr">
        <is>
          <t>2026-09-10</t>
        </is>
      </c>
      <c r="Q728" s="4" t="inlineStr">
        <is>
          <t>Bellón</t>
        </is>
      </c>
      <c r="R728" s="7" t="inlineStr">
        <is>
          <t>cuadrado</t>
        </is>
      </c>
      <c r="S728" s="7" t="inlineStr">
        <is>
          <t>sobreponer</t>
        </is>
      </c>
      <c r="AF728" s="4" t="inlineStr">
        <is>
          <t>potencia_w: 10.5</t>
        </is>
      </c>
    </row>
    <row r="729">
      <c r="A729" s="3" t="inlineStr">
        <is>
          <t>MAT-10-114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sobreponer cuadrado de 11.5 W</t>
        </is>
      </c>
      <c r="E729" s="4" t="inlineStr"/>
      <c r="F729" s="3" t="inlineStr">
        <is>
          <t>unidad</t>
        </is>
      </c>
      <c r="G729" s="3" t="inlineStr">
        <is>
          <t>Instalaciones</t>
        </is>
      </c>
      <c r="H729" s="3" t="inlineStr">
        <is>
          <t>estandar</t>
        </is>
      </c>
      <c r="I729" s="3" t="inlineStr">
        <is>
          <t>importado</t>
        </is>
      </c>
      <c r="J729" s="5" t="n">
        <v>1</v>
      </c>
      <c r="K729" s="6" t="n">
        <v>535</v>
      </c>
      <c r="L729" s="6" t="n">
        <v>535</v>
      </c>
      <c r="M729" s="6" t="n">
        <v>535</v>
      </c>
      <c r="N729" s="3" t="inlineStr">
        <is>
          <t>Sí</t>
        </is>
      </c>
      <c r="O729" s="6">
        <f>IF(K729="","",IF(N729="Sí",ROUND(K729/1.18,2),K729))</f>
        <v/>
      </c>
      <c r="P729" s="3" t="inlineStr">
        <is>
          <t>2026-09-10</t>
        </is>
      </c>
      <c r="Q729" s="4" t="inlineStr">
        <is>
          <t>Bellón</t>
        </is>
      </c>
      <c r="R729" s="7" t="inlineStr">
        <is>
          <t>cuadrado</t>
        </is>
      </c>
      <c r="S729" s="7" t="inlineStr">
        <is>
          <t>sobreponer</t>
        </is>
      </c>
      <c r="AF729" s="4" t="inlineStr">
        <is>
          <t>potencia_w: 11.5</t>
        </is>
      </c>
    </row>
    <row r="730">
      <c r="A730" s="3" t="inlineStr">
        <is>
          <t>MAT-10-115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sobreponer cuadrado de 12 W</t>
        </is>
      </c>
      <c r="E730" s="4" t="inlineStr"/>
      <c r="F730" s="3" t="inlineStr">
        <is>
          <t>unidad</t>
        </is>
      </c>
      <c r="G730" s="3" t="inlineStr">
        <is>
          <t>Instalaciones</t>
        </is>
      </c>
      <c r="H730" s="3" t="inlineStr">
        <is>
          <t>estandar</t>
        </is>
      </c>
      <c r="I730" s="3" t="inlineStr">
        <is>
          <t>importado</t>
        </is>
      </c>
      <c r="J730" s="5" t="n">
        <v>1</v>
      </c>
      <c r="K730" s="6" t="n">
        <v>390</v>
      </c>
      <c r="L730" s="6" t="n">
        <v>220</v>
      </c>
      <c r="M730" s="6" t="n">
        <v>400</v>
      </c>
      <c r="N730" s="3" t="inlineStr">
        <is>
          <t>Sí</t>
        </is>
      </c>
      <c r="O730" s="6">
        <f>IF(K730="","",IF(N730="Sí",ROUND(K730/1.18,2),K730))</f>
        <v/>
      </c>
      <c r="P730" s="3" t="inlineStr">
        <is>
          <t>2026-09-10</t>
        </is>
      </c>
      <c r="Q730" s="4" t="inlineStr">
        <is>
          <t>Bellón</t>
        </is>
      </c>
      <c r="R730" s="7" t="inlineStr">
        <is>
          <t>cuadrado</t>
        </is>
      </c>
      <c r="S730" s="7" t="inlineStr">
        <is>
          <t>sobreponer</t>
        </is>
      </c>
      <c r="AF730" s="4" t="inlineStr">
        <is>
          <t>potencia_w: 12</t>
        </is>
      </c>
    </row>
    <row r="731">
      <c r="A731" s="3" t="inlineStr">
        <is>
          <t>MAT-10-116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sobreponer cuadrado de 18 W</t>
        </is>
      </c>
      <c r="E731" s="4" t="inlineStr"/>
      <c r="F731" s="3" t="inlineStr">
        <is>
          <t>unidad</t>
        </is>
      </c>
      <c r="G731" s="3" t="inlineStr">
        <is>
          <t>Instalaciones</t>
        </is>
      </c>
      <c r="H731" s="3" t="inlineStr">
        <is>
          <t>estandar</t>
        </is>
      </c>
      <c r="I731" s="3" t="inlineStr">
        <is>
          <t>importado</t>
        </is>
      </c>
      <c r="J731" s="5" t="n">
        <v>1</v>
      </c>
      <c r="K731" s="6" t="n">
        <v>390</v>
      </c>
      <c r="L731" s="6" t="n">
        <v>305</v>
      </c>
      <c r="M731" s="6" t="n">
        <v>505</v>
      </c>
      <c r="N731" s="3" t="inlineStr">
        <is>
          <t>Sí</t>
        </is>
      </c>
      <c r="O731" s="6">
        <f>IF(K731="","",IF(N731="Sí",ROUND(K731/1.18,2),K731))</f>
        <v/>
      </c>
      <c r="P731" s="3" t="inlineStr">
        <is>
          <t>2026-09-10</t>
        </is>
      </c>
      <c r="Q731" s="4" t="inlineStr">
        <is>
          <t>Bellón</t>
        </is>
      </c>
      <c r="R731" s="7" t="inlineStr">
        <is>
          <t>cuadrado</t>
        </is>
      </c>
      <c r="S731" s="7" t="inlineStr">
        <is>
          <t>sobreponer</t>
        </is>
      </c>
      <c r="AF731" s="4" t="inlineStr">
        <is>
          <t>potencia_w: 18</t>
        </is>
      </c>
    </row>
    <row r="732">
      <c r="A732" s="3" t="inlineStr">
        <is>
          <t>MAT-10-117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sobreponer cuadrado de 22 W</t>
        </is>
      </c>
      <c r="E732" s="4" t="inlineStr"/>
      <c r="F732" s="3" t="inlineStr">
        <is>
          <t>unidad</t>
        </is>
      </c>
      <c r="G732" s="3" t="inlineStr">
        <is>
          <t>Instalaciones</t>
        </is>
      </c>
      <c r="H732" s="3" t="inlineStr">
        <is>
          <t>estandar</t>
        </is>
      </c>
      <c r="I732" s="3" t="inlineStr">
        <is>
          <t>importado</t>
        </is>
      </c>
      <c r="J732" s="5" t="n">
        <v>1</v>
      </c>
      <c r="K732" s="6" t="n">
        <v>760</v>
      </c>
      <c r="L732" s="6" t="n">
        <v>760</v>
      </c>
      <c r="M732" s="6" t="n">
        <v>760</v>
      </c>
      <c r="N732" s="3" t="inlineStr">
        <is>
          <t>Sí</t>
        </is>
      </c>
      <c r="O732" s="6">
        <f>IF(K732="","",IF(N732="Sí",ROUND(K732/1.18,2),K732))</f>
        <v/>
      </c>
      <c r="P732" s="3" t="inlineStr">
        <is>
          <t>2026-09-10</t>
        </is>
      </c>
      <c r="Q732" s="4" t="inlineStr">
        <is>
          <t>Bellón</t>
        </is>
      </c>
      <c r="R732" s="7" t="inlineStr">
        <is>
          <t>cuadrado</t>
        </is>
      </c>
      <c r="S732" s="7" t="inlineStr">
        <is>
          <t>sobreponer</t>
        </is>
      </c>
      <c r="AF732" s="4" t="inlineStr">
        <is>
          <t>potencia_w: 22</t>
        </is>
      </c>
    </row>
    <row r="733">
      <c r="A733" s="3" t="inlineStr">
        <is>
          <t>MAT-10-118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sobreponer cuadrado de 24 W</t>
        </is>
      </c>
      <c r="E733" s="4" t="inlineStr"/>
      <c r="F733" s="3" t="inlineStr">
        <is>
          <t>unidad</t>
        </is>
      </c>
      <c r="G733" s="3" t="inlineStr">
        <is>
          <t>Instalaciones</t>
        </is>
      </c>
      <c r="H733" s="3" t="inlineStr">
        <is>
          <t>estandar</t>
        </is>
      </c>
      <c r="I733" s="3" t="inlineStr">
        <is>
          <t>importado</t>
        </is>
      </c>
      <c r="J733" s="5" t="n">
        <v>1</v>
      </c>
      <c r="K733" s="6" t="n">
        <v>695</v>
      </c>
      <c r="L733" s="6" t="n">
        <v>695</v>
      </c>
      <c r="M733" s="6" t="n">
        <v>695</v>
      </c>
      <c r="N733" s="3" t="inlineStr">
        <is>
          <t>Sí</t>
        </is>
      </c>
      <c r="O733" s="6">
        <f>IF(K733="","",IF(N733="Sí",ROUND(K733/1.18,2),K733))</f>
        <v/>
      </c>
      <c r="P733" s="3" t="inlineStr">
        <is>
          <t>2026-09-10</t>
        </is>
      </c>
      <c r="Q733" s="4" t="inlineStr">
        <is>
          <t>Bellón</t>
        </is>
      </c>
      <c r="R733" s="7" t="inlineStr">
        <is>
          <t>cuadrado</t>
        </is>
      </c>
      <c r="S733" s="7" t="inlineStr">
        <is>
          <t>sobreponer</t>
        </is>
      </c>
      <c r="AF733" s="4" t="inlineStr">
        <is>
          <t>potencia_w: 24</t>
        </is>
      </c>
    </row>
    <row r="734">
      <c r="A734" s="3" t="inlineStr">
        <is>
          <t>MAT-10-119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sobreponer cuadrado de 36 W</t>
        </is>
      </c>
      <c r="E734" s="4" t="inlineStr"/>
      <c r="F734" s="3" t="inlineStr">
        <is>
          <t>unidad</t>
        </is>
      </c>
      <c r="G734" s="3" t="inlineStr">
        <is>
          <t>Instalaciones</t>
        </is>
      </c>
      <c r="H734" s="3" t="inlineStr">
        <is>
          <t>estandar</t>
        </is>
      </c>
      <c r="I734" s="3" t="inlineStr">
        <is>
          <t>importado</t>
        </is>
      </c>
      <c r="J734" s="5" t="n">
        <v>1</v>
      </c>
      <c r="K734" s="6" t="n">
        <v>1242</v>
      </c>
      <c r="L734" s="6" t="n">
        <v>1242</v>
      </c>
      <c r="M734" s="6" t="n">
        <v>1242</v>
      </c>
      <c r="N734" s="3" t="inlineStr">
        <is>
          <t>Sí</t>
        </is>
      </c>
      <c r="O734" s="6">
        <f>IF(K734="","",IF(N734="Sí",ROUND(K734/1.18,2),K734))</f>
        <v/>
      </c>
      <c r="P734" s="3" t="inlineStr">
        <is>
          <t>2026-09-10</t>
        </is>
      </c>
      <c r="Q734" s="4" t="inlineStr">
        <is>
          <t>Bellón</t>
        </is>
      </c>
      <c r="R734" s="7" t="inlineStr">
        <is>
          <t>cuadrado</t>
        </is>
      </c>
      <c r="S734" s="7" t="inlineStr">
        <is>
          <t>sobreponer</t>
        </is>
      </c>
      <c r="AF734" s="4" t="inlineStr">
        <is>
          <t>potencia_w: 36</t>
        </is>
      </c>
    </row>
    <row r="735">
      <c r="A735" s="3" t="inlineStr">
        <is>
          <t>MAT-10-120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sobreponer cuadrado de 6 W</t>
        </is>
      </c>
      <c r="E735" s="4" t="inlineStr"/>
      <c r="F735" s="3" t="inlineStr">
        <is>
          <t>unidad</t>
        </is>
      </c>
      <c r="G735" s="3" t="inlineStr">
        <is>
          <t>Instalaciones</t>
        </is>
      </c>
      <c r="H735" s="3" t="inlineStr">
        <is>
          <t>estandar</t>
        </is>
      </c>
      <c r="I735" s="3" t="inlineStr">
        <is>
          <t>importado</t>
        </is>
      </c>
      <c r="J735" s="5" t="n">
        <v>1</v>
      </c>
      <c r="K735" s="6" t="n">
        <v>375</v>
      </c>
      <c r="L735" s="6" t="n">
        <v>375</v>
      </c>
      <c r="M735" s="6" t="n">
        <v>375</v>
      </c>
      <c r="N735" s="3" t="inlineStr">
        <is>
          <t>Sí</t>
        </is>
      </c>
      <c r="O735" s="6">
        <f>IF(K735="","",IF(N735="Sí",ROUND(K735/1.18,2),K735))</f>
        <v/>
      </c>
      <c r="P735" s="3" t="inlineStr">
        <is>
          <t>2026-09-10</t>
        </is>
      </c>
      <c r="Q735" s="4" t="inlineStr">
        <is>
          <t>Bellón</t>
        </is>
      </c>
      <c r="R735" s="7" t="inlineStr">
        <is>
          <t>cuadrado</t>
        </is>
      </c>
      <c r="S735" s="7" t="inlineStr">
        <is>
          <t>sobreponer</t>
        </is>
      </c>
      <c r="AF735" s="4" t="inlineStr">
        <is>
          <t>potencia_w: 6</t>
        </is>
      </c>
    </row>
    <row r="736">
      <c r="A736" s="3" t="inlineStr">
        <is>
          <t>MAT-10-121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sobreponer redondo de 10.5 W</t>
        </is>
      </c>
      <c r="E736" s="4" t="inlineStr"/>
      <c r="F736" s="3" t="inlineStr">
        <is>
          <t>unidad</t>
        </is>
      </c>
      <c r="G736" s="3" t="inlineStr">
        <is>
          <t>Instalaciones</t>
        </is>
      </c>
      <c r="H736" s="3" t="inlineStr">
        <is>
          <t>estandar</t>
        </is>
      </c>
      <c r="I736" s="3" t="inlineStr">
        <is>
          <t>importado</t>
        </is>
      </c>
      <c r="J736" s="5" t="n">
        <v>1</v>
      </c>
      <c r="K736" s="6" t="n">
        <v>2048.5</v>
      </c>
      <c r="L736" s="6" t="n">
        <v>1910</v>
      </c>
      <c r="M736" s="6" t="n">
        <v>2187</v>
      </c>
      <c r="N736" s="3" t="inlineStr">
        <is>
          <t>Sí</t>
        </is>
      </c>
      <c r="O736" s="6">
        <f>IF(K736="","",IF(N736="Sí",ROUND(K736/1.18,2),K736))</f>
        <v/>
      </c>
      <c r="P736" s="3" t="inlineStr">
        <is>
          <t>2026-09-10</t>
        </is>
      </c>
      <c r="Q736" s="4" t="inlineStr">
        <is>
          <t>Bellón</t>
        </is>
      </c>
      <c r="R736" s="7" t="inlineStr">
        <is>
          <t>redondo</t>
        </is>
      </c>
      <c r="S736" s="7" t="inlineStr">
        <is>
          <t>sobreponer</t>
        </is>
      </c>
      <c r="AF736" s="4" t="inlineStr">
        <is>
          <t>potencia_w: 10.5</t>
        </is>
      </c>
    </row>
    <row r="737">
      <c r="A737" s="3" t="inlineStr">
        <is>
          <t>MAT-10-122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sobreponer redondo de 11.5 W</t>
        </is>
      </c>
      <c r="E737" s="4" t="inlineStr"/>
      <c r="F737" s="3" t="inlineStr">
        <is>
          <t>unidad</t>
        </is>
      </c>
      <c r="G737" s="3" t="inlineStr">
        <is>
          <t>Instalaciones</t>
        </is>
      </c>
      <c r="H737" s="3" t="inlineStr">
        <is>
          <t>estandar</t>
        </is>
      </c>
      <c r="I737" s="3" t="inlineStr">
        <is>
          <t>importado</t>
        </is>
      </c>
      <c r="J737" s="5" t="n">
        <v>1</v>
      </c>
      <c r="K737" s="6" t="n">
        <v>525</v>
      </c>
      <c r="L737" s="6" t="n">
        <v>525</v>
      </c>
      <c r="M737" s="6" t="n">
        <v>525</v>
      </c>
      <c r="N737" s="3" t="inlineStr">
        <is>
          <t>Sí</t>
        </is>
      </c>
      <c r="O737" s="6">
        <f>IF(K737="","",IF(N737="Sí",ROUND(K737/1.18,2),K737))</f>
        <v/>
      </c>
      <c r="P737" s="3" t="inlineStr">
        <is>
          <t>2026-09-10</t>
        </is>
      </c>
      <c r="Q737" s="4" t="inlineStr">
        <is>
          <t>Bellón</t>
        </is>
      </c>
      <c r="R737" s="7" t="inlineStr">
        <is>
          <t>redondo</t>
        </is>
      </c>
      <c r="S737" s="7" t="inlineStr">
        <is>
          <t>sobreponer</t>
        </is>
      </c>
      <c r="AF737" s="4" t="inlineStr">
        <is>
          <t>potencia_w: 11.5</t>
        </is>
      </c>
    </row>
    <row r="738">
      <c r="A738" s="3" t="inlineStr">
        <is>
          <t>MAT-10-123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sobreponer redondo de 12 W</t>
        </is>
      </c>
      <c r="E738" s="4" t="inlineStr"/>
      <c r="F738" s="3" t="inlineStr">
        <is>
          <t>unidad</t>
        </is>
      </c>
      <c r="G738" s="3" t="inlineStr">
        <is>
          <t>Instalaciones</t>
        </is>
      </c>
      <c r="H738" s="3" t="inlineStr">
        <is>
          <t>estandar</t>
        </is>
      </c>
      <c r="I738" s="3" t="inlineStr">
        <is>
          <t>importado</t>
        </is>
      </c>
      <c r="J738" s="5" t="n">
        <v>2</v>
      </c>
      <c r="K738" s="6" t="n">
        <v>343</v>
      </c>
      <c r="L738" s="6" t="n">
        <v>175</v>
      </c>
      <c r="M738" s="6" t="n">
        <v>1086</v>
      </c>
      <c r="N738" s="3" t="inlineStr">
        <is>
          <t>Sí</t>
        </is>
      </c>
      <c r="O738" s="6">
        <f>IF(K738="","",IF(N738="Sí",ROUND(K738/1.18,2),K738))</f>
        <v/>
      </c>
      <c r="P738" s="3" t="inlineStr">
        <is>
          <t>2026-09-10</t>
        </is>
      </c>
      <c r="Q738" s="4" t="inlineStr">
        <is>
          <t>Bellón · Ferremix (Grupo Alterra)</t>
        </is>
      </c>
      <c r="R738" s="7" t="inlineStr">
        <is>
          <t>redondo</t>
        </is>
      </c>
      <c r="S738" s="7" t="inlineStr">
        <is>
          <t>sobreponer</t>
        </is>
      </c>
      <c r="AF738" s="4" t="inlineStr">
        <is>
          <t>potencia_w: 12</t>
        </is>
      </c>
    </row>
    <row r="739">
      <c r="A739" s="3" t="inlineStr">
        <is>
          <t>MAT-10-124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sobreponer redondo de 18 W</t>
        </is>
      </c>
      <c r="E739" s="4" t="inlineStr"/>
      <c r="F739" s="3" t="inlineStr">
        <is>
          <t>unidad</t>
        </is>
      </c>
      <c r="G739" s="3" t="inlineStr">
        <is>
          <t>Instalaciones</t>
        </is>
      </c>
      <c r="H739" s="3" t="inlineStr">
        <is>
          <t>estandar</t>
        </is>
      </c>
      <c r="I739" s="3" t="inlineStr">
        <is>
          <t>importado</t>
        </is>
      </c>
      <c r="J739" s="5" t="n">
        <v>2</v>
      </c>
      <c r="K739" s="6" t="n">
        <v>464</v>
      </c>
      <c r="L739" s="6" t="n">
        <v>235</v>
      </c>
      <c r="M739" s="6" t="n">
        <v>1462</v>
      </c>
      <c r="N739" s="3" t="inlineStr">
        <is>
          <t>Sí</t>
        </is>
      </c>
      <c r="O739" s="6">
        <f>IF(K739="","",IF(N739="Sí",ROUND(K739/1.18,2),K739))</f>
        <v/>
      </c>
      <c r="P739" s="3" t="inlineStr">
        <is>
          <t>2026-09-10</t>
        </is>
      </c>
      <c r="Q739" s="4" t="inlineStr">
        <is>
          <t>Bellón · Ferremix (Grupo Alterra)</t>
        </is>
      </c>
      <c r="R739" s="7" t="inlineStr">
        <is>
          <t>redondo</t>
        </is>
      </c>
      <c r="S739" s="7" t="inlineStr">
        <is>
          <t>sobreponer</t>
        </is>
      </c>
      <c r="AF739" s="4" t="inlineStr">
        <is>
          <t>potencia_w: 18</t>
        </is>
      </c>
    </row>
    <row r="740">
      <c r="A740" s="3" t="inlineStr">
        <is>
          <t>MAT-10-125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sobreponer redondo de 22 W</t>
        </is>
      </c>
      <c r="E740" s="4" t="inlineStr"/>
      <c r="F740" s="3" t="inlineStr">
        <is>
          <t>unidad</t>
        </is>
      </c>
      <c r="G740" s="3" t="inlineStr">
        <is>
          <t>Instalaciones</t>
        </is>
      </c>
      <c r="H740" s="3" t="inlineStr">
        <is>
          <t>estandar</t>
        </is>
      </c>
      <c r="I740" s="3" t="inlineStr">
        <is>
          <t>importado</t>
        </is>
      </c>
      <c r="J740" s="5" t="n">
        <v>1</v>
      </c>
      <c r="K740" s="6" t="n">
        <v>780</v>
      </c>
      <c r="L740" s="6" t="n">
        <v>735</v>
      </c>
      <c r="M740" s="6" t="n">
        <v>825</v>
      </c>
      <c r="N740" s="3" t="inlineStr">
        <is>
          <t>Sí</t>
        </is>
      </c>
      <c r="O740" s="6">
        <f>IF(K740="","",IF(N740="Sí",ROUND(K740/1.18,2),K740))</f>
        <v/>
      </c>
      <c r="P740" s="3" t="inlineStr">
        <is>
          <t>2026-09-10</t>
        </is>
      </c>
      <c r="Q740" s="4" t="inlineStr">
        <is>
          <t>Bellón</t>
        </is>
      </c>
      <c r="R740" s="7" t="inlineStr">
        <is>
          <t>redondo</t>
        </is>
      </c>
      <c r="S740" s="7" t="inlineStr">
        <is>
          <t>sobreponer</t>
        </is>
      </c>
      <c r="AF740" s="4" t="inlineStr">
        <is>
          <t>potencia_w: 22</t>
        </is>
      </c>
    </row>
    <row r="741">
      <c r="A741" s="3" t="inlineStr">
        <is>
          <t>MAT-10-126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sobreponer redondo de 24 W</t>
        </is>
      </c>
      <c r="E741" s="4" t="inlineStr"/>
      <c r="F741" s="3" t="inlineStr">
        <is>
          <t>unidad</t>
        </is>
      </c>
      <c r="G741" s="3" t="inlineStr">
        <is>
          <t>Instalaciones</t>
        </is>
      </c>
      <c r="H741" s="3" t="inlineStr">
        <is>
          <t>estandar</t>
        </is>
      </c>
      <c r="I741" s="3" t="inlineStr">
        <is>
          <t>importado</t>
        </is>
      </c>
      <c r="J741" s="5" t="n">
        <v>2</v>
      </c>
      <c r="K741" s="6" t="n">
        <v>519</v>
      </c>
      <c r="L741" s="6" t="n">
        <v>390</v>
      </c>
      <c r="M741" s="6" t="n">
        <v>903</v>
      </c>
      <c r="N741" s="3" t="inlineStr">
        <is>
          <t>Sí</t>
        </is>
      </c>
      <c r="O741" s="6">
        <f>IF(K741="","",IF(N741="Sí",ROUND(K741/1.18,2),K741))</f>
        <v/>
      </c>
      <c r="P741" s="3" t="inlineStr">
        <is>
          <t>2026-09-10</t>
        </is>
      </c>
      <c r="Q741" s="4" t="inlineStr">
        <is>
          <t>Bellón · Ferremix (Grupo Alterra)</t>
        </is>
      </c>
      <c r="R741" s="7" t="inlineStr">
        <is>
          <t>redondo</t>
        </is>
      </c>
      <c r="S741" s="7" t="inlineStr">
        <is>
          <t>sobreponer</t>
        </is>
      </c>
      <c r="AF741" s="4" t="inlineStr">
        <is>
          <t>potencia_w: 24</t>
        </is>
      </c>
    </row>
    <row r="742">
      <c r="A742" s="3" t="inlineStr">
        <is>
          <t>MAT-10-127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sobreponer redondo de 25 W</t>
        </is>
      </c>
      <c r="E742" s="4" t="inlineStr"/>
      <c r="F742" s="3" t="inlineStr">
        <is>
          <t>unidad</t>
        </is>
      </c>
      <c r="G742" s="3" t="inlineStr">
        <is>
          <t>Instalaciones</t>
        </is>
      </c>
      <c r="H742" s="3" t="inlineStr">
        <is>
          <t>estandar</t>
        </is>
      </c>
      <c r="I742" s="3" t="inlineStr">
        <is>
          <t>importado</t>
        </is>
      </c>
      <c r="J742" s="5" t="n">
        <v>1</v>
      </c>
      <c r="K742" s="6" t="n">
        <v>595</v>
      </c>
      <c r="L742" s="6" t="n">
        <v>595</v>
      </c>
      <c r="M742" s="6" t="n">
        <v>595</v>
      </c>
      <c r="N742" s="3" t="inlineStr">
        <is>
          <t>Sí</t>
        </is>
      </c>
      <c r="O742" s="6">
        <f>IF(K742="","",IF(N742="Sí",ROUND(K742/1.18,2),K742))</f>
        <v/>
      </c>
      <c r="P742" s="3" t="inlineStr">
        <is>
          <t>2026-09-10</t>
        </is>
      </c>
      <c r="Q742" s="4" t="inlineStr">
        <is>
          <t>Bellón</t>
        </is>
      </c>
      <c r="R742" s="7" t="inlineStr">
        <is>
          <t>redondo</t>
        </is>
      </c>
      <c r="S742" s="7" t="inlineStr">
        <is>
          <t>sobreponer</t>
        </is>
      </c>
      <c r="AF742" s="4" t="inlineStr">
        <is>
          <t>potencia_w: 25</t>
        </is>
      </c>
    </row>
    <row r="743">
      <c r="A743" s="3" t="inlineStr">
        <is>
          <t>MAT-10-128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sobreponer redondo de 36 W</t>
        </is>
      </c>
      <c r="E743" s="4" t="inlineStr"/>
      <c r="F743" s="3" t="inlineStr">
        <is>
          <t>unidad</t>
        </is>
      </c>
      <c r="G743" s="3" t="inlineStr">
        <is>
          <t>Instalaciones</t>
        </is>
      </c>
      <c r="H743" s="3" t="inlineStr">
        <is>
          <t>estandar</t>
        </is>
      </c>
      <c r="I743" s="3" t="inlineStr">
        <is>
          <t>importado</t>
        </is>
      </c>
      <c r="J743" s="5" t="n">
        <v>1</v>
      </c>
      <c r="K743" s="6" t="n">
        <v>1290</v>
      </c>
      <c r="L743" s="6" t="n">
        <v>1290</v>
      </c>
      <c r="M743" s="6" t="n">
        <v>1290</v>
      </c>
      <c r="N743" s="3" t="inlineStr">
        <is>
          <t>Sí</t>
        </is>
      </c>
      <c r="O743" s="6">
        <f>IF(K743="","",IF(N743="Sí",ROUND(K743/1.18,2),K743))</f>
        <v/>
      </c>
      <c r="P743" s="3" t="inlineStr">
        <is>
          <t>2026-09-10</t>
        </is>
      </c>
      <c r="Q743" s="4" t="inlineStr">
        <is>
          <t>Bellón</t>
        </is>
      </c>
      <c r="R743" s="7" t="inlineStr">
        <is>
          <t>redondo</t>
        </is>
      </c>
      <c r="S743" s="7" t="inlineStr">
        <is>
          <t>sobreponer</t>
        </is>
      </c>
      <c r="AF743" s="4" t="inlineStr">
        <is>
          <t>potencia_w: 36</t>
        </is>
      </c>
    </row>
    <row r="744">
      <c r="A744" s="3" t="inlineStr">
        <is>
          <t>MAT-10-129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sobreponer redondo de 6 W</t>
        </is>
      </c>
      <c r="E744" s="4" t="inlineStr"/>
      <c r="F744" s="3" t="inlineStr">
        <is>
          <t>unidad</t>
        </is>
      </c>
      <c r="G744" s="3" t="inlineStr">
        <is>
          <t>Instalaciones</t>
        </is>
      </c>
      <c r="H744" s="3" t="inlineStr">
        <is>
          <t>estandar</t>
        </is>
      </c>
      <c r="I744" s="3" t="inlineStr">
        <is>
          <t>importado</t>
        </is>
      </c>
      <c r="J744" s="5" t="n">
        <v>1</v>
      </c>
      <c r="K744" s="6" t="n">
        <v>327</v>
      </c>
      <c r="L744" s="6" t="n">
        <v>276</v>
      </c>
      <c r="M744" s="6" t="n">
        <v>732</v>
      </c>
      <c r="N744" s="3" t="inlineStr">
        <is>
          <t>Sí</t>
        </is>
      </c>
      <c r="O744" s="6">
        <f>IF(K744="","",IF(N744="Sí",ROUND(K744/1.18,2),K744))</f>
        <v/>
      </c>
      <c r="P744" s="3" t="inlineStr">
        <is>
          <t>2026-09-10</t>
        </is>
      </c>
      <c r="Q744" s="4" t="inlineStr">
        <is>
          <t>Bellón</t>
        </is>
      </c>
      <c r="R744" s="7" t="inlineStr">
        <is>
          <t>redondo</t>
        </is>
      </c>
      <c r="S744" s="7" t="inlineStr">
        <is>
          <t>sobreponer</t>
        </is>
      </c>
      <c r="AF744" s="4" t="inlineStr">
        <is>
          <t>potencia_w: 6</t>
        </is>
      </c>
    </row>
    <row r="745">
      <c r="A745" s="3" t="inlineStr">
        <is>
          <t>MAT-10-130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Panel LED sobreponer redondo de 7.8 W</t>
        </is>
      </c>
      <c r="E745" s="4" t="inlineStr"/>
      <c r="F745" s="3" t="inlineStr">
        <is>
          <t>unidad</t>
        </is>
      </c>
      <c r="G745" s="3" t="inlineStr">
        <is>
          <t>Instalaciones</t>
        </is>
      </c>
      <c r="H745" s="3" t="inlineStr">
        <is>
          <t>estandar</t>
        </is>
      </c>
      <c r="I745" s="3" t="inlineStr">
        <is>
          <t>importado</t>
        </is>
      </c>
      <c r="J745" s="5" t="n">
        <v>1</v>
      </c>
      <c r="K745" s="6" t="n">
        <v>395</v>
      </c>
      <c r="L745" s="6" t="n">
        <v>395</v>
      </c>
      <c r="M745" s="6" t="n">
        <v>395</v>
      </c>
      <c r="N745" s="3" t="inlineStr">
        <is>
          <t>Sí</t>
        </is>
      </c>
      <c r="O745" s="6">
        <f>IF(K745="","",IF(N745="Sí",ROUND(K745/1.18,2),K745))</f>
        <v/>
      </c>
      <c r="P745" s="3" t="inlineStr">
        <is>
          <t>2026-09-10</t>
        </is>
      </c>
      <c r="Q745" s="4" t="inlineStr">
        <is>
          <t>Bellón</t>
        </is>
      </c>
      <c r="R745" s="7" t="inlineStr">
        <is>
          <t>redondo</t>
        </is>
      </c>
      <c r="S745" s="7" t="inlineStr">
        <is>
          <t>sobreponer</t>
        </is>
      </c>
      <c r="AF745" s="4" t="inlineStr">
        <is>
          <t>potencia_w: 7.8</t>
        </is>
      </c>
    </row>
    <row r="746">
      <c r="A746" s="3" t="inlineStr">
        <is>
          <t>MAT-10-131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Luminaria empotrada dirigible cuadrada</t>
        </is>
      </c>
      <c r="E746" s="4" t="inlineStr">
        <is>
          <t>Sin bombillo · se compra aparte</t>
        </is>
      </c>
      <c r="F746" s="3" t="inlineStr">
        <is>
          <t>unidad</t>
        </is>
      </c>
      <c r="G746" s="3" t="inlineStr">
        <is>
          <t>Instalaciones</t>
        </is>
      </c>
      <c r="H746" s="3" t="inlineStr">
        <is>
          <t>estandar</t>
        </is>
      </c>
      <c r="I746" s="3" t="inlineStr">
        <is>
          <t>importado</t>
        </is>
      </c>
      <c r="J746" s="5" t="n">
        <v>1</v>
      </c>
      <c r="K746" s="6" t="n">
        <v>190</v>
      </c>
      <c r="L746" s="6" t="n">
        <v>190</v>
      </c>
      <c r="M746" s="6" t="n">
        <v>255</v>
      </c>
      <c r="N746" s="3" t="inlineStr">
        <is>
          <t>Sí</t>
        </is>
      </c>
      <c r="O746" s="6">
        <f>IF(K746="","",IF(N746="Sí",ROUND(K746/1.18,2),K746))</f>
        <v/>
      </c>
      <c r="P746" s="3" t="inlineStr">
        <is>
          <t>2026-09-09</t>
        </is>
      </c>
      <c r="Q746" s="4" t="inlineStr">
        <is>
          <t>Max Ferretería</t>
        </is>
      </c>
      <c r="R746" s="7" t="inlineStr">
        <is>
          <t>cuadrada</t>
        </is>
      </c>
      <c r="AF746" s="4" t="inlineStr">
        <is>
          <t>tipo: dirigible</t>
        </is>
      </c>
    </row>
    <row r="747">
      <c r="A747" s="3" t="inlineStr">
        <is>
          <t>MAT-10-132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Luminaria empotrada dirigible redonda</t>
        </is>
      </c>
      <c r="E747" s="4" t="inlineStr">
        <is>
          <t>Sin bombillo · se compra aparte</t>
        </is>
      </c>
      <c r="F747" s="3" t="inlineStr">
        <is>
          <t>unidad</t>
        </is>
      </c>
      <c r="G747" s="3" t="inlineStr">
        <is>
          <t>Instalaciones</t>
        </is>
      </c>
      <c r="H747" s="3" t="inlineStr">
        <is>
          <t>estandar</t>
        </is>
      </c>
      <c r="I747" s="3" t="inlineStr">
        <is>
          <t>importado</t>
        </is>
      </c>
      <c r="J747" s="5" t="n">
        <v>1</v>
      </c>
      <c r="K747" s="6" t="n">
        <v>252.5</v>
      </c>
      <c r="L747" s="6" t="n">
        <v>190</v>
      </c>
      <c r="M747" s="6" t="n">
        <v>270</v>
      </c>
      <c r="N747" s="3" t="inlineStr">
        <is>
          <t>Sí</t>
        </is>
      </c>
      <c r="O747" s="6">
        <f>IF(K747="","",IF(N747="Sí",ROUND(K747/1.18,2),K747))</f>
        <v/>
      </c>
      <c r="P747" s="3" t="inlineStr">
        <is>
          <t>2026-09-09</t>
        </is>
      </c>
      <c r="Q747" s="4" t="inlineStr">
        <is>
          <t>Max Ferretería</t>
        </is>
      </c>
      <c r="R747" s="7" t="inlineStr">
        <is>
          <t>redonda</t>
        </is>
      </c>
      <c r="AF747" s="4" t="inlineStr">
        <is>
          <t>tipo: dirigible</t>
        </is>
      </c>
    </row>
    <row r="748">
      <c r="A748" s="3" t="inlineStr">
        <is>
          <t>MAT-10-133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Lámpara de emergencia recargable</t>
        </is>
      </c>
      <c r="E748" s="4" t="inlineStr"/>
      <c r="F748" s="3" t="inlineStr">
        <is>
          <t>unidad</t>
        </is>
      </c>
      <c r="G748" s="3" t="inlineStr">
        <is>
          <t>Instalaciones</t>
        </is>
      </c>
      <c r="H748" s="3" t="inlineStr">
        <is>
          <t>estandar</t>
        </is>
      </c>
      <c r="I748" s="3" t="inlineStr">
        <is>
          <t>importado</t>
        </is>
      </c>
      <c r="J748" s="5" t="n">
        <v>1</v>
      </c>
      <c r="K748" s="6" t="n">
        <v>1015</v>
      </c>
      <c r="L748" s="6" t="n">
        <v>1015</v>
      </c>
      <c r="M748" s="6" t="n">
        <v>1015</v>
      </c>
      <c r="N748" s="3" t="inlineStr">
        <is>
          <t>Sí</t>
        </is>
      </c>
      <c r="O748" s="6">
        <f>IF(K748="","",IF(N748="Sí",ROUND(K748/1.18,2),K748))</f>
        <v/>
      </c>
      <c r="P748" s="3" t="inlineStr">
        <is>
          <t>2026-09-09</t>
        </is>
      </c>
      <c r="Q748" s="4" t="inlineStr">
        <is>
          <t>Max Ferretería</t>
        </is>
      </c>
    </row>
    <row r="749">
      <c r="A749" s="3" t="inlineStr">
        <is>
          <t>MAT-10-134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Reflector LED de 10 W</t>
        </is>
      </c>
      <c r="E749" s="4" t="inlineStr"/>
      <c r="F749" s="3" t="inlineStr">
        <is>
          <t>unidad</t>
        </is>
      </c>
      <c r="G749" s="3" t="inlineStr">
        <is>
          <t>Instalaciones</t>
        </is>
      </c>
      <c r="H749" s="3" t="inlineStr">
        <is>
          <t>estandar</t>
        </is>
      </c>
      <c r="I749" s="3" t="inlineStr">
        <is>
          <t>importado</t>
        </is>
      </c>
      <c r="J749" s="5" t="n">
        <v>4</v>
      </c>
      <c r="K749" s="6" t="n">
        <v>632</v>
      </c>
      <c r="L749" s="6" t="n">
        <v>397.34</v>
      </c>
      <c r="M749" s="6" t="n">
        <v>2575</v>
      </c>
      <c r="N749" s="3" t="inlineStr">
        <is>
          <t>Sí</t>
        </is>
      </c>
      <c r="O749" s="6">
        <f>IF(K749="","",IF(N749="Sí",ROUND(K749/1.18,2),K749))</f>
        <v/>
      </c>
      <c r="P749" s="3" t="inlineStr">
        <is>
          <t>2026-09-10</t>
        </is>
      </c>
      <c r="Q749" s="4" t="inlineStr">
        <is>
          <t>Bellón · Ferremix (Grupo Alterra) · Max Ferretería · Mundo LED</t>
        </is>
      </c>
      <c r="AF749" s="4" t="inlineStr">
        <is>
          <t>potencia_w: 10 · temp_k: 6500</t>
        </is>
      </c>
    </row>
    <row r="750">
      <c r="A750" s="3" t="inlineStr">
        <is>
          <t>MAT-10-135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Reflector LED de 100 W</t>
        </is>
      </c>
      <c r="E750" s="4" t="inlineStr"/>
      <c r="F750" s="3" t="inlineStr">
        <is>
          <t>unidad</t>
        </is>
      </c>
      <c r="G750" s="3" t="inlineStr">
        <is>
          <t>Instalaciones</t>
        </is>
      </c>
      <c r="H750" s="3" t="inlineStr">
        <is>
          <t>estandar</t>
        </is>
      </c>
      <c r="I750" s="3" t="inlineStr">
        <is>
          <t>importado</t>
        </is>
      </c>
      <c r="J750" s="5" t="n">
        <v>3</v>
      </c>
      <c r="K750" s="6" t="n">
        <v>1990</v>
      </c>
      <c r="L750" s="6" t="n">
        <v>1500</v>
      </c>
      <c r="M750" s="6" t="n">
        <v>10518</v>
      </c>
      <c r="N750" s="3" t="inlineStr">
        <is>
          <t>Sí</t>
        </is>
      </c>
      <c r="O750" s="6">
        <f>IF(K750="","",IF(N750="Sí",ROUND(K750/1.18,2),K750))</f>
        <v/>
      </c>
      <c r="P750" s="3" t="inlineStr">
        <is>
          <t>2026-09-10</t>
        </is>
      </c>
      <c r="Q750" s="4" t="inlineStr">
        <is>
          <t>Bellón · Max Ferretería · Mundo LED</t>
        </is>
      </c>
      <c r="AF750" s="4" t="inlineStr">
        <is>
          <t>potencia_w: 100 · temp_k: 3000</t>
        </is>
      </c>
    </row>
    <row r="751">
      <c r="A751" s="3" t="inlineStr">
        <is>
          <t>MAT-10-136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Reflector LED de 14 W</t>
        </is>
      </c>
      <c r="E751" s="4" t="inlineStr"/>
      <c r="F751" s="3" t="inlineStr">
        <is>
          <t>unidad</t>
        </is>
      </c>
      <c r="G751" s="3" t="inlineStr">
        <is>
          <t>Instalaciones</t>
        </is>
      </c>
      <c r="H751" s="3" t="inlineStr">
        <is>
          <t>estandar</t>
        </is>
      </c>
      <c r="I751" s="3" t="inlineStr">
        <is>
          <t>importado</t>
        </is>
      </c>
      <c r="J751" s="5" t="n">
        <v>1</v>
      </c>
      <c r="K751" s="6" t="n">
        <v>815</v>
      </c>
      <c r="L751" s="6" t="n">
        <v>815</v>
      </c>
      <c r="M751" s="6" t="n">
        <v>815</v>
      </c>
      <c r="N751" s="3" t="inlineStr">
        <is>
          <t>Sí</t>
        </is>
      </c>
      <c r="O751" s="6">
        <f>IF(K751="","",IF(N751="Sí",ROUND(K751/1.18,2),K751))</f>
        <v/>
      </c>
      <c r="P751" s="3" t="inlineStr">
        <is>
          <t>2026-09-10</t>
        </is>
      </c>
      <c r="Q751" s="4" t="inlineStr">
        <is>
          <t>Bellón</t>
        </is>
      </c>
      <c r="AF751" s="4" t="inlineStr">
        <is>
          <t>potencia_w: 14</t>
        </is>
      </c>
    </row>
    <row r="752">
      <c r="A752" s="3" t="inlineStr">
        <is>
          <t>MAT-10-137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Reflector LED de 150 W</t>
        </is>
      </c>
      <c r="E752" s="4" t="inlineStr"/>
      <c r="F752" s="3" t="inlineStr">
        <is>
          <t>unidad</t>
        </is>
      </c>
      <c r="G752" s="3" t="inlineStr">
        <is>
          <t>Instalaciones</t>
        </is>
      </c>
      <c r="H752" s="3" t="inlineStr">
        <is>
          <t>estandar</t>
        </is>
      </c>
      <c r="I752" s="3" t="inlineStr">
        <is>
          <t>importado</t>
        </is>
      </c>
      <c r="J752" s="5" t="n">
        <v>2</v>
      </c>
      <c r="K752" s="6" t="n">
        <v>3990</v>
      </c>
      <c r="L752" s="6" t="n">
        <v>1818</v>
      </c>
      <c r="M752" s="6" t="n">
        <v>9835</v>
      </c>
      <c r="N752" s="3" t="inlineStr">
        <is>
          <t>Sí</t>
        </is>
      </c>
      <c r="O752" s="6">
        <f>IF(K752="","",IF(N752="Sí",ROUND(K752/1.18,2),K752))</f>
        <v/>
      </c>
      <c r="P752" s="3" t="inlineStr">
        <is>
          <t>2026-09-10</t>
        </is>
      </c>
      <c r="Q752" s="4" t="inlineStr">
        <is>
          <t>Bellón · Mundo LED</t>
        </is>
      </c>
      <c r="AF752" s="4" t="inlineStr">
        <is>
          <t>potencia_w: 150</t>
        </is>
      </c>
    </row>
    <row r="753">
      <c r="A753" s="3" t="inlineStr">
        <is>
          <t>MAT-10-138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Reflector LED de 16 W</t>
        </is>
      </c>
      <c r="E753" s="4" t="inlineStr"/>
      <c r="F753" s="3" t="inlineStr">
        <is>
          <t>unidad</t>
        </is>
      </c>
      <c r="G753" s="3" t="inlineStr">
        <is>
          <t>Instalaciones</t>
        </is>
      </c>
      <c r="H753" s="3" t="inlineStr">
        <is>
          <t>estandar</t>
        </is>
      </c>
      <c r="I753" s="3" t="inlineStr">
        <is>
          <t>importado</t>
        </is>
      </c>
      <c r="J753" s="5" t="n">
        <v>1</v>
      </c>
      <c r="K753" s="6" t="n">
        <v>2207</v>
      </c>
      <c r="L753" s="6" t="n">
        <v>2207</v>
      </c>
      <c r="M753" s="6" t="n">
        <v>2207</v>
      </c>
      <c r="N753" s="3" t="inlineStr">
        <is>
          <t>Sí</t>
        </is>
      </c>
      <c r="O753" s="6">
        <f>IF(K753="","",IF(N753="Sí",ROUND(K753/1.18,2),K753))</f>
        <v/>
      </c>
      <c r="P753" s="3" t="inlineStr">
        <is>
          <t>2026-09-10</t>
        </is>
      </c>
      <c r="Q753" s="4" t="inlineStr">
        <is>
          <t>Bellón</t>
        </is>
      </c>
      <c r="AF753" s="4" t="inlineStr">
        <is>
          <t>potencia_w: 16</t>
        </is>
      </c>
    </row>
    <row r="754">
      <c r="A754" s="3" t="inlineStr">
        <is>
          <t>MAT-10-139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Reflector LED de 18 W</t>
        </is>
      </c>
      <c r="E754" s="4" t="inlineStr"/>
      <c r="F754" s="3" t="inlineStr">
        <is>
          <t>unidad</t>
        </is>
      </c>
      <c r="G754" s="3" t="inlineStr">
        <is>
          <t>Instalaciones</t>
        </is>
      </c>
      <c r="H754" s="3" t="inlineStr">
        <is>
          <t>estandar</t>
        </is>
      </c>
      <c r="I754" s="3" t="inlineStr">
        <is>
          <t>importado</t>
        </is>
      </c>
      <c r="J754" s="5" t="n">
        <v>1</v>
      </c>
      <c r="K754" s="6" t="n">
        <v>1062</v>
      </c>
      <c r="L754" s="6" t="n">
        <v>1062</v>
      </c>
      <c r="M754" s="6" t="n">
        <v>1062</v>
      </c>
      <c r="N754" s="3" t="inlineStr">
        <is>
          <t>Sí</t>
        </is>
      </c>
      <c r="O754" s="6">
        <f>IF(K754="","",IF(N754="Sí",ROUND(K754/1.18,2),K754))</f>
        <v/>
      </c>
      <c r="P754" s="3" t="inlineStr">
        <is>
          <t>2026-09-10</t>
        </is>
      </c>
      <c r="Q754" s="4" t="inlineStr">
        <is>
          <t>Bellón</t>
        </is>
      </c>
      <c r="AF754" s="4" t="inlineStr">
        <is>
          <t>potencia_w: 18</t>
        </is>
      </c>
    </row>
    <row r="755">
      <c r="A755" s="3" t="inlineStr">
        <is>
          <t>MAT-10-140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Reflector LED de 20 W</t>
        </is>
      </c>
      <c r="E755" s="4" t="inlineStr"/>
      <c r="F755" s="3" t="inlineStr">
        <is>
          <t>unidad</t>
        </is>
      </c>
      <c r="G755" s="3" t="inlineStr">
        <is>
          <t>Instalaciones</t>
        </is>
      </c>
      <c r="H755" s="3" t="inlineStr">
        <is>
          <t>estandar</t>
        </is>
      </c>
      <c r="I755" s="3" t="inlineStr">
        <is>
          <t>importado</t>
        </is>
      </c>
      <c r="J755" s="5" t="n">
        <v>2</v>
      </c>
      <c r="K755" s="6" t="n">
        <v>1066.5</v>
      </c>
      <c r="L755" s="6" t="n">
        <v>462.51</v>
      </c>
      <c r="M755" s="6" t="n">
        <v>1260</v>
      </c>
      <c r="N755" s="3" t="inlineStr">
        <is>
          <t>Sí</t>
        </is>
      </c>
      <c r="O755" s="6">
        <f>IF(K755="","",IF(N755="Sí",ROUND(K755/1.18,2),K755))</f>
        <v/>
      </c>
      <c r="P755" s="3" t="inlineStr">
        <is>
          <t>2026-09-10</t>
        </is>
      </c>
      <c r="Q755" s="4" t="inlineStr">
        <is>
          <t>Bellón · Ferremix (Grupo Alterra)</t>
        </is>
      </c>
      <c r="AF755" s="4" t="inlineStr">
        <is>
          <t>potencia_w: 20</t>
        </is>
      </c>
    </row>
    <row r="756">
      <c r="A756" s="3" t="inlineStr">
        <is>
          <t>MAT-10-141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Reflector LED de 200 W</t>
        </is>
      </c>
      <c r="E756" s="4" t="inlineStr"/>
      <c r="F756" s="3" t="inlineStr">
        <is>
          <t>unidad</t>
        </is>
      </c>
      <c r="G756" s="3" t="inlineStr">
        <is>
          <t>Instalaciones</t>
        </is>
      </c>
      <c r="H756" s="3" t="inlineStr">
        <is>
          <t>estandar</t>
        </is>
      </c>
      <c r="I756" s="3" t="inlineStr">
        <is>
          <t>importado</t>
        </is>
      </c>
      <c r="J756" s="5" t="n">
        <v>3</v>
      </c>
      <c r="K756" s="6" t="n">
        <v>6750</v>
      </c>
      <c r="L756" s="6" t="n">
        <v>2335</v>
      </c>
      <c r="M756" s="6" t="n">
        <v>10351</v>
      </c>
      <c r="N756" s="3" t="inlineStr">
        <is>
          <t>Sí</t>
        </is>
      </c>
      <c r="O756" s="6">
        <f>IF(K756="","",IF(N756="Sí",ROUND(K756/1.18,2),K756))</f>
        <v/>
      </c>
      <c r="P756" s="3" t="inlineStr">
        <is>
          <t>2026-09-10</t>
        </is>
      </c>
      <c r="Q756" s="4" t="inlineStr">
        <is>
          <t>Bellón · Max Ferretería · Mundo LED</t>
        </is>
      </c>
      <c r="AF756" s="4" t="inlineStr">
        <is>
          <t>potencia_w: 200 · temp_k: 6500</t>
        </is>
      </c>
    </row>
    <row r="757">
      <c r="A757" s="3" t="inlineStr">
        <is>
          <t>MAT-10-142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Reflector LED de 23 W</t>
        </is>
      </c>
      <c r="E757" s="4" t="inlineStr"/>
      <c r="F757" s="3" t="inlineStr">
        <is>
          <t>unidad</t>
        </is>
      </c>
      <c r="G757" s="3" t="inlineStr">
        <is>
          <t>Instalaciones</t>
        </is>
      </c>
      <c r="H757" s="3" t="inlineStr">
        <is>
          <t>estandar</t>
        </is>
      </c>
      <c r="I757" s="3" t="inlineStr">
        <is>
          <t>importado</t>
        </is>
      </c>
      <c r="J757" s="5" t="n">
        <v>1</v>
      </c>
      <c r="K757" s="6" t="n">
        <v>455</v>
      </c>
      <c r="L757" s="6" t="n">
        <v>455</v>
      </c>
      <c r="M757" s="6" t="n">
        <v>455</v>
      </c>
      <c r="N757" s="3" t="inlineStr">
        <is>
          <t>Sí</t>
        </is>
      </c>
      <c r="O757" s="6">
        <f>IF(K757="","",IF(N757="Sí",ROUND(K757/1.18,2),K757))</f>
        <v/>
      </c>
      <c r="P757" s="3" t="inlineStr">
        <is>
          <t>2026-09-09</t>
        </is>
      </c>
      <c r="Q757" s="4" t="inlineStr">
        <is>
          <t>Max Ferretería</t>
        </is>
      </c>
      <c r="AF757" s="4" t="inlineStr">
        <is>
          <t>potencia_w: 23 · temp_k: 2700</t>
        </is>
      </c>
    </row>
    <row r="758">
      <c r="A758" s="3" t="inlineStr">
        <is>
          <t>MAT-10-143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Reflector LED de 250 W</t>
        </is>
      </c>
      <c r="E758" s="4" t="inlineStr"/>
      <c r="F758" s="3" t="inlineStr">
        <is>
          <t>unidad</t>
        </is>
      </c>
      <c r="G758" s="3" t="inlineStr">
        <is>
          <t>Instalaciones</t>
        </is>
      </c>
      <c r="H758" s="3" t="inlineStr">
        <is>
          <t>estandar</t>
        </is>
      </c>
      <c r="I758" s="3" t="inlineStr">
        <is>
          <t>importado</t>
        </is>
      </c>
      <c r="J758" s="5" t="n">
        <v>1</v>
      </c>
      <c r="K758" s="6" t="n">
        <v>580</v>
      </c>
      <c r="L758" s="6" t="n">
        <v>280</v>
      </c>
      <c r="M758" s="6" t="n">
        <v>880</v>
      </c>
      <c r="N758" s="3" t="inlineStr">
        <is>
          <t>Sí</t>
        </is>
      </c>
      <c r="O758" s="6">
        <f>IF(K758="","",IF(N758="Sí",ROUND(K758/1.18,2),K758))</f>
        <v/>
      </c>
      <c r="P758" s="3" t="inlineStr">
        <is>
          <t>2026-09-09</t>
        </is>
      </c>
      <c r="Q758" s="4" t="inlineStr">
        <is>
          <t>Max Ferretería</t>
        </is>
      </c>
      <c r="AF758" s="4" t="inlineStr">
        <is>
          <t>potencia_w: 250</t>
        </is>
      </c>
    </row>
    <row r="759">
      <c r="A759" s="3" t="inlineStr">
        <is>
          <t>MAT-10-144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Reflector LED de 30 W</t>
        </is>
      </c>
      <c r="E759" s="4" t="inlineStr"/>
      <c r="F759" s="3" t="inlineStr">
        <is>
          <t>unidad</t>
        </is>
      </c>
      <c r="G759" s="3" t="inlineStr">
        <is>
          <t>Instalaciones</t>
        </is>
      </c>
      <c r="H759" s="3" t="inlineStr">
        <is>
          <t>estandar</t>
        </is>
      </c>
      <c r="I759" s="3" t="inlineStr">
        <is>
          <t>importado</t>
        </is>
      </c>
      <c r="J759" s="5" t="n">
        <v>3</v>
      </c>
      <c r="K759" s="6" t="n">
        <v>1145</v>
      </c>
      <c r="L759" s="6" t="n">
        <v>475</v>
      </c>
      <c r="M759" s="6" t="n">
        <v>2191</v>
      </c>
      <c r="N759" s="3" t="inlineStr">
        <is>
          <t>Sí</t>
        </is>
      </c>
      <c r="O759" s="6">
        <f>IF(K759="","",IF(N759="Sí",ROUND(K759/1.18,2),K759))</f>
        <v/>
      </c>
      <c r="P759" s="3" t="inlineStr">
        <is>
          <t>2026-09-10</t>
        </is>
      </c>
      <c r="Q759" s="4" t="inlineStr">
        <is>
          <t>Bellón · Max Ferretería · Mundo LED</t>
        </is>
      </c>
      <c r="AF759" s="4" t="inlineStr">
        <is>
          <t>potencia_w: 30 · temp_k: 3000</t>
        </is>
      </c>
    </row>
    <row r="760">
      <c r="A760" s="3" t="inlineStr">
        <is>
          <t>MAT-10-145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Reflector LED de 300 W</t>
        </is>
      </c>
      <c r="E760" s="4" t="inlineStr"/>
      <c r="F760" s="3" t="inlineStr">
        <is>
          <t>unidad</t>
        </is>
      </c>
      <c r="G760" s="3" t="inlineStr">
        <is>
          <t>Instalaciones</t>
        </is>
      </c>
      <c r="H760" s="3" t="inlineStr">
        <is>
          <t>estandar</t>
        </is>
      </c>
      <c r="I760" s="3" t="inlineStr">
        <is>
          <t>importado</t>
        </is>
      </c>
      <c r="J760" s="5" t="n">
        <v>1</v>
      </c>
      <c r="K760" s="6" t="n">
        <v>7800</v>
      </c>
      <c r="L760" s="6" t="n">
        <v>5100</v>
      </c>
      <c r="M760" s="6" t="n">
        <v>10500</v>
      </c>
      <c r="N760" s="3" t="inlineStr">
        <is>
          <t>Sí</t>
        </is>
      </c>
      <c r="O760" s="6">
        <f>IF(K760="","",IF(N760="Sí",ROUND(K760/1.18,2),K760))</f>
        <v/>
      </c>
      <c r="P760" s="3" t="inlineStr">
        <is>
          <t>2026-09-10</t>
        </is>
      </c>
      <c r="Q760" s="4" t="inlineStr">
        <is>
          <t>Mundo LED</t>
        </is>
      </c>
      <c r="AF760" s="4" t="inlineStr">
        <is>
          <t>potencia_w: 300</t>
        </is>
      </c>
    </row>
    <row r="761">
      <c r="A761" s="3" t="inlineStr">
        <is>
          <t>MAT-10-146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Reflector LED de 4 W</t>
        </is>
      </c>
      <c r="E761" s="4" t="inlineStr"/>
      <c r="F761" s="3" t="inlineStr">
        <is>
          <t>unidad</t>
        </is>
      </c>
      <c r="G761" s="3" t="inlineStr">
        <is>
          <t>Instalaciones</t>
        </is>
      </c>
      <c r="H761" s="3" t="inlineStr">
        <is>
          <t>estandar</t>
        </is>
      </c>
      <c r="I761" s="3" t="inlineStr">
        <is>
          <t>importado</t>
        </is>
      </c>
      <c r="J761" s="5" t="n">
        <v>1</v>
      </c>
      <c r="K761" s="6" t="n">
        <v>221.5</v>
      </c>
      <c r="L761" s="6" t="n">
        <v>88</v>
      </c>
      <c r="M761" s="6" t="n">
        <v>1195</v>
      </c>
      <c r="N761" s="3" t="inlineStr">
        <is>
          <t>Sí</t>
        </is>
      </c>
      <c r="O761" s="6">
        <f>IF(K761="","",IF(N761="Sí",ROUND(K761/1.18,2),K761))</f>
        <v/>
      </c>
      <c r="P761" s="3" t="inlineStr">
        <is>
          <t>2026-09-10</t>
        </is>
      </c>
      <c r="Q761" s="4" t="inlineStr">
        <is>
          <t>Bellón</t>
        </is>
      </c>
      <c r="AF761" s="4" t="inlineStr">
        <is>
          <t>potencia_w: 4</t>
        </is>
      </c>
    </row>
    <row r="762">
      <c r="A762" s="3" t="inlineStr">
        <is>
          <t>MAT-10-147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Reflector LED de 400 W</t>
        </is>
      </c>
      <c r="E762" s="4" t="inlineStr"/>
      <c r="F762" s="3" t="inlineStr">
        <is>
          <t>unidad</t>
        </is>
      </c>
      <c r="G762" s="3" t="inlineStr">
        <is>
          <t>Instalaciones</t>
        </is>
      </c>
      <c r="H762" s="3" t="inlineStr">
        <is>
          <t>estandar</t>
        </is>
      </c>
      <c r="I762" s="3" t="inlineStr">
        <is>
          <t>importado</t>
        </is>
      </c>
      <c r="J762" s="5" t="n">
        <v>2</v>
      </c>
      <c r="K762" s="6" t="n">
        <v>7058</v>
      </c>
      <c r="L762" s="6" t="n">
        <v>5900</v>
      </c>
      <c r="M762" s="6" t="n">
        <v>14000</v>
      </c>
      <c r="N762" s="3" t="inlineStr">
        <is>
          <t>Sí</t>
        </is>
      </c>
      <c r="O762" s="6">
        <f>IF(K762="","",IF(N762="Sí",ROUND(K762/1.18,2),K762))</f>
        <v/>
      </c>
      <c r="P762" s="3" t="inlineStr">
        <is>
          <t>2026-09-10</t>
        </is>
      </c>
      <c r="Q762" s="4" t="inlineStr">
        <is>
          <t>Bellón · Mundo LED</t>
        </is>
      </c>
      <c r="AF762" s="4" t="inlineStr">
        <is>
          <t>potencia_w: 400</t>
        </is>
      </c>
    </row>
    <row r="763">
      <c r="A763" s="3" t="inlineStr">
        <is>
          <t>MAT-10-148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Reflector LED de 5 W</t>
        </is>
      </c>
      <c r="E763" s="4" t="inlineStr"/>
      <c r="F763" s="3" t="inlineStr">
        <is>
          <t>unidad</t>
        </is>
      </c>
      <c r="G763" s="3" t="inlineStr">
        <is>
          <t>Instalaciones</t>
        </is>
      </c>
      <c r="H763" s="3" t="inlineStr">
        <is>
          <t>estandar</t>
        </is>
      </c>
      <c r="I763" s="3" t="inlineStr">
        <is>
          <t>importado</t>
        </is>
      </c>
      <c r="J763" s="5" t="n">
        <v>1</v>
      </c>
      <c r="K763" s="6" t="n">
        <v>95</v>
      </c>
      <c r="L763" s="6" t="n">
        <v>93</v>
      </c>
      <c r="M763" s="6" t="n">
        <v>487</v>
      </c>
      <c r="N763" s="3" t="inlineStr">
        <is>
          <t>Sí</t>
        </is>
      </c>
      <c r="O763" s="6">
        <f>IF(K763="","",IF(N763="Sí",ROUND(K763/1.18,2),K763))</f>
        <v/>
      </c>
      <c r="P763" s="3" t="inlineStr">
        <is>
          <t>2026-09-10</t>
        </is>
      </c>
      <c r="Q763" s="4" t="inlineStr">
        <is>
          <t>Bellón</t>
        </is>
      </c>
      <c r="AF763" s="4" t="inlineStr">
        <is>
          <t>potencia_w: 5</t>
        </is>
      </c>
    </row>
    <row r="764">
      <c r="A764" s="3" t="inlineStr">
        <is>
          <t>MAT-10-149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Reflector LED de 50 W</t>
        </is>
      </c>
      <c r="E764" s="4" t="inlineStr"/>
      <c r="F764" s="3" t="inlineStr">
        <is>
          <t>unidad</t>
        </is>
      </c>
      <c r="G764" s="3" t="inlineStr">
        <is>
          <t>Instalaciones</t>
        </is>
      </c>
      <c r="H764" s="3" t="inlineStr">
        <is>
          <t>estandar</t>
        </is>
      </c>
      <c r="I764" s="3" t="inlineStr">
        <is>
          <t>importado</t>
        </is>
      </c>
      <c r="J764" s="5" t="n">
        <v>3</v>
      </c>
      <c r="K764" s="6" t="n">
        <v>1136</v>
      </c>
      <c r="L764" s="6" t="n">
        <v>645.63</v>
      </c>
      <c r="M764" s="6" t="n">
        <v>3683</v>
      </c>
      <c r="N764" s="3" t="inlineStr">
        <is>
          <t>Sí</t>
        </is>
      </c>
      <c r="O764" s="6">
        <f>IF(K764="","",IF(N764="Sí",ROUND(K764/1.18,2),K764))</f>
        <v/>
      </c>
      <c r="P764" s="3" t="inlineStr">
        <is>
          <t>2026-09-10</t>
        </is>
      </c>
      <c r="Q764" s="4" t="inlineStr">
        <is>
          <t>Bellón · Max Ferretería · Mundo LED</t>
        </is>
      </c>
      <c r="AF764" s="4" t="inlineStr">
        <is>
          <t>potencia_w: 50 · temp_k: 3000</t>
        </is>
      </c>
    </row>
    <row r="765">
      <c r="A765" s="3" t="inlineStr">
        <is>
          <t>MAT-10-150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Reflector LED de 500 W</t>
        </is>
      </c>
      <c r="E765" s="4" t="inlineStr"/>
      <c r="F765" s="3" t="inlineStr">
        <is>
          <t>unidad</t>
        </is>
      </c>
      <c r="G765" s="3" t="inlineStr">
        <is>
          <t>Instalaciones</t>
        </is>
      </c>
      <c r="H765" s="3" t="inlineStr">
        <is>
          <t>estandar</t>
        </is>
      </c>
      <c r="I765" s="3" t="inlineStr">
        <is>
          <t>importado</t>
        </is>
      </c>
      <c r="J765" s="5" t="n">
        <v>1</v>
      </c>
      <c r="K765" s="6" t="n">
        <v>18000</v>
      </c>
      <c r="L765" s="6" t="n">
        <v>18000</v>
      </c>
      <c r="M765" s="6" t="n">
        <v>18000</v>
      </c>
      <c r="N765" s="3" t="inlineStr">
        <is>
          <t>Sí</t>
        </is>
      </c>
      <c r="O765" s="6">
        <f>IF(K765="","",IF(N765="Sí",ROUND(K765/1.18,2),K765))</f>
        <v/>
      </c>
      <c r="P765" s="3" t="inlineStr">
        <is>
          <t>2026-09-10</t>
        </is>
      </c>
      <c r="Q765" s="4" t="inlineStr">
        <is>
          <t>Mundo LED</t>
        </is>
      </c>
      <c r="AF765" s="4" t="inlineStr">
        <is>
          <t>potencia_w: 500</t>
        </is>
      </c>
    </row>
    <row r="766">
      <c r="A766" s="3" t="inlineStr">
        <is>
          <t>MAT-10-151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Reflector LED de 55 W</t>
        </is>
      </c>
      <c r="E766" s="4" t="inlineStr"/>
      <c r="F766" s="3" t="inlineStr">
        <is>
          <t>unidad</t>
        </is>
      </c>
      <c r="G766" s="3" t="inlineStr">
        <is>
          <t>Instalaciones</t>
        </is>
      </c>
      <c r="H766" s="3" t="inlineStr">
        <is>
          <t>estandar</t>
        </is>
      </c>
      <c r="I766" s="3" t="inlineStr">
        <is>
          <t>importado</t>
        </is>
      </c>
      <c r="J766" s="5" t="n">
        <v>1</v>
      </c>
      <c r="K766" s="6" t="n">
        <v>12101</v>
      </c>
      <c r="L766" s="6" t="n">
        <v>12101</v>
      </c>
      <c r="M766" s="6" t="n">
        <v>12101</v>
      </c>
      <c r="N766" s="3" t="inlineStr">
        <is>
          <t>Sí</t>
        </is>
      </c>
      <c r="O766" s="6">
        <f>IF(K766="","",IF(N766="Sí",ROUND(K766/1.18,2),K766))</f>
        <v/>
      </c>
      <c r="P766" s="3" t="inlineStr">
        <is>
          <t>2026-09-10</t>
        </is>
      </c>
      <c r="Q766" s="4" t="inlineStr">
        <is>
          <t>Bellón</t>
        </is>
      </c>
      <c r="AF766" s="4" t="inlineStr">
        <is>
          <t>potencia_w: 55</t>
        </is>
      </c>
    </row>
    <row r="767">
      <c r="A767" s="3" t="inlineStr">
        <is>
          <t>MAT-10-152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Reflector LED de 6.5 W</t>
        </is>
      </c>
      <c r="E767" s="4" t="inlineStr"/>
      <c r="F767" s="3" t="inlineStr">
        <is>
          <t>unidad</t>
        </is>
      </c>
      <c r="G767" s="3" t="inlineStr">
        <is>
          <t>Instalaciones</t>
        </is>
      </c>
      <c r="H767" s="3" t="inlineStr">
        <is>
          <t>estandar</t>
        </is>
      </c>
      <c r="I767" s="3" t="inlineStr">
        <is>
          <t>importado</t>
        </is>
      </c>
      <c r="J767" s="5" t="n">
        <v>1</v>
      </c>
      <c r="K767" s="6" t="n">
        <v>472</v>
      </c>
      <c r="L767" s="6" t="n">
        <v>472</v>
      </c>
      <c r="M767" s="6" t="n">
        <v>472</v>
      </c>
      <c r="N767" s="3" t="inlineStr">
        <is>
          <t>Sí</t>
        </is>
      </c>
      <c r="O767" s="6">
        <f>IF(K767="","",IF(N767="Sí",ROUND(K767/1.18,2),K767))</f>
        <v/>
      </c>
      <c r="P767" s="3" t="inlineStr">
        <is>
          <t>2026-09-10</t>
        </is>
      </c>
      <c r="Q767" s="4" t="inlineStr">
        <is>
          <t>Bellón</t>
        </is>
      </c>
      <c r="AF767" s="4" t="inlineStr">
        <is>
          <t>potencia_w: 6.5</t>
        </is>
      </c>
    </row>
    <row r="768">
      <c r="A768" s="3" t="inlineStr">
        <is>
          <t>MAT-10-153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Reflector LED de 8 W</t>
        </is>
      </c>
      <c r="E768" s="4" t="inlineStr"/>
      <c r="F768" s="3" t="inlineStr">
        <is>
          <t>unidad</t>
        </is>
      </c>
      <c r="G768" s="3" t="inlineStr">
        <is>
          <t>Instalaciones</t>
        </is>
      </c>
      <c r="H768" s="3" t="inlineStr">
        <is>
          <t>estandar</t>
        </is>
      </c>
      <c r="I768" s="3" t="inlineStr">
        <is>
          <t>importado</t>
        </is>
      </c>
      <c r="J768" s="5" t="n">
        <v>1</v>
      </c>
      <c r="K768" s="6" t="n">
        <v>280</v>
      </c>
      <c r="L768" s="6" t="n">
        <v>120</v>
      </c>
      <c r="M768" s="6" t="n">
        <v>877</v>
      </c>
      <c r="N768" s="3" t="inlineStr">
        <is>
          <t>Sí</t>
        </is>
      </c>
      <c r="O768" s="6">
        <f>IF(K768="","",IF(N768="Sí",ROUND(K768/1.18,2),K768))</f>
        <v/>
      </c>
      <c r="P768" s="3" t="inlineStr">
        <is>
          <t>2026-09-10</t>
        </is>
      </c>
      <c r="Q768" s="4" t="inlineStr">
        <is>
          <t>Bellón</t>
        </is>
      </c>
      <c r="AF768" s="4" t="inlineStr">
        <is>
          <t>potencia_w: 8</t>
        </is>
      </c>
    </row>
    <row r="769">
      <c r="A769" s="3" t="inlineStr">
        <is>
          <t>MAT-10-154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Reflector LED de 8.5 W</t>
        </is>
      </c>
      <c r="E769" s="4" t="inlineStr"/>
      <c r="F769" s="3" t="inlineStr">
        <is>
          <t>unidad</t>
        </is>
      </c>
      <c r="G769" s="3" t="inlineStr">
        <is>
          <t>Instalaciones</t>
        </is>
      </c>
      <c r="H769" s="3" t="inlineStr">
        <is>
          <t>estandar</t>
        </is>
      </c>
      <c r="I769" s="3" t="inlineStr">
        <is>
          <t>importado</t>
        </is>
      </c>
      <c r="J769" s="5" t="n">
        <v>1</v>
      </c>
      <c r="K769" s="6" t="n">
        <v>319</v>
      </c>
      <c r="L769" s="6" t="n">
        <v>319</v>
      </c>
      <c r="M769" s="6" t="n">
        <v>319</v>
      </c>
      <c r="N769" s="3" t="inlineStr">
        <is>
          <t>Sí</t>
        </is>
      </c>
      <c r="O769" s="6">
        <f>IF(K769="","",IF(N769="Sí",ROUND(K769/1.18,2),K769))</f>
        <v/>
      </c>
      <c r="P769" s="3" t="inlineStr">
        <is>
          <t>2026-09-10</t>
        </is>
      </c>
      <c r="Q769" s="4" t="inlineStr">
        <is>
          <t>Bellón</t>
        </is>
      </c>
      <c r="AF769" s="4" t="inlineStr">
        <is>
          <t>potencia_w: 8.5</t>
        </is>
      </c>
    </row>
    <row r="770">
      <c r="A770" s="3" t="inlineStr">
        <is>
          <t>MAT-10-156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Tubo LED de 11 W</t>
        </is>
      </c>
      <c r="E770" s="4" t="inlineStr"/>
      <c r="F770" s="3" t="inlineStr">
        <is>
          <t>unidad</t>
        </is>
      </c>
      <c r="G770" s="3" t="inlineStr">
        <is>
          <t>Instalaciones</t>
        </is>
      </c>
      <c r="H770" s="3" t="inlineStr">
        <is>
          <t>estandar</t>
        </is>
      </c>
      <c r="I770" s="3" t="inlineStr">
        <is>
          <t>importado</t>
        </is>
      </c>
      <c r="J770" s="5" t="n">
        <v>1</v>
      </c>
      <c r="K770" s="6" t="n">
        <v>699</v>
      </c>
      <c r="L770" s="6" t="n">
        <v>699</v>
      </c>
      <c r="M770" s="6" t="n">
        <v>699</v>
      </c>
      <c r="N770" s="3" t="inlineStr">
        <is>
          <t>Sí</t>
        </is>
      </c>
      <c r="O770" s="6">
        <f>IF(K770="","",IF(N770="Sí",ROUND(K770/1.18,2),K770))</f>
        <v/>
      </c>
      <c r="P770" s="3" t="inlineStr">
        <is>
          <t>2026-09-10</t>
        </is>
      </c>
      <c r="Q770" s="4" t="inlineStr">
        <is>
          <t>Ferremix (Grupo Alterra)</t>
        </is>
      </c>
      <c r="AF770" s="4" t="inlineStr">
        <is>
          <t>potencia_w: 11</t>
        </is>
      </c>
    </row>
    <row r="771">
      <c r="A771" s="3" t="inlineStr">
        <is>
          <t>MAT-10-157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Tubo LED de 12 W</t>
        </is>
      </c>
      <c r="E771" s="4" t="inlineStr"/>
      <c r="F771" s="3" t="inlineStr">
        <is>
          <t>unidad</t>
        </is>
      </c>
      <c r="G771" s="3" t="inlineStr">
        <is>
          <t>Instalaciones</t>
        </is>
      </c>
      <c r="H771" s="3" t="inlineStr">
        <is>
          <t>estandar</t>
        </is>
      </c>
      <c r="I771" s="3" t="inlineStr">
        <is>
          <t>importado</t>
        </is>
      </c>
      <c r="J771" s="5" t="n">
        <v>1</v>
      </c>
      <c r="K771" s="6" t="n">
        <v>142</v>
      </c>
      <c r="L771" s="6" t="n">
        <v>142</v>
      </c>
      <c r="M771" s="6" t="n">
        <v>142</v>
      </c>
      <c r="N771" s="3" t="inlineStr">
        <is>
          <t>Sí</t>
        </is>
      </c>
      <c r="O771" s="6">
        <f>IF(K771="","",IF(N771="Sí",ROUND(K771/1.18,2),K771))</f>
        <v/>
      </c>
      <c r="P771" s="3" t="inlineStr">
        <is>
          <t>2026-09-10</t>
        </is>
      </c>
      <c r="Q771" s="4" t="inlineStr">
        <is>
          <t>Mundo LED</t>
        </is>
      </c>
      <c r="AF771" s="4" t="inlineStr">
        <is>
          <t>potencia_w: 12</t>
        </is>
      </c>
    </row>
    <row r="772">
      <c r="A772" s="3" t="inlineStr">
        <is>
          <t>MAT-10-158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Tubo LED de 16 W</t>
        </is>
      </c>
      <c r="E772" s="4" t="inlineStr"/>
      <c r="F772" s="3" t="inlineStr">
        <is>
          <t>unidad</t>
        </is>
      </c>
      <c r="G772" s="3" t="inlineStr">
        <is>
          <t>Instalaciones</t>
        </is>
      </c>
      <c r="H772" s="3" t="inlineStr">
        <is>
          <t>estandar</t>
        </is>
      </c>
      <c r="I772" s="3" t="inlineStr">
        <is>
          <t>importado</t>
        </is>
      </c>
      <c r="J772" s="5" t="n">
        <v>1</v>
      </c>
      <c r="K772" s="6" t="n">
        <v>249.99</v>
      </c>
      <c r="L772" s="6" t="n">
        <v>249.99</v>
      </c>
      <c r="M772" s="6" t="n">
        <v>249.99</v>
      </c>
      <c r="N772" s="3" t="inlineStr">
        <is>
          <t>Sí</t>
        </is>
      </c>
      <c r="O772" s="6">
        <f>IF(K772="","",IF(N772="Sí",ROUND(K772/1.18,2),K772))</f>
        <v/>
      </c>
      <c r="P772" s="3" t="inlineStr">
        <is>
          <t>2026-09-09</t>
        </is>
      </c>
      <c r="Q772" s="4" t="inlineStr">
        <is>
          <t>Max Ferretería</t>
        </is>
      </c>
      <c r="AF772" s="4" t="inlineStr">
        <is>
          <t>potencia_w: 16</t>
        </is>
      </c>
    </row>
    <row r="773">
      <c r="A773" s="3" t="inlineStr">
        <is>
          <t>MAT-10-159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Tubo LED de 18 W</t>
        </is>
      </c>
      <c r="E773" s="4" t="inlineStr"/>
      <c r="F773" s="3" t="inlineStr">
        <is>
          <t>unidad</t>
        </is>
      </c>
      <c r="G773" s="3" t="inlineStr">
        <is>
          <t>Instalaciones</t>
        </is>
      </c>
      <c r="H773" s="3" t="inlineStr">
        <is>
          <t>estandar</t>
        </is>
      </c>
      <c r="I773" s="3" t="inlineStr">
        <is>
          <t>importado</t>
        </is>
      </c>
      <c r="J773" s="5" t="n">
        <v>1</v>
      </c>
      <c r="K773" s="6" t="n">
        <v>177</v>
      </c>
      <c r="L773" s="6" t="n">
        <v>170</v>
      </c>
      <c r="M773" s="6" t="n">
        <v>500</v>
      </c>
      <c r="N773" s="3" t="inlineStr">
        <is>
          <t>Sí</t>
        </is>
      </c>
      <c r="O773" s="6">
        <f>IF(K773="","",IF(N773="Sí",ROUND(K773/1.18,2),K773))</f>
        <v/>
      </c>
      <c r="P773" s="3" t="inlineStr">
        <is>
          <t>2026-09-10</t>
        </is>
      </c>
      <c r="Q773" s="4" t="inlineStr">
        <is>
          <t>Mundo LED</t>
        </is>
      </c>
      <c r="AF773" s="4" t="inlineStr">
        <is>
          <t>potencia_w: 18</t>
        </is>
      </c>
    </row>
    <row r="774">
      <c r="A774" s="3" t="inlineStr">
        <is>
          <t>MAT-10-160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Tubo LED de 19 W</t>
        </is>
      </c>
      <c r="E774" s="4" t="inlineStr"/>
      <c r="F774" s="3" t="inlineStr">
        <is>
          <t>unidad</t>
        </is>
      </c>
      <c r="G774" s="3" t="inlineStr">
        <is>
          <t>Instalaciones</t>
        </is>
      </c>
      <c r="H774" s="3" t="inlineStr">
        <is>
          <t>estandar</t>
        </is>
      </c>
      <c r="I774" s="3" t="inlineStr">
        <is>
          <t>importado</t>
        </is>
      </c>
      <c r="J774" s="5" t="n">
        <v>1</v>
      </c>
      <c r="K774" s="6" t="n">
        <v>785</v>
      </c>
      <c r="L774" s="6" t="n">
        <v>785</v>
      </c>
      <c r="M774" s="6" t="n">
        <v>785</v>
      </c>
      <c r="N774" s="3" t="inlineStr">
        <is>
          <t>Sí</t>
        </is>
      </c>
      <c r="O774" s="6">
        <f>IF(K774="","",IF(N774="Sí",ROUND(K774/1.18,2),K774))</f>
        <v/>
      </c>
      <c r="P774" s="3" t="inlineStr">
        <is>
          <t>2026-09-10</t>
        </is>
      </c>
      <c r="Q774" s="4" t="inlineStr">
        <is>
          <t>Ferremix (Grupo Alterra)</t>
        </is>
      </c>
      <c r="AF774" s="4" t="inlineStr">
        <is>
          <t>potencia_w: 19</t>
        </is>
      </c>
    </row>
    <row r="775">
      <c r="A775" s="3" t="inlineStr">
        <is>
          <t>MAT-10-161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Tubo LED de 20.5 W</t>
        </is>
      </c>
      <c r="E775" s="4" t="inlineStr"/>
      <c r="F775" s="3" t="inlineStr">
        <is>
          <t>unidad</t>
        </is>
      </c>
      <c r="G775" s="3" t="inlineStr">
        <is>
          <t>Instalaciones</t>
        </is>
      </c>
      <c r="H775" s="3" t="inlineStr">
        <is>
          <t>estandar</t>
        </is>
      </c>
      <c r="I775" s="3" t="inlineStr">
        <is>
          <t>importado</t>
        </is>
      </c>
      <c r="J775" s="5" t="n">
        <v>1</v>
      </c>
      <c r="K775" s="6" t="n">
        <v>264.99</v>
      </c>
      <c r="L775" s="6" t="n">
        <v>264.99</v>
      </c>
      <c r="M775" s="6" t="n">
        <v>264.99</v>
      </c>
      <c r="N775" s="3" t="inlineStr">
        <is>
          <t>Sí</t>
        </is>
      </c>
      <c r="O775" s="6">
        <f>IF(K775="","",IF(N775="Sí",ROUND(K775/1.18,2),K775))</f>
        <v/>
      </c>
      <c r="P775" s="3" t="inlineStr">
        <is>
          <t>2026-09-09</t>
        </is>
      </c>
      <c r="Q775" s="4" t="inlineStr">
        <is>
          <t>Max Ferretería</t>
        </is>
      </c>
      <c r="AF775" s="4" t="inlineStr">
        <is>
          <t>potencia_w: 20.5</t>
        </is>
      </c>
    </row>
    <row r="776">
      <c r="A776" s="3" t="inlineStr">
        <is>
          <t>MAT-10-162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Tubo LED de 22 W</t>
        </is>
      </c>
      <c r="E776" s="4" t="inlineStr"/>
      <c r="F776" s="3" t="inlineStr">
        <is>
          <t>unidad</t>
        </is>
      </c>
      <c r="G776" s="3" t="inlineStr">
        <is>
          <t>Instalaciones</t>
        </is>
      </c>
      <c r="H776" s="3" t="inlineStr">
        <is>
          <t>estandar</t>
        </is>
      </c>
      <c r="I776" s="3" t="inlineStr">
        <is>
          <t>importado</t>
        </is>
      </c>
      <c r="J776" s="5" t="n">
        <v>1</v>
      </c>
      <c r="K776" s="6" t="n">
        <v>404</v>
      </c>
      <c r="L776" s="6" t="n">
        <v>404</v>
      </c>
      <c r="M776" s="6" t="n">
        <v>404</v>
      </c>
      <c r="N776" s="3" t="inlineStr">
        <is>
          <t>Sí</t>
        </is>
      </c>
      <c r="O776" s="6">
        <f>IF(K776="","",IF(N776="Sí",ROUND(K776/1.18,2),K776))</f>
        <v/>
      </c>
      <c r="P776" s="3" t="inlineStr">
        <is>
          <t>2026-09-10</t>
        </is>
      </c>
      <c r="Q776" s="4" t="inlineStr">
        <is>
          <t>Mundo LED</t>
        </is>
      </c>
      <c r="AF776" s="4" t="inlineStr">
        <is>
          <t>potencia_w: 22</t>
        </is>
      </c>
    </row>
    <row r="777">
      <c r="A777" s="3" t="inlineStr">
        <is>
          <t>MAT-10-163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Tubo LED de 24 W</t>
        </is>
      </c>
      <c r="E777" s="4" t="inlineStr"/>
      <c r="F777" s="3" t="inlineStr">
        <is>
          <t>unidad</t>
        </is>
      </c>
      <c r="G777" s="3" t="inlineStr">
        <is>
          <t>Instalaciones</t>
        </is>
      </c>
      <c r="H777" s="3" t="inlineStr">
        <is>
          <t>estandar</t>
        </is>
      </c>
      <c r="I777" s="3" t="inlineStr">
        <is>
          <t>importado</t>
        </is>
      </c>
      <c r="J777" s="5" t="n">
        <v>1</v>
      </c>
      <c r="K777" s="6" t="n">
        <v>889</v>
      </c>
      <c r="L777" s="6" t="n">
        <v>889</v>
      </c>
      <c r="M777" s="6" t="n">
        <v>889</v>
      </c>
      <c r="N777" s="3" t="inlineStr">
        <is>
          <t>Sí</t>
        </is>
      </c>
      <c r="O777" s="6">
        <f>IF(K777="","",IF(N777="Sí",ROUND(K777/1.18,2),K777))</f>
        <v/>
      </c>
      <c r="P777" s="3" t="inlineStr">
        <is>
          <t>2026-09-10</t>
        </is>
      </c>
      <c r="Q777" s="4" t="inlineStr">
        <is>
          <t>Ferremix (Grupo Alterra)</t>
        </is>
      </c>
      <c r="AF777" s="4" t="inlineStr">
        <is>
          <t>potencia_w: 24</t>
        </is>
      </c>
    </row>
    <row r="778">
      <c r="A778" s="3" t="inlineStr">
        <is>
          <t>MAT-10-164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Tubo LED de 30 W</t>
        </is>
      </c>
      <c r="E778" s="4" t="inlineStr"/>
      <c r="F778" s="3" t="inlineStr">
        <is>
          <t>unidad</t>
        </is>
      </c>
      <c r="G778" s="3" t="inlineStr">
        <is>
          <t>Instalaciones</t>
        </is>
      </c>
      <c r="H778" s="3" t="inlineStr">
        <is>
          <t>estandar</t>
        </is>
      </c>
      <c r="I778" s="3" t="inlineStr">
        <is>
          <t>importado</t>
        </is>
      </c>
      <c r="J778" s="5" t="n">
        <v>1</v>
      </c>
      <c r="K778" s="6" t="n">
        <v>3000</v>
      </c>
      <c r="L778" s="6" t="n">
        <v>3000</v>
      </c>
      <c r="M778" s="6" t="n">
        <v>3000</v>
      </c>
      <c r="N778" s="3" t="inlineStr">
        <is>
          <t>Sí</t>
        </is>
      </c>
      <c r="O778" s="6">
        <f>IF(K778="","",IF(N778="Sí",ROUND(K778/1.18,2),K778))</f>
        <v/>
      </c>
      <c r="P778" s="3" t="inlineStr">
        <is>
          <t>2026-09-10</t>
        </is>
      </c>
      <c r="Q778" s="4" t="inlineStr">
        <is>
          <t>Mundo LED</t>
        </is>
      </c>
      <c r="AF778" s="4" t="inlineStr">
        <is>
          <t>potencia_w: 30</t>
        </is>
      </c>
    </row>
    <row r="779">
      <c r="A779" s="3" t="inlineStr">
        <is>
          <t>MAT-10-165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Tubo LED de 36 W</t>
        </is>
      </c>
      <c r="E779" s="4" t="inlineStr"/>
      <c r="F779" s="3" t="inlineStr">
        <is>
          <t>unidad</t>
        </is>
      </c>
      <c r="G779" s="3" t="inlineStr">
        <is>
          <t>Instalaciones</t>
        </is>
      </c>
      <c r="H779" s="3" t="inlineStr">
        <is>
          <t>estandar</t>
        </is>
      </c>
      <c r="I779" s="3" t="inlineStr">
        <is>
          <t>importado</t>
        </is>
      </c>
      <c r="J779" s="5" t="n">
        <v>2</v>
      </c>
      <c r="K779" s="6" t="n">
        <v>875</v>
      </c>
      <c r="L779" s="6" t="n">
        <v>650</v>
      </c>
      <c r="M779" s="6" t="n">
        <v>1200</v>
      </c>
      <c r="N779" s="3" t="inlineStr">
        <is>
          <t>Sí</t>
        </is>
      </c>
      <c r="O779" s="6">
        <f>IF(K779="","",IF(N779="Sí",ROUND(K779/1.18,2),K779))</f>
        <v/>
      </c>
      <c r="P779" s="3" t="inlineStr">
        <is>
          <t>2026-09-10</t>
        </is>
      </c>
      <c r="Q779" s="4" t="inlineStr">
        <is>
          <t>Ferremix (Grupo Alterra) · Mundo LED</t>
        </is>
      </c>
      <c r="AF779" s="4" t="inlineStr">
        <is>
          <t>potencia_w: 36</t>
        </is>
      </c>
    </row>
    <row r="780">
      <c r="A780" s="3" t="inlineStr">
        <is>
          <t>MAT-10-166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Tubo LED de 6 W</t>
        </is>
      </c>
      <c r="E780" s="4" t="inlineStr"/>
      <c r="F780" s="3" t="inlineStr">
        <is>
          <t>unidad</t>
        </is>
      </c>
      <c r="G780" s="3" t="inlineStr">
        <is>
          <t>Instalaciones</t>
        </is>
      </c>
      <c r="H780" s="3" t="inlineStr">
        <is>
          <t>estandar</t>
        </is>
      </c>
      <c r="I780" s="3" t="inlineStr">
        <is>
          <t>importado</t>
        </is>
      </c>
      <c r="J780" s="5" t="n">
        <v>1</v>
      </c>
      <c r="K780" s="6" t="n">
        <v>505</v>
      </c>
      <c r="L780" s="6" t="n">
        <v>505</v>
      </c>
      <c r="M780" s="6" t="n">
        <v>505</v>
      </c>
      <c r="N780" s="3" t="inlineStr">
        <is>
          <t>Sí</t>
        </is>
      </c>
      <c r="O780" s="6">
        <f>IF(K780="","",IF(N780="Sí",ROUND(K780/1.18,2),K780))</f>
        <v/>
      </c>
      <c r="P780" s="3" t="inlineStr">
        <is>
          <t>2026-09-10</t>
        </is>
      </c>
      <c r="Q780" s="4" t="inlineStr">
        <is>
          <t>Ferremix (Grupo Alterra)</t>
        </is>
      </c>
      <c r="AF780" s="4" t="inlineStr">
        <is>
          <t>potencia_w: 6</t>
        </is>
      </c>
    </row>
    <row r="781">
      <c r="A781" s="3" t="inlineStr">
        <is>
          <t>MAT-10-167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Tubo LED de 9 W</t>
        </is>
      </c>
      <c r="E781" s="4" t="inlineStr"/>
      <c r="F781" s="3" t="inlineStr">
        <is>
          <t>unidad</t>
        </is>
      </c>
      <c r="G781" s="3" t="inlineStr">
        <is>
          <t>Instalaciones</t>
        </is>
      </c>
      <c r="H781" s="3" t="inlineStr">
        <is>
          <t>estandar</t>
        </is>
      </c>
      <c r="I781" s="3" t="inlineStr">
        <is>
          <t>importado</t>
        </is>
      </c>
      <c r="J781" s="5" t="n">
        <v>2</v>
      </c>
      <c r="K781" s="6" t="n">
        <v>147.5</v>
      </c>
      <c r="L781" s="6" t="n">
        <v>120</v>
      </c>
      <c r="M781" s="6" t="n">
        <v>150</v>
      </c>
      <c r="N781" s="3" t="inlineStr">
        <is>
          <t>Sí</t>
        </is>
      </c>
      <c r="O781" s="6">
        <f>IF(K781="","",IF(N781="Sí",ROUND(K781/1.18,2),K781))</f>
        <v/>
      </c>
      <c r="P781" s="3" t="inlineStr">
        <is>
          <t>2026-09-10</t>
        </is>
      </c>
      <c r="Q781" s="4" t="inlineStr">
        <is>
          <t>Ferremix (Grupo Alterra) · Mundo LED</t>
        </is>
      </c>
      <c r="AF781" s="4" t="inlineStr">
        <is>
          <t>potencia_w: 9</t>
        </is>
      </c>
    </row>
    <row r="782">
      <c r="A782" s="3" t="inlineStr">
        <is>
          <t>MAT-10-168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Tubo LED de 9.9 W</t>
        </is>
      </c>
      <c r="E782" s="4" t="inlineStr"/>
      <c r="F782" s="3" t="inlineStr">
        <is>
          <t>unidad</t>
        </is>
      </c>
      <c r="G782" s="3" t="inlineStr">
        <is>
          <t>Instalaciones</t>
        </is>
      </c>
      <c r="H782" s="3" t="inlineStr">
        <is>
          <t>estandar</t>
        </is>
      </c>
      <c r="I782" s="3" t="inlineStr">
        <is>
          <t>importado</t>
        </is>
      </c>
      <c r="J782" s="5" t="n">
        <v>1</v>
      </c>
      <c r="K782" s="6" t="n">
        <v>210</v>
      </c>
      <c r="L782" s="6" t="n">
        <v>210</v>
      </c>
      <c r="M782" s="6" t="n">
        <v>210</v>
      </c>
      <c r="N782" s="3" t="inlineStr">
        <is>
          <t>Sí</t>
        </is>
      </c>
      <c r="O782" s="6">
        <f>IF(K782="","",IF(N782="Sí",ROUND(K782/1.18,2),K782))</f>
        <v/>
      </c>
      <c r="P782" s="3" t="inlineStr">
        <is>
          <t>2026-09-09</t>
        </is>
      </c>
      <c r="Q782" s="4" t="inlineStr">
        <is>
          <t>Max Ferretería</t>
        </is>
      </c>
      <c r="AF782" s="4" t="inlineStr">
        <is>
          <t>potencia_w: 9.9</t>
        </is>
      </c>
    </row>
    <row r="783">
      <c r="A783" s="3" t="inlineStr">
        <is>
          <t>MAT-10-169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Fotocelda</t>
        </is>
      </c>
      <c r="E783" s="4" t="inlineStr"/>
      <c r="F783" s="3" t="inlineStr">
        <is>
          <t>unidad</t>
        </is>
      </c>
      <c r="G783" s="3" t="inlineStr">
        <is>
          <t>Instalaciones</t>
        </is>
      </c>
      <c r="H783" s="3" t="inlineStr">
        <is>
          <t>estandar</t>
        </is>
      </c>
      <c r="I783" s="3" t="inlineStr">
        <is>
          <t>importado</t>
        </is>
      </c>
      <c r="J783" s="5" t="n">
        <v>1</v>
      </c>
      <c r="K783" s="6" t="n">
        <v>235</v>
      </c>
      <c r="L783" s="6" t="n">
        <v>150</v>
      </c>
      <c r="M783" s="6" t="n">
        <v>370</v>
      </c>
      <c r="N783" s="3" t="inlineStr">
        <is>
          <t>Sí</t>
        </is>
      </c>
      <c r="O783" s="6">
        <f>IF(K783="","",IF(N783="Sí",ROUND(K783/1.18,2),K783))</f>
        <v/>
      </c>
      <c r="P783" s="3" t="inlineStr">
        <is>
          <t>2026-09-09</t>
        </is>
      </c>
      <c r="Q783" s="4" t="inlineStr">
        <is>
          <t>Max Ferretería</t>
        </is>
      </c>
      <c r="AF783" s="4" t="inlineStr">
        <is>
          <t>tipo: fotocelda</t>
        </is>
      </c>
    </row>
    <row r="784">
      <c r="A784" s="3" t="inlineStr">
        <is>
          <t>MAT-10-170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Portalámparas</t>
        </is>
      </c>
      <c r="E784" s="4" t="inlineStr"/>
      <c r="F784" s="3" t="inlineStr">
        <is>
          <t>unidad</t>
        </is>
      </c>
      <c r="G784" s="3" t="inlineStr">
        <is>
          <t>Instalaciones</t>
        </is>
      </c>
      <c r="H784" s="3" t="inlineStr">
        <is>
          <t>estandar</t>
        </is>
      </c>
      <c r="I784" s="3" t="inlineStr">
        <is>
          <t>importado</t>
        </is>
      </c>
      <c r="J784" s="5" t="n">
        <v>1</v>
      </c>
      <c r="K784" s="6" t="n">
        <v>52</v>
      </c>
      <c r="L784" s="6" t="n">
        <v>35</v>
      </c>
      <c r="M784" s="6" t="n">
        <v>259</v>
      </c>
      <c r="N784" s="3" t="inlineStr">
        <is>
          <t>Sí</t>
        </is>
      </c>
      <c r="O784" s="6">
        <f>IF(K784="","",IF(N784="Sí",ROUND(K784/1.18,2),K784))</f>
        <v/>
      </c>
      <c r="P784" s="3" t="inlineStr">
        <is>
          <t>2026-09-10</t>
        </is>
      </c>
      <c r="Q784" s="4" t="inlineStr">
        <is>
          <t>Ferremix (Grupo Alterra)</t>
        </is>
      </c>
      <c r="AF784" s="4" t="inlineStr">
        <is>
          <t>tipo: plástico</t>
        </is>
      </c>
    </row>
    <row r="785">
      <c r="A785" s="3" t="inlineStr">
        <is>
          <t>MAT-10-171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Portalámparas</t>
        </is>
      </c>
      <c r="E785" s="4" t="inlineStr"/>
      <c r="F785" s="3" t="inlineStr">
        <is>
          <t>unidad</t>
        </is>
      </c>
      <c r="G785" s="3" t="inlineStr">
        <is>
          <t>Instalaciones</t>
        </is>
      </c>
      <c r="H785" s="3" t="inlineStr">
        <is>
          <t>estandar</t>
        </is>
      </c>
      <c r="I785" s="3" t="inlineStr">
        <is>
          <t>importado</t>
        </is>
      </c>
      <c r="J785" s="5" t="n">
        <v>1</v>
      </c>
      <c r="K785" s="6" t="n">
        <v>45</v>
      </c>
      <c r="L785" s="6" t="n">
        <v>29</v>
      </c>
      <c r="M785" s="6" t="n">
        <v>299</v>
      </c>
      <c r="N785" s="3" t="inlineStr">
        <is>
          <t>Sí</t>
        </is>
      </c>
      <c r="O785" s="6">
        <f>IF(K785="","",IF(N785="Sí",ROUND(K785/1.18,2),K785))</f>
        <v/>
      </c>
      <c r="P785" s="3" t="inlineStr">
        <is>
          <t>2026-09-10</t>
        </is>
      </c>
      <c r="Q785" s="4" t="inlineStr">
        <is>
          <t>Ferremix (Grupo Alterra)</t>
        </is>
      </c>
      <c r="AF785" s="4" t="inlineStr">
        <is>
          <t>tipo: porcelana</t>
        </is>
      </c>
    </row>
    <row r="786">
      <c r="A786" s="3" t="inlineStr">
        <is>
          <t>MAT-10-172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Roseta de techo</t>
        </is>
      </c>
      <c r="E786" s="4" t="inlineStr"/>
      <c r="F786" s="3" t="inlineStr">
        <is>
          <t>unidad</t>
        </is>
      </c>
      <c r="G786" s="3" t="inlineStr">
        <is>
          <t>Instalaciones</t>
        </is>
      </c>
      <c r="H786" s="3" t="inlineStr">
        <is>
          <t>estandar</t>
        </is>
      </c>
      <c r="I786" s="3" t="inlineStr">
        <is>
          <t>importado</t>
        </is>
      </c>
      <c r="J786" s="5" t="n">
        <v>1</v>
      </c>
      <c r="K786" s="6" t="n">
        <v>115</v>
      </c>
      <c r="L786" s="6" t="n">
        <v>115</v>
      </c>
      <c r="M786" s="6" t="n">
        <v>125</v>
      </c>
      <c r="N786" s="3" t="inlineStr">
        <is>
          <t>Sí</t>
        </is>
      </c>
      <c r="O786" s="6">
        <f>IF(K786="","",IF(N786="Sí",ROUND(K786/1.18,2),K786))</f>
        <v/>
      </c>
      <c r="P786" s="3" t="inlineStr">
        <is>
          <t>2026-09-09</t>
        </is>
      </c>
      <c r="Q786" s="4" t="inlineStr">
        <is>
          <t>Max Ferretería</t>
        </is>
      </c>
      <c r="AF786" s="4" t="inlineStr">
        <is>
          <t>tipo: roseta</t>
        </is>
      </c>
    </row>
    <row r="787">
      <c r="A787" s="3" t="inlineStr">
        <is>
          <t>MAT-10-174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Ojo de buey fijo de 10 W</t>
        </is>
      </c>
      <c r="E787" s="4" t="inlineStr"/>
      <c r="F787" s="3" t="inlineStr">
        <is>
          <t>unidad</t>
        </is>
      </c>
      <c r="G787" s="3" t="inlineStr">
        <is>
          <t>Instalaciones</t>
        </is>
      </c>
      <c r="H787" s="3" t="inlineStr">
        <is>
          <t>estandar</t>
        </is>
      </c>
      <c r="I787" s="3" t="inlineStr">
        <is>
          <t>importado</t>
        </is>
      </c>
      <c r="J787" s="5" t="n">
        <v>1</v>
      </c>
      <c r="K787" s="6" t="n">
        <v>1000</v>
      </c>
      <c r="L787" s="6" t="n">
        <v>1000</v>
      </c>
      <c r="M787" s="6" t="n">
        <v>1000</v>
      </c>
      <c r="N787" s="3" t="inlineStr">
        <is>
          <t>Sí</t>
        </is>
      </c>
      <c r="O787" s="6">
        <f>IF(K787="","",IF(N787="Sí",ROUND(K787/1.18,2),K787))</f>
        <v/>
      </c>
      <c r="P787" s="3" t="inlineStr">
        <is>
          <t>2026-09-10</t>
        </is>
      </c>
      <c r="Q787" s="4" t="inlineStr">
        <is>
          <t>Mundo LED</t>
        </is>
      </c>
      <c r="AF787" s="4" t="inlineStr">
        <is>
          <t>tipo: fijo · potencia_w: 10</t>
        </is>
      </c>
    </row>
    <row r="788">
      <c r="A788" s="3" t="inlineStr">
        <is>
          <t>MAT-10-175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Ojo de buey fijo de 20 W</t>
        </is>
      </c>
      <c r="E788" s="4" t="inlineStr"/>
      <c r="F788" s="3" t="inlineStr">
        <is>
          <t>unidad</t>
        </is>
      </c>
      <c r="G788" s="3" t="inlineStr">
        <is>
          <t>Instalaciones</t>
        </is>
      </c>
      <c r="H788" s="3" t="inlineStr">
        <is>
          <t>estandar</t>
        </is>
      </c>
      <c r="I788" s="3" t="inlineStr">
        <is>
          <t>importado</t>
        </is>
      </c>
      <c r="J788" s="5" t="n">
        <v>1</v>
      </c>
      <c r="K788" s="6" t="n">
        <v>1800</v>
      </c>
      <c r="L788" s="6" t="n">
        <v>1800</v>
      </c>
      <c r="M788" s="6" t="n">
        <v>1800</v>
      </c>
      <c r="N788" s="3" t="inlineStr">
        <is>
          <t>Sí</t>
        </is>
      </c>
      <c r="O788" s="6">
        <f>IF(K788="","",IF(N788="Sí",ROUND(K788/1.18,2),K788))</f>
        <v/>
      </c>
      <c r="P788" s="3" t="inlineStr">
        <is>
          <t>2026-09-10</t>
        </is>
      </c>
      <c r="Q788" s="4" t="inlineStr">
        <is>
          <t>Mundo LED</t>
        </is>
      </c>
      <c r="AF788" s="4" t="inlineStr">
        <is>
          <t>tipo: fijo · potencia_w: 20</t>
        </is>
      </c>
    </row>
    <row r="789">
      <c r="A789" s="3" t="inlineStr">
        <is>
          <t>MAT-10-176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Cinta LED blanca, rollo de 100 m</t>
        </is>
      </c>
      <c r="E789" s="4" t="inlineStr"/>
      <c r="F789" s="3" t="inlineStr">
        <is>
          <t>rollo</t>
        </is>
      </c>
      <c r="G789" s="3" t="inlineStr">
        <is>
          <t>Instalaciones</t>
        </is>
      </c>
      <c r="H789" s="3" t="inlineStr">
        <is>
          <t>estandar</t>
        </is>
      </c>
      <c r="I789" s="3" t="inlineStr">
        <is>
          <t>importado</t>
        </is>
      </c>
      <c r="J789" s="5" t="n">
        <v>1</v>
      </c>
      <c r="K789" s="6" t="n">
        <v>110</v>
      </c>
      <c r="L789" s="6" t="n">
        <v>110</v>
      </c>
      <c r="M789" s="6" t="n">
        <v>110</v>
      </c>
      <c r="N789" s="3" t="inlineStr">
        <is>
          <t>Sí</t>
        </is>
      </c>
      <c r="O789" s="6">
        <f>IF(K789="","",IF(N789="Sí",ROUND(K789/1.18,2),K789))</f>
        <v/>
      </c>
      <c r="P789" s="3" t="inlineStr">
        <is>
          <t>2026-09-10</t>
        </is>
      </c>
      <c r="Q789" s="4" t="inlineStr">
        <is>
          <t>Mundo LED</t>
        </is>
      </c>
      <c r="AF789" s="4" t="inlineStr">
        <is>
          <t>tipo: blanca · metros: 100</t>
        </is>
      </c>
    </row>
    <row r="790">
      <c r="A790" s="3" t="inlineStr">
        <is>
          <t>MAT-10-177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Cinta LED blanca, rollo de 5 m</t>
        </is>
      </c>
      <c r="E790" s="4" t="inlineStr"/>
      <c r="F790" s="3" t="inlineStr">
        <is>
          <t>rollo</t>
        </is>
      </c>
      <c r="G790" s="3" t="inlineStr">
        <is>
          <t>Instalaciones</t>
        </is>
      </c>
      <c r="H790" s="3" t="inlineStr">
        <is>
          <t>estandar</t>
        </is>
      </c>
      <c r="I790" s="3" t="inlineStr">
        <is>
          <t>importado</t>
        </is>
      </c>
      <c r="J790" s="5" t="n">
        <v>1</v>
      </c>
      <c r="K790" s="6" t="n">
        <v>900</v>
      </c>
      <c r="L790" s="6" t="n">
        <v>900</v>
      </c>
      <c r="M790" s="6" t="n">
        <v>900</v>
      </c>
      <c r="N790" s="3" t="inlineStr">
        <is>
          <t>Sí</t>
        </is>
      </c>
      <c r="O790" s="6">
        <f>IF(K790="","",IF(N790="Sí",ROUND(K790/1.18,2),K790))</f>
        <v/>
      </c>
      <c r="P790" s="3" t="inlineStr">
        <is>
          <t>2026-09-10</t>
        </is>
      </c>
      <c r="Q790" s="4" t="inlineStr">
        <is>
          <t>Mundo LED</t>
        </is>
      </c>
      <c r="AF790" s="4" t="inlineStr">
        <is>
          <t>tipo: blanca · metros: 5</t>
        </is>
      </c>
    </row>
    <row r="791">
      <c r="A791" s="3" t="inlineStr">
        <is>
          <t>MAT-10-178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Cinta LED neón, rollo de 100 m</t>
        </is>
      </c>
      <c r="E791" s="4" t="inlineStr"/>
      <c r="F791" s="3" t="inlineStr">
        <is>
          <t>rollo</t>
        </is>
      </c>
      <c r="G791" s="3" t="inlineStr">
        <is>
          <t>Instalaciones</t>
        </is>
      </c>
      <c r="H791" s="3" t="inlineStr">
        <is>
          <t>estandar</t>
        </is>
      </c>
      <c r="I791" s="3" t="inlineStr">
        <is>
          <t>importado</t>
        </is>
      </c>
      <c r="J791" s="5" t="n">
        <v>1</v>
      </c>
      <c r="K791" s="6" t="n">
        <v>142.5</v>
      </c>
      <c r="L791" s="6" t="n">
        <v>110</v>
      </c>
      <c r="M791" s="6" t="n">
        <v>175</v>
      </c>
      <c r="N791" s="3" t="inlineStr">
        <is>
          <t>Sí</t>
        </is>
      </c>
      <c r="O791" s="6">
        <f>IF(K791="","",IF(N791="Sí",ROUND(K791/1.18,2),K791))</f>
        <v/>
      </c>
      <c r="P791" s="3" t="inlineStr">
        <is>
          <t>2026-09-10</t>
        </is>
      </c>
      <c r="Q791" s="4" t="inlineStr">
        <is>
          <t>Mundo LED</t>
        </is>
      </c>
      <c r="AF791" s="4" t="inlineStr">
        <is>
          <t>tipo: neón · metros: 100</t>
        </is>
      </c>
    </row>
    <row r="792">
      <c r="A792" s="3" t="inlineStr">
        <is>
          <t>MAT-10-179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Cinta LED neón, rollo de 5 m</t>
        </is>
      </c>
      <c r="E792" s="4" t="inlineStr"/>
      <c r="F792" s="3" t="inlineStr">
        <is>
          <t>rollo</t>
        </is>
      </c>
      <c r="G792" s="3" t="inlineStr">
        <is>
          <t>Instalaciones</t>
        </is>
      </c>
      <c r="H792" s="3" t="inlineStr">
        <is>
          <t>estandar</t>
        </is>
      </c>
      <c r="I792" s="3" t="inlineStr">
        <is>
          <t>importado</t>
        </is>
      </c>
      <c r="J792" s="5" t="n">
        <v>1</v>
      </c>
      <c r="K792" s="6" t="n">
        <v>1175.5</v>
      </c>
      <c r="L792" s="6" t="n">
        <v>1151</v>
      </c>
      <c r="M792" s="6" t="n">
        <v>1200</v>
      </c>
      <c r="N792" s="3" t="inlineStr">
        <is>
          <t>Sí</t>
        </is>
      </c>
      <c r="O792" s="6">
        <f>IF(K792="","",IF(N792="Sí",ROUND(K792/1.18,2),K792))</f>
        <v/>
      </c>
      <c r="P792" s="3" t="inlineStr">
        <is>
          <t>2026-09-10</t>
        </is>
      </c>
      <c r="Q792" s="4" t="inlineStr">
        <is>
          <t>Mundo LED</t>
        </is>
      </c>
      <c r="AF792" s="4" t="inlineStr">
        <is>
          <t>tipo: neón · metros: 5</t>
        </is>
      </c>
    </row>
    <row r="793">
      <c r="A793" s="3" t="inlineStr">
        <is>
          <t>MAT-10-180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Perfil de aluminio para cinta LED, esquinero, 2.5 m</t>
        </is>
      </c>
      <c r="E793" s="4" t="inlineStr"/>
      <c r="F793" s="3" t="inlineStr">
        <is>
          <t>tramo</t>
        </is>
      </c>
      <c r="G793" s="3" t="inlineStr">
        <is>
          <t>Instalaciones</t>
        </is>
      </c>
      <c r="H793" s="3" t="inlineStr">
        <is>
          <t>estandar</t>
        </is>
      </c>
      <c r="I793" s="3" t="inlineStr">
        <is>
          <t>importado</t>
        </is>
      </c>
      <c r="J793" s="5" t="n">
        <v>1</v>
      </c>
      <c r="K793" s="6" t="n">
        <v>1500</v>
      </c>
      <c r="L793" s="6" t="n">
        <v>1500</v>
      </c>
      <c r="M793" s="6" t="n">
        <v>1500</v>
      </c>
      <c r="N793" s="3" t="inlineStr">
        <is>
          <t>Sí</t>
        </is>
      </c>
      <c r="O793" s="6">
        <f>IF(K793="","",IF(N793="Sí",ROUND(K793/1.18,2),K793))</f>
        <v/>
      </c>
      <c r="P793" s="3" t="inlineStr">
        <is>
          <t>2026-09-10</t>
        </is>
      </c>
      <c r="Q793" s="4" t="inlineStr">
        <is>
          <t>Mundo LED</t>
        </is>
      </c>
      <c r="S793" s="7" t="inlineStr">
        <is>
          <t>esquinero</t>
        </is>
      </c>
      <c r="AF793" s="4" t="inlineStr">
        <is>
          <t>Largo (m): 2.5</t>
        </is>
      </c>
    </row>
    <row r="794">
      <c r="A794" s="3" t="inlineStr">
        <is>
          <t>MAT-10-182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Fuente de poder para LED de 100 W</t>
        </is>
      </c>
      <c r="E794" s="4" t="inlineStr"/>
      <c r="F794" s="3" t="inlineStr">
        <is>
          <t>unidad</t>
        </is>
      </c>
      <c r="G794" s="3" t="inlineStr">
        <is>
          <t>Instalaciones</t>
        </is>
      </c>
      <c r="H794" s="3" t="inlineStr">
        <is>
          <t>estandar</t>
        </is>
      </c>
      <c r="I794" s="3" t="inlineStr">
        <is>
          <t>importado</t>
        </is>
      </c>
      <c r="J794" s="5" t="n">
        <v>1</v>
      </c>
      <c r="K794" s="6" t="n">
        <v>1365</v>
      </c>
      <c r="L794" s="6" t="n">
        <v>1000</v>
      </c>
      <c r="M794" s="6" t="n">
        <v>1730</v>
      </c>
      <c r="N794" s="3" t="inlineStr">
        <is>
          <t>Sí</t>
        </is>
      </c>
      <c r="O794" s="6">
        <f>IF(K794="","",IF(N794="Sí",ROUND(K794/1.18,2),K794))</f>
        <v/>
      </c>
      <c r="P794" s="3" t="inlineStr">
        <is>
          <t>2026-09-10</t>
        </is>
      </c>
      <c r="Q794" s="4" t="inlineStr">
        <is>
          <t>Mundo LED</t>
        </is>
      </c>
      <c r="AF794" s="4" t="inlineStr">
        <is>
          <t>potencia_w: 100</t>
        </is>
      </c>
    </row>
    <row r="795">
      <c r="A795" s="3" t="inlineStr">
        <is>
          <t>MAT-10-183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Fuente de poder para LED de 150 W</t>
        </is>
      </c>
      <c r="E795" s="4" t="inlineStr"/>
      <c r="F795" s="3" t="inlineStr">
        <is>
          <t>unidad</t>
        </is>
      </c>
      <c r="G795" s="3" t="inlineStr">
        <is>
          <t>Instalaciones</t>
        </is>
      </c>
      <c r="H795" s="3" t="inlineStr">
        <is>
          <t>estandar</t>
        </is>
      </c>
      <c r="I795" s="3" t="inlineStr">
        <is>
          <t>importado</t>
        </is>
      </c>
      <c r="J795" s="5" t="n">
        <v>1</v>
      </c>
      <c r="K795" s="6" t="n">
        <v>1551.5</v>
      </c>
      <c r="L795" s="6" t="n">
        <v>1263</v>
      </c>
      <c r="M795" s="6" t="n">
        <v>1840</v>
      </c>
      <c r="N795" s="3" t="inlineStr">
        <is>
          <t>Sí</t>
        </is>
      </c>
      <c r="O795" s="6">
        <f>IF(K795="","",IF(N795="Sí",ROUND(K795/1.18,2),K795))</f>
        <v/>
      </c>
      <c r="P795" s="3" t="inlineStr">
        <is>
          <t>2026-09-10</t>
        </is>
      </c>
      <c r="Q795" s="4" t="inlineStr">
        <is>
          <t>Mundo LED</t>
        </is>
      </c>
      <c r="AF795" s="4" t="inlineStr">
        <is>
          <t>potencia_w: 150</t>
        </is>
      </c>
    </row>
    <row r="796">
      <c r="A796" s="3" t="inlineStr">
        <is>
          <t>MAT-10-184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Fuente de poder para LED de 200 W</t>
        </is>
      </c>
      <c r="E796" s="4" t="inlineStr"/>
      <c r="F796" s="3" t="inlineStr">
        <is>
          <t>unidad</t>
        </is>
      </c>
      <c r="G796" s="3" t="inlineStr">
        <is>
          <t>Instalaciones</t>
        </is>
      </c>
      <c r="H796" s="3" t="inlineStr">
        <is>
          <t>estandar</t>
        </is>
      </c>
      <c r="I796" s="3" t="inlineStr">
        <is>
          <t>importado</t>
        </is>
      </c>
      <c r="J796" s="5" t="n">
        <v>1</v>
      </c>
      <c r="K796" s="6" t="n">
        <v>2006</v>
      </c>
      <c r="L796" s="6" t="n">
        <v>1723</v>
      </c>
      <c r="M796" s="6" t="n">
        <v>2600</v>
      </c>
      <c r="N796" s="3" t="inlineStr">
        <is>
          <t>Sí</t>
        </is>
      </c>
      <c r="O796" s="6">
        <f>IF(K796="","",IF(N796="Sí",ROUND(K796/1.18,2),K796))</f>
        <v/>
      </c>
      <c r="P796" s="3" t="inlineStr">
        <is>
          <t>2026-09-10</t>
        </is>
      </c>
      <c r="Q796" s="4" t="inlineStr">
        <is>
          <t>Mundo LED</t>
        </is>
      </c>
      <c r="AF796" s="4" t="inlineStr">
        <is>
          <t>potencia_w: 200</t>
        </is>
      </c>
    </row>
    <row r="797">
      <c r="A797" s="3" t="inlineStr">
        <is>
          <t>MAT-10-185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Fuente de poder para LED de 250 W</t>
        </is>
      </c>
      <c r="E797" s="4" t="inlineStr"/>
      <c r="F797" s="3" t="inlineStr">
        <is>
          <t>unidad</t>
        </is>
      </c>
      <c r="G797" s="3" t="inlineStr">
        <is>
          <t>Instalaciones</t>
        </is>
      </c>
      <c r="H797" s="3" t="inlineStr">
        <is>
          <t>estandar</t>
        </is>
      </c>
      <c r="I797" s="3" t="inlineStr">
        <is>
          <t>importado</t>
        </is>
      </c>
      <c r="J797" s="5" t="n">
        <v>1</v>
      </c>
      <c r="K797" s="6" t="n">
        <v>2006</v>
      </c>
      <c r="L797" s="6" t="n">
        <v>2006</v>
      </c>
      <c r="M797" s="6" t="n">
        <v>2006</v>
      </c>
      <c r="N797" s="3" t="inlineStr">
        <is>
          <t>Sí</t>
        </is>
      </c>
      <c r="O797" s="6">
        <f>IF(K797="","",IF(N797="Sí",ROUND(K797/1.18,2),K797))</f>
        <v/>
      </c>
      <c r="P797" s="3" t="inlineStr">
        <is>
          <t>2026-09-10</t>
        </is>
      </c>
      <c r="Q797" s="4" t="inlineStr">
        <is>
          <t>Mundo LED</t>
        </is>
      </c>
      <c r="AF797" s="4" t="inlineStr">
        <is>
          <t>potencia_w: 250</t>
        </is>
      </c>
    </row>
    <row r="798">
      <c r="A798" s="3" t="inlineStr">
        <is>
          <t>MAT-10-186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Fuente de poder para LED de 300 W</t>
        </is>
      </c>
      <c r="E798" s="4" t="inlineStr"/>
      <c r="F798" s="3" t="inlineStr">
        <is>
          <t>unidad</t>
        </is>
      </c>
      <c r="G798" s="3" t="inlineStr">
        <is>
          <t>Instalaciones</t>
        </is>
      </c>
      <c r="H798" s="3" t="inlineStr">
        <is>
          <t>estandar</t>
        </is>
      </c>
      <c r="I798" s="3" t="inlineStr">
        <is>
          <t>importado</t>
        </is>
      </c>
      <c r="J798" s="5" t="n">
        <v>1</v>
      </c>
      <c r="K798" s="6" t="n">
        <v>2071</v>
      </c>
      <c r="L798" s="6" t="n">
        <v>2071</v>
      </c>
      <c r="M798" s="6" t="n">
        <v>2071</v>
      </c>
      <c r="N798" s="3" t="inlineStr">
        <is>
          <t>Sí</t>
        </is>
      </c>
      <c r="O798" s="6">
        <f>IF(K798="","",IF(N798="Sí",ROUND(K798/1.18,2),K798))</f>
        <v/>
      </c>
      <c r="P798" s="3" t="inlineStr">
        <is>
          <t>2026-09-10</t>
        </is>
      </c>
      <c r="Q798" s="4" t="inlineStr">
        <is>
          <t>Mundo LED</t>
        </is>
      </c>
      <c r="AF798" s="4" t="inlineStr">
        <is>
          <t>potencia_w: 300</t>
        </is>
      </c>
    </row>
    <row r="799">
      <c r="A799" s="3" t="inlineStr">
        <is>
          <t>MAT-10-187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Fuente de poder para LED de 400 W</t>
        </is>
      </c>
      <c r="E799" s="4" t="inlineStr"/>
      <c r="F799" s="3" t="inlineStr">
        <is>
          <t>unidad</t>
        </is>
      </c>
      <c r="G799" s="3" t="inlineStr">
        <is>
          <t>Instalaciones</t>
        </is>
      </c>
      <c r="H799" s="3" t="inlineStr">
        <is>
          <t>estandar</t>
        </is>
      </c>
      <c r="I799" s="3" t="inlineStr">
        <is>
          <t>importado</t>
        </is>
      </c>
      <c r="J799" s="5" t="n">
        <v>1</v>
      </c>
      <c r="K799" s="6" t="n">
        <v>2431</v>
      </c>
      <c r="L799" s="6" t="n">
        <v>2431</v>
      </c>
      <c r="M799" s="6" t="n">
        <v>2431</v>
      </c>
      <c r="N799" s="3" t="inlineStr">
        <is>
          <t>Sí</t>
        </is>
      </c>
      <c r="O799" s="6">
        <f>IF(K799="","",IF(N799="Sí",ROUND(K799/1.18,2),K799))</f>
        <v/>
      </c>
      <c r="P799" s="3" t="inlineStr">
        <is>
          <t>2026-09-10</t>
        </is>
      </c>
      <c r="Q799" s="4" t="inlineStr">
        <is>
          <t>Mundo LED</t>
        </is>
      </c>
      <c r="AF799" s="4" t="inlineStr">
        <is>
          <t>potencia_w: 400</t>
        </is>
      </c>
    </row>
    <row r="800">
      <c r="A800" s="3" t="inlineStr">
        <is>
          <t>MAT-10-188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Fuente de poder para LED de 60 W</t>
        </is>
      </c>
      <c r="E800" s="4" t="inlineStr"/>
      <c r="F800" s="3" t="inlineStr">
        <is>
          <t>unidad</t>
        </is>
      </c>
      <c r="G800" s="3" t="inlineStr">
        <is>
          <t>Instalaciones</t>
        </is>
      </c>
      <c r="H800" s="3" t="inlineStr">
        <is>
          <t>estandar</t>
        </is>
      </c>
      <c r="I800" s="3" t="inlineStr">
        <is>
          <t>importado</t>
        </is>
      </c>
      <c r="J800" s="5" t="n">
        <v>1</v>
      </c>
      <c r="K800" s="6" t="n">
        <v>770</v>
      </c>
      <c r="L800" s="6" t="n">
        <v>770</v>
      </c>
      <c r="M800" s="6" t="n">
        <v>770</v>
      </c>
      <c r="N800" s="3" t="inlineStr">
        <is>
          <t>Sí</t>
        </is>
      </c>
      <c r="O800" s="6">
        <f>IF(K800="","",IF(N800="Sí",ROUND(K800/1.18,2),K800))</f>
        <v/>
      </c>
      <c r="P800" s="3" t="inlineStr">
        <is>
          <t>2026-09-10</t>
        </is>
      </c>
      <c r="Q800" s="4" t="inlineStr">
        <is>
          <t>Mundo LED</t>
        </is>
      </c>
      <c r="AF800" s="4" t="inlineStr">
        <is>
          <t>potencia_w: 60</t>
        </is>
      </c>
    </row>
    <row r="801">
      <c r="A801" s="3" t="inlineStr">
        <is>
          <t>MAT-10-189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Campana LED industrial de 100 W</t>
        </is>
      </c>
      <c r="E801" s="4" t="inlineStr">
        <is>
          <t>Para nave, taller o techo alto</t>
        </is>
      </c>
      <c r="F801" s="3" t="inlineStr">
        <is>
          <t>unidad</t>
        </is>
      </c>
      <c r="G801" s="3" t="inlineStr">
        <is>
          <t>Instalaciones</t>
        </is>
      </c>
      <c r="H801" s="3" t="inlineStr">
        <is>
          <t>estandar</t>
        </is>
      </c>
      <c r="I801" s="3" t="inlineStr">
        <is>
          <t>importado</t>
        </is>
      </c>
      <c r="J801" s="5" t="n">
        <v>1</v>
      </c>
      <c r="K801" s="6" t="n">
        <v>4162.5</v>
      </c>
      <c r="L801" s="6" t="n">
        <v>1500</v>
      </c>
      <c r="M801" s="6" t="n">
        <v>14500</v>
      </c>
      <c r="N801" s="3" t="inlineStr">
        <is>
          <t>Sí</t>
        </is>
      </c>
      <c r="O801" s="6">
        <f>IF(K801="","",IF(N801="Sí",ROUND(K801/1.18,2),K801))</f>
        <v/>
      </c>
      <c r="P801" s="3" t="inlineStr">
        <is>
          <t>2026-09-10</t>
        </is>
      </c>
      <c r="Q801" s="4" t="inlineStr">
        <is>
          <t>Mundo LED</t>
        </is>
      </c>
      <c r="AF801" s="4" t="inlineStr">
        <is>
          <t>potencia_w: 100</t>
        </is>
      </c>
    </row>
    <row r="802">
      <c r="A802" s="3" t="inlineStr">
        <is>
          <t>MAT-10-190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Campana LED industrial de 150 W</t>
        </is>
      </c>
      <c r="E802" s="4" t="inlineStr">
        <is>
          <t>Para nave, taller o techo alto</t>
        </is>
      </c>
      <c r="F802" s="3" t="inlineStr">
        <is>
          <t>unidad</t>
        </is>
      </c>
      <c r="G802" s="3" t="inlineStr">
        <is>
          <t>Instalaciones</t>
        </is>
      </c>
      <c r="H802" s="3" t="inlineStr">
        <is>
          <t>estandar</t>
        </is>
      </c>
      <c r="I802" s="3" t="inlineStr">
        <is>
          <t>importado</t>
        </is>
      </c>
      <c r="J802" s="5" t="n">
        <v>1</v>
      </c>
      <c r="K802" s="6" t="n">
        <v>6365</v>
      </c>
      <c r="L802" s="6" t="n">
        <v>5830</v>
      </c>
      <c r="M802" s="6" t="n">
        <v>6900</v>
      </c>
      <c r="N802" s="3" t="inlineStr">
        <is>
          <t>Sí</t>
        </is>
      </c>
      <c r="O802" s="6">
        <f>IF(K802="","",IF(N802="Sí",ROUND(K802/1.18,2),K802))</f>
        <v/>
      </c>
      <c r="P802" s="3" t="inlineStr">
        <is>
          <t>2026-09-10</t>
        </is>
      </c>
      <c r="Q802" s="4" t="inlineStr">
        <is>
          <t>Mundo LED</t>
        </is>
      </c>
      <c r="AF802" s="4" t="inlineStr">
        <is>
          <t>potencia_w: 150</t>
        </is>
      </c>
    </row>
    <row r="803">
      <c r="A803" s="3" t="inlineStr">
        <is>
          <t>MAT-10-191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Campana LED industrial de 200 W</t>
        </is>
      </c>
      <c r="E803" s="4" t="inlineStr">
        <is>
          <t>Para nave, taller o techo alto</t>
        </is>
      </c>
      <c r="F803" s="3" t="inlineStr">
        <is>
          <t>unidad</t>
        </is>
      </c>
      <c r="G803" s="3" t="inlineStr">
        <is>
          <t>Instalaciones</t>
        </is>
      </c>
      <c r="H803" s="3" t="inlineStr">
        <is>
          <t>estandar</t>
        </is>
      </c>
      <c r="I803" s="3" t="inlineStr">
        <is>
          <t>importado</t>
        </is>
      </c>
      <c r="J803" s="5" t="n">
        <v>1</v>
      </c>
      <c r="K803" s="6" t="n">
        <v>2500</v>
      </c>
      <c r="L803" s="6" t="n">
        <v>2500</v>
      </c>
      <c r="M803" s="6" t="n">
        <v>2500</v>
      </c>
      <c r="N803" s="3" t="inlineStr">
        <is>
          <t>Sí</t>
        </is>
      </c>
      <c r="O803" s="6">
        <f>IF(K803="","",IF(N803="Sí",ROUND(K803/1.18,2),K803))</f>
        <v/>
      </c>
      <c r="P803" s="3" t="inlineStr">
        <is>
          <t>2026-09-10</t>
        </is>
      </c>
      <c r="Q803" s="4" t="inlineStr">
        <is>
          <t>Mundo LED</t>
        </is>
      </c>
      <c r="AF803" s="4" t="inlineStr">
        <is>
          <t>potencia_w: 200</t>
        </is>
      </c>
    </row>
    <row r="804">
      <c r="A804" s="3" t="inlineStr">
        <is>
          <t>MAT-10-192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Campana LED industrial de 50 W</t>
        </is>
      </c>
      <c r="E804" s="4" t="inlineStr">
        <is>
          <t>Para nave, taller o techo alto</t>
        </is>
      </c>
      <c r="F804" s="3" t="inlineStr">
        <is>
          <t>unidad</t>
        </is>
      </c>
      <c r="G804" s="3" t="inlineStr">
        <is>
          <t>Instalaciones</t>
        </is>
      </c>
      <c r="H804" s="3" t="inlineStr">
        <is>
          <t>estandar</t>
        </is>
      </c>
      <c r="I804" s="3" t="inlineStr">
        <is>
          <t>importado</t>
        </is>
      </c>
      <c r="J804" s="5" t="n">
        <v>1</v>
      </c>
      <c r="K804" s="6" t="n">
        <v>4045</v>
      </c>
      <c r="L804" s="6" t="n">
        <v>4000</v>
      </c>
      <c r="M804" s="6" t="n">
        <v>4090</v>
      </c>
      <c r="N804" s="3" t="inlineStr">
        <is>
          <t>Sí</t>
        </is>
      </c>
      <c r="O804" s="6">
        <f>IF(K804="","",IF(N804="Sí",ROUND(K804/1.18,2),K804))</f>
        <v/>
      </c>
      <c r="P804" s="3" t="inlineStr">
        <is>
          <t>2026-09-10</t>
        </is>
      </c>
      <c r="Q804" s="4" t="inlineStr">
        <is>
          <t>Mundo LED</t>
        </is>
      </c>
      <c r="AF804" s="4" t="inlineStr">
        <is>
          <t>potencia_w: 50</t>
        </is>
      </c>
    </row>
    <row r="805">
      <c r="A805" s="3" t="inlineStr">
        <is>
          <t>MAT-10-193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Campana LED industrial de 60 W</t>
        </is>
      </c>
      <c r="E805" s="4" t="inlineStr">
        <is>
          <t>Para nave, taller o techo alto</t>
        </is>
      </c>
      <c r="F805" s="3" t="inlineStr">
        <is>
          <t>unidad</t>
        </is>
      </c>
      <c r="G805" s="3" t="inlineStr">
        <is>
          <t>Instalaciones</t>
        </is>
      </c>
      <c r="H805" s="3" t="inlineStr">
        <is>
          <t>estandar</t>
        </is>
      </c>
      <c r="I805" s="3" t="inlineStr">
        <is>
          <t>importado</t>
        </is>
      </c>
      <c r="J805" s="5" t="n">
        <v>1</v>
      </c>
      <c r="K805" s="6" t="n">
        <v>4500</v>
      </c>
      <c r="L805" s="6" t="n">
        <v>4500</v>
      </c>
      <c r="M805" s="6" t="n">
        <v>4500</v>
      </c>
      <c r="N805" s="3" t="inlineStr">
        <is>
          <t>Sí</t>
        </is>
      </c>
      <c r="O805" s="6">
        <f>IF(K805="","",IF(N805="Sí",ROUND(K805/1.18,2),K805))</f>
        <v/>
      </c>
      <c r="P805" s="3" t="inlineStr">
        <is>
          <t>2026-09-10</t>
        </is>
      </c>
      <c r="Q805" s="4" t="inlineStr">
        <is>
          <t>Mundo LED</t>
        </is>
      </c>
      <c r="AF805" s="4" t="inlineStr">
        <is>
          <t>potencia_w: 60</t>
        </is>
      </c>
    </row>
    <row r="806">
      <c r="A806" s="3" t="inlineStr">
        <is>
          <t>MAT-10-194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Interruptor con tomacorriente</t>
        </is>
      </c>
      <c r="E806" s="4" t="inlineStr"/>
      <c r="F806" s="3" t="inlineStr">
        <is>
          <t>unidad</t>
        </is>
      </c>
      <c r="G806" s="3" t="inlineStr">
        <is>
          <t>Instalaciones</t>
        </is>
      </c>
      <c r="H806" s="3" t="inlineStr">
        <is>
          <t>estandar</t>
        </is>
      </c>
      <c r="I806" s="3" t="inlineStr">
        <is>
          <t>importado</t>
        </is>
      </c>
      <c r="J806" s="5" t="n">
        <v>1</v>
      </c>
      <c r="K806" s="6" t="n">
        <v>500</v>
      </c>
      <c r="L806" s="6" t="n">
        <v>465</v>
      </c>
      <c r="M806" s="6" t="n">
        <v>535</v>
      </c>
      <c r="N806" s="3" t="inlineStr">
        <is>
          <t>Sí</t>
        </is>
      </c>
      <c r="O806" s="6">
        <f>IF(K806="","",IF(N806="Sí",ROUND(K806/1.18,2),K806))</f>
        <v/>
      </c>
      <c r="P806" s="3" t="inlineStr">
        <is>
          <t>2026-09-09</t>
        </is>
      </c>
      <c r="Q806" s="4" t="inlineStr">
        <is>
          <t>Max Ferretería</t>
        </is>
      </c>
      <c r="AF806" s="4" t="inlineStr">
        <is>
          <t>tipo: con tomacorriente</t>
        </is>
      </c>
    </row>
    <row r="807">
      <c r="A807" s="3" t="inlineStr">
        <is>
          <t>MAT-10-195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Interruptor conmutador</t>
        </is>
      </c>
      <c r="E807" s="4" t="inlineStr"/>
      <c r="F807" s="3" t="inlineStr">
        <is>
          <t>unidad</t>
        </is>
      </c>
      <c r="G807" s="3" t="inlineStr">
        <is>
          <t>Instalaciones</t>
        </is>
      </c>
      <c r="H807" s="3" t="inlineStr">
        <is>
          <t>estandar</t>
        </is>
      </c>
      <c r="I807" s="3" t="inlineStr">
        <is>
          <t>importado</t>
        </is>
      </c>
      <c r="J807" s="5" t="n">
        <v>2</v>
      </c>
      <c r="K807" s="6" t="n">
        <v>191.22</v>
      </c>
      <c r="L807" s="6" t="n">
        <v>14.74</v>
      </c>
      <c r="M807" s="6" t="n">
        <v>555</v>
      </c>
      <c r="N807" s="3" t="inlineStr">
        <is>
          <t>Sí</t>
        </is>
      </c>
      <c r="O807" s="6">
        <f>IF(K807="","",IF(N807="Sí",ROUND(K807/1.18,2),K807))</f>
        <v/>
      </c>
      <c r="P807" s="3" t="inlineStr">
        <is>
          <t>2026-09-10</t>
        </is>
      </c>
      <c r="Q807" s="4" t="inlineStr">
        <is>
          <t>Bellón · Ferremix (Grupo Alterra)</t>
        </is>
      </c>
      <c r="AF807" s="4" t="inlineStr">
        <is>
          <t>tipo: conmutador</t>
        </is>
      </c>
    </row>
    <row r="808">
      <c r="A808" s="3" t="inlineStr">
        <is>
          <t>MAT-10-196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Interruptor de 3 vías</t>
        </is>
      </c>
      <c r="E808" s="4" t="inlineStr"/>
      <c r="F808" s="3" t="inlineStr">
        <is>
          <t>unidad</t>
        </is>
      </c>
      <c r="G808" s="3" t="inlineStr">
        <is>
          <t>Instalaciones</t>
        </is>
      </c>
      <c r="H808" s="3" t="inlineStr">
        <is>
          <t>estandar</t>
        </is>
      </c>
      <c r="I808" s="3" t="inlineStr">
        <is>
          <t>importado</t>
        </is>
      </c>
      <c r="J808" s="5" t="n">
        <v>1</v>
      </c>
      <c r="K808" s="6" t="n">
        <v>542.5</v>
      </c>
      <c r="L808" s="6" t="n">
        <v>395</v>
      </c>
      <c r="M808" s="6" t="n">
        <v>685</v>
      </c>
      <c r="N808" s="3" t="inlineStr">
        <is>
          <t>Sí</t>
        </is>
      </c>
      <c r="O808" s="6">
        <f>IF(K808="","",IF(N808="Sí",ROUND(K808/1.18,2),K808))</f>
        <v/>
      </c>
      <c r="P808" s="3" t="inlineStr">
        <is>
          <t>2026-09-09</t>
        </is>
      </c>
      <c r="Q808" s="4" t="inlineStr">
        <is>
          <t>Max Ferretería</t>
        </is>
      </c>
      <c r="AF808" s="4" t="inlineStr">
        <is>
          <t>tipo: de 3 vías</t>
        </is>
      </c>
    </row>
    <row r="809">
      <c r="A809" s="3" t="inlineStr">
        <is>
          <t>MAT-10-197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Interruptor de 4 vías</t>
        </is>
      </c>
      <c r="E809" s="4" t="inlineStr"/>
      <c r="F809" s="3" t="inlineStr">
        <is>
          <t>unidad</t>
        </is>
      </c>
      <c r="G809" s="3" t="inlineStr">
        <is>
          <t>Instalaciones</t>
        </is>
      </c>
      <c r="H809" s="3" t="inlineStr">
        <is>
          <t>estandar</t>
        </is>
      </c>
      <c r="I809" s="3" t="inlineStr">
        <is>
          <t>importado</t>
        </is>
      </c>
      <c r="J809" s="5" t="n">
        <v>1</v>
      </c>
      <c r="K809" s="6" t="n">
        <v>467.5</v>
      </c>
      <c r="L809" s="6" t="n">
        <v>390</v>
      </c>
      <c r="M809" s="6" t="n">
        <v>544.99</v>
      </c>
      <c r="N809" s="3" t="inlineStr">
        <is>
          <t>Sí</t>
        </is>
      </c>
      <c r="O809" s="6">
        <f>IF(K809="","",IF(N809="Sí",ROUND(K809/1.18,2),K809))</f>
        <v/>
      </c>
      <c r="P809" s="3" t="inlineStr">
        <is>
          <t>2026-09-09</t>
        </is>
      </c>
      <c r="Q809" s="4" t="inlineStr">
        <is>
          <t>Max Ferretería</t>
        </is>
      </c>
      <c r="AF809" s="4" t="inlineStr">
        <is>
          <t>tipo: de 4 vías</t>
        </is>
      </c>
    </row>
    <row r="810">
      <c r="A810" s="3" t="inlineStr">
        <is>
          <t>MAT-10-198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Interruptor dimmer</t>
        </is>
      </c>
      <c r="E810" s="4" t="inlineStr"/>
      <c r="F810" s="3" t="inlineStr">
        <is>
          <t>unidad</t>
        </is>
      </c>
      <c r="G810" s="3" t="inlineStr">
        <is>
          <t>Instalaciones</t>
        </is>
      </c>
      <c r="H810" s="3" t="inlineStr">
        <is>
          <t>estandar</t>
        </is>
      </c>
      <c r="I810" s="3" t="inlineStr">
        <is>
          <t>importado</t>
        </is>
      </c>
      <c r="J810" s="5" t="n">
        <v>1</v>
      </c>
      <c r="K810" s="6" t="n">
        <v>1112.5</v>
      </c>
      <c r="L810" s="6" t="n">
        <v>960</v>
      </c>
      <c r="M810" s="6" t="n">
        <v>1265</v>
      </c>
      <c r="N810" s="3" t="inlineStr">
        <is>
          <t>Sí</t>
        </is>
      </c>
      <c r="O810" s="6">
        <f>IF(K810="","",IF(N810="Sí",ROUND(K810/1.18,2),K810))</f>
        <v/>
      </c>
      <c r="P810" s="3" t="inlineStr">
        <is>
          <t>2026-09-09</t>
        </is>
      </c>
      <c r="Q810" s="4" t="inlineStr">
        <is>
          <t>Max Ferretería</t>
        </is>
      </c>
      <c r="AF810" s="4" t="inlineStr">
        <is>
          <t>tipo: dimmer</t>
        </is>
      </c>
    </row>
    <row r="811">
      <c r="A811" s="3" t="inlineStr">
        <is>
          <t>MAT-10-199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Interruptor doble</t>
        </is>
      </c>
      <c r="E811" s="4" t="inlineStr"/>
      <c r="F811" s="3" t="inlineStr">
        <is>
          <t>unidad</t>
        </is>
      </c>
      <c r="G811" s="3" t="inlineStr">
        <is>
          <t>Instalaciones</t>
        </is>
      </c>
      <c r="H811" s="3" t="inlineStr">
        <is>
          <t>estandar</t>
        </is>
      </c>
      <c r="I811" s="3" t="inlineStr">
        <is>
          <t>importado</t>
        </is>
      </c>
      <c r="J811" s="5" t="n">
        <v>3</v>
      </c>
      <c r="K811" s="6" t="n">
        <v>225</v>
      </c>
      <c r="L811" s="6" t="n">
        <v>45</v>
      </c>
      <c r="M811" s="6" t="n">
        <v>4515</v>
      </c>
      <c r="N811" s="3" t="inlineStr">
        <is>
          <t>Sí</t>
        </is>
      </c>
      <c r="O811" s="6">
        <f>IF(K811="","",IF(N811="Sí",ROUND(K811/1.18,2),K811))</f>
        <v/>
      </c>
      <c r="P811" s="3" t="inlineStr">
        <is>
          <t>2026-09-10</t>
        </is>
      </c>
      <c r="Q811" s="4" t="inlineStr">
        <is>
          <t>Bellón · Ferremix (Grupo Alterra) · Max Ferretería</t>
        </is>
      </c>
      <c r="AF811" s="4" t="inlineStr">
        <is>
          <t>tipo: doble</t>
        </is>
      </c>
    </row>
    <row r="812">
      <c r="A812" s="3" t="inlineStr">
        <is>
          <t>MAT-10-200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Interruptor sencillo</t>
        </is>
      </c>
      <c r="E812" s="4" t="inlineStr"/>
      <c r="F812" s="3" t="inlineStr">
        <is>
          <t>unidad</t>
        </is>
      </c>
      <c r="G812" s="3" t="inlineStr">
        <is>
          <t>Instalaciones</t>
        </is>
      </c>
      <c r="H812" s="3" t="inlineStr">
        <is>
          <t>estandar</t>
        </is>
      </c>
      <c r="I812" s="3" t="inlineStr">
        <is>
          <t>importado</t>
        </is>
      </c>
      <c r="J812" s="5" t="n">
        <v>2</v>
      </c>
      <c r="K812" s="6" t="n">
        <v>99</v>
      </c>
      <c r="L812" s="6" t="n">
        <v>30</v>
      </c>
      <c r="M812" s="6" t="n">
        <v>492</v>
      </c>
      <c r="N812" s="3" t="inlineStr">
        <is>
          <t>Sí</t>
        </is>
      </c>
      <c r="O812" s="6">
        <f>IF(K812="","",IF(N812="Sí",ROUND(K812/1.18,2),K812))</f>
        <v/>
      </c>
      <c r="P812" s="3" t="inlineStr">
        <is>
          <t>2026-09-10</t>
        </is>
      </c>
      <c r="Q812" s="4" t="inlineStr">
        <is>
          <t>Bellón · Ferremix (Grupo Alterra)</t>
        </is>
      </c>
      <c r="AF812" s="4" t="inlineStr">
        <is>
          <t>tipo: sencillo</t>
        </is>
      </c>
    </row>
    <row r="813">
      <c r="A813" s="3" t="inlineStr">
        <is>
          <t>MAT-10-201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Interruptor triple</t>
        </is>
      </c>
      <c r="E813" s="4" t="inlineStr"/>
      <c r="F813" s="3" t="inlineStr">
        <is>
          <t>unidad</t>
        </is>
      </c>
      <c r="G813" s="3" t="inlineStr">
        <is>
          <t>Instalaciones</t>
        </is>
      </c>
      <c r="H813" s="3" t="inlineStr">
        <is>
          <t>estandar</t>
        </is>
      </c>
      <c r="I813" s="3" t="inlineStr">
        <is>
          <t>importado</t>
        </is>
      </c>
      <c r="J813" s="5" t="n">
        <v>3</v>
      </c>
      <c r="K813" s="6" t="n">
        <v>235</v>
      </c>
      <c r="L813" s="6" t="n">
        <v>60</v>
      </c>
      <c r="M813" s="6" t="n">
        <v>4440</v>
      </c>
      <c r="N813" s="3" t="inlineStr">
        <is>
          <t>Sí</t>
        </is>
      </c>
      <c r="O813" s="6">
        <f>IF(K813="","",IF(N813="Sí",ROUND(K813/1.18,2),K813))</f>
        <v/>
      </c>
      <c r="P813" s="3" t="inlineStr">
        <is>
          <t>2026-09-10</t>
        </is>
      </c>
      <c r="Q813" s="4" t="inlineStr">
        <is>
          <t>Bellón · Ferremix (Grupo Alterra) · Max Ferretería</t>
        </is>
      </c>
      <c r="AF813" s="4" t="inlineStr">
        <is>
          <t>tipo: triple</t>
        </is>
      </c>
    </row>
    <row r="814">
      <c r="A814" s="3" t="inlineStr">
        <is>
          <t>MAT-10-202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Tomacorriente con USB</t>
        </is>
      </c>
      <c r="E814" s="4" t="inlineStr"/>
      <c r="F814" s="3" t="inlineStr">
        <is>
          <t>unidad</t>
        </is>
      </c>
      <c r="G814" s="3" t="inlineStr">
        <is>
          <t>Instalaciones</t>
        </is>
      </c>
      <c r="H814" s="3" t="inlineStr">
        <is>
          <t>estandar</t>
        </is>
      </c>
      <c r="I814" s="3" t="inlineStr">
        <is>
          <t>importado</t>
        </is>
      </c>
      <c r="J814" s="5" t="n">
        <v>2</v>
      </c>
      <c r="K814" s="6" t="n">
        <v>550</v>
      </c>
      <c r="L814" s="6" t="n">
        <v>460</v>
      </c>
      <c r="M814" s="6" t="n">
        <v>1795</v>
      </c>
      <c r="N814" s="3" t="inlineStr">
        <is>
          <t>Sí</t>
        </is>
      </c>
      <c r="O814" s="6">
        <f>IF(K814="","",IF(N814="Sí",ROUND(K814/1.18,2),K814))</f>
        <v/>
      </c>
      <c r="P814" s="3" t="inlineStr">
        <is>
          <t>2026-09-10</t>
        </is>
      </c>
      <c r="Q814" s="4" t="inlineStr">
        <is>
          <t>Ferremix (Grupo Alterra) · Max Ferretería</t>
        </is>
      </c>
      <c r="AF814" s="4" t="inlineStr">
        <is>
          <t>tipo: con USB</t>
        </is>
      </c>
    </row>
    <row r="815">
      <c r="A815" s="3" t="inlineStr">
        <is>
          <t>MAT-10-203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Tomacorriente doble</t>
        </is>
      </c>
      <c r="E815" s="4" t="inlineStr"/>
      <c r="F815" s="3" t="inlineStr">
        <is>
          <t>unidad</t>
        </is>
      </c>
      <c r="G815" s="3" t="inlineStr">
        <is>
          <t>Instalaciones</t>
        </is>
      </c>
      <c r="H815" s="3" t="inlineStr">
        <is>
          <t>estandar</t>
        </is>
      </c>
      <c r="I815" s="3" t="inlineStr">
        <is>
          <t>importado</t>
        </is>
      </c>
      <c r="J815" s="5" t="n">
        <v>2</v>
      </c>
      <c r="K815" s="6" t="n">
        <v>197</v>
      </c>
      <c r="L815" s="6" t="n">
        <v>34</v>
      </c>
      <c r="M815" s="6" t="n">
        <v>1516</v>
      </c>
      <c r="N815" s="3" t="inlineStr">
        <is>
          <t>Sí</t>
        </is>
      </c>
      <c r="O815" s="6">
        <f>IF(K815="","",IF(N815="Sí",ROUND(K815/1.18,2),K815))</f>
        <v/>
      </c>
      <c r="P815" s="3" t="inlineStr">
        <is>
          <t>2026-09-10</t>
        </is>
      </c>
      <c r="Q815" s="4" t="inlineStr">
        <is>
          <t>Bellón · Ferremix (Grupo Alterra)</t>
        </is>
      </c>
      <c r="AF815" s="4" t="inlineStr">
        <is>
          <t>tipo: doble</t>
        </is>
      </c>
    </row>
    <row r="816">
      <c r="A816" s="3" t="inlineStr">
        <is>
          <t>MAT-10-204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Tomacorriente gfci</t>
        </is>
      </c>
      <c r="E816" s="4" t="inlineStr"/>
      <c r="F816" s="3" t="inlineStr">
        <is>
          <t>unidad</t>
        </is>
      </c>
      <c r="G816" s="3" t="inlineStr">
        <is>
          <t>Instalaciones</t>
        </is>
      </c>
      <c r="H816" s="3" t="inlineStr">
        <is>
          <t>estandar</t>
        </is>
      </c>
      <c r="I816" s="3" t="inlineStr">
        <is>
          <t>importado</t>
        </is>
      </c>
      <c r="J816" s="5" t="n">
        <v>1</v>
      </c>
      <c r="K816" s="6" t="n">
        <v>2121.5</v>
      </c>
      <c r="L816" s="6" t="n">
        <v>1467.04</v>
      </c>
      <c r="M816" s="6" t="n">
        <v>3598</v>
      </c>
      <c r="N816" s="3" t="inlineStr">
        <is>
          <t>Sí</t>
        </is>
      </c>
      <c r="O816" s="6">
        <f>IF(K816="","",IF(N816="Sí",ROUND(K816/1.18,2),K816))</f>
        <v/>
      </c>
      <c r="P816" s="3" t="inlineStr">
        <is>
          <t>2026-09-10</t>
        </is>
      </c>
      <c r="Q816" s="4" t="inlineStr">
        <is>
          <t>Bellón</t>
        </is>
      </c>
      <c r="AF816" s="4" t="inlineStr">
        <is>
          <t>tipo: gfci</t>
        </is>
      </c>
    </row>
    <row r="817">
      <c r="A817" s="3" t="inlineStr">
        <is>
          <t>MAT-10-205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Tomacorriente sencillo</t>
        </is>
      </c>
      <c r="E817" s="4" t="inlineStr"/>
      <c r="F817" s="3" t="inlineStr">
        <is>
          <t>unidad</t>
        </is>
      </c>
      <c r="G817" s="3" t="inlineStr">
        <is>
          <t>Instalaciones</t>
        </is>
      </c>
      <c r="H817" s="3" t="inlineStr">
        <is>
          <t>estandar</t>
        </is>
      </c>
      <c r="I817" s="3" t="inlineStr">
        <is>
          <t>importado</t>
        </is>
      </c>
      <c r="J817" s="5" t="n">
        <v>2</v>
      </c>
      <c r="K817" s="6" t="n">
        <v>70</v>
      </c>
      <c r="L817" s="6" t="n">
        <v>39</v>
      </c>
      <c r="M817" s="6" t="n">
        <v>921</v>
      </c>
      <c r="N817" s="3" t="inlineStr">
        <is>
          <t>Sí</t>
        </is>
      </c>
      <c r="O817" s="6">
        <f>IF(K817="","",IF(N817="Sí",ROUND(K817/1.18,2),K817))</f>
        <v/>
      </c>
      <c r="P817" s="3" t="inlineStr">
        <is>
          <t>2026-09-10</t>
        </is>
      </c>
      <c r="Q817" s="4" t="inlineStr">
        <is>
          <t>Bellón · Ferremix (Grupo Alterra)</t>
        </is>
      </c>
      <c r="AF817" s="4" t="inlineStr">
        <is>
          <t>tipo: sencillo</t>
        </is>
      </c>
    </row>
    <row r="818">
      <c r="A818" s="3" t="inlineStr">
        <is>
          <t>MAT-10-206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ciega</t>
        </is>
      </c>
      <c r="E818" s="4" t="inlineStr"/>
      <c r="F818" s="3" t="inlineStr">
        <is>
          <t>unidad</t>
        </is>
      </c>
      <c r="G818" s="3" t="inlineStr">
        <is>
          <t>Instalaciones</t>
        </is>
      </c>
      <c r="H818" s="3" t="inlineStr">
        <is>
          <t>estandar</t>
        </is>
      </c>
      <c r="I818" s="3" t="inlineStr">
        <is>
          <t>importado</t>
        </is>
      </c>
      <c r="J818" s="5" t="n">
        <v>1</v>
      </c>
      <c r="K818" s="6" t="n">
        <v>49</v>
      </c>
      <c r="L818" s="6" t="n">
        <v>11</v>
      </c>
      <c r="M818" s="6" t="n">
        <v>156</v>
      </c>
      <c r="N818" s="3" t="inlineStr">
        <is>
          <t>Sí</t>
        </is>
      </c>
      <c r="O818" s="6">
        <f>IF(K818="","",IF(N818="Sí",ROUND(K818/1.18,2),K818))</f>
        <v/>
      </c>
      <c r="P818" s="3" t="inlineStr">
        <is>
          <t>2026-09-10</t>
        </is>
      </c>
      <c r="Q818" s="4" t="inlineStr">
        <is>
          <t>Ferremix (Grupo Alterra)</t>
        </is>
      </c>
      <c r="AF818" s="4" t="inlineStr">
        <is>
          <t>tipo: ciega</t>
        </is>
      </c>
    </row>
    <row r="819">
      <c r="A819" s="3" t="inlineStr">
        <is>
          <t>MAT-10-207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doble</t>
        </is>
      </c>
      <c r="E819" s="4" t="inlineStr"/>
      <c r="F819" s="3" t="inlineStr">
        <is>
          <t>unidad</t>
        </is>
      </c>
      <c r="G819" s="3" t="inlineStr">
        <is>
          <t>Instalaciones</t>
        </is>
      </c>
      <c r="H819" s="3" t="inlineStr">
        <is>
          <t>estandar</t>
        </is>
      </c>
      <c r="I819" s="3" t="inlineStr">
        <is>
          <t>importado</t>
        </is>
      </c>
      <c r="J819" s="5" t="n">
        <v>1</v>
      </c>
      <c r="K819" s="6" t="n">
        <v>132.5</v>
      </c>
      <c r="L819" s="6" t="n">
        <v>15</v>
      </c>
      <c r="M819" s="6" t="n">
        <v>1199</v>
      </c>
      <c r="N819" s="3" t="inlineStr">
        <is>
          <t>Sí</t>
        </is>
      </c>
      <c r="O819" s="6">
        <f>IF(K819="","",IF(N819="Sí",ROUND(K819/1.18,2),K819))</f>
        <v/>
      </c>
      <c r="P819" s="3" t="inlineStr">
        <is>
          <t>2026-09-10</t>
        </is>
      </c>
      <c r="Q819" s="4" t="inlineStr">
        <is>
          <t>Ferremix (Grupo Alterra)</t>
        </is>
      </c>
      <c r="AF819" s="4" t="inlineStr">
        <is>
          <t>tipo: doble</t>
        </is>
      </c>
    </row>
    <row r="820">
      <c r="A820" s="3" t="inlineStr">
        <is>
          <t>MAT-10-208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Placa de 3 módulos</t>
        </is>
      </c>
      <c r="E820" s="4" t="inlineStr">
        <is>
          <t>Solo la placa · los módulos van aparte</t>
        </is>
      </c>
      <c r="F820" s="3" t="inlineStr">
        <is>
          <t>unidad</t>
        </is>
      </c>
      <c r="G820" s="3" t="inlineStr">
        <is>
          <t>Instalaciones</t>
        </is>
      </c>
      <c r="H820" s="3" t="inlineStr">
        <is>
          <t>estandar</t>
        </is>
      </c>
      <c r="I820" s="3" t="inlineStr">
        <is>
          <t>importado</t>
        </is>
      </c>
      <c r="J820" s="5" t="n">
        <v>1</v>
      </c>
      <c r="K820" s="6" t="n">
        <v>85</v>
      </c>
      <c r="L820" s="6" t="n">
        <v>85</v>
      </c>
      <c r="M820" s="6" t="n">
        <v>85</v>
      </c>
      <c r="N820" s="3" t="inlineStr">
        <is>
          <t>Sí</t>
        </is>
      </c>
      <c r="O820" s="6">
        <f>IF(K820="","",IF(N820="Sí",ROUND(K820/1.18,2),K820))</f>
        <v/>
      </c>
      <c r="P820" s="3" t="inlineStr">
        <is>
          <t>2026-09-09</t>
        </is>
      </c>
      <c r="Q820" s="4" t="inlineStr">
        <is>
          <t>Max Ferretería</t>
        </is>
      </c>
      <c r="AF820" s="4" t="inlineStr">
        <is>
          <t>tipo: Placa de 3 módulos</t>
        </is>
      </c>
    </row>
    <row r="821">
      <c r="A821" s="3" t="inlineStr">
        <is>
          <t>MAT-10-209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Placa de 7 módulos</t>
        </is>
      </c>
      <c r="E821" s="4" t="inlineStr">
        <is>
          <t>Solo la placa · los módulos van aparte</t>
        </is>
      </c>
      <c r="F821" s="3" t="inlineStr">
        <is>
          <t>unidad</t>
        </is>
      </c>
      <c r="G821" s="3" t="inlineStr">
        <is>
          <t>Instalaciones</t>
        </is>
      </c>
      <c r="H821" s="3" t="inlineStr">
        <is>
          <t>estandar</t>
        </is>
      </c>
      <c r="I821" s="3" t="inlineStr">
        <is>
          <t>importado</t>
        </is>
      </c>
      <c r="J821" s="5" t="n">
        <v>1</v>
      </c>
      <c r="K821" s="6" t="n">
        <v>1620</v>
      </c>
      <c r="L821" s="6" t="n">
        <v>1620</v>
      </c>
      <c r="M821" s="6" t="n">
        <v>1620</v>
      </c>
      <c r="N821" s="3" t="inlineStr">
        <is>
          <t>Sí</t>
        </is>
      </c>
      <c r="O821" s="6">
        <f>IF(K821="","",IF(N821="Sí",ROUND(K821/1.18,2),K821))</f>
        <v/>
      </c>
      <c r="P821" s="3" t="inlineStr">
        <is>
          <t>2026-09-09</t>
        </is>
      </c>
      <c r="Q821" s="4" t="inlineStr">
        <is>
          <t>Max Ferretería</t>
        </is>
      </c>
      <c r="AF821" s="4" t="inlineStr">
        <is>
          <t>tipo: Placa de 7 módulos</t>
        </is>
      </c>
    </row>
    <row r="822">
      <c r="A822" s="3" t="inlineStr">
        <is>
          <t>MAT-10-210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Placa de pared de 2 huecos</t>
        </is>
      </c>
      <c r="E822" s="4" t="inlineStr"/>
      <c r="F822" s="3" t="inlineStr">
        <is>
          <t>unidad</t>
        </is>
      </c>
      <c r="G822" s="3" t="inlineStr">
        <is>
          <t>Instalaciones</t>
        </is>
      </c>
      <c r="H822" s="3" t="inlineStr">
        <is>
          <t>estandar</t>
        </is>
      </c>
      <c r="I822" s="3" t="inlineStr">
        <is>
          <t>importado</t>
        </is>
      </c>
      <c r="J822" s="5" t="n">
        <v>1</v>
      </c>
      <c r="K822" s="6" t="n">
        <v>9.99</v>
      </c>
      <c r="L822" s="6" t="n">
        <v>9.99</v>
      </c>
      <c r="M822" s="6" t="n">
        <v>9.99</v>
      </c>
      <c r="N822" s="3" t="inlineStr">
        <is>
          <t>Sí</t>
        </is>
      </c>
      <c r="O822" s="6">
        <f>IF(K822="","",IF(N822="Sí",ROUND(K822/1.18,2),K822))</f>
        <v/>
      </c>
      <c r="P822" s="3" t="inlineStr">
        <is>
          <t>2026-09-09</t>
        </is>
      </c>
      <c r="Q822" s="4" t="inlineStr">
        <is>
          <t>Max Ferretería</t>
        </is>
      </c>
      <c r="AF822" s="4" t="inlineStr">
        <is>
          <t>tipo: Placa de pared de 2 huecos</t>
        </is>
      </c>
    </row>
    <row r="823">
      <c r="A823" s="3" t="inlineStr">
        <is>
          <t>MAT-10-211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sencilla</t>
        </is>
      </c>
      <c r="E823" s="4" t="inlineStr"/>
      <c r="F823" s="3" t="inlineStr">
        <is>
          <t>unidad</t>
        </is>
      </c>
      <c r="G823" s="3" t="inlineStr">
        <is>
          <t>Instalaciones</t>
        </is>
      </c>
      <c r="H823" s="3" t="inlineStr">
        <is>
          <t>estandar</t>
        </is>
      </c>
      <c r="I823" s="3" t="inlineStr">
        <is>
          <t>importado</t>
        </is>
      </c>
      <c r="J823" s="5" t="n">
        <v>1</v>
      </c>
      <c r="K823" s="6" t="n">
        <v>49</v>
      </c>
      <c r="L823" s="6" t="n">
        <v>45</v>
      </c>
      <c r="M823" s="6" t="n">
        <v>52.59</v>
      </c>
      <c r="N823" s="3" t="inlineStr">
        <is>
          <t>Sí</t>
        </is>
      </c>
      <c r="O823" s="6">
        <f>IF(K823="","",IF(N823="Sí",ROUND(K823/1.18,2),K823))</f>
        <v/>
      </c>
      <c r="P823" s="3" t="inlineStr">
        <is>
          <t>2026-09-10</t>
        </is>
      </c>
      <c r="Q823" s="4" t="inlineStr">
        <is>
          <t>Ferremix (Grupo Alterra)</t>
        </is>
      </c>
      <c r="AF823" s="4" t="inlineStr">
        <is>
          <t>tipo: sencilla</t>
        </is>
      </c>
    </row>
    <row r="824">
      <c r="A824" s="3" t="inlineStr">
        <is>
          <t>MAT-10-212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Tapa ciega</t>
        </is>
      </c>
      <c r="E824" s="4" t="inlineStr"/>
      <c r="F824" s="3" t="inlineStr">
        <is>
          <t>unidad</t>
        </is>
      </c>
      <c r="G824" s="3" t="inlineStr">
        <is>
          <t>Instalaciones</t>
        </is>
      </c>
      <c r="H824" s="3" t="inlineStr">
        <is>
          <t>estandar</t>
        </is>
      </c>
      <c r="I824" s="3" t="inlineStr">
        <is>
          <t>importado</t>
        </is>
      </c>
      <c r="J824" s="5" t="n">
        <v>1</v>
      </c>
      <c r="K824" s="6" t="n">
        <v>200</v>
      </c>
      <c r="L824" s="6" t="n">
        <v>115</v>
      </c>
      <c r="M824" s="6" t="n">
        <v>295</v>
      </c>
      <c r="N824" s="3" t="inlineStr">
        <is>
          <t>Sí</t>
        </is>
      </c>
      <c r="O824" s="6">
        <f>IF(K824="","",IF(N824="Sí",ROUND(K824/1.18,2),K824))</f>
        <v/>
      </c>
      <c r="P824" s="3" t="inlineStr">
        <is>
          <t>2026-09-09</t>
        </is>
      </c>
      <c r="Q824" s="4" t="inlineStr">
        <is>
          <t>Max Ferretería</t>
        </is>
      </c>
      <c r="AF824" s="4" t="inlineStr">
        <is>
          <t>tipo: Tapa ciega</t>
        </is>
      </c>
    </row>
    <row r="825">
      <c r="A825" s="3" t="inlineStr">
        <is>
          <t>MAT-10-213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Tapa para tomacorriente</t>
        </is>
      </c>
      <c r="E825" s="4" t="inlineStr"/>
      <c r="F825" s="3" t="inlineStr">
        <is>
          <t>unidad</t>
        </is>
      </c>
      <c r="G825" s="3" t="inlineStr">
        <is>
          <t>Instalaciones</t>
        </is>
      </c>
      <c r="H825" s="3" t="inlineStr">
        <is>
          <t>estandar</t>
        </is>
      </c>
      <c r="I825" s="3" t="inlineStr">
        <is>
          <t>importado</t>
        </is>
      </c>
      <c r="J825" s="5" t="n">
        <v>1</v>
      </c>
      <c r="K825" s="6" t="n">
        <v>95</v>
      </c>
      <c r="L825" s="6" t="n">
        <v>25</v>
      </c>
      <c r="M825" s="6" t="n">
        <v>100</v>
      </c>
      <c r="N825" s="3" t="inlineStr">
        <is>
          <t>Sí</t>
        </is>
      </c>
      <c r="O825" s="6">
        <f>IF(K825="","",IF(N825="Sí",ROUND(K825/1.18,2),K825))</f>
        <v/>
      </c>
      <c r="P825" s="3" t="inlineStr">
        <is>
          <t>2026-09-09</t>
        </is>
      </c>
      <c r="Q825" s="4" t="inlineStr">
        <is>
          <t>Max Ferretería</t>
        </is>
      </c>
      <c r="AF825" s="4" t="inlineStr">
        <is>
          <t>tipo: Tapa para tomacorriente</t>
        </is>
      </c>
    </row>
    <row r="826">
      <c r="A826" s="3" t="inlineStr">
        <is>
          <t>MAT-10-214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triple</t>
        </is>
      </c>
      <c r="E826" s="4" t="inlineStr"/>
      <c r="F826" s="3" t="inlineStr">
        <is>
          <t>unidad</t>
        </is>
      </c>
      <c r="G826" s="3" t="inlineStr">
        <is>
          <t>Instalaciones</t>
        </is>
      </c>
      <c r="H826" s="3" t="inlineStr">
        <is>
          <t>estandar</t>
        </is>
      </c>
      <c r="I826" s="3" t="inlineStr">
        <is>
          <t>importado</t>
        </is>
      </c>
      <c r="J826" s="5" t="n">
        <v>1</v>
      </c>
      <c r="K826" s="6" t="n">
        <v>99</v>
      </c>
      <c r="L826" s="6" t="n">
        <v>40</v>
      </c>
      <c r="M826" s="6" t="n">
        <v>520</v>
      </c>
      <c r="N826" s="3" t="inlineStr">
        <is>
          <t>Sí</t>
        </is>
      </c>
      <c r="O826" s="6">
        <f>IF(K826="","",IF(N826="Sí",ROUND(K826/1.18,2),K826))</f>
        <v/>
      </c>
      <c r="P826" s="3" t="inlineStr">
        <is>
          <t>2026-09-10</t>
        </is>
      </c>
      <c r="Q826" s="4" t="inlineStr">
        <is>
          <t>Ferremix (Grupo Alterra)</t>
        </is>
      </c>
      <c r="AF826" s="4" t="inlineStr">
        <is>
          <t>tipo: triple</t>
        </is>
      </c>
    </row>
    <row r="827">
      <c r="A827" s="3" t="inlineStr">
        <is>
          <t>MAT-10-215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Adaptador de enchufe</t>
        </is>
      </c>
      <c r="E827" s="4" t="inlineStr"/>
      <c r="F827" s="3" t="inlineStr">
        <is>
          <t>unidad</t>
        </is>
      </c>
      <c r="G827" s="3" t="inlineStr">
        <is>
          <t>Instalaciones</t>
        </is>
      </c>
      <c r="H827" s="3" t="inlineStr">
        <is>
          <t>estandar</t>
        </is>
      </c>
      <c r="I827" s="3" t="inlineStr">
        <is>
          <t>importado</t>
        </is>
      </c>
      <c r="J827" s="5" t="n">
        <v>1</v>
      </c>
      <c r="K827" s="6" t="n">
        <v>112.5</v>
      </c>
      <c r="L827" s="6" t="n">
        <v>45.01</v>
      </c>
      <c r="M827" s="6" t="n">
        <v>1360</v>
      </c>
      <c r="N827" s="3" t="inlineStr">
        <is>
          <t>Sí</t>
        </is>
      </c>
      <c r="O827" s="6">
        <f>IF(K827="","",IF(N827="Sí",ROUND(K827/1.18,2),K827))</f>
        <v/>
      </c>
      <c r="P827" s="3" t="inlineStr">
        <is>
          <t>2026-09-09</t>
        </is>
      </c>
      <c r="Q827" s="4" t="inlineStr">
        <is>
          <t>Max Ferretería</t>
        </is>
      </c>
      <c r="AF827" s="4" t="inlineStr">
        <is>
          <t>tipo: Adaptador de enchufe</t>
        </is>
      </c>
    </row>
    <row r="828">
      <c r="A828" s="3" t="inlineStr">
        <is>
          <t>MAT-10-216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Enchufe</t>
        </is>
      </c>
      <c r="E828" s="4" t="inlineStr"/>
      <c r="F828" s="3" t="inlineStr">
        <is>
          <t>unidad</t>
        </is>
      </c>
      <c r="G828" s="3" t="inlineStr">
        <is>
          <t>Instalaciones</t>
        </is>
      </c>
      <c r="H828" s="3" t="inlineStr">
        <is>
          <t>estandar</t>
        </is>
      </c>
      <c r="I828" s="3" t="inlineStr">
        <is>
          <t>importado</t>
        </is>
      </c>
      <c r="J828" s="5" t="n">
        <v>1</v>
      </c>
      <c r="K828" s="6" t="n">
        <v>57.5</v>
      </c>
      <c r="L828" s="6" t="n">
        <v>50</v>
      </c>
      <c r="M828" s="6" t="n">
        <v>465</v>
      </c>
      <c r="N828" s="3" t="inlineStr">
        <is>
          <t>Sí</t>
        </is>
      </c>
      <c r="O828" s="6">
        <f>IF(K828="","",IF(N828="Sí",ROUND(K828/1.18,2),K828))</f>
        <v/>
      </c>
      <c r="P828" s="3" t="inlineStr">
        <is>
          <t>2026-09-09</t>
        </is>
      </c>
      <c r="Q828" s="4" t="inlineStr">
        <is>
          <t>Max Ferretería</t>
        </is>
      </c>
      <c r="AF828" s="4" t="inlineStr">
        <is>
          <t>tipo: Enchufe</t>
        </is>
      </c>
    </row>
    <row r="829">
      <c r="A829" s="3" t="inlineStr">
        <is>
          <t>MAT-10-217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Breaker enchufable 1P de 15 A</t>
        </is>
      </c>
      <c r="E829" s="4" t="inlineStr"/>
      <c r="F829" s="3" t="inlineStr">
        <is>
          <t>unidad</t>
        </is>
      </c>
      <c r="G829" s="3" t="inlineStr">
        <is>
          <t>Instalaciones</t>
        </is>
      </c>
      <c r="H829" s="3" t="inlineStr">
        <is>
          <t>estandar</t>
        </is>
      </c>
      <c r="I829" s="3" t="inlineStr">
        <is>
          <t>importado</t>
        </is>
      </c>
      <c r="J829" s="5" t="n">
        <v>1</v>
      </c>
      <c r="K829" s="6" t="n">
        <v>447.27</v>
      </c>
      <c r="L829" s="6" t="n">
        <v>430.24</v>
      </c>
      <c r="M829" s="6" t="n">
        <v>790</v>
      </c>
      <c r="N829" s="3" t="inlineStr">
        <is>
          <t>Sí</t>
        </is>
      </c>
      <c r="O829" s="6">
        <f>IF(K829="","",IF(N829="Sí",ROUND(K829/1.18,2),K829))</f>
        <v/>
      </c>
      <c r="P829" s="3" t="inlineStr">
        <is>
          <t>2026-09-10</t>
        </is>
      </c>
      <c r="Q829" s="4" t="inlineStr">
        <is>
          <t>Bellón</t>
        </is>
      </c>
      <c r="AF829" s="4" t="inlineStr">
        <is>
          <t>polos: 1 · amperaje: 15</t>
        </is>
      </c>
    </row>
    <row r="830">
      <c r="A830" s="3" t="inlineStr">
        <is>
          <t>MAT-10-218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Breaker enchufable 1P de 15 A, formato fino</t>
        </is>
      </c>
      <c r="E830" s="4" t="inlineStr">
        <is>
          <t>Ocupa medio espacio · no es intercambiable con el estándar</t>
        </is>
      </c>
      <c r="F830" s="3" t="inlineStr">
        <is>
          <t>unidad</t>
        </is>
      </c>
      <c r="G830" s="3" t="inlineStr">
        <is>
          <t>Instalaciones</t>
        </is>
      </c>
      <c r="H830" s="3" t="inlineStr">
        <is>
          <t>estandar</t>
        </is>
      </c>
      <c r="I830" s="3" t="inlineStr">
        <is>
          <t>importado</t>
        </is>
      </c>
      <c r="J830" s="5" t="n">
        <v>1</v>
      </c>
      <c r="K830" s="6" t="n">
        <v>485</v>
      </c>
      <c r="L830" s="6" t="n">
        <v>485</v>
      </c>
      <c r="M830" s="6" t="n">
        <v>485</v>
      </c>
      <c r="N830" s="3" t="inlineStr">
        <is>
          <t>Sí</t>
        </is>
      </c>
      <c r="O830" s="6">
        <f>IF(K830="","",IF(N830="Sí",ROUND(K830/1.18,2),K830))</f>
        <v/>
      </c>
      <c r="P830" s="3" t="inlineStr">
        <is>
          <t>2026-09-09</t>
        </is>
      </c>
      <c r="Q830" s="4" t="inlineStr">
        <is>
          <t>Max Ferretería</t>
        </is>
      </c>
      <c r="V830" s="7" t="inlineStr">
        <is>
          <t>fino</t>
        </is>
      </c>
      <c r="AF830" s="4" t="inlineStr">
        <is>
          <t>polos: 1 · amperaje: 15</t>
        </is>
      </c>
    </row>
    <row r="831">
      <c r="A831" s="3" t="inlineStr">
        <is>
          <t>MAT-10-219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Breaker enchufable 1P de 20 A</t>
        </is>
      </c>
      <c r="E831" s="4" t="inlineStr"/>
      <c r="F831" s="3" t="inlineStr">
        <is>
          <t>unidad</t>
        </is>
      </c>
      <c r="G831" s="3" t="inlineStr">
        <is>
          <t>Instalaciones</t>
        </is>
      </c>
      <c r="H831" s="3" t="inlineStr">
        <is>
          <t>estandar</t>
        </is>
      </c>
      <c r="I831" s="3" t="inlineStr">
        <is>
          <t>importado</t>
        </is>
      </c>
      <c r="J831" s="5" t="n">
        <v>1</v>
      </c>
      <c r="K831" s="6" t="n">
        <v>447.27</v>
      </c>
      <c r="L831" s="6" t="n">
        <v>374.13</v>
      </c>
      <c r="M831" s="6" t="n">
        <v>742</v>
      </c>
      <c r="N831" s="3" t="inlineStr">
        <is>
          <t>Sí</t>
        </is>
      </c>
      <c r="O831" s="6">
        <f>IF(K831="","",IF(N831="Sí",ROUND(K831/1.18,2),K831))</f>
        <v/>
      </c>
      <c r="P831" s="3" t="inlineStr">
        <is>
          <t>2026-09-10</t>
        </is>
      </c>
      <c r="Q831" s="4" t="inlineStr">
        <is>
          <t>Bellón</t>
        </is>
      </c>
      <c r="AF831" s="4" t="inlineStr">
        <is>
          <t>polos: 1 · amperaje: 20</t>
        </is>
      </c>
    </row>
    <row r="832">
      <c r="A832" s="3" t="inlineStr">
        <is>
          <t>MAT-10-220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Breaker enchufable 1P de 20 A, formato fino</t>
        </is>
      </c>
      <c r="E832" s="4" t="inlineStr">
        <is>
          <t>Ocupa medio espacio · no es intercambiable con el estándar</t>
        </is>
      </c>
      <c r="F832" s="3" t="inlineStr">
        <is>
          <t>unidad</t>
        </is>
      </c>
      <c r="G832" s="3" t="inlineStr">
        <is>
          <t>Instalaciones</t>
        </is>
      </c>
      <c r="H832" s="3" t="inlineStr">
        <is>
          <t>estandar</t>
        </is>
      </c>
      <c r="I832" s="3" t="inlineStr">
        <is>
          <t>importado</t>
        </is>
      </c>
      <c r="J832" s="5" t="n">
        <v>1</v>
      </c>
      <c r="K832" s="6" t="n">
        <v>500</v>
      </c>
      <c r="L832" s="6" t="n">
        <v>500</v>
      </c>
      <c r="M832" s="6" t="n">
        <v>500</v>
      </c>
      <c r="N832" s="3" t="inlineStr">
        <is>
          <t>Sí</t>
        </is>
      </c>
      <c r="O832" s="6">
        <f>IF(K832="","",IF(N832="Sí",ROUND(K832/1.18,2),K832))</f>
        <v/>
      </c>
      <c r="P832" s="3" t="inlineStr">
        <is>
          <t>2026-09-09</t>
        </is>
      </c>
      <c r="Q832" s="4" t="inlineStr">
        <is>
          <t>Max Ferretería</t>
        </is>
      </c>
      <c r="V832" s="7" t="inlineStr">
        <is>
          <t>fino</t>
        </is>
      </c>
      <c r="AF832" s="4" t="inlineStr">
        <is>
          <t>polos: 1 · amperaje: 20</t>
        </is>
      </c>
    </row>
    <row r="833">
      <c r="A833" s="3" t="inlineStr">
        <is>
          <t>MAT-10-221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Breaker enchufable 1P de 30 A</t>
        </is>
      </c>
      <c r="E833" s="4" t="inlineStr"/>
      <c r="F833" s="3" t="inlineStr">
        <is>
          <t>unidad</t>
        </is>
      </c>
      <c r="G833" s="3" t="inlineStr">
        <is>
          <t>Instalaciones</t>
        </is>
      </c>
      <c r="H833" s="3" t="inlineStr">
        <is>
          <t>estandar</t>
        </is>
      </c>
      <c r="I833" s="3" t="inlineStr">
        <is>
          <t>importado</t>
        </is>
      </c>
      <c r="J833" s="5" t="n">
        <v>2</v>
      </c>
      <c r="K833" s="6" t="n">
        <v>447.28</v>
      </c>
      <c r="L833" s="6" t="n">
        <v>374.1</v>
      </c>
      <c r="M833" s="6" t="n">
        <v>845</v>
      </c>
      <c r="N833" s="3" t="inlineStr">
        <is>
          <t>Sí</t>
        </is>
      </c>
      <c r="O833" s="6">
        <f>IF(K833="","",IF(N833="Sí",ROUND(K833/1.18,2),K833))</f>
        <v/>
      </c>
      <c r="P833" s="3" t="inlineStr">
        <is>
          <t>2026-09-10</t>
        </is>
      </c>
      <c r="Q833" s="4" t="inlineStr">
        <is>
          <t>Bellón · Max Ferretería</t>
        </is>
      </c>
      <c r="AF833" s="4" t="inlineStr">
        <is>
          <t>polos: 1 · amperaje: 30</t>
        </is>
      </c>
    </row>
    <row r="834">
      <c r="A834" s="3" t="inlineStr">
        <is>
          <t>MAT-10-222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Breaker enchufable 1P de 30 A, formato fino</t>
        </is>
      </c>
      <c r="E834" s="4" t="inlineStr">
        <is>
          <t>Ocupa medio espacio · no es intercambiable con el estándar</t>
        </is>
      </c>
      <c r="F834" s="3" t="inlineStr">
        <is>
          <t>unidad</t>
        </is>
      </c>
      <c r="G834" s="3" t="inlineStr">
        <is>
          <t>Instalaciones</t>
        </is>
      </c>
      <c r="H834" s="3" t="inlineStr">
        <is>
          <t>estandar</t>
        </is>
      </c>
      <c r="I834" s="3" t="inlineStr">
        <is>
          <t>importado</t>
        </is>
      </c>
      <c r="J834" s="5" t="n">
        <v>1</v>
      </c>
      <c r="K834" s="6" t="n">
        <v>505</v>
      </c>
      <c r="L834" s="6" t="n">
        <v>505</v>
      </c>
      <c r="M834" s="6" t="n">
        <v>505</v>
      </c>
      <c r="N834" s="3" t="inlineStr">
        <is>
          <t>Sí</t>
        </is>
      </c>
      <c r="O834" s="6">
        <f>IF(K834="","",IF(N834="Sí",ROUND(K834/1.18,2),K834))</f>
        <v/>
      </c>
      <c r="P834" s="3" t="inlineStr">
        <is>
          <t>2026-09-09</t>
        </is>
      </c>
      <c r="Q834" s="4" t="inlineStr">
        <is>
          <t>Max Ferretería</t>
        </is>
      </c>
      <c r="V834" s="7" t="inlineStr">
        <is>
          <t>fino</t>
        </is>
      </c>
      <c r="AF834" s="4" t="inlineStr">
        <is>
          <t>polos: 1 · amperaje: 30</t>
        </is>
      </c>
    </row>
    <row r="835">
      <c r="A835" s="3" t="inlineStr">
        <is>
          <t>MAT-10-223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Breaker enchufable 1P de 40 A</t>
        </is>
      </c>
      <c r="E835" s="4" t="inlineStr"/>
      <c r="F835" s="3" t="inlineStr">
        <is>
          <t>unidad</t>
        </is>
      </c>
      <c r="G835" s="3" t="inlineStr">
        <is>
          <t>Instalaciones</t>
        </is>
      </c>
      <c r="H835" s="3" t="inlineStr">
        <is>
          <t>estandar</t>
        </is>
      </c>
      <c r="I835" s="3" t="inlineStr">
        <is>
          <t>importado</t>
        </is>
      </c>
      <c r="J835" s="5" t="n">
        <v>2</v>
      </c>
      <c r="K835" s="6" t="n">
        <v>488.17</v>
      </c>
      <c r="L835" s="6" t="n">
        <v>170</v>
      </c>
      <c r="M835" s="6" t="n">
        <v>929</v>
      </c>
      <c r="N835" s="3" t="inlineStr">
        <is>
          <t>Sí</t>
        </is>
      </c>
      <c r="O835" s="6">
        <f>IF(K835="","",IF(N835="Sí",ROUND(K835/1.18,2),K835))</f>
        <v/>
      </c>
      <c r="P835" s="3" t="inlineStr">
        <is>
          <t>2026-09-10</t>
        </is>
      </c>
      <c r="Q835" s="4" t="inlineStr">
        <is>
          <t>Bellón · Ferremix (Grupo Alterra)</t>
        </is>
      </c>
      <c r="AF835" s="4" t="inlineStr">
        <is>
          <t>polos: 1 · amperaje: 40</t>
        </is>
      </c>
    </row>
    <row r="836">
      <c r="A836" s="3" t="inlineStr">
        <is>
          <t>MAT-10-224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Breaker enchufable 1P de 50 A</t>
        </is>
      </c>
      <c r="E836" s="4" t="inlineStr"/>
      <c r="F836" s="3" t="inlineStr">
        <is>
          <t>unidad</t>
        </is>
      </c>
      <c r="G836" s="3" t="inlineStr">
        <is>
          <t>Instalaciones</t>
        </is>
      </c>
      <c r="H836" s="3" t="inlineStr">
        <is>
          <t>estandar</t>
        </is>
      </c>
      <c r="I836" s="3" t="inlineStr">
        <is>
          <t>importado</t>
        </is>
      </c>
      <c r="J836" s="5" t="n">
        <v>1</v>
      </c>
      <c r="K836" s="6" t="n">
        <v>505</v>
      </c>
      <c r="L836" s="6" t="n">
        <v>495</v>
      </c>
      <c r="M836" s="6" t="n">
        <v>515</v>
      </c>
      <c r="N836" s="3" t="inlineStr">
        <is>
          <t>Sí</t>
        </is>
      </c>
      <c r="O836" s="6">
        <f>IF(K836="","",IF(N836="Sí",ROUND(K836/1.18,2),K836))</f>
        <v/>
      </c>
      <c r="P836" s="3" t="inlineStr">
        <is>
          <t>2026-09-10</t>
        </is>
      </c>
      <c r="Q836" s="4" t="inlineStr">
        <is>
          <t>Bellón</t>
        </is>
      </c>
      <c r="AF836" s="4" t="inlineStr">
        <is>
          <t>polos: 1 · amperaje: 50</t>
        </is>
      </c>
    </row>
    <row r="837">
      <c r="A837" s="3" t="inlineStr">
        <is>
          <t>MAT-10-225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Breaker enchufable 1P de 60 A</t>
        </is>
      </c>
      <c r="E837" s="4" t="inlineStr"/>
      <c r="F837" s="3" t="inlineStr">
        <is>
          <t>unidad</t>
        </is>
      </c>
      <c r="G837" s="3" t="inlineStr">
        <is>
          <t>Instalaciones</t>
        </is>
      </c>
      <c r="H837" s="3" t="inlineStr">
        <is>
          <t>estandar</t>
        </is>
      </c>
      <c r="I837" s="3" t="inlineStr">
        <is>
          <t>importado</t>
        </is>
      </c>
      <c r="J837" s="5" t="n">
        <v>2</v>
      </c>
      <c r="K837" s="6" t="n">
        <v>766.3200000000001</v>
      </c>
      <c r="L837" s="6" t="n">
        <v>717.63</v>
      </c>
      <c r="M837" s="6" t="n">
        <v>815</v>
      </c>
      <c r="N837" s="3" t="inlineStr">
        <is>
          <t>Sí</t>
        </is>
      </c>
      <c r="O837" s="6">
        <f>IF(K837="","",IF(N837="Sí",ROUND(K837/1.18,2),K837))</f>
        <v/>
      </c>
      <c r="P837" s="3" t="inlineStr">
        <is>
          <t>2026-09-10</t>
        </is>
      </c>
      <c r="Q837" s="4" t="inlineStr">
        <is>
          <t>Bellón · Max Ferretería</t>
        </is>
      </c>
      <c r="AF837" s="4" t="inlineStr">
        <is>
          <t>polos: 1 · amperaje: 60</t>
        </is>
      </c>
    </row>
    <row r="838">
      <c r="A838" s="3" t="inlineStr">
        <is>
          <t>MAT-10-226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Breaker enchufable 2P de 100 A</t>
        </is>
      </c>
      <c r="E838" s="4" t="inlineStr"/>
      <c r="F838" s="3" t="inlineStr">
        <is>
          <t>unidad</t>
        </is>
      </c>
      <c r="G838" s="3" t="inlineStr">
        <is>
          <t>Instalaciones</t>
        </is>
      </c>
      <c r="H838" s="3" t="inlineStr">
        <is>
          <t>estandar</t>
        </is>
      </c>
      <c r="I838" s="3" t="inlineStr">
        <is>
          <t>importado</t>
        </is>
      </c>
      <c r="J838" s="5" t="n">
        <v>1</v>
      </c>
      <c r="K838" s="6" t="n">
        <v>3203</v>
      </c>
      <c r="L838" s="6" t="n">
        <v>2820</v>
      </c>
      <c r="M838" s="6" t="n">
        <v>3586</v>
      </c>
      <c r="N838" s="3" t="inlineStr">
        <is>
          <t>Sí</t>
        </is>
      </c>
      <c r="O838" s="6">
        <f>IF(K838="","",IF(N838="Sí",ROUND(K838/1.18,2),K838))</f>
        <v/>
      </c>
      <c r="P838" s="3" t="inlineStr">
        <is>
          <t>2026-09-10</t>
        </is>
      </c>
      <c r="Q838" s="4" t="inlineStr">
        <is>
          <t>Bellón</t>
        </is>
      </c>
      <c r="AF838" s="4" t="inlineStr">
        <is>
          <t>polos: 2 · amperaje: 100</t>
        </is>
      </c>
    </row>
    <row r="839">
      <c r="A839" s="3" t="inlineStr">
        <is>
          <t>MAT-10-227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Breaker enchufable 2P de 15 A</t>
        </is>
      </c>
      <c r="E839" s="4" t="inlineStr"/>
      <c r="F839" s="3" t="inlineStr">
        <is>
          <t>unidad</t>
        </is>
      </c>
      <c r="G839" s="3" t="inlineStr">
        <is>
          <t>Instalaciones</t>
        </is>
      </c>
      <c r="H839" s="3" t="inlineStr">
        <is>
          <t>estandar</t>
        </is>
      </c>
      <c r="I839" s="3" t="inlineStr">
        <is>
          <t>importado</t>
        </is>
      </c>
      <c r="J839" s="5" t="n">
        <v>1</v>
      </c>
      <c r="K839" s="6" t="n">
        <v>1061.42</v>
      </c>
      <c r="L839" s="6" t="n">
        <v>969.78</v>
      </c>
      <c r="M839" s="6" t="n">
        <v>1379</v>
      </c>
      <c r="N839" s="3" t="inlineStr">
        <is>
          <t>Sí</t>
        </is>
      </c>
      <c r="O839" s="6">
        <f>IF(K839="","",IF(N839="Sí",ROUND(K839/1.18,2),K839))</f>
        <v/>
      </c>
      <c r="P839" s="3" t="inlineStr">
        <is>
          <t>2026-09-10</t>
        </is>
      </c>
      <c r="Q839" s="4" t="inlineStr">
        <is>
          <t>Bellón</t>
        </is>
      </c>
      <c r="AF839" s="4" t="inlineStr">
        <is>
          <t>polos: 2 · amperaje: 15</t>
        </is>
      </c>
    </row>
    <row r="840">
      <c r="A840" s="3" t="inlineStr">
        <is>
          <t>MAT-10-228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Breaker enchufable 2P de 20 A</t>
        </is>
      </c>
      <c r="E840" s="4" t="inlineStr"/>
      <c r="F840" s="3" t="inlineStr">
        <is>
          <t>unidad</t>
        </is>
      </c>
      <c r="G840" s="3" t="inlineStr">
        <is>
          <t>Instalaciones</t>
        </is>
      </c>
      <c r="H840" s="3" t="inlineStr">
        <is>
          <t>estandar</t>
        </is>
      </c>
      <c r="I840" s="3" t="inlineStr">
        <is>
          <t>importado</t>
        </is>
      </c>
      <c r="J840" s="5" t="n">
        <v>2</v>
      </c>
      <c r="K840" s="6" t="n">
        <v>1157.5</v>
      </c>
      <c r="L840" s="6" t="n">
        <v>1134.99</v>
      </c>
      <c r="M840" s="6" t="n">
        <v>1425</v>
      </c>
      <c r="N840" s="3" t="inlineStr">
        <is>
          <t>Sí</t>
        </is>
      </c>
      <c r="O840" s="6">
        <f>IF(K840="","",IF(N840="Sí",ROUND(K840/1.18,2),K840))</f>
        <v/>
      </c>
      <c r="P840" s="3" t="inlineStr">
        <is>
          <t>2026-09-10</t>
        </is>
      </c>
      <c r="Q840" s="4" t="inlineStr">
        <is>
          <t>Bellón · Max Ferretería</t>
        </is>
      </c>
      <c r="AF840" s="4" t="inlineStr">
        <is>
          <t>polos: 2 · amperaje: 20</t>
        </is>
      </c>
    </row>
    <row r="841">
      <c r="A841" s="3" t="inlineStr">
        <is>
          <t>MAT-10-229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Breaker enchufable 2P de 20 A, formato fino</t>
        </is>
      </c>
      <c r="E841" s="4" t="inlineStr">
        <is>
          <t>Ocupa medio espacio · no es intercambiable con el estándar</t>
        </is>
      </c>
      <c r="F841" s="3" t="inlineStr">
        <is>
          <t>unidad</t>
        </is>
      </c>
      <c r="G841" s="3" t="inlineStr">
        <is>
          <t>Instalaciones</t>
        </is>
      </c>
      <c r="H841" s="3" t="inlineStr">
        <is>
          <t>estandar</t>
        </is>
      </c>
      <c r="I841" s="3" t="inlineStr">
        <is>
          <t>importado</t>
        </is>
      </c>
      <c r="J841" s="5" t="n">
        <v>1</v>
      </c>
      <c r="K841" s="6" t="n">
        <v>1195</v>
      </c>
      <c r="L841" s="6" t="n">
        <v>1195</v>
      </c>
      <c r="M841" s="6" t="n">
        <v>1195</v>
      </c>
      <c r="N841" s="3" t="inlineStr">
        <is>
          <t>Sí</t>
        </is>
      </c>
      <c r="O841" s="6">
        <f>IF(K841="","",IF(N841="Sí",ROUND(K841/1.18,2),K841))</f>
        <v/>
      </c>
      <c r="P841" s="3" t="inlineStr">
        <is>
          <t>2026-09-09</t>
        </is>
      </c>
      <c r="Q841" s="4" t="inlineStr">
        <is>
          <t>Max Ferretería</t>
        </is>
      </c>
      <c r="V841" s="7" t="inlineStr">
        <is>
          <t>fino</t>
        </is>
      </c>
      <c r="AF841" s="4" t="inlineStr">
        <is>
          <t>polos: 2 · amperaje: 20</t>
        </is>
      </c>
    </row>
    <row r="842">
      <c r="A842" s="3" t="inlineStr">
        <is>
          <t>MAT-10-230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Breaker enchufable 2P de 30 A</t>
        </is>
      </c>
      <c r="E842" s="4" t="inlineStr"/>
      <c r="F842" s="3" t="inlineStr">
        <is>
          <t>unidad</t>
        </is>
      </c>
      <c r="G842" s="3" t="inlineStr">
        <is>
          <t>Instalaciones</t>
        </is>
      </c>
      <c r="H842" s="3" t="inlineStr">
        <is>
          <t>estandar</t>
        </is>
      </c>
      <c r="I842" s="3" t="inlineStr">
        <is>
          <t>importado</t>
        </is>
      </c>
      <c r="J842" s="5" t="n">
        <v>2</v>
      </c>
      <c r="K842" s="6" t="n">
        <v>1079.99</v>
      </c>
      <c r="L842" s="6" t="n">
        <v>896</v>
      </c>
      <c r="M842" s="6" t="n">
        <v>1180</v>
      </c>
      <c r="N842" s="3" t="inlineStr">
        <is>
          <t>Sí</t>
        </is>
      </c>
      <c r="O842" s="6">
        <f>IF(K842="","",IF(N842="Sí",ROUND(K842/1.18,2),K842))</f>
        <v/>
      </c>
      <c r="P842" s="3" t="inlineStr">
        <is>
          <t>2026-09-10</t>
        </is>
      </c>
      <c r="Q842" s="4" t="inlineStr">
        <is>
          <t>Bellón · Max Ferretería</t>
        </is>
      </c>
      <c r="AF842" s="4" t="inlineStr">
        <is>
          <t>polos: 2 · amperaje: 30</t>
        </is>
      </c>
    </row>
    <row r="843">
      <c r="A843" s="3" t="inlineStr">
        <is>
          <t>MAT-10-231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Breaker enchufable 2P de 30 A, formato fino</t>
        </is>
      </c>
      <c r="E843" s="4" t="inlineStr">
        <is>
          <t>Ocupa medio espacio · no es intercambiable con el estándar</t>
        </is>
      </c>
      <c r="F843" s="3" t="inlineStr">
        <is>
          <t>unidad</t>
        </is>
      </c>
      <c r="G843" s="3" t="inlineStr">
        <is>
          <t>Instalaciones</t>
        </is>
      </c>
      <c r="H843" s="3" t="inlineStr">
        <is>
          <t>estandar</t>
        </is>
      </c>
      <c r="I843" s="3" t="inlineStr">
        <is>
          <t>importado</t>
        </is>
      </c>
      <c r="J843" s="5" t="n">
        <v>1</v>
      </c>
      <c r="K843" s="6" t="n">
        <v>1165</v>
      </c>
      <c r="L843" s="6" t="n">
        <v>1165</v>
      </c>
      <c r="M843" s="6" t="n">
        <v>1165</v>
      </c>
      <c r="N843" s="3" t="inlineStr">
        <is>
          <t>Sí</t>
        </is>
      </c>
      <c r="O843" s="6">
        <f>IF(K843="","",IF(N843="Sí",ROUND(K843/1.18,2),K843))</f>
        <v/>
      </c>
      <c r="P843" s="3" t="inlineStr">
        <is>
          <t>2026-09-09</t>
        </is>
      </c>
      <c r="Q843" s="4" t="inlineStr">
        <is>
          <t>Max Ferretería</t>
        </is>
      </c>
      <c r="V843" s="7" t="inlineStr">
        <is>
          <t>fino</t>
        </is>
      </c>
      <c r="AF843" s="4" t="inlineStr">
        <is>
          <t>polos: 2 · amperaje: 30</t>
        </is>
      </c>
    </row>
    <row r="844">
      <c r="A844" s="3" t="inlineStr">
        <is>
          <t>MAT-10-232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Breaker enchufable 2P de 40 A</t>
        </is>
      </c>
      <c r="E844" s="4" t="inlineStr"/>
      <c r="F844" s="3" t="inlineStr">
        <is>
          <t>unidad</t>
        </is>
      </c>
      <c r="G844" s="3" t="inlineStr">
        <is>
          <t>Instalaciones</t>
        </is>
      </c>
      <c r="H844" s="3" t="inlineStr">
        <is>
          <t>estandar</t>
        </is>
      </c>
      <c r="I844" s="3" t="inlineStr">
        <is>
          <t>importado</t>
        </is>
      </c>
      <c r="J844" s="5" t="n">
        <v>2</v>
      </c>
      <c r="K844" s="6" t="n">
        <v>1034</v>
      </c>
      <c r="L844" s="6" t="n">
        <v>976.05</v>
      </c>
      <c r="M844" s="6" t="n">
        <v>1134.99</v>
      </c>
      <c r="N844" s="3" t="inlineStr">
        <is>
          <t>Sí</t>
        </is>
      </c>
      <c r="O844" s="6">
        <f>IF(K844="","",IF(N844="Sí",ROUND(K844/1.18,2),K844))</f>
        <v/>
      </c>
      <c r="P844" s="3" t="inlineStr">
        <is>
          <t>2026-09-10</t>
        </is>
      </c>
      <c r="Q844" s="4" t="inlineStr">
        <is>
          <t>Bellón · Max Ferretería</t>
        </is>
      </c>
      <c r="AF844" s="4" t="inlineStr">
        <is>
          <t>polos: 2 · amperaje: 40</t>
        </is>
      </c>
    </row>
    <row r="845">
      <c r="A845" s="3" t="inlineStr">
        <is>
          <t>MAT-10-233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Breaker enchufable 2P de 50 A</t>
        </is>
      </c>
      <c r="E845" s="4" t="inlineStr"/>
      <c r="F845" s="3" t="inlineStr">
        <is>
          <t>unidad</t>
        </is>
      </c>
      <c r="G845" s="3" t="inlineStr">
        <is>
          <t>Instalaciones</t>
        </is>
      </c>
      <c r="H845" s="3" t="inlineStr">
        <is>
          <t>estandar</t>
        </is>
      </c>
      <c r="I845" s="3" t="inlineStr">
        <is>
          <t>importado</t>
        </is>
      </c>
      <c r="J845" s="5" t="n">
        <v>1</v>
      </c>
      <c r="K845" s="6" t="n">
        <v>1215</v>
      </c>
      <c r="L845" s="6" t="n">
        <v>999.95</v>
      </c>
      <c r="M845" s="6" t="n">
        <v>1354</v>
      </c>
      <c r="N845" s="3" t="inlineStr">
        <is>
          <t>Sí</t>
        </is>
      </c>
      <c r="O845" s="6">
        <f>IF(K845="","",IF(N845="Sí",ROUND(K845/1.18,2),K845))</f>
        <v/>
      </c>
      <c r="P845" s="3" t="inlineStr">
        <is>
          <t>2026-09-10</t>
        </is>
      </c>
      <c r="Q845" s="4" t="inlineStr">
        <is>
          <t>Bellón</t>
        </is>
      </c>
      <c r="AF845" s="4" t="inlineStr">
        <is>
          <t>polos: 2 · amperaje: 50</t>
        </is>
      </c>
    </row>
    <row r="846">
      <c r="A846" s="3" t="inlineStr">
        <is>
          <t>MAT-10-234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Breaker enchufable 2P de 60 A</t>
        </is>
      </c>
      <c r="E846" s="4" t="inlineStr"/>
      <c r="F846" s="3" t="inlineStr">
        <is>
          <t>unidad</t>
        </is>
      </c>
      <c r="G846" s="3" t="inlineStr">
        <is>
          <t>Instalaciones</t>
        </is>
      </c>
      <c r="H846" s="3" t="inlineStr">
        <is>
          <t>estandar</t>
        </is>
      </c>
      <c r="I846" s="3" t="inlineStr">
        <is>
          <t>importado</t>
        </is>
      </c>
      <c r="J846" s="5" t="n">
        <v>2</v>
      </c>
      <c r="K846" s="6" t="n">
        <v>1189.99</v>
      </c>
      <c r="L846" s="6" t="n">
        <v>1100</v>
      </c>
      <c r="M846" s="6" t="n">
        <v>1977</v>
      </c>
      <c r="N846" s="3" t="inlineStr">
        <is>
          <t>Sí</t>
        </is>
      </c>
      <c r="O846" s="6">
        <f>IF(K846="","",IF(N846="Sí",ROUND(K846/1.18,2),K846))</f>
        <v/>
      </c>
      <c r="P846" s="3" t="inlineStr">
        <is>
          <t>2026-09-10</t>
        </is>
      </c>
      <c r="Q846" s="4" t="inlineStr">
        <is>
          <t>Bellón · Max Ferretería</t>
        </is>
      </c>
      <c r="AF846" s="4" t="inlineStr">
        <is>
          <t>polos: 2 · amperaje: 60</t>
        </is>
      </c>
    </row>
    <row r="847">
      <c r="A847" s="3" t="inlineStr">
        <is>
          <t>MAT-10-235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Breaker enchufable 2P de 70 A</t>
        </is>
      </c>
      <c r="E847" s="4" t="inlineStr"/>
      <c r="F847" s="3" t="inlineStr">
        <is>
          <t>unidad</t>
        </is>
      </c>
      <c r="G847" s="3" t="inlineStr">
        <is>
          <t>Instalaciones</t>
        </is>
      </c>
      <c r="H847" s="3" t="inlineStr">
        <is>
          <t>estandar</t>
        </is>
      </c>
      <c r="I847" s="3" t="inlineStr">
        <is>
          <t>importado</t>
        </is>
      </c>
      <c r="J847" s="5" t="n">
        <v>1</v>
      </c>
      <c r="K847" s="6" t="n">
        <v>2959.5</v>
      </c>
      <c r="L847" s="6" t="n">
        <v>2720</v>
      </c>
      <c r="M847" s="6" t="n">
        <v>3199</v>
      </c>
      <c r="N847" s="3" t="inlineStr">
        <is>
          <t>Sí</t>
        </is>
      </c>
      <c r="O847" s="6">
        <f>IF(K847="","",IF(N847="Sí",ROUND(K847/1.18,2),K847))</f>
        <v/>
      </c>
      <c r="P847" s="3" t="inlineStr">
        <is>
          <t>2026-09-10</t>
        </is>
      </c>
      <c r="Q847" s="4" t="inlineStr">
        <is>
          <t>Bellón</t>
        </is>
      </c>
      <c r="AF847" s="4" t="inlineStr">
        <is>
          <t>polos: 2 · amperaje: 70</t>
        </is>
      </c>
    </row>
    <row r="848">
      <c r="A848" s="3" t="inlineStr">
        <is>
          <t>MAT-10-236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Breaker enchufable 2P de 80 A</t>
        </is>
      </c>
      <c r="E848" s="4" t="inlineStr"/>
      <c r="F848" s="3" t="inlineStr">
        <is>
          <t>unidad</t>
        </is>
      </c>
      <c r="G848" s="3" t="inlineStr">
        <is>
          <t>Instalaciones</t>
        </is>
      </c>
      <c r="H848" s="3" t="inlineStr">
        <is>
          <t>estandar</t>
        </is>
      </c>
      <c r="I848" s="3" t="inlineStr">
        <is>
          <t>importado</t>
        </is>
      </c>
      <c r="J848" s="5" t="n">
        <v>1</v>
      </c>
      <c r="K848" s="6" t="n">
        <v>2810.48</v>
      </c>
      <c r="L848" s="6" t="n">
        <v>2547.97</v>
      </c>
      <c r="M848" s="6" t="n">
        <v>3073</v>
      </c>
      <c r="N848" s="3" t="inlineStr">
        <is>
          <t>Sí</t>
        </is>
      </c>
      <c r="O848" s="6">
        <f>IF(K848="","",IF(N848="Sí",ROUND(K848/1.18,2),K848))</f>
        <v/>
      </c>
      <c r="P848" s="3" t="inlineStr">
        <is>
          <t>2026-09-10</t>
        </is>
      </c>
      <c r="Q848" s="4" t="inlineStr">
        <is>
          <t>Bellón</t>
        </is>
      </c>
      <c r="AF848" s="4" t="inlineStr">
        <is>
          <t>polos: 2 · amperaje: 80</t>
        </is>
      </c>
    </row>
    <row r="849">
      <c r="A849" s="3" t="inlineStr">
        <is>
          <t>MAT-10-237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Breaker enchufable 2P de 90 A</t>
        </is>
      </c>
      <c r="E849" s="4" t="inlineStr"/>
      <c r="F849" s="3" t="inlineStr">
        <is>
          <t>unidad</t>
        </is>
      </c>
      <c r="G849" s="3" t="inlineStr">
        <is>
          <t>Instalaciones</t>
        </is>
      </c>
      <c r="H849" s="3" t="inlineStr">
        <is>
          <t>estandar</t>
        </is>
      </c>
      <c r="I849" s="3" t="inlineStr">
        <is>
          <t>importado</t>
        </is>
      </c>
      <c r="J849" s="5" t="n">
        <v>1</v>
      </c>
      <c r="K849" s="6" t="n">
        <v>2968</v>
      </c>
      <c r="L849" s="6" t="n">
        <v>2968</v>
      </c>
      <c r="M849" s="6" t="n">
        <v>2968</v>
      </c>
      <c r="N849" s="3" t="inlineStr">
        <is>
          <t>Sí</t>
        </is>
      </c>
      <c r="O849" s="6">
        <f>IF(K849="","",IF(N849="Sí",ROUND(K849/1.18,2),K849))</f>
        <v/>
      </c>
      <c r="P849" s="3" t="inlineStr">
        <is>
          <t>2026-09-10</t>
        </is>
      </c>
      <c r="Q849" s="4" t="inlineStr">
        <is>
          <t>Bellón</t>
        </is>
      </c>
      <c r="AF849" s="4" t="inlineStr">
        <is>
          <t>polos: 2 · amperaje: 90</t>
        </is>
      </c>
    </row>
    <row r="850">
      <c r="A850" s="3" t="inlineStr">
        <is>
          <t>MAT-10-238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Breaker enchufable 3P de 100 A</t>
        </is>
      </c>
      <c r="E850" s="4" t="inlineStr"/>
      <c r="F850" s="3" t="inlineStr">
        <is>
          <t>unidad</t>
        </is>
      </c>
      <c r="G850" s="3" t="inlineStr">
        <is>
          <t>Instalaciones</t>
        </is>
      </c>
      <c r="H850" s="3" t="inlineStr">
        <is>
          <t>estandar</t>
        </is>
      </c>
      <c r="I850" s="3" t="inlineStr">
        <is>
          <t>importado</t>
        </is>
      </c>
      <c r="J850" s="5" t="n">
        <v>1</v>
      </c>
      <c r="K850" s="6" t="n">
        <v>6940</v>
      </c>
      <c r="L850" s="6" t="n">
        <v>6940</v>
      </c>
      <c r="M850" s="6" t="n">
        <v>6940</v>
      </c>
      <c r="N850" s="3" t="inlineStr">
        <is>
          <t>Sí</t>
        </is>
      </c>
      <c r="O850" s="6">
        <f>IF(K850="","",IF(N850="Sí",ROUND(K850/1.18,2),K850))</f>
        <v/>
      </c>
      <c r="P850" s="3" t="inlineStr">
        <is>
          <t>2026-09-10</t>
        </is>
      </c>
      <c r="Q850" s="4" t="inlineStr">
        <is>
          <t>Bellón</t>
        </is>
      </c>
      <c r="AF850" s="4" t="inlineStr">
        <is>
          <t>polos: 3 · amperaje: 100</t>
        </is>
      </c>
    </row>
    <row r="851">
      <c r="A851" s="3" t="inlineStr">
        <is>
          <t>MAT-10-239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Breaker enchufable 3P de 15 A</t>
        </is>
      </c>
      <c r="E851" s="4" t="inlineStr"/>
      <c r="F851" s="3" t="inlineStr">
        <is>
          <t>unidad</t>
        </is>
      </c>
      <c r="G851" s="3" t="inlineStr">
        <is>
          <t>Instalaciones</t>
        </is>
      </c>
      <c r="H851" s="3" t="inlineStr">
        <is>
          <t>estandar</t>
        </is>
      </c>
      <c r="I851" s="3" t="inlineStr">
        <is>
          <t>importado</t>
        </is>
      </c>
      <c r="J851" s="5" t="n">
        <v>1</v>
      </c>
      <c r="K851" s="6" t="n">
        <v>3062</v>
      </c>
      <c r="L851" s="6" t="n">
        <v>2309</v>
      </c>
      <c r="M851" s="6" t="n">
        <v>3815</v>
      </c>
      <c r="N851" s="3" t="inlineStr">
        <is>
          <t>Sí</t>
        </is>
      </c>
      <c r="O851" s="6">
        <f>IF(K851="","",IF(N851="Sí",ROUND(K851/1.18,2),K851))</f>
        <v/>
      </c>
      <c r="P851" s="3" t="inlineStr">
        <is>
          <t>2026-09-10</t>
        </is>
      </c>
      <c r="Q851" s="4" t="inlineStr">
        <is>
          <t>Bellón</t>
        </is>
      </c>
      <c r="AF851" s="4" t="inlineStr">
        <is>
          <t>polos: 3 · amperaje: 15</t>
        </is>
      </c>
    </row>
    <row r="852">
      <c r="A852" s="3" t="inlineStr">
        <is>
          <t>MAT-10-240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3P de 20 A</t>
        </is>
      </c>
      <c r="E852" s="4" t="inlineStr"/>
      <c r="F852" s="3" t="inlineStr">
        <is>
          <t>unidad</t>
        </is>
      </c>
      <c r="G852" s="3" t="inlineStr">
        <is>
          <t>Instalaciones</t>
        </is>
      </c>
      <c r="H852" s="3" t="inlineStr">
        <is>
          <t>estandar</t>
        </is>
      </c>
      <c r="I852" s="3" t="inlineStr">
        <is>
          <t>importado</t>
        </is>
      </c>
      <c r="J852" s="5" t="n">
        <v>1</v>
      </c>
      <c r="K852" s="6" t="n">
        <v>4801</v>
      </c>
      <c r="L852" s="6" t="n">
        <v>3815</v>
      </c>
      <c r="M852" s="6" t="n">
        <v>5787</v>
      </c>
      <c r="N852" s="3" t="inlineStr">
        <is>
          <t>Sí</t>
        </is>
      </c>
      <c r="O852" s="6">
        <f>IF(K852="","",IF(N852="Sí",ROUND(K852/1.18,2),K852))</f>
        <v/>
      </c>
      <c r="P852" s="3" t="inlineStr">
        <is>
          <t>2026-09-10</t>
        </is>
      </c>
      <c r="Q852" s="4" t="inlineStr">
        <is>
          <t>Bellón</t>
        </is>
      </c>
      <c r="AF852" s="4" t="inlineStr">
        <is>
          <t>polos: 3 · amperaje: 20</t>
        </is>
      </c>
    </row>
    <row r="853">
      <c r="A853" s="3" t="inlineStr">
        <is>
          <t>MAT-10-241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3P de 40 A</t>
        </is>
      </c>
      <c r="E853" s="4" t="inlineStr"/>
      <c r="F853" s="3" t="inlineStr">
        <is>
          <t>unidad</t>
        </is>
      </c>
      <c r="G853" s="3" t="inlineStr">
        <is>
          <t>Instalaciones</t>
        </is>
      </c>
      <c r="H853" s="3" t="inlineStr">
        <is>
          <t>estandar</t>
        </is>
      </c>
      <c r="I853" s="3" t="inlineStr">
        <is>
          <t>importado</t>
        </is>
      </c>
      <c r="J853" s="5" t="n">
        <v>1</v>
      </c>
      <c r="K853" s="6" t="n">
        <v>4357.5</v>
      </c>
      <c r="L853" s="6" t="n">
        <v>4310</v>
      </c>
      <c r="M853" s="6" t="n">
        <v>4405</v>
      </c>
      <c r="N853" s="3" t="inlineStr">
        <is>
          <t>Sí</t>
        </is>
      </c>
      <c r="O853" s="6">
        <f>IF(K853="","",IF(N853="Sí",ROUND(K853/1.18,2),K853))</f>
        <v/>
      </c>
      <c r="P853" s="3" t="inlineStr">
        <is>
          <t>2026-09-10</t>
        </is>
      </c>
      <c r="Q853" s="4" t="inlineStr">
        <is>
          <t>Bellón</t>
        </is>
      </c>
      <c r="AF853" s="4" t="inlineStr">
        <is>
          <t>polos: 3 · amperaje: 40</t>
        </is>
      </c>
    </row>
    <row r="854">
      <c r="A854" s="3" t="inlineStr">
        <is>
          <t>MAT-10-242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3P de 50 A</t>
        </is>
      </c>
      <c r="E854" s="4" t="inlineStr"/>
      <c r="F854" s="3" t="inlineStr">
        <is>
          <t>unidad</t>
        </is>
      </c>
      <c r="G854" s="3" t="inlineStr">
        <is>
          <t>Instalaciones</t>
        </is>
      </c>
      <c r="H854" s="3" t="inlineStr">
        <is>
          <t>estandar</t>
        </is>
      </c>
      <c r="I854" s="3" t="inlineStr">
        <is>
          <t>importado</t>
        </is>
      </c>
      <c r="J854" s="5" t="n">
        <v>1</v>
      </c>
      <c r="K854" s="6" t="n">
        <v>5048.5</v>
      </c>
      <c r="L854" s="6" t="n">
        <v>4310</v>
      </c>
      <c r="M854" s="6" t="n">
        <v>5787</v>
      </c>
      <c r="N854" s="3" t="inlineStr">
        <is>
          <t>Sí</t>
        </is>
      </c>
      <c r="O854" s="6">
        <f>IF(K854="","",IF(N854="Sí",ROUND(K854/1.18,2),K854))</f>
        <v/>
      </c>
      <c r="P854" s="3" t="inlineStr">
        <is>
          <t>2026-09-10</t>
        </is>
      </c>
      <c r="Q854" s="4" t="inlineStr">
        <is>
          <t>Bellón</t>
        </is>
      </c>
      <c r="AF854" s="4" t="inlineStr">
        <is>
          <t>polos: 3 · amperaje: 50</t>
        </is>
      </c>
    </row>
    <row r="855">
      <c r="A855" s="3" t="inlineStr">
        <is>
          <t>MAT-10-243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3P de 60 A</t>
        </is>
      </c>
      <c r="E855" s="4" t="inlineStr"/>
      <c r="F855" s="3" t="inlineStr">
        <is>
          <t>unidad</t>
        </is>
      </c>
      <c r="G855" s="3" t="inlineStr">
        <is>
          <t>Instalaciones</t>
        </is>
      </c>
      <c r="H855" s="3" t="inlineStr">
        <is>
          <t>estandar</t>
        </is>
      </c>
      <c r="I855" s="3" t="inlineStr">
        <is>
          <t>importado</t>
        </is>
      </c>
      <c r="J855" s="5" t="n">
        <v>1</v>
      </c>
      <c r="K855" s="6" t="n">
        <v>4121.5</v>
      </c>
      <c r="L855" s="6" t="n">
        <v>3933</v>
      </c>
      <c r="M855" s="6" t="n">
        <v>4310</v>
      </c>
      <c r="N855" s="3" t="inlineStr">
        <is>
          <t>Sí</t>
        </is>
      </c>
      <c r="O855" s="6">
        <f>IF(K855="","",IF(N855="Sí",ROUND(K855/1.18,2),K855))</f>
        <v/>
      </c>
      <c r="P855" s="3" t="inlineStr">
        <is>
          <t>2026-09-10</t>
        </is>
      </c>
      <c r="Q855" s="4" t="inlineStr">
        <is>
          <t>Bellón</t>
        </is>
      </c>
      <c r="AF855" s="4" t="inlineStr">
        <is>
          <t>polos: 3 · amperaje: 60</t>
        </is>
      </c>
    </row>
    <row r="856">
      <c r="A856" s="3" t="inlineStr">
        <is>
          <t>MAT-10-244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3P de 70 A</t>
        </is>
      </c>
      <c r="E856" s="4" t="inlineStr"/>
      <c r="F856" s="3" t="inlineStr">
        <is>
          <t>unidad</t>
        </is>
      </c>
      <c r="G856" s="3" t="inlineStr">
        <is>
          <t>Instalaciones</t>
        </is>
      </c>
      <c r="H856" s="3" t="inlineStr">
        <is>
          <t>estandar</t>
        </is>
      </c>
      <c r="I856" s="3" t="inlineStr">
        <is>
          <t>importado</t>
        </is>
      </c>
      <c r="J856" s="5" t="n">
        <v>1</v>
      </c>
      <c r="K856" s="6" t="n">
        <v>5519</v>
      </c>
      <c r="L856" s="6" t="n">
        <v>5328</v>
      </c>
      <c r="M856" s="6" t="n">
        <v>5710</v>
      </c>
      <c r="N856" s="3" t="inlineStr">
        <is>
          <t>Sí</t>
        </is>
      </c>
      <c r="O856" s="6">
        <f>IF(K856="","",IF(N856="Sí",ROUND(K856/1.18,2),K856))</f>
        <v/>
      </c>
      <c r="P856" s="3" t="inlineStr">
        <is>
          <t>2026-09-10</t>
        </is>
      </c>
      <c r="Q856" s="4" t="inlineStr">
        <is>
          <t>Bellón</t>
        </is>
      </c>
      <c r="AF856" s="4" t="inlineStr">
        <is>
          <t>polos: 3 · amperaje: 70</t>
        </is>
      </c>
    </row>
    <row r="857">
      <c r="A857" s="3" t="inlineStr">
        <is>
          <t>MAT-10-245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3P de 80 A</t>
        </is>
      </c>
      <c r="E857" s="4" t="inlineStr"/>
      <c r="F857" s="3" t="inlineStr">
        <is>
          <t>unidad</t>
        </is>
      </c>
      <c r="G857" s="3" t="inlineStr">
        <is>
          <t>Instalaciones</t>
        </is>
      </c>
      <c r="H857" s="3" t="inlineStr">
        <is>
          <t>estandar</t>
        </is>
      </c>
      <c r="I857" s="3" t="inlineStr">
        <is>
          <t>importado</t>
        </is>
      </c>
      <c r="J857" s="5" t="n">
        <v>1</v>
      </c>
      <c r="K857" s="6" t="n">
        <v>6059.5</v>
      </c>
      <c r="L857" s="6" t="n">
        <v>5739</v>
      </c>
      <c r="M857" s="6" t="n">
        <v>6380</v>
      </c>
      <c r="N857" s="3" t="inlineStr">
        <is>
          <t>Sí</t>
        </is>
      </c>
      <c r="O857" s="6">
        <f>IF(K857="","",IF(N857="Sí",ROUND(K857/1.18,2),K857))</f>
        <v/>
      </c>
      <c r="P857" s="3" t="inlineStr">
        <is>
          <t>2026-09-10</t>
        </is>
      </c>
      <c r="Q857" s="4" t="inlineStr">
        <is>
          <t>Bellón</t>
        </is>
      </c>
      <c r="AF857" s="4" t="inlineStr">
        <is>
          <t>polos: 3 · amperaje: 80</t>
        </is>
      </c>
    </row>
    <row r="858">
      <c r="A858" s="3" t="inlineStr">
        <is>
          <t>MAT-10-246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Breaker enchufable 3P de 90 A</t>
        </is>
      </c>
      <c r="E858" s="4" t="inlineStr"/>
      <c r="F858" s="3" t="inlineStr">
        <is>
          <t>unidad</t>
        </is>
      </c>
      <c r="G858" s="3" t="inlineStr">
        <is>
          <t>Instalaciones</t>
        </is>
      </c>
      <c r="H858" s="3" t="inlineStr">
        <is>
          <t>estandar</t>
        </is>
      </c>
      <c r="I858" s="3" t="inlineStr">
        <is>
          <t>importado</t>
        </is>
      </c>
      <c r="J858" s="5" t="n">
        <v>1</v>
      </c>
      <c r="K858" s="6" t="n">
        <v>4887.62</v>
      </c>
      <c r="L858" s="6" t="n">
        <v>4647</v>
      </c>
      <c r="M858" s="6" t="n">
        <v>5128.24</v>
      </c>
      <c r="N858" s="3" t="inlineStr">
        <is>
          <t>Sí</t>
        </is>
      </c>
      <c r="O858" s="6">
        <f>IF(K858="","",IF(N858="Sí",ROUND(K858/1.18,2),K858))</f>
        <v/>
      </c>
      <c r="P858" s="3" t="inlineStr">
        <is>
          <t>2026-09-10</t>
        </is>
      </c>
      <c r="Q858" s="4" t="inlineStr">
        <is>
          <t>Bellón</t>
        </is>
      </c>
      <c r="AF858" s="4" t="inlineStr">
        <is>
          <t>polos: 3 · amperaje: 90</t>
        </is>
      </c>
    </row>
    <row r="859">
      <c r="A859" s="3" t="inlineStr">
        <is>
          <t>MAT-10-247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Panel de breakers de 1 espacios</t>
        </is>
      </c>
      <c r="E859" s="4" t="inlineStr">
        <is>
          <t>Solo la caja · los breakers van aparte</t>
        </is>
      </c>
      <c r="F859" s="3" t="inlineStr">
        <is>
          <t>unidad</t>
        </is>
      </c>
      <c r="G859" s="3" t="inlineStr">
        <is>
          <t>Instalaciones</t>
        </is>
      </c>
      <c r="H859" s="3" t="inlineStr">
        <is>
          <t>estandar</t>
        </is>
      </c>
      <c r="I859" s="3" t="inlineStr">
        <is>
          <t>importado</t>
        </is>
      </c>
      <c r="J859" s="5" t="n">
        <v>1</v>
      </c>
      <c r="K859" s="6" t="n">
        <v>9622.41</v>
      </c>
      <c r="L859" s="6" t="n">
        <v>9622.41</v>
      </c>
      <c r="M859" s="6" t="n">
        <v>9622.41</v>
      </c>
      <c r="N859" s="3" t="inlineStr">
        <is>
          <t>Sí</t>
        </is>
      </c>
      <c r="O859" s="6">
        <f>IF(K859="","",IF(N859="Sí",ROUND(K859/1.18,2),K859))</f>
        <v/>
      </c>
      <c r="P859" s="3" t="inlineStr">
        <is>
          <t>2026-09-10</t>
        </is>
      </c>
      <c r="Q859" s="4" t="inlineStr">
        <is>
          <t>Bellón</t>
        </is>
      </c>
      <c r="AF859" s="4" t="inlineStr">
        <is>
          <t>espacios: 1</t>
        </is>
      </c>
    </row>
    <row r="860">
      <c r="A860" s="3" t="inlineStr">
        <is>
          <t>MAT-10-248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Panel de breakers de 12 espacios</t>
        </is>
      </c>
      <c r="E860" s="4" t="inlineStr">
        <is>
          <t>Solo la caja · los breakers van aparte</t>
        </is>
      </c>
      <c r="F860" s="3" t="inlineStr">
        <is>
          <t>unidad</t>
        </is>
      </c>
      <c r="G860" s="3" t="inlineStr">
        <is>
          <t>Instalaciones</t>
        </is>
      </c>
      <c r="H860" s="3" t="inlineStr">
        <is>
          <t>estandar</t>
        </is>
      </c>
      <c r="I860" s="3" t="inlineStr">
        <is>
          <t>importado</t>
        </is>
      </c>
      <c r="J860" s="5" t="n">
        <v>1</v>
      </c>
      <c r="K860" s="6" t="n">
        <v>3920</v>
      </c>
      <c r="L860" s="6" t="n">
        <v>3829</v>
      </c>
      <c r="M860" s="6" t="n">
        <v>7731.92</v>
      </c>
      <c r="N860" s="3" t="inlineStr">
        <is>
          <t>Sí</t>
        </is>
      </c>
      <c r="O860" s="6">
        <f>IF(K860="","",IF(N860="Sí",ROUND(K860/1.18,2),K860))</f>
        <v/>
      </c>
      <c r="P860" s="3" t="inlineStr">
        <is>
          <t>2026-09-10</t>
        </is>
      </c>
      <c r="Q860" s="4" t="inlineStr">
        <is>
          <t>Bellón</t>
        </is>
      </c>
      <c r="AF860" s="4" t="inlineStr">
        <is>
          <t>espacios: 12</t>
        </is>
      </c>
    </row>
    <row r="861">
      <c r="A861" s="3" t="inlineStr">
        <is>
          <t>MAT-10-249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Panel de breakers de 16 espacios</t>
        </is>
      </c>
      <c r="E861" s="4" t="inlineStr">
        <is>
          <t>Solo la caja · los breakers van aparte</t>
        </is>
      </c>
      <c r="F861" s="3" t="inlineStr">
        <is>
          <t>unidad</t>
        </is>
      </c>
      <c r="G861" s="3" t="inlineStr">
        <is>
          <t>Instalaciones</t>
        </is>
      </c>
      <c r="H861" s="3" t="inlineStr">
        <is>
          <t>estandar</t>
        </is>
      </c>
      <c r="I861" s="3" t="inlineStr">
        <is>
          <t>importado</t>
        </is>
      </c>
      <c r="J861" s="5" t="n">
        <v>2</v>
      </c>
      <c r="K861" s="6" t="n">
        <v>4044</v>
      </c>
      <c r="L861" s="6" t="n">
        <v>1522</v>
      </c>
      <c r="M861" s="6" t="n">
        <v>4755</v>
      </c>
      <c r="N861" s="3" t="inlineStr">
        <is>
          <t>Sí</t>
        </is>
      </c>
      <c r="O861" s="6">
        <f>IF(K861="","",IF(N861="Sí",ROUND(K861/1.18,2),K861))</f>
        <v/>
      </c>
      <c r="P861" s="3" t="inlineStr">
        <is>
          <t>2026-09-10</t>
        </is>
      </c>
      <c r="Q861" s="4" t="inlineStr">
        <is>
          <t>Bellón · Max Ferretería</t>
        </is>
      </c>
      <c r="AF861" s="4" t="inlineStr">
        <is>
          <t>espacios: 16</t>
        </is>
      </c>
    </row>
    <row r="862">
      <c r="A862" s="3" t="inlineStr">
        <is>
          <t>MAT-10-250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Panel de breakers de 18 espacios</t>
        </is>
      </c>
      <c r="E862" s="4" t="inlineStr">
        <is>
          <t>Solo la caja · los breakers van aparte</t>
        </is>
      </c>
      <c r="F862" s="3" t="inlineStr">
        <is>
          <t>unidad</t>
        </is>
      </c>
      <c r="G862" s="3" t="inlineStr">
        <is>
          <t>Instalaciones</t>
        </is>
      </c>
      <c r="H862" s="3" t="inlineStr">
        <is>
          <t>estandar</t>
        </is>
      </c>
      <c r="I862" s="3" t="inlineStr">
        <is>
          <t>importado</t>
        </is>
      </c>
      <c r="J862" s="5" t="n">
        <v>1</v>
      </c>
      <c r="K862" s="6" t="n">
        <v>14240</v>
      </c>
      <c r="L862" s="6" t="n">
        <v>14240</v>
      </c>
      <c r="M862" s="6" t="n">
        <v>14240</v>
      </c>
      <c r="N862" s="3" t="inlineStr">
        <is>
          <t>Sí</t>
        </is>
      </c>
      <c r="O862" s="6">
        <f>IF(K862="","",IF(N862="Sí",ROUND(K862/1.18,2),K862))</f>
        <v/>
      </c>
      <c r="P862" s="3" t="inlineStr">
        <is>
          <t>2026-09-10</t>
        </is>
      </c>
      <c r="Q862" s="4" t="inlineStr">
        <is>
          <t>Bellón</t>
        </is>
      </c>
      <c r="AF862" s="4" t="inlineStr">
        <is>
          <t>espacios: 18</t>
        </is>
      </c>
    </row>
    <row r="863">
      <c r="A863" s="3" t="inlineStr">
        <is>
          <t>MAT-10-251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Panel de breakers de 2 espacios</t>
        </is>
      </c>
      <c r="E863" s="4" t="inlineStr">
        <is>
          <t>Solo la caja · los breakers van aparte</t>
        </is>
      </c>
      <c r="F863" s="3" t="inlineStr">
        <is>
          <t>unidad</t>
        </is>
      </c>
      <c r="G863" s="3" t="inlineStr">
        <is>
          <t>Instalaciones</t>
        </is>
      </c>
      <c r="H863" s="3" t="inlineStr">
        <is>
          <t>estandar</t>
        </is>
      </c>
      <c r="I863" s="3" t="inlineStr">
        <is>
          <t>importado</t>
        </is>
      </c>
      <c r="J863" s="5" t="n">
        <v>1</v>
      </c>
      <c r="K863" s="6" t="n">
        <v>180</v>
      </c>
      <c r="L863" s="6" t="n">
        <v>180</v>
      </c>
      <c r="M863" s="6" t="n">
        <v>180</v>
      </c>
      <c r="N863" s="3" t="inlineStr">
        <is>
          <t>Sí</t>
        </is>
      </c>
      <c r="O863" s="6">
        <f>IF(K863="","",IF(N863="Sí",ROUND(K863/1.18,2),K863))</f>
        <v/>
      </c>
      <c r="P863" s="3" t="inlineStr">
        <is>
          <t>2026-09-10</t>
        </is>
      </c>
      <c r="Q863" s="4" t="inlineStr">
        <is>
          <t>Bellón</t>
        </is>
      </c>
      <c r="AF863" s="4" t="inlineStr">
        <is>
          <t>espacios: 2</t>
        </is>
      </c>
    </row>
    <row r="864">
      <c r="A864" s="3" t="inlineStr">
        <is>
          <t>MAT-10-252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Panel de breakers de 24 espacios</t>
        </is>
      </c>
      <c r="E864" s="4" t="inlineStr">
        <is>
          <t>Solo la caja · los breakers van aparte</t>
        </is>
      </c>
      <c r="F864" s="3" t="inlineStr">
        <is>
          <t>unidad</t>
        </is>
      </c>
      <c r="G864" s="3" t="inlineStr">
        <is>
          <t>Instalaciones</t>
        </is>
      </c>
      <c r="H864" s="3" t="inlineStr">
        <is>
          <t>estandar</t>
        </is>
      </c>
      <c r="I864" s="3" t="inlineStr">
        <is>
          <t>importado</t>
        </is>
      </c>
      <c r="J864" s="5" t="n">
        <v>1</v>
      </c>
      <c r="K864" s="6" t="n">
        <v>11419.5</v>
      </c>
      <c r="L864" s="6" t="n">
        <v>4431</v>
      </c>
      <c r="M864" s="6" t="n">
        <v>33115</v>
      </c>
      <c r="N864" s="3" t="inlineStr">
        <is>
          <t>Sí</t>
        </is>
      </c>
      <c r="O864" s="6">
        <f>IF(K864="","",IF(N864="Sí",ROUND(K864/1.18,2),K864))</f>
        <v/>
      </c>
      <c r="P864" s="3" t="inlineStr">
        <is>
          <t>2026-09-10</t>
        </is>
      </c>
      <c r="Q864" s="4" t="inlineStr">
        <is>
          <t>Bellón</t>
        </is>
      </c>
      <c r="AF864" s="4" t="inlineStr">
        <is>
          <t>espacios: 24</t>
        </is>
      </c>
    </row>
    <row r="865">
      <c r="A865" s="3" t="inlineStr">
        <is>
          <t>MAT-10-253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Panel de breakers de 3 espacios</t>
        </is>
      </c>
      <c r="E865" s="4" t="inlineStr">
        <is>
          <t>Solo la caja · los breakers van aparte</t>
        </is>
      </c>
      <c r="F865" s="3" t="inlineStr">
        <is>
          <t>unidad</t>
        </is>
      </c>
      <c r="G865" s="3" t="inlineStr">
        <is>
          <t>Instalaciones</t>
        </is>
      </c>
      <c r="H865" s="3" t="inlineStr">
        <is>
          <t>estandar</t>
        </is>
      </c>
      <c r="I865" s="3" t="inlineStr">
        <is>
          <t>importado</t>
        </is>
      </c>
      <c r="J865" s="5" t="n">
        <v>1</v>
      </c>
      <c r="K865" s="6" t="n">
        <v>5730</v>
      </c>
      <c r="L865" s="6" t="n">
        <v>5730</v>
      </c>
      <c r="M865" s="6" t="n">
        <v>5730</v>
      </c>
      <c r="N865" s="3" t="inlineStr">
        <is>
          <t>Sí</t>
        </is>
      </c>
      <c r="O865" s="6">
        <f>IF(K865="","",IF(N865="Sí",ROUND(K865/1.18,2),K865))</f>
        <v/>
      </c>
      <c r="P865" s="3" t="inlineStr">
        <is>
          <t>2026-09-10</t>
        </is>
      </c>
      <c r="Q865" s="4" t="inlineStr">
        <is>
          <t>Bellón</t>
        </is>
      </c>
      <c r="AF865" s="4" t="inlineStr">
        <is>
          <t>espacios: 3</t>
        </is>
      </c>
    </row>
    <row r="866">
      <c r="A866" s="3" t="inlineStr">
        <is>
          <t>MAT-10-254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Panel de breakers de 30 espacios</t>
        </is>
      </c>
      <c r="E866" s="4" t="inlineStr">
        <is>
          <t>Solo la caja · los breakers van aparte</t>
        </is>
      </c>
      <c r="F866" s="3" t="inlineStr">
        <is>
          <t>unidad</t>
        </is>
      </c>
      <c r="G866" s="3" t="inlineStr">
        <is>
          <t>Instalaciones</t>
        </is>
      </c>
      <c r="H866" s="3" t="inlineStr">
        <is>
          <t>estandar</t>
        </is>
      </c>
      <c r="I866" s="3" t="inlineStr">
        <is>
          <t>importado</t>
        </is>
      </c>
      <c r="J866" s="5" t="n">
        <v>1</v>
      </c>
      <c r="K866" s="6" t="n">
        <v>14169.46</v>
      </c>
      <c r="L866" s="6" t="n">
        <v>14169.46</v>
      </c>
      <c r="M866" s="6" t="n">
        <v>14169.46</v>
      </c>
      <c r="N866" s="3" t="inlineStr">
        <is>
          <t>Sí</t>
        </is>
      </c>
      <c r="O866" s="6">
        <f>IF(K866="","",IF(N866="Sí",ROUND(K866/1.18,2),K866))</f>
        <v/>
      </c>
      <c r="P866" s="3" t="inlineStr">
        <is>
          <t>2026-09-10</t>
        </is>
      </c>
      <c r="Q866" s="4" t="inlineStr">
        <is>
          <t>Bellón</t>
        </is>
      </c>
      <c r="AF866" s="4" t="inlineStr">
        <is>
          <t>espacios: 30</t>
        </is>
      </c>
    </row>
    <row r="867">
      <c r="A867" s="3" t="inlineStr">
        <is>
          <t>MAT-10-255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Panel de breakers de 32 espacios</t>
        </is>
      </c>
      <c r="E867" s="4" t="inlineStr">
        <is>
          <t>Solo la caja · los breakers van aparte</t>
        </is>
      </c>
      <c r="F867" s="3" t="inlineStr">
        <is>
          <t>unidad</t>
        </is>
      </c>
      <c r="G867" s="3" t="inlineStr">
        <is>
          <t>Instalaciones</t>
        </is>
      </c>
      <c r="H867" s="3" t="inlineStr">
        <is>
          <t>estandar</t>
        </is>
      </c>
      <c r="I867" s="3" t="inlineStr">
        <is>
          <t>importado</t>
        </is>
      </c>
      <c r="J867" s="5" t="n">
        <v>1</v>
      </c>
      <c r="K867" s="6" t="n">
        <v>8136.48</v>
      </c>
      <c r="L867" s="6" t="n">
        <v>8136.48</v>
      </c>
      <c r="M867" s="6" t="n">
        <v>8136.48</v>
      </c>
      <c r="N867" s="3" t="inlineStr">
        <is>
          <t>Sí</t>
        </is>
      </c>
      <c r="O867" s="6">
        <f>IF(K867="","",IF(N867="Sí",ROUND(K867/1.18,2),K867))</f>
        <v/>
      </c>
      <c r="P867" s="3" t="inlineStr">
        <is>
          <t>2026-09-10</t>
        </is>
      </c>
      <c r="Q867" s="4" t="inlineStr">
        <is>
          <t>Bellón</t>
        </is>
      </c>
      <c r="AF867" s="4" t="inlineStr">
        <is>
          <t>espacios: 32</t>
        </is>
      </c>
    </row>
    <row r="868">
      <c r="A868" s="3" t="inlineStr">
        <is>
          <t>MAT-10-256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Panel de breakers de 36 espacios</t>
        </is>
      </c>
      <c r="E868" s="4" t="inlineStr">
        <is>
          <t>Solo la caja · los breakers van aparte</t>
        </is>
      </c>
      <c r="F868" s="3" t="inlineStr">
        <is>
          <t>unidad</t>
        </is>
      </c>
      <c r="G868" s="3" t="inlineStr">
        <is>
          <t>Instalaciones</t>
        </is>
      </c>
      <c r="H868" s="3" t="inlineStr">
        <is>
          <t>estandar</t>
        </is>
      </c>
      <c r="I868" s="3" t="inlineStr">
        <is>
          <t>importado</t>
        </is>
      </c>
      <c r="J868" s="5" t="n">
        <v>1</v>
      </c>
      <c r="K868" s="6" t="n">
        <v>16369</v>
      </c>
      <c r="L868" s="6" t="n">
        <v>16369</v>
      </c>
      <c r="M868" s="6" t="n">
        <v>16369</v>
      </c>
      <c r="N868" s="3" t="inlineStr">
        <is>
          <t>Sí</t>
        </is>
      </c>
      <c r="O868" s="6">
        <f>IF(K868="","",IF(N868="Sí",ROUND(K868/1.18,2),K868))</f>
        <v/>
      </c>
      <c r="P868" s="3" t="inlineStr">
        <is>
          <t>2026-09-10</t>
        </is>
      </c>
      <c r="Q868" s="4" t="inlineStr">
        <is>
          <t>Bellón</t>
        </is>
      </c>
      <c r="AF868" s="4" t="inlineStr">
        <is>
          <t>espacios: 36</t>
        </is>
      </c>
    </row>
    <row r="869">
      <c r="A869" s="3" t="inlineStr">
        <is>
          <t>MAT-10-257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Panel de breakers de 4 espacios</t>
        </is>
      </c>
      <c r="E869" s="4" t="inlineStr">
        <is>
          <t>Solo la caja · los breakers van aparte</t>
        </is>
      </c>
      <c r="F869" s="3" t="inlineStr">
        <is>
          <t>unidad</t>
        </is>
      </c>
      <c r="G869" s="3" t="inlineStr">
        <is>
          <t>Instalaciones</t>
        </is>
      </c>
      <c r="H869" s="3" t="inlineStr">
        <is>
          <t>estandar</t>
        </is>
      </c>
      <c r="I869" s="3" t="inlineStr">
        <is>
          <t>importado</t>
        </is>
      </c>
      <c r="J869" s="5" t="n">
        <v>1</v>
      </c>
      <c r="K869" s="6" t="n">
        <v>1855</v>
      </c>
      <c r="L869" s="6" t="n">
        <v>629</v>
      </c>
      <c r="M869" s="6" t="n">
        <v>2442</v>
      </c>
      <c r="N869" s="3" t="inlineStr">
        <is>
          <t>Sí</t>
        </is>
      </c>
      <c r="O869" s="6">
        <f>IF(K869="","",IF(N869="Sí",ROUND(K869/1.18,2),K869))</f>
        <v/>
      </c>
      <c r="P869" s="3" t="inlineStr">
        <is>
          <t>2026-09-10</t>
        </is>
      </c>
      <c r="Q869" s="4" t="inlineStr">
        <is>
          <t>Bellón</t>
        </is>
      </c>
      <c r="AF869" s="4" t="inlineStr">
        <is>
          <t>espacios: 4</t>
        </is>
      </c>
    </row>
    <row r="870">
      <c r="A870" s="3" t="inlineStr">
        <is>
          <t>MAT-10-258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Panel de breakers de 40 espacios</t>
        </is>
      </c>
      <c r="E870" s="4" t="inlineStr">
        <is>
          <t>Solo la caja · los breakers van aparte</t>
        </is>
      </c>
      <c r="F870" s="3" t="inlineStr">
        <is>
          <t>unidad</t>
        </is>
      </c>
      <c r="G870" s="3" t="inlineStr">
        <is>
          <t>Instalaciones</t>
        </is>
      </c>
      <c r="H870" s="3" t="inlineStr">
        <is>
          <t>estandar</t>
        </is>
      </c>
      <c r="I870" s="3" t="inlineStr">
        <is>
          <t>importado</t>
        </is>
      </c>
      <c r="J870" s="5" t="n">
        <v>1</v>
      </c>
      <c r="K870" s="6" t="n">
        <v>9743.09</v>
      </c>
      <c r="L870" s="6" t="n">
        <v>9743.09</v>
      </c>
      <c r="M870" s="6" t="n">
        <v>9743.09</v>
      </c>
      <c r="N870" s="3" t="inlineStr">
        <is>
          <t>Sí</t>
        </is>
      </c>
      <c r="O870" s="6">
        <f>IF(K870="","",IF(N870="Sí",ROUND(K870/1.18,2),K870))</f>
        <v/>
      </c>
      <c r="P870" s="3" t="inlineStr">
        <is>
          <t>2026-09-10</t>
        </is>
      </c>
      <c r="Q870" s="4" t="inlineStr">
        <is>
          <t>Bellón</t>
        </is>
      </c>
      <c r="AF870" s="4" t="inlineStr">
        <is>
          <t>espacios: 40</t>
        </is>
      </c>
    </row>
    <row r="871">
      <c r="A871" s="3" t="inlineStr">
        <is>
          <t>MAT-10-259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Panel de breakers de 42 espacios</t>
        </is>
      </c>
      <c r="E871" s="4" t="inlineStr">
        <is>
          <t>Solo la caja · los breakers van aparte</t>
        </is>
      </c>
      <c r="F871" s="3" t="inlineStr">
        <is>
          <t>unidad</t>
        </is>
      </c>
      <c r="G871" s="3" t="inlineStr">
        <is>
          <t>Instalaciones</t>
        </is>
      </c>
      <c r="H871" s="3" t="inlineStr">
        <is>
          <t>estandar</t>
        </is>
      </c>
      <c r="I871" s="3" t="inlineStr">
        <is>
          <t>importado</t>
        </is>
      </c>
      <c r="J871" s="5" t="n">
        <v>1</v>
      </c>
      <c r="K871" s="6" t="n">
        <v>20121.46</v>
      </c>
      <c r="L871" s="6" t="n">
        <v>11250.61</v>
      </c>
      <c r="M871" s="6" t="n">
        <v>22869</v>
      </c>
      <c r="N871" s="3" t="inlineStr">
        <is>
          <t>Sí</t>
        </is>
      </c>
      <c r="O871" s="6">
        <f>IF(K871="","",IF(N871="Sí",ROUND(K871/1.18,2),K871))</f>
        <v/>
      </c>
      <c r="P871" s="3" t="inlineStr">
        <is>
          <t>2026-09-10</t>
        </is>
      </c>
      <c r="Q871" s="4" t="inlineStr">
        <is>
          <t>Bellón</t>
        </is>
      </c>
      <c r="AF871" s="4" t="inlineStr">
        <is>
          <t>espacios: 42</t>
        </is>
      </c>
    </row>
    <row r="872">
      <c r="A872" s="3" t="inlineStr">
        <is>
          <t>MAT-10-260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Panel de breakers de 48 espacios</t>
        </is>
      </c>
      <c r="E872" s="4" t="inlineStr">
        <is>
          <t>Solo la caja · los breakers van aparte</t>
        </is>
      </c>
      <c r="F872" s="3" t="inlineStr">
        <is>
          <t>unidad</t>
        </is>
      </c>
      <c r="G872" s="3" t="inlineStr">
        <is>
          <t>Instalaciones</t>
        </is>
      </c>
      <c r="H872" s="3" t="inlineStr">
        <is>
          <t>estandar</t>
        </is>
      </c>
      <c r="I872" s="3" t="inlineStr">
        <is>
          <t>importado</t>
        </is>
      </c>
      <c r="J872" s="5" t="n">
        <v>1</v>
      </c>
      <c r="K872" s="6" t="n">
        <v>11883</v>
      </c>
      <c r="L872" s="6" t="n">
        <v>11883</v>
      </c>
      <c r="M872" s="6" t="n">
        <v>11883</v>
      </c>
      <c r="N872" s="3" t="inlineStr">
        <is>
          <t>Sí</t>
        </is>
      </c>
      <c r="O872" s="6">
        <f>IF(K872="","",IF(N872="Sí",ROUND(K872/1.18,2),K872))</f>
        <v/>
      </c>
      <c r="P872" s="3" t="inlineStr">
        <is>
          <t>2026-09-10</t>
        </is>
      </c>
      <c r="Q872" s="4" t="inlineStr">
        <is>
          <t>Bellón</t>
        </is>
      </c>
      <c r="AF872" s="4" t="inlineStr">
        <is>
          <t>espacios: 48</t>
        </is>
      </c>
    </row>
    <row r="873">
      <c r="A873" s="3" t="inlineStr">
        <is>
          <t>MAT-10-261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Panel de breakers de 60 espacios</t>
        </is>
      </c>
      <c r="E873" s="4" t="inlineStr">
        <is>
          <t>Solo la caja · los breakers van aparte</t>
        </is>
      </c>
      <c r="F873" s="3" t="inlineStr">
        <is>
          <t>unidad</t>
        </is>
      </c>
      <c r="G873" s="3" t="inlineStr">
        <is>
          <t>Instalaciones</t>
        </is>
      </c>
      <c r="H873" s="3" t="inlineStr">
        <is>
          <t>estandar</t>
        </is>
      </c>
      <c r="I873" s="3" t="inlineStr">
        <is>
          <t>importado</t>
        </is>
      </c>
      <c r="J873" s="5" t="n">
        <v>1</v>
      </c>
      <c r="K873" s="6" t="n">
        <v>10527.54</v>
      </c>
      <c r="L873" s="6" t="n">
        <v>10527.54</v>
      </c>
      <c r="M873" s="6" t="n">
        <v>10527.54</v>
      </c>
      <c r="N873" s="3" t="inlineStr">
        <is>
          <t>Sí</t>
        </is>
      </c>
      <c r="O873" s="6">
        <f>IF(K873="","",IF(N873="Sí",ROUND(K873/1.18,2),K873))</f>
        <v/>
      </c>
      <c r="P873" s="3" t="inlineStr">
        <is>
          <t>2026-09-10</t>
        </is>
      </c>
      <c r="Q873" s="4" t="inlineStr">
        <is>
          <t>Bellón</t>
        </is>
      </c>
      <c r="AF873" s="4" t="inlineStr">
        <is>
          <t>espacios: 60</t>
        </is>
      </c>
    </row>
    <row r="874">
      <c r="A874" s="3" t="inlineStr">
        <is>
          <t>MAT-10-262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Panel de breakers de 8 espacios</t>
        </is>
      </c>
      <c r="E874" s="4" t="inlineStr">
        <is>
          <t>Solo la caja · los breakers van aparte</t>
        </is>
      </c>
      <c r="F874" s="3" t="inlineStr">
        <is>
          <t>unidad</t>
        </is>
      </c>
      <c r="G874" s="3" t="inlineStr">
        <is>
          <t>Instalaciones</t>
        </is>
      </c>
      <c r="H874" s="3" t="inlineStr">
        <is>
          <t>estandar</t>
        </is>
      </c>
      <c r="I874" s="3" t="inlineStr">
        <is>
          <t>importado</t>
        </is>
      </c>
      <c r="J874" s="5" t="n">
        <v>2</v>
      </c>
      <c r="K874" s="6" t="n">
        <v>1929.79</v>
      </c>
      <c r="L874" s="6" t="n">
        <v>566</v>
      </c>
      <c r="M874" s="6" t="n">
        <v>6205</v>
      </c>
      <c r="N874" s="3" t="inlineStr">
        <is>
          <t>Sí</t>
        </is>
      </c>
      <c r="O874" s="6">
        <f>IF(K874="","",IF(N874="Sí",ROUND(K874/1.18,2),K874))</f>
        <v/>
      </c>
      <c r="P874" s="3" t="inlineStr">
        <is>
          <t>2026-09-10</t>
        </is>
      </c>
      <c r="Q874" s="4" t="inlineStr">
        <is>
          <t>Bellón · Max Ferretería</t>
        </is>
      </c>
      <c r="AF874" s="4" t="inlineStr">
        <is>
          <t>espacios: 8</t>
        </is>
      </c>
    </row>
    <row r="875">
      <c r="A875" s="3" t="inlineStr">
        <is>
          <t>MAT-10-263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Caja de breaker principal de 125 A</t>
        </is>
      </c>
      <c r="E875" s="4" t="inlineStr"/>
      <c r="F875" s="3" t="inlineStr">
        <is>
          <t>unidad</t>
        </is>
      </c>
      <c r="G875" s="3" t="inlineStr">
        <is>
          <t>Instalaciones</t>
        </is>
      </c>
      <c r="H875" s="3" t="inlineStr">
        <is>
          <t>estandar</t>
        </is>
      </c>
      <c r="I875" s="3" t="inlineStr">
        <is>
          <t>importado</t>
        </is>
      </c>
      <c r="J875" s="5" t="n">
        <v>1</v>
      </c>
      <c r="K875" s="6" t="n">
        <v>6160</v>
      </c>
      <c r="L875" s="6" t="n">
        <v>6160</v>
      </c>
      <c r="M875" s="6" t="n">
        <v>6160</v>
      </c>
      <c r="N875" s="3" t="inlineStr">
        <is>
          <t>Sí</t>
        </is>
      </c>
      <c r="O875" s="6">
        <f>IF(K875="","",IF(N875="Sí",ROUND(K875/1.18,2),K875))</f>
        <v/>
      </c>
      <c r="P875" s="3" t="inlineStr">
        <is>
          <t>2026-09-09</t>
        </is>
      </c>
      <c r="Q875" s="4" t="inlineStr">
        <is>
          <t>Max Ferretería</t>
        </is>
      </c>
      <c r="AF875" s="4" t="inlineStr">
        <is>
          <t>amperaje: 125</t>
        </is>
      </c>
    </row>
    <row r="876">
      <c r="A876" s="3" t="inlineStr">
        <is>
          <t>MAT-10-264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Caja de breaker principal de 25 A</t>
        </is>
      </c>
      <c r="E876" s="4" t="inlineStr"/>
      <c r="F876" s="3" t="inlineStr">
        <is>
          <t>unidad</t>
        </is>
      </c>
      <c r="G876" s="3" t="inlineStr">
        <is>
          <t>Instalaciones</t>
        </is>
      </c>
      <c r="H876" s="3" t="inlineStr">
        <is>
          <t>estandar</t>
        </is>
      </c>
      <c r="I876" s="3" t="inlineStr">
        <is>
          <t>importado</t>
        </is>
      </c>
      <c r="J876" s="5" t="n">
        <v>1</v>
      </c>
      <c r="K876" s="6" t="n">
        <v>815</v>
      </c>
      <c r="L876" s="6" t="n">
        <v>815</v>
      </c>
      <c r="M876" s="6" t="n">
        <v>815</v>
      </c>
      <c r="N876" s="3" t="inlineStr">
        <is>
          <t>Sí</t>
        </is>
      </c>
      <c r="O876" s="6">
        <f>IF(K876="","",IF(N876="Sí",ROUND(K876/1.18,2),K876))</f>
        <v/>
      </c>
      <c r="P876" s="3" t="inlineStr">
        <is>
          <t>2026-09-09</t>
        </is>
      </c>
      <c r="Q876" s="4" t="inlineStr">
        <is>
          <t>Max Ferretería</t>
        </is>
      </c>
      <c r="AF876" s="4" t="inlineStr">
        <is>
          <t>amperaje: 25</t>
        </is>
      </c>
    </row>
    <row r="877">
      <c r="A877" s="3" t="inlineStr">
        <is>
          <t>MAT-10-265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Caja de breaker principal de 32 A</t>
        </is>
      </c>
      <c r="E877" s="4" t="inlineStr"/>
      <c r="F877" s="3" t="inlineStr">
        <is>
          <t>unidad</t>
        </is>
      </c>
      <c r="G877" s="3" t="inlineStr">
        <is>
          <t>Instalaciones</t>
        </is>
      </c>
      <c r="H877" s="3" t="inlineStr">
        <is>
          <t>estandar</t>
        </is>
      </c>
      <c r="I877" s="3" t="inlineStr">
        <is>
          <t>importado</t>
        </is>
      </c>
      <c r="J877" s="5" t="n">
        <v>1</v>
      </c>
      <c r="K877" s="6" t="n">
        <v>700</v>
      </c>
      <c r="L877" s="6" t="n">
        <v>700</v>
      </c>
      <c r="M877" s="6" t="n">
        <v>700</v>
      </c>
      <c r="N877" s="3" t="inlineStr">
        <is>
          <t>Sí</t>
        </is>
      </c>
      <c r="O877" s="6">
        <f>IF(K877="","",IF(N877="Sí",ROUND(K877/1.18,2),K877))</f>
        <v/>
      </c>
      <c r="P877" s="3" t="inlineStr">
        <is>
          <t>2026-09-09</t>
        </is>
      </c>
      <c r="Q877" s="4" t="inlineStr">
        <is>
          <t>Max Ferretería</t>
        </is>
      </c>
      <c r="AF877" s="4" t="inlineStr">
        <is>
          <t>amperaje: 32</t>
        </is>
      </c>
    </row>
    <row r="878">
      <c r="A878" s="3" t="inlineStr">
        <is>
          <t>MAT-10-266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Switch de doble tiro 2P de 30 A</t>
        </is>
      </c>
      <c r="E878" s="4" t="inlineStr"/>
      <c r="F878" s="3" t="inlineStr">
        <is>
          <t>unidad</t>
        </is>
      </c>
      <c r="G878" s="3" t="inlineStr">
        <is>
          <t>Instalaciones</t>
        </is>
      </c>
      <c r="H878" s="3" t="inlineStr">
        <is>
          <t>estandar</t>
        </is>
      </c>
      <c r="I878" s="3" t="inlineStr">
        <is>
          <t>importado</t>
        </is>
      </c>
      <c r="J878" s="5" t="n">
        <v>1</v>
      </c>
      <c r="K878" s="6" t="n">
        <v>675</v>
      </c>
      <c r="L878" s="6" t="n">
        <v>675</v>
      </c>
      <c r="M878" s="6" t="n">
        <v>675</v>
      </c>
      <c r="N878" s="3" t="inlineStr">
        <is>
          <t>Sí</t>
        </is>
      </c>
      <c r="O878" s="6">
        <f>IF(K878="","",IF(N878="Sí",ROUND(K878/1.18,2),K878))</f>
        <v/>
      </c>
      <c r="P878" s="3" t="inlineStr">
        <is>
          <t>2026-09-09</t>
        </is>
      </c>
      <c r="Q878" s="4" t="inlineStr">
        <is>
          <t>Max Ferretería</t>
        </is>
      </c>
      <c r="AF878" s="4" t="inlineStr">
        <is>
          <t>polos: 2 · amperaje: 30</t>
        </is>
      </c>
    </row>
    <row r="879">
      <c r="A879" s="3" t="inlineStr">
        <is>
          <t>MAT-10-267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Switch de doble tiro 2P de 60 A</t>
        </is>
      </c>
      <c r="E879" s="4" t="inlineStr"/>
      <c r="F879" s="3" t="inlineStr">
        <is>
          <t>unidad</t>
        </is>
      </c>
      <c r="G879" s="3" t="inlineStr">
        <is>
          <t>Instalaciones</t>
        </is>
      </c>
      <c r="H879" s="3" t="inlineStr">
        <is>
          <t>estandar</t>
        </is>
      </c>
      <c r="I879" s="3" t="inlineStr">
        <is>
          <t>importado</t>
        </is>
      </c>
      <c r="J879" s="5" t="n">
        <v>1</v>
      </c>
      <c r="K879" s="6" t="n">
        <v>1805</v>
      </c>
      <c r="L879" s="6" t="n">
        <v>1805</v>
      </c>
      <c r="M879" s="6" t="n">
        <v>1805</v>
      </c>
      <c r="N879" s="3" t="inlineStr">
        <is>
          <t>Sí</t>
        </is>
      </c>
      <c r="O879" s="6">
        <f>IF(K879="","",IF(N879="Sí",ROUND(K879/1.18,2),K879))</f>
        <v/>
      </c>
      <c r="P879" s="3" t="inlineStr">
        <is>
          <t>2026-09-09</t>
        </is>
      </c>
      <c r="Q879" s="4" t="inlineStr">
        <is>
          <t>Max Ferretería</t>
        </is>
      </c>
      <c r="AF879" s="4" t="inlineStr">
        <is>
          <t>polos: 2 · amperaje: 60</t>
        </is>
      </c>
    </row>
    <row r="880">
      <c r="A880" s="3" t="inlineStr">
        <is>
          <t>MAT-10-268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Fusible de 30 A</t>
        </is>
      </c>
      <c r="E880" s="4" t="inlineStr"/>
      <c r="F880" s="3" t="inlineStr">
        <is>
          <t>unidad</t>
        </is>
      </c>
      <c r="G880" s="3" t="inlineStr">
        <is>
          <t>Instalaciones</t>
        </is>
      </c>
      <c r="H880" s="3" t="inlineStr">
        <is>
          <t>estandar</t>
        </is>
      </c>
      <c r="I880" s="3" t="inlineStr">
        <is>
          <t>importado</t>
        </is>
      </c>
      <c r="J880" s="5" t="n">
        <v>1</v>
      </c>
      <c r="K880" s="6" t="n">
        <v>50</v>
      </c>
      <c r="L880" s="6" t="n">
        <v>50</v>
      </c>
      <c r="M880" s="6" t="n">
        <v>50</v>
      </c>
      <c r="N880" s="3" t="inlineStr">
        <is>
          <t>Sí</t>
        </is>
      </c>
      <c r="O880" s="6">
        <f>IF(K880="","",IF(N880="Sí",ROUND(K880/1.18,2),K880))</f>
        <v/>
      </c>
      <c r="P880" s="3" t="inlineStr">
        <is>
          <t>2026-09-09</t>
        </is>
      </c>
      <c r="Q880" s="4" t="inlineStr">
        <is>
          <t>Max Ferretería</t>
        </is>
      </c>
      <c r="AF880" s="4" t="inlineStr">
        <is>
          <t>amperaje: 30</t>
        </is>
      </c>
    </row>
    <row r="881">
      <c r="A881" s="3" t="inlineStr">
        <is>
          <t>MAT-10-269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Fusible de 60 A</t>
        </is>
      </c>
      <c r="E881" s="4" t="inlineStr"/>
      <c r="F881" s="3" t="inlineStr">
        <is>
          <t>unidad</t>
        </is>
      </c>
      <c r="G881" s="3" t="inlineStr">
        <is>
          <t>Instalaciones</t>
        </is>
      </c>
      <c r="H881" s="3" t="inlineStr">
        <is>
          <t>estandar</t>
        </is>
      </c>
      <c r="I881" s="3" t="inlineStr">
        <is>
          <t>importado</t>
        </is>
      </c>
      <c r="J881" s="5" t="n">
        <v>1</v>
      </c>
      <c r="K881" s="6" t="n">
        <v>140</v>
      </c>
      <c r="L881" s="6" t="n">
        <v>140</v>
      </c>
      <c r="M881" s="6" t="n">
        <v>140</v>
      </c>
      <c r="N881" s="3" t="inlineStr">
        <is>
          <t>Sí</t>
        </is>
      </c>
      <c r="O881" s="6">
        <f>IF(K881="","",IF(N881="Sí",ROUND(K881/1.18,2),K881))</f>
        <v/>
      </c>
      <c r="P881" s="3" t="inlineStr">
        <is>
          <t>2026-09-09</t>
        </is>
      </c>
      <c r="Q881" s="4" t="inlineStr">
        <is>
          <t>Max Ferretería</t>
        </is>
      </c>
      <c r="AF881" s="4" t="inlineStr">
        <is>
          <t>amperaje: 60</t>
        </is>
      </c>
    </row>
    <row r="882">
      <c r="A882" s="3" t="inlineStr">
        <is>
          <t>MAT-10-270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Protector de voltaje</t>
        </is>
      </c>
      <c r="E882" s="4" t="inlineStr"/>
      <c r="F882" s="3" t="inlineStr">
        <is>
          <t>unidad</t>
        </is>
      </c>
      <c r="G882" s="3" t="inlineStr">
        <is>
          <t>Instalaciones</t>
        </is>
      </c>
      <c r="H882" s="3" t="inlineStr">
        <is>
          <t>estandar</t>
        </is>
      </c>
      <c r="I882" s="3" t="inlineStr">
        <is>
          <t>importado</t>
        </is>
      </c>
      <c r="J882" s="5" t="n">
        <v>1</v>
      </c>
      <c r="K882" s="6" t="n">
        <v>950.01</v>
      </c>
      <c r="L882" s="6" t="n">
        <v>745</v>
      </c>
      <c r="M882" s="6" t="n">
        <v>1610</v>
      </c>
      <c r="N882" s="3" t="inlineStr">
        <is>
          <t>Sí</t>
        </is>
      </c>
      <c r="O882" s="6">
        <f>IF(K882="","",IF(N882="Sí",ROUND(K882/1.18,2),K882))</f>
        <v/>
      </c>
      <c r="P882" s="3" t="inlineStr">
        <is>
          <t>2026-09-09</t>
        </is>
      </c>
      <c r="Q882" s="4" t="inlineStr">
        <is>
          <t>Max Ferretería</t>
        </is>
      </c>
      <c r="AF882" s="4" t="inlineStr">
        <is>
          <t>tipo: Protector de voltaje</t>
        </is>
      </c>
    </row>
    <row r="883">
      <c r="A883" s="3" t="inlineStr">
        <is>
          <t>MAT-10-271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Regulador de voltaje</t>
        </is>
      </c>
      <c r="E883" s="4" t="inlineStr"/>
      <c r="F883" s="3" t="inlineStr">
        <is>
          <t>unidad</t>
        </is>
      </c>
      <c r="G883" s="3" t="inlineStr">
        <is>
          <t>Instalaciones</t>
        </is>
      </c>
      <c r="H883" s="3" t="inlineStr">
        <is>
          <t>estandar</t>
        </is>
      </c>
      <c r="I883" s="3" t="inlineStr">
        <is>
          <t>importado</t>
        </is>
      </c>
      <c r="J883" s="5" t="n">
        <v>1</v>
      </c>
      <c r="K883" s="6" t="n">
        <v>1395</v>
      </c>
      <c r="L883" s="6" t="n">
        <v>1395</v>
      </c>
      <c r="M883" s="6" t="n">
        <v>1395</v>
      </c>
      <c r="N883" s="3" t="inlineStr">
        <is>
          <t>Sí</t>
        </is>
      </c>
      <c r="O883" s="6">
        <f>IF(K883="","",IF(N883="Sí",ROUND(K883/1.18,2),K883))</f>
        <v/>
      </c>
      <c r="P883" s="3" t="inlineStr">
        <is>
          <t>2026-09-09</t>
        </is>
      </c>
      <c r="Q883" s="4" t="inlineStr">
        <is>
          <t>Max Ferretería</t>
        </is>
      </c>
      <c r="AF883" s="4" t="inlineStr">
        <is>
          <t>tipo: Regulador de voltaje</t>
        </is>
      </c>
    </row>
    <row r="884">
      <c r="A884" s="3" t="inlineStr">
        <is>
          <t>MAT-10-272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Tubo eléctrico EMT 1 1/2" x 10 pies</t>
        </is>
      </c>
      <c r="E884" s="4" t="inlineStr"/>
      <c r="F884" s="3" t="inlineStr">
        <is>
          <t>tubo</t>
        </is>
      </c>
      <c r="G884" s="3" t="inlineStr">
        <is>
          <t>Instalaciones</t>
        </is>
      </c>
      <c r="H884" s="3" t="inlineStr">
        <is>
          <t>estandar</t>
        </is>
      </c>
      <c r="I884" s="3" t="inlineStr">
        <is>
          <t>importado</t>
        </is>
      </c>
      <c r="J884" s="5" t="n">
        <v>1</v>
      </c>
      <c r="K884" s="6" t="n">
        <v>725</v>
      </c>
      <c r="L884" s="6" t="n">
        <v>725</v>
      </c>
      <c r="M884" s="6" t="n">
        <v>725</v>
      </c>
      <c r="N884" s="3" t="inlineStr">
        <is>
          <t>Sí</t>
        </is>
      </c>
      <c r="O884" s="6">
        <f>IF(K884="","",IF(N884="Sí",ROUND(K884/1.18,2),K884))</f>
        <v/>
      </c>
      <c r="P884" s="3" t="inlineStr">
        <is>
          <t>2026-09-09</t>
        </is>
      </c>
      <c r="Q884" s="4" t="inlineStr">
        <is>
          <t>Max Ferretería</t>
        </is>
      </c>
      <c r="Z884" s="7" t="n">
        <v>10</v>
      </c>
      <c r="AF884" s="4" t="inlineStr">
        <is>
          <t>material: EMT · medida: 1 1/2"</t>
        </is>
      </c>
    </row>
    <row r="885">
      <c r="A885" s="3" t="inlineStr">
        <is>
          <t>MAT-10-273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Tubo eléctrico EMT 1" x 10 pies</t>
        </is>
      </c>
      <c r="E885" s="4" t="inlineStr"/>
      <c r="F885" s="3" t="inlineStr">
        <is>
          <t>tubo</t>
        </is>
      </c>
      <c r="G885" s="3" t="inlineStr">
        <is>
          <t>Instalaciones</t>
        </is>
      </c>
      <c r="H885" s="3" t="inlineStr">
        <is>
          <t>estandar</t>
        </is>
      </c>
      <c r="I885" s="3" t="inlineStr">
        <is>
          <t>importado</t>
        </is>
      </c>
      <c r="J885" s="5" t="n">
        <v>1</v>
      </c>
      <c r="K885" s="6" t="n">
        <v>375</v>
      </c>
      <c r="L885" s="6" t="n">
        <v>375</v>
      </c>
      <c r="M885" s="6" t="n">
        <v>375</v>
      </c>
      <c r="N885" s="3" t="inlineStr">
        <is>
          <t>Sí</t>
        </is>
      </c>
      <c r="O885" s="6">
        <f>IF(K885="","",IF(N885="Sí",ROUND(K885/1.18,2),K885))</f>
        <v/>
      </c>
      <c r="P885" s="3" t="inlineStr">
        <is>
          <t>2026-09-09</t>
        </is>
      </c>
      <c r="Q885" s="4" t="inlineStr">
        <is>
          <t>Max Ferretería</t>
        </is>
      </c>
      <c r="Z885" s="7" t="n">
        <v>10</v>
      </c>
      <c r="AF885" s="4" t="inlineStr">
        <is>
          <t>material: EMT · medida: 1"</t>
        </is>
      </c>
    </row>
    <row r="886">
      <c r="A886" s="3" t="inlineStr">
        <is>
          <t>MAT-10-274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Tubo eléctrico EMT 3/4" x 10 pies</t>
        </is>
      </c>
      <c r="E886" s="4" t="inlineStr"/>
      <c r="F886" s="3" t="inlineStr">
        <is>
          <t>tubo</t>
        </is>
      </c>
      <c r="G886" s="3" t="inlineStr">
        <is>
          <t>Instalaciones</t>
        </is>
      </c>
      <c r="H886" s="3" t="inlineStr">
        <is>
          <t>estandar</t>
        </is>
      </c>
      <c r="I886" s="3" t="inlineStr">
        <is>
          <t>importado</t>
        </is>
      </c>
      <c r="J886" s="5" t="n">
        <v>1</v>
      </c>
      <c r="K886" s="6" t="n">
        <v>310</v>
      </c>
      <c r="L886" s="6" t="n">
        <v>310</v>
      </c>
      <c r="M886" s="6" t="n">
        <v>310</v>
      </c>
      <c r="N886" s="3" t="inlineStr">
        <is>
          <t>Sí</t>
        </is>
      </c>
      <c r="O886" s="6">
        <f>IF(K886="","",IF(N886="Sí",ROUND(K886/1.18,2),K886))</f>
        <v/>
      </c>
      <c r="P886" s="3" t="inlineStr">
        <is>
          <t>2026-09-09</t>
        </is>
      </c>
      <c r="Q886" s="4" t="inlineStr">
        <is>
          <t>Max Ferretería</t>
        </is>
      </c>
      <c r="Z886" s="7" t="n">
        <v>10</v>
      </c>
      <c r="AF886" s="4" t="inlineStr">
        <is>
          <t>material: EMT · medida: 3/4"</t>
        </is>
      </c>
    </row>
    <row r="887">
      <c r="A887" s="3" t="inlineStr">
        <is>
          <t>MAT-10-275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Tubería flexible BX 1/2"</t>
        </is>
      </c>
      <c r="E887" s="4" t="inlineStr">
        <is>
          <t>La ficha no declara el largo del rollo</t>
        </is>
      </c>
      <c r="F887" s="3" t="inlineStr">
        <is>
          <t>unidad</t>
        </is>
      </c>
      <c r="G887" s="3" t="inlineStr">
        <is>
          <t>Instalaciones</t>
        </is>
      </c>
      <c r="H887" s="3" t="inlineStr">
        <is>
          <t>estandar</t>
        </is>
      </c>
      <c r="I887" s="3" t="inlineStr">
        <is>
          <t>importado</t>
        </is>
      </c>
      <c r="J887" s="5" t="n">
        <v>1</v>
      </c>
      <c r="K887" s="6" t="n">
        <v>25</v>
      </c>
      <c r="L887" s="6" t="n">
        <v>25</v>
      </c>
      <c r="M887" s="6" t="n">
        <v>25</v>
      </c>
      <c r="N887" s="3" t="inlineStr">
        <is>
          <t>Sí</t>
        </is>
      </c>
      <c r="O887" s="6">
        <f>IF(K887="","",IF(N887="Sí",ROUND(K887/1.18,2),K887))</f>
        <v/>
      </c>
      <c r="P887" s="3" t="inlineStr">
        <is>
          <t>2026-09-09</t>
        </is>
      </c>
      <c r="Q887" s="4" t="inlineStr">
        <is>
          <t>Max Ferretería</t>
        </is>
      </c>
      <c r="AF887" s="4" t="inlineStr">
        <is>
          <t>material: BX · medida: 1/2"</t>
        </is>
      </c>
    </row>
    <row r="888">
      <c r="A888" s="3" t="inlineStr">
        <is>
          <t>MAT-10-276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Tubería flexible BX 3/4"</t>
        </is>
      </c>
      <c r="E888" s="4" t="inlineStr">
        <is>
          <t>La ficha no declara el largo del rollo</t>
        </is>
      </c>
      <c r="F888" s="3" t="inlineStr">
        <is>
          <t>unidad</t>
        </is>
      </c>
      <c r="G888" s="3" t="inlineStr">
        <is>
          <t>Instalaciones</t>
        </is>
      </c>
      <c r="H888" s="3" t="inlineStr">
        <is>
          <t>estandar</t>
        </is>
      </c>
      <c r="I888" s="3" t="inlineStr">
        <is>
          <t>importado</t>
        </is>
      </c>
      <c r="J888" s="5" t="n">
        <v>1</v>
      </c>
      <c r="K888" s="6" t="n">
        <v>35</v>
      </c>
      <c r="L888" s="6" t="n">
        <v>35</v>
      </c>
      <c r="M888" s="6" t="n">
        <v>35</v>
      </c>
      <c r="N888" s="3" t="inlineStr">
        <is>
          <t>Sí</t>
        </is>
      </c>
      <c r="O888" s="6">
        <f>IF(K888="","",IF(N888="Sí",ROUND(K888/1.18,2),K888))</f>
        <v/>
      </c>
      <c r="P888" s="3" t="inlineStr">
        <is>
          <t>2026-09-09</t>
        </is>
      </c>
      <c r="Q888" s="4" t="inlineStr">
        <is>
          <t>Max Ferretería</t>
        </is>
      </c>
      <c r="AF888" s="4" t="inlineStr">
        <is>
          <t>material: BX · medida: 3/4"</t>
        </is>
      </c>
    </row>
    <row r="889">
      <c r="A889" s="3" t="inlineStr">
        <is>
          <t>MAT-10-277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Tubería flexible liquid tight 3/4"</t>
        </is>
      </c>
      <c r="E889" s="4" t="inlineStr">
        <is>
          <t>La ficha no declara el largo del rollo</t>
        </is>
      </c>
      <c r="F889" s="3" t="inlineStr">
        <is>
          <t>unidad</t>
        </is>
      </c>
      <c r="G889" s="3" t="inlineStr">
        <is>
          <t>Instalaciones</t>
        </is>
      </c>
      <c r="H889" s="3" t="inlineStr">
        <is>
          <t>estandar</t>
        </is>
      </c>
      <c r="I889" s="3" t="inlineStr">
        <is>
          <t>importado</t>
        </is>
      </c>
      <c r="J889" s="5" t="n">
        <v>1</v>
      </c>
      <c r="K889" s="6" t="n">
        <v>77.51000000000001</v>
      </c>
      <c r="L889" s="6" t="n">
        <v>45.01</v>
      </c>
      <c r="M889" s="6" t="n">
        <v>110</v>
      </c>
      <c r="N889" s="3" t="inlineStr">
        <is>
          <t>Sí</t>
        </is>
      </c>
      <c r="O889" s="6">
        <f>IF(K889="","",IF(N889="Sí",ROUND(K889/1.18,2),K889))</f>
        <v/>
      </c>
      <c r="P889" s="3" t="inlineStr">
        <is>
          <t>2026-09-09</t>
        </is>
      </c>
      <c r="Q889" s="4" t="inlineStr">
        <is>
          <t>Max Ferretería</t>
        </is>
      </c>
      <c r="AF889" s="4" t="inlineStr">
        <is>
          <t>material: liquid tight · medida: 3/4"</t>
        </is>
      </c>
    </row>
    <row r="890">
      <c r="A890" s="3" t="inlineStr">
        <is>
          <t>MAT-10-278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Canaleta plástica 11 x 10 mm</t>
        </is>
      </c>
      <c r="E890" s="4" t="inlineStr"/>
      <c r="F890" s="3" t="inlineStr">
        <is>
          <t>tramo</t>
        </is>
      </c>
      <c r="G890" s="3" t="inlineStr">
        <is>
          <t>Instalaciones</t>
        </is>
      </c>
      <c r="H890" s="3" t="inlineStr">
        <is>
          <t>estandar</t>
        </is>
      </c>
      <c r="I890" s="3" t="inlineStr">
        <is>
          <t>importado</t>
        </is>
      </c>
      <c r="J890" s="5" t="n">
        <v>1</v>
      </c>
      <c r="K890" s="6" t="n">
        <v>115</v>
      </c>
      <c r="L890" s="6" t="n">
        <v>115</v>
      </c>
      <c r="M890" s="6" t="n">
        <v>115</v>
      </c>
      <c r="N890" s="3" t="inlineStr">
        <is>
          <t>Sí</t>
        </is>
      </c>
      <c r="O890" s="6">
        <f>IF(K890="","",IF(N890="Sí",ROUND(K890/1.18,2),K890))</f>
        <v/>
      </c>
      <c r="P890" s="3" t="inlineStr">
        <is>
          <t>2026-09-09</t>
        </is>
      </c>
      <c r="Q890" s="4" t="inlineStr">
        <is>
          <t>Max Ferretería</t>
        </is>
      </c>
      <c r="AF890" s="4" t="inlineStr">
        <is>
          <t>medida: 11 x 10 mm</t>
        </is>
      </c>
    </row>
    <row r="891">
      <c r="A891" s="3" t="inlineStr">
        <is>
          <t>MAT-10-279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Canaleta plástica 15 x 10 mm</t>
        </is>
      </c>
      <c r="E891" s="4" t="inlineStr"/>
      <c r="F891" s="3" t="inlineStr">
        <is>
          <t>tramo</t>
        </is>
      </c>
      <c r="G891" s="3" t="inlineStr">
        <is>
          <t>Instalaciones</t>
        </is>
      </c>
      <c r="H891" s="3" t="inlineStr">
        <is>
          <t>estandar</t>
        </is>
      </c>
      <c r="I891" s="3" t="inlineStr">
        <is>
          <t>importado</t>
        </is>
      </c>
      <c r="J891" s="5" t="n">
        <v>1</v>
      </c>
      <c r="K891" s="6" t="n">
        <v>119.99</v>
      </c>
      <c r="L891" s="6" t="n">
        <v>119.99</v>
      </c>
      <c r="M891" s="6" t="n">
        <v>119.99</v>
      </c>
      <c r="N891" s="3" t="inlineStr">
        <is>
          <t>Sí</t>
        </is>
      </c>
      <c r="O891" s="6">
        <f>IF(K891="","",IF(N891="Sí",ROUND(K891/1.18,2),K891))</f>
        <v/>
      </c>
      <c r="P891" s="3" t="inlineStr">
        <is>
          <t>2026-09-09</t>
        </is>
      </c>
      <c r="Q891" s="4" t="inlineStr">
        <is>
          <t>Max Ferretería</t>
        </is>
      </c>
      <c r="AF891" s="4" t="inlineStr">
        <is>
          <t>medida: 15 x 10 mm</t>
        </is>
      </c>
    </row>
    <row r="892">
      <c r="A892" s="3" t="inlineStr">
        <is>
          <t>MAT-10-280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Canaleta plástica 15 x 12 mm</t>
        </is>
      </c>
      <c r="E892" s="4" t="inlineStr"/>
      <c r="F892" s="3" t="inlineStr">
        <is>
          <t>tramo</t>
        </is>
      </c>
      <c r="G892" s="3" t="inlineStr">
        <is>
          <t>Instalaciones</t>
        </is>
      </c>
      <c r="H892" s="3" t="inlineStr">
        <is>
          <t>estandar</t>
        </is>
      </c>
      <c r="I892" s="3" t="inlineStr">
        <is>
          <t>importado</t>
        </is>
      </c>
      <c r="J892" s="5" t="n">
        <v>1</v>
      </c>
      <c r="K892" s="6" t="n">
        <v>135</v>
      </c>
      <c r="L892" s="6" t="n">
        <v>135</v>
      </c>
      <c r="M892" s="6" t="n">
        <v>135</v>
      </c>
      <c r="N892" s="3" t="inlineStr">
        <is>
          <t>Sí</t>
        </is>
      </c>
      <c r="O892" s="6">
        <f>IF(K892="","",IF(N892="Sí",ROUND(K892/1.18,2),K892))</f>
        <v/>
      </c>
      <c r="P892" s="3" t="inlineStr">
        <is>
          <t>2026-09-09</t>
        </is>
      </c>
      <c r="Q892" s="4" t="inlineStr">
        <is>
          <t>Max Ferretería</t>
        </is>
      </c>
      <c r="AF892" s="4" t="inlineStr">
        <is>
          <t>medida: 15 x 12 mm</t>
        </is>
      </c>
    </row>
    <row r="893">
      <c r="A893" s="3" t="inlineStr">
        <is>
          <t>MAT-10-281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Canaleta plástica 20 x 10 mm</t>
        </is>
      </c>
      <c r="E893" s="4" t="inlineStr"/>
      <c r="F893" s="3" t="inlineStr">
        <is>
          <t>tramo</t>
        </is>
      </c>
      <c r="G893" s="3" t="inlineStr">
        <is>
          <t>Instalaciones</t>
        </is>
      </c>
      <c r="H893" s="3" t="inlineStr">
        <is>
          <t>estandar</t>
        </is>
      </c>
      <c r="I893" s="3" t="inlineStr">
        <is>
          <t>importado</t>
        </is>
      </c>
      <c r="J893" s="5" t="n">
        <v>1</v>
      </c>
      <c r="K893" s="6" t="n">
        <v>150</v>
      </c>
      <c r="L893" s="6" t="n">
        <v>150</v>
      </c>
      <c r="M893" s="6" t="n">
        <v>150</v>
      </c>
      <c r="N893" s="3" t="inlineStr">
        <is>
          <t>Sí</t>
        </is>
      </c>
      <c r="O893" s="6">
        <f>IF(K893="","",IF(N893="Sí",ROUND(K893/1.18,2),K893))</f>
        <v/>
      </c>
      <c r="P893" s="3" t="inlineStr">
        <is>
          <t>2026-09-09</t>
        </is>
      </c>
      <c r="Q893" s="4" t="inlineStr">
        <is>
          <t>Max Ferretería</t>
        </is>
      </c>
      <c r="AF893" s="4" t="inlineStr">
        <is>
          <t>medida: 20 x 10 mm</t>
        </is>
      </c>
    </row>
    <row r="894">
      <c r="A894" s="3" t="inlineStr">
        <is>
          <t>MAT-10-282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Canaleta plástica 25 x 15 mm</t>
        </is>
      </c>
      <c r="E894" s="4" t="inlineStr"/>
      <c r="F894" s="3" t="inlineStr">
        <is>
          <t>tramo</t>
        </is>
      </c>
      <c r="G894" s="3" t="inlineStr">
        <is>
          <t>Instalaciones</t>
        </is>
      </c>
      <c r="H894" s="3" t="inlineStr">
        <is>
          <t>estandar</t>
        </is>
      </c>
      <c r="I894" s="3" t="inlineStr">
        <is>
          <t>importado</t>
        </is>
      </c>
      <c r="J894" s="5" t="n">
        <v>1</v>
      </c>
      <c r="K894" s="6" t="n">
        <v>200</v>
      </c>
      <c r="L894" s="6" t="n">
        <v>200</v>
      </c>
      <c r="M894" s="6" t="n">
        <v>200</v>
      </c>
      <c r="N894" s="3" t="inlineStr">
        <is>
          <t>Sí</t>
        </is>
      </c>
      <c r="O894" s="6">
        <f>IF(K894="","",IF(N894="Sí",ROUND(K894/1.18,2),K894))</f>
        <v/>
      </c>
      <c r="P894" s="3" t="inlineStr">
        <is>
          <t>2026-09-09</t>
        </is>
      </c>
      <c r="Q894" s="4" t="inlineStr">
        <is>
          <t>Max Ferretería</t>
        </is>
      </c>
      <c r="AF894" s="4" t="inlineStr">
        <is>
          <t>medida: 25 x 15 mm</t>
        </is>
      </c>
    </row>
    <row r="895">
      <c r="A895" s="3" t="inlineStr">
        <is>
          <t>MAT-10-283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Canaleta plástica 32 x 15 mm</t>
        </is>
      </c>
      <c r="E895" s="4" t="inlineStr"/>
      <c r="F895" s="3" t="inlineStr">
        <is>
          <t>tramo</t>
        </is>
      </c>
      <c r="G895" s="3" t="inlineStr">
        <is>
          <t>Instalaciones</t>
        </is>
      </c>
      <c r="H895" s="3" t="inlineStr">
        <is>
          <t>estandar</t>
        </is>
      </c>
      <c r="I895" s="3" t="inlineStr">
        <is>
          <t>importado</t>
        </is>
      </c>
      <c r="J895" s="5" t="n">
        <v>1</v>
      </c>
      <c r="K895" s="6" t="n">
        <v>215</v>
      </c>
      <c r="L895" s="6" t="n">
        <v>215</v>
      </c>
      <c r="M895" s="6" t="n">
        <v>215</v>
      </c>
      <c r="N895" s="3" t="inlineStr">
        <is>
          <t>Sí</t>
        </is>
      </c>
      <c r="O895" s="6">
        <f>IF(K895="","",IF(N895="Sí",ROUND(K895/1.18,2),K895))</f>
        <v/>
      </c>
      <c r="P895" s="3" t="inlineStr">
        <is>
          <t>2026-09-09</t>
        </is>
      </c>
      <c r="Q895" s="4" t="inlineStr">
        <is>
          <t>Max Ferretería</t>
        </is>
      </c>
      <c r="AF895" s="4" t="inlineStr">
        <is>
          <t>medida: 32 x 15 mm</t>
        </is>
      </c>
    </row>
    <row r="896">
      <c r="A896" s="3" t="inlineStr">
        <is>
          <t>MAT-10-284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Canaleta plástica 40 x 15 mm</t>
        </is>
      </c>
      <c r="E896" s="4" t="inlineStr"/>
      <c r="F896" s="3" t="inlineStr">
        <is>
          <t>tramo</t>
        </is>
      </c>
      <c r="G896" s="3" t="inlineStr">
        <is>
          <t>Instalaciones</t>
        </is>
      </c>
      <c r="H896" s="3" t="inlineStr">
        <is>
          <t>estandar</t>
        </is>
      </c>
      <c r="I896" s="3" t="inlineStr">
        <is>
          <t>importado</t>
        </is>
      </c>
      <c r="J896" s="5" t="n">
        <v>1</v>
      </c>
      <c r="K896" s="6" t="n">
        <v>320</v>
      </c>
      <c r="L896" s="6" t="n">
        <v>320</v>
      </c>
      <c r="M896" s="6" t="n">
        <v>320</v>
      </c>
      <c r="N896" s="3" t="inlineStr">
        <is>
          <t>Sí</t>
        </is>
      </c>
      <c r="O896" s="6">
        <f>IF(K896="","",IF(N896="Sí",ROUND(K896/1.18,2),K896))</f>
        <v/>
      </c>
      <c r="P896" s="3" t="inlineStr">
        <is>
          <t>2026-09-09</t>
        </is>
      </c>
      <c r="Q896" s="4" t="inlineStr">
        <is>
          <t>Max Ferretería</t>
        </is>
      </c>
      <c r="AF896" s="4" t="inlineStr">
        <is>
          <t>medida: 40 x 15 mm</t>
        </is>
      </c>
    </row>
    <row r="897">
      <c r="A897" s="3" t="inlineStr">
        <is>
          <t>MAT-10-285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Canaleta plástica 60 x 40 mm</t>
        </is>
      </c>
      <c r="E897" s="4" t="inlineStr"/>
      <c r="F897" s="3" t="inlineStr">
        <is>
          <t>tramo</t>
        </is>
      </c>
      <c r="G897" s="3" t="inlineStr">
        <is>
          <t>Instalaciones</t>
        </is>
      </c>
      <c r="H897" s="3" t="inlineStr">
        <is>
          <t>estandar</t>
        </is>
      </c>
      <c r="I897" s="3" t="inlineStr">
        <is>
          <t>importado</t>
        </is>
      </c>
      <c r="J897" s="5" t="n">
        <v>1</v>
      </c>
      <c r="K897" s="6" t="n">
        <v>550</v>
      </c>
      <c r="L897" s="6" t="n">
        <v>550</v>
      </c>
      <c r="M897" s="6" t="n">
        <v>550</v>
      </c>
      <c r="N897" s="3" t="inlineStr">
        <is>
          <t>Sí</t>
        </is>
      </c>
      <c r="O897" s="6">
        <f>IF(K897="","",IF(N897="Sí",ROUND(K897/1.18,2),K897))</f>
        <v/>
      </c>
      <c r="P897" s="3" t="inlineStr">
        <is>
          <t>2026-09-09</t>
        </is>
      </c>
      <c r="Q897" s="4" t="inlineStr">
        <is>
          <t>Max Ferretería</t>
        </is>
      </c>
      <c r="AF897" s="4" t="inlineStr">
        <is>
          <t>medida: 60 x 40 mm</t>
        </is>
      </c>
    </row>
    <row r="898">
      <c r="A898" s="3" t="inlineStr">
        <is>
          <t>MAT-10-286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Canaleta plástica 80 x 40 mm</t>
        </is>
      </c>
      <c r="E898" s="4" t="inlineStr"/>
      <c r="F898" s="3" t="inlineStr">
        <is>
          <t>tramo</t>
        </is>
      </c>
      <c r="G898" s="3" t="inlineStr">
        <is>
          <t>Instalaciones</t>
        </is>
      </c>
      <c r="H898" s="3" t="inlineStr">
        <is>
          <t>estandar</t>
        </is>
      </c>
      <c r="I898" s="3" t="inlineStr">
        <is>
          <t>importado</t>
        </is>
      </c>
      <c r="J898" s="5" t="n">
        <v>1</v>
      </c>
      <c r="K898" s="6" t="n">
        <v>745</v>
      </c>
      <c r="L898" s="6" t="n">
        <v>745</v>
      </c>
      <c r="M898" s="6" t="n">
        <v>745</v>
      </c>
      <c r="N898" s="3" t="inlineStr">
        <is>
          <t>Sí</t>
        </is>
      </c>
      <c r="O898" s="6">
        <f>IF(K898="","",IF(N898="Sí",ROUND(K898/1.18,2),K898))</f>
        <v/>
      </c>
      <c r="P898" s="3" t="inlineStr">
        <is>
          <t>2026-09-09</t>
        </is>
      </c>
      <c r="Q898" s="4" t="inlineStr">
        <is>
          <t>Max Ferretería</t>
        </is>
      </c>
      <c r="AF898" s="4" t="inlineStr">
        <is>
          <t>medida: 80 x 40 mm</t>
        </is>
      </c>
    </row>
    <row r="899">
      <c r="A899" s="3" t="inlineStr">
        <is>
          <t>MAT-10-287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Caja eléctrica octagonal de metal</t>
        </is>
      </c>
      <c r="E899" s="4" t="inlineStr"/>
      <c r="F899" s="3" t="inlineStr">
        <is>
          <t>unidad</t>
        </is>
      </c>
      <c r="G899" s="3" t="inlineStr">
        <is>
          <t>Instalaciones</t>
        </is>
      </c>
      <c r="H899" s="3" t="inlineStr">
        <is>
          <t>estandar</t>
        </is>
      </c>
      <c r="I899" s="3" t="inlineStr">
        <is>
          <t>importado</t>
        </is>
      </c>
      <c r="J899" s="5" t="n">
        <v>1</v>
      </c>
      <c r="K899" s="6" t="n">
        <v>115</v>
      </c>
      <c r="L899" s="6" t="n">
        <v>115</v>
      </c>
      <c r="M899" s="6" t="n">
        <v>115</v>
      </c>
      <c r="N899" s="3" t="inlineStr">
        <is>
          <t>Sí</t>
        </is>
      </c>
      <c r="O899" s="6">
        <f>IF(K899="","",IF(N899="Sí",ROUND(K899/1.18,2),K899))</f>
        <v/>
      </c>
      <c r="P899" s="3" t="inlineStr">
        <is>
          <t>2026-09-09</t>
        </is>
      </c>
      <c r="Q899" s="4" t="inlineStr">
        <is>
          <t>Max Ferretería</t>
        </is>
      </c>
      <c r="R899" s="7" t="inlineStr">
        <is>
          <t>octagonal</t>
        </is>
      </c>
      <c r="AF899" s="4" t="inlineStr">
        <is>
          <t>material: metal</t>
        </is>
      </c>
    </row>
    <row r="900">
      <c r="A900" s="3" t="inlineStr">
        <is>
          <t>MAT-10-288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Caja eléctrica rectangular de metal 2 x 4</t>
        </is>
      </c>
      <c r="E900" s="4" t="inlineStr"/>
      <c r="F900" s="3" t="inlineStr">
        <is>
          <t>unidad</t>
        </is>
      </c>
      <c r="G900" s="3" t="inlineStr">
        <is>
          <t>Instalaciones</t>
        </is>
      </c>
      <c r="H900" s="3" t="inlineStr">
        <is>
          <t>estandar</t>
        </is>
      </c>
      <c r="I900" s="3" t="inlineStr">
        <is>
          <t>importado</t>
        </is>
      </c>
      <c r="J900" s="5" t="n">
        <v>1</v>
      </c>
      <c r="K900" s="6" t="n">
        <v>40.5</v>
      </c>
      <c r="L900" s="6" t="n">
        <v>40</v>
      </c>
      <c r="M900" s="6" t="n">
        <v>41</v>
      </c>
      <c r="N900" s="3" t="inlineStr">
        <is>
          <t>Sí</t>
        </is>
      </c>
      <c r="O900" s="6">
        <f>IF(K900="","",IF(N900="Sí",ROUND(K900/1.18,2),K900))</f>
        <v/>
      </c>
      <c r="P900" s="3" t="inlineStr">
        <is>
          <t>2026-09-09</t>
        </is>
      </c>
      <c r="Q900" s="4" t="inlineStr">
        <is>
          <t>Max Ferretería</t>
        </is>
      </c>
      <c r="R900" s="7" t="inlineStr">
        <is>
          <t>rectangular</t>
        </is>
      </c>
      <c r="AF900" s="4" t="inlineStr">
        <is>
          <t>material: metal · medida: 2 x 4</t>
        </is>
      </c>
    </row>
    <row r="901">
      <c r="A901" s="3" t="inlineStr">
        <is>
          <t>MAT-10-289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Caja eléctrica rectangular de PVC 2 x 4</t>
        </is>
      </c>
      <c r="E901" s="4" t="inlineStr"/>
      <c r="F901" s="3" t="inlineStr">
        <is>
          <t>unidad</t>
        </is>
      </c>
      <c r="G901" s="3" t="inlineStr">
        <is>
          <t>Instalaciones</t>
        </is>
      </c>
      <c r="H901" s="3" t="inlineStr">
        <is>
          <t>estandar</t>
        </is>
      </c>
      <c r="I901" s="3" t="inlineStr">
        <is>
          <t>importado</t>
        </is>
      </c>
      <c r="J901" s="5" t="n">
        <v>1</v>
      </c>
      <c r="K901" s="6" t="n">
        <v>45.01</v>
      </c>
      <c r="L901" s="6" t="n">
        <v>45.01</v>
      </c>
      <c r="M901" s="6" t="n">
        <v>45.01</v>
      </c>
      <c r="N901" s="3" t="inlineStr">
        <is>
          <t>Sí</t>
        </is>
      </c>
      <c r="O901" s="6">
        <f>IF(K901="","",IF(N901="Sí",ROUND(K901/1.18,2),K901))</f>
        <v/>
      </c>
      <c r="P901" s="3" t="inlineStr">
        <is>
          <t>2026-09-09</t>
        </is>
      </c>
      <c r="Q901" s="4" t="inlineStr">
        <is>
          <t>Max Ferretería</t>
        </is>
      </c>
      <c r="R901" s="7" t="inlineStr">
        <is>
          <t>rectangular</t>
        </is>
      </c>
      <c r="AF901" s="4" t="inlineStr">
        <is>
          <t>material: PVC · medida: 2 x 4</t>
        </is>
      </c>
    </row>
    <row r="902">
      <c r="A902" s="3" t="inlineStr">
        <is>
          <t>MAT-10-290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Abrazadera para tubo eléctrico 1/2"</t>
        </is>
      </c>
      <c r="E902" s="4" t="inlineStr"/>
      <c r="F902" s="3" t="inlineStr">
        <is>
          <t>unidad</t>
        </is>
      </c>
      <c r="G902" s="3" t="inlineStr">
        <is>
          <t>Instalaciones</t>
        </is>
      </c>
      <c r="H902" s="3" t="inlineStr">
        <is>
          <t>estandar</t>
        </is>
      </c>
      <c r="I902" s="3" t="inlineStr">
        <is>
          <t>importado</t>
        </is>
      </c>
      <c r="J902" s="5" t="n">
        <v>1</v>
      </c>
      <c r="K902" s="6" t="n">
        <v>4</v>
      </c>
      <c r="L902" s="6" t="n">
        <v>4</v>
      </c>
      <c r="M902" s="6" t="n">
        <v>4</v>
      </c>
      <c r="N902" s="3" t="inlineStr">
        <is>
          <t>Sí</t>
        </is>
      </c>
      <c r="O902" s="6">
        <f>IF(K902="","",IF(N902="Sí",ROUND(K902/1.18,2),K902))</f>
        <v/>
      </c>
      <c r="P902" s="3" t="inlineStr">
        <is>
          <t>2026-09-09</t>
        </is>
      </c>
      <c r="Q902" s="4" t="inlineStr">
        <is>
          <t>Max Ferretería</t>
        </is>
      </c>
      <c r="AF902" s="4" t="inlineStr">
        <is>
          <t>medida: 1/2"</t>
        </is>
      </c>
    </row>
    <row r="903">
      <c r="A903" s="3" t="inlineStr">
        <is>
          <t>MAT-10-291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Abrazadera para tubo eléctrico 1/2", 2 huecos</t>
        </is>
      </c>
      <c r="E903" s="4" t="inlineStr"/>
      <c r="F903" s="3" t="inlineStr">
        <is>
          <t>unidad</t>
        </is>
      </c>
      <c r="G903" s="3" t="inlineStr">
        <is>
          <t>Instalaciones</t>
        </is>
      </c>
      <c r="H903" s="3" t="inlineStr">
        <is>
          <t>estandar</t>
        </is>
      </c>
      <c r="I903" s="3" t="inlineStr">
        <is>
          <t>importado</t>
        </is>
      </c>
      <c r="J903" s="5" t="n">
        <v>1</v>
      </c>
      <c r="K903" s="6" t="n">
        <v>5</v>
      </c>
      <c r="L903" s="6" t="n">
        <v>5</v>
      </c>
      <c r="M903" s="6" t="n">
        <v>5</v>
      </c>
      <c r="N903" s="3" t="inlineStr">
        <is>
          <t>Sí</t>
        </is>
      </c>
      <c r="O903" s="6">
        <f>IF(K903="","",IF(N903="Sí",ROUND(K903/1.18,2),K903))</f>
        <v/>
      </c>
      <c r="P903" s="3" t="inlineStr">
        <is>
          <t>2026-09-09</t>
        </is>
      </c>
      <c r="Q903" s="4" t="inlineStr">
        <is>
          <t>Max Ferretería</t>
        </is>
      </c>
      <c r="AF903" s="4" t="inlineStr">
        <is>
          <t>medida: 1/2" · huecos: 2</t>
        </is>
      </c>
    </row>
    <row r="904">
      <c r="A904" s="3" t="inlineStr">
        <is>
          <t>MAT-10-292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Abrazadera para tubo eléctrico 1"</t>
        </is>
      </c>
      <c r="E904" s="4" t="inlineStr"/>
      <c r="F904" s="3" t="inlineStr">
        <is>
          <t>unidad</t>
        </is>
      </c>
      <c r="G904" s="3" t="inlineStr">
        <is>
          <t>Instalaciones</t>
        </is>
      </c>
      <c r="H904" s="3" t="inlineStr">
        <is>
          <t>estandar</t>
        </is>
      </c>
      <c r="I904" s="3" t="inlineStr">
        <is>
          <t>importado</t>
        </is>
      </c>
      <c r="J904" s="5" t="n">
        <v>1</v>
      </c>
      <c r="K904" s="6" t="n">
        <v>7</v>
      </c>
      <c r="L904" s="6" t="n">
        <v>7</v>
      </c>
      <c r="M904" s="6" t="n">
        <v>7</v>
      </c>
      <c r="N904" s="3" t="inlineStr">
        <is>
          <t>Sí</t>
        </is>
      </c>
      <c r="O904" s="6">
        <f>IF(K904="","",IF(N904="Sí",ROUND(K904/1.18,2),K904))</f>
        <v/>
      </c>
      <c r="P904" s="3" t="inlineStr">
        <is>
          <t>2026-09-09</t>
        </is>
      </c>
      <c r="Q904" s="4" t="inlineStr">
        <is>
          <t>Max Ferretería</t>
        </is>
      </c>
      <c r="AF904" s="4" t="inlineStr">
        <is>
          <t>medida: 1"</t>
        </is>
      </c>
    </row>
    <row r="905">
      <c r="A905" s="3" t="inlineStr">
        <is>
          <t>MAT-10-293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Abrazadera para tubo eléctrico 2"</t>
        </is>
      </c>
      <c r="E905" s="4" t="inlineStr"/>
      <c r="F905" s="3" t="inlineStr">
        <is>
          <t>unidad</t>
        </is>
      </c>
      <c r="G905" s="3" t="inlineStr">
        <is>
          <t>Instalaciones</t>
        </is>
      </c>
      <c r="H905" s="3" t="inlineStr">
        <is>
          <t>estandar</t>
        </is>
      </c>
      <c r="I905" s="3" t="inlineStr">
        <is>
          <t>importado</t>
        </is>
      </c>
      <c r="J905" s="5" t="n">
        <v>1</v>
      </c>
      <c r="K905" s="6" t="n">
        <v>35</v>
      </c>
      <c r="L905" s="6" t="n">
        <v>35</v>
      </c>
      <c r="M905" s="6" t="n">
        <v>35</v>
      </c>
      <c r="N905" s="3" t="inlineStr">
        <is>
          <t>Sí</t>
        </is>
      </c>
      <c r="O905" s="6">
        <f>IF(K905="","",IF(N905="Sí",ROUND(K905/1.18,2),K905))</f>
        <v/>
      </c>
      <c r="P905" s="3" t="inlineStr">
        <is>
          <t>2026-09-09</t>
        </is>
      </c>
      <c r="Q905" s="4" t="inlineStr">
        <is>
          <t>Max Ferretería</t>
        </is>
      </c>
      <c r="AF905" s="4" t="inlineStr">
        <is>
          <t>medida: 2"</t>
        </is>
      </c>
    </row>
    <row r="906">
      <c r="A906" s="3" t="inlineStr">
        <is>
          <t>MAT-10-294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Abrazadera para tubo eléctrico 3/4"</t>
        </is>
      </c>
      <c r="E906" s="4" t="inlineStr"/>
      <c r="F906" s="3" t="inlineStr">
        <is>
          <t>unidad</t>
        </is>
      </c>
      <c r="G906" s="3" t="inlineStr">
        <is>
          <t>Instalaciones</t>
        </is>
      </c>
      <c r="H906" s="3" t="inlineStr">
        <is>
          <t>estandar</t>
        </is>
      </c>
      <c r="I906" s="3" t="inlineStr">
        <is>
          <t>importado</t>
        </is>
      </c>
      <c r="J906" s="5" t="n">
        <v>1</v>
      </c>
      <c r="K906" s="6" t="n">
        <v>4</v>
      </c>
      <c r="L906" s="6" t="n">
        <v>4</v>
      </c>
      <c r="M906" s="6" t="n">
        <v>4</v>
      </c>
      <c r="N906" s="3" t="inlineStr">
        <is>
          <t>Sí</t>
        </is>
      </c>
      <c r="O906" s="6">
        <f>IF(K906="","",IF(N906="Sí",ROUND(K906/1.18,2),K906))</f>
        <v/>
      </c>
      <c r="P906" s="3" t="inlineStr">
        <is>
          <t>2026-09-09</t>
        </is>
      </c>
      <c r="Q906" s="4" t="inlineStr">
        <is>
          <t>Max Ferretería</t>
        </is>
      </c>
      <c r="AF906" s="4" t="inlineStr">
        <is>
          <t>medida: 3/4"</t>
        </is>
      </c>
    </row>
    <row r="907">
      <c r="A907" s="3" t="inlineStr">
        <is>
          <t>MAT-10-295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Abrazadera para tubo eléctrico 3"</t>
        </is>
      </c>
      <c r="E907" s="4" t="inlineStr"/>
      <c r="F907" s="3" t="inlineStr">
        <is>
          <t>unidad</t>
        </is>
      </c>
      <c r="G907" s="3" t="inlineStr">
        <is>
          <t>Instalaciones</t>
        </is>
      </c>
      <c r="H907" s="3" t="inlineStr">
        <is>
          <t>estandar</t>
        </is>
      </c>
      <c r="I907" s="3" t="inlineStr">
        <is>
          <t>importado</t>
        </is>
      </c>
      <c r="J907" s="5" t="n">
        <v>1</v>
      </c>
      <c r="K907" s="6" t="n">
        <v>64.98999999999999</v>
      </c>
      <c r="L907" s="6" t="n">
        <v>64.98999999999999</v>
      </c>
      <c r="M907" s="6" t="n">
        <v>64.98999999999999</v>
      </c>
      <c r="N907" s="3" t="inlineStr">
        <is>
          <t>Sí</t>
        </is>
      </c>
      <c r="O907" s="6">
        <f>IF(K907="","",IF(N907="Sí",ROUND(K907/1.18,2),K907))</f>
        <v/>
      </c>
      <c r="P907" s="3" t="inlineStr">
        <is>
          <t>2026-09-09</t>
        </is>
      </c>
      <c r="Q907" s="4" t="inlineStr">
        <is>
          <t>Max Ferretería</t>
        </is>
      </c>
      <c r="AF907" s="4" t="inlineStr">
        <is>
          <t>medida: 3"</t>
        </is>
      </c>
    </row>
    <row r="908">
      <c r="A908" s="3" t="inlineStr">
        <is>
          <t>MAT-10-296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Codo conduit de PVC 1 1/2"</t>
        </is>
      </c>
      <c r="E908" s="4" t="inlineStr"/>
      <c r="F908" s="3" t="inlineStr">
        <is>
          <t>unidad</t>
        </is>
      </c>
      <c r="G908" s="3" t="inlineStr">
        <is>
          <t>Instalaciones</t>
        </is>
      </c>
      <c r="H908" s="3" t="inlineStr">
        <is>
          <t>estandar</t>
        </is>
      </c>
      <c r="I908" s="3" t="inlineStr">
        <is>
          <t>importado</t>
        </is>
      </c>
      <c r="J908" s="5" t="n">
        <v>1</v>
      </c>
      <c r="K908" s="6" t="n">
        <v>45.6</v>
      </c>
      <c r="L908" s="6" t="n">
        <v>45.6</v>
      </c>
      <c r="M908" s="6" t="n">
        <v>45.6</v>
      </c>
      <c r="N908" s="3" t="inlineStr">
        <is>
          <t>Sí</t>
        </is>
      </c>
      <c r="O908" s="6">
        <f>IF(K908="","",IF(N908="Sí",ROUND(K908/1.18,2),K908))</f>
        <v/>
      </c>
      <c r="P908" s="3" t="inlineStr">
        <is>
          <t>2026-09-09</t>
        </is>
      </c>
      <c r="Q908" s="4" t="inlineStr">
        <is>
          <t>Ferretería MC</t>
        </is>
      </c>
      <c r="AF908" s="4" t="inlineStr">
        <is>
          <t>tipo: codo · medida: 1 1/2"</t>
        </is>
      </c>
    </row>
    <row r="909">
      <c r="A909" s="3" t="inlineStr">
        <is>
          <t>MAT-10-297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Codo conduit de PVC 1/2"</t>
        </is>
      </c>
      <c r="E909" s="4" t="inlineStr"/>
      <c r="F909" s="3" t="inlineStr">
        <is>
          <t>unidad</t>
        </is>
      </c>
      <c r="G909" s="3" t="inlineStr">
        <is>
          <t>Instalaciones</t>
        </is>
      </c>
      <c r="H909" s="3" t="inlineStr">
        <is>
          <t>estandar</t>
        </is>
      </c>
      <c r="I909" s="3" t="inlineStr">
        <is>
          <t>importado</t>
        </is>
      </c>
      <c r="J909" s="5" t="n">
        <v>1</v>
      </c>
      <c r="K909" s="6" t="n">
        <v>8.99</v>
      </c>
      <c r="L909" s="6" t="n">
        <v>8.99</v>
      </c>
      <c r="M909" s="6" t="n">
        <v>8.99</v>
      </c>
      <c r="N909" s="3" t="inlineStr">
        <is>
          <t>Sí</t>
        </is>
      </c>
      <c r="O909" s="6">
        <f>IF(K909="","",IF(N909="Sí",ROUND(K909/1.18,2),K909))</f>
        <v/>
      </c>
      <c r="P909" s="3" t="inlineStr">
        <is>
          <t>2026-09-09</t>
        </is>
      </c>
      <c r="Q909" s="4" t="inlineStr">
        <is>
          <t>Ferretería MC</t>
        </is>
      </c>
      <c r="AF909" s="4" t="inlineStr">
        <is>
          <t>tipo: codo · medida: 1/2"</t>
        </is>
      </c>
    </row>
    <row r="910">
      <c r="A910" s="3" t="inlineStr">
        <is>
          <t>MAT-10-298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Codo conduit de PVC 1"</t>
        </is>
      </c>
      <c r="E910" s="4" t="inlineStr"/>
      <c r="F910" s="3" t="inlineStr">
        <is>
          <t>unidad</t>
        </is>
      </c>
      <c r="G910" s="3" t="inlineStr">
        <is>
          <t>Instalaciones</t>
        </is>
      </c>
      <c r="H910" s="3" t="inlineStr">
        <is>
          <t>estandar</t>
        </is>
      </c>
      <c r="I910" s="3" t="inlineStr">
        <is>
          <t>importado</t>
        </is>
      </c>
      <c r="J910" s="5" t="n">
        <v>1</v>
      </c>
      <c r="K910" s="6" t="n">
        <v>17.89</v>
      </c>
      <c r="L910" s="6" t="n">
        <v>17.89</v>
      </c>
      <c r="M910" s="6" t="n">
        <v>17.89</v>
      </c>
      <c r="N910" s="3" t="inlineStr">
        <is>
          <t>Sí</t>
        </is>
      </c>
      <c r="O910" s="6">
        <f>IF(K910="","",IF(N910="Sí",ROUND(K910/1.18,2),K910))</f>
        <v/>
      </c>
      <c r="P910" s="3" t="inlineStr">
        <is>
          <t>2026-09-09</t>
        </is>
      </c>
      <c r="Q910" s="4" t="inlineStr">
        <is>
          <t>Ferretería MC</t>
        </is>
      </c>
      <c r="AF910" s="4" t="inlineStr">
        <is>
          <t>tipo: codo · medida: 1"</t>
        </is>
      </c>
    </row>
    <row r="911">
      <c r="A911" s="3" t="inlineStr">
        <is>
          <t>MAT-10-299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Codo conduit de PVC 2"</t>
        </is>
      </c>
      <c r="E911" s="4" t="inlineStr"/>
      <c r="F911" s="3" t="inlineStr">
        <is>
          <t>unidad</t>
        </is>
      </c>
      <c r="G911" s="3" t="inlineStr">
        <is>
          <t>Instalaciones</t>
        </is>
      </c>
      <c r="H911" s="3" t="inlineStr">
        <is>
          <t>estandar</t>
        </is>
      </c>
      <c r="I911" s="3" t="inlineStr">
        <is>
          <t>importado</t>
        </is>
      </c>
      <c r="J911" s="5" t="n">
        <v>1</v>
      </c>
      <c r="K911" s="6" t="n">
        <v>65.88</v>
      </c>
      <c r="L911" s="6" t="n">
        <v>65.88</v>
      </c>
      <c r="M911" s="6" t="n">
        <v>65.88</v>
      </c>
      <c r="N911" s="3" t="inlineStr">
        <is>
          <t>Sí</t>
        </is>
      </c>
      <c r="O911" s="6">
        <f>IF(K911="","",IF(N911="Sí",ROUND(K911/1.18,2),K911))</f>
        <v/>
      </c>
      <c r="P911" s="3" t="inlineStr">
        <is>
          <t>2026-09-09</t>
        </is>
      </c>
      <c r="Q911" s="4" t="inlineStr">
        <is>
          <t>Ferretería MC</t>
        </is>
      </c>
      <c r="AF911" s="4" t="inlineStr">
        <is>
          <t>tipo: codo · medida: 2"</t>
        </is>
      </c>
    </row>
    <row r="912">
      <c r="A912" s="3" t="inlineStr">
        <is>
          <t>MAT-10-300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Codo conduit de PVC 3/4"</t>
        </is>
      </c>
      <c r="E912" s="4" t="inlineStr"/>
      <c r="F912" s="3" t="inlineStr">
        <is>
          <t>unidad</t>
        </is>
      </c>
      <c r="G912" s="3" t="inlineStr">
        <is>
          <t>Instalaciones</t>
        </is>
      </c>
      <c r="H912" s="3" t="inlineStr">
        <is>
          <t>estandar</t>
        </is>
      </c>
      <c r="I912" s="3" t="inlineStr">
        <is>
          <t>importado</t>
        </is>
      </c>
      <c r="J912" s="5" t="n">
        <v>1</v>
      </c>
      <c r="K912" s="6" t="n">
        <v>10.77</v>
      </c>
      <c r="L912" s="6" t="n">
        <v>10.77</v>
      </c>
      <c r="M912" s="6" t="n">
        <v>10.77</v>
      </c>
      <c r="N912" s="3" t="inlineStr">
        <is>
          <t>Sí</t>
        </is>
      </c>
      <c r="O912" s="6">
        <f>IF(K912="","",IF(N912="Sí",ROUND(K912/1.18,2),K912))</f>
        <v/>
      </c>
      <c r="P912" s="3" t="inlineStr">
        <is>
          <t>2026-09-09</t>
        </is>
      </c>
      <c r="Q912" s="4" t="inlineStr">
        <is>
          <t>Ferretería MC</t>
        </is>
      </c>
      <c r="AF912" s="4" t="inlineStr">
        <is>
          <t>tipo: codo · medida: 3/4"</t>
        </is>
      </c>
    </row>
    <row r="913">
      <c r="A913" s="3" t="inlineStr">
        <is>
          <t>MAT-10-301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Codo conduit de PVC 3"</t>
        </is>
      </c>
      <c r="E913" s="4" t="inlineStr"/>
      <c r="F913" s="3" t="inlineStr">
        <is>
          <t>unidad</t>
        </is>
      </c>
      <c r="G913" s="3" t="inlineStr">
        <is>
          <t>Instalaciones</t>
        </is>
      </c>
      <c r="H913" s="3" t="inlineStr">
        <is>
          <t>estandar</t>
        </is>
      </c>
      <c r="I913" s="3" t="inlineStr">
        <is>
          <t>importado</t>
        </is>
      </c>
      <c r="J913" s="5" t="n">
        <v>1</v>
      </c>
      <c r="K913" s="6" t="n">
        <v>195.41</v>
      </c>
      <c r="L913" s="6" t="n">
        <v>195.41</v>
      </c>
      <c r="M913" s="6" t="n">
        <v>195.41</v>
      </c>
      <c r="N913" s="3" t="inlineStr">
        <is>
          <t>Sí</t>
        </is>
      </c>
      <c r="O913" s="6">
        <f>IF(K913="","",IF(N913="Sí",ROUND(K913/1.18,2),K913))</f>
        <v/>
      </c>
      <c r="P913" s="3" t="inlineStr">
        <is>
          <t>2026-09-09</t>
        </is>
      </c>
      <c r="Q913" s="4" t="inlineStr">
        <is>
          <t>Ferretería MC</t>
        </is>
      </c>
      <c r="AF913" s="4" t="inlineStr">
        <is>
          <t>tipo: codo · medida: 3"</t>
        </is>
      </c>
    </row>
    <row r="914">
      <c r="A914" s="3" t="inlineStr">
        <is>
          <t>MAT-10-302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Codo conduit de PVC 4"</t>
        </is>
      </c>
      <c r="E914" s="4" t="inlineStr"/>
      <c r="F914" s="3" t="inlineStr">
        <is>
          <t>unidad</t>
        </is>
      </c>
      <c r="G914" s="3" t="inlineStr">
        <is>
          <t>Instalaciones</t>
        </is>
      </c>
      <c r="H914" s="3" t="inlineStr">
        <is>
          <t>estandar</t>
        </is>
      </c>
      <c r="I914" s="3" t="inlineStr">
        <is>
          <t>importado</t>
        </is>
      </c>
      <c r="J914" s="5" t="n">
        <v>1</v>
      </c>
      <c r="K914" s="6" t="n">
        <v>367.2</v>
      </c>
      <c r="L914" s="6" t="n">
        <v>367.2</v>
      </c>
      <c r="M914" s="6" t="n">
        <v>367.2</v>
      </c>
      <c r="N914" s="3" t="inlineStr">
        <is>
          <t>Sí</t>
        </is>
      </c>
      <c r="O914" s="6">
        <f>IF(K914="","",IF(N914="Sí",ROUND(K914/1.18,2),K914))</f>
        <v/>
      </c>
      <c r="P914" s="3" t="inlineStr">
        <is>
          <t>2026-09-09</t>
        </is>
      </c>
      <c r="Q914" s="4" t="inlineStr">
        <is>
          <t>Ferretería MC</t>
        </is>
      </c>
      <c r="AF914" s="4" t="inlineStr">
        <is>
          <t>tipo: codo · medida: 4"</t>
        </is>
      </c>
    </row>
    <row r="915">
      <c r="A915" s="3" t="inlineStr">
        <is>
          <t>MAT-10-303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Abrazadera plástica de 10"</t>
        </is>
      </c>
      <c r="E915" s="4" t="inlineStr">
        <is>
          <t>La ficha no declara cuántas trae el paquete</t>
        </is>
      </c>
      <c r="F915" s="3" t="inlineStr">
        <is>
          <t>paquete</t>
        </is>
      </c>
      <c r="G915" s="3" t="inlineStr">
        <is>
          <t>Instalaciones</t>
        </is>
      </c>
      <c r="H915" s="3" t="inlineStr">
        <is>
          <t>estandar</t>
        </is>
      </c>
      <c r="I915" s="3" t="inlineStr">
        <is>
          <t>importado</t>
        </is>
      </c>
      <c r="J915" s="5" t="n">
        <v>1</v>
      </c>
      <c r="K915" s="6" t="n">
        <v>150</v>
      </c>
      <c r="L915" s="6" t="n">
        <v>150</v>
      </c>
      <c r="M915" s="6" t="n">
        <v>150</v>
      </c>
      <c r="N915" s="3" t="inlineStr">
        <is>
          <t>Sí</t>
        </is>
      </c>
      <c r="O915" s="6">
        <f>IF(K915="","",IF(N915="Sí",ROUND(K915/1.18,2),K915))</f>
        <v/>
      </c>
      <c r="P915" s="3" t="inlineStr">
        <is>
          <t>2026-09-09</t>
        </is>
      </c>
      <c r="Q915" s="4" t="inlineStr">
        <is>
          <t>Max Ferretería</t>
        </is>
      </c>
      <c r="AF915" s="4" t="inlineStr">
        <is>
          <t>largo_pulg: 10</t>
        </is>
      </c>
    </row>
    <row r="916">
      <c r="A916" s="3" t="inlineStr">
        <is>
          <t>MAT-10-304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Abrazadera plástica de 12"</t>
        </is>
      </c>
      <c r="E916" s="4" t="inlineStr">
        <is>
          <t>La ficha no declara cuántas trae el paquete</t>
        </is>
      </c>
      <c r="F916" s="3" t="inlineStr">
        <is>
          <t>paquete</t>
        </is>
      </c>
      <c r="G916" s="3" t="inlineStr">
        <is>
          <t>Instalaciones</t>
        </is>
      </c>
      <c r="H916" s="3" t="inlineStr">
        <is>
          <t>estandar</t>
        </is>
      </c>
      <c r="I916" s="3" t="inlineStr">
        <is>
          <t>importado</t>
        </is>
      </c>
      <c r="J916" s="5" t="n">
        <v>1</v>
      </c>
      <c r="K916" s="6" t="n">
        <v>2.42</v>
      </c>
      <c r="L916" s="6" t="n">
        <v>1.99</v>
      </c>
      <c r="M916" s="6" t="n">
        <v>2.86</v>
      </c>
      <c r="N916" s="3" t="inlineStr">
        <is>
          <t>Sí</t>
        </is>
      </c>
      <c r="O916" s="6">
        <f>IF(K916="","",IF(N916="Sí",ROUND(K916/1.18,2),K916))</f>
        <v/>
      </c>
      <c r="P916" s="3" t="inlineStr">
        <is>
          <t>2026-09-09</t>
        </is>
      </c>
      <c r="Q916" s="4" t="inlineStr">
        <is>
          <t>Max Ferretería</t>
        </is>
      </c>
      <c r="AF916" s="4" t="inlineStr">
        <is>
          <t>largo_pulg: 12</t>
        </is>
      </c>
    </row>
    <row r="917">
      <c r="A917" s="3" t="inlineStr">
        <is>
          <t>MAT-10-305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Abrazadera plástica de 8"</t>
        </is>
      </c>
      <c r="E917" s="4" t="inlineStr">
        <is>
          <t>La ficha no declara cuántas trae el paquete</t>
        </is>
      </c>
      <c r="F917" s="3" t="inlineStr">
        <is>
          <t>paquete</t>
        </is>
      </c>
      <c r="G917" s="3" t="inlineStr">
        <is>
          <t>Instalaciones</t>
        </is>
      </c>
      <c r="H917" s="3" t="inlineStr">
        <is>
          <t>estandar</t>
        </is>
      </c>
      <c r="I917" s="3" t="inlineStr">
        <is>
          <t>importado</t>
        </is>
      </c>
      <c r="J917" s="5" t="n">
        <v>1</v>
      </c>
      <c r="K917" s="6" t="n">
        <v>95</v>
      </c>
      <c r="L917" s="6" t="n">
        <v>85</v>
      </c>
      <c r="M917" s="6" t="n">
        <v>105</v>
      </c>
      <c r="N917" s="3" t="inlineStr">
        <is>
          <t>Sí</t>
        </is>
      </c>
      <c r="O917" s="6">
        <f>IF(K917="","",IF(N917="Sí",ROUND(K917/1.18,2),K917))</f>
        <v/>
      </c>
      <c r="P917" s="3" t="inlineStr">
        <is>
          <t>2026-09-09</t>
        </is>
      </c>
      <c r="Q917" s="4" t="inlineStr">
        <is>
          <t>Max Ferretería</t>
        </is>
      </c>
      <c r="AF917" s="4" t="inlineStr">
        <is>
          <t>largo_pulg: 8</t>
        </is>
      </c>
    </row>
    <row r="918">
      <c r="A918" s="3" t="inlineStr">
        <is>
          <t>MAT-10-306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Cinta aislante 15 mts</t>
        </is>
      </c>
      <c r="E918" s="4" t="inlineStr"/>
      <c r="F918" s="3" t="inlineStr">
        <is>
          <t>rollo</t>
        </is>
      </c>
      <c r="G918" s="3" t="inlineStr">
        <is>
          <t>Instalaciones</t>
        </is>
      </c>
      <c r="H918" s="3" t="inlineStr">
        <is>
          <t>estandar</t>
        </is>
      </c>
      <c r="I918" s="3" t="inlineStr">
        <is>
          <t>importado</t>
        </is>
      </c>
      <c r="J918" s="5" t="n">
        <v>1</v>
      </c>
      <c r="K918" s="6" t="n">
        <v>1125</v>
      </c>
      <c r="L918" s="6" t="n">
        <v>1125</v>
      </c>
      <c r="M918" s="6" t="n">
        <v>1125</v>
      </c>
      <c r="N918" s="3" t="inlineStr">
        <is>
          <t>Sí</t>
        </is>
      </c>
      <c r="O918" s="6">
        <f>IF(K918="","",IF(N918="Sí",ROUND(K918/1.18,2),K918))</f>
        <v/>
      </c>
      <c r="P918" s="3" t="inlineStr">
        <is>
          <t>2026-09-09</t>
        </is>
      </c>
      <c r="Q918" s="4" t="inlineStr">
        <is>
          <t>Max Ferretería</t>
        </is>
      </c>
      <c r="AF918" s="4" t="inlineStr">
        <is>
          <t>medida: 15 mts</t>
        </is>
      </c>
    </row>
    <row r="919">
      <c r="A919" s="3" t="inlineStr">
        <is>
          <t>MAT-10-307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Cinta aislante 3 m</t>
        </is>
      </c>
      <c r="E919" s="4" t="inlineStr"/>
      <c r="F919" s="3" t="inlineStr">
        <is>
          <t>rollo</t>
        </is>
      </c>
      <c r="G919" s="3" t="inlineStr">
        <is>
          <t>Instalaciones</t>
        </is>
      </c>
      <c r="H919" s="3" t="inlineStr">
        <is>
          <t>estandar</t>
        </is>
      </c>
      <c r="I919" s="3" t="inlineStr">
        <is>
          <t>importado</t>
        </is>
      </c>
      <c r="J919" s="5" t="n">
        <v>1</v>
      </c>
      <c r="K919" s="6" t="n">
        <v>787.5</v>
      </c>
      <c r="L919" s="6" t="n">
        <v>135</v>
      </c>
      <c r="M919" s="6" t="n">
        <v>2115</v>
      </c>
      <c r="N919" s="3" t="inlineStr">
        <is>
          <t>Sí</t>
        </is>
      </c>
      <c r="O919" s="6">
        <f>IF(K919="","",IF(N919="Sí",ROUND(K919/1.18,2),K919))</f>
        <v/>
      </c>
      <c r="P919" s="3" t="inlineStr">
        <is>
          <t>2026-09-09</t>
        </is>
      </c>
      <c r="Q919" s="4" t="inlineStr">
        <is>
          <t>Max Ferretería</t>
        </is>
      </c>
      <c r="AF919" s="4" t="inlineStr">
        <is>
          <t>medida: 3 m</t>
        </is>
      </c>
    </row>
    <row r="920">
      <c r="A920" s="3" t="inlineStr">
        <is>
          <t>MAT-10-308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Cinta aislante 30 mts</t>
        </is>
      </c>
      <c r="E920" s="4" t="inlineStr"/>
      <c r="F920" s="3" t="inlineStr">
        <is>
          <t>rollo</t>
        </is>
      </c>
      <c r="G920" s="3" t="inlineStr">
        <is>
          <t>Instalaciones</t>
        </is>
      </c>
      <c r="H920" s="3" t="inlineStr">
        <is>
          <t>estandar</t>
        </is>
      </c>
      <c r="I920" s="3" t="inlineStr">
        <is>
          <t>importado</t>
        </is>
      </c>
      <c r="J920" s="5" t="n">
        <v>1</v>
      </c>
      <c r="K920" s="6" t="n">
        <v>1730</v>
      </c>
      <c r="L920" s="6" t="n">
        <v>1730</v>
      </c>
      <c r="M920" s="6" t="n">
        <v>1730</v>
      </c>
      <c r="N920" s="3" t="inlineStr">
        <is>
          <t>Sí</t>
        </is>
      </c>
      <c r="O920" s="6">
        <f>IF(K920="","",IF(N920="Sí",ROUND(K920/1.18,2),K920))</f>
        <v/>
      </c>
      <c r="P920" s="3" t="inlineStr">
        <is>
          <t>2026-09-09</t>
        </is>
      </c>
      <c r="Q920" s="4" t="inlineStr">
        <is>
          <t>Max Ferretería</t>
        </is>
      </c>
      <c r="AF920" s="4" t="inlineStr">
        <is>
          <t>medida: 30 mts</t>
        </is>
      </c>
    </row>
    <row r="921">
      <c r="A921" s="3" t="inlineStr">
        <is>
          <t>MAT-10-309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Cable THHN #14, rollo 100 pies</t>
        </is>
      </c>
      <c r="E921" s="4" t="inlineStr">
        <is>
          <t>Cobre · 600 V</t>
        </is>
      </c>
      <c r="F921" s="3" t="inlineStr">
        <is>
          <t>rollo</t>
        </is>
      </c>
      <c r="G921" s="3" t="inlineStr">
        <is>
          <t>Instalaciones</t>
        </is>
      </c>
      <c r="H921" s="3" t="inlineStr">
        <is>
          <t>estandar</t>
        </is>
      </c>
      <c r="I921" s="3" t="inlineStr">
        <is>
          <t>importado</t>
        </is>
      </c>
      <c r="J921" s="5" t="n">
        <v>1</v>
      </c>
      <c r="K921" s="6" t="n">
        <v>1139.88</v>
      </c>
      <c r="L921" s="6" t="n">
        <v>1139.88</v>
      </c>
      <c r="M921" s="6" t="n">
        <v>1139.88</v>
      </c>
      <c r="N921" s="3" t="inlineStr">
        <is>
          <t>Sí</t>
        </is>
      </c>
      <c r="O921" s="6">
        <f>IF(K921="","",IF(N921="Sí",ROUND(K921/1.18,2),K921))</f>
        <v/>
      </c>
      <c r="P921" s="3" t="inlineStr">
        <is>
          <t>2026-09-09</t>
        </is>
      </c>
      <c r="Q921" s="4" t="inlineStr">
        <is>
          <t>Ferretería MC</t>
        </is>
      </c>
      <c r="AC921" s="7" t="inlineStr">
        <is>
          <t>14</t>
        </is>
      </c>
    </row>
    <row r="922">
      <c r="A922" s="3" t="inlineStr">
        <is>
          <t>MAT-10-310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Cable THHN #2, rollo 100 pies</t>
        </is>
      </c>
      <c r="E922" s="4" t="inlineStr">
        <is>
          <t>Cobre · 600 V</t>
        </is>
      </c>
      <c r="F922" s="3" t="inlineStr">
        <is>
          <t>rollo</t>
        </is>
      </c>
      <c r="G922" s="3" t="inlineStr">
        <is>
          <t>Instalaciones</t>
        </is>
      </c>
      <c r="H922" s="3" t="inlineStr">
        <is>
          <t>estandar</t>
        </is>
      </c>
      <c r="I922" s="3" t="inlineStr">
        <is>
          <t>importado</t>
        </is>
      </c>
      <c r="J922" s="5" t="n">
        <v>1</v>
      </c>
      <c r="K922" s="6" t="n">
        <v>14868</v>
      </c>
      <c r="L922" s="6" t="n">
        <v>14868</v>
      </c>
      <c r="M922" s="6" t="n">
        <v>14868</v>
      </c>
      <c r="N922" s="3" t="inlineStr">
        <is>
          <t>Sí</t>
        </is>
      </c>
      <c r="O922" s="6">
        <f>IF(K922="","",IF(N922="Sí",ROUND(K922/1.18,2),K922))</f>
        <v/>
      </c>
      <c r="P922" s="3" t="inlineStr">
        <is>
          <t>2026-09-09</t>
        </is>
      </c>
      <c r="Q922" s="4" t="inlineStr">
        <is>
          <t>Ferretería MC</t>
        </is>
      </c>
      <c r="AC922" s="7" t="inlineStr">
        <is>
          <t>2</t>
        </is>
      </c>
    </row>
    <row r="923">
      <c r="A923" s="3" t="inlineStr">
        <is>
          <t>MAT-10-311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Cable THHN #2/0, rollo 100 pies</t>
        </is>
      </c>
      <c r="E923" s="4" t="inlineStr">
        <is>
          <t>Cobre · 600 V</t>
        </is>
      </c>
      <c r="F923" s="3" t="inlineStr">
        <is>
          <t>rollo</t>
        </is>
      </c>
      <c r="G923" s="3" t="inlineStr">
        <is>
          <t>Instalaciones</t>
        </is>
      </c>
      <c r="H923" s="3" t="inlineStr">
        <is>
          <t>estandar</t>
        </is>
      </c>
      <c r="I923" s="3" t="inlineStr">
        <is>
          <t>importado</t>
        </is>
      </c>
      <c r="J923" s="5" t="n">
        <v>1</v>
      </c>
      <c r="K923" s="6" t="n">
        <v>30562</v>
      </c>
      <c r="L923" s="6" t="n">
        <v>30562</v>
      </c>
      <c r="M923" s="6" t="n">
        <v>30562</v>
      </c>
      <c r="N923" s="3" t="inlineStr">
        <is>
          <t>Sí</t>
        </is>
      </c>
      <c r="O923" s="6">
        <f>IF(K923="","",IF(N923="Sí",ROUND(K923/1.18,2),K923))</f>
        <v/>
      </c>
      <c r="P923" s="3" t="inlineStr">
        <is>
          <t>2026-09-09</t>
        </is>
      </c>
      <c r="Q923" s="4" t="inlineStr">
        <is>
          <t>Ferretería MC</t>
        </is>
      </c>
      <c r="AC923" s="7" t="inlineStr">
        <is>
          <t>2/0</t>
        </is>
      </c>
    </row>
    <row r="924">
      <c r="A924" s="3" t="inlineStr">
        <is>
          <t>MAT-10-312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Cable THHN #3/0, rollo 100 pies</t>
        </is>
      </c>
      <c r="E924" s="4" t="inlineStr">
        <is>
          <t>Cobre · 600 V</t>
        </is>
      </c>
      <c r="F924" s="3" t="inlineStr">
        <is>
          <t>rollo</t>
        </is>
      </c>
      <c r="G924" s="3" t="inlineStr">
        <is>
          <t>Instalaciones</t>
        </is>
      </c>
      <c r="H924" s="3" t="inlineStr">
        <is>
          <t>estandar</t>
        </is>
      </c>
      <c r="I924" s="3" t="inlineStr">
        <is>
          <t>importado</t>
        </is>
      </c>
      <c r="J924" s="5" t="n">
        <v>1</v>
      </c>
      <c r="K924" s="6" t="n">
        <v>38704</v>
      </c>
      <c r="L924" s="6" t="n">
        <v>38704</v>
      </c>
      <c r="M924" s="6" t="n">
        <v>38704</v>
      </c>
      <c r="N924" s="3" t="inlineStr">
        <is>
          <t>Sí</t>
        </is>
      </c>
      <c r="O924" s="6">
        <f>IF(K924="","",IF(N924="Sí",ROUND(K924/1.18,2),K924))</f>
        <v/>
      </c>
      <c r="P924" s="3" t="inlineStr">
        <is>
          <t>2026-09-09</t>
        </is>
      </c>
      <c r="Q924" s="4" t="inlineStr">
        <is>
          <t>Ferretería MC</t>
        </is>
      </c>
      <c r="AC924" s="7" t="inlineStr">
        <is>
          <t>3/0</t>
        </is>
      </c>
    </row>
    <row r="925">
      <c r="A925" s="3" t="inlineStr">
        <is>
          <t>MAT-10-313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Cable THHN #4, rollo 100 pies</t>
        </is>
      </c>
      <c r="E925" s="4" t="inlineStr">
        <is>
          <t>Cobre · 600 V</t>
        </is>
      </c>
      <c r="F925" s="3" t="inlineStr">
        <is>
          <t>rollo</t>
        </is>
      </c>
      <c r="G925" s="3" t="inlineStr">
        <is>
          <t>Instalaciones</t>
        </is>
      </c>
      <c r="H925" s="3" t="inlineStr">
        <is>
          <t>estandar</t>
        </is>
      </c>
      <c r="I925" s="3" t="inlineStr">
        <is>
          <t>importado</t>
        </is>
      </c>
      <c r="J925" s="5" t="n">
        <v>1</v>
      </c>
      <c r="K925" s="6" t="n">
        <v>9954.48</v>
      </c>
      <c r="L925" s="6" t="n">
        <v>9954.48</v>
      </c>
      <c r="M925" s="6" t="n">
        <v>9954.48</v>
      </c>
      <c r="N925" s="3" t="inlineStr">
        <is>
          <t>Sí</t>
        </is>
      </c>
      <c r="O925" s="6">
        <f>IF(K925="","",IF(N925="Sí",ROUND(K925/1.18,2),K925))</f>
        <v/>
      </c>
      <c r="P925" s="3" t="inlineStr">
        <is>
          <t>2026-09-09</t>
        </is>
      </c>
      <c r="Q925" s="4" t="inlineStr">
        <is>
          <t>Ferretería MC</t>
        </is>
      </c>
      <c r="AC925" s="7" t="inlineStr">
        <is>
          <t>4</t>
        </is>
      </c>
    </row>
    <row r="926">
      <c r="A926" s="3" t="inlineStr">
        <is>
          <t>MAT-10-314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Cable THHN #4/0, rollo 100 pies</t>
        </is>
      </c>
      <c r="E926" s="4" t="inlineStr">
        <is>
          <t>Cobre · 600 V</t>
        </is>
      </c>
      <c r="F926" s="3" t="inlineStr">
        <is>
          <t>rollo</t>
        </is>
      </c>
      <c r="G926" s="3" t="inlineStr">
        <is>
          <t>Instalaciones</t>
        </is>
      </c>
      <c r="H926" s="3" t="inlineStr">
        <is>
          <t>estandar</t>
        </is>
      </c>
      <c r="I926" s="3" t="inlineStr">
        <is>
          <t>importado</t>
        </is>
      </c>
      <c r="J926" s="5" t="n">
        <v>1</v>
      </c>
      <c r="K926" s="6" t="n">
        <v>46256</v>
      </c>
      <c r="L926" s="6" t="n">
        <v>46256</v>
      </c>
      <c r="M926" s="6" t="n">
        <v>46256</v>
      </c>
      <c r="N926" s="3" t="inlineStr">
        <is>
          <t>Sí</t>
        </is>
      </c>
      <c r="O926" s="6">
        <f>IF(K926="","",IF(N926="Sí",ROUND(K926/1.18,2),K926))</f>
        <v/>
      </c>
      <c r="P926" s="3" t="inlineStr">
        <is>
          <t>2026-09-09</t>
        </is>
      </c>
      <c r="Q926" s="4" t="inlineStr">
        <is>
          <t>Ferretería MC</t>
        </is>
      </c>
      <c r="AC926" s="7" t="inlineStr">
        <is>
          <t>4/0</t>
        </is>
      </c>
    </row>
    <row r="927">
      <c r="A927" s="3" t="inlineStr">
        <is>
          <t>MAT-10-315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Cable THHN #6, rollo 100 pies</t>
        </is>
      </c>
      <c r="E927" s="4" t="inlineStr">
        <is>
          <t>Cobre · 600 V</t>
        </is>
      </c>
      <c r="F927" s="3" t="inlineStr">
        <is>
          <t>rollo</t>
        </is>
      </c>
      <c r="G927" s="3" t="inlineStr">
        <is>
          <t>Instalaciones</t>
        </is>
      </c>
      <c r="H927" s="3" t="inlineStr">
        <is>
          <t>estandar</t>
        </is>
      </c>
      <c r="I927" s="3" t="inlineStr">
        <is>
          <t>importado</t>
        </is>
      </c>
      <c r="J927" s="5" t="n">
        <v>1</v>
      </c>
      <c r="K927" s="6" t="n">
        <v>6216.24</v>
      </c>
      <c r="L927" s="6" t="n">
        <v>6216.24</v>
      </c>
      <c r="M927" s="6" t="n">
        <v>6216.24</v>
      </c>
      <c r="N927" s="3" t="inlineStr">
        <is>
          <t>Sí</t>
        </is>
      </c>
      <c r="O927" s="6">
        <f>IF(K927="","",IF(N927="Sí",ROUND(K927/1.18,2),K927))</f>
        <v/>
      </c>
      <c r="P927" s="3" t="inlineStr">
        <is>
          <t>2026-09-09</t>
        </is>
      </c>
      <c r="Q927" s="4" t="inlineStr">
        <is>
          <t>Ferretería MC</t>
        </is>
      </c>
      <c r="AC927" s="7" t="inlineStr">
        <is>
          <t>6</t>
        </is>
      </c>
    </row>
    <row r="928">
      <c r="A928" s="3" t="inlineStr">
        <is>
          <t>MAT-10-316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Cable de goma 1.5 mm, 2 conductores, rollo 100 pies</t>
        </is>
      </c>
      <c r="E928" s="4" t="inlineStr"/>
      <c r="F928" s="3" t="inlineStr">
        <is>
          <t>rollo</t>
        </is>
      </c>
      <c r="G928" s="3" t="inlineStr">
        <is>
          <t>Instalaciones</t>
        </is>
      </c>
      <c r="H928" s="3" t="inlineStr">
        <is>
          <t>estandar</t>
        </is>
      </c>
      <c r="I928" s="3" t="inlineStr">
        <is>
          <t>importado</t>
        </is>
      </c>
      <c r="J928" s="5" t="n">
        <v>1</v>
      </c>
      <c r="K928" s="6" t="n">
        <v>2480.36</v>
      </c>
      <c r="L928" s="6" t="n">
        <v>2480.36</v>
      </c>
      <c r="M928" s="6" t="n">
        <v>2480.36</v>
      </c>
      <c r="N928" s="3" t="inlineStr">
        <is>
          <t>Sí</t>
        </is>
      </c>
      <c r="O928" s="6">
        <f>IF(K928="","",IF(N928="Sí",ROUND(K928/1.18,2),K928))</f>
        <v/>
      </c>
      <c r="P928" s="3" t="inlineStr">
        <is>
          <t>2026-09-09</t>
        </is>
      </c>
      <c r="Q928" s="4" t="inlineStr">
        <is>
          <t>Ferretería MC</t>
        </is>
      </c>
      <c r="AC928" s="7" t="inlineStr">
        <is>
          <t>1.5 mm</t>
        </is>
      </c>
      <c r="AF928" s="4" t="inlineStr">
        <is>
          <t>conductores: 2</t>
        </is>
      </c>
    </row>
    <row r="929">
      <c r="A929" s="3" t="inlineStr">
        <is>
          <t>MAT-10-317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Cable de goma 1.5 mm, 3 conductores, rollo 100 pies</t>
        </is>
      </c>
      <c r="E929" s="4" t="inlineStr"/>
      <c r="F929" s="3" t="inlineStr">
        <is>
          <t>rollo</t>
        </is>
      </c>
      <c r="G929" s="3" t="inlineStr">
        <is>
          <t>Instalaciones</t>
        </is>
      </c>
      <c r="H929" s="3" t="inlineStr">
        <is>
          <t>estandar</t>
        </is>
      </c>
      <c r="I929" s="3" t="inlineStr">
        <is>
          <t>importado</t>
        </is>
      </c>
      <c r="J929" s="5" t="n">
        <v>1</v>
      </c>
      <c r="K929" s="6" t="n">
        <v>3453.86</v>
      </c>
      <c r="L929" s="6" t="n">
        <v>3453.86</v>
      </c>
      <c r="M929" s="6" t="n">
        <v>3453.86</v>
      </c>
      <c r="N929" s="3" t="inlineStr">
        <is>
          <t>Sí</t>
        </is>
      </c>
      <c r="O929" s="6">
        <f>IF(K929="","",IF(N929="Sí",ROUND(K929/1.18,2),K929))</f>
        <v/>
      </c>
      <c r="P929" s="3" t="inlineStr">
        <is>
          <t>2026-09-09</t>
        </is>
      </c>
      <c r="Q929" s="4" t="inlineStr">
        <is>
          <t>Ferretería MC</t>
        </is>
      </c>
      <c r="AC929" s="7" t="inlineStr">
        <is>
          <t>1.5 mm</t>
        </is>
      </c>
      <c r="AF929" s="4" t="inlineStr">
        <is>
          <t>conductores: 3</t>
        </is>
      </c>
    </row>
    <row r="930">
      <c r="A930" s="3" t="inlineStr">
        <is>
          <t>MAT-10-318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Cable de goma 1.5 mm, 4 conductores, rollo 100 pies</t>
        </is>
      </c>
      <c r="E930" s="4" t="inlineStr"/>
      <c r="F930" s="3" t="inlineStr">
        <is>
          <t>rollo</t>
        </is>
      </c>
      <c r="G930" s="3" t="inlineStr">
        <is>
          <t>Instalaciones</t>
        </is>
      </c>
      <c r="H930" s="3" t="inlineStr">
        <is>
          <t>estandar</t>
        </is>
      </c>
      <c r="I930" s="3" t="inlineStr">
        <is>
          <t>importado</t>
        </is>
      </c>
      <c r="J930" s="5" t="n">
        <v>1</v>
      </c>
      <c r="K930" s="6" t="n">
        <v>4381.34</v>
      </c>
      <c r="L930" s="6" t="n">
        <v>4381.34</v>
      </c>
      <c r="M930" s="6" t="n">
        <v>4381.34</v>
      </c>
      <c r="N930" s="3" t="inlineStr">
        <is>
          <t>Sí</t>
        </is>
      </c>
      <c r="O930" s="6">
        <f>IF(K930="","",IF(N930="Sí",ROUND(K930/1.18,2),K930))</f>
        <v/>
      </c>
      <c r="P930" s="3" t="inlineStr">
        <is>
          <t>2026-09-09</t>
        </is>
      </c>
      <c r="Q930" s="4" t="inlineStr">
        <is>
          <t>Ferretería MC</t>
        </is>
      </c>
      <c r="AC930" s="7" t="inlineStr">
        <is>
          <t>1.5 mm</t>
        </is>
      </c>
      <c r="AF930" s="4" t="inlineStr">
        <is>
          <t>conductores: 4</t>
        </is>
      </c>
    </row>
    <row r="931">
      <c r="A931" s="3" t="inlineStr">
        <is>
          <t>MAT-10-319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Cable de goma 12, 2 conductores, rollo 100 pies</t>
        </is>
      </c>
      <c r="E931" s="4" t="inlineStr"/>
      <c r="F931" s="3" t="inlineStr">
        <is>
          <t>rollo</t>
        </is>
      </c>
      <c r="G931" s="3" t="inlineStr">
        <is>
          <t>Instalaciones</t>
        </is>
      </c>
      <c r="H931" s="3" t="inlineStr">
        <is>
          <t>estandar</t>
        </is>
      </c>
      <c r="I931" s="3" t="inlineStr">
        <is>
          <t>importado</t>
        </is>
      </c>
      <c r="J931" s="5" t="n">
        <v>1</v>
      </c>
      <c r="K931" s="6" t="n">
        <v>4299.92</v>
      </c>
      <c r="L931" s="6" t="n">
        <v>4299.92</v>
      </c>
      <c r="M931" s="6" t="n">
        <v>4299.92</v>
      </c>
      <c r="N931" s="3" t="inlineStr">
        <is>
          <t>Sí</t>
        </is>
      </c>
      <c r="O931" s="6">
        <f>IF(K931="","",IF(N931="Sí",ROUND(K931/1.18,2),K931))</f>
        <v/>
      </c>
      <c r="P931" s="3" t="inlineStr">
        <is>
          <t>2026-09-09</t>
        </is>
      </c>
      <c r="Q931" s="4" t="inlineStr">
        <is>
          <t>Ferretería MC</t>
        </is>
      </c>
      <c r="AC931" s="7" t="inlineStr">
        <is>
          <t>12</t>
        </is>
      </c>
      <c r="AF931" s="4" t="inlineStr">
        <is>
          <t>conductores: 2</t>
        </is>
      </c>
    </row>
    <row r="932">
      <c r="A932" s="3" t="inlineStr">
        <is>
          <t>MAT-10-320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Cable de goma 12, 3 conductores, rollo 100 pies</t>
        </is>
      </c>
      <c r="E932" s="4" t="inlineStr"/>
      <c r="F932" s="3" t="inlineStr">
        <is>
          <t>rollo</t>
        </is>
      </c>
      <c r="G932" s="3" t="inlineStr">
        <is>
          <t>Instalaciones</t>
        </is>
      </c>
      <c r="H932" s="3" t="inlineStr">
        <is>
          <t>estandar</t>
        </is>
      </c>
      <c r="I932" s="3" t="inlineStr">
        <is>
          <t>importado</t>
        </is>
      </c>
      <c r="J932" s="5" t="n">
        <v>1</v>
      </c>
      <c r="K932" s="6" t="n">
        <v>6298.84</v>
      </c>
      <c r="L932" s="6" t="n">
        <v>6298.84</v>
      </c>
      <c r="M932" s="6" t="n">
        <v>6298.84</v>
      </c>
      <c r="N932" s="3" t="inlineStr">
        <is>
          <t>Sí</t>
        </is>
      </c>
      <c r="O932" s="6">
        <f>IF(K932="","",IF(N932="Sí",ROUND(K932/1.18,2),K932))</f>
        <v/>
      </c>
      <c r="P932" s="3" t="inlineStr">
        <is>
          <t>2026-09-09</t>
        </is>
      </c>
      <c r="Q932" s="4" t="inlineStr">
        <is>
          <t>Ferretería MC</t>
        </is>
      </c>
      <c r="AC932" s="7" t="inlineStr">
        <is>
          <t>12</t>
        </is>
      </c>
      <c r="AF932" s="4" t="inlineStr">
        <is>
          <t>conductores: 3</t>
        </is>
      </c>
    </row>
    <row r="933">
      <c r="A933" s="3" t="inlineStr">
        <is>
          <t>MAT-10-321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Cable de goma 14, 4 conductores, rollo 100 pies</t>
        </is>
      </c>
      <c r="E933" s="4" t="inlineStr"/>
      <c r="F933" s="3" t="inlineStr">
        <is>
          <t>rollo</t>
        </is>
      </c>
      <c r="G933" s="3" t="inlineStr">
        <is>
          <t>Instalaciones</t>
        </is>
      </c>
      <c r="H933" s="3" t="inlineStr">
        <is>
          <t>estandar</t>
        </is>
      </c>
      <c r="I933" s="3" t="inlineStr">
        <is>
          <t>importado</t>
        </is>
      </c>
      <c r="J933" s="5" t="n">
        <v>1</v>
      </c>
      <c r="K933" s="6" t="n">
        <v>5508.24</v>
      </c>
      <c r="L933" s="6" t="n">
        <v>5508.24</v>
      </c>
      <c r="M933" s="6" t="n">
        <v>5508.24</v>
      </c>
      <c r="N933" s="3" t="inlineStr">
        <is>
          <t>Sí</t>
        </is>
      </c>
      <c r="O933" s="6">
        <f>IF(K933="","",IF(N933="Sí",ROUND(K933/1.18,2),K933))</f>
        <v/>
      </c>
      <c r="P933" s="3" t="inlineStr">
        <is>
          <t>2026-09-09</t>
        </is>
      </c>
      <c r="Q933" s="4" t="inlineStr">
        <is>
          <t>Ferretería MC</t>
        </is>
      </c>
      <c r="AC933" s="7" t="inlineStr">
        <is>
          <t>14</t>
        </is>
      </c>
      <c r="AF933" s="4" t="inlineStr">
        <is>
          <t>conductores: 4</t>
        </is>
      </c>
    </row>
    <row r="934">
      <c r="A934" s="3" t="inlineStr">
        <is>
          <t>MAT-10-322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Cable de goma 2.5 mm, 2 conductores, rollo 100 pies</t>
        </is>
      </c>
      <c r="E934" s="4" t="inlineStr"/>
      <c r="F934" s="3" t="inlineStr">
        <is>
          <t>rollo</t>
        </is>
      </c>
      <c r="G934" s="3" t="inlineStr">
        <is>
          <t>Instalaciones</t>
        </is>
      </c>
      <c r="H934" s="3" t="inlineStr">
        <is>
          <t>estandar</t>
        </is>
      </c>
      <c r="I934" s="3" t="inlineStr">
        <is>
          <t>importado</t>
        </is>
      </c>
      <c r="J934" s="5" t="n">
        <v>1</v>
      </c>
      <c r="K934" s="6" t="n">
        <v>3431.44</v>
      </c>
      <c r="L934" s="6" t="n">
        <v>3431.44</v>
      </c>
      <c r="M934" s="6" t="n">
        <v>3431.44</v>
      </c>
      <c r="N934" s="3" t="inlineStr">
        <is>
          <t>Sí</t>
        </is>
      </c>
      <c r="O934" s="6">
        <f>IF(K934="","",IF(N934="Sí",ROUND(K934/1.18,2),K934))</f>
        <v/>
      </c>
      <c r="P934" s="3" t="inlineStr">
        <is>
          <t>2026-09-09</t>
        </is>
      </c>
      <c r="Q934" s="4" t="inlineStr">
        <is>
          <t>Ferretería MC</t>
        </is>
      </c>
      <c r="AC934" s="7" t="inlineStr">
        <is>
          <t>2.5 mm</t>
        </is>
      </c>
      <c r="AF934" s="4" t="inlineStr">
        <is>
          <t>conductores: 2</t>
        </is>
      </c>
    </row>
    <row r="935">
      <c r="A935" s="3" t="inlineStr">
        <is>
          <t>MAT-10-323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Cable de goma 2.5 mm, 3 conductores, rollo 100 pies</t>
        </is>
      </c>
      <c r="E935" s="4" t="inlineStr"/>
      <c r="F935" s="3" t="inlineStr">
        <is>
          <t>rollo</t>
        </is>
      </c>
      <c r="G935" s="3" t="inlineStr">
        <is>
          <t>Instalaciones</t>
        </is>
      </c>
      <c r="H935" s="3" t="inlineStr">
        <is>
          <t>estandar</t>
        </is>
      </c>
      <c r="I935" s="3" t="inlineStr">
        <is>
          <t>importado</t>
        </is>
      </c>
      <c r="J935" s="5" t="n">
        <v>1</v>
      </c>
      <c r="K935" s="6" t="n">
        <v>5145.98</v>
      </c>
      <c r="L935" s="6" t="n">
        <v>5145.98</v>
      </c>
      <c r="M935" s="6" t="n">
        <v>5145.98</v>
      </c>
      <c r="N935" s="3" t="inlineStr">
        <is>
          <t>Sí</t>
        </is>
      </c>
      <c r="O935" s="6">
        <f>IF(K935="","",IF(N935="Sí",ROUND(K935/1.18,2),K935))</f>
        <v/>
      </c>
      <c r="P935" s="3" t="inlineStr">
        <is>
          <t>2026-09-09</t>
        </is>
      </c>
      <c r="Q935" s="4" t="inlineStr">
        <is>
          <t>Ferretería MC</t>
        </is>
      </c>
      <c r="AC935" s="7" t="inlineStr">
        <is>
          <t>2.5 mm</t>
        </is>
      </c>
      <c r="AF935" s="4" t="inlineStr">
        <is>
          <t>conductores: 3</t>
        </is>
      </c>
    </row>
    <row r="936">
      <c r="A936" s="3" t="inlineStr">
        <is>
          <t>MAT-10-324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Cable de goma 6, 4 conductores, rollo 100 pies</t>
        </is>
      </c>
      <c r="E936" s="4" t="inlineStr"/>
      <c r="F936" s="3" t="inlineStr">
        <is>
          <t>rollo</t>
        </is>
      </c>
      <c r="G936" s="3" t="inlineStr">
        <is>
          <t>Instalaciones</t>
        </is>
      </c>
      <c r="H936" s="3" t="inlineStr">
        <is>
          <t>estandar</t>
        </is>
      </c>
      <c r="I936" s="3" t="inlineStr">
        <is>
          <t>importado</t>
        </is>
      </c>
      <c r="J936" s="5" t="n">
        <v>1</v>
      </c>
      <c r="K936" s="6" t="n">
        <v>31506</v>
      </c>
      <c r="L936" s="6" t="n">
        <v>31506</v>
      </c>
      <c r="M936" s="6" t="n">
        <v>31506</v>
      </c>
      <c r="N936" s="3" t="inlineStr">
        <is>
          <t>Sí</t>
        </is>
      </c>
      <c r="O936" s="6">
        <f>IF(K936="","",IF(N936="Sí",ROUND(K936/1.18,2),K936))</f>
        <v/>
      </c>
      <c r="P936" s="3" t="inlineStr">
        <is>
          <t>2026-09-09</t>
        </is>
      </c>
      <c r="Q936" s="4" t="inlineStr">
        <is>
          <t>Ferretería MC</t>
        </is>
      </c>
      <c r="AC936" s="7" t="inlineStr">
        <is>
          <t>6</t>
        </is>
      </c>
      <c r="AF936" s="4" t="inlineStr">
        <is>
          <t>conductores: 4</t>
        </is>
      </c>
    </row>
    <row r="937">
      <c r="A937" s="3" t="inlineStr">
        <is>
          <t>MAT-10-325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Extensión eléctrica de 10 pies</t>
        </is>
      </c>
      <c r="E937" s="4" t="inlineStr">
        <is>
          <t>Casi ninguna ficha declara el calibre · ahí está la diferencia</t>
        </is>
      </c>
      <c r="F937" s="3" t="inlineStr">
        <is>
          <t>unidad</t>
        </is>
      </c>
      <c r="G937" s="3" t="inlineStr">
        <is>
          <t>Instalaciones</t>
        </is>
      </c>
      <c r="H937" s="3" t="inlineStr">
        <is>
          <t>estandar</t>
        </is>
      </c>
      <c r="I937" s="3" t="inlineStr">
        <is>
          <t>importado</t>
        </is>
      </c>
      <c r="J937" s="5" t="n">
        <v>1</v>
      </c>
      <c r="K937" s="6" t="n">
        <v>180</v>
      </c>
      <c r="L937" s="6" t="n">
        <v>180</v>
      </c>
      <c r="M937" s="6" t="n">
        <v>180</v>
      </c>
      <c r="N937" s="3" t="inlineStr">
        <is>
          <t>Sí</t>
        </is>
      </c>
      <c r="O937" s="6">
        <f>IF(K937="","",IF(N937="Sí",ROUND(K937/1.18,2),K937))</f>
        <v/>
      </c>
      <c r="P937" s="3" t="inlineStr">
        <is>
          <t>2026-09-09</t>
        </is>
      </c>
      <c r="Q937" s="4" t="inlineStr">
        <is>
          <t>Max Ferretería</t>
        </is>
      </c>
      <c r="Z937" s="7" t="n">
        <v>10</v>
      </c>
    </row>
    <row r="938">
      <c r="A938" s="3" t="inlineStr">
        <is>
          <t>MAT-10-326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Extensión eléctrica de 100 pies</t>
        </is>
      </c>
      <c r="E938" s="4" t="inlineStr">
        <is>
          <t>Casi ninguna ficha declara el calibre · ahí está la diferencia</t>
        </is>
      </c>
      <c r="F938" s="3" t="inlineStr">
        <is>
          <t>unidad</t>
        </is>
      </c>
      <c r="G938" s="3" t="inlineStr">
        <is>
          <t>Instalaciones</t>
        </is>
      </c>
      <c r="H938" s="3" t="inlineStr">
        <is>
          <t>estandar</t>
        </is>
      </c>
      <c r="I938" s="3" t="inlineStr">
        <is>
          <t>importado</t>
        </is>
      </c>
      <c r="J938" s="5" t="n">
        <v>1</v>
      </c>
      <c r="K938" s="6" t="n">
        <v>1940</v>
      </c>
      <c r="L938" s="6" t="n">
        <v>1355.01</v>
      </c>
      <c r="M938" s="6" t="n">
        <v>2335</v>
      </c>
      <c r="N938" s="3" t="inlineStr">
        <is>
          <t>Sí</t>
        </is>
      </c>
      <c r="O938" s="6">
        <f>IF(K938="","",IF(N938="Sí",ROUND(K938/1.18,2),K938))</f>
        <v/>
      </c>
      <c r="P938" s="3" t="inlineStr">
        <is>
          <t>2026-09-09</t>
        </is>
      </c>
      <c r="Q938" s="4" t="inlineStr">
        <is>
          <t>Max Ferretería</t>
        </is>
      </c>
      <c r="Z938" s="7" t="n">
        <v>100</v>
      </c>
    </row>
    <row r="939">
      <c r="A939" s="3" t="inlineStr">
        <is>
          <t>MAT-10-327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Extensión eléctrica de 12 pies</t>
        </is>
      </c>
      <c r="E939" s="4" t="inlineStr">
        <is>
          <t>Casi ninguna ficha declara el calibre · ahí está la diferencia</t>
        </is>
      </c>
      <c r="F939" s="3" t="inlineStr">
        <is>
          <t>unidad</t>
        </is>
      </c>
      <c r="G939" s="3" t="inlineStr">
        <is>
          <t>Instalaciones</t>
        </is>
      </c>
      <c r="H939" s="3" t="inlineStr">
        <is>
          <t>estandar</t>
        </is>
      </c>
      <c r="I939" s="3" t="inlineStr">
        <is>
          <t>importado</t>
        </is>
      </c>
      <c r="J939" s="5" t="n">
        <v>1</v>
      </c>
      <c r="K939" s="6" t="n">
        <v>285</v>
      </c>
      <c r="L939" s="6" t="n">
        <v>210</v>
      </c>
      <c r="M939" s="6" t="n">
        <v>359.99</v>
      </c>
      <c r="N939" s="3" t="inlineStr">
        <is>
          <t>Sí</t>
        </is>
      </c>
      <c r="O939" s="6">
        <f>IF(K939="","",IF(N939="Sí",ROUND(K939/1.18,2),K939))</f>
        <v/>
      </c>
      <c r="P939" s="3" t="inlineStr">
        <is>
          <t>2026-09-09</t>
        </is>
      </c>
      <c r="Q939" s="4" t="inlineStr">
        <is>
          <t>Max Ferretería</t>
        </is>
      </c>
      <c r="Z939" s="7" t="n">
        <v>12</v>
      </c>
    </row>
    <row r="940">
      <c r="A940" s="3" t="inlineStr">
        <is>
          <t>MAT-10-328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Extensión eléctrica de 13 pies</t>
        </is>
      </c>
      <c r="E940" s="4" t="inlineStr">
        <is>
          <t>Casi ninguna ficha declara el calibre · ahí está la diferencia</t>
        </is>
      </c>
      <c r="F940" s="3" t="inlineStr">
        <is>
          <t>unidad</t>
        </is>
      </c>
      <c r="G940" s="3" t="inlineStr">
        <is>
          <t>Instalaciones</t>
        </is>
      </c>
      <c r="H940" s="3" t="inlineStr">
        <is>
          <t>estandar</t>
        </is>
      </c>
      <c r="I940" s="3" t="inlineStr">
        <is>
          <t>importado</t>
        </is>
      </c>
      <c r="J940" s="5" t="n">
        <v>1</v>
      </c>
      <c r="K940" s="6" t="n">
        <v>225</v>
      </c>
      <c r="L940" s="6" t="n">
        <v>225</v>
      </c>
      <c r="M940" s="6" t="n">
        <v>225</v>
      </c>
      <c r="N940" s="3" t="inlineStr">
        <is>
          <t>Sí</t>
        </is>
      </c>
      <c r="O940" s="6">
        <f>IF(K940="","",IF(N940="Sí",ROUND(K940/1.18,2),K940))</f>
        <v/>
      </c>
      <c r="P940" s="3" t="inlineStr">
        <is>
          <t>2026-09-09</t>
        </is>
      </c>
      <c r="Q940" s="4" t="inlineStr">
        <is>
          <t>Max Ferretería</t>
        </is>
      </c>
      <c r="Z940" s="7" t="n">
        <v>13</v>
      </c>
    </row>
    <row r="941">
      <c r="A941" s="3" t="inlineStr">
        <is>
          <t>MAT-10-329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Extensión eléctrica de 15 pies</t>
        </is>
      </c>
      <c r="E941" s="4" t="inlineStr">
        <is>
          <t>Casi ninguna ficha declara el calibre · ahí está la diferencia</t>
        </is>
      </c>
      <c r="F941" s="3" t="inlineStr">
        <is>
          <t>unidad</t>
        </is>
      </c>
      <c r="G941" s="3" t="inlineStr">
        <is>
          <t>Instalaciones</t>
        </is>
      </c>
      <c r="H941" s="3" t="inlineStr">
        <is>
          <t>estandar</t>
        </is>
      </c>
      <c r="I941" s="3" t="inlineStr">
        <is>
          <t>importado</t>
        </is>
      </c>
      <c r="J941" s="5" t="n">
        <v>1</v>
      </c>
      <c r="K941" s="6" t="n">
        <v>505</v>
      </c>
      <c r="L941" s="6" t="n">
        <v>300</v>
      </c>
      <c r="M941" s="6" t="n">
        <v>894.99</v>
      </c>
      <c r="N941" s="3" t="inlineStr">
        <is>
          <t>Sí</t>
        </is>
      </c>
      <c r="O941" s="6">
        <f>IF(K941="","",IF(N941="Sí",ROUND(K941/1.18,2),K941))</f>
        <v/>
      </c>
      <c r="P941" s="3" t="inlineStr">
        <is>
          <t>2026-09-09</t>
        </is>
      </c>
      <c r="Q941" s="4" t="inlineStr">
        <is>
          <t>Max Ferretería</t>
        </is>
      </c>
      <c r="Z941" s="7" t="n">
        <v>15</v>
      </c>
    </row>
    <row r="942">
      <c r="A942" s="3" t="inlineStr">
        <is>
          <t>MAT-10-330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Extensión eléctrica de 16 pies</t>
        </is>
      </c>
      <c r="E942" s="4" t="inlineStr">
        <is>
          <t>Casi ninguna ficha declara el calibre · ahí está la diferencia</t>
        </is>
      </c>
      <c r="F942" s="3" t="inlineStr">
        <is>
          <t>unidad</t>
        </is>
      </c>
      <c r="G942" s="3" t="inlineStr">
        <is>
          <t>Instalaciones</t>
        </is>
      </c>
      <c r="H942" s="3" t="inlineStr">
        <is>
          <t>estandar</t>
        </is>
      </c>
      <c r="I942" s="3" t="inlineStr">
        <is>
          <t>importado</t>
        </is>
      </c>
      <c r="J942" s="5" t="n">
        <v>1</v>
      </c>
      <c r="K942" s="6" t="n">
        <v>270</v>
      </c>
      <c r="L942" s="6" t="n">
        <v>270</v>
      </c>
      <c r="M942" s="6" t="n">
        <v>270</v>
      </c>
      <c r="N942" s="3" t="inlineStr">
        <is>
          <t>Sí</t>
        </is>
      </c>
      <c r="O942" s="6">
        <f>IF(K942="","",IF(N942="Sí",ROUND(K942/1.18,2),K942))</f>
        <v/>
      </c>
      <c r="P942" s="3" t="inlineStr">
        <is>
          <t>2026-09-09</t>
        </is>
      </c>
      <c r="Q942" s="4" t="inlineStr">
        <is>
          <t>Max Ferretería</t>
        </is>
      </c>
      <c r="Z942" s="7" t="n">
        <v>16</v>
      </c>
    </row>
    <row r="943">
      <c r="A943" s="3" t="inlineStr">
        <is>
          <t>MAT-10-331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Extensión eléctrica de 25 pies</t>
        </is>
      </c>
      <c r="E943" s="4" t="inlineStr">
        <is>
          <t>Casi ninguna ficha declara el calibre · ahí está la diferencia</t>
        </is>
      </c>
      <c r="F943" s="3" t="inlineStr">
        <is>
          <t>unidad</t>
        </is>
      </c>
      <c r="G943" s="3" t="inlineStr">
        <is>
          <t>Instalaciones</t>
        </is>
      </c>
      <c r="H943" s="3" t="inlineStr">
        <is>
          <t>estandar</t>
        </is>
      </c>
      <c r="I943" s="3" t="inlineStr">
        <is>
          <t>importado</t>
        </is>
      </c>
      <c r="J943" s="5" t="n">
        <v>1</v>
      </c>
      <c r="K943" s="6" t="n">
        <v>1700</v>
      </c>
      <c r="L943" s="6" t="n">
        <v>1700</v>
      </c>
      <c r="M943" s="6" t="n">
        <v>1700</v>
      </c>
      <c r="N943" s="3" t="inlineStr">
        <is>
          <t>Sí</t>
        </is>
      </c>
      <c r="O943" s="6">
        <f>IF(K943="","",IF(N943="Sí",ROUND(K943/1.18,2),K943))</f>
        <v/>
      </c>
      <c r="P943" s="3" t="inlineStr">
        <is>
          <t>2026-09-09</t>
        </is>
      </c>
      <c r="Q943" s="4" t="inlineStr">
        <is>
          <t>Max Ferretería</t>
        </is>
      </c>
      <c r="Z943" s="7" t="n">
        <v>25</v>
      </c>
    </row>
    <row r="944">
      <c r="A944" s="3" t="inlineStr">
        <is>
          <t>MAT-10-332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Extensión eléctrica de 26 pies</t>
        </is>
      </c>
      <c r="E944" s="4" t="inlineStr">
        <is>
          <t>Casi ninguna ficha declara el calibre · ahí está la diferencia</t>
        </is>
      </c>
      <c r="F944" s="3" t="inlineStr">
        <is>
          <t>unidad</t>
        </is>
      </c>
      <c r="G944" s="3" t="inlineStr">
        <is>
          <t>Instalaciones</t>
        </is>
      </c>
      <c r="H944" s="3" t="inlineStr">
        <is>
          <t>estandar</t>
        </is>
      </c>
      <c r="I944" s="3" t="inlineStr">
        <is>
          <t>importado</t>
        </is>
      </c>
      <c r="J944" s="5" t="n">
        <v>1</v>
      </c>
      <c r="K944" s="6" t="n">
        <v>520</v>
      </c>
      <c r="L944" s="6" t="n">
        <v>520</v>
      </c>
      <c r="M944" s="6" t="n">
        <v>520</v>
      </c>
      <c r="N944" s="3" t="inlineStr">
        <is>
          <t>Sí</t>
        </is>
      </c>
      <c r="O944" s="6">
        <f>IF(K944="","",IF(N944="Sí",ROUND(K944/1.18,2),K944))</f>
        <v/>
      </c>
      <c r="P944" s="3" t="inlineStr">
        <is>
          <t>2026-09-09</t>
        </is>
      </c>
      <c r="Q944" s="4" t="inlineStr">
        <is>
          <t>Max Ferretería</t>
        </is>
      </c>
      <c r="Z944" s="7" t="n">
        <v>26</v>
      </c>
    </row>
    <row r="945">
      <c r="A945" s="3" t="inlineStr">
        <is>
          <t>MAT-10-333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Extensión eléctrica de 50 pies</t>
        </is>
      </c>
      <c r="E945" s="4" t="inlineStr">
        <is>
          <t>Casi ninguna ficha declara el calibre · ahí está la diferencia</t>
        </is>
      </c>
      <c r="F945" s="3" t="inlineStr">
        <is>
          <t>unidad</t>
        </is>
      </c>
      <c r="G945" s="3" t="inlineStr">
        <is>
          <t>Instalaciones</t>
        </is>
      </c>
      <c r="H945" s="3" t="inlineStr">
        <is>
          <t>estandar</t>
        </is>
      </c>
      <c r="I945" s="3" t="inlineStr">
        <is>
          <t>importado</t>
        </is>
      </c>
      <c r="J945" s="5" t="n">
        <v>1</v>
      </c>
      <c r="K945" s="6" t="n">
        <v>1330</v>
      </c>
      <c r="L945" s="6" t="n">
        <v>725</v>
      </c>
      <c r="M945" s="6" t="n">
        <v>2989.99</v>
      </c>
      <c r="N945" s="3" t="inlineStr">
        <is>
          <t>Sí</t>
        </is>
      </c>
      <c r="O945" s="6">
        <f>IF(K945="","",IF(N945="Sí",ROUND(K945/1.18,2),K945))</f>
        <v/>
      </c>
      <c r="P945" s="3" t="inlineStr">
        <is>
          <t>2026-09-09</t>
        </is>
      </c>
      <c r="Q945" s="4" t="inlineStr">
        <is>
          <t>Max Ferretería</t>
        </is>
      </c>
      <c r="Z945" s="7" t="n">
        <v>50</v>
      </c>
    </row>
    <row r="946">
      <c r="A946" s="3" t="inlineStr">
        <is>
          <t>MAT-10-334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Extensión eléctrica de 6 pies</t>
        </is>
      </c>
      <c r="E946" s="4" t="inlineStr">
        <is>
          <t>Casi ninguna ficha declara el calibre · ahí está la diferencia</t>
        </is>
      </c>
      <c r="F946" s="3" t="inlineStr">
        <is>
          <t>unidad</t>
        </is>
      </c>
      <c r="G946" s="3" t="inlineStr">
        <is>
          <t>Instalaciones</t>
        </is>
      </c>
      <c r="H946" s="3" t="inlineStr">
        <is>
          <t>estandar</t>
        </is>
      </c>
      <c r="I946" s="3" t="inlineStr">
        <is>
          <t>importado</t>
        </is>
      </c>
      <c r="J946" s="5" t="n">
        <v>1</v>
      </c>
      <c r="K946" s="6" t="n">
        <v>310</v>
      </c>
      <c r="L946" s="6" t="n">
        <v>310</v>
      </c>
      <c r="M946" s="6" t="n">
        <v>310</v>
      </c>
      <c r="N946" s="3" t="inlineStr">
        <is>
          <t>Sí</t>
        </is>
      </c>
      <c r="O946" s="6">
        <f>IF(K946="","",IF(N946="Sí",ROUND(K946/1.18,2),K946))</f>
        <v/>
      </c>
      <c r="P946" s="3" t="inlineStr">
        <is>
          <t>2026-09-09</t>
        </is>
      </c>
      <c r="Q946" s="4" t="inlineStr">
        <is>
          <t>Max Ferretería</t>
        </is>
      </c>
      <c r="Z946" s="7" t="n">
        <v>6</v>
      </c>
    </row>
    <row r="947">
      <c r="A947" s="3" t="inlineStr">
        <is>
          <t>MAT-10-335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Extensión eléctrica de 7 pies</t>
        </is>
      </c>
      <c r="E947" s="4" t="inlineStr">
        <is>
          <t>Casi ninguna ficha declara el calibre · ahí está la diferencia</t>
        </is>
      </c>
      <c r="F947" s="3" t="inlineStr">
        <is>
          <t>unidad</t>
        </is>
      </c>
      <c r="G947" s="3" t="inlineStr">
        <is>
          <t>Instalaciones</t>
        </is>
      </c>
      <c r="H947" s="3" t="inlineStr">
        <is>
          <t>estandar</t>
        </is>
      </c>
      <c r="I947" s="3" t="inlineStr">
        <is>
          <t>importado</t>
        </is>
      </c>
      <c r="J947" s="5" t="n">
        <v>1</v>
      </c>
      <c r="K947" s="6" t="n">
        <v>145</v>
      </c>
      <c r="L947" s="6" t="n">
        <v>145</v>
      </c>
      <c r="M947" s="6" t="n">
        <v>145</v>
      </c>
      <c r="N947" s="3" t="inlineStr">
        <is>
          <t>Sí</t>
        </is>
      </c>
      <c r="O947" s="6">
        <f>IF(K947="","",IF(N947="Sí",ROUND(K947/1.18,2),K947))</f>
        <v/>
      </c>
      <c r="P947" s="3" t="inlineStr">
        <is>
          <t>2026-09-09</t>
        </is>
      </c>
      <c r="Q947" s="4" t="inlineStr">
        <is>
          <t>Max Ferretería</t>
        </is>
      </c>
      <c r="Z947" s="7" t="n">
        <v>7</v>
      </c>
    </row>
    <row r="948">
      <c r="A948" s="3" t="inlineStr">
        <is>
          <t>MAT-10-336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Regleta de 6 salidas</t>
        </is>
      </c>
      <c r="E948" s="4" t="inlineStr">
        <is>
          <t>La ficha no declara si trae supresor de picos</t>
        </is>
      </c>
      <c r="F948" s="3" t="inlineStr">
        <is>
          <t>unidad</t>
        </is>
      </c>
      <c r="G948" s="3" t="inlineStr">
        <is>
          <t>Instalaciones</t>
        </is>
      </c>
      <c r="H948" s="3" t="inlineStr">
        <is>
          <t>estandar</t>
        </is>
      </c>
      <c r="I948" s="3" t="inlineStr">
        <is>
          <t>importado</t>
        </is>
      </c>
      <c r="J948" s="5" t="n">
        <v>1</v>
      </c>
      <c r="K948" s="6" t="n">
        <v>737.5</v>
      </c>
      <c r="L948" s="6" t="n">
        <v>654.99</v>
      </c>
      <c r="M948" s="6" t="n">
        <v>1330</v>
      </c>
      <c r="N948" s="3" t="inlineStr">
        <is>
          <t>Sí</t>
        </is>
      </c>
      <c r="O948" s="6">
        <f>IF(K948="","",IF(N948="Sí",ROUND(K948/1.18,2),K948))</f>
        <v/>
      </c>
      <c r="P948" s="3" t="inlineStr">
        <is>
          <t>2026-09-09</t>
        </is>
      </c>
      <c r="Q948" s="4" t="inlineStr">
        <is>
          <t>Max Ferretería</t>
        </is>
      </c>
      <c r="AF948" s="4" t="inlineStr">
        <is>
          <t>salidas: 6</t>
        </is>
      </c>
    </row>
    <row r="949">
      <c r="A949" s="3" t="inlineStr">
        <is>
          <t>MAT-10-337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Regleta de 6 salidas con supresor de picos</t>
        </is>
      </c>
      <c r="E949" s="4" t="inlineStr"/>
      <c r="F949" s="3" t="inlineStr">
        <is>
          <t>unidad</t>
        </is>
      </c>
      <c r="G949" s="3" t="inlineStr">
        <is>
          <t>Instalaciones</t>
        </is>
      </c>
      <c r="H949" s="3" t="inlineStr">
        <is>
          <t>estandar</t>
        </is>
      </c>
      <c r="I949" s="3" t="inlineStr">
        <is>
          <t>importado</t>
        </is>
      </c>
      <c r="J949" s="5" t="n">
        <v>1</v>
      </c>
      <c r="K949" s="6" t="n">
        <v>725</v>
      </c>
      <c r="L949" s="6" t="n">
        <v>725</v>
      </c>
      <c r="M949" s="6" t="n">
        <v>725</v>
      </c>
      <c r="N949" s="3" t="inlineStr">
        <is>
          <t>Sí</t>
        </is>
      </c>
      <c r="O949" s="6">
        <f>IF(K949="","",IF(N949="Sí",ROUND(K949/1.18,2),K949))</f>
        <v/>
      </c>
      <c r="P949" s="3" t="inlineStr">
        <is>
          <t>2026-09-09</t>
        </is>
      </c>
      <c r="Q949" s="4" t="inlineStr">
        <is>
          <t>Max Ferretería</t>
        </is>
      </c>
      <c r="AF949" s="4" t="inlineStr">
        <is>
          <t>salidas: 6 · supresor: si</t>
        </is>
      </c>
    </row>
    <row r="950">
      <c r="A950" s="3" t="inlineStr">
        <is>
          <t>MAT-10-338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Regleta de 8 salidas</t>
        </is>
      </c>
      <c r="E950" s="4" t="inlineStr">
        <is>
          <t>La ficha no declara si trae supresor de picos</t>
        </is>
      </c>
      <c r="F950" s="3" t="inlineStr">
        <is>
          <t>unidad</t>
        </is>
      </c>
      <c r="G950" s="3" t="inlineStr">
        <is>
          <t>Instalaciones</t>
        </is>
      </c>
      <c r="H950" s="3" t="inlineStr">
        <is>
          <t>estandar</t>
        </is>
      </c>
      <c r="I950" s="3" t="inlineStr">
        <is>
          <t>importado</t>
        </is>
      </c>
      <c r="J950" s="5" t="n">
        <v>1</v>
      </c>
      <c r="K950" s="6" t="n">
        <v>1195</v>
      </c>
      <c r="L950" s="6" t="n">
        <v>1195</v>
      </c>
      <c r="M950" s="6" t="n">
        <v>1195</v>
      </c>
      <c r="N950" s="3" t="inlineStr">
        <is>
          <t>Sí</t>
        </is>
      </c>
      <c r="O950" s="6">
        <f>IF(K950="","",IF(N950="Sí",ROUND(K950/1.18,2),K950))</f>
        <v/>
      </c>
      <c r="P950" s="3" t="inlineStr">
        <is>
          <t>2026-09-09</t>
        </is>
      </c>
      <c r="Q950" s="4" t="inlineStr">
        <is>
          <t>Max Ferretería</t>
        </is>
      </c>
      <c r="AF950" s="4" t="inlineStr">
        <is>
          <t>salidas: 8</t>
        </is>
      </c>
    </row>
    <row r="951">
      <c r="A951" s="3" t="inlineStr">
        <is>
          <t>MAT-10-339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Sensor de movimiento</t>
        </is>
      </c>
      <c r="E951" s="4" t="inlineStr"/>
      <c r="F951" s="3" t="inlineStr">
        <is>
          <t>unidad</t>
        </is>
      </c>
      <c r="G951" s="3" t="inlineStr">
        <is>
          <t>Instalaciones</t>
        </is>
      </c>
      <c r="H951" s="3" t="inlineStr">
        <is>
          <t>estandar</t>
        </is>
      </c>
      <c r="I951" s="3" t="inlineStr">
        <is>
          <t>importado</t>
        </is>
      </c>
      <c r="J951" s="5" t="n">
        <v>1</v>
      </c>
      <c r="K951" s="6" t="n">
        <v>570</v>
      </c>
      <c r="L951" s="6" t="n">
        <v>500</v>
      </c>
      <c r="M951" s="6" t="n">
        <v>780</v>
      </c>
      <c r="N951" s="3" t="inlineStr">
        <is>
          <t>Sí</t>
        </is>
      </c>
      <c r="O951" s="6">
        <f>IF(K951="","",IF(N951="Sí",ROUND(K951/1.18,2),K951))</f>
        <v/>
      </c>
      <c r="P951" s="3" t="inlineStr">
        <is>
          <t>2026-09-09</t>
        </is>
      </c>
      <c r="Q951" s="4" t="inlineStr">
        <is>
          <t>Max Ferretería</t>
        </is>
      </c>
      <c r="AF951" s="4" t="inlineStr">
        <is>
          <t>tipo: Sensor de movimiento</t>
        </is>
      </c>
    </row>
    <row r="952">
      <c r="A952" s="3" t="inlineStr">
        <is>
          <t>MAT-10-340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Temporizador</t>
        </is>
      </c>
      <c r="E952" s="4" t="inlineStr"/>
      <c r="F952" s="3" t="inlineStr">
        <is>
          <t>unidad</t>
        </is>
      </c>
      <c r="G952" s="3" t="inlineStr">
        <is>
          <t>Instalaciones</t>
        </is>
      </c>
      <c r="H952" s="3" t="inlineStr">
        <is>
          <t>estandar</t>
        </is>
      </c>
      <c r="I952" s="3" t="inlineStr">
        <is>
          <t>importado</t>
        </is>
      </c>
      <c r="J952" s="5" t="n">
        <v>1</v>
      </c>
      <c r="K952" s="6" t="n">
        <v>805</v>
      </c>
      <c r="L952" s="6" t="n">
        <v>805</v>
      </c>
      <c r="M952" s="6" t="n">
        <v>805</v>
      </c>
      <c r="N952" s="3" t="inlineStr">
        <is>
          <t>Sí</t>
        </is>
      </c>
      <c r="O952" s="6">
        <f>IF(K952="","",IF(N952="Sí",ROUND(K952/1.18,2),K952))</f>
        <v/>
      </c>
      <c r="P952" s="3" t="inlineStr">
        <is>
          <t>2026-09-09</t>
        </is>
      </c>
      <c r="Q952" s="4" t="inlineStr">
        <is>
          <t>Max Ferretería</t>
        </is>
      </c>
      <c r="AF952" s="4" t="inlineStr">
        <is>
          <t>tipo: Temporizador</t>
        </is>
      </c>
    </row>
    <row r="953">
      <c r="A953" s="3" t="inlineStr">
        <is>
          <t>MAT-10-341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Timbre eléctrico</t>
        </is>
      </c>
      <c r="E953" s="4" t="inlineStr"/>
      <c r="F953" s="3" t="inlineStr">
        <is>
          <t>unidad</t>
        </is>
      </c>
      <c r="G953" s="3" t="inlineStr">
        <is>
          <t>Instalaciones</t>
        </is>
      </c>
      <c r="H953" s="3" t="inlineStr">
        <is>
          <t>estandar</t>
        </is>
      </c>
      <c r="I953" s="3" t="inlineStr">
        <is>
          <t>importado</t>
        </is>
      </c>
      <c r="J953" s="5" t="n">
        <v>1</v>
      </c>
      <c r="K953" s="6" t="n">
        <v>414.99</v>
      </c>
      <c r="L953" s="6" t="n">
        <v>100</v>
      </c>
      <c r="M953" s="6" t="n">
        <v>894.99</v>
      </c>
      <c r="N953" s="3" t="inlineStr">
        <is>
          <t>Sí</t>
        </is>
      </c>
      <c r="O953" s="6">
        <f>IF(K953="","",IF(N953="Sí",ROUND(K953/1.18,2),K953))</f>
        <v/>
      </c>
      <c r="P953" s="3" t="inlineStr">
        <is>
          <t>2026-09-09</t>
        </is>
      </c>
      <c r="Q953" s="4" t="inlineStr">
        <is>
          <t>Max Ferretería</t>
        </is>
      </c>
      <c r="AF953" s="4" t="inlineStr">
        <is>
          <t>tipo: Timbre eléctrico</t>
        </is>
      </c>
    </row>
    <row r="954">
      <c r="A954" s="3" t="inlineStr">
        <is>
          <t>MAT-12-009</t>
        </is>
      </c>
      <c r="B954" s="3" t="inlineStr">
        <is>
          <t>Materiales</t>
        </is>
      </c>
      <c r="C954" s="3" t="inlineStr">
        <is>
          <t>Pintura y acabados</t>
        </is>
      </c>
      <c r="D954" s="4" t="inlineStr">
        <is>
          <t>Pintura acrílica, cubeta de 5 galones</t>
        </is>
      </c>
      <c r="E954" s="4" t="inlineStr"/>
      <c r="F954" s="3" t="inlineStr">
        <is>
          <t>envase</t>
        </is>
      </c>
      <c r="G954" s="3" t="inlineStr">
        <is>
          <t>Terminación de superficies</t>
        </is>
      </c>
      <c r="H954" s="3" t="inlineStr">
        <is>
          <t>estandar</t>
        </is>
      </c>
      <c r="I954" s="3" t="inlineStr">
        <is>
          <t>importado</t>
        </is>
      </c>
      <c r="J954" s="5" t="n">
        <v>2</v>
      </c>
      <c r="K954" s="6" t="n">
        <v>3750</v>
      </c>
      <c r="L954" s="6" t="n">
        <v>1730.56</v>
      </c>
      <c r="M954" s="6" t="n">
        <v>11526.59</v>
      </c>
      <c r="N954" s="3" t="inlineStr">
        <is>
          <t>Sí</t>
        </is>
      </c>
      <c r="O954" s="6">
        <f>IF(K954="","",IF(N954="Sí",ROUND(K954/1.18,2),K954))</f>
        <v/>
      </c>
      <c r="P954" s="3" t="inlineStr">
        <is>
          <t>2026-09-10</t>
        </is>
      </c>
      <c r="Q954" s="4" t="inlineStr">
        <is>
          <t>Ferremix (Grupo Alterra) · Tonos y Colores</t>
        </is>
      </c>
      <c r="AF954" s="4" t="inlineStr">
        <is>
          <t>tipo: acrílica · envase: cubeta de 5 galones</t>
        </is>
      </c>
    </row>
    <row r="955">
      <c r="A955" s="3" t="inlineStr">
        <is>
          <t>MAT-12-010</t>
        </is>
      </c>
      <c r="B955" s="3" t="inlineStr">
        <is>
          <t>Materiales</t>
        </is>
      </c>
      <c r="C955" s="3" t="inlineStr">
        <is>
          <t>Pintura y acabados</t>
        </is>
      </c>
      <c r="D955" s="4" t="inlineStr">
        <is>
          <t>Pintura acrílica, galón</t>
        </is>
      </c>
      <c r="E955" s="4" t="inlineStr"/>
      <c r="F955" s="3" t="inlineStr">
        <is>
          <t>envase</t>
        </is>
      </c>
      <c r="G955" s="3" t="inlineStr">
        <is>
          <t>Terminación de superficies</t>
        </is>
      </c>
      <c r="H955" s="3" t="inlineStr">
        <is>
          <t>estandar</t>
        </is>
      </c>
      <c r="I955" s="3" t="inlineStr">
        <is>
          <t>importado</t>
        </is>
      </c>
      <c r="J955" s="5" t="n">
        <v>2</v>
      </c>
      <c r="K955" s="6" t="n">
        <v>757.13</v>
      </c>
      <c r="L955" s="6" t="n">
        <v>374.4</v>
      </c>
      <c r="M955" s="6" t="n">
        <v>5297.6</v>
      </c>
      <c r="N955" s="3" t="inlineStr">
        <is>
          <t>Sí</t>
        </is>
      </c>
      <c r="O955" s="6">
        <f>IF(K955="","",IF(N955="Sí",ROUND(K955/1.18,2),K955))</f>
        <v/>
      </c>
      <c r="P955" s="3" t="inlineStr">
        <is>
          <t>2026-09-10</t>
        </is>
      </c>
      <c r="Q955" s="4" t="inlineStr">
        <is>
          <t>Ferremix (Grupo Alterra) · Tonos y Colores</t>
        </is>
      </c>
      <c r="AF955" s="4" t="inlineStr">
        <is>
          <t>tipo: acrílica · envase: galón</t>
        </is>
      </c>
    </row>
    <row r="956">
      <c r="A956" s="3" t="inlineStr">
        <is>
          <t>MAT-12-011</t>
        </is>
      </c>
      <c r="B956" s="3" t="inlineStr">
        <is>
          <t>Materiales</t>
        </is>
      </c>
      <c r="C956" s="3" t="inlineStr">
        <is>
          <t>Pintura y acabados</t>
        </is>
      </c>
      <c r="D956" s="4" t="inlineStr">
        <is>
          <t>Pintura aislante térmica, galón</t>
        </is>
      </c>
      <c r="E956" s="4" t="inlineStr"/>
      <c r="F956" s="3" t="inlineStr">
        <is>
          <t>envase</t>
        </is>
      </c>
      <c r="G956" s="3" t="inlineStr">
        <is>
          <t>Terminación de superficies</t>
        </is>
      </c>
      <c r="H956" s="3" t="inlineStr">
        <is>
          <t>estandar</t>
        </is>
      </c>
      <c r="I956" s="3" t="inlineStr">
        <is>
          <t>importado</t>
        </is>
      </c>
      <c r="J956" s="5" t="n">
        <v>1</v>
      </c>
      <c r="K956" s="6" t="n">
        <v>6835.64</v>
      </c>
      <c r="L956" s="6" t="n">
        <v>6835.64</v>
      </c>
      <c r="M956" s="6" t="n">
        <v>6835.64</v>
      </c>
      <c r="N956" s="3" t="inlineStr">
        <is>
          <t>Sí</t>
        </is>
      </c>
      <c r="O956" s="6">
        <f>IF(K956="","",IF(N956="Sí",ROUND(K956/1.18,2),K956))</f>
        <v/>
      </c>
      <c r="P956" s="3" t="inlineStr">
        <is>
          <t>2026-09-09</t>
        </is>
      </c>
      <c r="Q956" s="4" t="inlineStr">
        <is>
          <t>Tonos y Colores</t>
        </is>
      </c>
      <c r="AF956" s="4" t="inlineStr">
        <is>
          <t>tipo: aislante térmica · envase: galón · acabado: brillante</t>
        </is>
      </c>
    </row>
    <row r="957">
      <c r="A957" s="3" t="inlineStr">
        <is>
          <t>MAT-12-012</t>
        </is>
      </c>
      <c r="B957" s="3" t="inlineStr">
        <is>
          <t>Materiales</t>
        </is>
      </c>
      <c r="C957" s="3" t="inlineStr">
        <is>
          <t>Pintura y acabados</t>
        </is>
      </c>
      <c r="D957" s="4" t="inlineStr">
        <is>
          <t>Pintura anticorrosiva, galón</t>
        </is>
      </c>
      <c r="E957" s="4" t="inlineStr"/>
      <c r="F957" s="3" t="inlineStr">
        <is>
          <t>envase</t>
        </is>
      </c>
      <c r="G957" s="3" t="inlineStr">
        <is>
          <t>Terminación de superficies</t>
        </is>
      </c>
      <c r="H957" s="3" t="inlineStr">
        <is>
          <t>estandar</t>
        </is>
      </c>
      <c r="I957" s="3" t="inlineStr">
        <is>
          <t>importado</t>
        </is>
      </c>
      <c r="J957" s="5" t="n">
        <v>1</v>
      </c>
      <c r="K957" s="6" t="n">
        <v>4353.57</v>
      </c>
      <c r="L957" s="6" t="n">
        <v>1345.06</v>
      </c>
      <c r="M957" s="6" t="n">
        <v>4353.57</v>
      </c>
      <c r="N957" s="3" t="inlineStr">
        <is>
          <t>Sí</t>
        </is>
      </c>
      <c r="O957" s="6">
        <f>IF(K957="","",IF(N957="Sí",ROUND(K957/1.18,2),K957))</f>
        <v/>
      </c>
      <c r="P957" s="3" t="inlineStr">
        <is>
          <t>2026-09-09</t>
        </is>
      </c>
      <c r="Q957" s="4" t="inlineStr">
        <is>
          <t>Tonos y Colores</t>
        </is>
      </c>
      <c r="AF957" s="4" t="inlineStr">
        <is>
          <t>tipo: anticorrosiva · envase: galón · acabado: brillante</t>
        </is>
      </c>
    </row>
    <row r="958">
      <c r="A958" s="3" t="inlineStr">
        <is>
          <t>MAT-12-013</t>
        </is>
      </c>
      <c r="B958" s="3" t="inlineStr">
        <is>
          <t>Materiales</t>
        </is>
      </c>
      <c r="C958" s="3" t="inlineStr">
        <is>
          <t>Pintura y acabados</t>
        </is>
      </c>
      <c r="D958" s="4" t="inlineStr">
        <is>
          <t>Pintura de tráfico, galón</t>
        </is>
      </c>
      <c r="E958" s="4" t="inlineStr"/>
      <c r="F958" s="3" t="inlineStr">
        <is>
          <t>envase</t>
        </is>
      </c>
      <c r="G958" s="3" t="inlineStr">
        <is>
          <t>Terminación de superficies</t>
        </is>
      </c>
      <c r="H958" s="3" t="inlineStr">
        <is>
          <t>estandar</t>
        </is>
      </c>
      <c r="I958" s="3" t="inlineStr">
        <is>
          <t>importado</t>
        </is>
      </c>
      <c r="J958" s="5" t="n">
        <v>1</v>
      </c>
      <c r="K958" s="6" t="n">
        <v>1780.6</v>
      </c>
      <c r="L958" s="6" t="n">
        <v>1705.6</v>
      </c>
      <c r="M958" s="6" t="n">
        <v>4908.28</v>
      </c>
      <c r="N958" s="3" t="inlineStr">
        <is>
          <t>Sí</t>
        </is>
      </c>
      <c r="O958" s="6">
        <f>IF(K958="","",IF(N958="Sí",ROUND(K958/1.18,2),K958))</f>
        <v/>
      </c>
      <c r="P958" s="3" t="inlineStr">
        <is>
          <t>2026-09-09</t>
        </is>
      </c>
      <c r="Q958" s="4" t="inlineStr">
        <is>
          <t>Tonos y Colores</t>
        </is>
      </c>
      <c r="AF958" s="4" t="inlineStr">
        <is>
          <t>tipo: de tráfico · envase: galón · acabado: brillante</t>
        </is>
      </c>
    </row>
    <row r="959">
      <c r="A959" s="3" t="inlineStr">
        <is>
          <t>MAT-12-014</t>
        </is>
      </c>
      <c r="B959" s="3" t="inlineStr">
        <is>
          <t>Materiales</t>
        </is>
      </c>
      <c r="C959" s="3" t="inlineStr">
        <is>
          <t>Pintura y acabados</t>
        </is>
      </c>
      <c r="D959" s="4" t="inlineStr">
        <is>
          <t>Pintura epóxica, cubeta de 5 galones</t>
        </is>
      </c>
      <c r="E959" s="4" t="inlineStr"/>
      <c r="F959" s="3" t="inlineStr">
        <is>
          <t>envase</t>
        </is>
      </c>
      <c r="G959" s="3" t="inlineStr">
        <is>
          <t>Terminación de superficies</t>
        </is>
      </c>
      <c r="H959" s="3" t="inlineStr">
        <is>
          <t>estandar</t>
        </is>
      </c>
      <c r="I959" s="3" t="inlineStr">
        <is>
          <t>importado</t>
        </is>
      </c>
      <c r="J959" s="5" t="n">
        <v>1</v>
      </c>
      <c r="K959" s="6" t="n">
        <v>1675</v>
      </c>
      <c r="L959" s="6" t="n">
        <v>1675</v>
      </c>
      <c r="M959" s="6" t="n">
        <v>1675</v>
      </c>
      <c r="N959" s="3" t="inlineStr">
        <is>
          <t>Sí</t>
        </is>
      </c>
      <c r="O959" s="6">
        <f>IF(K959="","",IF(N959="Sí",ROUND(K959/1.18,2),K959))</f>
        <v/>
      </c>
      <c r="P959" s="3" t="inlineStr">
        <is>
          <t>2026-09-10</t>
        </is>
      </c>
      <c r="Q959" s="4" t="inlineStr">
        <is>
          <t>Ferremix (Grupo Alterra)</t>
        </is>
      </c>
      <c r="AF959" s="4" t="inlineStr">
        <is>
          <t>tipo: epóxica · envase: cubeta de 5 galones</t>
        </is>
      </c>
    </row>
    <row r="960">
      <c r="A960" s="3" t="inlineStr">
        <is>
          <t>MAT-12-015</t>
        </is>
      </c>
      <c r="B960" s="3" t="inlineStr">
        <is>
          <t>Materiales</t>
        </is>
      </c>
      <c r="C960" s="3" t="inlineStr">
        <is>
          <t>Pintura y acabados</t>
        </is>
      </c>
      <c r="D960" s="4" t="inlineStr">
        <is>
          <t>Pintura epóxica, galón</t>
        </is>
      </c>
      <c r="E960" s="4" t="inlineStr"/>
      <c r="F960" s="3" t="inlineStr">
        <is>
          <t>envase</t>
        </is>
      </c>
      <c r="G960" s="3" t="inlineStr">
        <is>
          <t>Terminación de superficies</t>
        </is>
      </c>
      <c r="H960" s="3" t="inlineStr">
        <is>
          <t>estandar</t>
        </is>
      </c>
      <c r="I960" s="3" t="inlineStr">
        <is>
          <t>importado</t>
        </is>
      </c>
      <c r="J960" s="5" t="n">
        <v>1</v>
      </c>
      <c r="K960" s="6" t="n">
        <v>2954.01</v>
      </c>
      <c r="L960" s="6" t="n">
        <v>2954.01</v>
      </c>
      <c r="M960" s="6" t="n">
        <v>2954.01</v>
      </c>
      <c r="N960" s="3" t="inlineStr">
        <is>
          <t>Sí</t>
        </is>
      </c>
      <c r="O960" s="6">
        <f>IF(K960="","",IF(N960="Sí",ROUND(K960/1.18,2),K960))</f>
        <v/>
      </c>
      <c r="P960" s="3" t="inlineStr">
        <is>
          <t>2026-09-09</t>
        </is>
      </c>
      <c r="Q960" s="4" t="inlineStr">
        <is>
          <t>Tonos y Colores</t>
        </is>
      </c>
      <c r="AF960" s="4" t="inlineStr">
        <is>
          <t>tipo: epóxica · envase: galón · acabado: brillante</t>
        </is>
      </c>
    </row>
    <row r="961">
      <c r="A961" s="3" t="inlineStr">
        <is>
          <t>MAT-12-016</t>
        </is>
      </c>
      <c r="B961" s="3" t="inlineStr">
        <is>
          <t>Materiales</t>
        </is>
      </c>
      <c r="C961" s="3" t="inlineStr">
        <is>
          <t>Pintura y acabados</t>
        </is>
      </c>
      <c r="D961" s="4" t="inlineStr">
        <is>
          <t>Pintura esmalte, envase de 750 ml</t>
        </is>
      </c>
      <c r="E961" s="4" t="inlineStr"/>
      <c r="F961" s="3" t="inlineStr">
        <is>
          <t>envase</t>
        </is>
      </c>
      <c r="G961" s="3" t="inlineStr">
        <is>
          <t>Terminación de superficies</t>
        </is>
      </c>
      <c r="H961" s="3" t="inlineStr">
        <is>
          <t>estandar</t>
        </is>
      </c>
      <c r="I961" s="3" t="inlineStr">
        <is>
          <t>importado</t>
        </is>
      </c>
      <c r="J961" s="5" t="n">
        <v>1</v>
      </c>
      <c r="K961" s="6" t="n">
        <v>1212.3</v>
      </c>
      <c r="L961" s="6" t="n">
        <v>1212.3</v>
      </c>
      <c r="M961" s="6" t="n">
        <v>1212.3</v>
      </c>
      <c r="N961" s="3" t="inlineStr">
        <is>
          <t>Sí</t>
        </is>
      </c>
      <c r="O961" s="6">
        <f>IF(K961="","",IF(N961="Sí",ROUND(K961/1.18,2),K961))</f>
        <v/>
      </c>
      <c r="P961" s="3" t="inlineStr">
        <is>
          <t>2026-09-09</t>
        </is>
      </c>
      <c r="Q961" s="4" t="inlineStr">
        <is>
          <t>Tonos y Colores</t>
        </is>
      </c>
      <c r="AF961" s="4" t="inlineStr">
        <is>
          <t>tipo: esmalte · envase: envase de 750 ml</t>
        </is>
      </c>
    </row>
    <row r="962">
      <c r="A962" s="3" t="inlineStr">
        <is>
          <t>MAT-12-017</t>
        </is>
      </c>
      <c r="B962" s="3" t="inlineStr">
        <is>
          <t>Materiales</t>
        </is>
      </c>
      <c r="C962" s="3" t="inlineStr">
        <is>
          <t>Pintura y acabados</t>
        </is>
      </c>
      <c r="D962" s="4" t="inlineStr">
        <is>
          <t>Pintura esmalte, galón</t>
        </is>
      </c>
      <c r="E962" s="4" t="inlineStr"/>
      <c r="F962" s="3" t="inlineStr">
        <is>
          <t>envase</t>
        </is>
      </c>
      <c r="G962" s="3" t="inlineStr">
        <is>
          <t>Terminación de superficies</t>
        </is>
      </c>
      <c r="H962" s="3" t="inlineStr">
        <is>
          <t>estandar</t>
        </is>
      </c>
      <c r="I962" s="3" t="inlineStr">
        <is>
          <t>importado</t>
        </is>
      </c>
      <c r="J962" s="5" t="n">
        <v>1</v>
      </c>
      <c r="K962" s="6" t="n">
        <v>3548.15</v>
      </c>
      <c r="L962" s="6" t="n">
        <v>1312.41</v>
      </c>
      <c r="M962" s="6" t="n">
        <v>5401.1</v>
      </c>
      <c r="N962" s="3" t="inlineStr">
        <is>
          <t>Sí</t>
        </is>
      </c>
      <c r="O962" s="6">
        <f>IF(K962="","",IF(N962="Sí",ROUND(K962/1.18,2),K962))</f>
        <v/>
      </c>
      <c r="P962" s="3" t="inlineStr">
        <is>
          <t>2026-09-09</t>
        </is>
      </c>
      <c r="Q962" s="4" t="inlineStr">
        <is>
          <t>Tonos y Colores</t>
        </is>
      </c>
      <c r="AF962" s="4" t="inlineStr">
        <is>
          <t>tipo: esmalte · envase: galón · acabado: brillante</t>
        </is>
      </c>
    </row>
    <row r="963">
      <c r="A963" s="3" t="inlineStr">
        <is>
          <t>MAT-12-018</t>
        </is>
      </c>
      <c r="B963" s="3" t="inlineStr">
        <is>
          <t>Materiales</t>
        </is>
      </c>
      <c r="C963" s="3" t="inlineStr">
        <is>
          <t>Pintura y acabados</t>
        </is>
      </c>
      <c r="D963" s="4" t="inlineStr">
        <is>
          <t>Impermeabilizante, cubeta de 5 galones</t>
        </is>
      </c>
      <c r="E963" s="4" t="inlineStr"/>
      <c r="F963" s="3" t="inlineStr">
        <is>
          <t>envase</t>
        </is>
      </c>
      <c r="G963" s="3" t="inlineStr">
        <is>
          <t>Terminación de superficies</t>
        </is>
      </c>
      <c r="H963" s="3" t="inlineStr">
        <is>
          <t>estandar</t>
        </is>
      </c>
      <c r="I963" s="3" t="inlineStr">
        <is>
          <t>importado</t>
        </is>
      </c>
      <c r="J963" s="5" t="n">
        <v>2</v>
      </c>
      <c r="K963" s="6" t="n">
        <v>7752.62</v>
      </c>
      <c r="L963" s="6" t="n">
        <v>2065</v>
      </c>
      <c r="M963" s="6" t="n">
        <v>13902.88</v>
      </c>
      <c r="N963" s="3" t="inlineStr">
        <is>
          <t>Sí</t>
        </is>
      </c>
      <c r="O963" s="6">
        <f>IF(K963="","",IF(N963="Sí",ROUND(K963/1.18,2),K963))</f>
        <v/>
      </c>
      <c r="P963" s="3" t="inlineStr">
        <is>
          <t>2026-09-10</t>
        </is>
      </c>
      <c r="Q963" s="4" t="inlineStr">
        <is>
          <t>Ferremix (Grupo Alterra) · Tonos y Colores</t>
        </is>
      </c>
      <c r="AF963" s="4" t="inlineStr">
        <is>
          <t>tipo: impermeabilizante · envase: cubeta de 5 galones</t>
        </is>
      </c>
    </row>
    <row r="964">
      <c r="A964" s="3" t="inlineStr">
        <is>
          <t>MAT-12-019</t>
        </is>
      </c>
      <c r="B964" s="3" t="inlineStr">
        <is>
          <t>Materiales</t>
        </is>
      </c>
      <c r="C964" s="3" t="inlineStr">
        <is>
          <t>Pintura y acabados</t>
        </is>
      </c>
      <c r="D964" s="4" t="inlineStr">
        <is>
          <t>Impermeabilizante, funda de 40 libras</t>
        </is>
      </c>
      <c r="E964" s="4" t="inlineStr"/>
      <c r="F964" s="3" t="inlineStr">
        <is>
          <t>envase</t>
        </is>
      </c>
      <c r="G964" s="3" t="inlineStr">
        <is>
          <t>Terminación de superficies</t>
        </is>
      </c>
      <c r="H964" s="3" t="inlineStr">
        <is>
          <t>estandar</t>
        </is>
      </c>
      <c r="I964" s="3" t="inlineStr">
        <is>
          <t>importado</t>
        </is>
      </c>
      <c r="J964" s="5" t="n">
        <v>2</v>
      </c>
      <c r="K964" s="6" t="n">
        <v>2663</v>
      </c>
      <c r="L964" s="6" t="n">
        <v>2419.2</v>
      </c>
      <c r="M964" s="6" t="n">
        <v>3295</v>
      </c>
      <c r="N964" s="3" t="inlineStr">
        <is>
          <t>Sí</t>
        </is>
      </c>
      <c r="O964" s="6">
        <f>IF(K964="","",IF(N964="Sí",ROUND(K964/1.18,2),K964))</f>
        <v/>
      </c>
      <c r="P964" s="3" t="inlineStr">
        <is>
          <t>2026-09-10</t>
        </is>
      </c>
      <c r="Q964" s="4" t="inlineStr">
        <is>
          <t>Bellón · Tonos y Colores</t>
        </is>
      </c>
      <c r="AF964" s="4" t="inlineStr">
        <is>
          <t>tipo: impermeabilizante · envase: funda de 40 libras · acabado: mate</t>
        </is>
      </c>
    </row>
    <row r="965">
      <c r="A965" s="3" t="inlineStr">
        <is>
          <t>MAT-12-020</t>
        </is>
      </c>
      <c r="B965" s="3" t="inlineStr">
        <is>
          <t>Materiales</t>
        </is>
      </c>
      <c r="C965" s="3" t="inlineStr">
        <is>
          <t>Pintura y acabados</t>
        </is>
      </c>
      <c r="D965" s="4" t="inlineStr">
        <is>
          <t>Impermeabilizante, funda de 44 libras</t>
        </is>
      </c>
      <c r="E965" s="4" t="inlineStr"/>
      <c r="F965" s="3" t="inlineStr">
        <is>
          <t>envase</t>
        </is>
      </c>
      <c r="G965" s="3" t="inlineStr">
        <is>
          <t>Terminación de superficies</t>
        </is>
      </c>
      <c r="H965" s="3" t="inlineStr">
        <is>
          <t>estandar</t>
        </is>
      </c>
      <c r="I965" s="3" t="inlineStr">
        <is>
          <t>importado</t>
        </is>
      </c>
      <c r="J965" s="5" t="n">
        <v>1</v>
      </c>
      <c r="K965" s="6" t="n">
        <v>2838.53</v>
      </c>
      <c r="L965" s="6" t="n">
        <v>2838.53</v>
      </c>
      <c r="M965" s="6" t="n">
        <v>2838.53</v>
      </c>
      <c r="N965" s="3" t="inlineStr">
        <is>
          <t>Sí</t>
        </is>
      </c>
      <c r="O965" s="6">
        <f>IF(K965="","",IF(N965="Sí",ROUND(K965/1.18,2),K965))</f>
        <v/>
      </c>
      <c r="P965" s="3" t="inlineStr">
        <is>
          <t>2026-09-09</t>
        </is>
      </c>
      <c r="Q965" s="4" t="inlineStr">
        <is>
          <t>Tonos y Colores</t>
        </is>
      </c>
      <c r="AF965" s="4" t="inlineStr">
        <is>
          <t>tipo: impermeabilizante · envase: funda de 44 libras</t>
        </is>
      </c>
    </row>
    <row r="966">
      <c r="A966" s="3" t="inlineStr">
        <is>
          <t>MAT-12-021</t>
        </is>
      </c>
      <c r="B966" s="3" t="inlineStr">
        <is>
          <t>Materiales</t>
        </is>
      </c>
      <c r="C966" s="3" t="inlineStr">
        <is>
          <t>Pintura y acabados</t>
        </is>
      </c>
      <c r="D966" s="4" t="inlineStr">
        <is>
          <t>Impermeabilizante, galón</t>
        </is>
      </c>
      <c r="E966" s="4" t="inlineStr"/>
      <c r="F966" s="3" t="inlineStr">
        <is>
          <t>envase</t>
        </is>
      </c>
      <c r="G966" s="3" t="inlineStr">
        <is>
          <t>Terminación de superficies</t>
        </is>
      </c>
      <c r="H966" s="3" t="inlineStr">
        <is>
          <t>estandar</t>
        </is>
      </c>
      <c r="I966" s="3" t="inlineStr">
        <is>
          <t>importado</t>
        </is>
      </c>
      <c r="J966" s="5" t="n">
        <v>2</v>
      </c>
      <c r="K966" s="6" t="n">
        <v>2299.98</v>
      </c>
      <c r="L966" s="6" t="n">
        <v>1265</v>
      </c>
      <c r="M966" s="6" t="n">
        <v>4642.17</v>
      </c>
      <c r="N966" s="3" t="inlineStr">
        <is>
          <t>Sí</t>
        </is>
      </c>
      <c r="O966" s="6">
        <f>IF(K966="","",IF(N966="Sí",ROUND(K966/1.18,2),K966))</f>
        <v/>
      </c>
      <c r="P966" s="3" t="inlineStr">
        <is>
          <t>2026-09-10</t>
        </is>
      </c>
      <c r="Q966" s="4" t="inlineStr">
        <is>
          <t>Ferremix (Grupo Alterra) · Tonos y Colores</t>
        </is>
      </c>
      <c r="AF966" s="4" t="inlineStr">
        <is>
          <t>tipo: impermeabilizante · envase: galón · acabado: mate</t>
        </is>
      </c>
    </row>
    <row r="967">
      <c r="A967" s="3" t="inlineStr">
        <is>
          <t>MAT-12-022</t>
        </is>
      </c>
      <c r="B967" s="3" t="inlineStr">
        <is>
          <t>Materiales</t>
        </is>
      </c>
      <c r="C967" s="3" t="inlineStr">
        <is>
          <t>Pintura y acabados</t>
        </is>
      </c>
      <c r="D967" s="4" t="inlineStr">
        <is>
          <t>Masilla, cubeta de 5 galones</t>
        </is>
      </c>
      <c r="E967" s="4" t="inlineStr"/>
      <c r="F967" s="3" t="inlineStr">
        <is>
          <t>envase</t>
        </is>
      </c>
      <c r="G967" s="3" t="inlineStr">
        <is>
          <t>Terminación de superficies</t>
        </is>
      </c>
      <c r="H967" s="3" t="inlineStr">
        <is>
          <t>estandar</t>
        </is>
      </c>
      <c r="I967" s="3" t="inlineStr">
        <is>
          <t>importado</t>
        </is>
      </c>
      <c r="J967" s="5" t="n">
        <v>1</v>
      </c>
      <c r="K967" s="6" t="n">
        <v>1795</v>
      </c>
      <c r="L967" s="6" t="n">
        <v>1395</v>
      </c>
      <c r="M967" s="6" t="n">
        <v>8050</v>
      </c>
      <c r="N967" s="3" t="inlineStr">
        <is>
          <t>Sí</t>
        </is>
      </c>
      <c r="O967" s="6">
        <f>IF(K967="","",IF(N967="Sí",ROUND(K967/1.18,2),K967))</f>
        <v/>
      </c>
      <c r="P967" s="3" t="inlineStr">
        <is>
          <t>2026-09-10</t>
        </is>
      </c>
      <c r="Q967" s="4" t="inlineStr">
        <is>
          <t>Ferremix (Grupo Alterra)</t>
        </is>
      </c>
      <c r="AF967" s="4" t="inlineStr">
        <is>
          <t>tipo: masilla · envase: cubeta de 5 galones</t>
        </is>
      </c>
    </row>
    <row r="968">
      <c r="A968" s="3" t="inlineStr">
        <is>
          <t>MAT-12-023</t>
        </is>
      </c>
      <c r="B968" s="3" t="inlineStr">
        <is>
          <t>Materiales</t>
        </is>
      </c>
      <c r="C968" s="3" t="inlineStr">
        <is>
          <t>Pintura y acabados</t>
        </is>
      </c>
      <c r="D968" s="4" t="inlineStr">
        <is>
          <t>Masilla, envase de 2.5 litros</t>
        </is>
      </c>
      <c r="E968" s="4" t="inlineStr"/>
      <c r="F968" s="3" t="inlineStr">
        <is>
          <t>envase</t>
        </is>
      </c>
      <c r="G968" s="3" t="inlineStr">
        <is>
          <t>Terminación de superficies</t>
        </is>
      </c>
      <c r="H968" s="3" t="inlineStr">
        <is>
          <t>estandar</t>
        </is>
      </c>
      <c r="I968" s="3" t="inlineStr">
        <is>
          <t>importado</t>
        </is>
      </c>
      <c r="J968" s="5" t="n">
        <v>1</v>
      </c>
      <c r="K968" s="6" t="n">
        <v>1429.12</v>
      </c>
      <c r="L968" s="6" t="n">
        <v>1429.12</v>
      </c>
      <c r="M968" s="6" t="n">
        <v>1429.12</v>
      </c>
      <c r="N968" s="3" t="inlineStr">
        <is>
          <t>Sí</t>
        </is>
      </c>
      <c r="O968" s="6">
        <f>IF(K968="","",IF(N968="Sí",ROUND(K968/1.18,2),K968))</f>
        <v/>
      </c>
      <c r="P968" s="3" t="inlineStr">
        <is>
          <t>2026-09-09</t>
        </is>
      </c>
      <c r="Q968" s="4" t="inlineStr">
        <is>
          <t>Tonos y Colores</t>
        </is>
      </c>
      <c r="AF968" s="4" t="inlineStr">
        <is>
          <t>tipo: masilla · envase: envase de 2.5 litros · acabado: mate</t>
        </is>
      </c>
    </row>
    <row r="969">
      <c r="A969" s="3" t="inlineStr">
        <is>
          <t>MAT-12-024</t>
        </is>
      </c>
      <c r="B969" s="3" t="inlineStr">
        <is>
          <t>Materiales</t>
        </is>
      </c>
      <c r="C969" s="3" t="inlineStr">
        <is>
          <t>Pintura y acabados</t>
        </is>
      </c>
      <c r="D969" s="4" t="inlineStr">
        <is>
          <t>Masilla, funda de 1 libra</t>
        </is>
      </c>
      <c r="E969" s="4" t="inlineStr"/>
      <c r="F969" s="3" t="inlineStr">
        <is>
          <t>envase</t>
        </is>
      </c>
      <c r="G969" s="3" t="inlineStr">
        <is>
          <t>Terminación de superficies</t>
        </is>
      </c>
      <c r="H969" s="3" t="inlineStr">
        <is>
          <t>estandar</t>
        </is>
      </c>
      <c r="I969" s="3" t="inlineStr">
        <is>
          <t>importado</t>
        </is>
      </c>
      <c r="J969" s="5" t="n">
        <v>1</v>
      </c>
      <c r="K969" s="6" t="n">
        <v>211.9</v>
      </c>
      <c r="L969" s="6" t="n">
        <v>211.9</v>
      </c>
      <c r="M969" s="6" t="n">
        <v>211.9</v>
      </c>
      <c r="N969" s="3" t="inlineStr">
        <is>
          <t>Sí</t>
        </is>
      </c>
      <c r="O969" s="6">
        <f>IF(K969="","",IF(N969="Sí",ROUND(K969/1.18,2),K969))</f>
        <v/>
      </c>
      <c r="P969" s="3" t="inlineStr">
        <is>
          <t>2026-09-09</t>
        </is>
      </c>
      <c r="Q969" s="4" t="inlineStr">
        <is>
          <t>Tonos y Colores</t>
        </is>
      </c>
      <c r="AF969" s="4" t="inlineStr">
        <is>
          <t>tipo: masilla · envase: funda de 1 libra · acabado: mate</t>
        </is>
      </c>
    </row>
    <row r="970">
      <c r="A970" s="3" t="inlineStr">
        <is>
          <t>MAT-12-025</t>
        </is>
      </c>
      <c r="B970" s="3" t="inlineStr">
        <is>
          <t>Materiales</t>
        </is>
      </c>
      <c r="C970" s="3" t="inlineStr">
        <is>
          <t>Pintura y acabados</t>
        </is>
      </c>
      <c r="D970" s="4" t="inlineStr">
        <is>
          <t>Masilla, funda de 11 libras</t>
        </is>
      </c>
      <c r="E970" s="4" t="inlineStr"/>
      <c r="F970" s="3" t="inlineStr">
        <is>
          <t>envase</t>
        </is>
      </c>
      <c r="G970" s="3" t="inlineStr">
        <is>
          <t>Terminación de superficies</t>
        </is>
      </c>
      <c r="H970" s="3" t="inlineStr">
        <is>
          <t>estandar</t>
        </is>
      </c>
      <c r="I970" s="3" t="inlineStr">
        <is>
          <t>importado</t>
        </is>
      </c>
      <c r="J970" s="5" t="n">
        <v>1</v>
      </c>
      <c r="K970" s="6" t="n">
        <v>1118.66</v>
      </c>
      <c r="L970" s="6" t="n">
        <v>1118.66</v>
      </c>
      <c r="M970" s="6" t="n">
        <v>1118.66</v>
      </c>
      <c r="N970" s="3" t="inlineStr">
        <is>
          <t>Sí</t>
        </is>
      </c>
      <c r="O970" s="6">
        <f>IF(K970="","",IF(N970="Sí",ROUND(K970/1.18,2),K970))</f>
        <v/>
      </c>
      <c r="P970" s="3" t="inlineStr">
        <is>
          <t>2026-09-09</t>
        </is>
      </c>
      <c r="Q970" s="4" t="inlineStr">
        <is>
          <t>Tonos y Colores</t>
        </is>
      </c>
      <c r="AF970" s="4" t="inlineStr">
        <is>
          <t>tipo: masilla · envase: funda de 11 libras · acabado: mate</t>
        </is>
      </c>
    </row>
    <row r="971">
      <c r="A971" s="3" t="inlineStr">
        <is>
          <t>MAT-12-026</t>
        </is>
      </c>
      <c r="B971" s="3" t="inlineStr">
        <is>
          <t>Materiales</t>
        </is>
      </c>
      <c r="C971" s="3" t="inlineStr">
        <is>
          <t>Pintura y acabados</t>
        </is>
      </c>
      <c r="D971" s="4" t="inlineStr">
        <is>
          <t>Masilla, funda de 2 libras</t>
        </is>
      </c>
      <c r="E971" s="4" t="inlineStr"/>
      <c r="F971" s="3" t="inlineStr">
        <is>
          <t>envase</t>
        </is>
      </c>
      <c r="G971" s="3" t="inlineStr">
        <is>
          <t>Terminación de superficies</t>
        </is>
      </c>
      <c r="H971" s="3" t="inlineStr">
        <is>
          <t>estandar</t>
        </is>
      </c>
      <c r="I971" s="3" t="inlineStr">
        <is>
          <t>importado</t>
        </is>
      </c>
      <c r="J971" s="5" t="n">
        <v>1</v>
      </c>
      <c r="K971" s="6" t="n">
        <v>335.1</v>
      </c>
      <c r="L971" s="6" t="n">
        <v>335.1</v>
      </c>
      <c r="M971" s="6" t="n">
        <v>335.1</v>
      </c>
      <c r="N971" s="3" t="inlineStr">
        <is>
          <t>Sí</t>
        </is>
      </c>
      <c r="O971" s="6">
        <f>IF(K971="","",IF(N971="Sí",ROUND(K971/1.18,2),K971))</f>
        <v/>
      </c>
      <c r="P971" s="3" t="inlineStr">
        <is>
          <t>2026-09-09</t>
        </is>
      </c>
      <c r="Q971" s="4" t="inlineStr">
        <is>
          <t>Tonos y Colores</t>
        </is>
      </c>
      <c r="AF971" s="4" t="inlineStr">
        <is>
          <t>tipo: masilla · envase: funda de 2 libras · acabado: mate</t>
        </is>
      </c>
    </row>
    <row r="972">
      <c r="A972" s="3" t="inlineStr">
        <is>
          <t>MAT-12-027</t>
        </is>
      </c>
      <c r="B972" s="3" t="inlineStr">
        <is>
          <t>Materiales</t>
        </is>
      </c>
      <c r="C972" s="3" t="inlineStr">
        <is>
          <t>Pintura y acabados</t>
        </is>
      </c>
      <c r="D972" s="4" t="inlineStr">
        <is>
          <t>Masilla para exterior, cubeta de 5 galones</t>
        </is>
      </c>
      <c r="E972" s="4" t="inlineStr"/>
      <c r="F972" s="3" t="inlineStr">
        <is>
          <t>envase</t>
        </is>
      </c>
      <c r="G972" s="3" t="inlineStr">
        <is>
          <t>Terminación de superficies</t>
        </is>
      </c>
      <c r="H972" s="3" t="inlineStr">
        <is>
          <t>estandar</t>
        </is>
      </c>
      <c r="I972" s="3" t="inlineStr">
        <is>
          <t>importado</t>
        </is>
      </c>
      <c r="J972" s="5" t="n">
        <v>1</v>
      </c>
      <c r="K972" s="6" t="n">
        <v>4072.16</v>
      </c>
      <c r="L972" s="6" t="n">
        <v>4072.16</v>
      </c>
      <c r="M972" s="6" t="n">
        <v>4072.16</v>
      </c>
      <c r="N972" s="3" t="inlineStr">
        <is>
          <t>Sí</t>
        </is>
      </c>
      <c r="O972" s="6">
        <f>IF(K972="","",IF(N972="Sí",ROUND(K972/1.18,2),K972))</f>
        <v/>
      </c>
      <c r="P972" s="3" t="inlineStr">
        <is>
          <t>2026-09-09</t>
        </is>
      </c>
      <c r="Q972" s="4" t="inlineStr">
        <is>
          <t>Tonos y Colores</t>
        </is>
      </c>
      <c r="AF972" s="4" t="inlineStr">
        <is>
          <t>tipo: masilla para exterior · envase: cubeta de 5 galones · acabado: satinado</t>
        </is>
      </c>
    </row>
    <row r="973">
      <c r="A973" s="3" t="inlineStr">
        <is>
          <t>MAT-12-028</t>
        </is>
      </c>
      <c r="B973" s="3" t="inlineStr">
        <is>
          <t>Materiales</t>
        </is>
      </c>
      <c r="C973" s="3" t="inlineStr">
        <is>
          <t>Pintura y acabados</t>
        </is>
      </c>
      <c r="D973" s="4" t="inlineStr">
        <is>
          <t>Masilla para exterior, funda de 40 libras</t>
        </is>
      </c>
      <c r="E973" s="4" t="inlineStr"/>
      <c r="F973" s="3" t="inlineStr">
        <is>
          <t>envase</t>
        </is>
      </c>
      <c r="G973" s="3" t="inlineStr">
        <is>
          <t>Terminación de superficies</t>
        </is>
      </c>
      <c r="H973" s="3" t="inlineStr">
        <is>
          <t>estandar</t>
        </is>
      </c>
      <c r="I973" s="3" t="inlineStr">
        <is>
          <t>importado</t>
        </is>
      </c>
      <c r="J973" s="5" t="n">
        <v>1</v>
      </c>
      <c r="K973" s="6" t="n">
        <v>2157.6</v>
      </c>
      <c r="L973" s="6" t="n">
        <v>2157.6</v>
      </c>
      <c r="M973" s="6" t="n">
        <v>2157.6</v>
      </c>
      <c r="N973" s="3" t="inlineStr">
        <is>
          <t>Sí</t>
        </is>
      </c>
      <c r="O973" s="6">
        <f>IF(K973="","",IF(N973="Sí",ROUND(K973/1.18,2),K973))</f>
        <v/>
      </c>
      <c r="P973" s="3" t="inlineStr">
        <is>
          <t>2026-09-09</t>
        </is>
      </c>
      <c r="Q973" s="4" t="inlineStr">
        <is>
          <t>Tonos y Colores</t>
        </is>
      </c>
      <c r="AF973" s="4" t="inlineStr">
        <is>
          <t>tipo: masilla para exterior · envase: funda de 40 libras · acabado: satinado</t>
        </is>
      </c>
    </row>
    <row r="974">
      <c r="A974" s="3" t="inlineStr">
        <is>
          <t>MAT-12-029</t>
        </is>
      </c>
      <c r="B974" s="3" t="inlineStr">
        <is>
          <t>Materiales</t>
        </is>
      </c>
      <c r="C974" s="3" t="inlineStr">
        <is>
          <t>Pintura y acabados</t>
        </is>
      </c>
      <c r="D974" s="4" t="inlineStr">
        <is>
          <t>Masilla para sheetrock, cubeta de 5 galones</t>
        </is>
      </c>
      <c r="E974" s="4" t="inlineStr"/>
      <c r="F974" s="3" t="inlineStr">
        <is>
          <t>envase</t>
        </is>
      </c>
      <c r="G974" s="3" t="inlineStr">
        <is>
          <t>Terminación de superficies</t>
        </is>
      </c>
      <c r="H974" s="3" t="inlineStr">
        <is>
          <t>estandar</t>
        </is>
      </c>
      <c r="I974" s="3" t="inlineStr">
        <is>
          <t>importado</t>
        </is>
      </c>
      <c r="J974" s="5" t="n">
        <v>2</v>
      </c>
      <c r="K974" s="6" t="n">
        <v>1401.92</v>
      </c>
      <c r="L974" s="6" t="n">
        <v>1221.74</v>
      </c>
      <c r="M974" s="6" t="n">
        <v>4316</v>
      </c>
      <c r="N974" s="3" t="inlineStr">
        <is>
          <t>Sí</t>
        </is>
      </c>
      <c r="O974" s="6">
        <f>IF(K974="","",IF(N974="Sí",ROUND(K974/1.18,2),K974))</f>
        <v/>
      </c>
      <c r="P974" s="3" t="inlineStr">
        <is>
          <t>2026-09-10</t>
        </is>
      </c>
      <c r="Q974" s="4" t="inlineStr">
        <is>
          <t>Bellón · Tonos y Colores</t>
        </is>
      </c>
      <c r="AF974" s="4" t="inlineStr">
        <is>
          <t>tipo: masilla para sheetrock · envase: cubeta de 5 galones · acabado: mate</t>
        </is>
      </c>
    </row>
    <row r="975">
      <c r="A975" s="3" t="inlineStr">
        <is>
          <t>MAT-12-030</t>
        </is>
      </c>
      <c r="B975" s="3" t="inlineStr">
        <is>
          <t>Materiales</t>
        </is>
      </c>
      <c r="C975" s="3" t="inlineStr">
        <is>
          <t>Pintura y acabados</t>
        </is>
      </c>
      <c r="D975" s="4" t="inlineStr">
        <is>
          <t>Masilla para sheetrock, funda de 14 libras</t>
        </is>
      </c>
      <c r="E975" s="4" t="inlineStr"/>
      <c r="F975" s="3" t="inlineStr">
        <is>
          <t>envase</t>
        </is>
      </c>
      <c r="G975" s="3" t="inlineStr">
        <is>
          <t>Terminación de superficies</t>
        </is>
      </c>
      <c r="H975" s="3" t="inlineStr">
        <is>
          <t>estandar</t>
        </is>
      </c>
      <c r="I975" s="3" t="inlineStr">
        <is>
          <t>importado</t>
        </is>
      </c>
      <c r="J975" s="5" t="n">
        <v>1</v>
      </c>
      <c r="K975" s="6" t="n">
        <v>1198</v>
      </c>
      <c r="L975" s="6" t="n">
        <v>1198</v>
      </c>
      <c r="M975" s="6" t="n">
        <v>1198</v>
      </c>
      <c r="N975" s="3" t="inlineStr">
        <is>
          <t>Sí</t>
        </is>
      </c>
      <c r="O975" s="6">
        <f>IF(K975="","",IF(N975="Sí",ROUND(K975/1.18,2),K975))</f>
        <v/>
      </c>
      <c r="P975" s="3" t="inlineStr">
        <is>
          <t>2026-09-10</t>
        </is>
      </c>
      <c r="Q975" s="4" t="inlineStr">
        <is>
          <t>Bellón</t>
        </is>
      </c>
      <c r="AF975" s="4" t="inlineStr">
        <is>
          <t>tipo: masilla para sheetrock · envase: funda de 14 libras</t>
        </is>
      </c>
    </row>
    <row r="976">
      <c r="A976" s="3" t="inlineStr">
        <is>
          <t>MAT-12-031</t>
        </is>
      </c>
      <c r="B976" s="3" t="inlineStr">
        <is>
          <t>Materiales</t>
        </is>
      </c>
      <c r="C976" s="3" t="inlineStr">
        <is>
          <t>Pintura y acabados</t>
        </is>
      </c>
      <c r="D976" s="4" t="inlineStr">
        <is>
          <t>Masilla para sheetrock, funda de 2 libras</t>
        </is>
      </c>
      <c r="E976" s="4" t="inlineStr"/>
      <c r="F976" s="3" t="inlineStr">
        <is>
          <t>envase</t>
        </is>
      </c>
      <c r="G976" s="3" t="inlineStr">
        <is>
          <t>Terminación de superficies</t>
        </is>
      </c>
      <c r="H976" s="3" t="inlineStr">
        <is>
          <t>estandar</t>
        </is>
      </c>
      <c r="I976" s="3" t="inlineStr">
        <is>
          <t>importado</t>
        </is>
      </c>
      <c r="J976" s="5" t="n">
        <v>1</v>
      </c>
      <c r="K976" s="6" t="n">
        <v>155</v>
      </c>
      <c r="L976" s="6" t="n">
        <v>155</v>
      </c>
      <c r="M976" s="6" t="n">
        <v>155</v>
      </c>
      <c r="N976" s="3" t="inlineStr">
        <is>
          <t>Sí</t>
        </is>
      </c>
      <c r="O976" s="6">
        <f>IF(K976="","",IF(N976="Sí",ROUND(K976/1.18,2),K976))</f>
        <v/>
      </c>
      <c r="P976" s="3" t="inlineStr">
        <is>
          <t>2026-09-10</t>
        </is>
      </c>
      <c r="Q976" s="4" t="inlineStr">
        <is>
          <t>Bellón</t>
        </is>
      </c>
      <c r="AF976" s="4" t="inlineStr">
        <is>
          <t>tipo: masilla para sheetrock · envase: funda de 2 libras</t>
        </is>
      </c>
    </row>
    <row r="977">
      <c r="A977" s="3" t="inlineStr">
        <is>
          <t>MAT-12-032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Masilla para sheetrock, funda de 44 libras</t>
        </is>
      </c>
      <c r="E977" s="4" t="inlineStr"/>
      <c r="F977" s="3" t="inlineStr">
        <is>
          <t>envase</t>
        </is>
      </c>
      <c r="G977" s="3" t="inlineStr">
        <is>
          <t>Terminación de superficies</t>
        </is>
      </c>
      <c r="H977" s="3" t="inlineStr">
        <is>
          <t>estandar</t>
        </is>
      </c>
      <c r="I977" s="3" t="inlineStr">
        <is>
          <t>importado</t>
        </is>
      </c>
      <c r="J977" s="5" t="n">
        <v>1</v>
      </c>
      <c r="K977" s="6" t="n">
        <v>982</v>
      </c>
      <c r="L977" s="6" t="n">
        <v>982</v>
      </c>
      <c r="M977" s="6" t="n">
        <v>982</v>
      </c>
      <c r="N977" s="3" t="inlineStr">
        <is>
          <t>Sí</t>
        </is>
      </c>
      <c r="O977" s="6">
        <f>IF(K977="","",IF(N977="Sí",ROUND(K977/1.18,2),K977))</f>
        <v/>
      </c>
      <c r="P977" s="3" t="inlineStr">
        <is>
          <t>2026-09-10</t>
        </is>
      </c>
      <c r="Q977" s="4" t="inlineStr">
        <is>
          <t>Bellón</t>
        </is>
      </c>
      <c r="AF977" s="4" t="inlineStr">
        <is>
          <t>tipo: masilla para sheetrock · envase: funda de 44 libras</t>
        </is>
      </c>
    </row>
    <row r="978">
      <c r="A978" s="3" t="inlineStr">
        <is>
          <t>MAT-12-033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Masilla para sheetrock, funda de 55 libras</t>
        </is>
      </c>
      <c r="E978" s="4" t="inlineStr"/>
      <c r="F978" s="3" t="inlineStr">
        <is>
          <t>envase</t>
        </is>
      </c>
      <c r="G978" s="3" t="inlineStr">
        <is>
          <t>Terminación de superficies</t>
        </is>
      </c>
      <c r="H978" s="3" t="inlineStr">
        <is>
          <t>estandar</t>
        </is>
      </c>
      <c r="I978" s="3" t="inlineStr">
        <is>
          <t>importado</t>
        </is>
      </c>
      <c r="J978" s="5" t="n">
        <v>1</v>
      </c>
      <c r="K978" s="6" t="n">
        <v>2885</v>
      </c>
      <c r="L978" s="6" t="n">
        <v>2885</v>
      </c>
      <c r="M978" s="6" t="n">
        <v>2885</v>
      </c>
      <c r="N978" s="3" t="inlineStr">
        <is>
          <t>Sí</t>
        </is>
      </c>
      <c r="O978" s="6">
        <f>IF(K978="","",IF(N978="Sí",ROUND(K978/1.18,2),K978))</f>
        <v/>
      </c>
      <c r="P978" s="3" t="inlineStr">
        <is>
          <t>2026-09-10</t>
        </is>
      </c>
      <c r="Q978" s="4" t="inlineStr">
        <is>
          <t>Bellón</t>
        </is>
      </c>
      <c r="AF978" s="4" t="inlineStr">
        <is>
          <t>tipo: masilla para sheetrock · envase: funda de 55 libras</t>
        </is>
      </c>
    </row>
    <row r="979">
      <c r="A979" s="3" t="inlineStr">
        <is>
          <t>MAT-12-034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Masilla para sheetrock, funda de 62 libras</t>
        </is>
      </c>
      <c r="E979" s="4" t="inlineStr"/>
      <c r="F979" s="3" t="inlineStr">
        <is>
          <t>envase</t>
        </is>
      </c>
      <c r="G979" s="3" t="inlineStr">
        <is>
          <t>Terminación de superficies</t>
        </is>
      </c>
      <c r="H979" s="3" t="inlineStr">
        <is>
          <t>estandar</t>
        </is>
      </c>
      <c r="I979" s="3" t="inlineStr">
        <is>
          <t>importado</t>
        </is>
      </c>
      <c r="J979" s="5" t="n">
        <v>1</v>
      </c>
      <c r="K979" s="6" t="n">
        <v>1670</v>
      </c>
      <c r="L979" s="6" t="n">
        <v>1670</v>
      </c>
      <c r="M979" s="6" t="n">
        <v>1670</v>
      </c>
      <c r="N979" s="3" t="inlineStr">
        <is>
          <t>Sí</t>
        </is>
      </c>
      <c r="O979" s="6">
        <f>IF(K979="","",IF(N979="Sí",ROUND(K979/1.18,2),K979))</f>
        <v/>
      </c>
      <c r="P979" s="3" t="inlineStr">
        <is>
          <t>2026-09-10</t>
        </is>
      </c>
      <c r="Q979" s="4" t="inlineStr">
        <is>
          <t>Bellón</t>
        </is>
      </c>
      <c r="AF979" s="4" t="inlineStr">
        <is>
          <t>tipo: masilla para sheetrock · envase: funda de 62 libras</t>
        </is>
      </c>
    </row>
    <row r="980">
      <c r="A980" s="3" t="inlineStr">
        <is>
          <t>MAT-12-035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Masilla para sheetrock, funda de 64 libras</t>
        </is>
      </c>
      <c r="E980" s="4" t="inlineStr"/>
      <c r="F980" s="3" t="inlineStr">
        <is>
          <t>envase</t>
        </is>
      </c>
      <c r="G980" s="3" t="inlineStr">
        <is>
          <t>Terminación de superficies</t>
        </is>
      </c>
      <c r="H980" s="3" t="inlineStr">
        <is>
          <t>estandar</t>
        </is>
      </c>
      <c r="I980" s="3" t="inlineStr">
        <is>
          <t>importado</t>
        </is>
      </c>
      <c r="J980" s="5" t="n">
        <v>1</v>
      </c>
      <c r="K980" s="6" t="n">
        <v>1828</v>
      </c>
      <c r="L980" s="6" t="n">
        <v>1828</v>
      </c>
      <c r="M980" s="6" t="n">
        <v>1828</v>
      </c>
      <c r="N980" s="3" t="inlineStr">
        <is>
          <t>Sí</t>
        </is>
      </c>
      <c r="O980" s="6">
        <f>IF(K980="","",IF(N980="Sí",ROUND(K980/1.18,2),K980))</f>
        <v/>
      </c>
      <c r="P980" s="3" t="inlineStr">
        <is>
          <t>2026-09-10</t>
        </is>
      </c>
      <c r="Q980" s="4" t="inlineStr">
        <is>
          <t>Bellón</t>
        </is>
      </c>
      <c r="AF980" s="4" t="inlineStr">
        <is>
          <t>tipo: masilla para sheetrock · envase: funda de 64 libras</t>
        </is>
      </c>
    </row>
    <row r="981">
      <c r="A981" s="3" t="inlineStr">
        <is>
          <t>MAT-12-036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Pintura para piscina, galón</t>
        </is>
      </c>
      <c r="E981" s="4" t="inlineStr"/>
      <c r="F981" s="3" t="inlineStr">
        <is>
          <t>envase</t>
        </is>
      </c>
      <c r="G981" s="3" t="inlineStr">
        <is>
          <t>Terminación de superficies</t>
        </is>
      </c>
      <c r="H981" s="3" t="inlineStr">
        <is>
          <t>estandar</t>
        </is>
      </c>
      <c r="I981" s="3" t="inlineStr">
        <is>
          <t>importado</t>
        </is>
      </c>
      <c r="J981" s="5" t="n">
        <v>1</v>
      </c>
      <c r="K981" s="6" t="n">
        <v>3326.41</v>
      </c>
      <c r="L981" s="6" t="n">
        <v>3326.41</v>
      </c>
      <c r="M981" s="6" t="n">
        <v>3326.41</v>
      </c>
      <c r="N981" s="3" t="inlineStr">
        <is>
          <t>Sí</t>
        </is>
      </c>
      <c r="O981" s="6">
        <f>IF(K981="","",IF(N981="Sí",ROUND(K981/1.18,2),K981))</f>
        <v/>
      </c>
      <c r="P981" s="3" t="inlineStr">
        <is>
          <t>2026-09-09</t>
        </is>
      </c>
      <c r="Q981" s="4" t="inlineStr">
        <is>
          <t>Tonos y Colores</t>
        </is>
      </c>
      <c r="AF981" s="4" t="inlineStr">
        <is>
          <t>tipo: para piscina · envase: galón · acabado: mate</t>
        </is>
      </c>
    </row>
    <row r="982">
      <c r="A982" s="3" t="inlineStr">
        <is>
          <t>MAT-12-037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Primer sellador, cubeta de 5 galones</t>
        </is>
      </c>
      <c r="E982" s="4" t="inlineStr"/>
      <c r="F982" s="3" t="inlineStr">
        <is>
          <t>envase</t>
        </is>
      </c>
      <c r="G982" s="3" t="inlineStr">
        <is>
          <t>Terminación de superficies</t>
        </is>
      </c>
      <c r="H982" s="3" t="inlineStr">
        <is>
          <t>estandar</t>
        </is>
      </c>
      <c r="I982" s="3" t="inlineStr">
        <is>
          <t>importado</t>
        </is>
      </c>
      <c r="J982" s="5" t="n">
        <v>3</v>
      </c>
      <c r="K982" s="6" t="n">
        <v>5112.5</v>
      </c>
      <c r="L982" s="6" t="n">
        <v>3260</v>
      </c>
      <c r="M982" s="6" t="n">
        <v>8900</v>
      </c>
      <c r="N982" s="3" t="inlineStr">
        <is>
          <t>Sí</t>
        </is>
      </c>
      <c r="O982" s="6">
        <f>IF(K982="","",IF(N982="Sí",ROUND(K982/1.18,2),K982))</f>
        <v/>
      </c>
      <c r="P982" s="3" t="inlineStr">
        <is>
          <t>2026-09-10</t>
        </is>
      </c>
      <c r="Q982" s="4" t="inlineStr">
        <is>
          <t>Bellón · Ferremix (Grupo Alterra) · Tonos y Colores</t>
        </is>
      </c>
      <c r="AF982" s="4" t="inlineStr">
        <is>
          <t>tipo: primer · envase: cubeta de 5 galones · acabado: mate</t>
        </is>
      </c>
    </row>
    <row r="983">
      <c r="A983" s="3" t="inlineStr">
        <is>
          <t>MAT-12-038</t>
        </is>
      </c>
      <c r="B983" s="3" t="inlineStr">
        <is>
          <t>Materiales</t>
        </is>
      </c>
      <c r="C983" s="3" t="inlineStr">
        <is>
          <t>Pintura y acabados</t>
        </is>
      </c>
      <c r="D983" s="4" t="inlineStr">
        <is>
          <t>Estuco para interiores, funda de 35 libras</t>
        </is>
      </c>
      <c r="E983" s="4" t="inlineStr"/>
      <c r="F983" s="3" t="inlineStr">
        <is>
          <t>funda</t>
        </is>
      </c>
      <c r="G983" s="3" t="inlineStr">
        <is>
          <t>Terminación de superficies</t>
        </is>
      </c>
      <c r="H983" s="3" t="inlineStr">
        <is>
          <t>estandar</t>
        </is>
      </c>
      <c r="I983" s="3" t="inlineStr">
        <is>
          <t>nacional</t>
        </is>
      </c>
      <c r="J983" s="5" t="n">
        <v>2</v>
      </c>
      <c r="K983" s="6" t="n">
        <v>510.56</v>
      </c>
      <c r="L983" s="6" t="n">
        <v>331.11</v>
      </c>
      <c r="M983" s="6" t="n">
        <v>690</v>
      </c>
      <c r="N983" s="3" t="inlineStr">
        <is>
          <t>Sí</t>
        </is>
      </c>
      <c r="O983" s="6">
        <f>IF(K983="","",IF(N983="Sí",ROUND(K983/1.18,2),K983))</f>
        <v/>
      </c>
      <c r="P983" s="3" t="inlineStr">
        <is>
          <t>2026-09-09</t>
        </is>
      </c>
      <c r="Q983" s="4" t="inlineStr">
        <is>
          <t>Ferretería Ochoa (8A) · InnovaCentro (La Innovación)</t>
        </is>
      </c>
    </row>
    <row r="984">
      <c r="A984" s="3" t="inlineStr">
        <is>
          <t>MAT-13-011</t>
        </is>
      </c>
      <c r="B984" s="3" t="inlineStr">
        <is>
          <t>Materiales</t>
        </is>
      </c>
      <c r="C984" s="3" t="inlineStr">
        <is>
          <t>Plafones y construcción liviana</t>
        </is>
      </c>
      <c r="D984" s="4" t="inlineStr">
        <is>
          <t>Angular para plafón, 10'</t>
        </is>
      </c>
      <c r="E984" s="4" t="inlineStr"/>
      <c r="F984" s="3" t="inlineStr">
        <is>
          <t>unidad</t>
        </is>
      </c>
      <c r="G984" s="3" t="inlineStr">
        <is>
          <t>Terminación de superficies</t>
        </is>
      </c>
      <c r="H984" s="3" t="inlineStr">
        <is>
          <t>estandar</t>
        </is>
      </c>
      <c r="I984" s="3" t="inlineStr">
        <is>
          <t>importado</t>
        </is>
      </c>
      <c r="J984" s="5" t="n">
        <v>1</v>
      </c>
      <c r="K984" s="6" t="n">
        <v>98</v>
      </c>
      <c r="L984" s="6" t="n">
        <v>98</v>
      </c>
      <c r="M984" s="6" t="n">
        <v>98</v>
      </c>
      <c r="N984" s="3" t="inlineStr">
        <is>
          <t>Sí</t>
        </is>
      </c>
      <c r="O984" s="6">
        <f>IF(K984="","",IF(N984="Sí",ROUND(K984/1.18,2),K984))</f>
        <v/>
      </c>
      <c r="P984" s="3" t="inlineStr">
        <is>
          <t>2026-09-09</t>
        </is>
      </c>
      <c r="Q984" s="4" t="inlineStr">
        <is>
          <t>InnovaCentro (La Innovación)</t>
        </is>
      </c>
      <c r="AD984" s="7" t="inlineStr">
        <is>
          <t>10'</t>
        </is>
      </c>
    </row>
    <row r="985">
      <c r="A985" s="3" t="inlineStr">
        <is>
          <t>MAT-13-012</t>
        </is>
      </c>
      <c r="B985" s="3" t="inlineStr">
        <is>
          <t>Materiales</t>
        </is>
      </c>
      <c r="C985" s="3" t="inlineStr">
        <is>
          <t>Plafones y construcción liviana</t>
        </is>
      </c>
      <c r="D985" s="4" t="inlineStr">
        <is>
          <t>Cartón piedra, 4'X8' 3X2Mm 1/8"</t>
        </is>
      </c>
      <c r="E985" s="4" t="inlineStr"/>
      <c r="F985" s="3" t="inlineStr">
        <is>
          <t>unidad</t>
        </is>
      </c>
      <c r="G985" s="3" t="inlineStr">
        <is>
          <t>Terminación de superficies</t>
        </is>
      </c>
      <c r="H985" s="3" t="inlineStr">
        <is>
          <t>estandar</t>
        </is>
      </c>
      <c r="I985" s="3" t="inlineStr">
        <is>
          <t>importado</t>
        </is>
      </c>
      <c r="J985" s="5" t="n">
        <v>1</v>
      </c>
      <c r="K985" s="6" t="n">
        <v>495</v>
      </c>
      <c r="L985" s="6" t="n">
        <v>495</v>
      </c>
      <c r="M985" s="6" t="n">
        <v>495</v>
      </c>
      <c r="N985" s="3" t="inlineStr">
        <is>
          <t>Sí</t>
        </is>
      </c>
      <c r="O985" s="6">
        <f>IF(K985="","",IF(N985="Sí",ROUND(K985/1.18,2),K985))</f>
        <v/>
      </c>
      <c r="P985" s="3" t="inlineStr">
        <is>
          <t>2026-09-09</t>
        </is>
      </c>
      <c r="Q985" s="4" t="inlineStr">
        <is>
          <t>InnovaCentro (La Innovación)</t>
        </is>
      </c>
      <c r="AC985" s="7" t="inlineStr">
        <is>
          <t>1/8"</t>
        </is>
      </c>
      <c r="AD985" s="7" t="inlineStr">
        <is>
          <t>4'X8' 3X2Mm 1/8"</t>
        </is>
      </c>
    </row>
    <row r="986">
      <c r="A986" s="3" t="inlineStr">
        <is>
          <t>MAT-13-013</t>
        </is>
      </c>
      <c r="B986" s="3" t="inlineStr">
        <is>
          <t>Materiales</t>
        </is>
      </c>
      <c r="C986" s="3" t="inlineStr">
        <is>
          <t>Plafones y construcción liviana</t>
        </is>
      </c>
      <c r="D986" s="4" t="inlineStr">
        <is>
          <t>Cross tee para plafón, 2'</t>
        </is>
      </c>
      <c r="E986" s="4" t="inlineStr"/>
      <c r="F986" s="3" t="inlineStr">
        <is>
          <t>unidad</t>
        </is>
      </c>
      <c r="G986" s="3" t="inlineStr">
        <is>
          <t>Terminación de superficies</t>
        </is>
      </c>
      <c r="H986" s="3" t="inlineStr">
        <is>
          <t>estandar</t>
        </is>
      </c>
      <c r="I986" s="3" t="inlineStr">
        <is>
          <t>importado</t>
        </is>
      </c>
      <c r="J986" s="5" t="n">
        <v>1</v>
      </c>
      <c r="K986" s="6" t="n">
        <v>26</v>
      </c>
      <c r="L986" s="6" t="n">
        <v>26</v>
      </c>
      <c r="M986" s="6" t="n">
        <v>26</v>
      </c>
      <c r="N986" s="3" t="inlineStr">
        <is>
          <t>Sí</t>
        </is>
      </c>
      <c r="O986" s="6">
        <f>IF(K986="","",IF(N986="Sí",ROUND(K986/1.18,2),K986))</f>
        <v/>
      </c>
      <c r="P986" s="3" t="inlineStr">
        <is>
          <t>2026-09-09</t>
        </is>
      </c>
      <c r="Q986" s="4" t="inlineStr">
        <is>
          <t>InnovaCentro (La Innovación)</t>
        </is>
      </c>
      <c r="AD986" s="7" t="inlineStr">
        <is>
          <t>2'</t>
        </is>
      </c>
    </row>
    <row r="987">
      <c r="A987" s="3" t="inlineStr">
        <is>
          <t>MAT-13-014</t>
        </is>
      </c>
      <c r="B987" s="3" t="inlineStr">
        <is>
          <t>Materiales</t>
        </is>
      </c>
      <c r="C987" s="3" t="inlineStr">
        <is>
          <t>Plafones y construcción liviana</t>
        </is>
      </c>
      <c r="D987" s="4" t="inlineStr">
        <is>
          <t>Cross tee para plafón, 4'</t>
        </is>
      </c>
      <c r="E987" s="4" t="inlineStr"/>
      <c r="F987" s="3" t="inlineStr">
        <is>
          <t>unidad</t>
        </is>
      </c>
      <c r="G987" s="3" t="inlineStr">
        <is>
          <t>Terminación de superficies</t>
        </is>
      </c>
      <c r="H987" s="3" t="inlineStr">
        <is>
          <t>estandar</t>
        </is>
      </c>
      <c r="I987" s="3" t="inlineStr">
        <is>
          <t>importado</t>
        </is>
      </c>
      <c r="J987" s="5" t="n">
        <v>1</v>
      </c>
      <c r="K987" s="6" t="n">
        <v>56</v>
      </c>
      <c r="L987" s="6" t="n">
        <v>56</v>
      </c>
      <c r="M987" s="6" t="n">
        <v>56</v>
      </c>
      <c r="N987" s="3" t="inlineStr">
        <is>
          <t>Sí</t>
        </is>
      </c>
      <c r="O987" s="6">
        <f>IF(K987="","",IF(N987="Sí",ROUND(K987/1.18,2),K987))</f>
        <v/>
      </c>
      <c r="P987" s="3" t="inlineStr">
        <is>
          <t>2026-09-09</t>
        </is>
      </c>
      <c r="Q987" s="4" t="inlineStr">
        <is>
          <t>InnovaCentro (La Innovación)</t>
        </is>
      </c>
      <c r="AD987" s="7" t="inlineStr">
        <is>
          <t>4'</t>
        </is>
      </c>
    </row>
    <row r="988">
      <c r="A988" s="3" t="inlineStr">
        <is>
          <t>MAT-13-015</t>
        </is>
      </c>
      <c r="B988" s="3" t="inlineStr">
        <is>
          <t>Materiales</t>
        </is>
      </c>
      <c r="C988" s="3" t="inlineStr">
        <is>
          <t>Plafones y construcción liviana</t>
        </is>
      </c>
      <c r="D988" s="4" t="inlineStr">
        <is>
          <t>Durmiente para plafón, 2-1/2"X10 calibre 25</t>
        </is>
      </c>
      <c r="E988" s="4" t="inlineStr"/>
      <c r="F988" s="3" t="inlineStr">
        <is>
          <t>unidad</t>
        </is>
      </c>
      <c r="G988" s="3" t="inlineStr">
        <is>
          <t>Terminación de superficies</t>
        </is>
      </c>
      <c r="H988" s="3" t="inlineStr">
        <is>
          <t>estandar</t>
        </is>
      </c>
      <c r="I988" s="3" t="inlineStr">
        <is>
          <t>importado</t>
        </is>
      </c>
      <c r="J988" s="5" t="n">
        <v>1</v>
      </c>
      <c r="K988" s="6" t="n">
        <v>149</v>
      </c>
      <c r="L988" s="6" t="n">
        <v>149</v>
      </c>
      <c r="M988" s="6" t="n">
        <v>149</v>
      </c>
      <c r="N988" s="3" t="inlineStr">
        <is>
          <t>Sí</t>
        </is>
      </c>
      <c r="O988" s="6">
        <f>IF(K988="","",IF(N988="Sí",ROUND(K988/1.18,2),K988))</f>
        <v/>
      </c>
      <c r="P988" s="3" t="inlineStr">
        <is>
          <t>2026-09-09</t>
        </is>
      </c>
      <c r="Q988" s="4" t="inlineStr">
        <is>
          <t>InnovaCentro (La Innovación)</t>
        </is>
      </c>
      <c r="AC988" s="7" t="inlineStr">
        <is>
          <t>25</t>
        </is>
      </c>
      <c r="AD988" s="7" t="inlineStr">
        <is>
          <t>2-1/2"X10</t>
        </is>
      </c>
    </row>
    <row r="989">
      <c r="A989" s="3" t="inlineStr">
        <is>
          <t>MAT-13-016</t>
        </is>
      </c>
      <c r="B989" s="3" t="inlineStr">
        <is>
          <t>Materiales</t>
        </is>
      </c>
      <c r="C989" s="3" t="inlineStr">
        <is>
          <t>Plafones y construcción liviana</t>
        </is>
      </c>
      <c r="D989" s="4" t="inlineStr">
        <is>
          <t>Main tee para plafón, 12'</t>
        </is>
      </c>
      <c r="E989" s="4" t="inlineStr"/>
      <c r="F989" s="3" t="inlineStr">
        <is>
          <t>unidad</t>
        </is>
      </c>
      <c r="G989" s="3" t="inlineStr">
        <is>
          <t>Terminación de superficies</t>
        </is>
      </c>
      <c r="H989" s="3" t="inlineStr">
        <is>
          <t>estandar</t>
        </is>
      </c>
      <c r="I989" s="3" t="inlineStr">
        <is>
          <t>importado</t>
        </is>
      </c>
      <c r="J989" s="5" t="n">
        <v>1</v>
      </c>
      <c r="K989" s="6" t="n">
        <v>186</v>
      </c>
      <c r="L989" s="6" t="n">
        <v>186</v>
      </c>
      <c r="M989" s="6" t="n">
        <v>186</v>
      </c>
      <c r="N989" s="3" t="inlineStr">
        <is>
          <t>Sí</t>
        </is>
      </c>
      <c r="O989" s="6">
        <f>IF(K989="","",IF(N989="Sí",ROUND(K989/1.18,2),K989))</f>
        <v/>
      </c>
      <c r="P989" s="3" t="inlineStr">
        <is>
          <t>2026-09-09</t>
        </is>
      </c>
      <c r="Q989" s="4" t="inlineStr">
        <is>
          <t>InnovaCentro (La Innovación)</t>
        </is>
      </c>
      <c r="AD989" s="7" t="inlineStr">
        <is>
          <t>12'</t>
        </is>
      </c>
    </row>
    <row r="990">
      <c r="A990" s="3" t="inlineStr">
        <is>
          <t>MAT-13-017</t>
        </is>
      </c>
      <c r="B990" s="3" t="inlineStr">
        <is>
          <t>Materiales</t>
        </is>
      </c>
      <c r="C990" s="3" t="inlineStr">
        <is>
          <t>Plafones y construcción liviana</t>
        </is>
      </c>
      <c r="D990" s="4" t="inlineStr">
        <is>
          <t>Paral para plafón, 2-1/2"X10 calibre 25</t>
        </is>
      </c>
      <c r="E990" s="4" t="inlineStr"/>
      <c r="F990" s="3" t="inlineStr">
        <is>
          <t>unidad</t>
        </is>
      </c>
      <c r="G990" s="3" t="inlineStr">
        <is>
          <t>Terminación de superficies</t>
        </is>
      </c>
      <c r="H990" s="3" t="inlineStr">
        <is>
          <t>estandar</t>
        </is>
      </c>
      <c r="I990" s="3" t="inlineStr">
        <is>
          <t>importado</t>
        </is>
      </c>
      <c r="J990" s="5" t="n">
        <v>1</v>
      </c>
      <c r="K990" s="6" t="n">
        <v>185</v>
      </c>
      <c r="L990" s="6" t="n">
        <v>185</v>
      </c>
      <c r="M990" s="6" t="n">
        <v>185</v>
      </c>
      <c r="N990" s="3" t="inlineStr">
        <is>
          <t>Sí</t>
        </is>
      </c>
      <c r="O990" s="6">
        <f>IF(K990="","",IF(N990="Sí",ROUND(K990/1.18,2),K990))</f>
        <v/>
      </c>
      <c r="P990" s="3" t="inlineStr">
        <is>
          <t>2026-09-09</t>
        </is>
      </c>
      <c r="Q990" s="4" t="inlineStr">
        <is>
          <t>InnovaCentro (La Innovación)</t>
        </is>
      </c>
      <c r="AC990" s="7" t="inlineStr">
        <is>
          <t>25</t>
        </is>
      </c>
      <c r="AD990" s="7" t="inlineStr">
        <is>
          <t>2-1/2"X10</t>
        </is>
      </c>
    </row>
    <row r="991">
      <c r="A991" s="3" t="inlineStr">
        <is>
          <t>MAT-13-018</t>
        </is>
      </c>
      <c r="B991" s="3" t="inlineStr">
        <is>
          <t>Materiales</t>
        </is>
      </c>
      <c r="C991" s="3" t="inlineStr">
        <is>
          <t>Plafones y construcción liviana</t>
        </is>
      </c>
      <c r="D991" s="4" t="inlineStr">
        <is>
          <t>Plafón, 2X4'</t>
        </is>
      </c>
      <c r="E991" s="4" t="inlineStr"/>
      <c r="F991" s="3" t="inlineStr">
        <is>
          <t>unidad</t>
        </is>
      </c>
      <c r="G991" s="3" t="inlineStr">
        <is>
          <t>Terminación de superficies</t>
        </is>
      </c>
      <c r="H991" s="3" t="inlineStr">
        <is>
          <t>estandar</t>
        </is>
      </c>
      <c r="I991" s="3" t="inlineStr">
        <is>
          <t>importado</t>
        </is>
      </c>
      <c r="J991" s="5" t="n">
        <v>1</v>
      </c>
      <c r="K991" s="6" t="n">
        <v>295</v>
      </c>
      <c r="L991" s="6" t="n">
        <v>295</v>
      </c>
      <c r="M991" s="6" t="n">
        <v>295</v>
      </c>
      <c r="N991" s="3" t="inlineStr">
        <is>
          <t>Sí</t>
        </is>
      </c>
      <c r="O991" s="6">
        <f>IF(K991="","",IF(N991="Sí",ROUND(K991/1.18,2),K991))</f>
        <v/>
      </c>
      <c r="P991" s="3" t="inlineStr">
        <is>
          <t>2026-09-09</t>
        </is>
      </c>
      <c r="Q991" s="4" t="inlineStr">
        <is>
          <t>InnovaCentro (La Innovación)</t>
        </is>
      </c>
      <c r="AD991" s="7" t="inlineStr">
        <is>
          <t>2X4'</t>
        </is>
      </c>
    </row>
    <row r="992">
      <c r="A992" s="3" t="inlineStr">
        <is>
          <t>MAT-13-019</t>
        </is>
      </c>
      <c r="B992" s="3" t="inlineStr">
        <is>
          <t>Materiales</t>
        </is>
      </c>
      <c r="C992" s="3" t="inlineStr">
        <is>
          <t>Plafones y construcción liviana</t>
        </is>
      </c>
      <c r="D992" s="4" t="inlineStr">
        <is>
          <t>Plafón blanco, 250X5800X7MM</t>
        </is>
      </c>
      <c r="E992" s="4" t="inlineStr"/>
      <c r="F992" s="3" t="inlineStr">
        <is>
          <t>unidad</t>
        </is>
      </c>
      <c r="G992" s="3" t="inlineStr">
        <is>
          <t>Terminación de superficies</t>
        </is>
      </c>
      <c r="H992" s="3" t="inlineStr">
        <is>
          <t>estandar</t>
        </is>
      </c>
      <c r="I992" s="3" t="inlineStr">
        <is>
          <t>importado</t>
        </is>
      </c>
      <c r="J992" s="5" t="n">
        <v>1</v>
      </c>
      <c r="K992" s="6" t="n">
        <v>375</v>
      </c>
      <c r="L992" s="6" t="n">
        <v>375</v>
      </c>
      <c r="M992" s="6" t="n">
        <v>375</v>
      </c>
      <c r="N992" s="3" t="inlineStr">
        <is>
          <t>Sí</t>
        </is>
      </c>
      <c r="O992" s="6">
        <f>IF(K992="","",IF(N992="Sí",ROUND(K992/1.18,2),K992))</f>
        <v/>
      </c>
      <c r="P992" s="3" t="inlineStr">
        <is>
          <t>2026-09-09</t>
        </is>
      </c>
      <c r="Q992" s="4" t="inlineStr">
        <is>
          <t>InnovaCentro (La Innovación)</t>
        </is>
      </c>
      <c r="AD992" s="7" t="inlineStr">
        <is>
          <t>250X5800X7MM</t>
        </is>
      </c>
      <c r="AE992" s="7" t="inlineStr">
        <is>
          <t>blanco</t>
        </is>
      </c>
    </row>
    <row r="993">
      <c r="A993" s="3" t="inlineStr">
        <is>
          <t>MAT-13-020</t>
        </is>
      </c>
      <c r="B993" s="3" t="inlineStr">
        <is>
          <t>Materiales</t>
        </is>
      </c>
      <c r="C993" s="3" t="inlineStr">
        <is>
          <t>Plafones y construcción liviana</t>
        </is>
      </c>
      <c r="D993" s="4" t="inlineStr">
        <is>
          <t>Plafón blanco, 2X4'</t>
        </is>
      </c>
      <c r="E993" s="4" t="inlineStr"/>
      <c r="F993" s="3" t="inlineStr">
        <is>
          <t>unidad</t>
        </is>
      </c>
      <c r="G993" s="3" t="inlineStr">
        <is>
          <t>Terminación de superficies</t>
        </is>
      </c>
      <c r="H993" s="3" t="inlineStr">
        <is>
          <t>estandar</t>
        </is>
      </c>
      <c r="I993" s="3" t="inlineStr">
        <is>
          <t>importado</t>
        </is>
      </c>
      <c r="J993" s="5" t="n">
        <v>1</v>
      </c>
      <c r="K993" s="6" t="n">
        <v>202</v>
      </c>
      <c r="L993" s="6" t="n">
        <v>202</v>
      </c>
      <c r="M993" s="6" t="n">
        <v>202</v>
      </c>
      <c r="N993" s="3" t="inlineStr">
        <is>
          <t>Sí</t>
        </is>
      </c>
      <c r="O993" s="6">
        <f>IF(K993="","",IF(N993="Sí",ROUND(K993/1.18,2),K993))</f>
        <v/>
      </c>
      <c r="P993" s="3" t="inlineStr">
        <is>
          <t>2026-09-09</t>
        </is>
      </c>
      <c r="Q993" s="4" t="inlineStr">
        <is>
          <t>InnovaCentro (La Innovación)</t>
        </is>
      </c>
      <c r="AD993" s="7" t="inlineStr">
        <is>
          <t>2X4'</t>
        </is>
      </c>
      <c r="AE993" s="7" t="inlineStr">
        <is>
          <t>blanco</t>
        </is>
      </c>
    </row>
    <row r="994">
      <c r="A994" s="3" t="inlineStr">
        <is>
          <t>MAT-16-003</t>
        </is>
      </c>
      <c r="B994" s="3" t="inlineStr">
        <is>
          <t>Materiales</t>
        </is>
      </c>
      <c r="C994" s="3" t="inlineStr">
        <is>
          <t>Cámaras y videovigilancia</t>
        </is>
      </c>
      <c r="D994" s="4" t="inlineStr">
        <is>
          <t>Kit de videovigilancia 4 cámaras bullet 2 MP</t>
        </is>
      </c>
      <c r="E994" s="4" t="inlineStr">
        <is>
          <t>Incluye grabador y disco</t>
        </is>
      </c>
      <c r="F994" s="3" t="inlineStr">
        <is>
          <t>juego</t>
        </is>
      </c>
      <c r="G994" s="3" t="inlineStr">
        <is>
          <t>Estructura</t>
        </is>
      </c>
      <c r="H994" s="3" t="inlineStr">
        <is>
          <t>estandar</t>
        </is>
      </c>
      <c r="I994" s="3" t="inlineStr">
        <is>
          <t>importado</t>
        </is>
      </c>
      <c r="J994" s="5" t="n">
        <v>1</v>
      </c>
      <c r="K994" s="6" t="n">
        <v>18221.03</v>
      </c>
      <c r="L994" s="6" t="n">
        <v>18221.03</v>
      </c>
      <c r="M994" s="6" t="n">
        <v>18221.03</v>
      </c>
      <c r="N994" s="3" t="inlineStr">
        <is>
          <t>Sí</t>
        </is>
      </c>
      <c r="O994" s="6">
        <f>IF(K994="","",IF(N994="Sí",ROUND(K994/1.18,2),K994))</f>
        <v/>
      </c>
      <c r="P994" s="3" t="inlineStr">
        <is>
          <t>2026-09-09</t>
        </is>
      </c>
      <c r="Q994" s="4" t="inlineStr">
        <is>
          <t>Ferretería Ochoa (8A)</t>
        </is>
      </c>
      <c r="V994" s="7" t="inlineStr">
        <is>
          <t>bullet</t>
        </is>
      </c>
      <c r="W994" s="7" t="n">
        <v>2</v>
      </c>
      <c r="AF994" s="4" t="inlineStr">
        <is>
          <t>Cámaras: 4</t>
        </is>
      </c>
    </row>
    <row r="995">
      <c r="A995" s="3" t="inlineStr">
        <is>
          <t>MAT-16-004</t>
        </is>
      </c>
      <c r="B995" s="3" t="inlineStr">
        <is>
          <t>Materiales</t>
        </is>
      </c>
      <c r="C995" s="3" t="inlineStr">
        <is>
          <t>Cámaras y videovigilancia</t>
        </is>
      </c>
      <c r="D995" s="4" t="inlineStr">
        <is>
          <t>Kit de videovigilancia 4 cámaras domo 2 MP</t>
        </is>
      </c>
      <c r="E995" s="4" t="inlineStr">
        <is>
          <t>Incluye grabador y disco</t>
        </is>
      </c>
      <c r="F995" s="3" t="inlineStr">
        <is>
          <t>juego</t>
        </is>
      </c>
      <c r="G995" s="3" t="inlineStr">
        <is>
          <t>Estructura</t>
        </is>
      </c>
      <c r="H995" s="3" t="inlineStr">
        <is>
          <t>estandar</t>
        </is>
      </c>
      <c r="I995" s="3" t="inlineStr">
        <is>
          <t>importado</t>
        </is>
      </c>
      <c r="J995" s="5" t="n">
        <v>1</v>
      </c>
      <c r="K995" s="6" t="n">
        <v>17133.95</v>
      </c>
      <c r="L995" s="6" t="n">
        <v>17133.95</v>
      </c>
      <c r="M995" s="6" t="n">
        <v>17133.95</v>
      </c>
      <c r="N995" s="3" t="inlineStr">
        <is>
          <t>Sí</t>
        </is>
      </c>
      <c r="O995" s="6">
        <f>IF(K995="","",IF(N995="Sí",ROUND(K995/1.18,2),K995))</f>
        <v/>
      </c>
      <c r="P995" s="3" t="inlineStr">
        <is>
          <t>2026-09-09</t>
        </is>
      </c>
      <c r="Q995" s="4" t="inlineStr">
        <is>
          <t>Ferretería Ochoa (8A)</t>
        </is>
      </c>
      <c r="V995" s="7" t="inlineStr">
        <is>
          <t>domo</t>
        </is>
      </c>
      <c r="W995" s="7" t="n">
        <v>2</v>
      </c>
      <c r="AF995" s="4" t="inlineStr">
        <is>
          <t>Cámaras: 4</t>
        </is>
      </c>
    </row>
    <row r="996">
      <c r="A996" s="3" t="inlineStr">
        <is>
          <t>MAT-16-005</t>
        </is>
      </c>
      <c r="B996" s="3" t="inlineStr">
        <is>
          <t>Materiales</t>
        </is>
      </c>
      <c r="C996" s="3" t="inlineStr">
        <is>
          <t>Cámaras y videovigilancia</t>
        </is>
      </c>
      <c r="D996" s="4" t="inlineStr">
        <is>
          <t>Cámara de seguridad</t>
        </is>
      </c>
      <c r="E996" s="4" t="inlineStr"/>
      <c r="F996" s="3" t="inlineStr">
        <is>
          <t>unidad</t>
        </is>
      </c>
      <c r="G996" s="3" t="inlineStr">
        <is>
          <t>Estructura</t>
        </is>
      </c>
      <c r="H996" s="3" t="inlineStr">
        <is>
          <t>estandar</t>
        </is>
      </c>
      <c r="I996" s="3" t="inlineStr">
        <is>
          <t>importado</t>
        </is>
      </c>
      <c r="J996" s="5" t="n">
        <v>1</v>
      </c>
      <c r="K996" s="6" t="n">
        <v>3342.09</v>
      </c>
      <c r="L996" s="6" t="n">
        <v>2548.17</v>
      </c>
      <c r="M996" s="6" t="n">
        <v>4136.01</v>
      </c>
      <c r="N996" s="3" t="inlineStr">
        <is>
          <t>Sí</t>
        </is>
      </c>
      <c r="O996" s="6">
        <f>IF(K996="","",IF(N996="Sí",ROUND(K996/1.18,2),K996))</f>
        <v/>
      </c>
      <c r="P996" s="3" t="inlineStr">
        <is>
          <t>2026-09-09</t>
        </is>
      </c>
      <c r="Q996" s="4" t="inlineStr">
        <is>
          <t>Ferretería Ochoa (8A)</t>
        </is>
      </c>
    </row>
    <row r="997">
      <c r="A997" s="3" t="inlineStr">
        <is>
          <t>MAT-16-006</t>
        </is>
      </c>
      <c r="B997" s="3" t="inlineStr">
        <is>
          <t>Materiales</t>
        </is>
      </c>
      <c r="C997" s="3" t="inlineStr">
        <is>
          <t>Cámaras y videovigilancia</t>
        </is>
      </c>
      <c r="D997" s="4" t="inlineStr">
        <is>
          <t>Cámara de seguridad bullet</t>
        </is>
      </c>
      <c r="E997" s="4" t="inlineStr"/>
      <c r="F997" s="3" t="inlineStr">
        <is>
          <t>unidad</t>
        </is>
      </c>
      <c r="G997" s="3" t="inlineStr">
        <is>
          <t>Estructura</t>
        </is>
      </c>
      <c r="H997" s="3" t="inlineStr">
        <is>
          <t>estandar</t>
        </is>
      </c>
      <c r="I997" s="3" t="inlineStr">
        <is>
          <t>importado</t>
        </is>
      </c>
      <c r="J997" s="5" t="n">
        <v>1</v>
      </c>
      <c r="K997" s="6" t="n">
        <v>2588.72</v>
      </c>
      <c r="L997" s="6" t="n">
        <v>2191.4</v>
      </c>
      <c r="M997" s="6" t="n">
        <v>5547.25</v>
      </c>
      <c r="N997" s="3" t="inlineStr">
        <is>
          <t>Sí</t>
        </is>
      </c>
      <c r="O997" s="6">
        <f>IF(K997="","",IF(N997="Sí",ROUND(K997/1.18,2),K997))</f>
        <v/>
      </c>
      <c r="P997" s="3" t="inlineStr">
        <is>
          <t>2026-09-09</t>
        </is>
      </c>
      <c r="Q997" s="4" t="inlineStr">
        <is>
          <t>Ferretería Ochoa (8A)</t>
        </is>
      </c>
      <c r="V997" s="7" t="inlineStr">
        <is>
          <t>bullet</t>
        </is>
      </c>
    </row>
    <row r="998">
      <c r="A998" s="3" t="inlineStr">
        <is>
          <t>MAT-16-007</t>
        </is>
      </c>
      <c r="B998" s="3" t="inlineStr">
        <is>
          <t>Materiales</t>
        </is>
      </c>
      <c r="C998" s="3" t="inlineStr">
        <is>
          <t>Cámaras y videovigilancia</t>
        </is>
      </c>
      <c r="D998" s="4" t="inlineStr">
        <is>
          <t>Cámara de seguridad bullet 2 MP</t>
        </is>
      </c>
      <c r="E998" s="4" t="inlineStr"/>
      <c r="F998" s="3" t="inlineStr">
        <is>
          <t>unidad</t>
        </is>
      </c>
      <c r="G998" s="3" t="inlineStr">
        <is>
          <t>Estructura</t>
        </is>
      </c>
      <c r="H998" s="3" t="inlineStr">
        <is>
          <t>estandar</t>
        </is>
      </c>
      <c r="I998" s="3" t="inlineStr">
        <is>
          <t>importado</t>
        </is>
      </c>
      <c r="J998" s="5" t="n">
        <v>1</v>
      </c>
      <c r="K998" s="6" t="n">
        <v>4606.9</v>
      </c>
      <c r="L998" s="6" t="n">
        <v>1784.16</v>
      </c>
      <c r="M998" s="6" t="n">
        <v>8801.58</v>
      </c>
      <c r="N998" s="3" t="inlineStr">
        <is>
          <t>Sí</t>
        </is>
      </c>
      <c r="O998" s="6">
        <f>IF(K998="","",IF(N998="Sí",ROUND(K998/1.18,2),K998))</f>
        <v/>
      </c>
      <c r="P998" s="3" t="inlineStr">
        <is>
          <t>2026-09-09</t>
        </is>
      </c>
      <c r="Q998" s="4" t="inlineStr">
        <is>
          <t>Ferretería Ochoa (8A)</t>
        </is>
      </c>
      <c r="V998" s="7" t="inlineStr">
        <is>
          <t>bullet</t>
        </is>
      </c>
      <c r="W998" s="7" t="n">
        <v>2</v>
      </c>
      <c r="AF998" s="4" t="inlineStr">
        <is>
          <t>Alcance IR (m): 40</t>
        </is>
      </c>
    </row>
    <row r="999">
      <c r="A999" s="3" t="inlineStr">
        <is>
          <t>MAT-16-008</t>
        </is>
      </c>
      <c r="B999" s="3" t="inlineStr">
        <is>
          <t>Materiales</t>
        </is>
      </c>
      <c r="C999" s="3" t="inlineStr">
        <is>
          <t>Cámaras y videovigilancia</t>
        </is>
      </c>
      <c r="D999" s="4" t="inlineStr">
        <is>
          <t>Cámara de seguridad bullet 4 MP</t>
        </is>
      </c>
      <c r="E999" s="4" t="inlineStr"/>
      <c r="F999" s="3" t="inlineStr">
        <is>
          <t>unidad</t>
        </is>
      </c>
      <c r="G999" s="3" t="inlineStr">
        <is>
          <t>Estructura</t>
        </is>
      </c>
      <c r="H999" s="3" t="inlineStr">
        <is>
          <t>estandar</t>
        </is>
      </c>
      <c r="I999" s="3" t="inlineStr">
        <is>
          <t>importado</t>
        </is>
      </c>
      <c r="J999" s="5" t="n">
        <v>1</v>
      </c>
      <c r="K999" s="6" t="n">
        <v>9064.129999999999</v>
      </c>
      <c r="L999" s="6" t="n">
        <v>3087.35</v>
      </c>
      <c r="M999" s="6" t="n">
        <v>17705.5</v>
      </c>
      <c r="N999" s="3" t="inlineStr">
        <is>
          <t>Sí</t>
        </is>
      </c>
      <c r="O999" s="6">
        <f>IF(K999="","",IF(N999="Sí",ROUND(K999/1.18,2),K999))</f>
        <v/>
      </c>
      <c r="P999" s="3" t="inlineStr">
        <is>
          <t>2026-09-09</t>
        </is>
      </c>
      <c r="Q999" s="4" t="inlineStr">
        <is>
          <t>Ferretería Ochoa (8A)</t>
        </is>
      </c>
      <c r="V999" s="7" t="inlineStr">
        <is>
          <t>bullet</t>
        </is>
      </c>
      <c r="W999" s="7" t="n">
        <v>4</v>
      </c>
      <c r="X999" s="7" t="inlineStr">
        <is>
          <t>IP</t>
        </is>
      </c>
      <c r="AF999" s="4" t="inlineStr">
        <is>
          <t>Lente (mm): 2.8</t>
        </is>
      </c>
    </row>
    <row r="1000">
      <c r="A1000" s="3" t="inlineStr">
        <is>
          <t>MAT-16-009</t>
        </is>
      </c>
      <c r="B1000" s="3" t="inlineStr">
        <is>
          <t>Materiales</t>
        </is>
      </c>
      <c r="C1000" s="3" t="inlineStr">
        <is>
          <t>Cámaras y videovigilancia</t>
        </is>
      </c>
      <c r="D1000" s="4" t="inlineStr">
        <is>
          <t>Cámara de seguridad bullet 5 MP</t>
        </is>
      </c>
      <c r="E1000" s="4" t="inlineStr"/>
      <c r="F1000" s="3" t="inlineStr">
        <is>
          <t>unidad</t>
        </is>
      </c>
      <c r="G1000" s="3" t="inlineStr">
        <is>
          <t>Estructura</t>
        </is>
      </c>
      <c r="H1000" s="3" t="inlineStr">
        <is>
          <t>estandar</t>
        </is>
      </c>
      <c r="I1000" s="3" t="inlineStr">
        <is>
          <t>importado</t>
        </is>
      </c>
      <c r="J1000" s="5" t="n">
        <v>1</v>
      </c>
      <c r="K1000" s="6" t="n">
        <v>5675.9</v>
      </c>
      <c r="L1000" s="6" t="n">
        <v>1394.08</v>
      </c>
      <c r="M1000" s="6" t="n">
        <v>12499.73</v>
      </c>
      <c r="N1000" s="3" t="inlineStr">
        <is>
          <t>Sí</t>
        </is>
      </c>
      <c r="O1000" s="6">
        <f>IF(K1000="","",IF(N1000="Sí",ROUND(K1000/1.18,2),K1000))</f>
        <v/>
      </c>
      <c r="P1000" s="3" t="inlineStr">
        <is>
          <t>2026-09-09</t>
        </is>
      </c>
      <c r="Q1000" s="4" t="inlineStr">
        <is>
          <t>Ferretería Ochoa (8A)</t>
        </is>
      </c>
      <c r="V1000" s="7" t="inlineStr">
        <is>
          <t>bullet</t>
        </is>
      </c>
      <c r="W1000" s="7" t="n">
        <v>5</v>
      </c>
    </row>
    <row r="1001">
      <c r="A1001" s="3" t="inlineStr">
        <is>
          <t>MAT-16-010</t>
        </is>
      </c>
      <c r="B1001" s="3" t="inlineStr">
        <is>
          <t>Materiales</t>
        </is>
      </c>
      <c r="C1001" s="3" t="inlineStr">
        <is>
          <t>Cámaras y videovigilancia</t>
        </is>
      </c>
      <c r="D1001" s="4" t="inlineStr">
        <is>
          <t>Cámara de seguridad bullet 8 MP</t>
        </is>
      </c>
      <c r="E1001" s="4" t="inlineStr"/>
      <c r="F1001" s="3" t="inlineStr">
        <is>
          <t>unidad</t>
        </is>
      </c>
      <c r="G1001" s="3" t="inlineStr">
        <is>
          <t>Estructura</t>
        </is>
      </c>
      <c r="H1001" s="3" t="inlineStr">
        <is>
          <t>estandar</t>
        </is>
      </c>
      <c r="I1001" s="3" t="inlineStr">
        <is>
          <t>importado</t>
        </is>
      </c>
      <c r="J1001" s="5" t="n">
        <v>1</v>
      </c>
      <c r="K1001" s="6" t="n">
        <v>13465.71</v>
      </c>
      <c r="L1001" s="6" t="n">
        <v>13465.71</v>
      </c>
      <c r="M1001" s="6" t="n">
        <v>13465.71</v>
      </c>
      <c r="N1001" s="3" t="inlineStr">
        <is>
          <t>Sí</t>
        </is>
      </c>
      <c r="O1001" s="6">
        <f>IF(K1001="","",IF(N1001="Sí",ROUND(K1001/1.18,2),K1001))</f>
        <v/>
      </c>
      <c r="P1001" s="3" t="inlineStr">
        <is>
          <t>2026-09-09</t>
        </is>
      </c>
      <c r="Q1001" s="4" t="inlineStr">
        <is>
          <t>Ferretería Ochoa (8A)</t>
        </is>
      </c>
      <c r="V1001" s="7" t="inlineStr">
        <is>
          <t>bullet</t>
        </is>
      </c>
      <c r="W1001" s="7" t="n">
        <v>8</v>
      </c>
      <c r="X1001" s="7" t="inlineStr">
        <is>
          <t>IP</t>
        </is>
      </c>
    </row>
    <row r="1002">
      <c r="A1002" s="3" t="inlineStr">
        <is>
          <t>MAT-16-011</t>
        </is>
      </c>
      <c r="B1002" s="3" t="inlineStr">
        <is>
          <t>Materiales</t>
        </is>
      </c>
      <c r="C1002" s="3" t="inlineStr">
        <is>
          <t>Cámaras y videovigilancia</t>
        </is>
      </c>
      <c r="D1002" s="4" t="inlineStr">
        <is>
          <t>Cámara de seguridad domo</t>
        </is>
      </c>
      <c r="E1002" s="4" t="inlineStr"/>
      <c r="F1002" s="3" t="inlineStr">
        <is>
          <t>unidad</t>
        </is>
      </c>
      <c r="G1002" s="3" t="inlineStr">
        <is>
          <t>Estructura</t>
        </is>
      </c>
      <c r="H1002" s="3" t="inlineStr">
        <is>
          <t>estandar</t>
        </is>
      </c>
      <c r="I1002" s="3" t="inlineStr">
        <is>
          <t>importado</t>
        </is>
      </c>
      <c r="J1002" s="5" t="n">
        <v>1</v>
      </c>
      <c r="K1002" s="6" t="n">
        <v>12992.17</v>
      </c>
      <c r="L1002" s="6" t="n">
        <v>12992.17</v>
      </c>
      <c r="M1002" s="6" t="n">
        <v>12992.17</v>
      </c>
      <c r="N1002" s="3" t="inlineStr">
        <is>
          <t>Sí</t>
        </is>
      </c>
      <c r="O1002" s="6">
        <f>IF(K1002="","",IF(N1002="Sí",ROUND(K1002/1.18,2),K1002))</f>
        <v/>
      </c>
      <c r="P1002" s="3" t="inlineStr">
        <is>
          <t>2026-09-09</t>
        </is>
      </c>
      <c r="Q1002" s="4" t="inlineStr">
        <is>
          <t>Ferretería Ochoa (8A)</t>
        </is>
      </c>
      <c r="V1002" s="7" t="inlineStr">
        <is>
          <t>domo</t>
        </is>
      </c>
      <c r="X1002" s="7" t="inlineStr">
        <is>
          <t>IP</t>
        </is>
      </c>
    </row>
    <row r="1003">
      <c r="A1003" s="3" t="inlineStr">
        <is>
          <t>MAT-16-012</t>
        </is>
      </c>
      <c r="B1003" s="3" t="inlineStr">
        <is>
          <t>Materiales</t>
        </is>
      </c>
      <c r="C1003" s="3" t="inlineStr">
        <is>
          <t>Cámaras y videovigilancia</t>
        </is>
      </c>
      <c r="D1003" s="4" t="inlineStr">
        <is>
          <t>Cámara de seguridad domo 2 MP</t>
        </is>
      </c>
      <c r="E1003" s="4" t="inlineStr"/>
      <c r="F1003" s="3" t="inlineStr">
        <is>
          <t>unidad</t>
        </is>
      </c>
      <c r="G1003" s="3" t="inlineStr">
        <is>
          <t>Estructura</t>
        </is>
      </c>
      <c r="H1003" s="3" t="inlineStr">
        <is>
          <t>estandar</t>
        </is>
      </c>
      <c r="I1003" s="3" t="inlineStr">
        <is>
          <t>importado</t>
        </is>
      </c>
      <c r="J1003" s="5" t="n">
        <v>1</v>
      </c>
      <c r="K1003" s="6" t="n">
        <v>3461.37</v>
      </c>
      <c r="L1003" s="6" t="n">
        <v>740.01</v>
      </c>
      <c r="M1003" s="6" t="n">
        <v>7322.31</v>
      </c>
      <c r="N1003" s="3" t="inlineStr">
        <is>
          <t>Sí</t>
        </is>
      </c>
      <c r="O1003" s="6">
        <f>IF(K1003="","",IF(N1003="Sí",ROUND(K1003/1.18,2),K1003))</f>
        <v/>
      </c>
      <c r="P1003" s="3" t="inlineStr">
        <is>
          <t>2026-09-09</t>
        </is>
      </c>
      <c r="Q1003" s="4" t="inlineStr">
        <is>
          <t>Ferretería Ochoa (8A)</t>
        </is>
      </c>
      <c r="V1003" s="7" t="inlineStr">
        <is>
          <t>domo</t>
        </is>
      </c>
      <c r="W1003" s="7" t="n">
        <v>2</v>
      </c>
    </row>
    <row r="1004">
      <c r="A1004" s="3" t="inlineStr">
        <is>
          <t>MAT-16-013</t>
        </is>
      </c>
      <c r="B1004" s="3" t="inlineStr">
        <is>
          <t>Materiales</t>
        </is>
      </c>
      <c r="C1004" s="3" t="inlineStr">
        <is>
          <t>Cámaras y videovigilancia</t>
        </is>
      </c>
      <c r="D1004" s="4" t="inlineStr">
        <is>
          <t>Cámara de seguridad domo 4 MP</t>
        </is>
      </c>
      <c r="E1004" s="4" t="inlineStr"/>
      <c r="F1004" s="3" t="inlineStr">
        <is>
          <t>unidad</t>
        </is>
      </c>
      <c r="G1004" s="3" t="inlineStr">
        <is>
          <t>Estructura</t>
        </is>
      </c>
      <c r="H1004" s="3" t="inlineStr">
        <is>
          <t>estandar</t>
        </is>
      </c>
      <c r="I1004" s="3" t="inlineStr">
        <is>
          <t>importado</t>
        </is>
      </c>
      <c r="J1004" s="5" t="n">
        <v>1</v>
      </c>
      <c r="K1004" s="6" t="n">
        <v>5025.16</v>
      </c>
      <c r="L1004" s="6" t="n">
        <v>3695.82</v>
      </c>
      <c r="M1004" s="6" t="n">
        <v>8268.27</v>
      </c>
      <c r="N1004" s="3" t="inlineStr">
        <is>
          <t>Sí</t>
        </is>
      </c>
      <c r="O1004" s="6">
        <f>IF(K1004="","",IF(N1004="Sí",ROUND(K1004/1.18,2),K1004))</f>
        <v/>
      </c>
      <c r="P1004" s="3" t="inlineStr">
        <is>
          <t>2026-09-09</t>
        </is>
      </c>
      <c r="Q1004" s="4" t="inlineStr">
        <is>
          <t>Ferretería Ochoa (8A)</t>
        </is>
      </c>
      <c r="V1004" s="7" t="inlineStr">
        <is>
          <t>domo</t>
        </is>
      </c>
      <c r="W1004" s="7" t="n">
        <v>4</v>
      </c>
    </row>
    <row r="1005">
      <c r="A1005" s="3" t="inlineStr">
        <is>
          <t>MAT-16-014</t>
        </is>
      </c>
      <c r="B1005" s="3" t="inlineStr">
        <is>
          <t>Materiales</t>
        </is>
      </c>
      <c r="C1005" s="3" t="inlineStr">
        <is>
          <t>Cámaras y videovigilancia</t>
        </is>
      </c>
      <c r="D1005" s="4" t="inlineStr">
        <is>
          <t>Cámara de seguridad domo 5 MP</t>
        </is>
      </c>
      <c r="E1005" s="4" t="inlineStr"/>
      <c r="F1005" s="3" t="inlineStr">
        <is>
          <t>unidad</t>
        </is>
      </c>
      <c r="G1005" s="3" t="inlineStr">
        <is>
          <t>Estructura</t>
        </is>
      </c>
      <c r="H1005" s="3" t="inlineStr">
        <is>
          <t>estandar</t>
        </is>
      </c>
      <c r="I1005" s="3" t="inlineStr">
        <is>
          <t>importado</t>
        </is>
      </c>
      <c r="J1005" s="5" t="n">
        <v>1</v>
      </c>
      <c r="K1005" s="6" t="n">
        <v>6122.92</v>
      </c>
      <c r="L1005" s="6" t="n">
        <v>1368.3</v>
      </c>
      <c r="M1005" s="6" t="n">
        <v>24325.6</v>
      </c>
      <c r="N1005" s="3" t="inlineStr">
        <is>
          <t>Sí</t>
        </is>
      </c>
      <c r="O1005" s="6">
        <f>IF(K1005="","",IF(N1005="Sí",ROUND(K1005/1.18,2),K1005))</f>
        <v/>
      </c>
      <c r="P1005" s="3" t="inlineStr">
        <is>
          <t>2026-09-09</t>
        </is>
      </c>
      <c r="Q1005" s="4" t="inlineStr">
        <is>
          <t>Ferretería Ochoa (8A)</t>
        </is>
      </c>
      <c r="V1005" s="7" t="inlineStr">
        <is>
          <t>domo</t>
        </is>
      </c>
      <c r="W1005" s="7" t="n">
        <v>5</v>
      </c>
    </row>
    <row r="1006">
      <c r="A1006" s="3" t="inlineStr">
        <is>
          <t>MAT-16-015</t>
        </is>
      </c>
      <c r="B1006" s="3" t="inlineStr">
        <is>
          <t>Materiales</t>
        </is>
      </c>
      <c r="C1006" s="3" t="inlineStr">
        <is>
          <t>Cámaras y videovigilancia</t>
        </is>
      </c>
      <c r="D1006" s="4" t="inlineStr">
        <is>
          <t>Cámara de seguridad ojo de pez 5 MP</t>
        </is>
      </c>
      <c r="E1006" s="4" t="inlineStr"/>
      <c r="F1006" s="3" t="inlineStr">
        <is>
          <t>unidad</t>
        </is>
      </c>
      <c r="G1006" s="3" t="inlineStr">
        <is>
          <t>Estructura</t>
        </is>
      </c>
      <c r="H1006" s="3" t="inlineStr">
        <is>
          <t>estandar</t>
        </is>
      </c>
      <c r="I1006" s="3" t="inlineStr">
        <is>
          <t>importado</t>
        </is>
      </c>
      <c r="J1006" s="5" t="n">
        <v>1</v>
      </c>
      <c r="K1006" s="6" t="n">
        <v>11020.47</v>
      </c>
      <c r="L1006" s="6" t="n">
        <v>11020.47</v>
      </c>
      <c r="M1006" s="6" t="n">
        <v>11020.47</v>
      </c>
      <c r="N1006" s="3" t="inlineStr">
        <is>
          <t>Sí</t>
        </is>
      </c>
      <c r="O1006" s="6">
        <f>IF(K1006="","",IF(N1006="Sí",ROUND(K1006/1.18,2),K1006))</f>
        <v/>
      </c>
      <c r="P1006" s="3" t="inlineStr">
        <is>
          <t>2026-09-09</t>
        </is>
      </c>
      <c r="Q1006" s="4" t="inlineStr">
        <is>
          <t>Ferretería Ochoa (8A)</t>
        </is>
      </c>
      <c r="V1006" s="7" t="inlineStr">
        <is>
          <t>ojo de pez</t>
        </is>
      </c>
      <c r="W1006" s="7" t="n">
        <v>5</v>
      </c>
      <c r="X1006" s="7" t="inlineStr">
        <is>
          <t>IP</t>
        </is>
      </c>
    </row>
    <row r="1007">
      <c r="A1007" s="3" t="inlineStr">
        <is>
          <t>MAT-16-016</t>
        </is>
      </c>
      <c r="B1007" s="3" t="inlineStr">
        <is>
          <t>Materiales</t>
        </is>
      </c>
      <c r="C1007" s="3" t="inlineStr">
        <is>
          <t>Cámaras y videovigilancia</t>
        </is>
      </c>
      <c r="D1007" s="4" t="inlineStr">
        <is>
          <t>Cámara de seguridad PTZ 2 MP</t>
        </is>
      </c>
      <c r="E1007" s="4" t="inlineStr"/>
      <c r="F1007" s="3" t="inlineStr">
        <is>
          <t>unidad</t>
        </is>
      </c>
      <c r="G1007" s="3" t="inlineStr">
        <is>
          <t>Estructura</t>
        </is>
      </c>
      <c r="H1007" s="3" t="inlineStr">
        <is>
          <t>estandar</t>
        </is>
      </c>
      <c r="I1007" s="3" t="inlineStr">
        <is>
          <t>importado</t>
        </is>
      </c>
      <c r="J1007" s="5" t="n">
        <v>1</v>
      </c>
      <c r="K1007" s="6" t="n">
        <v>30360.56</v>
      </c>
      <c r="L1007" s="6" t="n">
        <v>30360.56</v>
      </c>
      <c r="M1007" s="6" t="n">
        <v>30360.56</v>
      </c>
      <c r="N1007" s="3" t="inlineStr">
        <is>
          <t>Sí</t>
        </is>
      </c>
      <c r="O1007" s="6">
        <f>IF(K1007="","",IF(N1007="Sí",ROUND(K1007/1.18,2),K1007))</f>
        <v/>
      </c>
      <c r="P1007" s="3" t="inlineStr">
        <is>
          <t>2026-09-09</t>
        </is>
      </c>
      <c r="Q1007" s="4" t="inlineStr">
        <is>
          <t>Ferretería Ochoa (8A)</t>
        </is>
      </c>
      <c r="V1007" s="7" t="inlineStr">
        <is>
          <t>PTZ</t>
        </is>
      </c>
      <c r="W1007" s="7" t="n">
        <v>2</v>
      </c>
      <c r="X1007" s="7" t="inlineStr">
        <is>
          <t>IP</t>
        </is>
      </c>
    </row>
    <row r="1008">
      <c r="A1008" s="3" t="inlineStr">
        <is>
          <t>MAT-16-017</t>
        </is>
      </c>
      <c r="B1008" s="3" t="inlineStr">
        <is>
          <t>Materiales</t>
        </is>
      </c>
      <c r="C1008" s="3" t="inlineStr">
        <is>
          <t>Cámaras y videovigilancia</t>
        </is>
      </c>
      <c r="D1008" s="4" t="inlineStr">
        <is>
          <t>Cámara de seguridad PTZ 3 MP</t>
        </is>
      </c>
      <c r="E1008" s="4" t="inlineStr"/>
      <c r="F1008" s="3" t="inlineStr">
        <is>
          <t>unidad</t>
        </is>
      </c>
      <c r="G1008" s="3" t="inlineStr">
        <is>
          <t>Estructura</t>
        </is>
      </c>
      <c r="H1008" s="3" t="inlineStr">
        <is>
          <t>estandar</t>
        </is>
      </c>
      <c r="I1008" s="3" t="inlineStr">
        <is>
          <t>importado</t>
        </is>
      </c>
      <c r="J1008" s="5" t="n">
        <v>1</v>
      </c>
      <c r="K1008" s="6" t="n">
        <v>19602.61</v>
      </c>
      <c r="L1008" s="6" t="n">
        <v>19602.61</v>
      </c>
      <c r="M1008" s="6" t="n">
        <v>19602.61</v>
      </c>
      <c r="N1008" s="3" t="inlineStr">
        <is>
          <t>Sí</t>
        </is>
      </c>
      <c r="O1008" s="6">
        <f>IF(K1008="","",IF(N1008="Sí",ROUND(K1008/1.18,2),K1008))</f>
        <v/>
      </c>
      <c r="P1008" s="3" t="inlineStr">
        <is>
          <t>2026-09-09</t>
        </is>
      </c>
      <c r="Q1008" s="4" t="inlineStr">
        <is>
          <t>Ferretería Ochoa (8A)</t>
        </is>
      </c>
      <c r="V1008" s="7" t="inlineStr">
        <is>
          <t>PTZ</t>
        </is>
      </c>
      <c r="W1008" s="7" t="n">
        <v>3</v>
      </c>
    </row>
    <row r="1009">
      <c r="A1009" s="3" t="inlineStr">
        <is>
          <t>MAT-16-018</t>
        </is>
      </c>
      <c r="B1009" s="3" t="inlineStr">
        <is>
          <t>Materiales</t>
        </is>
      </c>
      <c r="C1009" s="3" t="inlineStr">
        <is>
          <t>Cámaras y videovigilancia</t>
        </is>
      </c>
      <c r="D1009" s="4" t="inlineStr">
        <is>
          <t>Cámara de seguridad turret 2 MP</t>
        </is>
      </c>
      <c r="E1009" s="4" t="inlineStr"/>
      <c r="F1009" s="3" t="inlineStr">
        <is>
          <t>unidad</t>
        </is>
      </c>
      <c r="G1009" s="3" t="inlineStr">
        <is>
          <t>Estructura</t>
        </is>
      </c>
      <c r="H1009" s="3" t="inlineStr">
        <is>
          <t>estandar</t>
        </is>
      </c>
      <c r="I1009" s="3" t="inlineStr">
        <is>
          <t>importado</t>
        </is>
      </c>
      <c r="J1009" s="5" t="n">
        <v>1</v>
      </c>
      <c r="K1009" s="6" t="n">
        <v>3614.58</v>
      </c>
      <c r="L1009" s="6" t="n">
        <v>2549.16</v>
      </c>
      <c r="M1009" s="6" t="n">
        <v>4679.99</v>
      </c>
      <c r="N1009" s="3" t="inlineStr">
        <is>
          <t>Sí</t>
        </is>
      </c>
      <c r="O1009" s="6">
        <f>IF(K1009="","",IF(N1009="Sí",ROUND(K1009/1.18,2),K1009))</f>
        <v/>
      </c>
      <c r="P1009" s="3" t="inlineStr">
        <is>
          <t>2026-09-09</t>
        </is>
      </c>
      <c r="Q1009" s="4" t="inlineStr">
        <is>
          <t>Ferretería Ochoa (8A)</t>
        </is>
      </c>
      <c r="V1009" s="7" t="inlineStr">
        <is>
          <t>turret</t>
        </is>
      </c>
      <c r="W1009" s="7" t="n">
        <v>2</v>
      </c>
      <c r="AF1009" s="4" t="inlineStr">
        <is>
          <t>Lente (mm): 2.8</t>
        </is>
      </c>
    </row>
    <row r="1010">
      <c r="A1010" s="3" t="inlineStr">
        <is>
          <t>MAT-16-019</t>
        </is>
      </c>
      <c r="B1010" s="3" t="inlineStr">
        <is>
          <t>Materiales</t>
        </is>
      </c>
      <c r="C1010" s="3" t="inlineStr">
        <is>
          <t>Cámaras y videovigilancia</t>
        </is>
      </c>
      <c r="D1010" s="4" t="inlineStr">
        <is>
          <t>Cámara de seguridad turret 4 MP</t>
        </is>
      </c>
      <c r="E1010" s="4" t="inlineStr"/>
      <c r="F1010" s="3" t="inlineStr">
        <is>
          <t>unidad</t>
        </is>
      </c>
      <c r="G1010" s="3" t="inlineStr">
        <is>
          <t>Estructura</t>
        </is>
      </c>
      <c r="H1010" s="3" t="inlineStr">
        <is>
          <t>estandar</t>
        </is>
      </c>
      <c r="I1010" s="3" t="inlineStr">
        <is>
          <t>importado</t>
        </is>
      </c>
      <c r="J1010" s="5" t="n">
        <v>1</v>
      </c>
      <c r="K1010" s="6" t="n">
        <v>3073.06</v>
      </c>
      <c r="L1010" s="6" t="n">
        <v>3073.06</v>
      </c>
      <c r="M1010" s="6" t="n">
        <v>3073.06</v>
      </c>
      <c r="N1010" s="3" t="inlineStr">
        <is>
          <t>Sí</t>
        </is>
      </c>
      <c r="O1010" s="6">
        <f>IF(K1010="","",IF(N1010="Sí",ROUND(K1010/1.18,2),K1010))</f>
        <v/>
      </c>
      <c r="P1010" s="3" t="inlineStr">
        <is>
          <t>2026-09-09</t>
        </is>
      </c>
      <c r="Q1010" s="4" t="inlineStr">
        <is>
          <t>Ferretería Ochoa (8A)</t>
        </is>
      </c>
      <c r="V1010" s="7" t="inlineStr">
        <is>
          <t>turret</t>
        </is>
      </c>
      <c r="W1010" s="7" t="n">
        <v>4</v>
      </c>
    </row>
    <row r="1011">
      <c r="A1011" s="3" t="inlineStr">
        <is>
          <t>MAT-16-020</t>
        </is>
      </c>
      <c r="B1011" s="3" t="inlineStr">
        <is>
          <t>Materiales</t>
        </is>
      </c>
      <c r="C1011" s="3" t="inlineStr">
        <is>
          <t>Cámaras y videovigilancia</t>
        </is>
      </c>
      <c r="D1011" s="4" t="inlineStr">
        <is>
          <t>Cámara de seguridad turret 5 MP</t>
        </is>
      </c>
      <c r="E1011" s="4" t="inlineStr"/>
      <c r="F1011" s="3" t="inlineStr">
        <is>
          <t>unidad</t>
        </is>
      </c>
      <c r="G1011" s="3" t="inlineStr">
        <is>
          <t>Estructura</t>
        </is>
      </c>
      <c r="H1011" s="3" t="inlineStr">
        <is>
          <t>estandar</t>
        </is>
      </c>
      <c r="I1011" s="3" t="inlineStr">
        <is>
          <t>importado</t>
        </is>
      </c>
      <c r="J1011" s="5" t="n">
        <v>1</v>
      </c>
      <c r="K1011" s="6" t="n">
        <v>4570.82</v>
      </c>
      <c r="L1011" s="6" t="n">
        <v>3714.5</v>
      </c>
      <c r="M1011" s="6" t="n">
        <v>5427.13</v>
      </c>
      <c r="N1011" s="3" t="inlineStr">
        <is>
          <t>Sí</t>
        </is>
      </c>
      <c r="O1011" s="6">
        <f>IF(K1011="","",IF(N1011="Sí",ROUND(K1011/1.18,2),K1011))</f>
        <v/>
      </c>
      <c r="P1011" s="3" t="inlineStr">
        <is>
          <t>2026-09-09</t>
        </is>
      </c>
      <c r="Q1011" s="4" t="inlineStr">
        <is>
          <t>Ferretería Ochoa (8A)</t>
        </is>
      </c>
      <c r="V1011" s="7" t="inlineStr">
        <is>
          <t>turret</t>
        </is>
      </c>
      <c r="W1011" s="7" t="n">
        <v>5</v>
      </c>
      <c r="AF1011" s="4" t="inlineStr">
        <is>
          <t>Lente (mm): 2.8</t>
        </is>
      </c>
    </row>
    <row r="1012">
      <c r="A1012" s="3" t="inlineStr">
        <is>
          <t>MAT-16-021</t>
        </is>
      </c>
      <c r="B1012" s="3" t="inlineStr">
        <is>
          <t>Materiales</t>
        </is>
      </c>
      <c r="C1012" s="3" t="inlineStr">
        <is>
          <t>Cámaras y videovigilancia</t>
        </is>
      </c>
      <c r="D1012" s="4" t="inlineStr">
        <is>
          <t>Cámara de seguridad 2 MP</t>
        </is>
      </c>
      <c r="E1012" s="4" t="inlineStr"/>
      <c r="F1012" s="3" t="inlineStr">
        <is>
          <t>unidad</t>
        </is>
      </c>
      <c r="G1012" s="3" t="inlineStr">
        <is>
          <t>Estructura</t>
        </is>
      </c>
      <c r="H1012" s="3" t="inlineStr">
        <is>
          <t>estandar</t>
        </is>
      </c>
      <c r="I1012" s="3" t="inlineStr">
        <is>
          <t>importado</t>
        </is>
      </c>
      <c r="J1012" s="5" t="n">
        <v>1</v>
      </c>
      <c r="K1012" s="6" t="n">
        <v>5421.17</v>
      </c>
      <c r="L1012" s="6" t="n">
        <v>1576.87</v>
      </c>
      <c r="M1012" s="6" t="n">
        <v>14863.32</v>
      </c>
      <c r="N1012" s="3" t="inlineStr">
        <is>
          <t>Sí</t>
        </is>
      </c>
      <c r="O1012" s="6">
        <f>IF(K1012="","",IF(N1012="Sí",ROUND(K1012/1.18,2),K1012))</f>
        <v/>
      </c>
      <c r="P1012" s="3" t="inlineStr">
        <is>
          <t>2026-09-09</t>
        </is>
      </c>
      <c r="Q1012" s="4" t="inlineStr">
        <is>
          <t>Ferretería Ochoa (8A)</t>
        </is>
      </c>
      <c r="W1012" s="7" t="n">
        <v>2</v>
      </c>
      <c r="AF1012" s="4" t="inlineStr">
        <is>
          <t>Lente (mm): 12</t>
        </is>
      </c>
    </row>
    <row r="1013">
      <c r="A1013" s="3" t="inlineStr">
        <is>
          <t>MAT-16-022</t>
        </is>
      </c>
      <c r="B1013" s="3" t="inlineStr">
        <is>
          <t>Materiales</t>
        </is>
      </c>
      <c r="C1013" s="3" t="inlineStr">
        <is>
          <t>Cámaras y videovigilancia</t>
        </is>
      </c>
      <c r="D1013" s="4" t="inlineStr">
        <is>
          <t>Cámara de seguridad 5 MP</t>
        </is>
      </c>
      <c r="E1013" s="4" t="inlineStr"/>
      <c r="F1013" s="3" t="inlineStr">
        <is>
          <t>unidad</t>
        </is>
      </c>
      <c r="G1013" s="3" t="inlineStr">
        <is>
          <t>Estructura</t>
        </is>
      </c>
      <c r="H1013" s="3" t="inlineStr">
        <is>
          <t>estandar</t>
        </is>
      </c>
      <c r="I1013" s="3" t="inlineStr">
        <is>
          <t>importado</t>
        </is>
      </c>
      <c r="J1013" s="5" t="n">
        <v>1</v>
      </c>
      <c r="K1013" s="6" t="n">
        <v>3414.74</v>
      </c>
      <c r="L1013" s="6" t="n">
        <v>3414.74</v>
      </c>
      <c r="M1013" s="6" t="n">
        <v>3414.74</v>
      </c>
      <c r="N1013" s="3" t="inlineStr">
        <is>
          <t>Sí</t>
        </is>
      </c>
      <c r="O1013" s="6">
        <f>IF(K1013="","",IF(N1013="Sí",ROUND(K1013/1.18,2),K1013))</f>
        <v/>
      </c>
      <c r="P1013" s="3" t="inlineStr">
        <is>
          <t>2026-09-09</t>
        </is>
      </c>
      <c r="Q1013" s="4" t="inlineStr">
        <is>
          <t>Ferretería Ochoa (8A)</t>
        </is>
      </c>
      <c r="W1013" s="7" t="n">
        <v>5</v>
      </c>
      <c r="X1013" s="7" t="inlineStr">
        <is>
          <t>IP</t>
        </is>
      </c>
    </row>
    <row r="1014">
      <c r="A1014" s="3" t="inlineStr">
        <is>
          <t>MAT-16-023</t>
        </is>
      </c>
      <c r="B1014" s="3" t="inlineStr">
        <is>
          <t>Materiales</t>
        </is>
      </c>
      <c r="C1014" s="3" t="inlineStr">
        <is>
          <t>Cámaras y videovigilancia</t>
        </is>
      </c>
      <c r="D1014" s="4" t="inlineStr">
        <is>
          <t>Grabador de video DVR 16 canales</t>
        </is>
      </c>
      <c r="E1014" s="4" t="inlineStr"/>
      <c r="F1014" s="3" t="inlineStr">
        <is>
          <t>unidad</t>
        </is>
      </c>
      <c r="G1014" s="3" t="inlineStr">
        <is>
          <t>Estructura</t>
        </is>
      </c>
      <c r="H1014" s="3" t="inlineStr">
        <is>
          <t>estandar</t>
        </is>
      </c>
      <c r="I1014" s="3" t="inlineStr">
        <is>
          <t>importado</t>
        </is>
      </c>
      <c r="J1014" s="5" t="n">
        <v>1</v>
      </c>
      <c r="K1014" s="6" t="n">
        <v>18426.33</v>
      </c>
      <c r="L1014" s="6" t="n">
        <v>18426.33</v>
      </c>
      <c r="M1014" s="6" t="n">
        <v>18426.33</v>
      </c>
      <c r="N1014" s="3" t="inlineStr">
        <is>
          <t>Sí</t>
        </is>
      </c>
      <c r="O1014" s="6">
        <f>IF(K1014="","",IF(N1014="Sí",ROUND(K1014/1.18,2),K1014))</f>
        <v/>
      </c>
      <c r="P1014" s="3" t="inlineStr">
        <is>
          <t>2026-09-09</t>
        </is>
      </c>
      <c r="Q1014" s="4" t="inlineStr">
        <is>
          <t>Ferretería Ochoa (8A)</t>
        </is>
      </c>
      <c r="X1014" s="7" t="inlineStr">
        <is>
          <t>DVR</t>
        </is>
      </c>
      <c r="Y1014" s="7" t="n">
        <v>16</v>
      </c>
    </row>
    <row r="1015">
      <c r="A1015" s="3" t="inlineStr">
        <is>
          <t>MAT-16-024</t>
        </is>
      </c>
      <c r="B1015" s="3" t="inlineStr">
        <is>
          <t>Materiales</t>
        </is>
      </c>
      <c r="C1015" s="3" t="inlineStr">
        <is>
          <t>Cámaras y videovigilancia</t>
        </is>
      </c>
      <c r="D1015" s="4" t="inlineStr">
        <is>
          <t>Grabador de video DVR 4 canales</t>
        </is>
      </c>
      <c r="E1015" s="4" t="inlineStr"/>
      <c r="F1015" s="3" t="inlineStr">
        <is>
          <t>unidad</t>
        </is>
      </c>
      <c r="G1015" s="3" t="inlineStr">
        <is>
          <t>Estructura</t>
        </is>
      </c>
      <c r="H1015" s="3" t="inlineStr">
        <is>
          <t>estandar</t>
        </is>
      </c>
      <c r="I1015" s="3" t="inlineStr">
        <is>
          <t>importado</t>
        </is>
      </c>
      <c r="J1015" s="5" t="n">
        <v>1</v>
      </c>
      <c r="K1015" s="6" t="n">
        <v>7057.8</v>
      </c>
      <c r="L1015" s="6" t="n">
        <v>6677.44</v>
      </c>
      <c r="M1015" s="6" t="n">
        <v>7438.16</v>
      </c>
      <c r="N1015" s="3" t="inlineStr">
        <is>
          <t>Sí</t>
        </is>
      </c>
      <c r="O1015" s="6">
        <f>IF(K1015="","",IF(N1015="Sí",ROUND(K1015/1.18,2),K1015))</f>
        <v/>
      </c>
      <c r="P1015" s="3" t="inlineStr">
        <is>
          <t>2026-09-09</t>
        </is>
      </c>
      <c r="Q1015" s="4" t="inlineStr">
        <is>
          <t>Ferretería Ochoa (8A)</t>
        </is>
      </c>
      <c r="X1015" s="7" t="inlineStr">
        <is>
          <t>DVR</t>
        </is>
      </c>
      <c r="Y1015" s="7" t="n">
        <v>4</v>
      </c>
    </row>
    <row r="1016">
      <c r="A1016" s="3" t="inlineStr">
        <is>
          <t>MAT-16-025</t>
        </is>
      </c>
      <c r="B1016" s="3" t="inlineStr">
        <is>
          <t>Materiales</t>
        </is>
      </c>
      <c r="C1016" s="3" t="inlineStr">
        <is>
          <t>Cámaras y videovigilancia</t>
        </is>
      </c>
      <c r="D1016" s="4" t="inlineStr">
        <is>
          <t>Grabador de video NVR 16 canales</t>
        </is>
      </c>
      <c r="E1016" s="4" t="inlineStr"/>
      <c r="F1016" s="3" t="inlineStr">
        <is>
          <t>unidad</t>
        </is>
      </c>
      <c r="G1016" s="3" t="inlineStr">
        <is>
          <t>Estructura</t>
        </is>
      </c>
      <c r="H1016" s="3" t="inlineStr">
        <is>
          <t>estandar</t>
        </is>
      </c>
      <c r="I1016" s="3" t="inlineStr">
        <is>
          <t>importado</t>
        </is>
      </c>
      <c r="J1016" s="5" t="n">
        <v>1</v>
      </c>
      <c r="K1016" s="6" t="n">
        <v>17077.39</v>
      </c>
      <c r="L1016" s="6" t="n">
        <v>17077.39</v>
      </c>
      <c r="M1016" s="6" t="n">
        <v>17077.39</v>
      </c>
      <c r="N1016" s="3" t="inlineStr">
        <is>
          <t>Sí</t>
        </is>
      </c>
      <c r="O1016" s="6">
        <f>IF(K1016="","",IF(N1016="Sí",ROUND(K1016/1.18,2),K1016))</f>
        <v/>
      </c>
      <c r="P1016" s="3" t="inlineStr">
        <is>
          <t>2026-09-09</t>
        </is>
      </c>
      <c r="Q1016" s="4" t="inlineStr">
        <is>
          <t>Ferretería Ochoa (8A)</t>
        </is>
      </c>
      <c r="X1016" s="7" t="inlineStr">
        <is>
          <t>NVR</t>
        </is>
      </c>
      <c r="Y1016" s="7" t="n">
        <v>16</v>
      </c>
    </row>
    <row r="1017">
      <c r="A1017" s="3" t="inlineStr">
        <is>
          <t>MAT-16-026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Grabador de video NVR 32 canales</t>
        </is>
      </c>
      <c r="E1017" s="4" t="inlineStr"/>
      <c r="F1017" s="3" t="inlineStr">
        <is>
          <t>unidad</t>
        </is>
      </c>
      <c r="G1017" s="3" t="inlineStr">
        <is>
          <t>Estructura</t>
        </is>
      </c>
      <c r="H1017" s="3" t="inlineStr">
        <is>
          <t>estandar</t>
        </is>
      </c>
      <c r="I1017" s="3" t="inlineStr">
        <is>
          <t>importado</t>
        </is>
      </c>
      <c r="J1017" s="5" t="n">
        <v>1</v>
      </c>
      <c r="K1017" s="6" t="n">
        <v>20990.22</v>
      </c>
      <c r="L1017" s="6" t="n">
        <v>20990.22</v>
      </c>
      <c r="M1017" s="6" t="n">
        <v>20990.22</v>
      </c>
      <c r="N1017" s="3" t="inlineStr">
        <is>
          <t>Sí</t>
        </is>
      </c>
      <c r="O1017" s="6">
        <f>IF(K1017="","",IF(N1017="Sí",ROUND(K1017/1.18,2),K1017))</f>
        <v/>
      </c>
      <c r="P1017" s="3" t="inlineStr">
        <is>
          <t>2026-09-09</t>
        </is>
      </c>
      <c r="Q1017" s="4" t="inlineStr">
        <is>
          <t>Ferretería Ochoa (8A)</t>
        </is>
      </c>
      <c r="X1017" s="7" t="inlineStr">
        <is>
          <t>NVR</t>
        </is>
      </c>
      <c r="Y1017" s="7" t="n">
        <v>32</v>
      </c>
    </row>
    <row r="1018">
      <c r="A1018" s="3" t="inlineStr">
        <is>
          <t>MAT-16-027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Grabador de video NVR 64 canales</t>
        </is>
      </c>
      <c r="E1018" s="4" t="inlineStr"/>
      <c r="F1018" s="3" t="inlineStr">
        <is>
          <t>unidad</t>
        </is>
      </c>
      <c r="G1018" s="3" t="inlineStr">
        <is>
          <t>Estructura</t>
        </is>
      </c>
      <c r="H1018" s="3" t="inlineStr">
        <is>
          <t>estandar</t>
        </is>
      </c>
      <c r="I1018" s="3" t="inlineStr">
        <is>
          <t>importado</t>
        </is>
      </c>
      <c r="J1018" s="5" t="n">
        <v>1</v>
      </c>
      <c r="K1018" s="6" t="n">
        <v>126684.93</v>
      </c>
      <c r="L1018" s="6" t="n">
        <v>126684.93</v>
      </c>
      <c r="M1018" s="6" t="n">
        <v>126684.93</v>
      </c>
      <c r="N1018" s="3" t="inlineStr">
        <is>
          <t>Sí</t>
        </is>
      </c>
      <c r="O1018" s="6">
        <f>IF(K1018="","",IF(N1018="Sí",ROUND(K1018/1.18,2),K1018))</f>
        <v/>
      </c>
      <c r="P1018" s="3" t="inlineStr">
        <is>
          <t>2026-09-09</t>
        </is>
      </c>
      <c r="Q1018" s="4" t="inlineStr">
        <is>
          <t>Ferretería Ochoa (8A)</t>
        </is>
      </c>
      <c r="X1018" s="7" t="inlineStr">
        <is>
          <t>NVR</t>
        </is>
      </c>
      <c r="Y1018" s="7" t="n">
        <v>64</v>
      </c>
    </row>
    <row r="1019">
      <c r="A1019" s="3" t="inlineStr">
        <is>
          <t>MAT-16-028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Grabador de video XVR 16 canales</t>
        </is>
      </c>
      <c r="E1019" s="4" t="inlineStr"/>
      <c r="F1019" s="3" t="inlineStr">
        <is>
          <t>unidad</t>
        </is>
      </c>
      <c r="G1019" s="3" t="inlineStr">
        <is>
          <t>Estructura</t>
        </is>
      </c>
      <c r="H1019" s="3" t="inlineStr">
        <is>
          <t>estandar</t>
        </is>
      </c>
      <c r="I1019" s="3" t="inlineStr">
        <is>
          <t>importado</t>
        </is>
      </c>
      <c r="J1019" s="5" t="n">
        <v>1</v>
      </c>
      <c r="K1019" s="6" t="n">
        <v>6079.41</v>
      </c>
      <c r="L1019" s="6" t="n">
        <v>6079.41</v>
      </c>
      <c r="M1019" s="6" t="n">
        <v>6079.41</v>
      </c>
      <c r="N1019" s="3" t="inlineStr">
        <is>
          <t>Sí</t>
        </is>
      </c>
      <c r="O1019" s="6">
        <f>IF(K1019="","",IF(N1019="Sí",ROUND(K1019/1.18,2),K1019))</f>
        <v/>
      </c>
      <c r="P1019" s="3" t="inlineStr">
        <is>
          <t>2026-09-09</t>
        </is>
      </c>
      <c r="Q1019" s="4" t="inlineStr">
        <is>
          <t>Ferretería Ochoa (8A)</t>
        </is>
      </c>
      <c r="X1019" s="7" t="inlineStr">
        <is>
          <t>XVR</t>
        </is>
      </c>
      <c r="Y1019" s="7" t="n">
        <v>16</v>
      </c>
    </row>
    <row r="1020">
      <c r="A1020" s="3" t="inlineStr">
        <is>
          <t>MAT-16-029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Disco duro para videovigilancia 1 TB</t>
        </is>
      </c>
      <c r="E1020" s="4" t="inlineStr">
        <is>
          <t>Escritura 24/7 · uno de escritorio no aguanta</t>
        </is>
      </c>
      <c r="F1020" s="3" t="inlineStr">
        <is>
          <t>unidad</t>
        </is>
      </c>
      <c r="G1020" s="3" t="inlineStr">
        <is>
          <t>Estructura</t>
        </is>
      </c>
      <c r="H1020" s="3" t="inlineStr">
        <is>
          <t>estandar</t>
        </is>
      </c>
      <c r="I1020" s="3" t="inlineStr">
        <is>
          <t>importado</t>
        </is>
      </c>
      <c r="J1020" s="5" t="n">
        <v>1</v>
      </c>
      <c r="K1020" s="6" t="n">
        <v>7633.17</v>
      </c>
      <c r="L1020" s="6" t="n">
        <v>7633.17</v>
      </c>
      <c r="M1020" s="6" t="n">
        <v>7633.17</v>
      </c>
      <c r="N1020" s="3" t="inlineStr">
        <is>
          <t>Sí</t>
        </is>
      </c>
      <c r="O1020" s="6">
        <f>IF(K1020="","",IF(N1020="Sí",ROUND(K1020/1.18,2),K1020))</f>
        <v/>
      </c>
      <c r="P1020" s="3" t="inlineStr">
        <is>
          <t>2026-09-09</t>
        </is>
      </c>
      <c r="Q1020" s="4" t="inlineStr">
        <is>
          <t>Ferretería Ochoa (8A)</t>
        </is>
      </c>
      <c r="AF1020" s="4" t="inlineStr">
        <is>
          <t>Capacidad (TB): 1</t>
        </is>
      </c>
    </row>
    <row r="1021">
      <c r="A1021" s="3" t="inlineStr">
        <is>
          <t>MAT-16-030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Disco duro para videovigilancia 8 TB</t>
        </is>
      </c>
      <c r="E1021" s="4" t="inlineStr">
        <is>
          <t>Escritura 24/7 · uno de escritorio no aguanta</t>
        </is>
      </c>
      <c r="F1021" s="3" t="inlineStr">
        <is>
          <t>unidad</t>
        </is>
      </c>
      <c r="G1021" s="3" t="inlineStr">
        <is>
          <t>Estructura</t>
        </is>
      </c>
      <c r="H1021" s="3" t="inlineStr">
        <is>
          <t>estandar</t>
        </is>
      </c>
      <c r="I1021" s="3" t="inlineStr">
        <is>
          <t>importado</t>
        </is>
      </c>
      <c r="J1021" s="5" t="n">
        <v>1</v>
      </c>
      <c r="K1021" s="6" t="n">
        <v>22243.38</v>
      </c>
      <c r="L1021" s="6" t="n">
        <v>22243.38</v>
      </c>
      <c r="M1021" s="6" t="n">
        <v>22243.38</v>
      </c>
      <c r="N1021" s="3" t="inlineStr">
        <is>
          <t>Sí</t>
        </is>
      </c>
      <c r="O1021" s="6">
        <f>IF(K1021="","",IF(N1021="Sí",ROUND(K1021/1.18,2),K1021))</f>
        <v/>
      </c>
      <c r="P1021" s="3" t="inlineStr">
        <is>
          <t>2026-09-09</t>
        </is>
      </c>
      <c r="Q1021" s="4" t="inlineStr">
        <is>
          <t>Ferretería Ochoa (8A)</t>
        </is>
      </c>
      <c r="AF1021" s="4" t="inlineStr">
        <is>
          <t>Capacidad (TB): 8</t>
        </is>
      </c>
    </row>
    <row r="1022">
      <c r="A1022" s="3" t="inlineStr">
        <is>
          <t>MAT-16-031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Monitor para CCTV</t>
        </is>
      </c>
      <c r="E1022" s="4" t="inlineStr"/>
      <c r="F1022" s="3" t="inlineStr">
        <is>
          <t>unidad</t>
        </is>
      </c>
      <c r="G1022" s="3" t="inlineStr">
        <is>
          <t>Estructura</t>
        </is>
      </c>
      <c r="H1022" s="3" t="inlineStr">
        <is>
          <t>estandar</t>
        </is>
      </c>
      <c r="I1022" s="3" t="inlineStr">
        <is>
          <t>importado</t>
        </is>
      </c>
      <c r="J1022" s="5" t="n">
        <v>1</v>
      </c>
      <c r="K1022" s="6" t="n">
        <v>5019.51</v>
      </c>
      <c r="L1022" s="6" t="n">
        <v>2976.42</v>
      </c>
      <c r="M1022" s="6" t="n">
        <v>7129.26</v>
      </c>
      <c r="N1022" s="3" t="inlineStr">
        <is>
          <t>Sí</t>
        </is>
      </c>
      <c r="O1022" s="6">
        <f>IF(K1022="","",IF(N1022="Sí",ROUND(K1022/1.18,2),K1022))</f>
        <v/>
      </c>
      <c r="P1022" s="3" t="inlineStr">
        <is>
          <t>2026-09-09</t>
        </is>
      </c>
      <c r="Q1022" s="4" t="inlineStr">
        <is>
          <t>Ferretería Ochoa (8A)</t>
        </is>
      </c>
    </row>
    <row r="1023">
      <c r="A1023" s="3" t="inlineStr">
        <is>
          <t>MAT-16-032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Monitor para CCTV 3.5"</t>
        </is>
      </c>
      <c r="E1023" s="4" t="inlineStr"/>
      <c r="F1023" s="3" t="inlineStr">
        <is>
          <t>unidad</t>
        </is>
      </c>
      <c r="G1023" s="3" t="inlineStr">
        <is>
          <t>Estructura</t>
        </is>
      </c>
      <c r="H1023" s="3" t="inlineStr">
        <is>
          <t>estandar</t>
        </is>
      </c>
      <c r="I1023" s="3" t="inlineStr">
        <is>
          <t>importado</t>
        </is>
      </c>
      <c r="J1023" s="5" t="n">
        <v>1</v>
      </c>
      <c r="K1023" s="6" t="n">
        <v>4362.91</v>
      </c>
      <c r="L1023" s="6" t="n">
        <v>4362.91</v>
      </c>
      <c r="M1023" s="6" t="n">
        <v>4362.91</v>
      </c>
      <c r="N1023" s="3" t="inlineStr">
        <is>
          <t>Sí</t>
        </is>
      </c>
      <c r="O1023" s="6">
        <f>IF(K1023="","",IF(N1023="Sí",ROUND(K1023/1.18,2),K1023))</f>
        <v/>
      </c>
      <c r="P1023" s="3" t="inlineStr">
        <is>
          <t>2026-09-09</t>
        </is>
      </c>
      <c r="Q1023" s="4" t="inlineStr">
        <is>
          <t>Ferretería Ochoa (8A)</t>
        </is>
      </c>
      <c r="AF1023" s="4" t="inlineStr">
        <is>
          <t>Pulgadas: 3.5</t>
        </is>
      </c>
    </row>
    <row r="1024">
      <c r="A1024" s="3" t="inlineStr">
        <is>
          <t>MAT-16-033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Monitor para CCTV 32"</t>
        </is>
      </c>
      <c r="E1024" s="4" t="inlineStr"/>
      <c r="F1024" s="3" t="inlineStr">
        <is>
          <t>unidad</t>
        </is>
      </c>
      <c r="G1024" s="3" t="inlineStr">
        <is>
          <t>Estructura</t>
        </is>
      </c>
      <c r="H1024" s="3" t="inlineStr">
        <is>
          <t>estandar</t>
        </is>
      </c>
      <c r="I1024" s="3" t="inlineStr">
        <is>
          <t>importado</t>
        </is>
      </c>
      <c r="J1024" s="5" t="n">
        <v>1</v>
      </c>
      <c r="K1024" s="6" t="n">
        <v>15349.99</v>
      </c>
      <c r="L1024" s="6" t="n">
        <v>15349.99</v>
      </c>
      <c r="M1024" s="6" t="n">
        <v>15349.99</v>
      </c>
      <c r="N1024" s="3" t="inlineStr">
        <is>
          <t>Sí</t>
        </is>
      </c>
      <c r="O1024" s="6">
        <f>IF(K1024="","",IF(N1024="Sí",ROUND(K1024/1.18,2),K1024))</f>
        <v/>
      </c>
      <c r="P1024" s="3" t="inlineStr">
        <is>
          <t>2026-09-09</t>
        </is>
      </c>
      <c r="Q1024" s="4" t="inlineStr">
        <is>
          <t>Ferretería Ochoa (8A)</t>
        </is>
      </c>
      <c r="AF1024" s="4" t="inlineStr">
        <is>
          <t>Pulgadas: 32</t>
        </is>
      </c>
    </row>
    <row r="1025">
      <c r="A1025" s="3" t="inlineStr">
        <is>
          <t>MAT-16-034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Monitor para CCTV 4"</t>
        </is>
      </c>
      <c r="E1025" s="4" t="inlineStr"/>
      <c r="F1025" s="3" t="inlineStr">
        <is>
          <t>unidad</t>
        </is>
      </c>
      <c r="G1025" s="3" t="inlineStr">
        <is>
          <t>Estructura</t>
        </is>
      </c>
      <c r="H1025" s="3" t="inlineStr">
        <is>
          <t>estandar</t>
        </is>
      </c>
      <c r="I1025" s="3" t="inlineStr">
        <is>
          <t>importado</t>
        </is>
      </c>
      <c r="J1025" s="5" t="n">
        <v>1</v>
      </c>
      <c r="K1025" s="6" t="n">
        <v>2707.65</v>
      </c>
      <c r="L1025" s="6" t="n">
        <v>2707.65</v>
      </c>
      <c r="M1025" s="6" t="n">
        <v>2707.65</v>
      </c>
      <c r="N1025" s="3" t="inlineStr">
        <is>
          <t>Sí</t>
        </is>
      </c>
      <c r="O1025" s="6">
        <f>IF(K1025="","",IF(N1025="Sí",ROUND(K1025/1.18,2),K1025))</f>
        <v/>
      </c>
      <c r="P1025" s="3" t="inlineStr">
        <is>
          <t>2026-09-09</t>
        </is>
      </c>
      <c r="Q1025" s="4" t="inlineStr">
        <is>
          <t>Ferretería Ochoa (8A)</t>
        </is>
      </c>
      <c r="AF1025" s="4" t="inlineStr">
        <is>
          <t>Pulgadas: 4</t>
        </is>
      </c>
    </row>
    <row r="1026">
      <c r="A1026" s="3" t="inlineStr">
        <is>
          <t>MAT-16-035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Monitor para CCTV 7"</t>
        </is>
      </c>
      <c r="E1026" s="4" t="inlineStr"/>
      <c r="F1026" s="3" t="inlineStr">
        <is>
          <t>unidad</t>
        </is>
      </c>
      <c r="G1026" s="3" t="inlineStr">
        <is>
          <t>Estructura</t>
        </is>
      </c>
      <c r="H1026" s="3" t="inlineStr">
        <is>
          <t>estandar</t>
        </is>
      </c>
      <c r="I1026" s="3" t="inlineStr">
        <is>
          <t>importado</t>
        </is>
      </c>
      <c r="J1026" s="5" t="n">
        <v>1</v>
      </c>
      <c r="K1026" s="6" t="n">
        <v>7823.52</v>
      </c>
      <c r="L1026" s="6" t="n">
        <v>5570.12</v>
      </c>
      <c r="M1026" s="6" t="n">
        <v>10076.91</v>
      </c>
      <c r="N1026" s="3" t="inlineStr">
        <is>
          <t>Sí</t>
        </is>
      </c>
      <c r="O1026" s="6">
        <f>IF(K1026="","",IF(N1026="Sí",ROUND(K1026/1.18,2),K1026))</f>
        <v/>
      </c>
      <c r="P1026" s="3" t="inlineStr">
        <is>
          <t>2026-09-09</t>
        </is>
      </c>
      <c r="Q1026" s="4" t="inlineStr">
        <is>
          <t>Ferretería Ochoa (8A)</t>
        </is>
      </c>
      <c r="AF1026" s="4" t="inlineStr">
        <is>
          <t>Pulgadas: 7</t>
        </is>
      </c>
    </row>
    <row r="1027">
      <c r="A1027" s="3" t="inlineStr">
        <is>
          <t>MAT-16-036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Soporte o caja para cámara</t>
        </is>
      </c>
      <c r="E1027" s="4" t="inlineStr"/>
      <c r="F1027" s="3" t="inlineStr">
        <is>
          <t>unidad</t>
        </is>
      </c>
      <c r="G1027" s="3" t="inlineStr">
        <is>
          <t>Estructura</t>
        </is>
      </c>
      <c r="H1027" s="3" t="inlineStr">
        <is>
          <t>estandar</t>
        </is>
      </c>
      <c r="I1027" s="3" t="inlineStr">
        <is>
          <t>importado</t>
        </is>
      </c>
      <c r="J1027" s="5" t="n">
        <v>1</v>
      </c>
      <c r="K1027" s="6" t="n">
        <v>1012.91</v>
      </c>
      <c r="L1027" s="6" t="n">
        <v>1012.91</v>
      </c>
      <c r="M1027" s="6" t="n">
        <v>1012.91</v>
      </c>
      <c r="N1027" s="3" t="inlineStr">
        <is>
          <t>Sí</t>
        </is>
      </c>
      <c r="O1027" s="6">
        <f>IF(K1027="","",IF(N1027="Sí",ROUND(K1027/1.18,2),K1027))</f>
        <v/>
      </c>
      <c r="P1027" s="3" t="inlineStr">
        <is>
          <t>2026-09-09</t>
        </is>
      </c>
      <c r="Q1027" s="4" t="inlineStr">
        <is>
          <t>Ferretería Ochoa (8A)</t>
        </is>
      </c>
    </row>
    <row r="1028">
      <c r="A1028" s="3" t="inlineStr">
        <is>
          <t>MAT-16-037</t>
        </is>
      </c>
      <c r="B1028" s="3" t="inlineStr">
        <is>
          <t>Materiales</t>
        </is>
      </c>
      <c r="C1028" s="3" t="inlineStr">
        <is>
          <t>Cámaras y videovigilancia</t>
        </is>
      </c>
      <c r="D1028" s="4" t="inlineStr">
        <is>
          <t>Video balun</t>
        </is>
      </c>
      <c r="E1028" s="4" t="inlineStr"/>
      <c r="F1028" s="3" t="inlineStr">
        <is>
          <t>unidad</t>
        </is>
      </c>
      <c r="G1028" s="3" t="inlineStr">
        <is>
          <t>Instalaciones</t>
        </is>
      </c>
      <c r="H1028" s="3" t="inlineStr">
        <is>
          <t>estandar</t>
        </is>
      </c>
      <c r="I1028" s="3" t="inlineStr">
        <is>
          <t>importado</t>
        </is>
      </c>
      <c r="J1028" s="5" t="n">
        <v>1</v>
      </c>
      <c r="K1028" s="6" t="n">
        <v>241.33</v>
      </c>
      <c r="L1028" s="6" t="n">
        <v>231.08</v>
      </c>
      <c r="M1028" s="6" t="n">
        <v>251.58</v>
      </c>
      <c r="N1028" s="3" t="inlineStr">
        <is>
          <t>Sí</t>
        </is>
      </c>
      <c r="O1028" s="6">
        <f>IF(K1028="","",IF(N1028="Sí",ROUND(K1028/1.18,2),K1028))</f>
        <v/>
      </c>
      <c r="P1028" s="3" t="inlineStr">
        <is>
          <t>2026-09-09</t>
        </is>
      </c>
      <c r="Q1028" s="4" t="inlineStr">
        <is>
          <t>Ferretería Ochoa (8A)</t>
        </is>
      </c>
    </row>
    <row r="1029">
      <c r="A1029" s="3" t="inlineStr">
        <is>
          <t>MAT-18-006</t>
        </is>
      </c>
      <c r="B1029" s="3" t="inlineStr">
        <is>
          <t>Materiales</t>
        </is>
      </c>
      <c r="C1029" s="3" t="inlineStr">
        <is>
          <t>Exteriores y paisajismo</t>
        </is>
      </c>
      <c r="D1029" s="4" t="inlineStr">
        <is>
          <t>Asfalto en frío, 25 kg</t>
        </is>
      </c>
      <c r="E1029" s="4" t="inlineStr"/>
      <c r="F1029" s="3" t="inlineStr">
        <is>
          <t>unidad</t>
        </is>
      </c>
      <c r="G1029" s="3" t="inlineStr">
        <is>
          <t>Exteriores</t>
        </is>
      </c>
      <c r="H1029" s="3" t="inlineStr">
        <is>
          <t>estandar</t>
        </is>
      </c>
      <c r="I1029" s="3" t="inlineStr">
        <is>
          <t>importado</t>
        </is>
      </c>
      <c r="J1029" s="5" t="n">
        <v>1</v>
      </c>
      <c r="K1029" s="6" t="n">
        <v>1695</v>
      </c>
      <c r="L1029" s="6" t="n">
        <v>1695</v>
      </c>
      <c r="M1029" s="6" t="n">
        <v>1695</v>
      </c>
      <c r="N1029" s="3" t="inlineStr">
        <is>
          <t>Sí</t>
        </is>
      </c>
      <c r="O1029" s="6">
        <f>IF(K1029="","",IF(N1029="Sí",ROUND(K1029/1.18,2),K1029))</f>
        <v/>
      </c>
      <c r="P1029" s="3" t="inlineStr">
        <is>
          <t>2026-09-09</t>
        </is>
      </c>
      <c r="Q1029" s="4" t="inlineStr">
        <is>
          <t>InnovaCentro (La Innovación)</t>
        </is>
      </c>
      <c r="AF1029" s="4" t="inlineStr">
        <is>
          <t>Peso (kg): 25</t>
        </is>
      </c>
    </row>
    <row r="1030">
      <c r="A1030" s="3" t="inlineStr">
        <is>
          <t>MAT-19-001</t>
        </is>
      </c>
      <c r="B1030" s="3" t="inlineStr">
        <is>
          <t>Materiales</t>
        </is>
      </c>
      <c r="C1030" s="3" t="inlineStr">
        <is>
          <t>Perfiles y tubos de acero</t>
        </is>
      </c>
      <c r="D1030" s="4" t="inlineStr">
        <is>
          <t>Perfil cuadrado negro 3/4" x 3/4" x 20 pies, pared 1.2 mm</t>
        </is>
      </c>
      <c r="E1030" s="4" t="inlineStr"/>
      <c r="F1030" s="3" t="inlineStr">
        <is>
          <t>unidad</t>
        </is>
      </c>
      <c r="G1030" s="3" t="inlineStr">
        <is>
          <t>Estructura</t>
        </is>
      </c>
      <c r="H1030" s="3" t="inlineStr">
        <is>
          <t>estandar</t>
        </is>
      </c>
      <c r="I1030" s="3" t="inlineStr">
        <is>
          <t>importado</t>
        </is>
      </c>
      <c r="J1030" s="5" t="n">
        <v>1</v>
      </c>
      <c r="K1030" s="6" t="n">
        <v>262.29</v>
      </c>
      <c r="L1030" s="6" t="n">
        <v>262.29</v>
      </c>
      <c r="M1030" s="6" t="n">
        <v>262.29</v>
      </c>
      <c r="N1030" s="3" t="inlineStr">
        <is>
          <t>Sí</t>
        </is>
      </c>
      <c r="O1030" s="6">
        <f>IF(K1030="","",IF(N1030="Sí",ROUND(K1030/1.18,2),K1030))</f>
        <v/>
      </c>
      <c r="P1030" s="3" t="inlineStr">
        <is>
          <t>2026-09-09</t>
        </is>
      </c>
      <c r="Q1030" s="4" t="inlineStr">
        <is>
          <t>Ferretería Ochoa (8A)</t>
        </is>
      </c>
    </row>
    <row r="1031">
      <c r="A1031" s="3" t="inlineStr">
        <is>
          <t>MAT-19-002</t>
        </is>
      </c>
      <c r="B1031" s="3" t="inlineStr">
        <is>
          <t>Materiales</t>
        </is>
      </c>
      <c r="C1031" s="3" t="inlineStr">
        <is>
          <t>Perfiles y tubos de acero</t>
        </is>
      </c>
      <c r="D1031" s="4" t="inlineStr">
        <is>
          <t>Perfil cuadrado negro 3/4" x 3/4" x 20 pies, pared 1.6 mm</t>
        </is>
      </c>
      <c r="E1031" s="4" t="inlineStr"/>
      <c r="F1031" s="3" t="inlineStr">
        <is>
          <t>unidad</t>
        </is>
      </c>
      <c r="G1031" s="3" t="inlineStr">
        <is>
          <t>Estructura</t>
        </is>
      </c>
      <c r="H1031" s="3" t="inlineStr">
        <is>
          <t>estandar</t>
        </is>
      </c>
      <c r="I1031" s="3" t="inlineStr">
        <is>
          <t>importado</t>
        </is>
      </c>
      <c r="J1031" s="5" t="n">
        <v>2</v>
      </c>
      <c r="K1031" s="6" t="n">
        <v>347.73</v>
      </c>
      <c r="L1031" s="6" t="n">
        <v>321.76</v>
      </c>
      <c r="M1031" s="6" t="n">
        <v>373.71</v>
      </c>
      <c r="N1031" s="3" t="inlineStr">
        <is>
          <t>Sí</t>
        </is>
      </c>
      <c r="O1031" s="6">
        <f>IF(K1031="","",IF(N1031="Sí",ROUND(K1031/1.18,2),K1031))</f>
        <v/>
      </c>
      <c r="P1031" s="3" t="inlineStr">
        <is>
          <t>2026-09-09</t>
        </is>
      </c>
      <c r="Q1031" s="4" t="inlineStr">
        <is>
          <t>Ferretería MC · Ferretería Ochoa (8A)</t>
        </is>
      </c>
    </row>
    <row r="1032">
      <c r="A1032" s="3" t="inlineStr">
        <is>
          <t>MAT-19-003</t>
        </is>
      </c>
      <c r="B1032" s="3" t="inlineStr">
        <is>
          <t>Materiales</t>
        </is>
      </c>
      <c r="C1032" s="3" t="inlineStr">
        <is>
          <t>Perfiles y tubos de acero</t>
        </is>
      </c>
      <c r="D1032" s="4" t="inlineStr">
        <is>
          <t>Perfil cuadrado negro 1" x 1" x 20 pies, pared 1.2 mm</t>
        </is>
      </c>
      <c r="E1032" s="4" t="inlineStr"/>
      <c r="F1032" s="3" t="inlineStr">
        <is>
          <t>unidad</t>
        </is>
      </c>
      <c r="G1032" s="3" t="inlineStr">
        <is>
          <t>Estructura</t>
        </is>
      </c>
      <c r="H1032" s="3" t="inlineStr">
        <is>
          <t>estandar</t>
        </is>
      </c>
      <c r="I1032" s="3" t="inlineStr">
        <is>
          <t>importado</t>
        </is>
      </c>
      <c r="J1032" s="5" t="n">
        <v>2</v>
      </c>
      <c r="K1032" s="6" t="n">
        <v>383.29</v>
      </c>
      <c r="L1032" s="6" t="n">
        <v>355.58</v>
      </c>
      <c r="M1032" s="6" t="n">
        <v>410.99</v>
      </c>
      <c r="N1032" s="3" t="inlineStr">
        <is>
          <t>Sí</t>
        </is>
      </c>
      <c r="O1032" s="6">
        <f>IF(K1032="","",IF(N1032="Sí",ROUND(K1032/1.18,2),K1032))</f>
        <v/>
      </c>
      <c r="P1032" s="3" t="inlineStr">
        <is>
          <t>2026-09-09</t>
        </is>
      </c>
      <c r="Q1032" s="4" t="inlineStr">
        <is>
          <t>Ferretería MC · Ferretería Ochoa (8A)</t>
        </is>
      </c>
    </row>
    <row r="1033">
      <c r="A1033" s="3" t="inlineStr">
        <is>
          <t>MAT-19-004</t>
        </is>
      </c>
      <c r="B1033" s="3" t="inlineStr">
        <is>
          <t>Materiales</t>
        </is>
      </c>
      <c r="C1033" s="3" t="inlineStr">
        <is>
          <t>Perfiles y tubos de acero</t>
        </is>
      </c>
      <c r="D1033" s="4" t="inlineStr">
        <is>
          <t>Perfil cuadrado negro 1 1/4" x 1 1/4" x 20 pies, pared 1.2 mm</t>
        </is>
      </c>
      <c r="E1033" s="4" t="inlineStr"/>
      <c r="F1033" s="3" t="inlineStr">
        <is>
          <t>unidad</t>
        </is>
      </c>
      <c r="G1033" s="3" t="inlineStr">
        <is>
          <t>Estructura</t>
        </is>
      </c>
      <c r="H1033" s="3" t="inlineStr">
        <is>
          <t>estandar</t>
        </is>
      </c>
      <c r="I1033" s="3" t="inlineStr">
        <is>
          <t>importado</t>
        </is>
      </c>
      <c r="J1033" s="5" t="n">
        <v>1</v>
      </c>
      <c r="K1033" s="6" t="n">
        <v>510.43</v>
      </c>
      <c r="L1033" s="6" t="n">
        <v>510.43</v>
      </c>
      <c r="M1033" s="6" t="n">
        <v>510.43</v>
      </c>
      <c r="N1033" s="3" t="inlineStr">
        <is>
          <t>Sí</t>
        </is>
      </c>
      <c r="O1033" s="6">
        <f>IF(K1033="","",IF(N1033="Sí",ROUND(K1033/1.18,2),K1033))</f>
        <v/>
      </c>
      <c r="P1033" s="3" t="inlineStr">
        <is>
          <t>2026-09-09</t>
        </is>
      </c>
      <c r="Q1033" s="4" t="inlineStr">
        <is>
          <t>Ferretería Ochoa (8A)</t>
        </is>
      </c>
    </row>
    <row r="1034">
      <c r="A1034" s="3" t="inlineStr">
        <is>
          <t>MAT-19-005</t>
        </is>
      </c>
      <c r="B1034" s="3" t="inlineStr">
        <is>
          <t>Materiales</t>
        </is>
      </c>
      <c r="C1034" s="3" t="inlineStr">
        <is>
          <t>Perfiles y tubos de acero</t>
        </is>
      </c>
      <c r="D1034" s="4" t="inlineStr">
        <is>
          <t>Perfil cuadrado negro 1 1/4" x 1 1/4" x 20 pies, pared 1.6 mm</t>
        </is>
      </c>
      <c r="E1034" s="4" t="inlineStr"/>
      <c r="F1034" s="3" t="inlineStr">
        <is>
          <t>unidad</t>
        </is>
      </c>
      <c r="G1034" s="3" t="inlineStr">
        <is>
          <t>Estructura</t>
        </is>
      </c>
      <c r="H1034" s="3" t="inlineStr">
        <is>
          <t>estandar</t>
        </is>
      </c>
      <c r="I1034" s="3" t="inlineStr">
        <is>
          <t>importado</t>
        </is>
      </c>
      <c r="J1034" s="5" t="n">
        <v>1</v>
      </c>
      <c r="K1034" s="6" t="n">
        <v>556.02</v>
      </c>
      <c r="L1034" s="6" t="n">
        <v>556.02</v>
      </c>
      <c r="M1034" s="6" t="n">
        <v>556.02</v>
      </c>
      <c r="N1034" s="3" t="inlineStr">
        <is>
          <t>Sí</t>
        </is>
      </c>
      <c r="O1034" s="6">
        <f>IF(K1034="","",IF(N1034="Sí",ROUND(K1034/1.18,2),K1034))</f>
        <v/>
      </c>
      <c r="P1034" s="3" t="inlineStr">
        <is>
          <t>2026-09-09</t>
        </is>
      </c>
      <c r="Q1034" s="4" t="inlineStr">
        <is>
          <t>Ferretería Ochoa (8A)</t>
        </is>
      </c>
    </row>
    <row r="1035">
      <c r="A1035" s="3" t="inlineStr">
        <is>
          <t>MAT-19-006</t>
        </is>
      </c>
      <c r="B1035" s="3" t="inlineStr">
        <is>
          <t>Materiales</t>
        </is>
      </c>
      <c r="C1035" s="3" t="inlineStr">
        <is>
          <t>Perfiles y tubos de acero</t>
        </is>
      </c>
      <c r="D1035" s="4" t="inlineStr">
        <is>
          <t>Perfil cuadrado negro 1 1/2" x 1 1/2" x 20 pies, pared 1.2 mm</t>
        </is>
      </c>
      <c r="E1035" s="4" t="inlineStr"/>
      <c r="F1035" s="3" t="inlineStr">
        <is>
          <t>unidad</t>
        </is>
      </c>
      <c r="G1035" s="3" t="inlineStr">
        <is>
          <t>Estructura</t>
        </is>
      </c>
      <c r="H1035" s="3" t="inlineStr">
        <is>
          <t>estandar</t>
        </is>
      </c>
      <c r="I1035" s="3" t="inlineStr">
        <is>
          <t>importado</t>
        </is>
      </c>
      <c r="J1035" s="5" t="n">
        <v>2</v>
      </c>
      <c r="K1035" s="6" t="n">
        <v>584.58</v>
      </c>
      <c r="L1035" s="6" t="n">
        <v>542.15</v>
      </c>
      <c r="M1035" s="6" t="n">
        <v>627</v>
      </c>
      <c r="N1035" s="3" t="inlineStr">
        <is>
          <t>Sí</t>
        </is>
      </c>
      <c r="O1035" s="6">
        <f>IF(K1035="","",IF(N1035="Sí",ROUND(K1035/1.18,2),K1035))</f>
        <v/>
      </c>
      <c r="P1035" s="3" t="inlineStr">
        <is>
          <t>2026-09-09</t>
        </is>
      </c>
      <c r="Q1035" s="4" t="inlineStr">
        <is>
          <t>Ferretería MC · Ferretería Ochoa (8A)</t>
        </is>
      </c>
    </row>
    <row r="1036">
      <c r="A1036" s="3" t="inlineStr">
        <is>
          <t>MAT-19-007</t>
        </is>
      </c>
      <c r="B1036" s="3" t="inlineStr">
        <is>
          <t>Materiales</t>
        </is>
      </c>
      <c r="C1036" s="3" t="inlineStr">
        <is>
          <t>Perfiles y tubos de acero</t>
        </is>
      </c>
      <c r="D1036" s="4" t="inlineStr">
        <is>
          <t>Perfil cuadrado negro 1 1/2" x 1 1/2" x 20 pies, pared 1.6 mm</t>
        </is>
      </c>
      <c r="E1036" s="4" t="inlineStr"/>
      <c r="F1036" s="3" t="inlineStr">
        <is>
          <t>unidad</t>
        </is>
      </c>
      <c r="G1036" s="3" t="inlineStr">
        <is>
          <t>Estructura</t>
        </is>
      </c>
      <c r="H1036" s="3" t="inlineStr">
        <is>
          <t>estandar</t>
        </is>
      </c>
      <c r="I1036" s="3" t="inlineStr">
        <is>
          <t>importado</t>
        </is>
      </c>
      <c r="J1036" s="5" t="n">
        <v>2</v>
      </c>
      <c r="K1036" s="6" t="n">
        <v>717.05</v>
      </c>
      <c r="L1036" s="6" t="n">
        <v>647.03</v>
      </c>
      <c r="M1036" s="6" t="n">
        <v>787.0599999999999</v>
      </c>
      <c r="N1036" s="3" t="inlineStr">
        <is>
          <t>Sí</t>
        </is>
      </c>
      <c r="O1036" s="6">
        <f>IF(K1036="","",IF(N1036="Sí",ROUND(K1036/1.18,2),K1036))</f>
        <v/>
      </c>
      <c r="P1036" s="3" t="inlineStr">
        <is>
          <t>2026-09-09</t>
        </is>
      </c>
      <c r="Q1036" s="4" t="inlineStr">
        <is>
          <t>Ferretería MC · Ferretería Ochoa (8A)</t>
        </is>
      </c>
    </row>
    <row r="1037">
      <c r="A1037" s="3" t="inlineStr">
        <is>
          <t>MAT-19-008</t>
        </is>
      </c>
      <c r="B1037" s="3" t="inlineStr">
        <is>
          <t>Materiales</t>
        </is>
      </c>
      <c r="C1037" s="3" t="inlineStr">
        <is>
          <t>Perfiles y tubos de acero</t>
        </is>
      </c>
      <c r="D1037" s="4" t="inlineStr">
        <is>
          <t>Perfil cuadrado negro 2" x 2" x 20 pies, pared 1.6 mm</t>
        </is>
      </c>
      <c r="E1037" s="4" t="inlineStr"/>
      <c r="F1037" s="3" t="inlineStr">
        <is>
          <t>unidad</t>
        </is>
      </c>
      <c r="G1037" s="3" t="inlineStr">
        <is>
          <t>Estructura</t>
        </is>
      </c>
      <c r="H1037" s="3" t="inlineStr">
        <is>
          <t>estandar</t>
        </is>
      </c>
      <c r="I1037" s="3" t="inlineStr">
        <is>
          <t>importado</t>
        </is>
      </c>
      <c r="J1037" s="5" t="n">
        <v>2</v>
      </c>
      <c r="K1037" s="6" t="n">
        <v>940.63</v>
      </c>
      <c r="L1037" s="6" t="n">
        <v>867.64</v>
      </c>
      <c r="M1037" s="6" t="n">
        <v>1013.62</v>
      </c>
      <c r="N1037" s="3" t="inlineStr">
        <is>
          <t>Sí</t>
        </is>
      </c>
      <c r="O1037" s="6">
        <f>IF(K1037="","",IF(N1037="Sí",ROUND(K1037/1.18,2),K1037))</f>
        <v/>
      </c>
      <c r="P1037" s="3" t="inlineStr">
        <is>
          <t>2026-09-09</t>
        </is>
      </c>
      <c r="Q1037" s="4" t="inlineStr">
        <is>
          <t>Ferretería MC · Ferretería Ochoa (8A)</t>
        </is>
      </c>
    </row>
    <row r="1038">
      <c r="A1038" s="3" t="inlineStr">
        <is>
          <t>MAT-19-009</t>
        </is>
      </c>
      <c r="B1038" s="3" t="inlineStr">
        <is>
          <t>Materiales</t>
        </is>
      </c>
      <c r="C1038" s="3" t="inlineStr">
        <is>
          <t>Perfiles y tubos de acero</t>
        </is>
      </c>
      <c r="D1038" s="4" t="inlineStr">
        <is>
          <t>Perfil cuadrado negro 3" x 3" x 20 pies, pared 1.6 mm</t>
        </is>
      </c>
      <c r="E1038" s="4" t="inlineStr"/>
      <c r="F1038" s="3" t="inlineStr">
        <is>
          <t>unidad</t>
        </is>
      </c>
      <c r="G1038" s="3" t="inlineStr">
        <is>
          <t>Estructura</t>
        </is>
      </c>
      <c r="H1038" s="3" t="inlineStr">
        <is>
          <t>estandar</t>
        </is>
      </c>
      <c r="I1038" s="3" t="inlineStr">
        <is>
          <t>importado</t>
        </is>
      </c>
      <c r="J1038" s="5" t="n">
        <v>2</v>
      </c>
      <c r="K1038" s="6" t="n">
        <v>1472.93</v>
      </c>
      <c r="L1038" s="6" t="n">
        <v>1319.81</v>
      </c>
      <c r="M1038" s="6" t="n">
        <v>1626.04</v>
      </c>
      <c r="N1038" s="3" t="inlineStr">
        <is>
          <t>Sí</t>
        </is>
      </c>
      <c r="O1038" s="6">
        <f>IF(K1038="","",IF(N1038="Sí",ROUND(K1038/1.18,2),K1038))</f>
        <v/>
      </c>
      <c r="P1038" s="3" t="inlineStr">
        <is>
          <t>2026-09-09</t>
        </is>
      </c>
      <c r="Q1038" s="4" t="inlineStr">
        <is>
          <t>Ferretería MC · Ferretería Ochoa (8A)</t>
        </is>
      </c>
    </row>
    <row r="1039">
      <c r="A1039" s="3" t="inlineStr">
        <is>
          <t>MAT-19-010</t>
        </is>
      </c>
      <c r="B1039" s="3" t="inlineStr">
        <is>
          <t>Materiales</t>
        </is>
      </c>
      <c r="C1039" s="3" t="inlineStr">
        <is>
          <t>Perfiles y tubos de acero</t>
        </is>
      </c>
      <c r="D1039" s="4" t="inlineStr">
        <is>
          <t>Perfil cuadrado galvanizado 3/4" x 3/4" x 20 pies, pared 1.2 mm</t>
        </is>
      </c>
      <c r="E1039" s="4" t="inlineStr"/>
      <c r="F1039" s="3" t="inlineStr">
        <is>
          <t>unidad</t>
        </is>
      </c>
      <c r="G1039" s="3" t="inlineStr">
        <is>
          <t>Estructura</t>
        </is>
      </c>
      <c r="H1039" s="3" t="inlineStr">
        <is>
          <t>estandar</t>
        </is>
      </c>
      <c r="I1039" s="3" t="inlineStr">
        <is>
          <t>importado</t>
        </is>
      </c>
      <c r="J1039" s="5" t="n">
        <v>1</v>
      </c>
      <c r="K1039" s="6" t="n">
        <v>316.11</v>
      </c>
      <c r="L1039" s="6" t="n">
        <v>316.11</v>
      </c>
      <c r="M1039" s="6" t="n">
        <v>316.11</v>
      </c>
      <c r="N1039" s="3" t="inlineStr">
        <is>
          <t>Sí</t>
        </is>
      </c>
      <c r="O1039" s="6">
        <f>IF(K1039="","",IF(N1039="Sí",ROUND(K1039/1.18,2),K1039))</f>
        <v/>
      </c>
      <c r="P1039" s="3" t="inlineStr">
        <is>
          <t>2026-09-09</t>
        </is>
      </c>
      <c r="Q1039" s="4" t="inlineStr">
        <is>
          <t>Ferretería Ochoa (8A)</t>
        </is>
      </c>
    </row>
    <row r="1040">
      <c r="A1040" s="3" t="inlineStr">
        <is>
          <t>MAT-19-011</t>
        </is>
      </c>
      <c r="B1040" s="3" t="inlineStr">
        <is>
          <t>Materiales</t>
        </is>
      </c>
      <c r="C1040" s="3" t="inlineStr">
        <is>
          <t>Perfiles y tubos de acero</t>
        </is>
      </c>
      <c r="D1040" s="4" t="inlineStr">
        <is>
          <t>Perfil cuadrado galvanizado 1" x 1" x 20 pies, pared 1.2 mm</t>
        </is>
      </c>
      <c r="E1040" s="4" t="inlineStr"/>
      <c r="F1040" s="3" t="inlineStr">
        <is>
          <t>unidad</t>
        </is>
      </c>
      <c r="G1040" s="3" t="inlineStr">
        <is>
          <t>Estructura</t>
        </is>
      </c>
      <c r="H1040" s="3" t="inlineStr">
        <is>
          <t>estandar</t>
        </is>
      </c>
      <c r="I1040" s="3" t="inlineStr">
        <is>
          <t>importado</t>
        </is>
      </c>
      <c r="J1040" s="5" t="n">
        <v>2</v>
      </c>
      <c r="K1040" s="6" t="n">
        <v>467.93</v>
      </c>
      <c r="L1040" s="6" t="n">
        <v>423.74</v>
      </c>
      <c r="M1040" s="6" t="n">
        <v>512.12</v>
      </c>
      <c r="N1040" s="3" t="inlineStr">
        <is>
          <t>Sí</t>
        </is>
      </c>
      <c r="O1040" s="6">
        <f>IF(K1040="","",IF(N1040="Sí",ROUND(K1040/1.18,2),K1040))</f>
        <v/>
      </c>
      <c r="P1040" s="3" t="inlineStr">
        <is>
          <t>2026-09-09</t>
        </is>
      </c>
      <c r="Q1040" s="4" t="inlineStr">
        <is>
          <t>Ferretería MC · Ferretería Ochoa (8A)</t>
        </is>
      </c>
    </row>
    <row r="1041">
      <c r="A1041" s="3" t="inlineStr">
        <is>
          <t>MAT-19-012</t>
        </is>
      </c>
      <c r="B1041" s="3" t="inlineStr">
        <is>
          <t>Materiales</t>
        </is>
      </c>
      <c r="C1041" s="3" t="inlineStr">
        <is>
          <t>Perfiles y tubos de acero</t>
        </is>
      </c>
      <c r="D1041" s="4" t="inlineStr">
        <is>
          <t>Perfil cuadrado galvanizado 1" x 1" x 20 pies, pared 1.6 mm</t>
        </is>
      </c>
      <c r="E1041" s="4" t="inlineStr"/>
      <c r="F1041" s="3" t="inlineStr">
        <is>
          <t>unidad</t>
        </is>
      </c>
      <c r="G1041" s="3" t="inlineStr">
        <is>
          <t>Estructura</t>
        </is>
      </c>
      <c r="H1041" s="3" t="inlineStr">
        <is>
          <t>estandar</t>
        </is>
      </c>
      <c r="I1041" s="3" t="inlineStr">
        <is>
          <t>importado</t>
        </is>
      </c>
      <c r="J1041" s="5" t="n">
        <v>2</v>
      </c>
      <c r="K1041" s="6" t="n">
        <v>600.86</v>
      </c>
      <c r="L1041" s="6" t="n">
        <v>539.74</v>
      </c>
      <c r="M1041" s="6" t="n">
        <v>661.98</v>
      </c>
      <c r="N1041" s="3" t="inlineStr">
        <is>
          <t>Sí</t>
        </is>
      </c>
      <c r="O1041" s="6">
        <f>IF(K1041="","",IF(N1041="Sí",ROUND(K1041/1.18,2),K1041))</f>
        <v/>
      </c>
      <c r="P1041" s="3" t="inlineStr">
        <is>
          <t>2026-09-09</t>
        </is>
      </c>
      <c r="Q1041" s="4" t="inlineStr">
        <is>
          <t>Ferretería MC · Ferretería Ochoa (8A)</t>
        </is>
      </c>
    </row>
    <row r="1042">
      <c r="A1042" s="3" t="inlineStr">
        <is>
          <t>MAT-19-013</t>
        </is>
      </c>
      <c r="B1042" s="3" t="inlineStr">
        <is>
          <t>Materiales</t>
        </is>
      </c>
      <c r="C1042" s="3" t="inlineStr">
        <is>
          <t>Perfiles y tubos de acero</t>
        </is>
      </c>
      <c r="D1042" s="4" t="inlineStr">
        <is>
          <t>Perfil cuadrado galvanizado 1 1/4" x 1 1/4" x 20 pies, pared 1.5 mm</t>
        </is>
      </c>
      <c r="E1042" s="4" t="inlineStr"/>
      <c r="F1042" s="3" t="inlineStr">
        <is>
          <t>unidad</t>
        </is>
      </c>
      <c r="G1042" s="3" t="inlineStr">
        <is>
          <t>Estructura</t>
        </is>
      </c>
      <c r="H1042" s="3" t="inlineStr">
        <is>
          <t>estandar</t>
        </is>
      </c>
      <c r="I1042" s="3" t="inlineStr">
        <is>
          <t>importado</t>
        </is>
      </c>
      <c r="J1042" s="5" t="n">
        <v>1</v>
      </c>
      <c r="K1042" s="6" t="n">
        <v>712.04</v>
      </c>
      <c r="L1042" s="6" t="n">
        <v>712.04</v>
      </c>
      <c r="M1042" s="6" t="n">
        <v>712.04</v>
      </c>
      <c r="N1042" s="3" t="inlineStr">
        <is>
          <t>Sí</t>
        </is>
      </c>
      <c r="O1042" s="6">
        <f>IF(K1042="","",IF(N1042="Sí",ROUND(K1042/1.18,2),K1042))</f>
        <v/>
      </c>
      <c r="P1042" s="3" t="inlineStr">
        <is>
          <t>2026-09-09</t>
        </is>
      </c>
      <c r="Q1042" s="4" t="inlineStr">
        <is>
          <t>Ferretería Ochoa (8A)</t>
        </is>
      </c>
    </row>
    <row r="1043">
      <c r="A1043" s="3" t="inlineStr">
        <is>
          <t>MAT-19-014</t>
        </is>
      </c>
      <c r="B1043" s="3" t="inlineStr">
        <is>
          <t>Materiales</t>
        </is>
      </c>
      <c r="C1043" s="3" t="inlineStr">
        <is>
          <t>Perfiles y tubos de acero</t>
        </is>
      </c>
      <c r="D1043" s="4" t="inlineStr">
        <is>
          <t>Perfil cuadrado galvanizado 1 1/2" x 1 1/2" x 20 pies, pared 1.2 mm</t>
        </is>
      </c>
      <c r="E1043" s="4" t="inlineStr"/>
      <c r="F1043" s="3" t="inlineStr">
        <is>
          <t>unidad</t>
        </is>
      </c>
      <c r="G1043" s="3" t="inlineStr">
        <is>
          <t>Estructura</t>
        </is>
      </c>
      <c r="H1043" s="3" t="inlineStr">
        <is>
          <t>estandar</t>
        </is>
      </c>
      <c r="I1043" s="3" t="inlineStr">
        <is>
          <t>importado</t>
        </is>
      </c>
      <c r="J1043" s="5" t="n">
        <v>2</v>
      </c>
      <c r="K1043" s="6" t="n">
        <v>703.59</v>
      </c>
      <c r="L1043" s="6" t="n">
        <v>648.6799999999999</v>
      </c>
      <c r="M1043" s="6" t="n">
        <v>758.5</v>
      </c>
      <c r="N1043" s="3" t="inlineStr">
        <is>
          <t>Sí</t>
        </is>
      </c>
      <c r="O1043" s="6">
        <f>IF(K1043="","",IF(N1043="Sí",ROUND(K1043/1.18,2),K1043))</f>
        <v/>
      </c>
      <c r="P1043" s="3" t="inlineStr">
        <is>
          <t>2026-09-09</t>
        </is>
      </c>
      <c r="Q1043" s="4" t="inlineStr">
        <is>
          <t>Ferretería MC · Ferretería Ochoa (8A)</t>
        </is>
      </c>
    </row>
    <row r="1044">
      <c r="A1044" s="3" t="inlineStr">
        <is>
          <t>MAT-19-015</t>
        </is>
      </c>
      <c r="B1044" s="3" t="inlineStr">
        <is>
          <t>Materiales</t>
        </is>
      </c>
      <c r="C1044" s="3" t="inlineStr">
        <is>
          <t>Perfiles y tubos de acero</t>
        </is>
      </c>
      <c r="D1044" s="4" t="inlineStr">
        <is>
          <t>Perfil cuadrado galvanizado 1 1/2" x 1 1/2" x 20 pies, pared 1.6 mm</t>
        </is>
      </c>
      <c r="E1044" s="4" t="inlineStr"/>
      <c r="F1044" s="3" t="inlineStr">
        <is>
          <t>unidad</t>
        </is>
      </c>
      <c r="G1044" s="3" t="inlineStr">
        <is>
          <t>Estructura</t>
        </is>
      </c>
      <c r="H1044" s="3" t="inlineStr">
        <is>
          <t>estandar</t>
        </is>
      </c>
      <c r="I1044" s="3" t="inlineStr">
        <is>
          <t>importado</t>
        </is>
      </c>
      <c r="J1044" s="5" t="n">
        <v>2</v>
      </c>
      <c r="K1044" s="6" t="n">
        <v>885.17</v>
      </c>
      <c r="L1044" s="6" t="n">
        <v>814.53</v>
      </c>
      <c r="M1044" s="6" t="n">
        <v>955.8</v>
      </c>
      <c r="N1044" s="3" t="inlineStr">
        <is>
          <t>Sí</t>
        </is>
      </c>
      <c r="O1044" s="6">
        <f>IF(K1044="","",IF(N1044="Sí",ROUND(K1044/1.18,2),K1044))</f>
        <v/>
      </c>
      <c r="P1044" s="3" t="inlineStr">
        <is>
          <t>2026-09-09</t>
        </is>
      </c>
      <c r="Q1044" s="4" t="inlineStr">
        <is>
          <t>Ferretería MC · Ferretería Ochoa (8A)</t>
        </is>
      </c>
    </row>
    <row r="1045">
      <c r="A1045" s="3" t="inlineStr">
        <is>
          <t>MAT-19-016</t>
        </is>
      </c>
      <c r="B1045" s="3" t="inlineStr">
        <is>
          <t>Materiales</t>
        </is>
      </c>
      <c r="C1045" s="3" t="inlineStr">
        <is>
          <t>Perfiles y tubos de acero</t>
        </is>
      </c>
      <c r="D1045" s="4" t="inlineStr">
        <is>
          <t>Perfil cuadrado galvanizado 2" x 2" x 20 pies, pared 1.6 mm</t>
        </is>
      </c>
      <c r="E1045" s="4" t="inlineStr"/>
      <c r="F1045" s="3" t="inlineStr">
        <is>
          <t>unidad</t>
        </is>
      </c>
      <c r="G1045" s="3" t="inlineStr">
        <is>
          <t>Estructura</t>
        </is>
      </c>
      <c r="H1045" s="3" t="inlineStr">
        <is>
          <t>estandar</t>
        </is>
      </c>
      <c r="I1045" s="3" t="inlineStr">
        <is>
          <t>importado</t>
        </is>
      </c>
      <c r="J1045" s="5" t="n">
        <v>1</v>
      </c>
      <c r="K1045" s="6" t="n">
        <v>1108.57</v>
      </c>
      <c r="L1045" s="6" t="n">
        <v>1108.57</v>
      </c>
      <c r="M1045" s="6" t="n">
        <v>1108.57</v>
      </c>
      <c r="N1045" s="3" t="inlineStr">
        <is>
          <t>Sí</t>
        </is>
      </c>
      <c r="O1045" s="6">
        <f>IF(K1045="","",IF(N1045="Sí",ROUND(K1045/1.18,2),K1045))</f>
        <v/>
      </c>
      <c r="P1045" s="3" t="inlineStr">
        <is>
          <t>2026-09-09</t>
        </is>
      </c>
      <c r="Q1045" s="4" t="inlineStr">
        <is>
          <t>Ferretería Ochoa (8A)</t>
        </is>
      </c>
    </row>
    <row r="1046">
      <c r="A1046" s="3" t="inlineStr">
        <is>
          <t>MAT-19-017</t>
        </is>
      </c>
      <c r="B1046" s="3" t="inlineStr">
        <is>
          <t>Materiales</t>
        </is>
      </c>
      <c r="C1046" s="3" t="inlineStr">
        <is>
          <t>Perfiles y tubos de acero</t>
        </is>
      </c>
      <c r="D1046" s="4" t="inlineStr">
        <is>
          <t>Perfil cuadrado galvanizado 3" x 3" x 20 pies, pared 1.5 mm</t>
        </is>
      </c>
      <c r="E1046" s="4" t="inlineStr"/>
      <c r="F1046" s="3" t="inlineStr">
        <is>
          <t>unidad</t>
        </is>
      </c>
      <c r="G1046" s="3" t="inlineStr">
        <is>
          <t>Estructura</t>
        </is>
      </c>
      <c r="H1046" s="3" t="inlineStr">
        <is>
          <t>estandar</t>
        </is>
      </c>
      <c r="I1046" s="3" t="inlineStr">
        <is>
          <t>importado</t>
        </is>
      </c>
      <c r="J1046" s="5" t="n">
        <v>2</v>
      </c>
      <c r="K1046" s="6" t="n">
        <v>1872.3</v>
      </c>
      <c r="L1046" s="6" t="n">
        <v>1707.91</v>
      </c>
      <c r="M1046" s="6" t="n">
        <v>2036.68</v>
      </c>
      <c r="N1046" s="3" t="inlineStr">
        <is>
          <t>Sí</t>
        </is>
      </c>
      <c r="O1046" s="6">
        <f>IF(K1046="","",IF(N1046="Sí",ROUND(K1046/1.18,2),K1046))</f>
        <v/>
      </c>
      <c r="P1046" s="3" t="inlineStr">
        <is>
          <t>2026-09-09</t>
        </is>
      </c>
      <c r="Q1046" s="4" t="inlineStr">
        <is>
          <t>Ferretería MC · Ferretería Ochoa (8A)</t>
        </is>
      </c>
    </row>
    <row r="1047">
      <c r="A1047" s="3" t="inlineStr">
        <is>
          <t>MAT-19-018</t>
        </is>
      </c>
      <c r="B1047" s="3" t="inlineStr">
        <is>
          <t>Materiales</t>
        </is>
      </c>
      <c r="C1047" s="3" t="inlineStr">
        <is>
          <t>Perfiles y tubos de acero</t>
        </is>
      </c>
      <c r="D1047" s="4" t="inlineStr">
        <is>
          <t>Perfil rectangular negro 3/4" x 1 1/2" x 20 pies, pared 1.2 mm</t>
        </is>
      </c>
      <c r="E1047" s="4" t="inlineStr"/>
      <c r="F1047" s="3" t="inlineStr">
        <is>
          <t>unidad</t>
        </is>
      </c>
      <c r="G1047" s="3" t="inlineStr">
        <is>
          <t>Estructura</t>
        </is>
      </c>
      <c r="H1047" s="3" t="inlineStr">
        <is>
          <t>estandar</t>
        </is>
      </c>
      <c r="I1047" s="3" t="inlineStr">
        <is>
          <t>importado</t>
        </is>
      </c>
      <c r="J1047" s="5" t="n">
        <v>1</v>
      </c>
      <c r="K1047" s="6" t="n">
        <v>402.51</v>
      </c>
      <c r="L1047" s="6" t="n">
        <v>402.51</v>
      </c>
      <c r="M1047" s="6" t="n">
        <v>402.51</v>
      </c>
      <c r="N1047" s="3" t="inlineStr">
        <is>
          <t>Sí</t>
        </is>
      </c>
      <c r="O1047" s="6">
        <f>IF(K1047="","",IF(N1047="Sí",ROUND(K1047/1.18,2),K1047))</f>
        <v/>
      </c>
      <c r="P1047" s="3" t="inlineStr">
        <is>
          <t>2026-09-09</t>
        </is>
      </c>
      <c r="Q1047" s="4" t="inlineStr">
        <is>
          <t>Ferretería Ochoa (8A)</t>
        </is>
      </c>
    </row>
    <row r="1048">
      <c r="A1048" s="3" t="inlineStr">
        <is>
          <t>MAT-19-019</t>
        </is>
      </c>
      <c r="B1048" s="3" t="inlineStr">
        <is>
          <t>Materiales</t>
        </is>
      </c>
      <c r="C1048" s="3" t="inlineStr">
        <is>
          <t>Perfiles y tubos de acero</t>
        </is>
      </c>
      <c r="D1048" s="4" t="inlineStr">
        <is>
          <t>Perfil rectangular negro 3/4" x 1 1/2" x 20 pies, pared 1.6 mm</t>
        </is>
      </c>
      <c r="E1048" s="4" t="inlineStr"/>
      <c r="F1048" s="3" t="inlineStr">
        <is>
          <t>unidad</t>
        </is>
      </c>
      <c r="G1048" s="3" t="inlineStr">
        <is>
          <t>Estructura</t>
        </is>
      </c>
      <c r="H1048" s="3" t="inlineStr">
        <is>
          <t>estandar</t>
        </is>
      </c>
      <c r="I1048" s="3" t="inlineStr">
        <is>
          <t>importado</t>
        </is>
      </c>
      <c r="J1048" s="5" t="n">
        <v>1</v>
      </c>
      <c r="K1048" s="6" t="n">
        <v>472.19</v>
      </c>
      <c r="L1048" s="6" t="n">
        <v>472.19</v>
      </c>
      <c r="M1048" s="6" t="n">
        <v>472.19</v>
      </c>
      <c r="N1048" s="3" t="inlineStr">
        <is>
          <t>Sí</t>
        </is>
      </c>
      <c r="O1048" s="6">
        <f>IF(K1048="","",IF(N1048="Sí",ROUND(K1048/1.18,2),K1048))</f>
        <v/>
      </c>
      <c r="P1048" s="3" t="inlineStr">
        <is>
          <t>2026-09-09</t>
        </is>
      </c>
      <c r="Q1048" s="4" t="inlineStr">
        <is>
          <t>Ferretería Ochoa (8A)</t>
        </is>
      </c>
    </row>
    <row r="1049">
      <c r="A1049" s="3" t="inlineStr">
        <is>
          <t>MAT-19-020</t>
        </is>
      </c>
      <c r="B1049" s="3" t="inlineStr">
        <is>
          <t>Materiales</t>
        </is>
      </c>
      <c r="C1049" s="3" t="inlineStr">
        <is>
          <t>Perfiles y tubos de acero</t>
        </is>
      </c>
      <c r="D1049" s="4" t="inlineStr">
        <is>
          <t>Perfil rectangular negro 2" x 1" x 20 pies, pared 1.2 mm</t>
        </is>
      </c>
      <c r="E1049" s="4" t="inlineStr"/>
      <c r="F1049" s="3" t="inlineStr">
        <is>
          <t>unidad</t>
        </is>
      </c>
      <c r="G1049" s="3" t="inlineStr">
        <is>
          <t>Estructura</t>
        </is>
      </c>
      <c r="H1049" s="3" t="inlineStr">
        <is>
          <t>estandar</t>
        </is>
      </c>
      <c r="I1049" s="3" t="inlineStr">
        <is>
          <t>importado</t>
        </is>
      </c>
      <c r="J1049" s="5" t="n">
        <v>1</v>
      </c>
      <c r="K1049" s="6" t="n">
        <v>542.15</v>
      </c>
      <c r="L1049" s="6" t="n">
        <v>542.15</v>
      </c>
      <c r="M1049" s="6" t="n">
        <v>542.15</v>
      </c>
      <c r="N1049" s="3" t="inlineStr">
        <is>
          <t>Sí</t>
        </is>
      </c>
      <c r="O1049" s="6">
        <f>IF(K1049="","",IF(N1049="Sí",ROUND(K1049/1.18,2),K1049))</f>
        <v/>
      </c>
      <c r="P1049" s="3" t="inlineStr">
        <is>
          <t>2026-09-09</t>
        </is>
      </c>
      <c r="Q1049" s="4" t="inlineStr">
        <is>
          <t>Ferretería Ochoa (8A)</t>
        </is>
      </c>
    </row>
    <row r="1050">
      <c r="A1050" s="3" t="inlineStr">
        <is>
          <t>MAT-19-021</t>
        </is>
      </c>
      <c r="B1050" s="3" t="inlineStr">
        <is>
          <t>Materiales</t>
        </is>
      </c>
      <c r="C1050" s="3" t="inlineStr">
        <is>
          <t>Perfiles y tubos de acero</t>
        </is>
      </c>
      <c r="D1050" s="4" t="inlineStr">
        <is>
          <t>Perfil rectangular negro 2" x 1" x 20 pies, pared 1.6 mm</t>
        </is>
      </c>
      <c r="E1050" s="4" t="inlineStr"/>
      <c r="F1050" s="3" t="inlineStr">
        <is>
          <t>unidad</t>
        </is>
      </c>
      <c r="G1050" s="3" t="inlineStr">
        <is>
          <t>Estructura</t>
        </is>
      </c>
      <c r="H1050" s="3" t="inlineStr">
        <is>
          <t>estandar</t>
        </is>
      </c>
      <c r="I1050" s="3" t="inlineStr">
        <is>
          <t>importado</t>
        </is>
      </c>
      <c r="J1050" s="5" t="n">
        <v>1</v>
      </c>
      <c r="K1050" s="6" t="n">
        <v>639.71</v>
      </c>
      <c r="L1050" s="6" t="n">
        <v>639.71</v>
      </c>
      <c r="M1050" s="6" t="n">
        <v>639.71</v>
      </c>
      <c r="N1050" s="3" t="inlineStr">
        <is>
          <t>Sí</t>
        </is>
      </c>
      <c r="O1050" s="6">
        <f>IF(K1050="","",IF(N1050="Sí",ROUND(K1050/1.18,2),K1050))</f>
        <v/>
      </c>
      <c r="P1050" s="3" t="inlineStr">
        <is>
          <t>2026-09-09</t>
        </is>
      </c>
      <c r="Q1050" s="4" t="inlineStr">
        <is>
          <t>Ferretería Ochoa (8A)</t>
        </is>
      </c>
    </row>
    <row r="1051">
      <c r="A1051" s="3" t="inlineStr">
        <is>
          <t>MAT-19-022</t>
        </is>
      </c>
      <c r="B1051" s="3" t="inlineStr">
        <is>
          <t>Materiales</t>
        </is>
      </c>
      <c r="C1051" s="3" t="inlineStr">
        <is>
          <t>Perfiles y tubos de acero</t>
        </is>
      </c>
      <c r="D1051" s="4" t="inlineStr">
        <is>
          <t>Perfil rectangular negro 2" x 3" x 20 pies, pared 1.6 mm</t>
        </is>
      </c>
      <c r="E1051" s="4" t="inlineStr"/>
      <c r="F1051" s="3" t="inlineStr">
        <is>
          <t>unidad</t>
        </is>
      </c>
      <c r="G1051" s="3" t="inlineStr">
        <is>
          <t>Estructura</t>
        </is>
      </c>
      <c r="H1051" s="3" t="inlineStr">
        <is>
          <t>estandar</t>
        </is>
      </c>
      <c r="I1051" s="3" t="inlineStr">
        <is>
          <t>importado</t>
        </is>
      </c>
      <c r="J1051" s="5" t="n">
        <v>1</v>
      </c>
      <c r="K1051" s="6" t="n">
        <v>1082.3</v>
      </c>
      <c r="L1051" s="6" t="n">
        <v>1082.3</v>
      </c>
      <c r="M1051" s="6" t="n">
        <v>1082.3</v>
      </c>
      <c r="N1051" s="3" t="inlineStr">
        <is>
          <t>Sí</t>
        </is>
      </c>
      <c r="O1051" s="6">
        <f>IF(K1051="","",IF(N1051="Sí",ROUND(K1051/1.18,2),K1051))</f>
        <v/>
      </c>
      <c r="P1051" s="3" t="inlineStr">
        <is>
          <t>2026-09-09</t>
        </is>
      </c>
      <c r="Q1051" s="4" t="inlineStr">
        <is>
          <t>Ferretería Ochoa (8A)</t>
        </is>
      </c>
    </row>
    <row r="1052">
      <c r="A1052" s="3" t="inlineStr">
        <is>
          <t>MAT-19-023</t>
        </is>
      </c>
      <c r="B1052" s="3" t="inlineStr">
        <is>
          <t>Materiales</t>
        </is>
      </c>
      <c r="C1052" s="3" t="inlineStr">
        <is>
          <t>Perfiles y tubos de acero</t>
        </is>
      </c>
      <c r="D1052" s="4" t="inlineStr">
        <is>
          <t>Perfil rectangular negro 2" x 4" x 20 pies, pared 1.6 mm</t>
        </is>
      </c>
      <c r="E1052" s="4" t="inlineStr"/>
      <c r="F1052" s="3" t="inlineStr">
        <is>
          <t>unidad</t>
        </is>
      </c>
      <c r="G1052" s="3" t="inlineStr">
        <is>
          <t>Estructura</t>
        </is>
      </c>
      <c r="H1052" s="3" t="inlineStr">
        <is>
          <t>estandar</t>
        </is>
      </c>
      <c r="I1052" s="3" t="inlineStr">
        <is>
          <t>importado</t>
        </is>
      </c>
      <c r="J1052" s="5" t="n">
        <v>1</v>
      </c>
      <c r="K1052" s="6" t="n">
        <v>1349.04</v>
      </c>
      <c r="L1052" s="6" t="n">
        <v>1349.04</v>
      </c>
      <c r="M1052" s="6" t="n">
        <v>1349.04</v>
      </c>
      <c r="N1052" s="3" t="inlineStr">
        <is>
          <t>Sí</t>
        </is>
      </c>
      <c r="O1052" s="6">
        <f>IF(K1052="","",IF(N1052="Sí",ROUND(K1052/1.18,2),K1052))</f>
        <v/>
      </c>
      <c r="P1052" s="3" t="inlineStr">
        <is>
          <t>2026-09-09</t>
        </is>
      </c>
      <c r="Q1052" s="4" t="inlineStr">
        <is>
          <t>Ferretería Ochoa (8A)</t>
        </is>
      </c>
    </row>
    <row r="1053">
      <c r="A1053" s="3" t="inlineStr">
        <is>
          <t>MAT-19-024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rectangular negro 3" x 1 1/2" x 20 pies, pared 1.6 mm</t>
        </is>
      </c>
      <c r="E1053" s="4" t="inlineStr"/>
      <c r="F1053" s="3" t="inlineStr">
        <is>
          <t>unidad</t>
        </is>
      </c>
      <c r="G1053" s="3" t="inlineStr">
        <is>
          <t>Estructura</t>
        </is>
      </c>
      <c r="H1053" s="3" t="inlineStr">
        <is>
          <t>estandar</t>
        </is>
      </c>
      <c r="I1053" s="3" t="inlineStr">
        <is>
          <t>importado</t>
        </is>
      </c>
      <c r="J1053" s="5" t="n">
        <v>1</v>
      </c>
      <c r="K1053" s="6" t="n">
        <v>973.59</v>
      </c>
      <c r="L1053" s="6" t="n">
        <v>973.59</v>
      </c>
      <c r="M1053" s="6" t="n">
        <v>973.59</v>
      </c>
      <c r="N1053" s="3" t="inlineStr">
        <is>
          <t>Sí</t>
        </is>
      </c>
      <c r="O1053" s="6">
        <f>IF(K1053="","",IF(N1053="Sí",ROUND(K1053/1.18,2),K1053))</f>
        <v/>
      </c>
      <c r="P1053" s="3" t="inlineStr">
        <is>
          <t>2026-09-09</t>
        </is>
      </c>
      <c r="Q1053" s="4" t="inlineStr">
        <is>
          <t>Ferretería Ochoa (8A)</t>
        </is>
      </c>
    </row>
    <row r="1054">
      <c r="A1054" s="3" t="inlineStr">
        <is>
          <t>MAT-19-025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rectangular galvanizado 3/4" x 1 1/2" x 20 pies, pared 1.2 mm</t>
        </is>
      </c>
      <c r="E1054" s="4" t="inlineStr"/>
      <c r="F1054" s="3" t="inlineStr">
        <is>
          <t>unidad</t>
        </is>
      </c>
      <c r="G1054" s="3" t="inlineStr">
        <is>
          <t>Estructura</t>
        </is>
      </c>
      <c r="H1054" s="3" t="inlineStr">
        <is>
          <t>estandar</t>
        </is>
      </c>
      <c r="I1054" s="3" t="inlineStr">
        <is>
          <t>importado</t>
        </is>
      </c>
      <c r="J1054" s="5" t="n">
        <v>1</v>
      </c>
      <c r="K1054" s="6" t="n">
        <v>492.8</v>
      </c>
      <c r="L1054" s="6" t="n">
        <v>492.8</v>
      </c>
      <c r="M1054" s="6" t="n">
        <v>492.8</v>
      </c>
      <c r="N1054" s="3" t="inlineStr">
        <is>
          <t>Sí</t>
        </is>
      </c>
      <c r="O1054" s="6">
        <f>IF(K1054="","",IF(N1054="Sí",ROUND(K1054/1.18,2),K1054))</f>
        <v/>
      </c>
      <c r="P1054" s="3" t="inlineStr">
        <is>
          <t>2026-09-09</t>
        </is>
      </c>
      <c r="Q1054" s="4" t="inlineStr">
        <is>
          <t>Ferretería Ochoa (8A)</t>
        </is>
      </c>
    </row>
    <row r="1055">
      <c r="A1055" s="3" t="inlineStr">
        <is>
          <t>MAT-19-026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rectangular galvanizado 3/4" x 1 1/2" x 20 pies, pared 1.5 mm</t>
        </is>
      </c>
      <c r="E1055" s="4" t="inlineStr"/>
      <c r="F1055" s="3" t="inlineStr">
        <is>
          <t>unidad</t>
        </is>
      </c>
      <c r="G1055" s="3" t="inlineStr">
        <is>
          <t>Estructura</t>
        </is>
      </c>
      <c r="H1055" s="3" t="inlineStr">
        <is>
          <t>estandar</t>
        </is>
      </c>
      <c r="I1055" s="3" t="inlineStr">
        <is>
          <t>importado</t>
        </is>
      </c>
      <c r="J1055" s="5" t="n">
        <v>1</v>
      </c>
      <c r="K1055" s="6" t="n">
        <v>626.88</v>
      </c>
      <c r="L1055" s="6" t="n">
        <v>626.88</v>
      </c>
      <c r="M1055" s="6" t="n">
        <v>626.88</v>
      </c>
      <c r="N1055" s="3" t="inlineStr">
        <is>
          <t>Sí</t>
        </is>
      </c>
      <c r="O1055" s="6">
        <f>IF(K1055="","",IF(N1055="Sí",ROUND(K1055/1.18,2),K1055))</f>
        <v/>
      </c>
      <c r="P1055" s="3" t="inlineStr">
        <is>
          <t>2026-09-09</t>
        </is>
      </c>
      <c r="Q1055" s="4" t="inlineStr">
        <is>
          <t>Ferretería Ochoa (8A)</t>
        </is>
      </c>
    </row>
    <row r="1056">
      <c r="A1056" s="3" t="inlineStr">
        <is>
          <t>MAT-19-027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rectangular galvanizado 2" x 1" x 20 pies, pared 1.2 mm</t>
        </is>
      </c>
      <c r="E1056" s="4" t="inlineStr"/>
      <c r="F1056" s="3" t="inlineStr">
        <is>
          <t>unidad</t>
        </is>
      </c>
      <c r="G1056" s="3" t="inlineStr">
        <is>
          <t>Estructura</t>
        </is>
      </c>
      <c r="H1056" s="3" t="inlineStr">
        <is>
          <t>estandar</t>
        </is>
      </c>
      <c r="I1056" s="3" t="inlineStr">
        <is>
          <t>importado</t>
        </is>
      </c>
      <c r="J1056" s="5" t="n">
        <v>1</v>
      </c>
      <c r="K1056" s="6" t="n">
        <v>646.73</v>
      </c>
      <c r="L1056" s="6" t="n">
        <v>646.73</v>
      </c>
      <c r="M1056" s="6" t="n">
        <v>646.73</v>
      </c>
      <c r="N1056" s="3" t="inlineStr">
        <is>
          <t>Sí</t>
        </is>
      </c>
      <c r="O1056" s="6">
        <f>IF(K1056="","",IF(N1056="Sí",ROUND(K1056/1.18,2),K1056))</f>
        <v/>
      </c>
      <c r="P1056" s="3" t="inlineStr">
        <is>
          <t>2026-09-09</t>
        </is>
      </c>
      <c r="Q1056" s="4" t="inlineStr">
        <is>
          <t>Ferretería Ochoa (8A)</t>
        </is>
      </c>
    </row>
    <row r="1057">
      <c r="A1057" s="3" t="inlineStr">
        <is>
          <t>MAT-19-028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rectangular galvanizado 2" x 1" x 20 pies, pared 1.6 mm</t>
        </is>
      </c>
      <c r="E1057" s="4" t="inlineStr"/>
      <c r="F1057" s="3" t="inlineStr">
        <is>
          <t>unidad</t>
        </is>
      </c>
      <c r="G1057" s="3" t="inlineStr">
        <is>
          <t>Estructura</t>
        </is>
      </c>
      <c r="H1057" s="3" t="inlineStr">
        <is>
          <t>estandar</t>
        </is>
      </c>
      <c r="I1057" s="3" t="inlineStr">
        <is>
          <t>importado</t>
        </is>
      </c>
      <c r="J1057" s="5" t="n">
        <v>1</v>
      </c>
      <c r="K1057" s="6" t="n">
        <v>812.22</v>
      </c>
      <c r="L1057" s="6" t="n">
        <v>812.22</v>
      </c>
      <c r="M1057" s="6" t="n">
        <v>812.22</v>
      </c>
      <c r="N1057" s="3" t="inlineStr">
        <is>
          <t>Sí</t>
        </is>
      </c>
      <c r="O1057" s="6">
        <f>IF(K1057="","",IF(N1057="Sí",ROUND(K1057/1.18,2),K1057))</f>
        <v/>
      </c>
      <c r="P1057" s="3" t="inlineStr">
        <is>
          <t>2026-09-09</t>
        </is>
      </c>
      <c r="Q1057" s="4" t="inlineStr">
        <is>
          <t>Ferretería Ochoa (8A)</t>
        </is>
      </c>
    </row>
    <row r="1058">
      <c r="A1058" s="3" t="inlineStr">
        <is>
          <t>MAT-19-029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rectangular galvanizado 2" x 3" x 20 pies, pared 1.6 mm</t>
        </is>
      </c>
      <c r="E1058" s="4" t="inlineStr"/>
      <c r="F1058" s="3" t="inlineStr">
        <is>
          <t>unidad</t>
        </is>
      </c>
      <c r="G1058" s="3" t="inlineStr">
        <is>
          <t>Estructura</t>
        </is>
      </c>
      <c r="H1058" s="3" t="inlineStr">
        <is>
          <t>estandar</t>
        </is>
      </c>
      <c r="I1058" s="3" t="inlineStr">
        <is>
          <t>importado</t>
        </is>
      </c>
      <c r="J1058" s="5" t="n">
        <v>1</v>
      </c>
      <c r="K1058" s="6" t="n">
        <v>1400.9</v>
      </c>
      <c r="L1058" s="6" t="n">
        <v>1400.9</v>
      </c>
      <c r="M1058" s="6" t="n">
        <v>1400.9</v>
      </c>
      <c r="N1058" s="3" t="inlineStr">
        <is>
          <t>Sí</t>
        </is>
      </c>
      <c r="O1058" s="6">
        <f>IF(K1058="","",IF(N1058="Sí",ROUND(K1058/1.18,2),K1058))</f>
        <v/>
      </c>
      <c r="P1058" s="3" t="inlineStr">
        <is>
          <t>2026-09-09</t>
        </is>
      </c>
      <c r="Q1058" s="4" t="inlineStr">
        <is>
          <t>Ferretería Ochoa (8A)</t>
        </is>
      </c>
    </row>
    <row r="1059">
      <c r="A1059" s="3" t="inlineStr">
        <is>
          <t>MAT-19-030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rectangular galvanizado 2" x 4" x 20 pies, pared 1.6 mm</t>
        </is>
      </c>
      <c r="E1059" s="4" t="inlineStr"/>
      <c r="F1059" s="3" t="inlineStr">
        <is>
          <t>unidad</t>
        </is>
      </c>
      <c r="G1059" s="3" t="inlineStr">
        <is>
          <t>Estructura</t>
        </is>
      </c>
      <c r="H1059" s="3" t="inlineStr">
        <is>
          <t>estandar</t>
        </is>
      </c>
      <c r="I1059" s="3" t="inlineStr">
        <is>
          <t>importado</t>
        </is>
      </c>
      <c r="J1059" s="5" t="n">
        <v>1</v>
      </c>
      <c r="K1059" s="6" t="n">
        <v>1695.85</v>
      </c>
      <c r="L1059" s="6" t="n">
        <v>1695.85</v>
      </c>
      <c r="M1059" s="6" t="n">
        <v>1695.85</v>
      </c>
      <c r="N1059" s="3" t="inlineStr">
        <is>
          <t>Sí</t>
        </is>
      </c>
      <c r="O1059" s="6">
        <f>IF(K1059="","",IF(N1059="Sí",ROUND(K1059/1.18,2),K1059))</f>
        <v/>
      </c>
      <c r="P1059" s="3" t="inlineStr">
        <is>
          <t>2026-09-09</t>
        </is>
      </c>
      <c r="Q1059" s="4" t="inlineStr">
        <is>
          <t>Ferretería Ochoa (8A)</t>
        </is>
      </c>
    </row>
    <row r="1060">
      <c r="A1060" s="3" t="inlineStr">
        <is>
          <t>MAT-19-031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Perfil rectangular galvanizado 3" x 1 1/2" x 20 pies, pared 1.6 mm</t>
        </is>
      </c>
      <c r="E1060" s="4" t="inlineStr"/>
      <c r="F1060" s="3" t="inlineStr">
        <is>
          <t>unidad</t>
        </is>
      </c>
      <c r="G1060" s="3" t="inlineStr">
        <is>
          <t>Estructura</t>
        </is>
      </c>
      <c r="H1060" s="3" t="inlineStr">
        <is>
          <t>estandar</t>
        </is>
      </c>
      <c r="I1060" s="3" t="inlineStr">
        <is>
          <t>importado</t>
        </is>
      </c>
      <c r="J1060" s="5" t="n">
        <v>1</v>
      </c>
      <c r="K1060" s="6" t="n">
        <v>1275.97</v>
      </c>
      <c r="L1060" s="6" t="n">
        <v>1275.97</v>
      </c>
      <c r="M1060" s="6" t="n">
        <v>1275.97</v>
      </c>
      <c r="N1060" s="3" t="inlineStr">
        <is>
          <t>Sí</t>
        </is>
      </c>
      <c r="O1060" s="6">
        <f>IF(K1060="","",IF(N1060="Sí",ROUND(K1060/1.18,2),K1060))</f>
        <v/>
      </c>
      <c r="P1060" s="3" t="inlineStr">
        <is>
          <t>2026-09-09</t>
        </is>
      </c>
      <c r="Q1060" s="4" t="inlineStr">
        <is>
          <t>Ferretería Ochoa (8A)</t>
        </is>
      </c>
    </row>
    <row r="1061">
      <c r="A1061" s="3" t="inlineStr">
        <is>
          <t>MAT-19-032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Tubo negro redondo 1/2" x 20 pies, pared 2.77 mm</t>
        </is>
      </c>
      <c r="E1061" s="4" t="inlineStr"/>
      <c r="F1061" s="3" t="inlineStr">
        <is>
          <t>unidad</t>
        </is>
      </c>
      <c r="G1061" s="3" t="inlineStr">
        <is>
          <t>Estructura</t>
        </is>
      </c>
      <c r="H1061" s="3" t="inlineStr">
        <is>
          <t>estandar</t>
        </is>
      </c>
      <c r="I1061" s="3" t="inlineStr">
        <is>
          <t>importado</t>
        </is>
      </c>
      <c r="J1061" s="5" t="n">
        <v>1</v>
      </c>
      <c r="K1061" s="6" t="n">
        <v>620.21</v>
      </c>
      <c r="L1061" s="6" t="n">
        <v>620.21</v>
      </c>
      <c r="M1061" s="6" t="n">
        <v>620.21</v>
      </c>
      <c r="N1061" s="3" t="inlineStr">
        <is>
          <t>Sí</t>
        </is>
      </c>
      <c r="O1061" s="6">
        <f>IF(K1061="","",IF(N1061="Sí",ROUND(K1061/1.18,2),K1061))</f>
        <v/>
      </c>
      <c r="P1061" s="3" t="inlineStr">
        <is>
          <t>2026-09-09</t>
        </is>
      </c>
      <c r="Q1061" s="4" t="inlineStr">
        <is>
          <t>Ferretería Ochoa (8A)</t>
        </is>
      </c>
    </row>
    <row r="1062">
      <c r="A1062" s="3" t="inlineStr">
        <is>
          <t>MAT-19-033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Tubo negro redondo 3/4" x 20 pies, pared 2.87 mm</t>
        </is>
      </c>
      <c r="E1062" s="4" t="inlineStr"/>
      <c r="F1062" s="3" t="inlineStr">
        <is>
          <t>unidad</t>
        </is>
      </c>
      <c r="G1062" s="3" t="inlineStr">
        <is>
          <t>Estructura</t>
        </is>
      </c>
      <c r="H1062" s="3" t="inlineStr">
        <is>
          <t>estandar</t>
        </is>
      </c>
      <c r="I1062" s="3" t="inlineStr">
        <is>
          <t>importado</t>
        </is>
      </c>
      <c r="J1062" s="5" t="n">
        <v>1</v>
      </c>
      <c r="K1062" s="6" t="n">
        <v>826</v>
      </c>
      <c r="L1062" s="6" t="n">
        <v>826</v>
      </c>
      <c r="M1062" s="6" t="n">
        <v>826</v>
      </c>
      <c r="N1062" s="3" t="inlineStr">
        <is>
          <t>Sí</t>
        </is>
      </c>
      <c r="O1062" s="6">
        <f>IF(K1062="","",IF(N1062="Sí",ROUND(K1062/1.18,2),K1062))</f>
        <v/>
      </c>
      <c r="P1062" s="3" t="inlineStr">
        <is>
          <t>2026-09-09</t>
        </is>
      </c>
      <c r="Q1062" s="4" t="inlineStr">
        <is>
          <t>Ferretería Ochoa (8A)</t>
        </is>
      </c>
    </row>
    <row r="1063">
      <c r="A1063" s="3" t="inlineStr">
        <is>
          <t>MAT-19-034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Tubo negro redondo 1" x 20 pies, pared 3.38 mm</t>
        </is>
      </c>
      <c r="E1063" s="4" t="inlineStr"/>
      <c r="F1063" s="3" t="inlineStr">
        <is>
          <t>unidad</t>
        </is>
      </c>
      <c r="G1063" s="3" t="inlineStr">
        <is>
          <t>Estructura</t>
        </is>
      </c>
      <c r="H1063" s="3" t="inlineStr">
        <is>
          <t>estandar</t>
        </is>
      </c>
      <c r="I1063" s="3" t="inlineStr">
        <is>
          <t>importado</t>
        </is>
      </c>
      <c r="J1063" s="5" t="n">
        <v>1</v>
      </c>
      <c r="K1063" s="6" t="n">
        <v>1206.29</v>
      </c>
      <c r="L1063" s="6" t="n">
        <v>1206.29</v>
      </c>
      <c r="M1063" s="6" t="n">
        <v>1206.29</v>
      </c>
      <c r="N1063" s="3" t="inlineStr">
        <is>
          <t>Sí</t>
        </is>
      </c>
      <c r="O1063" s="6">
        <f>IF(K1063="","",IF(N1063="Sí",ROUND(K1063/1.18,2),K1063))</f>
        <v/>
      </c>
      <c r="P1063" s="3" t="inlineStr">
        <is>
          <t>2026-09-09</t>
        </is>
      </c>
      <c r="Q1063" s="4" t="inlineStr">
        <is>
          <t>Ferretería Ochoa (8A)</t>
        </is>
      </c>
    </row>
    <row r="1064">
      <c r="A1064" s="3" t="inlineStr">
        <is>
          <t>MAT-19-035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Tubo negro redondo 1 1/4" x 20 pies, pared 3.56 mm</t>
        </is>
      </c>
      <c r="E1064" s="4" t="inlineStr"/>
      <c r="F1064" s="3" t="inlineStr">
        <is>
          <t>unidad</t>
        </is>
      </c>
      <c r="G1064" s="3" t="inlineStr">
        <is>
          <t>Estructura</t>
        </is>
      </c>
      <c r="H1064" s="3" t="inlineStr">
        <is>
          <t>estandar</t>
        </is>
      </c>
      <c r="I1064" s="3" t="inlineStr">
        <is>
          <t>importado</t>
        </is>
      </c>
      <c r="J1064" s="5" t="n">
        <v>1</v>
      </c>
      <c r="K1064" s="6" t="n">
        <v>1507.57</v>
      </c>
      <c r="L1064" s="6" t="n">
        <v>1507.57</v>
      </c>
      <c r="M1064" s="6" t="n">
        <v>1507.57</v>
      </c>
      <c r="N1064" s="3" t="inlineStr">
        <is>
          <t>Sí</t>
        </is>
      </c>
      <c r="O1064" s="6">
        <f>IF(K1064="","",IF(N1064="Sí",ROUND(K1064/1.18,2),K1064))</f>
        <v/>
      </c>
      <c r="P1064" s="3" t="inlineStr">
        <is>
          <t>2026-09-09</t>
        </is>
      </c>
      <c r="Q1064" s="4" t="inlineStr">
        <is>
          <t>Ferretería Ochoa (8A)</t>
        </is>
      </c>
    </row>
    <row r="1065">
      <c r="A1065" s="3" t="inlineStr">
        <is>
          <t>MAT-19-036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Tubo negro redondo 1 1/2" x 20 pies, pared 3.68 mm</t>
        </is>
      </c>
      <c r="E1065" s="4" t="inlineStr"/>
      <c r="F1065" s="3" t="inlineStr">
        <is>
          <t>unidad</t>
        </is>
      </c>
      <c r="G1065" s="3" t="inlineStr">
        <is>
          <t>Estructura</t>
        </is>
      </c>
      <c r="H1065" s="3" t="inlineStr">
        <is>
          <t>estandar</t>
        </is>
      </c>
      <c r="I1065" s="3" t="inlineStr">
        <is>
          <t>importado</t>
        </is>
      </c>
      <c r="J1065" s="5" t="n">
        <v>1</v>
      </c>
      <c r="K1065" s="6" t="n">
        <v>1952.51</v>
      </c>
      <c r="L1065" s="6" t="n">
        <v>1952.51</v>
      </c>
      <c r="M1065" s="6" t="n">
        <v>1952.51</v>
      </c>
      <c r="N1065" s="3" t="inlineStr">
        <is>
          <t>Sí</t>
        </is>
      </c>
      <c r="O1065" s="6">
        <f>IF(K1065="","",IF(N1065="Sí",ROUND(K1065/1.18,2),K1065))</f>
        <v/>
      </c>
      <c r="P1065" s="3" t="inlineStr">
        <is>
          <t>2026-09-09</t>
        </is>
      </c>
      <c r="Q1065" s="4" t="inlineStr">
        <is>
          <t>Ferretería Ochoa (8A)</t>
        </is>
      </c>
    </row>
    <row r="1066">
      <c r="A1066" s="3" t="inlineStr">
        <is>
          <t>MAT-19-037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Tubo negro redondo 2" x 20 pies, pared 3.91 mm</t>
        </is>
      </c>
      <c r="E1066" s="4" t="inlineStr"/>
      <c r="F1066" s="3" t="inlineStr">
        <is>
          <t>unidad</t>
        </is>
      </c>
      <c r="G1066" s="3" t="inlineStr">
        <is>
          <t>Estructura</t>
        </is>
      </c>
      <c r="H1066" s="3" t="inlineStr">
        <is>
          <t>estandar</t>
        </is>
      </c>
      <c r="I1066" s="3" t="inlineStr">
        <is>
          <t>importado</t>
        </is>
      </c>
      <c r="J1066" s="5" t="n">
        <v>1</v>
      </c>
      <c r="K1066" s="6" t="n">
        <v>2634.08</v>
      </c>
      <c r="L1066" s="6" t="n">
        <v>2634.08</v>
      </c>
      <c r="M1066" s="6" t="n">
        <v>2634.08</v>
      </c>
      <c r="N1066" s="3" t="inlineStr">
        <is>
          <t>Sí</t>
        </is>
      </c>
      <c r="O1066" s="6">
        <f>IF(K1066="","",IF(N1066="Sí",ROUND(K1066/1.18,2),K1066))</f>
        <v/>
      </c>
      <c r="P1066" s="3" t="inlineStr">
        <is>
          <t>2026-09-09</t>
        </is>
      </c>
      <c r="Q1066" s="4" t="inlineStr">
        <is>
          <t>Ferretería Ochoa (8A)</t>
        </is>
      </c>
    </row>
    <row r="1067">
      <c r="A1067" s="3" t="inlineStr">
        <is>
          <t>MAT-19-038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Tubo negro redondo 2 1/2" x 20 pies</t>
        </is>
      </c>
      <c r="E1067" s="4" t="inlineStr">
        <is>
          <t>La ficha no declara la pared</t>
        </is>
      </c>
      <c r="F1067" s="3" t="inlineStr">
        <is>
          <t>unidad</t>
        </is>
      </c>
      <c r="G1067" s="3" t="inlineStr">
        <is>
          <t>Estructura</t>
        </is>
      </c>
      <c r="H1067" s="3" t="inlineStr">
        <is>
          <t>estandar</t>
        </is>
      </c>
      <c r="I1067" s="3" t="inlineStr">
        <is>
          <t>importado</t>
        </is>
      </c>
      <c r="J1067" s="5" t="n">
        <v>1</v>
      </c>
      <c r="K1067" s="6" t="n">
        <v>4173.42</v>
      </c>
      <c r="L1067" s="6" t="n">
        <v>4173.42</v>
      </c>
      <c r="M1067" s="6" t="n">
        <v>4173.42</v>
      </c>
      <c r="N1067" s="3" t="inlineStr">
        <is>
          <t>Sí</t>
        </is>
      </c>
      <c r="O1067" s="6">
        <f>IF(K1067="","",IF(N1067="Sí",ROUND(K1067/1.18,2),K1067))</f>
        <v/>
      </c>
      <c r="P1067" s="3" t="inlineStr">
        <is>
          <t>2026-09-09</t>
        </is>
      </c>
      <c r="Q1067" s="4" t="inlineStr">
        <is>
          <t>Ferretería Ochoa (8A)</t>
        </is>
      </c>
    </row>
    <row r="1068">
      <c r="A1068" s="3" t="inlineStr">
        <is>
          <t>MAT-19-039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Tubo negro redondo 3" x 20 pies</t>
        </is>
      </c>
      <c r="E1068" s="4" t="inlineStr">
        <is>
          <t>La ficha no declara la pared</t>
        </is>
      </c>
      <c r="F1068" s="3" t="inlineStr">
        <is>
          <t>unidad</t>
        </is>
      </c>
      <c r="G1068" s="3" t="inlineStr">
        <is>
          <t>Estructura</t>
        </is>
      </c>
      <c r="H1068" s="3" t="inlineStr">
        <is>
          <t>estandar</t>
        </is>
      </c>
      <c r="I1068" s="3" t="inlineStr">
        <is>
          <t>importado</t>
        </is>
      </c>
      <c r="J1068" s="5" t="n">
        <v>1</v>
      </c>
      <c r="K1068" s="6" t="n">
        <v>5029.28</v>
      </c>
      <c r="L1068" s="6" t="n">
        <v>5029.28</v>
      </c>
      <c r="M1068" s="6" t="n">
        <v>5029.28</v>
      </c>
      <c r="N1068" s="3" t="inlineStr">
        <is>
          <t>Sí</t>
        </is>
      </c>
      <c r="O1068" s="6">
        <f>IF(K1068="","",IF(N1068="Sí",ROUND(K1068/1.18,2),K1068))</f>
        <v/>
      </c>
      <c r="P1068" s="3" t="inlineStr">
        <is>
          <t>2026-09-09</t>
        </is>
      </c>
      <c r="Q1068" s="4" t="inlineStr">
        <is>
          <t>Ferretería Ochoa (8A)</t>
        </is>
      </c>
    </row>
    <row r="1069">
      <c r="A1069" s="3" t="inlineStr">
        <is>
          <t>MAT-19-040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Tubo negro redondo 8" x 20 pies, pared 6 mm</t>
        </is>
      </c>
      <c r="E1069" s="4" t="inlineStr"/>
      <c r="F1069" s="3" t="inlineStr">
        <is>
          <t>unidad</t>
        </is>
      </c>
      <c r="G1069" s="3" t="inlineStr">
        <is>
          <t>Estructura</t>
        </is>
      </c>
      <c r="H1069" s="3" t="inlineStr">
        <is>
          <t>estandar</t>
        </is>
      </c>
      <c r="I1069" s="3" t="inlineStr">
        <is>
          <t>importado</t>
        </is>
      </c>
      <c r="J1069" s="5" t="n">
        <v>1</v>
      </c>
      <c r="K1069" s="6" t="n">
        <v>15250.64</v>
      </c>
      <c r="L1069" s="6" t="n">
        <v>15250.64</v>
      </c>
      <c r="M1069" s="6" t="n">
        <v>15250.64</v>
      </c>
      <c r="N1069" s="3" t="inlineStr">
        <is>
          <t>Sí</t>
        </is>
      </c>
      <c r="O1069" s="6">
        <f>IF(K1069="","",IF(N1069="Sí",ROUND(K1069/1.18,2),K1069))</f>
        <v/>
      </c>
      <c r="P1069" s="3" t="inlineStr">
        <is>
          <t>2026-09-09</t>
        </is>
      </c>
      <c r="Q1069" s="4" t="inlineStr">
        <is>
          <t>Ferretería Ochoa (8A)</t>
        </is>
      </c>
    </row>
    <row r="1070">
      <c r="A1070" s="3" t="inlineStr">
        <is>
          <t>MAT-19-041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Tubo negro redondo 8" x 20 pies, pared 6.35 mm</t>
        </is>
      </c>
      <c r="E1070" s="4" t="inlineStr"/>
      <c r="F1070" s="3" t="inlineStr">
        <is>
          <t>unidad</t>
        </is>
      </c>
      <c r="G1070" s="3" t="inlineStr">
        <is>
          <t>Estructura</t>
        </is>
      </c>
      <c r="H1070" s="3" t="inlineStr">
        <is>
          <t>estandar</t>
        </is>
      </c>
      <c r="I1070" s="3" t="inlineStr">
        <is>
          <t>importado</t>
        </is>
      </c>
      <c r="J1070" s="5" t="n">
        <v>1</v>
      </c>
      <c r="K1070" s="6" t="n">
        <v>11671.14</v>
      </c>
      <c r="L1070" s="6" t="n">
        <v>11671.14</v>
      </c>
      <c r="M1070" s="6" t="n">
        <v>11671.14</v>
      </c>
      <c r="N1070" s="3" t="inlineStr">
        <is>
          <t>Sí</t>
        </is>
      </c>
      <c r="O1070" s="6">
        <f>IF(K1070="","",IF(N1070="Sí",ROUND(K1070/1.18,2),K1070))</f>
        <v/>
      </c>
      <c r="P1070" s="3" t="inlineStr">
        <is>
          <t>2026-09-09</t>
        </is>
      </c>
      <c r="Q1070" s="4" t="inlineStr">
        <is>
          <t>Ferretería Ochoa (8A)</t>
        </is>
      </c>
    </row>
    <row r="1071">
      <c r="A1071" s="3" t="inlineStr">
        <is>
          <t>MAT-19-042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Tubo negro redondo 10" x 20 pies, pared 6.00 mm</t>
        </is>
      </c>
      <c r="E1071" s="4" t="inlineStr"/>
      <c r="F1071" s="3" t="inlineStr">
        <is>
          <t>unidad</t>
        </is>
      </c>
      <c r="G1071" s="3" t="inlineStr">
        <is>
          <t>Estructura</t>
        </is>
      </c>
      <c r="H1071" s="3" t="inlineStr">
        <is>
          <t>estandar</t>
        </is>
      </c>
      <c r="I1071" s="3" t="inlineStr">
        <is>
          <t>importado</t>
        </is>
      </c>
      <c r="J1071" s="5" t="n">
        <v>1</v>
      </c>
      <c r="K1071" s="6" t="n">
        <v>18313.02</v>
      </c>
      <c r="L1071" s="6" t="n">
        <v>18313.02</v>
      </c>
      <c r="M1071" s="6" t="n">
        <v>18313.02</v>
      </c>
      <c r="N1071" s="3" t="inlineStr">
        <is>
          <t>Sí</t>
        </is>
      </c>
      <c r="O1071" s="6">
        <f>IF(K1071="","",IF(N1071="Sí",ROUND(K1071/1.18,2),K1071))</f>
        <v/>
      </c>
      <c r="P1071" s="3" t="inlineStr">
        <is>
          <t>2026-09-09</t>
        </is>
      </c>
      <c r="Q1071" s="4" t="inlineStr">
        <is>
          <t>Ferretería Ochoa (8A)</t>
        </is>
      </c>
    </row>
    <row r="1072">
      <c r="A1072" s="3" t="inlineStr">
        <is>
          <t>MAT-19-043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Tubo negro redondo 14" x 20 pies, pared 6 mm</t>
        </is>
      </c>
      <c r="E1072" s="4" t="inlineStr"/>
      <c r="F1072" s="3" t="inlineStr">
        <is>
          <t>unidad</t>
        </is>
      </c>
      <c r="G1072" s="3" t="inlineStr">
        <is>
          <t>Estructura</t>
        </is>
      </c>
      <c r="H1072" s="3" t="inlineStr">
        <is>
          <t>estandar</t>
        </is>
      </c>
      <c r="I1072" s="3" t="inlineStr">
        <is>
          <t>importado</t>
        </is>
      </c>
      <c r="J1072" s="5" t="n">
        <v>1</v>
      </c>
      <c r="K1072" s="6" t="n">
        <v>27695.11</v>
      </c>
      <c r="L1072" s="6" t="n">
        <v>27695.11</v>
      </c>
      <c r="M1072" s="6" t="n">
        <v>27695.11</v>
      </c>
      <c r="N1072" s="3" t="inlineStr">
        <is>
          <t>Sí</t>
        </is>
      </c>
      <c r="O1072" s="6">
        <f>IF(K1072="","",IF(N1072="Sí",ROUND(K1072/1.18,2),K1072))</f>
        <v/>
      </c>
      <c r="P1072" s="3" t="inlineStr">
        <is>
          <t>2026-09-09</t>
        </is>
      </c>
      <c r="Q1072" s="4" t="inlineStr">
        <is>
          <t>Ferretería Ochoa (8A)</t>
        </is>
      </c>
    </row>
    <row r="1073">
      <c r="A1073" s="3" t="inlineStr">
        <is>
          <t>MAT-19-044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Tubo negro redondo 16" x 20 pies, pared 12.70 mm</t>
        </is>
      </c>
      <c r="E1073" s="4" t="inlineStr"/>
      <c r="F1073" s="3" t="inlineStr">
        <is>
          <t>unidad</t>
        </is>
      </c>
      <c r="G1073" s="3" t="inlineStr">
        <is>
          <t>Estructura</t>
        </is>
      </c>
      <c r="H1073" s="3" t="inlineStr">
        <is>
          <t>estandar</t>
        </is>
      </c>
      <c r="I1073" s="3" t="inlineStr">
        <is>
          <t>importado</t>
        </is>
      </c>
      <c r="J1073" s="5" t="n">
        <v>1</v>
      </c>
      <c r="K1073" s="6" t="n">
        <v>62026.36</v>
      </c>
      <c r="L1073" s="6" t="n">
        <v>62026.36</v>
      </c>
      <c r="M1073" s="6" t="n">
        <v>62026.36</v>
      </c>
      <c r="N1073" s="3" t="inlineStr">
        <is>
          <t>Sí</t>
        </is>
      </c>
      <c r="O1073" s="6">
        <f>IF(K1073="","",IF(N1073="Sí",ROUND(K1073/1.18,2),K1073))</f>
        <v/>
      </c>
      <c r="P1073" s="3" t="inlineStr">
        <is>
          <t>2026-09-09</t>
        </is>
      </c>
      <c r="Q1073" s="4" t="inlineStr">
        <is>
          <t>Ferretería Ochoa (8A)</t>
        </is>
      </c>
    </row>
    <row r="1074">
      <c r="A1074" s="3" t="inlineStr">
        <is>
          <t>MAT-19-045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Correa galvanizada tipo Z 6" x 1/16" x 20 pies</t>
        </is>
      </c>
      <c r="E1074" s="4" t="inlineStr"/>
      <c r="F1074" s="3" t="inlineStr">
        <is>
          <t>unidad</t>
        </is>
      </c>
      <c r="G1074" s="3" t="inlineStr">
        <is>
          <t>Techos</t>
        </is>
      </c>
      <c r="H1074" s="3" t="inlineStr">
        <is>
          <t>estandar</t>
        </is>
      </c>
      <c r="I1074" s="3" t="inlineStr">
        <is>
          <t>importado</t>
        </is>
      </c>
      <c r="J1074" s="5" t="n">
        <v>1</v>
      </c>
      <c r="K1074" s="6" t="n">
        <v>2658</v>
      </c>
      <c r="L1074" s="6" t="n">
        <v>2658</v>
      </c>
      <c r="M1074" s="6" t="n">
        <v>2658</v>
      </c>
      <c r="N1074" s="3" t="inlineStr">
        <is>
          <t>Sí</t>
        </is>
      </c>
      <c r="O1074" s="6">
        <f>IF(K1074="","",IF(N1074="Sí",ROUND(K1074/1.18,2),K1074))</f>
        <v/>
      </c>
      <c r="P1074" s="3" t="inlineStr">
        <is>
          <t>2026-09-09</t>
        </is>
      </c>
      <c r="Q1074" s="4" t="inlineStr">
        <is>
          <t>Ferretería Ochoa (8A)</t>
        </is>
      </c>
    </row>
    <row r="1075">
      <c r="A1075" s="3" t="inlineStr">
        <is>
          <t>MAT-19-046</t>
        </is>
      </c>
      <c r="B1075" s="3" t="inlineStr">
        <is>
          <t>Materiales</t>
        </is>
      </c>
      <c r="C1075" s="3" t="inlineStr">
        <is>
          <t>Perfiles y tubos de acero</t>
        </is>
      </c>
      <c r="D1075" s="4" t="inlineStr">
        <is>
          <t>Correa galvanizada tipo Z 8" x 1/16" x 20 pies</t>
        </is>
      </c>
      <c r="E1075" s="4" t="inlineStr"/>
      <c r="F1075" s="3" t="inlineStr">
        <is>
          <t>unidad</t>
        </is>
      </c>
      <c r="G1075" s="3" t="inlineStr">
        <is>
          <t>Techos</t>
        </is>
      </c>
      <c r="H1075" s="3" t="inlineStr">
        <is>
          <t>estandar</t>
        </is>
      </c>
      <c r="I1075" s="3" t="inlineStr">
        <is>
          <t>importado</t>
        </is>
      </c>
      <c r="J1075" s="5" t="n">
        <v>1</v>
      </c>
      <c r="K1075" s="6" t="n">
        <v>3039.2</v>
      </c>
      <c r="L1075" s="6" t="n">
        <v>3039.2</v>
      </c>
      <c r="M1075" s="6" t="n">
        <v>3039.2</v>
      </c>
      <c r="N1075" s="3" t="inlineStr">
        <is>
          <t>Sí</t>
        </is>
      </c>
      <c r="O1075" s="6">
        <f>IF(K1075="","",IF(N1075="Sí",ROUND(K1075/1.18,2),K1075))</f>
        <v/>
      </c>
      <c r="P1075" s="3" t="inlineStr">
        <is>
          <t>2026-09-09</t>
        </is>
      </c>
      <c r="Q1075" s="4" t="inlineStr">
        <is>
          <t>Ferretería Ochoa (8A)</t>
        </is>
      </c>
    </row>
    <row r="1076">
      <c r="A1076" s="3" t="inlineStr">
        <is>
          <t>MAT-20-001</t>
        </is>
      </c>
      <c r="B1076" s="3" t="inlineStr">
        <is>
          <t>Materiales</t>
        </is>
      </c>
      <c r="C1076" s="3" t="inlineStr">
        <is>
          <t>Angulares, planchuelas y barras</t>
        </is>
      </c>
      <c r="D1076" s="4" t="inlineStr">
        <is>
          <t>Angular de hierro negro 3/4" x 1/8" x 20 pies</t>
        </is>
      </c>
      <c r="E1076" s="4" t="inlineStr"/>
      <c r="F1076" s="3" t="inlineStr">
        <is>
          <t>unidad</t>
        </is>
      </c>
      <c r="G1076" s="3" t="inlineStr">
        <is>
          <t>Estructura</t>
        </is>
      </c>
      <c r="H1076" s="3" t="inlineStr">
        <is>
          <t>estandar</t>
        </is>
      </c>
      <c r="I1076" s="3" t="inlineStr">
        <is>
          <t>importado</t>
        </is>
      </c>
      <c r="J1076" s="5" t="n">
        <v>1</v>
      </c>
      <c r="K1076" s="6" t="n">
        <v>449.99</v>
      </c>
      <c r="L1076" s="6" t="n">
        <v>449.99</v>
      </c>
      <c r="M1076" s="6" t="n">
        <v>449.99</v>
      </c>
      <c r="N1076" s="3" t="inlineStr">
        <is>
          <t>Sí</t>
        </is>
      </c>
      <c r="O1076" s="6">
        <f>IF(K1076="","",IF(N1076="Sí",ROUND(K1076/1.18,2),K1076))</f>
        <v/>
      </c>
      <c r="P1076" s="3" t="inlineStr">
        <is>
          <t>2026-09-09</t>
        </is>
      </c>
      <c r="Q1076" s="4" t="inlineStr">
        <is>
          <t>Ferretería Ochoa (8A)</t>
        </is>
      </c>
    </row>
    <row r="1077">
      <c r="A1077" s="3" t="inlineStr">
        <is>
          <t>MAT-20-002</t>
        </is>
      </c>
      <c r="B1077" s="3" t="inlineStr">
        <is>
          <t>Materiales</t>
        </is>
      </c>
      <c r="C1077" s="3" t="inlineStr">
        <is>
          <t>Angulares, planchuelas y barras</t>
        </is>
      </c>
      <c r="D1077" s="4" t="inlineStr">
        <is>
          <t>Angular de hierro negro 1" x 1/8" x 20 pies</t>
        </is>
      </c>
      <c r="E1077" s="4" t="inlineStr"/>
      <c r="F1077" s="3" t="inlineStr">
        <is>
          <t>unidad</t>
        </is>
      </c>
      <c r="G1077" s="3" t="inlineStr">
        <is>
          <t>Estructura</t>
        </is>
      </c>
      <c r="H1077" s="3" t="inlineStr">
        <is>
          <t>estandar</t>
        </is>
      </c>
      <c r="I1077" s="3" t="inlineStr">
        <is>
          <t>importado</t>
        </is>
      </c>
      <c r="J1077" s="5" t="n">
        <v>2</v>
      </c>
      <c r="K1077" s="6" t="n">
        <v>622.2</v>
      </c>
      <c r="L1077" s="6" t="n">
        <v>560</v>
      </c>
      <c r="M1077" s="6" t="n">
        <v>684.4</v>
      </c>
      <c r="N1077" s="3" t="inlineStr">
        <is>
          <t>Sí</t>
        </is>
      </c>
      <c r="O1077" s="6">
        <f>IF(K1077="","",IF(N1077="Sí",ROUND(K1077/1.18,2),K1077))</f>
        <v/>
      </c>
      <c r="P1077" s="3" t="inlineStr">
        <is>
          <t>2026-09-09</t>
        </is>
      </c>
      <c r="Q1077" s="4" t="inlineStr">
        <is>
          <t>Ferretería MC · Ferretería Ochoa (8A)</t>
        </is>
      </c>
    </row>
    <row r="1078">
      <c r="A1078" s="3" t="inlineStr">
        <is>
          <t>MAT-20-003</t>
        </is>
      </c>
      <c r="B1078" s="3" t="inlineStr">
        <is>
          <t>Materiales</t>
        </is>
      </c>
      <c r="C1078" s="3" t="inlineStr">
        <is>
          <t>Angulares, planchuelas y barras</t>
        </is>
      </c>
      <c r="D1078" s="4" t="inlineStr">
        <is>
          <t>Angular de hierro negro 1" x 3/16" x 20 pies</t>
        </is>
      </c>
      <c r="E1078" s="4" t="inlineStr"/>
      <c r="F1078" s="3" t="inlineStr">
        <is>
          <t>unidad</t>
        </is>
      </c>
      <c r="G1078" s="3" t="inlineStr">
        <is>
          <t>Estructura</t>
        </is>
      </c>
      <c r="H1078" s="3" t="inlineStr">
        <is>
          <t>estandar</t>
        </is>
      </c>
      <c r="I1078" s="3" t="inlineStr">
        <is>
          <t>importado</t>
        </is>
      </c>
      <c r="J1078" s="5" t="n">
        <v>2</v>
      </c>
      <c r="K1078" s="6" t="n">
        <v>918.71</v>
      </c>
      <c r="L1078" s="6" t="n">
        <v>812.01</v>
      </c>
      <c r="M1078" s="6" t="n">
        <v>1025.42</v>
      </c>
      <c r="N1078" s="3" t="inlineStr">
        <is>
          <t>Sí</t>
        </is>
      </c>
      <c r="O1078" s="6">
        <f>IF(K1078="","",IF(N1078="Sí",ROUND(K1078/1.18,2),K1078))</f>
        <v/>
      </c>
      <c r="P1078" s="3" t="inlineStr">
        <is>
          <t>2026-09-09</t>
        </is>
      </c>
      <c r="Q1078" s="4" t="inlineStr">
        <is>
          <t>Ferretería MC · Ferretería Ochoa (8A)</t>
        </is>
      </c>
    </row>
    <row r="1079">
      <c r="A1079" s="3" t="inlineStr">
        <is>
          <t>MAT-20-004</t>
        </is>
      </c>
      <c r="B1079" s="3" t="inlineStr">
        <is>
          <t>Materiales</t>
        </is>
      </c>
      <c r="C1079" s="3" t="inlineStr">
        <is>
          <t>Angulares, planchuelas y barras</t>
        </is>
      </c>
      <c r="D1079" s="4" t="inlineStr">
        <is>
          <t>Angular de hierro negro 1" x 1/4" x 20 pies</t>
        </is>
      </c>
      <c r="E1079" s="4" t="inlineStr"/>
      <c r="F1079" s="3" t="inlineStr">
        <is>
          <t>unidad</t>
        </is>
      </c>
      <c r="G1079" s="3" t="inlineStr">
        <is>
          <t>Estructura</t>
        </is>
      </c>
      <c r="H1079" s="3" t="inlineStr">
        <is>
          <t>estandar</t>
        </is>
      </c>
      <c r="I1079" s="3" t="inlineStr">
        <is>
          <t>importado</t>
        </is>
      </c>
      <c r="J1079" s="5" t="n">
        <v>1</v>
      </c>
      <c r="K1079" s="6" t="n">
        <v>1163.48</v>
      </c>
      <c r="L1079" s="6" t="n">
        <v>1163.48</v>
      </c>
      <c r="M1079" s="6" t="n">
        <v>1163.48</v>
      </c>
      <c r="N1079" s="3" t="inlineStr">
        <is>
          <t>Sí</t>
        </is>
      </c>
      <c r="O1079" s="6">
        <f>IF(K1079="","",IF(N1079="Sí",ROUND(K1079/1.18,2),K1079))</f>
        <v/>
      </c>
      <c r="P1079" s="3" t="inlineStr">
        <is>
          <t>2026-09-09</t>
        </is>
      </c>
      <c r="Q1079" s="4" t="inlineStr">
        <is>
          <t>Ferretería Ochoa (8A)</t>
        </is>
      </c>
    </row>
    <row r="1080">
      <c r="A1080" s="3" t="inlineStr">
        <is>
          <t>MAT-20-005</t>
        </is>
      </c>
      <c r="B1080" s="3" t="inlineStr">
        <is>
          <t>Materiales</t>
        </is>
      </c>
      <c r="C1080" s="3" t="inlineStr">
        <is>
          <t>Angulares, planchuelas y barras</t>
        </is>
      </c>
      <c r="D1080" s="4" t="inlineStr">
        <is>
          <t>Angular de hierro negro 1 1/4" x 1/8" x 20 pies</t>
        </is>
      </c>
      <c r="E1080" s="4" t="inlineStr"/>
      <c r="F1080" s="3" t="inlineStr">
        <is>
          <t>unidad</t>
        </is>
      </c>
      <c r="G1080" s="3" t="inlineStr">
        <is>
          <t>Estructura</t>
        </is>
      </c>
      <c r="H1080" s="3" t="inlineStr">
        <is>
          <t>estandar</t>
        </is>
      </c>
      <c r="I1080" s="3" t="inlineStr">
        <is>
          <t>importado</t>
        </is>
      </c>
      <c r="J1080" s="5" t="n">
        <v>1</v>
      </c>
      <c r="K1080" s="6" t="n">
        <v>781</v>
      </c>
      <c r="L1080" s="6" t="n">
        <v>781</v>
      </c>
      <c r="M1080" s="6" t="n">
        <v>781</v>
      </c>
      <c r="N1080" s="3" t="inlineStr">
        <is>
          <t>Sí</t>
        </is>
      </c>
      <c r="O1080" s="6">
        <f>IF(K1080="","",IF(N1080="Sí",ROUND(K1080/1.18,2),K1080))</f>
        <v/>
      </c>
      <c r="P1080" s="3" t="inlineStr">
        <is>
          <t>2026-09-09</t>
        </is>
      </c>
      <c r="Q1080" s="4" t="inlineStr">
        <is>
          <t>Ferretería Ochoa (8A)</t>
        </is>
      </c>
    </row>
    <row r="1081">
      <c r="A1081" s="3" t="inlineStr">
        <is>
          <t>MAT-20-006</t>
        </is>
      </c>
      <c r="B1081" s="3" t="inlineStr">
        <is>
          <t>Materiales</t>
        </is>
      </c>
      <c r="C1081" s="3" t="inlineStr">
        <is>
          <t>Angulares, planchuelas y barras</t>
        </is>
      </c>
      <c r="D1081" s="4" t="inlineStr">
        <is>
          <t>Angular de hierro negro 1 1/4" x 3/16" x 20 pies</t>
        </is>
      </c>
      <c r="E1081" s="4" t="inlineStr"/>
      <c r="F1081" s="3" t="inlineStr">
        <is>
          <t>unidad</t>
        </is>
      </c>
      <c r="G1081" s="3" t="inlineStr">
        <is>
          <t>Estructura</t>
        </is>
      </c>
      <c r="H1081" s="3" t="inlineStr">
        <is>
          <t>estandar</t>
        </is>
      </c>
      <c r="I1081" s="3" t="inlineStr">
        <is>
          <t>importado</t>
        </is>
      </c>
      <c r="J1081" s="5" t="n">
        <v>2</v>
      </c>
      <c r="K1081" s="6" t="n">
        <v>1115</v>
      </c>
      <c r="L1081" s="6" t="n">
        <v>1036</v>
      </c>
      <c r="M1081" s="6" t="n">
        <v>1193.99</v>
      </c>
      <c r="N1081" s="3" t="inlineStr">
        <is>
          <t>Sí</t>
        </is>
      </c>
      <c r="O1081" s="6">
        <f>IF(K1081="","",IF(N1081="Sí",ROUND(K1081/1.18,2),K1081))</f>
        <v/>
      </c>
      <c r="P1081" s="3" t="inlineStr">
        <is>
          <t>2026-09-09</t>
        </is>
      </c>
      <c r="Q1081" s="4" t="inlineStr">
        <is>
          <t>Ferretería MC · Ferretería Ochoa (8A)</t>
        </is>
      </c>
    </row>
    <row r="1082">
      <c r="A1082" s="3" t="inlineStr">
        <is>
          <t>MAT-20-007</t>
        </is>
      </c>
      <c r="B1082" s="3" t="inlineStr">
        <is>
          <t>Materiales</t>
        </is>
      </c>
      <c r="C1082" s="3" t="inlineStr">
        <is>
          <t>Angulares, planchuelas y barras</t>
        </is>
      </c>
      <c r="D1082" s="4" t="inlineStr">
        <is>
          <t>Angular de hierro negro 1 1/4" x 1/4" x 20 pies</t>
        </is>
      </c>
      <c r="E1082" s="4" t="inlineStr"/>
      <c r="F1082" s="3" t="inlineStr">
        <is>
          <t>unidad</t>
        </is>
      </c>
      <c r="G1082" s="3" t="inlineStr">
        <is>
          <t>Estructura</t>
        </is>
      </c>
      <c r="H1082" s="3" t="inlineStr">
        <is>
          <t>estandar</t>
        </is>
      </c>
      <c r="I1082" s="3" t="inlineStr">
        <is>
          <t>importado</t>
        </is>
      </c>
      <c r="J1082" s="5" t="n">
        <v>1</v>
      </c>
      <c r="K1082" s="6" t="n">
        <v>1344</v>
      </c>
      <c r="L1082" s="6" t="n">
        <v>1344</v>
      </c>
      <c r="M1082" s="6" t="n">
        <v>1344</v>
      </c>
      <c r="N1082" s="3" t="inlineStr">
        <is>
          <t>Sí</t>
        </is>
      </c>
      <c r="O1082" s="6">
        <f>IF(K1082="","",IF(N1082="Sí",ROUND(K1082/1.18,2),K1082))</f>
        <v/>
      </c>
      <c r="P1082" s="3" t="inlineStr">
        <is>
          <t>2026-09-09</t>
        </is>
      </c>
      <c r="Q1082" s="4" t="inlineStr">
        <is>
          <t>Ferretería Ochoa (8A)</t>
        </is>
      </c>
    </row>
    <row r="1083">
      <c r="A1083" s="3" t="inlineStr">
        <is>
          <t>MAT-20-008</t>
        </is>
      </c>
      <c r="B1083" s="3" t="inlineStr">
        <is>
          <t>Materiales</t>
        </is>
      </c>
      <c r="C1083" s="3" t="inlineStr">
        <is>
          <t>Angulares, planchuelas y barras</t>
        </is>
      </c>
      <c r="D1083" s="4" t="inlineStr">
        <is>
          <t>Angular de hierro negro 1 1/2" x 3/16" x 20 pies</t>
        </is>
      </c>
      <c r="E1083" s="4" t="inlineStr"/>
      <c r="F1083" s="3" t="inlineStr">
        <is>
          <t>unidad</t>
        </is>
      </c>
      <c r="G1083" s="3" t="inlineStr">
        <is>
          <t>Estructura</t>
        </is>
      </c>
      <c r="H1083" s="3" t="inlineStr">
        <is>
          <t>estandar</t>
        </is>
      </c>
      <c r="I1083" s="3" t="inlineStr">
        <is>
          <t>importado</t>
        </is>
      </c>
      <c r="J1083" s="5" t="n">
        <v>2</v>
      </c>
      <c r="K1083" s="6" t="n">
        <v>1477.83</v>
      </c>
      <c r="L1083" s="6" t="n">
        <v>1260</v>
      </c>
      <c r="M1083" s="6" t="n">
        <v>1695.66</v>
      </c>
      <c r="N1083" s="3" t="inlineStr">
        <is>
          <t>Sí</t>
        </is>
      </c>
      <c r="O1083" s="6">
        <f>IF(K1083="","",IF(N1083="Sí",ROUND(K1083/1.18,2),K1083))</f>
        <v/>
      </c>
      <c r="P1083" s="3" t="inlineStr">
        <is>
          <t>2026-09-09</t>
        </is>
      </c>
      <c r="Q1083" s="4" t="inlineStr">
        <is>
          <t>Ferretería MC · Ferretería Ochoa (8A)</t>
        </is>
      </c>
    </row>
    <row r="1084">
      <c r="A1084" s="3" t="inlineStr">
        <is>
          <t>MAT-20-009</t>
        </is>
      </c>
      <c r="B1084" s="3" t="inlineStr">
        <is>
          <t>Materiales</t>
        </is>
      </c>
      <c r="C1084" s="3" t="inlineStr">
        <is>
          <t>Angulares, planchuelas y barras</t>
        </is>
      </c>
      <c r="D1084" s="4" t="inlineStr">
        <is>
          <t>Angular de hierro negro 1 1/2" x 1/4" x 20 pies</t>
        </is>
      </c>
      <c r="E1084" s="4" t="inlineStr"/>
      <c r="F1084" s="3" t="inlineStr">
        <is>
          <t>unidad</t>
        </is>
      </c>
      <c r="G1084" s="3" t="inlineStr">
        <is>
          <t>Estructura</t>
        </is>
      </c>
      <c r="H1084" s="3" t="inlineStr">
        <is>
          <t>estandar</t>
        </is>
      </c>
      <c r="I1084" s="3" t="inlineStr">
        <is>
          <t>importado</t>
        </is>
      </c>
      <c r="J1084" s="5" t="n">
        <v>2</v>
      </c>
      <c r="K1084" s="6" t="n">
        <v>1820.82</v>
      </c>
      <c r="L1084" s="6" t="n">
        <v>1638.01</v>
      </c>
      <c r="M1084" s="6" t="n">
        <v>2003.64</v>
      </c>
      <c r="N1084" s="3" t="inlineStr">
        <is>
          <t>Sí</t>
        </is>
      </c>
      <c r="O1084" s="6">
        <f>IF(K1084="","",IF(N1084="Sí",ROUND(K1084/1.18,2),K1084))</f>
        <v/>
      </c>
      <c r="P1084" s="3" t="inlineStr">
        <is>
          <t>2026-09-09</t>
        </is>
      </c>
      <c r="Q1084" s="4" t="inlineStr">
        <is>
          <t>Ferretería MC · Ferretería Ochoa (8A)</t>
        </is>
      </c>
    </row>
    <row r="1085">
      <c r="A1085" s="3" t="inlineStr">
        <is>
          <t>MAT-20-010</t>
        </is>
      </c>
      <c r="B1085" s="3" t="inlineStr">
        <is>
          <t>Materiales</t>
        </is>
      </c>
      <c r="C1085" s="3" t="inlineStr">
        <is>
          <t>Angulares, planchuelas y barras</t>
        </is>
      </c>
      <c r="D1085" s="4" t="inlineStr">
        <is>
          <t>Angular de hierro negro 2" x 1/8" x 20 pies</t>
        </is>
      </c>
      <c r="E1085" s="4" t="inlineStr"/>
      <c r="F1085" s="3" t="inlineStr">
        <is>
          <t>unidad</t>
        </is>
      </c>
      <c r="G1085" s="3" t="inlineStr">
        <is>
          <t>Estructura</t>
        </is>
      </c>
      <c r="H1085" s="3" t="inlineStr">
        <is>
          <t>estandar</t>
        </is>
      </c>
      <c r="I1085" s="3" t="inlineStr">
        <is>
          <t>importado</t>
        </is>
      </c>
      <c r="J1085" s="5" t="n">
        <v>2</v>
      </c>
      <c r="K1085" s="6" t="n">
        <v>1195.82</v>
      </c>
      <c r="L1085" s="6" t="n">
        <v>1155</v>
      </c>
      <c r="M1085" s="6" t="n">
        <v>1236.64</v>
      </c>
      <c r="N1085" s="3" t="inlineStr">
        <is>
          <t>Sí</t>
        </is>
      </c>
      <c r="O1085" s="6">
        <f>IF(K1085="","",IF(N1085="Sí",ROUND(K1085/1.18,2),K1085))</f>
        <v/>
      </c>
      <c r="P1085" s="3" t="inlineStr">
        <is>
          <t>2026-09-09</t>
        </is>
      </c>
      <c r="Q1085" s="4" t="inlineStr">
        <is>
          <t>Ferretería MC · Ferretería Ochoa (8A)</t>
        </is>
      </c>
    </row>
    <row r="1086">
      <c r="A1086" s="3" t="inlineStr">
        <is>
          <t>MAT-20-011</t>
        </is>
      </c>
      <c r="B1086" s="3" t="inlineStr">
        <is>
          <t>Materiales</t>
        </is>
      </c>
      <c r="C1086" s="3" t="inlineStr">
        <is>
          <t>Angulares, planchuelas y barras</t>
        </is>
      </c>
      <c r="D1086" s="4" t="inlineStr">
        <is>
          <t>Angular de hierro negro 2" x 3/16" x 20 pies</t>
        </is>
      </c>
      <c r="E1086" s="4" t="inlineStr"/>
      <c r="F1086" s="3" t="inlineStr">
        <is>
          <t>unidad</t>
        </is>
      </c>
      <c r="G1086" s="3" t="inlineStr">
        <is>
          <t>Estructura</t>
        </is>
      </c>
      <c r="H1086" s="3" t="inlineStr">
        <is>
          <t>estandar</t>
        </is>
      </c>
      <c r="I1086" s="3" t="inlineStr">
        <is>
          <t>importado</t>
        </is>
      </c>
      <c r="J1086" s="5" t="n">
        <v>2</v>
      </c>
      <c r="K1086" s="6" t="n">
        <v>2016.89</v>
      </c>
      <c r="L1086" s="6" t="n">
        <v>1708</v>
      </c>
      <c r="M1086" s="6" t="n">
        <v>2325.78</v>
      </c>
      <c r="N1086" s="3" t="inlineStr">
        <is>
          <t>Sí</t>
        </is>
      </c>
      <c r="O1086" s="6">
        <f>IF(K1086="","",IF(N1086="Sí",ROUND(K1086/1.18,2),K1086))</f>
        <v/>
      </c>
      <c r="P1086" s="3" t="inlineStr">
        <is>
          <t>2026-09-09</t>
        </is>
      </c>
      <c r="Q1086" s="4" t="inlineStr">
        <is>
          <t>Ferretería MC · Ferretería Ochoa (8A)</t>
        </is>
      </c>
    </row>
    <row r="1087">
      <c r="A1087" s="3" t="inlineStr">
        <is>
          <t>MAT-20-012</t>
        </is>
      </c>
      <c r="B1087" s="3" t="inlineStr">
        <is>
          <t>Materiales</t>
        </is>
      </c>
      <c r="C1087" s="3" t="inlineStr">
        <is>
          <t>Angulares, planchuelas y barras</t>
        </is>
      </c>
      <c r="D1087" s="4" t="inlineStr">
        <is>
          <t>Angular de hierro negro 2" x 1/4" x 20 pies</t>
        </is>
      </c>
      <c r="E1087" s="4" t="inlineStr"/>
      <c r="F1087" s="3" t="inlineStr">
        <is>
          <t>unidad</t>
        </is>
      </c>
      <c r="G1087" s="3" t="inlineStr">
        <is>
          <t>Estructura</t>
        </is>
      </c>
      <c r="H1087" s="3" t="inlineStr">
        <is>
          <t>estandar</t>
        </is>
      </c>
      <c r="I1087" s="3" t="inlineStr">
        <is>
          <t>importado</t>
        </is>
      </c>
      <c r="J1087" s="5" t="n">
        <v>2</v>
      </c>
      <c r="K1087" s="6" t="n">
        <v>2660.36</v>
      </c>
      <c r="L1087" s="6" t="n">
        <v>2324.69</v>
      </c>
      <c r="M1087" s="6" t="n">
        <v>2996.02</v>
      </c>
      <c r="N1087" s="3" t="inlineStr">
        <is>
          <t>Sí</t>
        </is>
      </c>
      <c r="O1087" s="6">
        <f>IF(K1087="","",IF(N1087="Sí",ROUND(K1087/1.18,2),K1087))</f>
        <v/>
      </c>
      <c r="P1087" s="3" t="inlineStr">
        <is>
          <t>2026-09-09</t>
        </is>
      </c>
      <c r="Q1087" s="4" t="inlineStr">
        <is>
          <t>Ferretería MC · Ferretería Ochoa (8A)</t>
        </is>
      </c>
    </row>
    <row r="1088">
      <c r="A1088" s="3" t="inlineStr">
        <is>
          <t>MAT-20-013</t>
        </is>
      </c>
      <c r="B1088" s="3" t="inlineStr">
        <is>
          <t>Materiales</t>
        </is>
      </c>
      <c r="C1088" s="3" t="inlineStr">
        <is>
          <t>Angulares, planchuelas y barras</t>
        </is>
      </c>
      <c r="D1088" s="4" t="inlineStr">
        <is>
          <t>Angular de hierro negro 2" x 3/8" x 20 pies</t>
        </is>
      </c>
      <c r="E1088" s="4" t="inlineStr"/>
      <c r="F1088" s="3" t="inlineStr">
        <is>
          <t>unidad</t>
        </is>
      </c>
      <c r="G1088" s="3" t="inlineStr">
        <is>
          <t>Estructura</t>
        </is>
      </c>
      <c r="H1088" s="3" t="inlineStr">
        <is>
          <t>estandar</t>
        </is>
      </c>
      <c r="I1088" s="3" t="inlineStr">
        <is>
          <t>importado</t>
        </is>
      </c>
      <c r="J1088" s="5" t="n">
        <v>1</v>
      </c>
      <c r="K1088" s="6" t="n">
        <v>3290.01</v>
      </c>
      <c r="L1088" s="6" t="n">
        <v>3290.01</v>
      </c>
      <c r="M1088" s="6" t="n">
        <v>3290.01</v>
      </c>
      <c r="N1088" s="3" t="inlineStr">
        <is>
          <t>Sí</t>
        </is>
      </c>
      <c r="O1088" s="6">
        <f>IF(K1088="","",IF(N1088="Sí",ROUND(K1088/1.18,2),K1088))</f>
        <v/>
      </c>
      <c r="P1088" s="3" t="inlineStr">
        <is>
          <t>2026-09-09</t>
        </is>
      </c>
      <c r="Q1088" s="4" t="inlineStr">
        <is>
          <t>Ferretería Ochoa (8A)</t>
        </is>
      </c>
    </row>
    <row r="1089">
      <c r="A1089" s="3" t="inlineStr">
        <is>
          <t>MAT-20-014</t>
        </is>
      </c>
      <c r="B1089" s="3" t="inlineStr">
        <is>
          <t>Materiales</t>
        </is>
      </c>
      <c r="C1089" s="3" t="inlineStr">
        <is>
          <t>Angulares, planchuelas y barras</t>
        </is>
      </c>
      <c r="D1089" s="4" t="inlineStr">
        <is>
          <t>Angular de hierro negro 2 1/2" x 3/16" x 20 pies</t>
        </is>
      </c>
      <c r="E1089" s="4" t="inlineStr"/>
      <c r="F1089" s="3" t="inlineStr">
        <is>
          <t>unidad</t>
        </is>
      </c>
      <c r="G1089" s="3" t="inlineStr">
        <is>
          <t>Estructura</t>
        </is>
      </c>
      <c r="H1089" s="3" t="inlineStr">
        <is>
          <t>estandar</t>
        </is>
      </c>
      <c r="I1089" s="3" t="inlineStr">
        <is>
          <t>importado</t>
        </is>
      </c>
      <c r="J1089" s="5" t="n">
        <v>1</v>
      </c>
      <c r="K1089" s="6" t="n">
        <v>2149</v>
      </c>
      <c r="L1089" s="6" t="n">
        <v>2149</v>
      </c>
      <c r="M1089" s="6" t="n">
        <v>2149</v>
      </c>
      <c r="N1089" s="3" t="inlineStr">
        <is>
          <t>Sí</t>
        </is>
      </c>
      <c r="O1089" s="6">
        <f>IF(K1089="","",IF(N1089="Sí",ROUND(K1089/1.18,2),K1089))</f>
        <v/>
      </c>
      <c r="P1089" s="3" t="inlineStr">
        <is>
          <t>2026-09-09</t>
        </is>
      </c>
      <c r="Q1089" s="4" t="inlineStr">
        <is>
          <t>Ferretería Ochoa (8A)</t>
        </is>
      </c>
    </row>
    <row r="1090">
      <c r="A1090" s="3" t="inlineStr">
        <is>
          <t>MAT-20-015</t>
        </is>
      </c>
      <c r="B1090" s="3" t="inlineStr">
        <is>
          <t>Materiales</t>
        </is>
      </c>
      <c r="C1090" s="3" t="inlineStr">
        <is>
          <t>Angulares, planchuelas y barras</t>
        </is>
      </c>
      <c r="D1090" s="4" t="inlineStr">
        <is>
          <t>Angular de hierro negro 2 1/2" x 1/4" x 20 pies</t>
        </is>
      </c>
      <c r="E1090" s="4" t="inlineStr"/>
      <c r="F1090" s="3" t="inlineStr">
        <is>
          <t>unidad</t>
        </is>
      </c>
      <c r="G1090" s="3" t="inlineStr">
        <is>
          <t>Estructura</t>
        </is>
      </c>
      <c r="H1090" s="3" t="inlineStr">
        <is>
          <t>estandar</t>
        </is>
      </c>
      <c r="I1090" s="3" t="inlineStr">
        <is>
          <t>importado</t>
        </is>
      </c>
      <c r="J1090" s="5" t="n">
        <v>2</v>
      </c>
      <c r="K1090" s="6" t="n">
        <v>3053.96</v>
      </c>
      <c r="L1090" s="6" t="n">
        <v>2870</v>
      </c>
      <c r="M1090" s="6" t="n">
        <v>3237.92</v>
      </c>
      <c r="N1090" s="3" t="inlineStr">
        <is>
          <t>Sí</t>
        </is>
      </c>
      <c r="O1090" s="6">
        <f>IF(K1090="","",IF(N1090="Sí",ROUND(K1090/1.18,2),K1090))</f>
        <v/>
      </c>
      <c r="P1090" s="3" t="inlineStr">
        <is>
          <t>2026-09-09</t>
        </is>
      </c>
      <c r="Q1090" s="4" t="inlineStr">
        <is>
          <t>Ferretería MC · Ferretería Ochoa (8A)</t>
        </is>
      </c>
    </row>
    <row r="1091">
      <c r="A1091" s="3" t="inlineStr">
        <is>
          <t>MAT-20-016</t>
        </is>
      </c>
      <c r="B1091" s="3" t="inlineStr">
        <is>
          <t>Materiales</t>
        </is>
      </c>
      <c r="C1091" s="3" t="inlineStr">
        <is>
          <t>Angulares, planchuelas y barras</t>
        </is>
      </c>
      <c r="D1091" s="4" t="inlineStr">
        <is>
          <t>Angular de hierro negro 2 1/2" x 3/8" x 20 pies</t>
        </is>
      </c>
      <c r="E1091" s="4" t="inlineStr"/>
      <c r="F1091" s="3" t="inlineStr">
        <is>
          <t>unidad</t>
        </is>
      </c>
      <c r="G1091" s="3" t="inlineStr">
        <is>
          <t>Estructura</t>
        </is>
      </c>
      <c r="H1091" s="3" t="inlineStr">
        <is>
          <t>estandar</t>
        </is>
      </c>
      <c r="I1091" s="3" t="inlineStr">
        <is>
          <t>importado</t>
        </is>
      </c>
      <c r="J1091" s="5" t="n">
        <v>1</v>
      </c>
      <c r="K1091" s="6" t="n">
        <v>4130</v>
      </c>
      <c r="L1091" s="6" t="n">
        <v>4130</v>
      </c>
      <c r="M1091" s="6" t="n">
        <v>4130</v>
      </c>
      <c r="N1091" s="3" t="inlineStr">
        <is>
          <t>Sí</t>
        </is>
      </c>
      <c r="O1091" s="6">
        <f>IF(K1091="","",IF(N1091="Sí",ROUND(K1091/1.18,2),K1091))</f>
        <v/>
      </c>
      <c r="P1091" s="3" t="inlineStr">
        <is>
          <t>2026-09-09</t>
        </is>
      </c>
      <c r="Q1091" s="4" t="inlineStr">
        <is>
          <t>Ferretería Ochoa (8A)</t>
        </is>
      </c>
    </row>
    <row r="1092">
      <c r="A1092" s="3" t="inlineStr">
        <is>
          <t>MAT-20-017</t>
        </is>
      </c>
      <c r="B1092" s="3" t="inlineStr">
        <is>
          <t>Materiales</t>
        </is>
      </c>
      <c r="C1092" s="3" t="inlineStr">
        <is>
          <t>Angulares, planchuelas y barras</t>
        </is>
      </c>
      <c r="D1092" s="4" t="inlineStr">
        <is>
          <t>Angular de hierro negro 3" x 1/4" x 20 pies</t>
        </is>
      </c>
      <c r="E1092" s="4" t="inlineStr"/>
      <c r="F1092" s="3" t="inlineStr">
        <is>
          <t>unidad</t>
        </is>
      </c>
      <c r="G1092" s="3" t="inlineStr">
        <is>
          <t>Estructura</t>
        </is>
      </c>
      <c r="H1092" s="3" t="inlineStr">
        <is>
          <t>estandar</t>
        </is>
      </c>
      <c r="I1092" s="3" t="inlineStr">
        <is>
          <t>importado</t>
        </is>
      </c>
      <c r="J1092" s="5" t="n">
        <v>2</v>
      </c>
      <c r="K1092" s="6" t="n">
        <v>3559.93</v>
      </c>
      <c r="L1092" s="6" t="n">
        <v>3430</v>
      </c>
      <c r="M1092" s="6" t="n">
        <v>3689.86</v>
      </c>
      <c r="N1092" s="3" t="inlineStr">
        <is>
          <t>Sí</t>
        </is>
      </c>
      <c r="O1092" s="6">
        <f>IF(K1092="","",IF(N1092="Sí",ROUND(K1092/1.18,2),K1092))</f>
        <v/>
      </c>
      <c r="P1092" s="3" t="inlineStr">
        <is>
          <t>2026-09-09</t>
        </is>
      </c>
      <c r="Q1092" s="4" t="inlineStr">
        <is>
          <t>Ferretería MC · Ferretería Ochoa (8A)</t>
        </is>
      </c>
    </row>
    <row r="1093">
      <c r="A1093" s="3" t="inlineStr">
        <is>
          <t>MAT-20-018</t>
        </is>
      </c>
      <c r="B1093" s="3" t="inlineStr">
        <is>
          <t>Materiales</t>
        </is>
      </c>
      <c r="C1093" s="3" t="inlineStr">
        <is>
          <t>Angulares, planchuelas y barras</t>
        </is>
      </c>
      <c r="D1093" s="4" t="inlineStr">
        <is>
          <t>Angular de hierro negro 3" x 3/8" x 20 pies</t>
        </is>
      </c>
      <c r="E1093" s="4" t="inlineStr"/>
      <c r="F1093" s="3" t="inlineStr">
        <is>
          <t>unidad</t>
        </is>
      </c>
      <c r="G1093" s="3" t="inlineStr">
        <is>
          <t>Estructura</t>
        </is>
      </c>
      <c r="H1093" s="3" t="inlineStr">
        <is>
          <t>estandar</t>
        </is>
      </c>
      <c r="I1093" s="3" t="inlineStr">
        <is>
          <t>importado</t>
        </is>
      </c>
      <c r="J1093" s="5" t="n">
        <v>1</v>
      </c>
      <c r="K1093" s="6" t="n">
        <v>5622.2</v>
      </c>
      <c r="L1093" s="6" t="n">
        <v>5622.2</v>
      </c>
      <c r="M1093" s="6" t="n">
        <v>5622.2</v>
      </c>
      <c r="N1093" s="3" t="inlineStr">
        <is>
          <t>Sí</t>
        </is>
      </c>
      <c r="O1093" s="6">
        <f>IF(K1093="","",IF(N1093="Sí",ROUND(K1093/1.18,2),K1093))</f>
        <v/>
      </c>
      <c r="P1093" s="3" t="inlineStr">
        <is>
          <t>2026-09-09</t>
        </is>
      </c>
      <c r="Q1093" s="4" t="inlineStr">
        <is>
          <t>Ferretería Ochoa (8A)</t>
        </is>
      </c>
    </row>
    <row r="1094">
      <c r="A1094" s="3" t="inlineStr">
        <is>
          <t>MAT-20-019</t>
        </is>
      </c>
      <c r="B1094" s="3" t="inlineStr">
        <is>
          <t>Materiales</t>
        </is>
      </c>
      <c r="C1094" s="3" t="inlineStr">
        <is>
          <t>Angulares, planchuelas y barras</t>
        </is>
      </c>
      <c r="D1094" s="4" t="inlineStr">
        <is>
          <t>Angular de hierro negro 4" x 1/4" x 20 pies</t>
        </is>
      </c>
      <c r="E1094" s="4" t="inlineStr"/>
      <c r="F1094" s="3" t="inlineStr">
        <is>
          <t>unidad</t>
        </is>
      </c>
      <c r="G1094" s="3" t="inlineStr">
        <is>
          <t>Estructura</t>
        </is>
      </c>
      <c r="H1094" s="3" t="inlineStr">
        <is>
          <t>estandar</t>
        </is>
      </c>
      <c r="I1094" s="3" t="inlineStr">
        <is>
          <t>importado</t>
        </is>
      </c>
      <c r="J1094" s="5" t="n">
        <v>2</v>
      </c>
      <c r="K1094" s="6" t="n">
        <v>5189.41</v>
      </c>
      <c r="L1094" s="6" t="n">
        <v>4117.73</v>
      </c>
      <c r="M1094" s="6" t="n">
        <v>6261.08</v>
      </c>
      <c r="N1094" s="3" t="inlineStr">
        <is>
          <t>Sí</t>
        </is>
      </c>
      <c r="O1094" s="6">
        <f>IF(K1094="","",IF(N1094="Sí",ROUND(K1094/1.18,2),K1094))</f>
        <v/>
      </c>
      <c r="P1094" s="3" t="inlineStr">
        <is>
          <t>2026-09-09</t>
        </is>
      </c>
      <c r="Q1094" s="4" t="inlineStr">
        <is>
          <t>Ferretería MC · Ferretería Ochoa (8A)</t>
        </is>
      </c>
    </row>
    <row r="1095">
      <c r="A1095" s="3" t="inlineStr">
        <is>
          <t>MAT-20-020</t>
        </is>
      </c>
      <c r="B1095" s="3" t="inlineStr">
        <is>
          <t>Materiales</t>
        </is>
      </c>
      <c r="C1095" s="3" t="inlineStr">
        <is>
          <t>Angulares, planchuelas y barras</t>
        </is>
      </c>
      <c r="D1095" s="4" t="inlineStr">
        <is>
          <t>Angular de hierro negro 4" x 1/2" x 20 pies</t>
        </is>
      </c>
      <c r="E1095" s="4" t="inlineStr"/>
      <c r="F1095" s="3" t="inlineStr">
        <is>
          <t>unidad</t>
        </is>
      </c>
      <c r="G1095" s="3" t="inlineStr">
        <is>
          <t>Estructura</t>
        </is>
      </c>
      <c r="H1095" s="3" t="inlineStr">
        <is>
          <t>estandar</t>
        </is>
      </c>
      <c r="I1095" s="3" t="inlineStr">
        <is>
          <t>importado</t>
        </is>
      </c>
      <c r="J1095" s="5" t="n">
        <v>1</v>
      </c>
      <c r="K1095" s="6" t="n">
        <v>9995.309999999999</v>
      </c>
      <c r="L1095" s="6" t="n">
        <v>9995.309999999999</v>
      </c>
      <c r="M1095" s="6" t="n">
        <v>9995.309999999999</v>
      </c>
      <c r="N1095" s="3" t="inlineStr">
        <is>
          <t>Sí</t>
        </is>
      </c>
      <c r="O1095" s="6">
        <f>IF(K1095="","",IF(N1095="Sí",ROUND(K1095/1.18,2),K1095))</f>
        <v/>
      </c>
      <c r="P1095" s="3" t="inlineStr">
        <is>
          <t>2026-09-09</t>
        </is>
      </c>
      <c r="Q1095" s="4" t="inlineStr">
        <is>
          <t>Ferretería Ochoa (8A)</t>
        </is>
      </c>
    </row>
    <row r="1096">
      <c r="A1096" s="3" t="inlineStr">
        <is>
          <t>MAT-20-021</t>
        </is>
      </c>
      <c r="B1096" s="3" t="inlineStr">
        <is>
          <t>Materiales</t>
        </is>
      </c>
      <c r="C1096" s="3" t="inlineStr">
        <is>
          <t>Angulares, planchuelas y barras</t>
        </is>
      </c>
      <c r="D1096" s="4" t="inlineStr">
        <is>
          <t>Angular perforado, 1-1/2X1-1/2"X10'</t>
        </is>
      </c>
      <c r="E1096" s="4" t="inlineStr"/>
      <c r="F1096" s="3" t="inlineStr">
        <is>
          <t>unidad</t>
        </is>
      </c>
      <c r="G1096" s="3" t="inlineStr">
        <is>
          <t>Estructura</t>
        </is>
      </c>
      <c r="H1096" s="3" t="inlineStr">
        <is>
          <t>estandar</t>
        </is>
      </c>
      <c r="I1096" s="3" t="inlineStr">
        <is>
          <t>importado</t>
        </is>
      </c>
      <c r="J1096" s="5" t="n">
        <v>1</v>
      </c>
      <c r="K1096" s="6" t="n">
        <v>425</v>
      </c>
      <c r="L1096" s="6" t="n">
        <v>425</v>
      </c>
      <c r="M1096" s="6" t="n">
        <v>425</v>
      </c>
      <c r="N1096" s="3" t="inlineStr">
        <is>
          <t>Sí</t>
        </is>
      </c>
      <c r="O1096" s="6">
        <f>IF(K1096="","",IF(N1096="Sí",ROUND(K1096/1.18,2),K1096))</f>
        <v/>
      </c>
      <c r="P1096" s="3" t="inlineStr">
        <is>
          <t>2026-09-09</t>
        </is>
      </c>
      <c r="Q1096" s="4" t="inlineStr">
        <is>
          <t>InnovaCentro (La Innovación)</t>
        </is>
      </c>
      <c r="AD1096" s="7" t="inlineStr">
        <is>
          <t>1-1/2X1-1/2"X10'</t>
        </is>
      </c>
    </row>
    <row r="1097">
      <c r="A1097" s="3" t="inlineStr">
        <is>
          <t>MAT-20-022</t>
        </is>
      </c>
      <c r="B1097" s="3" t="inlineStr">
        <is>
          <t>Materiales</t>
        </is>
      </c>
      <c r="C1097" s="3" t="inlineStr">
        <is>
          <t>Angulares, planchuelas y barras</t>
        </is>
      </c>
      <c r="D1097" s="4" t="inlineStr">
        <is>
          <t>Angular perforado, 1-1/2X1-1/2"X8'</t>
        </is>
      </c>
      <c r="E1097" s="4" t="inlineStr"/>
      <c r="F1097" s="3" t="inlineStr">
        <is>
          <t>unidad</t>
        </is>
      </c>
      <c r="G1097" s="3" t="inlineStr">
        <is>
          <t>Estructura</t>
        </is>
      </c>
      <c r="H1097" s="3" t="inlineStr">
        <is>
          <t>estandar</t>
        </is>
      </c>
      <c r="I1097" s="3" t="inlineStr">
        <is>
          <t>importado</t>
        </is>
      </c>
      <c r="J1097" s="5" t="n">
        <v>1</v>
      </c>
      <c r="K1097" s="6" t="n">
        <v>360</v>
      </c>
      <c r="L1097" s="6" t="n">
        <v>360</v>
      </c>
      <c r="M1097" s="6" t="n">
        <v>360</v>
      </c>
      <c r="N1097" s="3" t="inlineStr">
        <is>
          <t>Sí</t>
        </is>
      </c>
      <c r="O1097" s="6">
        <f>IF(K1097="","",IF(N1097="Sí",ROUND(K1097/1.18,2),K1097))</f>
        <v/>
      </c>
      <c r="P1097" s="3" t="inlineStr">
        <is>
          <t>2026-09-09</t>
        </is>
      </c>
      <c r="Q1097" s="4" t="inlineStr">
        <is>
          <t>InnovaCentro (La Innovación)</t>
        </is>
      </c>
      <c r="AD1097" s="7" t="inlineStr">
        <is>
          <t>1-1/2X1-1/2"X8'</t>
        </is>
      </c>
    </row>
    <row r="1098">
      <c r="A1098" s="3" t="inlineStr">
        <is>
          <t>MAT-20-023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Planchuela de hierro negro 1/2" x 1/8" x 20 pies</t>
        </is>
      </c>
      <c r="E1098" s="4" t="inlineStr"/>
      <c r="F1098" s="3" t="inlineStr">
        <is>
          <t>unidad</t>
        </is>
      </c>
      <c r="G1098" s="3" t="inlineStr">
        <is>
          <t>Estructura</t>
        </is>
      </c>
      <c r="H1098" s="3" t="inlineStr">
        <is>
          <t>estandar</t>
        </is>
      </c>
      <c r="I1098" s="3" t="inlineStr">
        <is>
          <t>importado</t>
        </is>
      </c>
      <c r="J1098" s="5" t="n">
        <v>1</v>
      </c>
      <c r="K1098" s="6" t="n">
        <v>141.64</v>
      </c>
      <c r="L1098" s="6" t="n">
        <v>141.64</v>
      </c>
      <c r="M1098" s="6" t="n">
        <v>141.64</v>
      </c>
      <c r="N1098" s="3" t="inlineStr">
        <is>
          <t>Sí</t>
        </is>
      </c>
      <c r="O1098" s="6">
        <f>IF(K1098="","",IF(N1098="Sí",ROUND(K1098/1.18,2),K1098))</f>
        <v/>
      </c>
      <c r="P1098" s="3" t="inlineStr">
        <is>
          <t>2026-09-09</t>
        </is>
      </c>
      <c r="Q1098" s="4" t="inlineStr">
        <is>
          <t>Ferretería Ochoa (8A)</t>
        </is>
      </c>
    </row>
    <row r="1099">
      <c r="A1099" s="3" t="inlineStr">
        <is>
          <t>MAT-20-024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Planchuela de hierro negro 1/2" x 3/16" x 20 pies</t>
        </is>
      </c>
      <c r="E1099" s="4" t="inlineStr"/>
      <c r="F1099" s="3" t="inlineStr">
        <is>
          <t>unidad</t>
        </is>
      </c>
      <c r="G1099" s="3" t="inlineStr">
        <is>
          <t>Estructura</t>
        </is>
      </c>
      <c r="H1099" s="3" t="inlineStr">
        <is>
          <t>estandar</t>
        </is>
      </c>
      <c r="I1099" s="3" t="inlineStr">
        <is>
          <t>importado</t>
        </is>
      </c>
      <c r="J1099" s="5" t="n">
        <v>1</v>
      </c>
      <c r="K1099" s="6" t="n">
        <v>249.92</v>
      </c>
      <c r="L1099" s="6" t="n">
        <v>249.92</v>
      </c>
      <c r="M1099" s="6" t="n">
        <v>249.92</v>
      </c>
      <c r="N1099" s="3" t="inlineStr">
        <is>
          <t>Sí</t>
        </is>
      </c>
      <c r="O1099" s="6">
        <f>IF(K1099="","",IF(N1099="Sí",ROUND(K1099/1.18,2),K1099))</f>
        <v/>
      </c>
      <c r="P1099" s="3" t="inlineStr">
        <is>
          <t>2026-09-09</t>
        </is>
      </c>
      <c r="Q1099" s="4" t="inlineStr">
        <is>
          <t>Ferretería Ochoa (8A)</t>
        </is>
      </c>
    </row>
    <row r="1100">
      <c r="A1100" s="3" t="inlineStr">
        <is>
          <t>MAT-20-025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Planchuela de hierro negro 1/2" x 1/4" x 20 pies</t>
        </is>
      </c>
      <c r="E1100" s="4" t="inlineStr"/>
      <c r="F1100" s="3" t="inlineStr">
        <is>
          <t>unidad</t>
        </is>
      </c>
      <c r="G1100" s="3" t="inlineStr">
        <is>
          <t>Estructura</t>
        </is>
      </c>
      <c r="H1100" s="3" t="inlineStr">
        <is>
          <t>estandar</t>
        </is>
      </c>
      <c r="I1100" s="3" t="inlineStr">
        <is>
          <t>importado</t>
        </is>
      </c>
      <c r="J1100" s="5" t="n">
        <v>1</v>
      </c>
      <c r="K1100" s="6" t="n">
        <v>331.8</v>
      </c>
      <c r="L1100" s="6" t="n">
        <v>331.8</v>
      </c>
      <c r="M1100" s="6" t="n">
        <v>331.8</v>
      </c>
      <c r="N1100" s="3" t="inlineStr">
        <is>
          <t>Sí</t>
        </is>
      </c>
      <c r="O1100" s="6">
        <f>IF(K1100="","",IF(N1100="Sí",ROUND(K1100/1.18,2),K1100))</f>
        <v/>
      </c>
      <c r="P1100" s="3" t="inlineStr">
        <is>
          <t>2026-09-09</t>
        </is>
      </c>
      <c r="Q1100" s="4" t="inlineStr">
        <is>
          <t>Ferretería Ochoa (8A)</t>
        </is>
      </c>
    </row>
    <row r="1101">
      <c r="A1101" s="3" t="inlineStr">
        <is>
          <t>MAT-20-026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Planchuela de hierro negro 3/4" x 1/8" x 20 pies</t>
        </is>
      </c>
      <c r="E1101" s="4" t="inlineStr"/>
      <c r="F1101" s="3" t="inlineStr">
        <is>
          <t>unidad</t>
        </is>
      </c>
      <c r="G1101" s="3" t="inlineStr">
        <is>
          <t>Estructura</t>
        </is>
      </c>
      <c r="H1101" s="3" t="inlineStr">
        <is>
          <t>estandar</t>
        </is>
      </c>
      <c r="I1101" s="3" t="inlineStr">
        <is>
          <t>importado</t>
        </is>
      </c>
      <c r="J1101" s="5" t="n">
        <v>1</v>
      </c>
      <c r="K1101" s="6" t="n">
        <v>298.91</v>
      </c>
      <c r="L1101" s="6" t="n">
        <v>298.91</v>
      </c>
      <c r="M1101" s="6" t="n">
        <v>298.91</v>
      </c>
      <c r="N1101" s="3" t="inlineStr">
        <is>
          <t>Sí</t>
        </is>
      </c>
      <c r="O1101" s="6">
        <f>IF(K1101="","",IF(N1101="Sí",ROUND(K1101/1.18,2),K1101))</f>
        <v/>
      </c>
      <c r="P1101" s="3" t="inlineStr">
        <is>
          <t>2026-09-09</t>
        </is>
      </c>
      <c r="Q1101" s="4" t="inlineStr">
        <is>
          <t>Ferretería Ochoa (8A)</t>
        </is>
      </c>
    </row>
    <row r="1102">
      <c r="A1102" s="3" t="inlineStr">
        <is>
          <t>MAT-20-027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Planchuela de hierro negro 3/4" x 3/16" x 20 pies</t>
        </is>
      </c>
      <c r="E1102" s="4" t="inlineStr"/>
      <c r="F1102" s="3" t="inlineStr">
        <is>
          <t>unidad</t>
        </is>
      </c>
      <c r="G1102" s="3" t="inlineStr">
        <is>
          <t>Estructura</t>
        </is>
      </c>
      <c r="H1102" s="3" t="inlineStr">
        <is>
          <t>estandar</t>
        </is>
      </c>
      <c r="I1102" s="3" t="inlineStr">
        <is>
          <t>importado</t>
        </is>
      </c>
      <c r="J1102" s="5" t="n">
        <v>1</v>
      </c>
      <c r="K1102" s="6" t="n">
        <v>373</v>
      </c>
      <c r="L1102" s="6" t="n">
        <v>373</v>
      </c>
      <c r="M1102" s="6" t="n">
        <v>373</v>
      </c>
      <c r="N1102" s="3" t="inlineStr">
        <is>
          <t>Sí</t>
        </is>
      </c>
      <c r="O1102" s="6">
        <f>IF(K1102="","",IF(N1102="Sí",ROUND(K1102/1.18,2),K1102))</f>
        <v/>
      </c>
      <c r="P1102" s="3" t="inlineStr">
        <is>
          <t>2026-09-09</t>
        </is>
      </c>
      <c r="Q1102" s="4" t="inlineStr">
        <is>
          <t>Ferretería Ochoa (8A)</t>
        </is>
      </c>
    </row>
    <row r="1103">
      <c r="A1103" s="3" t="inlineStr">
        <is>
          <t>MAT-20-028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Planchuela de hierro negro 3/4" x 1/4" x 20 pies</t>
        </is>
      </c>
      <c r="E1103" s="4" t="inlineStr"/>
      <c r="F1103" s="3" t="inlineStr">
        <is>
          <t>unidad</t>
        </is>
      </c>
      <c r="G1103" s="3" t="inlineStr">
        <is>
          <t>Estructura</t>
        </is>
      </c>
      <c r="H1103" s="3" t="inlineStr">
        <is>
          <t>estandar</t>
        </is>
      </c>
      <c r="I1103" s="3" t="inlineStr">
        <is>
          <t>importado</t>
        </is>
      </c>
      <c r="J1103" s="5" t="n">
        <v>1</v>
      </c>
      <c r="K1103" s="6" t="n">
        <v>497.72</v>
      </c>
      <c r="L1103" s="6" t="n">
        <v>497.72</v>
      </c>
      <c r="M1103" s="6" t="n">
        <v>497.72</v>
      </c>
      <c r="N1103" s="3" t="inlineStr">
        <is>
          <t>Sí</t>
        </is>
      </c>
      <c r="O1103" s="6">
        <f>IF(K1103="","",IF(N1103="Sí",ROUND(K1103/1.18,2),K1103))</f>
        <v/>
      </c>
      <c r="P1103" s="3" t="inlineStr">
        <is>
          <t>2026-09-09</t>
        </is>
      </c>
      <c r="Q1103" s="4" t="inlineStr">
        <is>
          <t>Ferretería Ochoa (8A)</t>
        </is>
      </c>
    </row>
    <row r="1104">
      <c r="A1104" s="3" t="inlineStr">
        <is>
          <t>MAT-20-029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Planchuela de hierro negro 1" x 1/8" x 20 pies</t>
        </is>
      </c>
      <c r="E1104" s="4" t="inlineStr"/>
      <c r="F1104" s="3" t="inlineStr">
        <is>
          <t>unidad</t>
        </is>
      </c>
      <c r="G1104" s="3" t="inlineStr">
        <is>
          <t>Estructura</t>
        </is>
      </c>
      <c r="H1104" s="3" t="inlineStr">
        <is>
          <t>estandar</t>
        </is>
      </c>
      <c r="I1104" s="3" t="inlineStr">
        <is>
          <t>importado</t>
        </is>
      </c>
      <c r="J1104" s="5" t="n">
        <v>1</v>
      </c>
      <c r="K1104" s="6" t="n">
        <v>297.5</v>
      </c>
      <c r="L1104" s="6" t="n">
        <v>297.5</v>
      </c>
      <c r="M1104" s="6" t="n">
        <v>297.5</v>
      </c>
      <c r="N1104" s="3" t="inlineStr">
        <is>
          <t>Sí</t>
        </is>
      </c>
      <c r="O1104" s="6">
        <f>IF(K1104="","",IF(N1104="Sí",ROUND(K1104/1.18,2),K1104))</f>
        <v/>
      </c>
      <c r="P1104" s="3" t="inlineStr">
        <is>
          <t>2026-09-09</t>
        </is>
      </c>
      <c r="Q1104" s="4" t="inlineStr">
        <is>
          <t>Ferretería Ochoa (8A)</t>
        </is>
      </c>
    </row>
    <row r="1105">
      <c r="A1105" s="3" t="inlineStr">
        <is>
          <t>MAT-20-030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Planchuela de hierro negro 1" x 3/16" x 20 pies</t>
        </is>
      </c>
      <c r="E1105" s="4" t="inlineStr"/>
      <c r="F1105" s="3" t="inlineStr">
        <is>
          <t>unidad</t>
        </is>
      </c>
      <c r="G1105" s="3" t="inlineStr">
        <is>
          <t>Estructura</t>
        </is>
      </c>
      <c r="H1105" s="3" t="inlineStr">
        <is>
          <t>estandar</t>
        </is>
      </c>
      <c r="I1105" s="3" t="inlineStr">
        <is>
          <t>importado</t>
        </is>
      </c>
      <c r="J1105" s="5" t="n">
        <v>1</v>
      </c>
      <c r="K1105" s="6" t="n">
        <v>446.25</v>
      </c>
      <c r="L1105" s="6" t="n">
        <v>446.25</v>
      </c>
      <c r="M1105" s="6" t="n">
        <v>446.25</v>
      </c>
      <c r="N1105" s="3" t="inlineStr">
        <is>
          <t>Sí</t>
        </is>
      </c>
      <c r="O1105" s="6">
        <f>IF(K1105="","",IF(N1105="Sí",ROUND(K1105/1.18,2),K1105))</f>
        <v/>
      </c>
      <c r="P1105" s="3" t="inlineStr">
        <is>
          <t>2026-09-09</t>
        </is>
      </c>
      <c r="Q1105" s="4" t="inlineStr">
        <is>
          <t>Ferretería Ochoa (8A)</t>
        </is>
      </c>
    </row>
    <row r="1106">
      <c r="A1106" s="3" t="inlineStr">
        <is>
          <t>MAT-20-031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Planchuela de hierro negro 1" x 1/4" x 20 pies</t>
        </is>
      </c>
      <c r="E1106" s="4" t="inlineStr"/>
      <c r="F1106" s="3" t="inlineStr">
        <is>
          <t>unidad</t>
        </is>
      </c>
      <c r="G1106" s="3" t="inlineStr">
        <is>
          <t>Estructura</t>
        </is>
      </c>
      <c r="H1106" s="3" t="inlineStr">
        <is>
          <t>estandar</t>
        </is>
      </c>
      <c r="I1106" s="3" t="inlineStr">
        <is>
          <t>importado</t>
        </is>
      </c>
      <c r="J1106" s="5" t="n">
        <v>1</v>
      </c>
      <c r="K1106" s="6" t="n">
        <v>595</v>
      </c>
      <c r="L1106" s="6" t="n">
        <v>595</v>
      </c>
      <c r="M1106" s="6" t="n">
        <v>595</v>
      </c>
      <c r="N1106" s="3" t="inlineStr">
        <is>
          <t>Sí</t>
        </is>
      </c>
      <c r="O1106" s="6">
        <f>IF(K1106="","",IF(N1106="Sí",ROUND(K1106/1.18,2),K1106))</f>
        <v/>
      </c>
      <c r="P1106" s="3" t="inlineStr">
        <is>
          <t>2026-09-09</t>
        </is>
      </c>
      <c r="Q1106" s="4" t="inlineStr">
        <is>
          <t>Ferretería Ochoa (8A)</t>
        </is>
      </c>
    </row>
    <row r="1107">
      <c r="A1107" s="3" t="inlineStr">
        <is>
          <t>MAT-20-032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Planchuela de hierro negro 1" x 1/2" x 20 pies</t>
        </is>
      </c>
      <c r="E1107" s="4" t="inlineStr"/>
      <c r="F1107" s="3" t="inlineStr">
        <is>
          <t>unidad</t>
        </is>
      </c>
      <c r="G1107" s="3" t="inlineStr">
        <is>
          <t>Estructura</t>
        </is>
      </c>
      <c r="H1107" s="3" t="inlineStr">
        <is>
          <t>estandar</t>
        </is>
      </c>
      <c r="I1107" s="3" t="inlineStr">
        <is>
          <t>importado</t>
        </is>
      </c>
      <c r="J1107" s="5" t="n">
        <v>1</v>
      </c>
      <c r="K1107" s="6" t="n">
        <v>1327.5</v>
      </c>
      <c r="L1107" s="6" t="n">
        <v>1327.5</v>
      </c>
      <c r="M1107" s="6" t="n">
        <v>1327.5</v>
      </c>
      <c r="N1107" s="3" t="inlineStr">
        <is>
          <t>Sí</t>
        </is>
      </c>
      <c r="O1107" s="6">
        <f>IF(K1107="","",IF(N1107="Sí",ROUND(K1107/1.18,2),K1107))</f>
        <v/>
      </c>
      <c r="P1107" s="3" t="inlineStr">
        <is>
          <t>2026-09-09</t>
        </is>
      </c>
      <c r="Q1107" s="4" t="inlineStr">
        <is>
          <t>Ferretería Ochoa (8A)</t>
        </is>
      </c>
    </row>
    <row r="1108">
      <c r="A1108" s="3" t="inlineStr">
        <is>
          <t>MAT-20-033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Planchuela de hierro negro 1 1/4" x 1/8" x 20 pies</t>
        </is>
      </c>
      <c r="E1108" s="4" t="inlineStr"/>
      <c r="F1108" s="3" t="inlineStr">
        <is>
          <t>unidad</t>
        </is>
      </c>
      <c r="G1108" s="3" t="inlineStr">
        <is>
          <t>Estructura</t>
        </is>
      </c>
      <c r="H1108" s="3" t="inlineStr">
        <is>
          <t>estandar</t>
        </is>
      </c>
      <c r="I1108" s="3" t="inlineStr">
        <is>
          <t>importado</t>
        </is>
      </c>
      <c r="J1108" s="5" t="n">
        <v>1</v>
      </c>
      <c r="K1108" s="6" t="n">
        <v>415.35</v>
      </c>
      <c r="L1108" s="6" t="n">
        <v>415.35</v>
      </c>
      <c r="M1108" s="6" t="n">
        <v>415.35</v>
      </c>
      <c r="N1108" s="3" t="inlineStr">
        <is>
          <t>Sí</t>
        </is>
      </c>
      <c r="O1108" s="6">
        <f>IF(K1108="","",IF(N1108="Sí",ROUND(K1108/1.18,2),K1108))</f>
        <v/>
      </c>
      <c r="P1108" s="3" t="inlineStr">
        <is>
          <t>2026-09-09</t>
        </is>
      </c>
      <c r="Q1108" s="4" t="inlineStr">
        <is>
          <t>Ferretería Ochoa (8A)</t>
        </is>
      </c>
    </row>
    <row r="1109">
      <c r="A1109" s="3" t="inlineStr">
        <is>
          <t>MAT-20-034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Planchuela de hierro negro 1 1/4" x 3/16" x 20 pies</t>
        </is>
      </c>
      <c r="E1109" s="4" t="inlineStr"/>
      <c r="F1109" s="3" t="inlineStr">
        <is>
          <t>unidad</t>
        </is>
      </c>
      <c r="G1109" s="3" t="inlineStr">
        <is>
          <t>Estructura</t>
        </is>
      </c>
      <c r="H1109" s="3" t="inlineStr">
        <is>
          <t>estandar</t>
        </is>
      </c>
      <c r="I1109" s="3" t="inlineStr">
        <is>
          <t>importado</t>
        </is>
      </c>
      <c r="J1109" s="5" t="n">
        <v>1</v>
      </c>
      <c r="K1109" s="6" t="n">
        <v>614.58</v>
      </c>
      <c r="L1109" s="6" t="n">
        <v>614.58</v>
      </c>
      <c r="M1109" s="6" t="n">
        <v>614.58</v>
      </c>
      <c r="N1109" s="3" t="inlineStr">
        <is>
          <t>Sí</t>
        </is>
      </c>
      <c r="O1109" s="6">
        <f>IF(K1109="","",IF(N1109="Sí",ROUND(K1109/1.18,2),K1109))</f>
        <v/>
      </c>
      <c r="P1109" s="3" t="inlineStr">
        <is>
          <t>2026-09-09</t>
        </is>
      </c>
      <c r="Q1109" s="4" t="inlineStr">
        <is>
          <t>Ferretería Ochoa (8A)</t>
        </is>
      </c>
    </row>
    <row r="1110">
      <c r="A1110" s="3" t="inlineStr">
        <is>
          <t>MAT-20-035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Planchuela de hierro negro 1 1/4" x 1/4" x 20 pies</t>
        </is>
      </c>
      <c r="E1110" s="4" t="inlineStr"/>
      <c r="F1110" s="3" t="inlineStr">
        <is>
          <t>unidad</t>
        </is>
      </c>
      <c r="G1110" s="3" t="inlineStr">
        <is>
          <t>Estructura</t>
        </is>
      </c>
      <c r="H1110" s="3" t="inlineStr">
        <is>
          <t>estandar</t>
        </is>
      </c>
      <c r="I1110" s="3" t="inlineStr">
        <is>
          <t>importado</t>
        </is>
      </c>
      <c r="J1110" s="5" t="n">
        <v>1</v>
      </c>
      <c r="K1110" s="6" t="n">
        <v>745.5</v>
      </c>
      <c r="L1110" s="6" t="n">
        <v>745.5</v>
      </c>
      <c r="M1110" s="6" t="n">
        <v>745.5</v>
      </c>
      <c r="N1110" s="3" t="inlineStr">
        <is>
          <t>Sí</t>
        </is>
      </c>
      <c r="O1110" s="6">
        <f>IF(K1110="","",IF(N1110="Sí",ROUND(K1110/1.18,2),K1110))</f>
        <v/>
      </c>
      <c r="P1110" s="3" t="inlineStr">
        <is>
          <t>2026-09-09</t>
        </is>
      </c>
      <c r="Q1110" s="4" t="inlineStr">
        <is>
          <t>Ferretería Ochoa (8A)</t>
        </is>
      </c>
    </row>
    <row r="1111">
      <c r="A1111" s="3" t="inlineStr">
        <is>
          <t>MAT-20-036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Planchuela de hierro negro 1 1/4" x 3/8" x 20 pies</t>
        </is>
      </c>
      <c r="E1111" s="4" t="inlineStr"/>
      <c r="F1111" s="3" t="inlineStr">
        <is>
          <t>unidad</t>
        </is>
      </c>
      <c r="G1111" s="3" t="inlineStr">
        <is>
          <t>Estructura</t>
        </is>
      </c>
      <c r="H1111" s="3" t="inlineStr">
        <is>
          <t>estandar</t>
        </is>
      </c>
      <c r="I1111" s="3" t="inlineStr">
        <is>
          <t>importado</t>
        </is>
      </c>
      <c r="J1111" s="5" t="n">
        <v>1</v>
      </c>
      <c r="K1111" s="6" t="n">
        <v>1115.73</v>
      </c>
      <c r="L1111" s="6" t="n">
        <v>1115.73</v>
      </c>
      <c r="M1111" s="6" t="n">
        <v>1115.73</v>
      </c>
      <c r="N1111" s="3" t="inlineStr">
        <is>
          <t>Sí</t>
        </is>
      </c>
      <c r="O1111" s="6">
        <f>IF(K1111="","",IF(N1111="Sí",ROUND(K1111/1.18,2),K1111))</f>
        <v/>
      </c>
      <c r="P1111" s="3" t="inlineStr">
        <is>
          <t>2026-09-09</t>
        </is>
      </c>
      <c r="Q1111" s="4" t="inlineStr">
        <is>
          <t>Ferretería Ochoa (8A)</t>
        </is>
      </c>
    </row>
    <row r="1112">
      <c r="A1112" s="3" t="inlineStr">
        <is>
          <t>MAT-20-037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Planchuela de hierro negro 1 1/2" x 1/8" x 20 pies</t>
        </is>
      </c>
      <c r="E1112" s="4" t="inlineStr"/>
      <c r="F1112" s="3" t="inlineStr">
        <is>
          <t>unidad</t>
        </is>
      </c>
      <c r="G1112" s="3" t="inlineStr">
        <is>
          <t>Estructura</t>
        </is>
      </c>
      <c r="H1112" s="3" t="inlineStr">
        <is>
          <t>estandar</t>
        </is>
      </c>
      <c r="I1112" s="3" t="inlineStr">
        <is>
          <t>importado</t>
        </is>
      </c>
      <c r="J1112" s="5" t="n">
        <v>1</v>
      </c>
      <c r="K1112" s="6" t="n">
        <v>451.7</v>
      </c>
      <c r="L1112" s="6" t="n">
        <v>451.7</v>
      </c>
      <c r="M1112" s="6" t="n">
        <v>451.7</v>
      </c>
      <c r="N1112" s="3" t="inlineStr">
        <is>
          <t>Sí</t>
        </is>
      </c>
      <c r="O1112" s="6">
        <f>IF(K1112="","",IF(N1112="Sí",ROUND(K1112/1.18,2),K1112))</f>
        <v/>
      </c>
      <c r="P1112" s="3" t="inlineStr">
        <is>
          <t>2026-09-09</t>
        </is>
      </c>
      <c r="Q1112" s="4" t="inlineStr">
        <is>
          <t>Ferretería Ochoa (8A)</t>
        </is>
      </c>
    </row>
    <row r="1113">
      <c r="A1113" s="3" t="inlineStr">
        <is>
          <t>MAT-20-038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Planchuela de hierro negro 1 1/2" x 3/16" x 20 pies</t>
        </is>
      </c>
      <c r="E1113" s="4" t="inlineStr"/>
      <c r="F1113" s="3" t="inlineStr">
        <is>
          <t>unidad</t>
        </is>
      </c>
      <c r="G1113" s="3" t="inlineStr">
        <is>
          <t>Estructura</t>
        </is>
      </c>
      <c r="H1113" s="3" t="inlineStr">
        <is>
          <t>estandar</t>
        </is>
      </c>
      <c r="I1113" s="3" t="inlineStr">
        <is>
          <t>importado</t>
        </is>
      </c>
      <c r="J1113" s="5" t="n">
        <v>1</v>
      </c>
      <c r="K1113" s="6" t="n">
        <v>682.5</v>
      </c>
      <c r="L1113" s="6" t="n">
        <v>682.5</v>
      </c>
      <c r="M1113" s="6" t="n">
        <v>682.5</v>
      </c>
      <c r="N1113" s="3" t="inlineStr">
        <is>
          <t>Sí</t>
        </is>
      </c>
      <c r="O1113" s="6">
        <f>IF(K1113="","",IF(N1113="Sí",ROUND(K1113/1.18,2),K1113))</f>
        <v/>
      </c>
      <c r="P1113" s="3" t="inlineStr">
        <is>
          <t>2026-09-09</t>
        </is>
      </c>
      <c r="Q1113" s="4" t="inlineStr">
        <is>
          <t>Ferretería Ochoa (8A)</t>
        </is>
      </c>
    </row>
    <row r="1114">
      <c r="A1114" s="3" t="inlineStr">
        <is>
          <t>MAT-20-039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Planchuela de hierro negro 1 1/2" x 1/4" x 20 pies</t>
        </is>
      </c>
      <c r="E1114" s="4" t="inlineStr"/>
      <c r="F1114" s="3" t="inlineStr">
        <is>
          <t>unidad</t>
        </is>
      </c>
      <c r="G1114" s="3" t="inlineStr">
        <is>
          <t>Estructura</t>
        </is>
      </c>
      <c r="H1114" s="3" t="inlineStr">
        <is>
          <t>estandar</t>
        </is>
      </c>
      <c r="I1114" s="3" t="inlineStr">
        <is>
          <t>importado</t>
        </is>
      </c>
      <c r="J1114" s="5" t="n">
        <v>1</v>
      </c>
      <c r="K1114" s="6" t="n">
        <v>892.5</v>
      </c>
      <c r="L1114" s="6" t="n">
        <v>892.5</v>
      </c>
      <c r="M1114" s="6" t="n">
        <v>892.5</v>
      </c>
      <c r="N1114" s="3" t="inlineStr">
        <is>
          <t>Sí</t>
        </is>
      </c>
      <c r="O1114" s="6">
        <f>IF(K1114="","",IF(N1114="Sí",ROUND(K1114/1.18,2),K1114))</f>
        <v/>
      </c>
      <c r="P1114" s="3" t="inlineStr">
        <is>
          <t>2026-09-09</t>
        </is>
      </c>
      <c r="Q1114" s="4" t="inlineStr">
        <is>
          <t>Ferretería Ochoa (8A)</t>
        </is>
      </c>
    </row>
    <row r="1115">
      <c r="A1115" s="3" t="inlineStr">
        <is>
          <t>MAT-20-040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Planchuela de hierro negro 1 1/2" x 3/8" x 20 pies</t>
        </is>
      </c>
      <c r="E1115" s="4" t="inlineStr"/>
      <c r="F1115" s="3" t="inlineStr">
        <is>
          <t>unidad</t>
        </is>
      </c>
      <c r="G1115" s="3" t="inlineStr">
        <is>
          <t>Estructura</t>
        </is>
      </c>
      <c r="H1115" s="3" t="inlineStr">
        <is>
          <t>estandar</t>
        </is>
      </c>
      <c r="I1115" s="3" t="inlineStr">
        <is>
          <t>importado</t>
        </is>
      </c>
      <c r="J1115" s="5" t="n">
        <v>1</v>
      </c>
      <c r="K1115" s="6" t="n">
        <v>1338.75</v>
      </c>
      <c r="L1115" s="6" t="n">
        <v>1338.75</v>
      </c>
      <c r="M1115" s="6" t="n">
        <v>1338.75</v>
      </c>
      <c r="N1115" s="3" t="inlineStr">
        <is>
          <t>Sí</t>
        </is>
      </c>
      <c r="O1115" s="6">
        <f>IF(K1115="","",IF(N1115="Sí",ROUND(K1115/1.18,2),K1115))</f>
        <v/>
      </c>
      <c r="P1115" s="3" t="inlineStr">
        <is>
          <t>2026-09-09</t>
        </is>
      </c>
      <c r="Q1115" s="4" t="inlineStr">
        <is>
          <t>Ferretería Ochoa (8A)</t>
        </is>
      </c>
    </row>
    <row r="1116">
      <c r="A1116" s="3" t="inlineStr">
        <is>
          <t>MAT-20-041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Planchuela de hierro negro 1 1/2" x 1/2" x 20 pies</t>
        </is>
      </c>
      <c r="E1116" s="4" t="inlineStr"/>
      <c r="F1116" s="3" t="inlineStr">
        <is>
          <t>unidad</t>
        </is>
      </c>
      <c r="G1116" s="3" t="inlineStr">
        <is>
          <t>Estructura</t>
        </is>
      </c>
      <c r="H1116" s="3" t="inlineStr">
        <is>
          <t>estandar</t>
        </is>
      </c>
      <c r="I1116" s="3" t="inlineStr">
        <is>
          <t>importado</t>
        </is>
      </c>
      <c r="J1116" s="5" t="n">
        <v>1</v>
      </c>
      <c r="K1116" s="6" t="n">
        <v>1991.13</v>
      </c>
      <c r="L1116" s="6" t="n">
        <v>1991.13</v>
      </c>
      <c r="M1116" s="6" t="n">
        <v>1991.13</v>
      </c>
      <c r="N1116" s="3" t="inlineStr">
        <is>
          <t>Sí</t>
        </is>
      </c>
      <c r="O1116" s="6">
        <f>IF(K1116="","",IF(N1116="Sí",ROUND(K1116/1.18,2),K1116))</f>
        <v/>
      </c>
      <c r="P1116" s="3" t="inlineStr">
        <is>
          <t>2026-09-09</t>
        </is>
      </c>
      <c r="Q1116" s="4" t="inlineStr">
        <is>
          <t>Ferretería Ochoa (8A)</t>
        </is>
      </c>
    </row>
    <row r="1117">
      <c r="A1117" s="3" t="inlineStr">
        <is>
          <t>MAT-20-042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Planchuela de hierro negro 2" x 1/8" x 20 pies</t>
        </is>
      </c>
      <c r="E1117" s="4" t="inlineStr"/>
      <c r="F1117" s="3" t="inlineStr">
        <is>
          <t>unidad</t>
        </is>
      </c>
      <c r="G1117" s="3" t="inlineStr">
        <is>
          <t>Estructura</t>
        </is>
      </c>
      <c r="H1117" s="3" t="inlineStr">
        <is>
          <t>estandar</t>
        </is>
      </c>
      <c r="I1117" s="3" t="inlineStr">
        <is>
          <t>importado</t>
        </is>
      </c>
      <c r="J1117" s="5" t="n">
        <v>1</v>
      </c>
      <c r="K1117" s="6" t="n">
        <v>595</v>
      </c>
      <c r="L1117" s="6" t="n">
        <v>595</v>
      </c>
      <c r="M1117" s="6" t="n">
        <v>595</v>
      </c>
      <c r="N1117" s="3" t="inlineStr">
        <is>
          <t>Sí</t>
        </is>
      </c>
      <c r="O1117" s="6">
        <f>IF(K1117="","",IF(N1117="Sí",ROUND(K1117/1.18,2),K1117))</f>
        <v/>
      </c>
      <c r="P1117" s="3" t="inlineStr">
        <is>
          <t>2026-09-09</t>
        </is>
      </c>
      <c r="Q1117" s="4" t="inlineStr">
        <is>
          <t>Ferretería Ochoa (8A)</t>
        </is>
      </c>
    </row>
    <row r="1118">
      <c r="A1118" s="3" t="inlineStr">
        <is>
          <t>MAT-20-043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Planchuela de hierro negro 2" x 3/16" x 20 pies</t>
        </is>
      </c>
      <c r="E1118" s="4" t="inlineStr"/>
      <c r="F1118" s="3" t="inlineStr">
        <is>
          <t>unidad</t>
        </is>
      </c>
      <c r="G1118" s="3" t="inlineStr">
        <is>
          <t>Estructura</t>
        </is>
      </c>
      <c r="H1118" s="3" t="inlineStr">
        <is>
          <t>estandar</t>
        </is>
      </c>
      <c r="I1118" s="3" t="inlineStr">
        <is>
          <t>importado</t>
        </is>
      </c>
      <c r="J1118" s="5" t="n">
        <v>1</v>
      </c>
      <c r="K1118" s="6" t="n">
        <v>892.5</v>
      </c>
      <c r="L1118" s="6" t="n">
        <v>892.5</v>
      </c>
      <c r="M1118" s="6" t="n">
        <v>892.5</v>
      </c>
      <c r="N1118" s="3" t="inlineStr">
        <is>
          <t>Sí</t>
        </is>
      </c>
      <c r="O1118" s="6">
        <f>IF(K1118="","",IF(N1118="Sí",ROUND(K1118/1.18,2),K1118))</f>
        <v/>
      </c>
      <c r="P1118" s="3" t="inlineStr">
        <is>
          <t>2026-09-09</t>
        </is>
      </c>
      <c r="Q1118" s="4" t="inlineStr">
        <is>
          <t>Ferretería Ochoa (8A)</t>
        </is>
      </c>
    </row>
    <row r="1119">
      <c r="A1119" s="3" t="inlineStr">
        <is>
          <t>MAT-20-044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Planchuela de hierro negro 2" x 1/4" x 20 pies</t>
        </is>
      </c>
      <c r="E1119" s="4" t="inlineStr"/>
      <c r="F1119" s="3" t="inlineStr">
        <is>
          <t>unidad</t>
        </is>
      </c>
      <c r="G1119" s="3" t="inlineStr">
        <is>
          <t>Estructura</t>
        </is>
      </c>
      <c r="H1119" s="3" t="inlineStr">
        <is>
          <t>estandar</t>
        </is>
      </c>
      <c r="I1119" s="3" t="inlineStr">
        <is>
          <t>importado</t>
        </is>
      </c>
      <c r="J1119" s="5" t="n">
        <v>1</v>
      </c>
      <c r="K1119" s="6" t="n">
        <v>1189.99</v>
      </c>
      <c r="L1119" s="6" t="n">
        <v>1189.99</v>
      </c>
      <c r="M1119" s="6" t="n">
        <v>1189.99</v>
      </c>
      <c r="N1119" s="3" t="inlineStr">
        <is>
          <t>Sí</t>
        </is>
      </c>
      <c r="O1119" s="6">
        <f>IF(K1119="","",IF(N1119="Sí",ROUND(K1119/1.18,2),K1119))</f>
        <v/>
      </c>
      <c r="P1119" s="3" t="inlineStr">
        <is>
          <t>2026-09-09</t>
        </is>
      </c>
      <c r="Q1119" s="4" t="inlineStr">
        <is>
          <t>Ferretería Ochoa (8A)</t>
        </is>
      </c>
    </row>
    <row r="1120">
      <c r="A1120" s="3" t="inlineStr">
        <is>
          <t>MAT-20-045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Planchuela de hierro negro 2" x 3/8" x 20 pies</t>
        </is>
      </c>
      <c r="E1120" s="4" t="inlineStr"/>
      <c r="F1120" s="3" t="inlineStr">
        <is>
          <t>unidad</t>
        </is>
      </c>
      <c r="G1120" s="3" t="inlineStr">
        <is>
          <t>Estructura</t>
        </is>
      </c>
      <c r="H1120" s="3" t="inlineStr">
        <is>
          <t>estandar</t>
        </is>
      </c>
      <c r="I1120" s="3" t="inlineStr">
        <is>
          <t>importado</t>
        </is>
      </c>
      <c r="J1120" s="5" t="n">
        <v>1</v>
      </c>
      <c r="K1120" s="6" t="n">
        <v>1785</v>
      </c>
      <c r="L1120" s="6" t="n">
        <v>1785</v>
      </c>
      <c r="M1120" s="6" t="n">
        <v>1785</v>
      </c>
      <c r="N1120" s="3" t="inlineStr">
        <is>
          <t>Sí</t>
        </is>
      </c>
      <c r="O1120" s="6">
        <f>IF(K1120="","",IF(N1120="Sí",ROUND(K1120/1.18,2),K1120))</f>
        <v/>
      </c>
      <c r="P1120" s="3" t="inlineStr">
        <is>
          <t>2026-09-09</t>
        </is>
      </c>
      <c r="Q1120" s="4" t="inlineStr">
        <is>
          <t>Ferretería Ochoa (8A)</t>
        </is>
      </c>
    </row>
    <row r="1121">
      <c r="A1121" s="3" t="inlineStr">
        <is>
          <t>MAT-20-046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2" x 1/2" x 20 pies</t>
        </is>
      </c>
      <c r="E1121" s="4" t="inlineStr"/>
      <c r="F1121" s="3" t="inlineStr">
        <is>
          <t>unidad</t>
        </is>
      </c>
      <c r="G1121" s="3" t="inlineStr">
        <is>
          <t>Estructura</t>
        </is>
      </c>
      <c r="H1121" s="3" t="inlineStr">
        <is>
          <t>estandar</t>
        </is>
      </c>
      <c r="I1121" s="3" t="inlineStr">
        <is>
          <t>importado</t>
        </is>
      </c>
      <c r="J1121" s="5" t="n">
        <v>1</v>
      </c>
      <c r="K1121" s="6" t="n">
        <v>2380</v>
      </c>
      <c r="L1121" s="6" t="n">
        <v>2380</v>
      </c>
      <c r="M1121" s="6" t="n">
        <v>2380</v>
      </c>
      <c r="N1121" s="3" t="inlineStr">
        <is>
          <t>Sí</t>
        </is>
      </c>
      <c r="O1121" s="6">
        <f>IF(K1121="","",IF(N1121="Sí",ROUND(K1121/1.18,2),K1121))</f>
        <v/>
      </c>
      <c r="P1121" s="3" t="inlineStr">
        <is>
          <t>2026-09-09</t>
        </is>
      </c>
      <c r="Q1121" s="4" t="inlineStr">
        <is>
          <t>Ferretería Ochoa (8A)</t>
        </is>
      </c>
    </row>
    <row r="1122">
      <c r="A1122" s="3" t="inlineStr">
        <is>
          <t>MAT-20-047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2 1/2" x 1/4" x 20 pies</t>
        </is>
      </c>
      <c r="E1122" s="4" t="inlineStr"/>
      <c r="F1122" s="3" t="inlineStr">
        <is>
          <t>unidad</t>
        </is>
      </c>
      <c r="G1122" s="3" t="inlineStr">
        <is>
          <t>Estructura</t>
        </is>
      </c>
      <c r="H1122" s="3" t="inlineStr">
        <is>
          <t>estandar</t>
        </is>
      </c>
      <c r="I1122" s="3" t="inlineStr">
        <is>
          <t>importado</t>
        </is>
      </c>
      <c r="J1122" s="5" t="n">
        <v>1</v>
      </c>
      <c r="K1122" s="6" t="n">
        <v>1487.5</v>
      </c>
      <c r="L1122" s="6" t="n">
        <v>1487.5</v>
      </c>
      <c r="M1122" s="6" t="n">
        <v>1487.5</v>
      </c>
      <c r="N1122" s="3" t="inlineStr">
        <is>
          <t>Sí</t>
        </is>
      </c>
      <c r="O1122" s="6">
        <f>IF(K1122="","",IF(N1122="Sí",ROUND(K1122/1.18,2),K1122))</f>
        <v/>
      </c>
      <c r="P1122" s="3" t="inlineStr">
        <is>
          <t>2026-09-09</t>
        </is>
      </c>
      <c r="Q1122" s="4" t="inlineStr">
        <is>
          <t>Ferretería Ochoa (8A)</t>
        </is>
      </c>
    </row>
    <row r="1123">
      <c r="A1123" s="3" t="inlineStr">
        <is>
          <t>MAT-20-048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2 1/2" x 3/8" x 20 pies</t>
        </is>
      </c>
      <c r="E1123" s="4" t="inlineStr"/>
      <c r="F1123" s="3" t="inlineStr">
        <is>
          <t>unidad</t>
        </is>
      </c>
      <c r="G1123" s="3" t="inlineStr">
        <is>
          <t>Estructura</t>
        </is>
      </c>
      <c r="H1123" s="3" t="inlineStr">
        <is>
          <t>estandar</t>
        </is>
      </c>
      <c r="I1123" s="3" t="inlineStr">
        <is>
          <t>importado</t>
        </is>
      </c>
      <c r="J1123" s="5" t="n">
        <v>1</v>
      </c>
      <c r="K1123" s="6" t="n">
        <v>2231.6</v>
      </c>
      <c r="L1123" s="6" t="n">
        <v>2231.6</v>
      </c>
      <c r="M1123" s="6" t="n">
        <v>2231.6</v>
      </c>
      <c r="N1123" s="3" t="inlineStr">
        <is>
          <t>Sí</t>
        </is>
      </c>
      <c r="O1123" s="6">
        <f>IF(K1123="","",IF(N1123="Sí",ROUND(K1123/1.18,2),K1123))</f>
        <v/>
      </c>
      <c r="P1123" s="3" t="inlineStr">
        <is>
          <t>2026-09-09</t>
        </is>
      </c>
      <c r="Q1123" s="4" t="inlineStr">
        <is>
          <t>Ferretería Ochoa (8A)</t>
        </is>
      </c>
    </row>
    <row r="1124">
      <c r="A1124" s="3" t="inlineStr">
        <is>
          <t>MAT-20-049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3" x 1/4" x 20 pies</t>
        </is>
      </c>
      <c r="E1124" s="4" t="inlineStr"/>
      <c r="F1124" s="3" t="inlineStr">
        <is>
          <t>unidad</t>
        </is>
      </c>
      <c r="G1124" s="3" t="inlineStr">
        <is>
          <t>Estructura</t>
        </is>
      </c>
      <c r="H1124" s="3" t="inlineStr">
        <is>
          <t>estandar</t>
        </is>
      </c>
      <c r="I1124" s="3" t="inlineStr">
        <is>
          <t>importado</t>
        </is>
      </c>
      <c r="J1124" s="5" t="n">
        <v>1</v>
      </c>
      <c r="K1124" s="6" t="n">
        <v>1785</v>
      </c>
      <c r="L1124" s="6" t="n">
        <v>1785</v>
      </c>
      <c r="M1124" s="6" t="n">
        <v>1785</v>
      </c>
      <c r="N1124" s="3" t="inlineStr">
        <is>
          <t>Sí</t>
        </is>
      </c>
      <c r="O1124" s="6">
        <f>IF(K1124="","",IF(N1124="Sí",ROUND(K1124/1.18,2),K1124))</f>
        <v/>
      </c>
      <c r="P1124" s="3" t="inlineStr">
        <is>
          <t>2026-09-09</t>
        </is>
      </c>
      <c r="Q1124" s="4" t="inlineStr">
        <is>
          <t>Ferretería Ochoa (8A)</t>
        </is>
      </c>
    </row>
    <row r="1125">
      <c r="A1125" s="3" t="inlineStr">
        <is>
          <t>MAT-20-050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3" x 3/8" x 20 pies</t>
        </is>
      </c>
      <c r="E1125" s="4" t="inlineStr"/>
      <c r="F1125" s="3" t="inlineStr">
        <is>
          <t>unidad</t>
        </is>
      </c>
      <c r="G1125" s="3" t="inlineStr">
        <is>
          <t>Estructura</t>
        </is>
      </c>
      <c r="H1125" s="3" t="inlineStr">
        <is>
          <t>estandar</t>
        </is>
      </c>
      <c r="I1125" s="3" t="inlineStr">
        <is>
          <t>importado</t>
        </is>
      </c>
      <c r="J1125" s="5" t="n">
        <v>1</v>
      </c>
      <c r="K1125" s="6" t="n">
        <v>2677.62</v>
      </c>
      <c r="L1125" s="6" t="n">
        <v>2677.62</v>
      </c>
      <c r="M1125" s="6" t="n">
        <v>2677.62</v>
      </c>
      <c r="N1125" s="3" t="inlineStr">
        <is>
          <t>Sí</t>
        </is>
      </c>
      <c r="O1125" s="6">
        <f>IF(K1125="","",IF(N1125="Sí",ROUND(K1125/1.18,2),K1125))</f>
        <v/>
      </c>
      <c r="P1125" s="3" t="inlineStr">
        <is>
          <t>2026-09-09</t>
        </is>
      </c>
      <c r="Q1125" s="4" t="inlineStr">
        <is>
          <t>Ferretería Ochoa (8A)</t>
        </is>
      </c>
    </row>
    <row r="1126">
      <c r="A1126" s="3" t="inlineStr">
        <is>
          <t>MAT-20-051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4" x 1/4" x 20 pies</t>
        </is>
      </c>
      <c r="E1126" s="4" t="inlineStr"/>
      <c r="F1126" s="3" t="inlineStr">
        <is>
          <t>unidad</t>
        </is>
      </c>
      <c r="G1126" s="3" t="inlineStr">
        <is>
          <t>Estructura</t>
        </is>
      </c>
      <c r="H1126" s="3" t="inlineStr">
        <is>
          <t>estandar</t>
        </is>
      </c>
      <c r="I1126" s="3" t="inlineStr">
        <is>
          <t>importado</t>
        </is>
      </c>
      <c r="J1126" s="5" t="n">
        <v>1</v>
      </c>
      <c r="K1126" s="6" t="n">
        <v>2380</v>
      </c>
      <c r="L1126" s="6" t="n">
        <v>2380</v>
      </c>
      <c r="M1126" s="6" t="n">
        <v>2380</v>
      </c>
      <c r="N1126" s="3" t="inlineStr">
        <is>
          <t>Sí</t>
        </is>
      </c>
      <c r="O1126" s="6">
        <f>IF(K1126="","",IF(N1126="Sí",ROUND(K1126/1.18,2),K1126))</f>
        <v/>
      </c>
      <c r="P1126" s="3" t="inlineStr">
        <is>
          <t>2026-09-09</t>
        </is>
      </c>
      <c r="Q1126" s="4" t="inlineStr">
        <is>
          <t>Ferretería Ochoa (8A)</t>
        </is>
      </c>
    </row>
    <row r="1127">
      <c r="A1127" s="3" t="inlineStr">
        <is>
          <t>MAT-20-052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hierro negro 4" x 3/8" x 20 pies</t>
        </is>
      </c>
      <c r="E1127" s="4" t="inlineStr"/>
      <c r="F1127" s="3" t="inlineStr">
        <is>
          <t>unidad</t>
        </is>
      </c>
      <c r="G1127" s="3" t="inlineStr">
        <is>
          <t>Estructura</t>
        </is>
      </c>
      <c r="H1127" s="3" t="inlineStr">
        <is>
          <t>estandar</t>
        </is>
      </c>
      <c r="I1127" s="3" t="inlineStr">
        <is>
          <t>importado</t>
        </is>
      </c>
      <c r="J1127" s="5" t="n">
        <v>1</v>
      </c>
      <c r="K1127" s="6" t="n">
        <v>3982.5</v>
      </c>
      <c r="L1127" s="6" t="n">
        <v>3982.5</v>
      </c>
      <c r="M1127" s="6" t="n">
        <v>3982.5</v>
      </c>
      <c r="N1127" s="3" t="inlineStr">
        <is>
          <t>Sí</t>
        </is>
      </c>
      <c r="O1127" s="6">
        <f>IF(K1127="","",IF(N1127="Sí",ROUND(K1127/1.18,2),K1127))</f>
        <v/>
      </c>
      <c r="P1127" s="3" t="inlineStr">
        <is>
          <t>2026-09-09</t>
        </is>
      </c>
      <c r="Q1127" s="4" t="inlineStr">
        <is>
          <t>Ferretería Ochoa (8A)</t>
        </is>
      </c>
    </row>
    <row r="1128">
      <c r="A1128" s="3" t="inlineStr">
        <is>
          <t>MAT-20-053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Planchuela de acero inoxidable 2" x 1/8" x 20 pies</t>
        </is>
      </c>
      <c r="E1128" s="4" t="inlineStr"/>
      <c r="F1128" s="3" t="inlineStr">
        <is>
          <t>unidad</t>
        </is>
      </c>
      <c r="G1128" s="3" t="inlineStr">
        <is>
          <t>Estructura</t>
        </is>
      </c>
      <c r="H1128" s="3" t="inlineStr">
        <is>
          <t>premium</t>
        </is>
      </c>
      <c r="I1128" s="3" t="inlineStr">
        <is>
          <t>importado</t>
        </is>
      </c>
      <c r="J1128" s="5" t="n">
        <v>1</v>
      </c>
      <c r="K1128" s="6" t="n">
        <v>1397.2</v>
      </c>
      <c r="L1128" s="6" t="n">
        <v>1397.2</v>
      </c>
      <c r="M1128" s="6" t="n">
        <v>1397.2</v>
      </c>
      <c r="N1128" s="3" t="inlineStr">
        <is>
          <t>Sí</t>
        </is>
      </c>
      <c r="O1128" s="6">
        <f>IF(K1128="","",IF(N1128="Sí",ROUND(K1128/1.18,2),K1128))</f>
        <v/>
      </c>
      <c r="P1128" s="3" t="inlineStr">
        <is>
          <t>2026-09-09</t>
        </is>
      </c>
      <c r="Q1128" s="4" t="inlineStr">
        <is>
          <t>Ferretería Ochoa (8A)</t>
        </is>
      </c>
    </row>
    <row r="1129">
      <c r="A1129" s="3" t="inlineStr">
        <is>
          <t>MAT-20-054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Barra cuadrada de acero 7/16" x 20 pies</t>
        </is>
      </c>
      <c r="E1129" s="4" t="inlineStr"/>
      <c r="F1129" s="3" t="inlineStr">
        <is>
          <t>unidad</t>
        </is>
      </c>
      <c r="G1129" s="3" t="inlineStr">
        <is>
          <t>Estructura</t>
        </is>
      </c>
      <c r="H1129" s="3" t="inlineStr">
        <is>
          <t>estandar</t>
        </is>
      </c>
      <c r="I1129" s="3" t="inlineStr">
        <is>
          <t>importado</t>
        </is>
      </c>
      <c r="J1129" s="5" t="n">
        <v>1</v>
      </c>
      <c r="K1129" s="6" t="n">
        <v>411.76</v>
      </c>
      <c r="L1129" s="6" t="n">
        <v>411.76</v>
      </c>
      <c r="M1129" s="6" t="n">
        <v>411.76</v>
      </c>
      <c r="N1129" s="3" t="inlineStr">
        <is>
          <t>Sí</t>
        </is>
      </c>
      <c r="O1129" s="6">
        <f>IF(K1129="","",IF(N1129="Sí",ROUND(K1129/1.18,2),K1129))</f>
        <v/>
      </c>
      <c r="P1129" s="3" t="inlineStr">
        <is>
          <t>2026-09-09</t>
        </is>
      </c>
      <c r="Q1129" s="4" t="inlineStr">
        <is>
          <t>Ferretería Ochoa (8A)</t>
        </is>
      </c>
    </row>
    <row r="1130">
      <c r="A1130" s="3" t="inlineStr">
        <is>
          <t>MAT-20-055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Barra cuadrada de acero 1/2" x 20 pies</t>
        </is>
      </c>
      <c r="E1130" s="4" t="inlineStr"/>
      <c r="F1130" s="3" t="inlineStr">
        <is>
          <t>unidad</t>
        </is>
      </c>
      <c r="G1130" s="3" t="inlineStr">
        <is>
          <t>Estructura</t>
        </is>
      </c>
      <c r="H1130" s="3" t="inlineStr">
        <is>
          <t>estandar</t>
        </is>
      </c>
      <c r="I1130" s="3" t="inlineStr">
        <is>
          <t>importado</t>
        </is>
      </c>
      <c r="J1130" s="5" t="n">
        <v>1</v>
      </c>
      <c r="K1130" s="6" t="n">
        <v>538.46</v>
      </c>
      <c r="L1130" s="6" t="n">
        <v>538.46</v>
      </c>
      <c r="M1130" s="6" t="n">
        <v>538.46</v>
      </c>
      <c r="N1130" s="3" t="inlineStr">
        <is>
          <t>Sí</t>
        </is>
      </c>
      <c r="O1130" s="6">
        <f>IF(K1130="","",IF(N1130="Sí",ROUND(K1130/1.18,2),K1130))</f>
        <v/>
      </c>
      <c r="P1130" s="3" t="inlineStr">
        <is>
          <t>2026-09-09</t>
        </is>
      </c>
      <c r="Q1130" s="4" t="inlineStr">
        <is>
          <t>Ferretería Ochoa (8A)</t>
        </is>
      </c>
    </row>
    <row r="1131">
      <c r="A1131" s="3" t="inlineStr">
        <is>
          <t>MAT-20-056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Barra cuadrada de acero 5/8" x 20 pies</t>
        </is>
      </c>
      <c r="E1131" s="4" t="inlineStr"/>
      <c r="F1131" s="3" t="inlineStr">
        <is>
          <t>unidad</t>
        </is>
      </c>
      <c r="G1131" s="3" t="inlineStr">
        <is>
          <t>Estructura</t>
        </is>
      </c>
      <c r="H1131" s="3" t="inlineStr">
        <is>
          <t>estandar</t>
        </is>
      </c>
      <c r="I1131" s="3" t="inlineStr">
        <is>
          <t>importado</t>
        </is>
      </c>
      <c r="J1131" s="5" t="n">
        <v>1</v>
      </c>
      <c r="K1131" s="6" t="n">
        <v>843.37</v>
      </c>
      <c r="L1131" s="6" t="n">
        <v>843.37</v>
      </c>
      <c r="M1131" s="6" t="n">
        <v>843.37</v>
      </c>
      <c r="N1131" s="3" t="inlineStr">
        <is>
          <t>Sí</t>
        </is>
      </c>
      <c r="O1131" s="6">
        <f>IF(K1131="","",IF(N1131="Sí",ROUND(K1131/1.18,2),K1131))</f>
        <v/>
      </c>
      <c r="P1131" s="3" t="inlineStr">
        <is>
          <t>2026-09-09</t>
        </is>
      </c>
      <c r="Q1131" s="4" t="inlineStr">
        <is>
          <t>Ferretería Ochoa (8A)</t>
        </is>
      </c>
    </row>
    <row r="1132">
      <c r="A1132" s="3" t="inlineStr">
        <is>
          <t>MAT-20-057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Barra redonda de acero 3/8" x 20 pies</t>
        </is>
      </c>
      <c r="E1132" s="4" t="inlineStr"/>
      <c r="F1132" s="3" t="inlineStr">
        <is>
          <t>unidad</t>
        </is>
      </c>
      <c r="G1132" s="3" t="inlineStr">
        <is>
          <t>Estructura</t>
        </is>
      </c>
      <c r="H1132" s="3" t="inlineStr">
        <is>
          <t>estandar</t>
        </is>
      </c>
      <c r="I1132" s="3" t="inlineStr">
        <is>
          <t>importado</t>
        </is>
      </c>
      <c r="J1132" s="5" t="n">
        <v>1</v>
      </c>
      <c r="K1132" s="6" t="n">
        <v>238.1</v>
      </c>
      <c r="L1132" s="6" t="n">
        <v>238.1</v>
      </c>
      <c r="M1132" s="6" t="n">
        <v>238.1</v>
      </c>
      <c r="N1132" s="3" t="inlineStr">
        <is>
          <t>Sí</t>
        </is>
      </c>
      <c r="O1132" s="6">
        <f>IF(K1132="","",IF(N1132="Sí",ROUND(K1132/1.18,2),K1132))</f>
        <v/>
      </c>
      <c r="P1132" s="3" t="inlineStr">
        <is>
          <t>2026-09-09</t>
        </is>
      </c>
      <c r="Q1132" s="4" t="inlineStr">
        <is>
          <t>Ferretería Ochoa (8A)</t>
        </is>
      </c>
    </row>
    <row r="1133">
      <c r="A1133" s="3" t="inlineStr">
        <is>
          <t>MAT-20-058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Barra redonda de acero 1/2" x 20 pies</t>
        </is>
      </c>
      <c r="E1133" s="4" t="inlineStr"/>
      <c r="F1133" s="3" t="inlineStr">
        <is>
          <t>unidad</t>
        </is>
      </c>
      <c r="G1133" s="3" t="inlineStr">
        <is>
          <t>Estructura</t>
        </is>
      </c>
      <c r="H1133" s="3" t="inlineStr">
        <is>
          <t>estandar</t>
        </is>
      </c>
      <c r="I1133" s="3" t="inlineStr">
        <is>
          <t>importado</t>
        </is>
      </c>
      <c r="J1133" s="5" t="n">
        <v>1</v>
      </c>
      <c r="K1133" s="6" t="n">
        <v>421.68</v>
      </c>
      <c r="L1133" s="6" t="n">
        <v>421.68</v>
      </c>
      <c r="M1133" s="6" t="n">
        <v>421.68</v>
      </c>
      <c r="N1133" s="3" t="inlineStr">
        <is>
          <t>Sí</t>
        </is>
      </c>
      <c r="O1133" s="6">
        <f>IF(K1133="","",IF(N1133="Sí",ROUND(K1133/1.18,2),K1133))</f>
        <v/>
      </c>
      <c r="P1133" s="3" t="inlineStr">
        <is>
          <t>2026-09-09</t>
        </is>
      </c>
      <c r="Q1133" s="4" t="inlineStr">
        <is>
          <t>Ferretería Ochoa (8A)</t>
        </is>
      </c>
    </row>
    <row r="1134">
      <c r="A1134" s="3" t="inlineStr">
        <is>
          <t>MAT-20-059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Barra redonda de acero 5/8" x 20 pies</t>
        </is>
      </c>
      <c r="E1134" s="4" t="inlineStr"/>
      <c r="F1134" s="3" t="inlineStr">
        <is>
          <t>unidad</t>
        </is>
      </c>
      <c r="G1134" s="3" t="inlineStr">
        <is>
          <t>Estructura</t>
        </is>
      </c>
      <c r="H1134" s="3" t="inlineStr">
        <is>
          <t>estandar</t>
        </is>
      </c>
      <c r="I1134" s="3" t="inlineStr">
        <is>
          <t>importado</t>
        </is>
      </c>
      <c r="J1134" s="5" t="n">
        <v>1</v>
      </c>
      <c r="K1134" s="6" t="n">
        <v>660.38</v>
      </c>
      <c r="L1134" s="6" t="n">
        <v>660.38</v>
      </c>
      <c r="M1134" s="6" t="n">
        <v>660.38</v>
      </c>
      <c r="N1134" s="3" t="inlineStr">
        <is>
          <t>Sí</t>
        </is>
      </c>
      <c r="O1134" s="6">
        <f>IF(K1134="","",IF(N1134="Sí",ROUND(K1134/1.18,2),K1134))</f>
        <v/>
      </c>
      <c r="P1134" s="3" t="inlineStr">
        <is>
          <t>2026-09-09</t>
        </is>
      </c>
      <c r="Q1134" s="4" t="inlineStr">
        <is>
          <t>Ferretería Ochoa (8A)</t>
        </is>
      </c>
    </row>
    <row r="1135">
      <c r="A1135" s="3" t="inlineStr">
        <is>
          <t>MAT-20-060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Barra redonda de acero 3/4" x 20 pies</t>
        </is>
      </c>
      <c r="E1135" s="4" t="inlineStr"/>
      <c r="F1135" s="3" t="inlineStr">
        <is>
          <t>unidad</t>
        </is>
      </c>
      <c r="G1135" s="3" t="inlineStr">
        <is>
          <t>Estructura</t>
        </is>
      </c>
      <c r="H1135" s="3" t="inlineStr">
        <is>
          <t>estandar</t>
        </is>
      </c>
      <c r="I1135" s="3" t="inlineStr">
        <is>
          <t>importado</t>
        </is>
      </c>
      <c r="J1135" s="5" t="n">
        <v>1</v>
      </c>
      <c r="K1135" s="6" t="n">
        <v>945.95</v>
      </c>
      <c r="L1135" s="6" t="n">
        <v>945.95</v>
      </c>
      <c r="M1135" s="6" t="n">
        <v>945.95</v>
      </c>
      <c r="N1135" s="3" t="inlineStr">
        <is>
          <t>Sí</t>
        </is>
      </c>
      <c r="O1135" s="6">
        <f>IF(K1135="","",IF(N1135="Sí",ROUND(K1135/1.18,2),K1135))</f>
        <v/>
      </c>
      <c r="P1135" s="3" t="inlineStr">
        <is>
          <t>2026-09-09</t>
        </is>
      </c>
      <c r="Q1135" s="4" t="inlineStr">
        <is>
          <t>Ferretería Ochoa (8A)</t>
        </is>
      </c>
    </row>
    <row r="1136">
      <c r="A1136" s="3" t="inlineStr">
        <is>
          <t>MAT-20-061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Barra redonda de acero 1" x 20 pies</t>
        </is>
      </c>
      <c r="E1136" s="4" t="inlineStr"/>
      <c r="F1136" s="3" t="inlineStr">
        <is>
          <t>unidad</t>
        </is>
      </c>
      <c r="G1136" s="3" t="inlineStr">
        <is>
          <t>Estructura</t>
        </is>
      </c>
      <c r="H1136" s="3" t="inlineStr">
        <is>
          <t>estandar</t>
        </is>
      </c>
      <c r="I1136" s="3" t="inlineStr">
        <is>
          <t>importado</t>
        </is>
      </c>
      <c r="J1136" s="5" t="n">
        <v>1</v>
      </c>
      <c r="K1136" s="6" t="n">
        <v>1666.67</v>
      </c>
      <c r="L1136" s="6" t="n">
        <v>1666.67</v>
      </c>
      <c r="M1136" s="6" t="n">
        <v>1666.67</v>
      </c>
      <c r="N1136" s="3" t="inlineStr">
        <is>
          <t>Sí</t>
        </is>
      </c>
      <c r="O1136" s="6">
        <f>IF(K1136="","",IF(N1136="Sí",ROUND(K1136/1.18,2),K1136))</f>
        <v/>
      </c>
      <c r="P1136" s="3" t="inlineStr">
        <is>
          <t>2026-09-09</t>
        </is>
      </c>
      <c r="Q1136" s="4" t="inlineStr">
        <is>
          <t>Ferretería Ochoa (8A)</t>
        </is>
      </c>
    </row>
    <row r="1137">
      <c r="A1137" s="3" t="inlineStr">
        <is>
          <t>MAT-20-062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Barra redonda torneada de acero 7/16" x 20 pies</t>
        </is>
      </c>
      <c r="E1137" s="4" t="inlineStr"/>
      <c r="F1137" s="3" t="inlineStr">
        <is>
          <t>unidad</t>
        </is>
      </c>
      <c r="G1137" s="3" t="inlineStr">
        <is>
          <t>Estructura</t>
        </is>
      </c>
      <c r="H1137" s="3" t="inlineStr">
        <is>
          <t>estandar</t>
        </is>
      </c>
      <c r="I1137" s="3" t="inlineStr">
        <is>
          <t>importado</t>
        </is>
      </c>
      <c r="J1137" s="5" t="n">
        <v>1</v>
      </c>
      <c r="K1137" s="6" t="n">
        <v>426.77</v>
      </c>
      <c r="L1137" s="6" t="n">
        <v>426.77</v>
      </c>
      <c r="M1137" s="6" t="n">
        <v>426.77</v>
      </c>
      <c r="N1137" s="3" t="inlineStr">
        <is>
          <t>Sí</t>
        </is>
      </c>
      <c r="O1137" s="6">
        <f>IF(K1137="","",IF(N1137="Sí",ROUND(K1137/1.18,2),K1137))</f>
        <v/>
      </c>
      <c r="P1137" s="3" t="inlineStr">
        <is>
          <t>2026-09-09</t>
        </is>
      </c>
      <c r="Q1137" s="4" t="inlineStr">
        <is>
          <t>Ferretería Ochoa (8A)</t>
        </is>
      </c>
    </row>
    <row r="1138">
      <c r="A1138" s="3" t="inlineStr">
        <is>
          <t>MAT-20-063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Barra redonda torneada de acero 1/2" x 20 pies</t>
        </is>
      </c>
      <c r="E1138" s="4" t="inlineStr"/>
      <c r="F1138" s="3" t="inlineStr">
        <is>
          <t>unidad</t>
        </is>
      </c>
      <c r="G1138" s="3" t="inlineStr">
        <is>
          <t>Estructura</t>
        </is>
      </c>
      <c r="H1138" s="3" t="inlineStr">
        <is>
          <t>estandar</t>
        </is>
      </c>
      <c r="I1138" s="3" t="inlineStr">
        <is>
          <t>importado</t>
        </is>
      </c>
      <c r="J1138" s="5" t="n">
        <v>1</v>
      </c>
      <c r="K1138" s="6" t="n">
        <v>553.47</v>
      </c>
      <c r="L1138" s="6" t="n">
        <v>553.47</v>
      </c>
      <c r="M1138" s="6" t="n">
        <v>553.47</v>
      </c>
      <c r="N1138" s="3" t="inlineStr">
        <is>
          <t>Sí</t>
        </is>
      </c>
      <c r="O1138" s="6">
        <f>IF(K1138="","",IF(N1138="Sí",ROUND(K1138/1.18,2),K1138))</f>
        <v/>
      </c>
      <c r="P1138" s="3" t="inlineStr">
        <is>
          <t>2026-09-09</t>
        </is>
      </c>
      <c r="Q1138" s="4" t="inlineStr">
        <is>
          <t>Ferretería Ochoa (8A)</t>
        </is>
      </c>
    </row>
    <row r="1139">
      <c r="A1139" s="3" t="inlineStr">
        <is>
          <t>MAT-20-064</t>
        </is>
      </c>
      <c r="B1139" s="3" t="inlineStr">
        <is>
          <t>Materiales</t>
        </is>
      </c>
      <c r="C1139" s="3" t="inlineStr">
        <is>
          <t>Angulares, planchuelas y barras</t>
        </is>
      </c>
      <c r="D1139" s="4" t="inlineStr">
        <is>
          <t>Barra redonda torneada de acero 5/8" x 20 pies</t>
        </is>
      </c>
      <c r="E1139" s="4" t="inlineStr"/>
      <c r="F1139" s="3" t="inlineStr">
        <is>
          <t>unidad</t>
        </is>
      </c>
      <c r="G1139" s="3" t="inlineStr">
        <is>
          <t>Estructura</t>
        </is>
      </c>
      <c r="H1139" s="3" t="inlineStr">
        <is>
          <t>estandar</t>
        </is>
      </c>
      <c r="I1139" s="3" t="inlineStr">
        <is>
          <t>importado</t>
        </is>
      </c>
      <c r="J1139" s="5" t="n">
        <v>1</v>
      </c>
      <c r="K1139" s="6" t="n">
        <v>858.38</v>
      </c>
      <c r="L1139" s="6" t="n">
        <v>858.38</v>
      </c>
      <c r="M1139" s="6" t="n">
        <v>858.38</v>
      </c>
      <c r="N1139" s="3" t="inlineStr">
        <is>
          <t>Sí</t>
        </is>
      </c>
      <c r="O1139" s="6">
        <f>IF(K1139="","",IF(N1139="Sí",ROUND(K1139/1.18,2),K1139))</f>
        <v/>
      </c>
      <c r="P1139" s="3" t="inlineStr">
        <is>
          <t>2026-09-09</t>
        </is>
      </c>
      <c r="Q1139" s="4" t="inlineStr">
        <is>
          <t>Ferretería Ochoa (8A)</t>
        </is>
      </c>
    </row>
    <row r="1140">
      <c r="A1140" s="3" t="inlineStr">
        <is>
          <t>MAT-21-001</t>
        </is>
      </c>
      <c r="B1140" s="3" t="inlineStr">
        <is>
          <t>Materiales</t>
        </is>
      </c>
      <c r="C1140" s="3" t="inlineStr">
        <is>
          <t>Tolas y láminas de acero</t>
        </is>
      </c>
      <c r="D1140" s="4" t="inlineStr">
        <is>
          <t>Tola negra 1/32", plancha 4 x 8 pies</t>
        </is>
      </c>
      <c r="E1140" s="4" t="inlineStr">
        <is>
          <t>Peso 40.8 lb</t>
        </is>
      </c>
      <c r="F1140" s="3" t="inlineStr">
        <is>
          <t>plancha</t>
        </is>
      </c>
      <c r="G1140" s="3" t="inlineStr">
        <is>
          <t>Estructura</t>
        </is>
      </c>
      <c r="H1140" s="3" t="inlineStr">
        <is>
          <t>estandar</t>
        </is>
      </c>
      <c r="I1140" s="3" t="inlineStr">
        <is>
          <t>importado</t>
        </is>
      </c>
      <c r="J1140" s="5" t="n">
        <v>1</v>
      </c>
      <c r="K1140" s="6" t="n">
        <v>1113.61</v>
      </c>
      <c r="L1140" s="6" t="n">
        <v>1113.61</v>
      </c>
      <c r="M1140" s="6" t="n">
        <v>1113.61</v>
      </c>
      <c r="N1140" s="3" t="inlineStr">
        <is>
          <t>Sí</t>
        </is>
      </c>
      <c r="O1140" s="6">
        <f>IF(K1140="","",IF(N1140="Sí",ROUND(K1140/1.18,2),K1140))</f>
        <v/>
      </c>
      <c r="P1140" s="3" t="inlineStr">
        <is>
          <t>2026-09-09</t>
        </is>
      </c>
      <c r="Q1140" s="4" t="inlineStr">
        <is>
          <t>Ferretería Ochoa (8A)</t>
        </is>
      </c>
    </row>
    <row r="1141">
      <c r="A1141" s="3" t="inlineStr">
        <is>
          <t>MAT-21-002</t>
        </is>
      </c>
      <c r="B1141" s="3" t="inlineStr">
        <is>
          <t>Materiales</t>
        </is>
      </c>
      <c r="C1141" s="3" t="inlineStr">
        <is>
          <t>Tolas y láminas de acero</t>
        </is>
      </c>
      <c r="D1141" s="4" t="inlineStr">
        <is>
          <t>Tola negra 1/22", plancha 4 x 8 pies</t>
        </is>
      </c>
      <c r="E1141" s="4" t="inlineStr">
        <is>
          <t>Peso 59.34 lb</t>
        </is>
      </c>
      <c r="F1141" s="3" t="inlineStr">
        <is>
          <t>plancha</t>
        </is>
      </c>
      <c r="G1141" s="3" t="inlineStr">
        <is>
          <t>Estructura</t>
        </is>
      </c>
      <c r="H1141" s="3" t="inlineStr">
        <is>
          <t>estandar</t>
        </is>
      </c>
      <c r="I1141" s="3" t="inlineStr">
        <is>
          <t>importado</t>
        </is>
      </c>
      <c r="J1141" s="5" t="n">
        <v>1</v>
      </c>
      <c r="K1141" s="6" t="n">
        <v>1497.04</v>
      </c>
      <c r="L1141" s="6" t="n">
        <v>1497.04</v>
      </c>
      <c r="M1141" s="6" t="n">
        <v>1497.04</v>
      </c>
      <c r="N1141" s="3" t="inlineStr">
        <is>
          <t>Sí</t>
        </is>
      </c>
      <c r="O1141" s="6">
        <f>IF(K1141="","",IF(N1141="Sí",ROUND(K1141/1.18,2),K1141))</f>
        <v/>
      </c>
      <c r="P1141" s="3" t="inlineStr">
        <is>
          <t>2026-09-09</t>
        </is>
      </c>
      <c r="Q1141" s="4" t="inlineStr">
        <is>
          <t>Ferretería Ochoa (8A)</t>
        </is>
      </c>
    </row>
    <row r="1142">
      <c r="A1142" s="3" t="inlineStr">
        <is>
          <t>MAT-21-003</t>
        </is>
      </c>
      <c r="B1142" s="3" t="inlineStr">
        <is>
          <t>Materiales</t>
        </is>
      </c>
      <c r="C1142" s="3" t="inlineStr">
        <is>
          <t>Tolas y láminas de acero</t>
        </is>
      </c>
      <c r="D1142" s="4" t="inlineStr">
        <is>
          <t>Tola negra 1/16", plancha 4 x 10 pies</t>
        </is>
      </c>
      <c r="E1142" s="4" t="inlineStr">
        <is>
          <t>Peso 102 lb</t>
        </is>
      </c>
      <c r="F1142" s="3" t="inlineStr">
        <is>
          <t>plancha</t>
        </is>
      </c>
      <c r="G1142" s="3" t="inlineStr">
        <is>
          <t>Estructura</t>
        </is>
      </c>
      <c r="H1142" s="3" t="inlineStr">
        <is>
          <t>estandar</t>
        </is>
      </c>
      <c r="I1142" s="3" t="inlineStr">
        <is>
          <t>importado</t>
        </is>
      </c>
      <c r="J1142" s="5" t="n">
        <v>1</v>
      </c>
      <c r="K1142" s="6" t="n">
        <v>2938.54</v>
      </c>
      <c r="L1142" s="6" t="n">
        <v>2938.54</v>
      </c>
      <c r="M1142" s="6" t="n">
        <v>2938.54</v>
      </c>
      <c r="N1142" s="3" t="inlineStr">
        <is>
          <t>Sí</t>
        </is>
      </c>
      <c r="O1142" s="6">
        <f>IF(K1142="","",IF(N1142="Sí",ROUND(K1142/1.18,2),K1142))</f>
        <v/>
      </c>
      <c r="P1142" s="3" t="inlineStr">
        <is>
          <t>2026-09-09</t>
        </is>
      </c>
      <c r="Q1142" s="4" t="inlineStr">
        <is>
          <t>Ferretería Ochoa (8A)</t>
        </is>
      </c>
    </row>
    <row r="1143">
      <c r="A1143" s="3" t="inlineStr">
        <is>
          <t>MAT-21-004</t>
        </is>
      </c>
      <c r="B1143" s="3" t="inlineStr">
        <is>
          <t>Materiales</t>
        </is>
      </c>
      <c r="C1143" s="3" t="inlineStr">
        <is>
          <t>Tolas y láminas de acero</t>
        </is>
      </c>
      <c r="D1143" s="4" t="inlineStr">
        <is>
          <t>Tola negra 1/16", plancha 4 x 8 pies</t>
        </is>
      </c>
      <c r="E1143" s="4" t="inlineStr">
        <is>
          <t>Peso 81.61 lb</t>
        </is>
      </c>
      <c r="F1143" s="3" t="inlineStr">
        <is>
          <t>plancha</t>
        </is>
      </c>
      <c r="G1143" s="3" t="inlineStr">
        <is>
          <t>Estructura</t>
        </is>
      </c>
      <c r="H1143" s="3" t="inlineStr">
        <is>
          <t>estandar</t>
        </is>
      </c>
      <c r="I1143" s="3" t="inlineStr">
        <is>
          <t>importado</t>
        </is>
      </c>
      <c r="J1143" s="5" t="n">
        <v>1</v>
      </c>
      <c r="K1143" s="6" t="n">
        <v>2224.54</v>
      </c>
      <c r="L1143" s="6" t="n">
        <v>2224.54</v>
      </c>
      <c r="M1143" s="6" t="n">
        <v>2224.54</v>
      </c>
      <c r="N1143" s="3" t="inlineStr">
        <is>
          <t>Sí</t>
        </is>
      </c>
      <c r="O1143" s="6">
        <f>IF(K1143="","",IF(N1143="Sí",ROUND(K1143/1.18,2),K1143))</f>
        <v/>
      </c>
      <c r="P1143" s="3" t="inlineStr">
        <is>
          <t>2026-09-09</t>
        </is>
      </c>
      <c r="Q1143" s="4" t="inlineStr">
        <is>
          <t>Ferretería Ochoa (8A)</t>
        </is>
      </c>
    </row>
    <row r="1144">
      <c r="A1144" s="3" t="inlineStr">
        <is>
          <t>MAT-21-005</t>
        </is>
      </c>
      <c r="B1144" s="3" t="inlineStr">
        <is>
          <t>Materiales</t>
        </is>
      </c>
      <c r="C1144" s="3" t="inlineStr">
        <is>
          <t>Tolas y láminas de acero</t>
        </is>
      </c>
      <c r="D1144" s="4" t="inlineStr">
        <is>
          <t>Tola negra 3/32", plancha 4 x 8 pies</t>
        </is>
      </c>
      <c r="E1144" s="4" t="inlineStr">
        <is>
          <t>Peso 122.4 lb</t>
        </is>
      </c>
      <c r="F1144" s="3" t="inlineStr">
        <is>
          <t>plancha</t>
        </is>
      </c>
      <c r="G1144" s="3" t="inlineStr">
        <is>
          <t>Estructura</t>
        </is>
      </c>
      <c r="H1144" s="3" t="inlineStr">
        <is>
          <t>estandar</t>
        </is>
      </c>
      <c r="I1144" s="3" t="inlineStr">
        <is>
          <t>importado</t>
        </is>
      </c>
      <c r="J1144" s="5" t="n">
        <v>1</v>
      </c>
      <c r="K1144" s="6" t="n">
        <v>3132.92</v>
      </c>
      <c r="L1144" s="6" t="n">
        <v>3132.92</v>
      </c>
      <c r="M1144" s="6" t="n">
        <v>3132.92</v>
      </c>
      <c r="N1144" s="3" t="inlineStr">
        <is>
          <t>Sí</t>
        </is>
      </c>
      <c r="O1144" s="6">
        <f>IF(K1144="","",IF(N1144="Sí",ROUND(K1144/1.18,2),K1144))</f>
        <v/>
      </c>
      <c r="P1144" s="3" t="inlineStr">
        <is>
          <t>2026-09-09</t>
        </is>
      </c>
      <c r="Q1144" s="4" t="inlineStr">
        <is>
          <t>Ferretería Ochoa (8A)</t>
        </is>
      </c>
    </row>
    <row r="1145">
      <c r="A1145" s="3" t="inlineStr">
        <is>
          <t>MAT-21-006</t>
        </is>
      </c>
      <c r="B1145" s="3" t="inlineStr">
        <is>
          <t>Materiales</t>
        </is>
      </c>
      <c r="C1145" s="3" t="inlineStr">
        <is>
          <t>Tolas y láminas de acero</t>
        </is>
      </c>
      <c r="D1145" s="4" t="inlineStr">
        <is>
          <t>Tola negra 1/8", plancha 4 x 10 pies</t>
        </is>
      </c>
      <c r="E1145" s="4" t="inlineStr">
        <is>
          <t>Peso 204 lb</t>
        </is>
      </c>
      <c r="F1145" s="3" t="inlineStr">
        <is>
          <t>plancha</t>
        </is>
      </c>
      <c r="G1145" s="3" t="inlineStr">
        <is>
          <t>Estructura</t>
        </is>
      </c>
      <c r="H1145" s="3" t="inlineStr">
        <is>
          <t>estandar</t>
        </is>
      </c>
      <c r="I1145" s="3" t="inlineStr">
        <is>
          <t>importado</t>
        </is>
      </c>
      <c r="J1145" s="5" t="n">
        <v>1</v>
      </c>
      <c r="K1145" s="6" t="n">
        <v>5622.83</v>
      </c>
      <c r="L1145" s="6" t="n">
        <v>5622.83</v>
      </c>
      <c r="M1145" s="6" t="n">
        <v>5622.83</v>
      </c>
      <c r="N1145" s="3" t="inlineStr">
        <is>
          <t>Sí</t>
        </is>
      </c>
      <c r="O1145" s="6">
        <f>IF(K1145="","",IF(N1145="Sí",ROUND(K1145/1.18,2),K1145))</f>
        <v/>
      </c>
      <c r="P1145" s="3" t="inlineStr">
        <is>
          <t>2026-09-09</t>
        </is>
      </c>
      <c r="Q1145" s="4" t="inlineStr">
        <is>
          <t>Ferretería Ochoa (8A)</t>
        </is>
      </c>
    </row>
    <row r="1146">
      <c r="A1146" s="3" t="inlineStr">
        <is>
          <t>MAT-21-007</t>
        </is>
      </c>
      <c r="B1146" s="3" t="inlineStr">
        <is>
          <t>Materiales</t>
        </is>
      </c>
      <c r="C1146" s="3" t="inlineStr">
        <is>
          <t>Tolas y láminas de acero</t>
        </is>
      </c>
      <c r="D1146" s="4" t="inlineStr">
        <is>
          <t>Tola negra 1/8", plancha 4 x 8 pies</t>
        </is>
      </c>
      <c r="E1146" s="4" t="inlineStr">
        <is>
          <t>Peso 163.2 lb</t>
        </is>
      </c>
      <c r="F1146" s="3" t="inlineStr">
        <is>
          <t>plancha</t>
        </is>
      </c>
      <c r="G1146" s="3" t="inlineStr">
        <is>
          <t>Estructura</t>
        </is>
      </c>
      <c r="H1146" s="3" t="inlineStr">
        <is>
          <t>estandar</t>
        </is>
      </c>
      <c r="I1146" s="3" t="inlineStr">
        <is>
          <t>importado</t>
        </is>
      </c>
      <c r="J1146" s="5" t="n">
        <v>1</v>
      </c>
      <c r="K1146" s="6" t="n">
        <v>4104.8</v>
      </c>
      <c r="L1146" s="6" t="n">
        <v>4104.8</v>
      </c>
      <c r="M1146" s="6" t="n">
        <v>4104.8</v>
      </c>
      <c r="N1146" s="3" t="inlineStr">
        <is>
          <t>Sí</t>
        </is>
      </c>
      <c r="O1146" s="6">
        <f>IF(K1146="","",IF(N1146="Sí",ROUND(K1146/1.18,2),K1146))</f>
        <v/>
      </c>
      <c r="P1146" s="3" t="inlineStr">
        <is>
          <t>2026-09-09</t>
        </is>
      </c>
      <c r="Q1146" s="4" t="inlineStr">
        <is>
          <t>Ferretería Ochoa (8A)</t>
        </is>
      </c>
    </row>
    <row r="1147">
      <c r="A1147" s="3" t="inlineStr">
        <is>
          <t>MAT-21-008</t>
        </is>
      </c>
      <c r="B1147" s="3" t="inlineStr">
        <is>
          <t>Materiales</t>
        </is>
      </c>
      <c r="C1147" s="3" t="inlineStr">
        <is>
          <t>Tolas y láminas de acero</t>
        </is>
      </c>
      <c r="D1147" s="4" t="inlineStr">
        <is>
          <t>Tola negra 1/8", plancha 5 x 10 pies</t>
        </is>
      </c>
      <c r="E1147" s="4" t="inlineStr">
        <is>
          <t>Peso 255 lb</t>
        </is>
      </c>
      <c r="F1147" s="3" t="inlineStr">
        <is>
          <t>plancha</t>
        </is>
      </c>
      <c r="G1147" s="3" t="inlineStr">
        <is>
          <t>Estructura</t>
        </is>
      </c>
      <c r="H1147" s="3" t="inlineStr">
        <is>
          <t>estandar</t>
        </is>
      </c>
      <c r="I1147" s="3" t="inlineStr">
        <is>
          <t>importado</t>
        </is>
      </c>
      <c r="J1147" s="5" t="n">
        <v>1</v>
      </c>
      <c r="K1147" s="6" t="n">
        <v>6428.83</v>
      </c>
      <c r="L1147" s="6" t="n">
        <v>6428.83</v>
      </c>
      <c r="M1147" s="6" t="n">
        <v>6428.83</v>
      </c>
      <c r="N1147" s="3" t="inlineStr">
        <is>
          <t>Sí</t>
        </is>
      </c>
      <c r="O1147" s="6">
        <f>IF(K1147="","",IF(N1147="Sí",ROUND(K1147/1.18,2),K1147))</f>
        <v/>
      </c>
      <c r="P1147" s="3" t="inlineStr">
        <is>
          <t>2026-09-09</t>
        </is>
      </c>
      <c r="Q1147" s="4" t="inlineStr">
        <is>
          <t>Ferretería Ochoa (8A)</t>
        </is>
      </c>
    </row>
    <row r="1148">
      <c r="A1148" s="3" t="inlineStr">
        <is>
          <t>MAT-21-009</t>
        </is>
      </c>
      <c r="B1148" s="3" t="inlineStr">
        <is>
          <t>Materiales</t>
        </is>
      </c>
      <c r="C1148" s="3" t="inlineStr">
        <is>
          <t>Tolas y láminas de acero</t>
        </is>
      </c>
      <c r="D1148" s="4" t="inlineStr">
        <is>
          <t>Tola negra 3/16", plancha 4 x 8 pies</t>
        </is>
      </c>
      <c r="E1148" s="4" t="inlineStr">
        <is>
          <t>Peso 244.8 lb</t>
        </is>
      </c>
      <c r="F1148" s="3" t="inlineStr">
        <is>
          <t>plancha</t>
        </is>
      </c>
      <c r="G1148" s="3" t="inlineStr">
        <is>
          <t>Estructura</t>
        </is>
      </c>
      <c r="H1148" s="3" t="inlineStr">
        <is>
          <t>estandar</t>
        </is>
      </c>
      <c r="I1148" s="3" t="inlineStr">
        <is>
          <t>importado</t>
        </is>
      </c>
      <c r="J1148" s="5" t="n">
        <v>1</v>
      </c>
      <c r="K1148" s="6" t="n">
        <v>6678.8</v>
      </c>
      <c r="L1148" s="6" t="n">
        <v>6678.8</v>
      </c>
      <c r="M1148" s="6" t="n">
        <v>6678.8</v>
      </c>
      <c r="N1148" s="3" t="inlineStr">
        <is>
          <t>Sí</t>
        </is>
      </c>
      <c r="O1148" s="6">
        <f>IF(K1148="","",IF(N1148="Sí",ROUND(K1148/1.18,2),K1148))</f>
        <v/>
      </c>
      <c r="P1148" s="3" t="inlineStr">
        <is>
          <t>2026-09-09</t>
        </is>
      </c>
      <c r="Q1148" s="4" t="inlineStr">
        <is>
          <t>Ferretería Ochoa (8A)</t>
        </is>
      </c>
    </row>
    <row r="1149">
      <c r="A1149" s="3" t="inlineStr">
        <is>
          <t>MAT-21-010</t>
        </is>
      </c>
      <c r="B1149" s="3" t="inlineStr">
        <is>
          <t>Materiales</t>
        </is>
      </c>
      <c r="C1149" s="3" t="inlineStr">
        <is>
          <t>Tolas y láminas de acero</t>
        </is>
      </c>
      <c r="D1149" s="4" t="inlineStr">
        <is>
          <t>Tola negra 3/16", plancha 5 x 10 pies</t>
        </is>
      </c>
      <c r="E1149" s="4" t="inlineStr">
        <is>
          <t>Peso 382.5 lb</t>
        </is>
      </c>
      <c r="F1149" s="3" t="inlineStr">
        <is>
          <t>plancha</t>
        </is>
      </c>
      <c r="G1149" s="3" t="inlineStr">
        <is>
          <t>Estructura</t>
        </is>
      </c>
      <c r="H1149" s="3" t="inlineStr">
        <is>
          <t>estandar</t>
        </is>
      </c>
      <c r="I1149" s="3" t="inlineStr">
        <is>
          <t>importado</t>
        </is>
      </c>
      <c r="J1149" s="5" t="n">
        <v>1</v>
      </c>
      <c r="K1149" s="6" t="n">
        <v>10410.48</v>
      </c>
      <c r="L1149" s="6" t="n">
        <v>10410.48</v>
      </c>
      <c r="M1149" s="6" t="n">
        <v>10410.48</v>
      </c>
      <c r="N1149" s="3" t="inlineStr">
        <is>
          <t>Sí</t>
        </is>
      </c>
      <c r="O1149" s="6">
        <f>IF(K1149="","",IF(N1149="Sí",ROUND(K1149/1.18,2),K1149))</f>
        <v/>
      </c>
      <c r="P1149" s="3" t="inlineStr">
        <is>
          <t>2026-09-09</t>
        </is>
      </c>
      <c r="Q1149" s="4" t="inlineStr">
        <is>
          <t>Ferretería Ochoa (8A)</t>
        </is>
      </c>
    </row>
    <row r="1150">
      <c r="A1150" s="3" t="inlineStr">
        <is>
          <t>MAT-21-011</t>
        </is>
      </c>
      <c r="B1150" s="3" t="inlineStr">
        <is>
          <t>Materiales</t>
        </is>
      </c>
      <c r="C1150" s="3" t="inlineStr">
        <is>
          <t>Tolas y láminas de acero</t>
        </is>
      </c>
      <c r="D1150" s="4" t="inlineStr">
        <is>
          <t>Tola negra 3/16", plancha 6 x 10 pies</t>
        </is>
      </c>
      <c r="E1150" s="4" t="inlineStr">
        <is>
          <t>Peso 459 lb</t>
        </is>
      </c>
      <c r="F1150" s="3" t="inlineStr">
        <is>
          <t>plancha</t>
        </is>
      </c>
      <c r="G1150" s="3" t="inlineStr">
        <is>
          <t>Estructura</t>
        </is>
      </c>
      <c r="H1150" s="3" t="inlineStr">
        <is>
          <t>estandar</t>
        </is>
      </c>
      <c r="I1150" s="3" t="inlineStr">
        <is>
          <t>importado</t>
        </is>
      </c>
      <c r="J1150" s="5" t="n">
        <v>1</v>
      </c>
      <c r="K1150" s="6" t="n">
        <v>12392.84</v>
      </c>
      <c r="L1150" s="6" t="n">
        <v>12392.84</v>
      </c>
      <c r="M1150" s="6" t="n">
        <v>12392.84</v>
      </c>
      <c r="N1150" s="3" t="inlineStr">
        <is>
          <t>Sí</t>
        </is>
      </c>
      <c r="O1150" s="6">
        <f>IF(K1150="","",IF(N1150="Sí",ROUND(K1150/1.18,2),K1150))</f>
        <v/>
      </c>
      <c r="P1150" s="3" t="inlineStr">
        <is>
          <t>2026-09-09</t>
        </is>
      </c>
      <c r="Q1150" s="4" t="inlineStr">
        <is>
          <t>Ferretería Ochoa (8A)</t>
        </is>
      </c>
    </row>
    <row r="1151">
      <c r="A1151" s="3" t="inlineStr">
        <is>
          <t>MAT-21-012</t>
        </is>
      </c>
      <c r="B1151" s="3" t="inlineStr">
        <is>
          <t>Materiales</t>
        </is>
      </c>
      <c r="C1151" s="3" t="inlineStr">
        <is>
          <t>Tolas y láminas de acero</t>
        </is>
      </c>
      <c r="D1151" s="4" t="inlineStr">
        <is>
          <t>Tola negra 1/4", plancha 4 x 8 pies</t>
        </is>
      </c>
      <c r="E1151" s="4" t="inlineStr">
        <is>
          <t>Peso 326.4 lb</t>
        </is>
      </c>
      <c r="F1151" s="3" t="inlineStr">
        <is>
          <t>plancha</t>
        </is>
      </c>
      <c r="G1151" s="3" t="inlineStr">
        <is>
          <t>Estructura</t>
        </is>
      </c>
      <c r="H1151" s="3" t="inlineStr">
        <is>
          <t>estandar</t>
        </is>
      </c>
      <c r="I1151" s="3" t="inlineStr">
        <is>
          <t>importado</t>
        </is>
      </c>
      <c r="J1151" s="5" t="n">
        <v>1</v>
      </c>
      <c r="K1151" s="6" t="n">
        <v>8276.58</v>
      </c>
      <c r="L1151" s="6" t="n">
        <v>8276.58</v>
      </c>
      <c r="M1151" s="6" t="n">
        <v>8276.58</v>
      </c>
      <c r="N1151" s="3" t="inlineStr">
        <is>
          <t>Sí</t>
        </is>
      </c>
      <c r="O1151" s="6">
        <f>IF(K1151="","",IF(N1151="Sí",ROUND(K1151/1.18,2),K1151))</f>
        <v/>
      </c>
      <c r="P1151" s="3" t="inlineStr">
        <is>
          <t>2026-09-09</t>
        </is>
      </c>
      <c r="Q1151" s="4" t="inlineStr">
        <is>
          <t>Ferretería Ochoa (8A)</t>
        </is>
      </c>
    </row>
    <row r="1152">
      <c r="A1152" s="3" t="inlineStr">
        <is>
          <t>MAT-21-013</t>
        </is>
      </c>
      <c r="B1152" s="3" t="inlineStr">
        <is>
          <t>Materiales</t>
        </is>
      </c>
      <c r="C1152" s="3" t="inlineStr">
        <is>
          <t>Tolas y láminas de acero</t>
        </is>
      </c>
      <c r="D1152" s="4" t="inlineStr">
        <is>
          <t>Tola negra 1/4", plancha 6 x 10 pies</t>
        </is>
      </c>
      <c r="E1152" s="4" t="inlineStr">
        <is>
          <t>Peso 612 lb</t>
        </is>
      </c>
      <c r="F1152" s="3" t="inlineStr">
        <is>
          <t>plancha</t>
        </is>
      </c>
      <c r="G1152" s="3" t="inlineStr">
        <is>
          <t>Estructura</t>
        </is>
      </c>
      <c r="H1152" s="3" t="inlineStr">
        <is>
          <t>estandar</t>
        </is>
      </c>
      <c r="I1152" s="3" t="inlineStr">
        <is>
          <t>importado</t>
        </is>
      </c>
      <c r="J1152" s="5" t="n">
        <v>1</v>
      </c>
      <c r="K1152" s="6" t="n">
        <v>16280.34</v>
      </c>
      <c r="L1152" s="6" t="n">
        <v>16280.34</v>
      </c>
      <c r="M1152" s="6" t="n">
        <v>16280.34</v>
      </c>
      <c r="N1152" s="3" t="inlineStr">
        <is>
          <t>Sí</t>
        </is>
      </c>
      <c r="O1152" s="6">
        <f>IF(K1152="","",IF(N1152="Sí",ROUND(K1152/1.18,2),K1152))</f>
        <v/>
      </c>
      <c r="P1152" s="3" t="inlineStr">
        <is>
          <t>2026-09-09</t>
        </is>
      </c>
      <c r="Q1152" s="4" t="inlineStr">
        <is>
          <t>Ferretería Ochoa (8A)</t>
        </is>
      </c>
    </row>
    <row r="1153">
      <c r="A1153" s="3" t="inlineStr">
        <is>
          <t>MAT-21-014</t>
        </is>
      </c>
      <c r="B1153" s="3" t="inlineStr">
        <is>
          <t>Materiales</t>
        </is>
      </c>
      <c r="C1153" s="3" t="inlineStr">
        <is>
          <t>Tolas y láminas de acero</t>
        </is>
      </c>
      <c r="D1153" s="4" t="inlineStr">
        <is>
          <t>Tola negra 3/8", plancha 4 x 8 pies</t>
        </is>
      </c>
      <c r="E1153" s="4" t="inlineStr">
        <is>
          <t>Peso 489.6 lb</t>
        </is>
      </c>
      <c r="F1153" s="3" t="inlineStr">
        <is>
          <t>plancha</t>
        </is>
      </c>
      <c r="G1153" s="3" t="inlineStr">
        <is>
          <t>Estructura</t>
        </is>
      </c>
      <c r="H1153" s="3" t="inlineStr">
        <is>
          <t>estandar</t>
        </is>
      </c>
      <c r="I1153" s="3" t="inlineStr">
        <is>
          <t>importado</t>
        </is>
      </c>
      <c r="J1153" s="5" t="n">
        <v>1</v>
      </c>
      <c r="K1153" s="6" t="n">
        <v>12665.86</v>
      </c>
      <c r="L1153" s="6" t="n">
        <v>12665.86</v>
      </c>
      <c r="M1153" s="6" t="n">
        <v>12665.86</v>
      </c>
      <c r="N1153" s="3" t="inlineStr">
        <is>
          <t>Sí</t>
        </is>
      </c>
      <c r="O1153" s="6">
        <f>IF(K1153="","",IF(N1153="Sí",ROUND(K1153/1.18,2),K1153))</f>
        <v/>
      </c>
      <c r="P1153" s="3" t="inlineStr">
        <is>
          <t>2026-09-09</t>
        </is>
      </c>
      <c r="Q1153" s="4" t="inlineStr">
        <is>
          <t>Ferretería Ochoa (8A)</t>
        </is>
      </c>
    </row>
    <row r="1154">
      <c r="A1154" s="3" t="inlineStr">
        <is>
          <t>MAT-21-015</t>
        </is>
      </c>
      <c r="B1154" s="3" t="inlineStr">
        <is>
          <t>Materiales</t>
        </is>
      </c>
      <c r="C1154" s="3" t="inlineStr">
        <is>
          <t>Tolas y láminas de acero</t>
        </is>
      </c>
      <c r="D1154" s="4" t="inlineStr">
        <is>
          <t>Tola negra 5/8", plancha 4 x 8 pies</t>
        </is>
      </c>
      <c r="E1154" s="4" t="inlineStr">
        <is>
          <t>Peso 819.2 lb</t>
        </is>
      </c>
      <c r="F1154" s="3" t="inlineStr">
        <is>
          <t>plancha</t>
        </is>
      </c>
      <c r="G1154" s="3" t="inlineStr">
        <is>
          <t>Estructura</t>
        </is>
      </c>
      <c r="H1154" s="3" t="inlineStr">
        <is>
          <t>estandar</t>
        </is>
      </c>
      <c r="I1154" s="3" t="inlineStr">
        <is>
          <t>importado</t>
        </is>
      </c>
      <c r="J1154" s="5" t="n">
        <v>1</v>
      </c>
      <c r="K1154" s="6" t="n">
        <v>21001.52</v>
      </c>
      <c r="L1154" s="6" t="n">
        <v>21001.52</v>
      </c>
      <c r="M1154" s="6" t="n">
        <v>21001.52</v>
      </c>
      <c r="N1154" s="3" t="inlineStr">
        <is>
          <t>Sí</t>
        </is>
      </c>
      <c r="O1154" s="6">
        <f>IF(K1154="","",IF(N1154="Sí",ROUND(K1154/1.18,2),K1154))</f>
        <v/>
      </c>
      <c r="P1154" s="3" t="inlineStr">
        <is>
          <t>2026-09-09</t>
        </is>
      </c>
      <c r="Q1154" s="4" t="inlineStr">
        <is>
          <t>Ferretería Ochoa (8A)</t>
        </is>
      </c>
    </row>
    <row r="1155">
      <c r="A1155" s="3" t="inlineStr">
        <is>
          <t>MAT-21-016</t>
        </is>
      </c>
      <c r="B1155" s="3" t="inlineStr">
        <is>
          <t>Materiales</t>
        </is>
      </c>
      <c r="C1155" s="3" t="inlineStr">
        <is>
          <t>Tolas y láminas de acero</t>
        </is>
      </c>
      <c r="D1155" s="4" t="inlineStr">
        <is>
          <t>Tola negra 1", plancha 4 x 8 pies</t>
        </is>
      </c>
      <c r="E1155" s="4" t="inlineStr">
        <is>
          <t>Peso 1305.6 lb</t>
        </is>
      </c>
      <c r="F1155" s="3" t="inlineStr">
        <is>
          <t>plancha</t>
        </is>
      </c>
      <c r="G1155" s="3" t="inlineStr">
        <is>
          <t>Estructura</t>
        </is>
      </c>
      <c r="H1155" s="3" t="inlineStr">
        <is>
          <t>estandar</t>
        </is>
      </c>
      <c r="I1155" s="3" t="inlineStr">
        <is>
          <t>importado</t>
        </is>
      </c>
      <c r="J1155" s="5" t="n">
        <v>1</v>
      </c>
      <c r="K1155" s="6" t="n">
        <v>37319.49</v>
      </c>
      <c r="L1155" s="6" t="n">
        <v>37319.49</v>
      </c>
      <c r="M1155" s="6" t="n">
        <v>37319.49</v>
      </c>
      <c r="N1155" s="3" t="inlineStr">
        <is>
          <t>Sí</t>
        </is>
      </c>
      <c r="O1155" s="6">
        <f>IF(K1155="","",IF(N1155="Sí",ROUND(K1155/1.18,2),K1155))</f>
        <v/>
      </c>
      <c r="P1155" s="3" t="inlineStr">
        <is>
          <t>2026-09-09</t>
        </is>
      </c>
      <c r="Q1155" s="4" t="inlineStr">
        <is>
          <t>Ferretería Ochoa (8A)</t>
        </is>
      </c>
    </row>
    <row r="1156">
      <c r="A1156" s="3" t="inlineStr">
        <is>
          <t>MAT-21-017</t>
        </is>
      </c>
      <c r="B1156" s="3" t="inlineStr">
        <is>
          <t>Materiales</t>
        </is>
      </c>
      <c r="C1156" s="3" t="inlineStr">
        <is>
          <t>Tolas y láminas de acero</t>
        </is>
      </c>
      <c r="D1156" s="4" t="inlineStr">
        <is>
          <t>Tola corrugada 3/32", plancha 4 x 8 pies</t>
        </is>
      </c>
      <c r="E1156" s="4" t="inlineStr">
        <is>
          <t>Peso 133 lb</t>
        </is>
      </c>
      <c r="F1156" s="3" t="inlineStr">
        <is>
          <t>plancha</t>
        </is>
      </c>
      <c r="G1156" s="3" t="inlineStr">
        <is>
          <t>Estructura</t>
        </is>
      </c>
      <c r="H1156" s="3" t="inlineStr">
        <is>
          <t>estandar</t>
        </is>
      </c>
      <c r="I1156" s="3" t="inlineStr">
        <is>
          <t>importado</t>
        </is>
      </c>
      <c r="J1156" s="5" t="n">
        <v>1</v>
      </c>
      <c r="K1156" s="6" t="n">
        <v>3253.65</v>
      </c>
      <c r="L1156" s="6" t="n">
        <v>3253.65</v>
      </c>
      <c r="M1156" s="6" t="n">
        <v>3253.65</v>
      </c>
      <c r="N1156" s="3" t="inlineStr">
        <is>
          <t>Sí</t>
        </is>
      </c>
      <c r="O1156" s="6">
        <f>IF(K1156="","",IF(N1156="Sí",ROUND(K1156/1.18,2),K1156))</f>
        <v/>
      </c>
      <c r="P1156" s="3" t="inlineStr">
        <is>
          <t>2026-09-09</t>
        </is>
      </c>
      <c r="Q1156" s="4" t="inlineStr">
        <is>
          <t>Ferretería Ochoa (8A)</t>
        </is>
      </c>
    </row>
    <row r="1157">
      <c r="A1157" s="3" t="inlineStr">
        <is>
          <t>MAT-21-018</t>
        </is>
      </c>
      <c r="B1157" s="3" t="inlineStr">
        <is>
          <t>Materiales</t>
        </is>
      </c>
      <c r="C1157" s="3" t="inlineStr">
        <is>
          <t>Tolas y láminas de acero</t>
        </is>
      </c>
      <c r="D1157" s="4" t="inlineStr">
        <is>
          <t>Tola corrugada 1/8", plancha 4 x 8 pies</t>
        </is>
      </c>
      <c r="E1157" s="4" t="inlineStr">
        <is>
          <t>Peso 186.5 lb</t>
        </is>
      </c>
      <c r="F1157" s="3" t="inlineStr">
        <is>
          <t>plancha</t>
        </is>
      </c>
      <c r="G1157" s="3" t="inlineStr">
        <is>
          <t>Estructura</t>
        </is>
      </c>
      <c r="H1157" s="3" t="inlineStr">
        <is>
          <t>estandar</t>
        </is>
      </c>
      <c r="I1157" s="3" t="inlineStr">
        <is>
          <t>importado</t>
        </is>
      </c>
      <c r="J1157" s="5" t="n">
        <v>1</v>
      </c>
      <c r="K1157" s="6" t="n">
        <v>4279.86</v>
      </c>
      <c r="L1157" s="6" t="n">
        <v>4279.86</v>
      </c>
      <c r="M1157" s="6" t="n">
        <v>4279.86</v>
      </c>
      <c r="N1157" s="3" t="inlineStr">
        <is>
          <t>Sí</t>
        </is>
      </c>
      <c r="O1157" s="6">
        <f>IF(K1157="","",IF(N1157="Sí",ROUND(K1157/1.18,2),K1157))</f>
        <v/>
      </c>
      <c r="P1157" s="3" t="inlineStr">
        <is>
          <t>2026-09-09</t>
        </is>
      </c>
      <c r="Q1157" s="4" t="inlineStr">
        <is>
          <t>Ferretería Ochoa (8A)</t>
        </is>
      </c>
    </row>
    <row r="1158">
      <c r="A1158" s="3" t="inlineStr">
        <is>
          <t>MAT-21-019</t>
        </is>
      </c>
      <c r="B1158" s="3" t="inlineStr">
        <is>
          <t>Materiales</t>
        </is>
      </c>
      <c r="C1158" s="3" t="inlineStr">
        <is>
          <t>Tolas y láminas de acero</t>
        </is>
      </c>
      <c r="D1158" s="4" t="inlineStr">
        <is>
          <t>Tola corrugada 3/16", plancha 4 x 8 pies</t>
        </is>
      </c>
      <c r="E1158" s="4" t="inlineStr">
        <is>
          <t>Peso 244.8 lb</t>
        </is>
      </c>
      <c r="F1158" s="3" t="inlineStr">
        <is>
          <t>plancha</t>
        </is>
      </c>
      <c r="G1158" s="3" t="inlineStr">
        <is>
          <t>Estructura</t>
        </is>
      </c>
      <c r="H1158" s="3" t="inlineStr">
        <is>
          <t>estandar</t>
        </is>
      </c>
      <c r="I1158" s="3" t="inlineStr">
        <is>
          <t>importado</t>
        </is>
      </c>
      <c r="J1158" s="5" t="n">
        <v>1</v>
      </c>
      <c r="K1158" s="6" t="n">
        <v>6433.47</v>
      </c>
      <c r="L1158" s="6" t="n">
        <v>6433.47</v>
      </c>
      <c r="M1158" s="6" t="n">
        <v>6433.47</v>
      </c>
      <c r="N1158" s="3" t="inlineStr">
        <is>
          <t>Sí</t>
        </is>
      </c>
      <c r="O1158" s="6">
        <f>IF(K1158="","",IF(N1158="Sí",ROUND(K1158/1.18,2),K1158))</f>
        <v/>
      </c>
      <c r="P1158" s="3" t="inlineStr">
        <is>
          <t>2026-09-09</t>
        </is>
      </c>
      <c r="Q1158" s="4" t="inlineStr">
        <is>
          <t>Ferretería Ochoa (8A)</t>
        </is>
      </c>
    </row>
    <row r="1159">
      <c r="A1159" s="3" t="inlineStr">
        <is>
          <t>MAT-21-020</t>
        </is>
      </c>
      <c r="B1159" s="3" t="inlineStr">
        <is>
          <t>Materiales</t>
        </is>
      </c>
      <c r="C1159" s="3" t="inlineStr">
        <is>
          <t>Tolas y láminas de acero</t>
        </is>
      </c>
      <c r="D1159" s="4" t="inlineStr">
        <is>
          <t>Tola galvanizada 4 x 8 pies, 25 lb</t>
        </is>
      </c>
      <c r="E1159" s="4" t="inlineStr">
        <is>
          <t>Calibre 26</t>
        </is>
      </c>
      <c r="F1159" s="3" t="inlineStr">
        <is>
          <t>plancha</t>
        </is>
      </c>
      <c r="G1159" s="3" t="inlineStr">
        <is>
          <t>Estructura</t>
        </is>
      </c>
      <c r="H1159" s="3" t="inlineStr">
        <is>
          <t>estandar</t>
        </is>
      </c>
      <c r="I1159" s="3" t="inlineStr">
        <is>
          <t>importado</t>
        </is>
      </c>
      <c r="J1159" s="5" t="n">
        <v>1</v>
      </c>
      <c r="K1159" s="6" t="n">
        <v>825.17</v>
      </c>
      <c r="L1159" s="6" t="n">
        <v>825.17</v>
      </c>
      <c r="M1159" s="6" t="n">
        <v>825.17</v>
      </c>
      <c r="N1159" s="3" t="inlineStr">
        <is>
          <t>Sí</t>
        </is>
      </c>
      <c r="O1159" s="6">
        <f>IF(K1159="","",IF(N1159="Sí",ROUND(K1159/1.18,2),K1159))</f>
        <v/>
      </c>
      <c r="P1159" s="3" t="inlineStr">
        <is>
          <t>2026-09-09</t>
        </is>
      </c>
      <c r="Q1159" s="4" t="inlineStr">
        <is>
          <t>Ferretería Ochoa (8A)</t>
        </is>
      </c>
    </row>
    <row r="1160">
      <c r="A1160" s="3" t="inlineStr">
        <is>
          <t>MAT-21-021</t>
        </is>
      </c>
      <c r="B1160" s="3" t="inlineStr">
        <is>
          <t>Materiales</t>
        </is>
      </c>
      <c r="C1160" s="3" t="inlineStr">
        <is>
          <t>Tolas y láminas de acero</t>
        </is>
      </c>
      <c r="D1160" s="4" t="inlineStr">
        <is>
          <t>Tola galvanizada 4 x 8 pies, 32 lb</t>
        </is>
      </c>
      <c r="E1160" s="4" t="inlineStr">
        <is>
          <t>Calibre 24</t>
        </is>
      </c>
      <c r="F1160" s="3" t="inlineStr">
        <is>
          <t>plancha</t>
        </is>
      </c>
      <c r="G1160" s="3" t="inlineStr">
        <is>
          <t>Estructura</t>
        </is>
      </c>
      <c r="H1160" s="3" t="inlineStr">
        <is>
          <t>estandar</t>
        </is>
      </c>
      <c r="I1160" s="3" t="inlineStr">
        <is>
          <t>importado</t>
        </is>
      </c>
      <c r="J1160" s="5" t="n">
        <v>1</v>
      </c>
      <c r="K1160" s="6" t="n">
        <v>952.1900000000001</v>
      </c>
      <c r="L1160" s="6" t="n">
        <v>952.1900000000001</v>
      </c>
      <c r="M1160" s="6" t="n">
        <v>952.1900000000001</v>
      </c>
      <c r="N1160" s="3" t="inlineStr">
        <is>
          <t>Sí</t>
        </is>
      </c>
      <c r="O1160" s="6">
        <f>IF(K1160="","",IF(N1160="Sí",ROUND(K1160/1.18,2),K1160))</f>
        <v/>
      </c>
      <c r="P1160" s="3" t="inlineStr">
        <is>
          <t>2026-09-09</t>
        </is>
      </c>
      <c r="Q1160" s="4" t="inlineStr">
        <is>
          <t>Ferretería Ochoa (8A)</t>
        </is>
      </c>
    </row>
    <row r="1161">
      <c r="A1161" s="3" t="inlineStr">
        <is>
          <t>MAT-21-022</t>
        </is>
      </c>
      <c r="B1161" s="3" t="inlineStr">
        <is>
          <t>Materiales</t>
        </is>
      </c>
      <c r="C1161" s="3" t="inlineStr">
        <is>
          <t>Tolas y láminas de acero</t>
        </is>
      </c>
      <c r="D1161" s="4" t="inlineStr">
        <is>
          <t>Tola galvanizada 4 x 8 pies, 44 lb</t>
        </is>
      </c>
      <c r="E1161" s="4" t="inlineStr">
        <is>
          <t>Calibre 22</t>
        </is>
      </c>
      <c r="F1161" s="3" t="inlineStr">
        <is>
          <t>plancha</t>
        </is>
      </c>
      <c r="G1161" s="3" t="inlineStr">
        <is>
          <t>Estructura</t>
        </is>
      </c>
      <c r="H1161" s="3" t="inlineStr">
        <is>
          <t>estandar</t>
        </is>
      </c>
      <c r="I1161" s="3" t="inlineStr">
        <is>
          <t>importado</t>
        </is>
      </c>
      <c r="J1161" s="5" t="n">
        <v>1</v>
      </c>
      <c r="K1161" s="6" t="n">
        <v>1169.6</v>
      </c>
      <c r="L1161" s="6" t="n">
        <v>1169.6</v>
      </c>
      <c r="M1161" s="6" t="n">
        <v>1169.6</v>
      </c>
      <c r="N1161" s="3" t="inlineStr">
        <is>
          <t>Sí</t>
        </is>
      </c>
      <c r="O1161" s="6">
        <f>IF(K1161="","",IF(N1161="Sí",ROUND(K1161/1.18,2),K1161))</f>
        <v/>
      </c>
      <c r="P1161" s="3" t="inlineStr">
        <is>
          <t>2026-09-09</t>
        </is>
      </c>
      <c r="Q1161" s="4" t="inlineStr">
        <is>
          <t>Ferretería Ochoa (8A)</t>
        </is>
      </c>
    </row>
    <row r="1162">
      <c r="A1162" s="3" t="inlineStr">
        <is>
          <t>MAT-21-023</t>
        </is>
      </c>
      <c r="B1162" s="3" t="inlineStr">
        <is>
          <t>Materiales</t>
        </is>
      </c>
      <c r="C1162" s="3" t="inlineStr">
        <is>
          <t>Tolas y láminas de acero</t>
        </is>
      </c>
      <c r="D1162" s="4" t="inlineStr">
        <is>
          <t>Tola galvanizada 4 x 8 pies, 52 lb</t>
        </is>
      </c>
      <c r="E1162" s="4" t="inlineStr">
        <is>
          <t>Calibre 20</t>
        </is>
      </c>
      <c r="F1162" s="3" t="inlineStr">
        <is>
          <t>plancha</t>
        </is>
      </c>
      <c r="G1162" s="3" t="inlineStr">
        <is>
          <t>Estructura</t>
        </is>
      </c>
      <c r="H1162" s="3" t="inlineStr">
        <is>
          <t>estandar</t>
        </is>
      </c>
      <c r="I1162" s="3" t="inlineStr">
        <is>
          <t>importado</t>
        </is>
      </c>
      <c r="J1162" s="5" t="n">
        <v>1</v>
      </c>
      <c r="K1162" s="6" t="n">
        <v>1551.37</v>
      </c>
      <c r="L1162" s="6" t="n">
        <v>1551.37</v>
      </c>
      <c r="M1162" s="6" t="n">
        <v>1551.37</v>
      </c>
      <c r="N1162" s="3" t="inlineStr">
        <is>
          <t>Sí</t>
        </is>
      </c>
      <c r="O1162" s="6">
        <f>IF(K1162="","",IF(N1162="Sí",ROUND(K1162/1.18,2),K1162))</f>
        <v/>
      </c>
      <c r="P1162" s="3" t="inlineStr">
        <is>
          <t>2026-09-09</t>
        </is>
      </c>
      <c r="Q1162" s="4" t="inlineStr">
        <is>
          <t>Ferretería Ochoa (8A)</t>
        </is>
      </c>
    </row>
    <row r="1163">
      <c r="A1163" s="3" t="inlineStr">
        <is>
          <t>MAT-21-024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galvanizada 4 x 8 pies, 83.75 lb</t>
        </is>
      </c>
      <c r="E1163" s="4" t="inlineStr">
        <is>
          <t>Calibre 16</t>
        </is>
      </c>
      <c r="F1163" s="3" t="inlineStr">
        <is>
          <t>plancha</t>
        </is>
      </c>
      <c r="G1163" s="3" t="inlineStr">
        <is>
          <t>Estructura</t>
        </is>
      </c>
      <c r="H1163" s="3" t="inlineStr">
        <is>
          <t>estandar</t>
        </is>
      </c>
      <c r="I1163" s="3" t="inlineStr">
        <is>
          <t>importado</t>
        </is>
      </c>
      <c r="J1163" s="5" t="n">
        <v>1</v>
      </c>
      <c r="K1163" s="6" t="n">
        <v>2364.86</v>
      </c>
      <c r="L1163" s="6" t="n">
        <v>2364.86</v>
      </c>
      <c r="M1163" s="6" t="n">
        <v>2364.86</v>
      </c>
      <c r="N1163" s="3" t="inlineStr">
        <is>
          <t>Sí</t>
        </is>
      </c>
      <c r="O1163" s="6">
        <f>IF(K1163="","",IF(N1163="Sí",ROUND(K1163/1.18,2),K1163))</f>
        <v/>
      </c>
      <c r="P1163" s="3" t="inlineStr">
        <is>
          <t>2026-09-09</t>
        </is>
      </c>
      <c r="Q1163" s="4" t="inlineStr">
        <is>
          <t>Ferretería Ochoa (8A)</t>
        </is>
      </c>
    </row>
    <row r="1164">
      <c r="A1164" s="3" t="inlineStr">
        <is>
          <t>MAT-21-025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Metal desplegable plano 3/8", plancha 4 x 8 pies</t>
        </is>
      </c>
      <c r="E1164" s="4" t="inlineStr">
        <is>
          <t>La ficha no declara el calibre</t>
        </is>
      </c>
      <c r="F1164" s="3" t="inlineStr">
        <is>
          <t>plancha</t>
        </is>
      </c>
      <c r="G1164" s="3" t="inlineStr">
        <is>
          <t>Estructura</t>
        </is>
      </c>
      <c r="H1164" s="3" t="inlineStr">
        <is>
          <t>estandar</t>
        </is>
      </c>
      <c r="I1164" s="3" t="inlineStr">
        <is>
          <t>importado</t>
        </is>
      </c>
      <c r="J1164" s="5" t="n">
        <v>1</v>
      </c>
      <c r="K1164" s="6" t="n">
        <v>2209.05</v>
      </c>
      <c r="L1164" s="6" t="n">
        <v>2209.05</v>
      </c>
      <c r="M1164" s="6" t="n">
        <v>2209.05</v>
      </c>
      <c r="N1164" s="3" t="inlineStr">
        <is>
          <t>Sí</t>
        </is>
      </c>
      <c r="O1164" s="6">
        <f>IF(K1164="","",IF(N1164="Sí",ROUND(K1164/1.18,2),K1164))</f>
        <v/>
      </c>
      <c r="P1164" s="3" t="inlineStr">
        <is>
          <t>2026-09-09</t>
        </is>
      </c>
      <c r="Q1164" s="4" t="inlineStr">
        <is>
          <t>Ferretería Ochoa (8A)</t>
        </is>
      </c>
    </row>
    <row r="1165">
      <c r="A1165" s="3" t="inlineStr">
        <is>
          <t>MAT-21-026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Metal desplegable plano 1/2", plancha 4 x 8 pies</t>
        </is>
      </c>
      <c r="E1165" s="4" t="inlineStr">
        <is>
          <t>La ficha no declara el calibre</t>
        </is>
      </c>
      <c r="F1165" s="3" t="inlineStr">
        <is>
          <t>plancha</t>
        </is>
      </c>
      <c r="G1165" s="3" t="inlineStr">
        <is>
          <t>Estructura</t>
        </is>
      </c>
      <c r="H1165" s="3" t="inlineStr">
        <is>
          <t>estandar</t>
        </is>
      </c>
      <c r="I1165" s="3" t="inlineStr">
        <is>
          <t>importado</t>
        </is>
      </c>
      <c r="J1165" s="5" t="n">
        <v>1</v>
      </c>
      <c r="K1165" s="6" t="n">
        <v>765.55</v>
      </c>
      <c r="L1165" s="6" t="n">
        <v>765.55</v>
      </c>
      <c r="M1165" s="6" t="n">
        <v>765.55</v>
      </c>
      <c r="N1165" s="3" t="inlineStr">
        <is>
          <t>Sí</t>
        </is>
      </c>
      <c r="O1165" s="6">
        <f>IF(K1165="","",IF(N1165="Sí",ROUND(K1165/1.18,2),K1165))</f>
        <v/>
      </c>
      <c r="P1165" s="3" t="inlineStr">
        <is>
          <t>2026-09-09</t>
        </is>
      </c>
      <c r="Q1165" s="4" t="inlineStr">
        <is>
          <t>Ferretería Ochoa (8A)</t>
        </is>
      </c>
    </row>
    <row r="1166">
      <c r="A1166" s="3" t="inlineStr">
        <is>
          <t>MAT-21-027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Metal desplegable plano 3/4", plancha 4 x 8 pies</t>
        </is>
      </c>
      <c r="E1166" s="4" t="inlineStr">
        <is>
          <t>La ficha no declara el calibre</t>
        </is>
      </c>
      <c r="F1166" s="3" t="inlineStr">
        <is>
          <t>plancha</t>
        </is>
      </c>
      <c r="G1166" s="3" t="inlineStr">
        <is>
          <t>Estructura</t>
        </is>
      </c>
      <c r="H1166" s="3" t="inlineStr">
        <is>
          <t>estandar</t>
        </is>
      </c>
      <c r="I1166" s="3" t="inlineStr">
        <is>
          <t>importado</t>
        </is>
      </c>
      <c r="J1166" s="5" t="n">
        <v>1</v>
      </c>
      <c r="K1166" s="6" t="n">
        <v>850</v>
      </c>
      <c r="L1166" s="6" t="n">
        <v>850</v>
      </c>
      <c r="M1166" s="6" t="n">
        <v>850</v>
      </c>
      <c r="N1166" s="3" t="inlineStr">
        <is>
          <t>Sí</t>
        </is>
      </c>
      <c r="O1166" s="6">
        <f>IF(K1166="","",IF(N1166="Sí",ROUND(K1166/1.18,2),K1166))</f>
        <v/>
      </c>
      <c r="P1166" s="3" t="inlineStr">
        <is>
          <t>2026-09-09</t>
        </is>
      </c>
      <c r="Q1166" s="4" t="inlineStr">
        <is>
          <t>Ferretería Ochoa (8A)</t>
        </is>
      </c>
    </row>
    <row r="1167">
      <c r="A1167" s="3" t="inlineStr">
        <is>
          <t>MAT-21-028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Metal desplegable plano 1", plancha 4 x 8 pies</t>
        </is>
      </c>
      <c r="E1167" s="4" t="inlineStr">
        <is>
          <t>La ficha no declara el calibre</t>
        </is>
      </c>
      <c r="F1167" s="3" t="inlineStr">
        <is>
          <t>plancha</t>
        </is>
      </c>
      <c r="G1167" s="3" t="inlineStr">
        <is>
          <t>Estructura</t>
        </is>
      </c>
      <c r="H1167" s="3" t="inlineStr">
        <is>
          <t>estandar</t>
        </is>
      </c>
      <c r="I1167" s="3" t="inlineStr">
        <is>
          <t>importado</t>
        </is>
      </c>
      <c r="J1167" s="5" t="n">
        <v>1</v>
      </c>
      <c r="K1167" s="6" t="n">
        <v>1080.47</v>
      </c>
      <c r="L1167" s="6" t="n">
        <v>1080.47</v>
      </c>
      <c r="M1167" s="6" t="n">
        <v>1080.47</v>
      </c>
      <c r="N1167" s="3" t="inlineStr">
        <is>
          <t>Sí</t>
        </is>
      </c>
      <c r="O1167" s="6">
        <f>IF(K1167="","",IF(N1167="Sí",ROUND(K1167/1.18,2),K1167))</f>
        <v/>
      </c>
      <c r="P1167" s="3" t="inlineStr">
        <is>
          <t>2026-09-09</t>
        </is>
      </c>
      <c r="Q1167" s="4" t="inlineStr">
        <is>
          <t>Ferretería Ochoa (8A)</t>
        </is>
      </c>
    </row>
    <row r="1168">
      <c r="A1168" s="3" t="inlineStr">
        <is>
          <t>MAT-21-029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Metal desplegable plano 1 1/2", plancha 4 x 8 pies</t>
        </is>
      </c>
      <c r="E1168" s="4" t="inlineStr">
        <is>
          <t>La ficha no declara el calibre</t>
        </is>
      </c>
      <c r="F1168" s="3" t="inlineStr">
        <is>
          <t>plancha</t>
        </is>
      </c>
      <c r="G1168" s="3" t="inlineStr">
        <is>
          <t>Estructura</t>
        </is>
      </c>
      <c r="H1168" s="3" t="inlineStr">
        <is>
          <t>estandar</t>
        </is>
      </c>
      <c r="I1168" s="3" t="inlineStr">
        <is>
          <t>importado</t>
        </is>
      </c>
      <c r="J1168" s="5" t="n">
        <v>1</v>
      </c>
      <c r="K1168" s="6" t="n">
        <v>939.35</v>
      </c>
      <c r="L1168" s="6" t="n">
        <v>939.35</v>
      </c>
      <c r="M1168" s="6" t="n">
        <v>939.35</v>
      </c>
      <c r="N1168" s="3" t="inlineStr">
        <is>
          <t>Sí</t>
        </is>
      </c>
      <c r="O1168" s="6">
        <f>IF(K1168="","",IF(N1168="Sí",ROUND(K1168/1.18,2),K1168))</f>
        <v/>
      </c>
      <c r="P1168" s="3" t="inlineStr">
        <is>
          <t>2026-09-09</t>
        </is>
      </c>
      <c r="Q1168" s="4" t="inlineStr">
        <is>
          <t>Ferretería Ochoa (8A)</t>
        </is>
      </c>
    </row>
    <row r="1169">
      <c r="A1169" s="3" t="inlineStr">
        <is>
          <t>MAT-22-001</t>
        </is>
      </c>
      <c r="B1169" s="3" t="inlineStr">
        <is>
          <t>Materiales</t>
        </is>
      </c>
      <c r="C1169" s="3" t="inlineStr">
        <is>
          <t>Cerramiento perimetral</t>
        </is>
      </c>
      <c r="D1169" s="4" t="inlineStr">
        <is>
          <t>Malla ciclónica calibre 9, 3 pies de alto, rollo de 50 pies</t>
        </is>
      </c>
      <c r="E1169" s="4" t="inlineStr">
        <is>
          <t>Galvanizada</t>
        </is>
      </c>
      <c r="F1169" s="3" t="inlineStr">
        <is>
          <t>rollo</t>
        </is>
      </c>
      <c r="G1169" s="3" t="inlineStr">
        <is>
          <t>Exteriores</t>
        </is>
      </c>
      <c r="H1169" s="3" t="inlineStr">
        <is>
          <t>estandar</t>
        </is>
      </c>
      <c r="I1169" s="3" t="inlineStr">
        <is>
          <t>importado</t>
        </is>
      </c>
      <c r="J1169" s="5" t="n">
        <v>1</v>
      </c>
      <c r="K1169" s="6" t="n">
        <v>5223.1</v>
      </c>
      <c r="L1169" s="6" t="n">
        <v>5223.1</v>
      </c>
      <c r="M1169" s="6" t="n">
        <v>5223.1</v>
      </c>
      <c r="N1169" s="3" t="inlineStr">
        <is>
          <t>Sí</t>
        </is>
      </c>
      <c r="O1169" s="6">
        <f>IF(K1169="","",IF(N1169="Sí",ROUND(K1169/1.18,2),K1169))</f>
        <v/>
      </c>
      <c r="P1169" s="3" t="inlineStr">
        <is>
          <t>2026-09-09</t>
        </is>
      </c>
      <c r="Q1169" s="4" t="inlineStr">
        <is>
          <t>Ferretería Ochoa (8A)</t>
        </is>
      </c>
    </row>
    <row r="1170">
      <c r="A1170" s="3" t="inlineStr">
        <is>
          <t>MAT-22-002</t>
        </is>
      </c>
      <c r="B1170" s="3" t="inlineStr">
        <is>
          <t>Materiales</t>
        </is>
      </c>
      <c r="C1170" s="3" t="inlineStr">
        <is>
          <t>Cerramiento perimetral</t>
        </is>
      </c>
      <c r="D1170" s="4" t="inlineStr">
        <is>
          <t>Malla ciclónica calibre 9, 4 pies de alto, rollo de 50 pies</t>
        </is>
      </c>
      <c r="E1170" s="4" t="inlineStr">
        <is>
          <t>Galvanizada</t>
        </is>
      </c>
      <c r="F1170" s="3" t="inlineStr">
        <is>
          <t>rollo</t>
        </is>
      </c>
      <c r="G1170" s="3" t="inlineStr">
        <is>
          <t>Exteriores</t>
        </is>
      </c>
      <c r="H1170" s="3" t="inlineStr">
        <is>
          <t>estandar</t>
        </is>
      </c>
      <c r="I1170" s="3" t="inlineStr">
        <is>
          <t>importado</t>
        </is>
      </c>
      <c r="J1170" s="5" t="n">
        <v>2</v>
      </c>
      <c r="K1170" s="6" t="n">
        <v>6740.23</v>
      </c>
      <c r="L1170" s="6" t="n">
        <v>6121.98</v>
      </c>
      <c r="M1170" s="6" t="n">
        <v>7358.48</v>
      </c>
      <c r="N1170" s="3" t="inlineStr">
        <is>
          <t>Sí</t>
        </is>
      </c>
      <c r="O1170" s="6">
        <f>IF(K1170="","",IF(N1170="Sí",ROUND(K1170/1.18,2),K1170))</f>
        <v/>
      </c>
      <c r="P1170" s="3" t="inlineStr">
        <is>
          <t>2026-09-09</t>
        </is>
      </c>
      <c r="Q1170" s="4" t="inlineStr">
        <is>
          <t>Ferretería MC · Ferretería Ochoa (8A)</t>
        </is>
      </c>
    </row>
    <row r="1171">
      <c r="A1171" s="3" t="inlineStr">
        <is>
          <t>MAT-22-003</t>
        </is>
      </c>
      <c r="B1171" s="3" t="inlineStr">
        <is>
          <t>Materiales</t>
        </is>
      </c>
      <c r="C1171" s="3" t="inlineStr">
        <is>
          <t>Cerramiento perimetral</t>
        </is>
      </c>
      <c r="D1171" s="4" t="inlineStr">
        <is>
          <t>Malla ciclónica calibre 9, 6 pies de alto, rollo de 50 pies</t>
        </is>
      </c>
      <c r="E1171" s="4" t="inlineStr">
        <is>
          <t>Galvanizada</t>
        </is>
      </c>
      <c r="F1171" s="3" t="inlineStr">
        <is>
          <t>rollo</t>
        </is>
      </c>
      <c r="G1171" s="3" t="inlineStr">
        <is>
          <t>Exteriores</t>
        </is>
      </c>
      <c r="H1171" s="3" t="inlineStr">
        <is>
          <t>estandar</t>
        </is>
      </c>
      <c r="I1171" s="3" t="inlineStr">
        <is>
          <t>importado</t>
        </is>
      </c>
      <c r="J1171" s="5" t="n">
        <v>2</v>
      </c>
      <c r="K1171" s="6" t="n">
        <v>10808.21</v>
      </c>
      <c r="L1171" s="6" t="n">
        <v>9867.16</v>
      </c>
      <c r="M1171" s="6" t="n">
        <v>11749.26</v>
      </c>
      <c r="N1171" s="3" t="inlineStr">
        <is>
          <t>Sí</t>
        </is>
      </c>
      <c r="O1171" s="6">
        <f>IF(K1171="","",IF(N1171="Sí",ROUND(K1171/1.18,2),K1171))</f>
        <v/>
      </c>
      <c r="P1171" s="3" t="inlineStr">
        <is>
          <t>2026-09-09</t>
        </is>
      </c>
      <c r="Q1171" s="4" t="inlineStr">
        <is>
          <t>Ferretería MC · Ferretería Ochoa (8A)</t>
        </is>
      </c>
    </row>
    <row r="1172">
      <c r="A1172" s="3" t="inlineStr">
        <is>
          <t>MAT-22-004</t>
        </is>
      </c>
      <c r="B1172" s="3" t="inlineStr">
        <is>
          <t>Materiales</t>
        </is>
      </c>
      <c r="C1172" s="3" t="inlineStr">
        <is>
          <t>Cerramiento perimetral</t>
        </is>
      </c>
      <c r="D1172" s="4" t="inlineStr">
        <is>
          <t>Malla ciclónica calibre 9 revestida en PVC, 6 pies de alto, rollo de 50 pies</t>
        </is>
      </c>
      <c r="E1172" s="4" t="inlineStr">
        <is>
          <t>Galvanizada</t>
        </is>
      </c>
      <c r="F1172" s="3" t="inlineStr">
        <is>
          <t>rollo</t>
        </is>
      </c>
      <c r="G1172" s="3" t="inlineStr">
        <is>
          <t>Exteriores</t>
        </is>
      </c>
      <c r="H1172" s="3" t="inlineStr">
        <is>
          <t>estandar</t>
        </is>
      </c>
      <c r="I1172" s="3" t="inlineStr">
        <is>
          <t>importado</t>
        </is>
      </c>
      <c r="J1172" s="5" t="n">
        <v>2</v>
      </c>
      <c r="K1172" s="6" t="n">
        <v>13223.83</v>
      </c>
      <c r="L1172" s="6" t="n">
        <v>11757.65</v>
      </c>
      <c r="M1172" s="6" t="n">
        <v>14690</v>
      </c>
      <c r="N1172" s="3" t="inlineStr">
        <is>
          <t>Sí</t>
        </is>
      </c>
      <c r="O1172" s="6">
        <f>IF(K1172="","",IF(N1172="Sí",ROUND(K1172/1.18,2),K1172))</f>
        <v/>
      </c>
      <c r="P1172" s="3" t="inlineStr">
        <is>
          <t>2026-09-09</t>
        </is>
      </c>
      <c r="Q1172" s="4" t="inlineStr">
        <is>
          <t>Ferretería Ochoa (8A) · InnovaCentro (La Innovación)</t>
        </is>
      </c>
    </row>
    <row r="1173">
      <c r="A1173" s="3" t="inlineStr">
        <is>
          <t>MAT-22-005</t>
        </is>
      </c>
      <c r="B1173" s="3" t="inlineStr">
        <is>
          <t>Materiales</t>
        </is>
      </c>
      <c r="C1173" s="3" t="inlineStr">
        <is>
          <t>Cerramiento perimetral</t>
        </is>
      </c>
      <c r="D1173" s="4" t="inlineStr">
        <is>
          <t>Malla ciclónica calibre 9, 8 pies de alto, rollo de 50 pies</t>
        </is>
      </c>
      <c r="E1173" s="4" t="inlineStr">
        <is>
          <t>Galvanizada</t>
        </is>
      </c>
      <c r="F1173" s="3" t="inlineStr">
        <is>
          <t>rollo</t>
        </is>
      </c>
      <c r="G1173" s="3" t="inlineStr">
        <is>
          <t>Exteriores</t>
        </is>
      </c>
      <c r="H1173" s="3" t="inlineStr">
        <is>
          <t>estandar</t>
        </is>
      </c>
      <c r="I1173" s="3" t="inlineStr">
        <is>
          <t>importado</t>
        </is>
      </c>
      <c r="J1173" s="5" t="n">
        <v>2</v>
      </c>
      <c r="K1173" s="6" t="n">
        <v>14467.25</v>
      </c>
      <c r="L1173" s="6" t="n">
        <v>13273.54</v>
      </c>
      <c r="M1173" s="6" t="n">
        <v>15660.96</v>
      </c>
      <c r="N1173" s="3" t="inlineStr">
        <is>
          <t>Sí</t>
        </is>
      </c>
      <c r="O1173" s="6">
        <f>IF(K1173="","",IF(N1173="Sí",ROUND(K1173/1.18,2),K1173))</f>
        <v/>
      </c>
      <c r="P1173" s="3" t="inlineStr">
        <is>
          <t>2026-09-09</t>
        </is>
      </c>
      <c r="Q1173" s="4" t="inlineStr">
        <is>
          <t>Ferretería MC · Ferretería Ochoa (8A)</t>
        </is>
      </c>
    </row>
    <row r="1174">
      <c r="A1174" s="3" t="inlineStr">
        <is>
          <t>MAT-22-006</t>
        </is>
      </c>
      <c r="B1174" s="3" t="inlineStr">
        <is>
          <t>Materiales</t>
        </is>
      </c>
      <c r="C1174" s="3" t="inlineStr">
        <is>
          <t>Cerramiento perimetral</t>
        </is>
      </c>
      <c r="D1174" s="4" t="inlineStr">
        <is>
          <t>Tubo galvanizado para malla ciclónica 1 1/4" x 20 pies</t>
        </is>
      </c>
      <c r="E1174" s="4" t="inlineStr"/>
      <c r="F1174" s="3" t="inlineStr">
        <is>
          <t>unidad</t>
        </is>
      </c>
      <c r="G1174" s="3" t="inlineStr">
        <is>
          <t>Exteriores</t>
        </is>
      </c>
      <c r="H1174" s="3" t="inlineStr">
        <is>
          <t>estandar</t>
        </is>
      </c>
      <c r="I1174" s="3" t="inlineStr">
        <is>
          <t>importado</t>
        </is>
      </c>
      <c r="J1174" s="5" t="n">
        <v>3</v>
      </c>
      <c r="K1174" s="6" t="n">
        <v>711.54</v>
      </c>
      <c r="L1174" s="6" t="n">
        <v>527.0599999999999</v>
      </c>
      <c r="M1174" s="6" t="n">
        <v>730</v>
      </c>
      <c r="N1174" s="3" t="inlineStr">
        <is>
          <t>Sí</t>
        </is>
      </c>
      <c r="O1174" s="6">
        <f>IF(K1174="","",IF(N1174="Sí",ROUND(K1174/1.18,2),K1174))</f>
        <v/>
      </c>
      <c r="P1174" s="3" t="inlineStr">
        <is>
          <t>2026-09-09</t>
        </is>
      </c>
      <c r="Q1174" s="4" t="inlineStr">
        <is>
          <t>Ferretería MC · Ferretería Ochoa (8A) · InnovaCentro (La Innovación)</t>
        </is>
      </c>
    </row>
    <row r="1175">
      <c r="A1175" s="3" t="inlineStr">
        <is>
          <t>MAT-22-007</t>
        </is>
      </c>
      <c r="B1175" s="3" t="inlineStr">
        <is>
          <t>Materiales</t>
        </is>
      </c>
      <c r="C1175" s="3" t="inlineStr">
        <is>
          <t>Cerramiento perimetral</t>
        </is>
      </c>
      <c r="D1175" s="4" t="inlineStr">
        <is>
          <t>Tubo galvanizado para malla ciclónica 1 1/2" x 15 pies</t>
        </is>
      </c>
      <c r="E1175" s="4" t="inlineStr"/>
      <c r="F1175" s="3" t="inlineStr">
        <is>
          <t>unidad</t>
        </is>
      </c>
      <c r="G1175" s="3" t="inlineStr">
        <is>
          <t>Exteriores</t>
        </is>
      </c>
      <c r="H1175" s="3" t="inlineStr">
        <is>
          <t>estandar</t>
        </is>
      </c>
      <c r="I1175" s="3" t="inlineStr">
        <is>
          <t>importado</t>
        </is>
      </c>
      <c r="J1175" s="5" t="n">
        <v>3</v>
      </c>
      <c r="K1175" s="6" t="n">
        <v>542.8</v>
      </c>
      <c r="L1175" s="6" t="n">
        <v>462.61</v>
      </c>
      <c r="M1175" s="6" t="n">
        <v>625</v>
      </c>
      <c r="N1175" s="3" t="inlineStr">
        <is>
          <t>Sí</t>
        </is>
      </c>
      <c r="O1175" s="6">
        <f>IF(K1175="","",IF(N1175="Sí",ROUND(K1175/1.18,2),K1175))</f>
        <v/>
      </c>
      <c r="P1175" s="3" t="inlineStr">
        <is>
          <t>2026-09-09</t>
        </is>
      </c>
      <c r="Q1175" s="4" t="inlineStr">
        <is>
          <t>Ferretería MC · Ferretería Ochoa (8A) · InnovaCentro (La Innovación)</t>
        </is>
      </c>
    </row>
    <row r="1176">
      <c r="A1176" s="3" t="inlineStr">
        <is>
          <t>MAT-22-008</t>
        </is>
      </c>
      <c r="B1176" s="3" t="inlineStr">
        <is>
          <t>Materiales</t>
        </is>
      </c>
      <c r="C1176" s="3" t="inlineStr">
        <is>
          <t>Cerramiento perimetral</t>
        </is>
      </c>
      <c r="D1176" s="4" t="inlineStr">
        <is>
          <t>Tubo galvanizado para malla ciclónica 2" x 20 pies</t>
        </is>
      </c>
      <c r="E1176" s="4" t="inlineStr"/>
      <c r="F1176" s="3" t="inlineStr">
        <is>
          <t>unidad</t>
        </is>
      </c>
      <c r="G1176" s="3" t="inlineStr">
        <is>
          <t>Exteriores</t>
        </is>
      </c>
      <c r="H1176" s="3" t="inlineStr">
        <is>
          <t>estandar</t>
        </is>
      </c>
      <c r="I1176" s="3" t="inlineStr">
        <is>
          <t>importado</t>
        </is>
      </c>
      <c r="J1176" s="5" t="n">
        <v>2</v>
      </c>
      <c r="K1176" s="6" t="n">
        <v>762.96</v>
      </c>
      <c r="L1176" s="6" t="n">
        <v>699.92</v>
      </c>
      <c r="M1176" s="6" t="n">
        <v>826</v>
      </c>
      <c r="N1176" s="3" t="inlineStr">
        <is>
          <t>Sí</t>
        </is>
      </c>
      <c r="O1176" s="6">
        <f>IF(K1176="","",IF(N1176="Sí",ROUND(K1176/1.18,2),K1176))</f>
        <v/>
      </c>
      <c r="P1176" s="3" t="inlineStr">
        <is>
          <t>2026-09-09</t>
        </is>
      </c>
      <c r="Q1176" s="4" t="inlineStr">
        <is>
          <t>Ferretería MC · Ferretería Ochoa (8A)</t>
        </is>
      </c>
    </row>
    <row r="1177">
      <c r="A1177" s="3" t="inlineStr">
        <is>
          <t>MAT-22-009</t>
        </is>
      </c>
      <c r="B1177" s="3" t="inlineStr">
        <is>
          <t>Materiales</t>
        </is>
      </c>
      <c r="C1177" s="3" t="inlineStr">
        <is>
          <t>Cerramiento perimetral</t>
        </is>
      </c>
      <c r="D1177" s="4" t="inlineStr">
        <is>
          <t>Malla ciclónica calibre 11, 3 pies de alto, rollo de 50 pies</t>
        </is>
      </c>
      <c r="E1177" s="4" t="inlineStr">
        <is>
          <t>Galvanizada</t>
        </is>
      </c>
      <c r="F1177" s="3" t="inlineStr">
        <is>
          <t>rollo</t>
        </is>
      </c>
      <c r="G1177" s="3" t="inlineStr">
        <is>
          <t>Exteriores</t>
        </is>
      </c>
      <c r="H1177" s="3" t="inlineStr">
        <is>
          <t>estandar</t>
        </is>
      </c>
      <c r="I1177" s="3" t="inlineStr">
        <is>
          <t>importado</t>
        </is>
      </c>
      <c r="J1177" s="5" t="n">
        <v>1</v>
      </c>
      <c r="K1177" s="6" t="n">
        <v>4335.91</v>
      </c>
      <c r="L1177" s="6" t="n">
        <v>4335.91</v>
      </c>
      <c r="M1177" s="6" t="n">
        <v>4335.91</v>
      </c>
      <c r="N1177" s="3" t="inlineStr">
        <is>
          <t>Sí</t>
        </is>
      </c>
      <c r="O1177" s="6">
        <f>IF(K1177="","",IF(N1177="Sí",ROUND(K1177/1.18,2),K1177))</f>
        <v/>
      </c>
      <c r="P1177" s="3" t="inlineStr">
        <is>
          <t>2026-09-09</t>
        </is>
      </c>
      <c r="Q1177" s="4" t="inlineStr">
        <is>
          <t>Ferretería Ochoa (8A)</t>
        </is>
      </c>
    </row>
    <row r="1178">
      <c r="A1178" s="3" t="inlineStr">
        <is>
          <t>MAT-22-010</t>
        </is>
      </c>
      <c r="B1178" s="3" t="inlineStr">
        <is>
          <t>Materiales</t>
        </is>
      </c>
      <c r="C1178" s="3" t="inlineStr">
        <is>
          <t>Cerramiento perimetral</t>
        </is>
      </c>
      <c r="D1178" s="4" t="inlineStr">
        <is>
          <t>Malla ciclónica calibre 11, 6 pies de alto, rollo de 50 pies</t>
        </is>
      </c>
      <c r="E1178" s="4" t="inlineStr">
        <is>
          <t>Galvanizada</t>
        </is>
      </c>
      <c r="F1178" s="3" t="inlineStr">
        <is>
          <t>rollo</t>
        </is>
      </c>
      <c r="G1178" s="3" t="inlineStr">
        <is>
          <t>Exteriores</t>
        </is>
      </c>
      <c r="H1178" s="3" t="inlineStr">
        <is>
          <t>estandar</t>
        </is>
      </c>
      <c r="I1178" s="3" t="inlineStr">
        <is>
          <t>importado</t>
        </is>
      </c>
      <c r="J1178" s="5" t="n">
        <v>3</v>
      </c>
      <c r="K1178" s="6" t="n">
        <v>10250</v>
      </c>
      <c r="L1178" s="6" t="n">
        <v>8694.459999999999</v>
      </c>
      <c r="M1178" s="6" t="n">
        <v>10360.4</v>
      </c>
      <c r="N1178" s="3" t="inlineStr">
        <is>
          <t>Sí</t>
        </is>
      </c>
      <c r="O1178" s="6">
        <f>IF(K1178="","",IF(N1178="Sí",ROUND(K1178/1.18,2),K1178))</f>
        <v/>
      </c>
      <c r="P1178" s="3" t="inlineStr">
        <is>
          <t>2026-09-09</t>
        </is>
      </c>
      <c r="Q1178" s="4" t="inlineStr">
        <is>
          <t>Ferretería MC · Ferretería Ochoa (8A) · InnovaCentro (La Innovación)</t>
        </is>
      </c>
    </row>
    <row r="1179">
      <c r="A1179" s="3" t="inlineStr">
        <is>
          <t>MAT-22-011</t>
        </is>
      </c>
      <c r="B1179" s="3" t="inlineStr">
        <is>
          <t>Materiales</t>
        </is>
      </c>
      <c r="C1179" s="3" t="inlineStr">
        <is>
          <t>Cerramiento perimetral</t>
        </is>
      </c>
      <c r="D1179" s="4" t="inlineStr">
        <is>
          <t>Alambre de púas 1.50 mm, rollo de 250 metros</t>
        </is>
      </c>
      <c r="E1179" s="4" t="inlineStr">
        <is>
          <t>La ficha lo declara calibre 16</t>
        </is>
      </c>
      <c r="F1179" s="3" t="inlineStr">
        <is>
          <t>rollo</t>
        </is>
      </c>
      <c r="G1179" s="3" t="inlineStr">
        <is>
          <t>Exteriores</t>
        </is>
      </c>
      <c r="H1179" s="3" t="inlineStr">
        <is>
          <t>estandar</t>
        </is>
      </c>
      <c r="I1179" s="3" t="inlineStr">
        <is>
          <t>importado</t>
        </is>
      </c>
      <c r="J1179" s="5" t="n">
        <v>1</v>
      </c>
      <c r="K1179" s="6" t="n">
        <v>2601.2</v>
      </c>
      <c r="L1179" s="6" t="n">
        <v>2601.2</v>
      </c>
      <c r="M1179" s="6" t="n">
        <v>2601.2</v>
      </c>
      <c r="N1179" s="3" t="inlineStr">
        <is>
          <t>Sí</t>
        </is>
      </c>
      <c r="O1179" s="6">
        <f>IF(K1179="","",IF(N1179="Sí",ROUND(K1179/1.18,2),K1179))</f>
        <v/>
      </c>
      <c r="P1179" s="3" t="inlineStr">
        <is>
          <t>2026-09-09</t>
        </is>
      </c>
      <c r="Q1179" s="4" t="inlineStr">
        <is>
          <t>Ferretería Ochoa (8A)</t>
        </is>
      </c>
    </row>
    <row r="1180">
      <c r="A1180" s="3" t="inlineStr">
        <is>
          <t>MAT-22-012</t>
        </is>
      </c>
      <c r="B1180" s="3" t="inlineStr">
        <is>
          <t>Materiales</t>
        </is>
      </c>
      <c r="C1180" s="3" t="inlineStr">
        <is>
          <t>Cerramiento perimetral</t>
        </is>
      </c>
      <c r="D1180" s="4" t="inlineStr">
        <is>
          <t>Alambre de púas calibre 15, rollo de 250 metros</t>
        </is>
      </c>
      <c r="E1180" s="4" t="inlineStr"/>
      <c r="F1180" s="3" t="inlineStr">
        <is>
          <t>rollo</t>
        </is>
      </c>
      <c r="G1180" s="3" t="inlineStr">
        <is>
          <t>Exteriores</t>
        </is>
      </c>
      <c r="H1180" s="3" t="inlineStr">
        <is>
          <t>estandar</t>
        </is>
      </c>
      <c r="I1180" s="3" t="inlineStr">
        <is>
          <t>importado</t>
        </is>
      </c>
      <c r="J1180" s="5" t="n">
        <v>1</v>
      </c>
      <c r="K1180" s="6" t="n">
        <v>2541.47</v>
      </c>
      <c r="L1180" s="6" t="n">
        <v>2541.47</v>
      </c>
      <c r="M1180" s="6" t="n">
        <v>2541.47</v>
      </c>
      <c r="N1180" s="3" t="inlineStr">
        <is>
          <t>Sí</t>
        </is>
      </c>
      <c r="O1180" s="6">
        <f>IF(K1180="","",IF(N1180="Sí",ROUND(K1180/1.18,2),K1180))</f>
        <v/>
      </c>
      <c r="P1180" s="3" t="inlineStr">
        <is>
          <t>2026-09-09</t>
        </is>
      </c>
      <c r="Q1180" s="4" t="inlineStr">
        <is>
          <t>Ferretería Ochoa (8A)</t>
        </is>
      </c>
    </row>
    <row r="1181">
      <c r="A1181" s="3" t="inlineStr">
        <is>
          <t>MAT-22-013</t>
        </is>
      </c>
      <c r="B1181" s="3" t="inlineStr">
        <is>
          <t>Materiales</t>
        </is>
      </c>
      <c r="C1181" s="3" t="inlineStr">
        <is>
          <t>Cerramiento perimetral</t>
        </is>
      </c>
      <c r="D1181" s="4" t="inlineStr">
        <is>
          <t>Alambre de púas calibre 16, rollo de 110 metros</t>
        </is>
      </c>
      <c r="E1181" s="4" t="inlineStr"/>
      <c r="F1181" s="3" t="inlineStr">
        <is>
          <t>rollo</t>
        </is>
      </c>
      <c r="G1181" s="3" t="inlineStr">
        <is>
          <t>Exteriores</t>
        </is>
      </c>
      <c r="H1181" s="3" t="inlineStr">
        <is>
          <t>estandar</t>
        </is>
      </c>
      <c r="I1181" s="3" t="inlineStr">
        <is>
          <t>importado</t>
        </is>
      </c>
      <c r="J1181" s="5" t="n">
        <v>2</v>
      </c>
      <c r="K1181" s="6" t="n">
        <v>904.5599999999999</v>
      </c>
      <c r="L1181" s="6" t="n">
        <v>845</v>
      </c>
      <c r="M1181" s="6" t="n">
        <v>964.11</v>
      </c>
      <c r="N1181" s="3" t="inlineStr">
        <is>
          <t>Sí</t>
        </is>
      </c>
      <c r="O1181" s="6">
        <f>IF(K1181="","",IF(N1181="Sí",ROUND(K1181/1.18,2),K1181))</f>
        <v/>
      </c>
      <c r="P1181" s="3" t="inlineStr">
        <is>
          <t>2026-09-09</t>
        </is>
      </c>
      <c r="Q1181" s="4" t="inlineStr">
        <is>
          <t>Ferretería Ochoa (8A) · InnovaCentro (La Innovación)</t>
        </is>
      </c>
    </row>
    <row r="1182">
      <c r="A1182" s="3" t="inlineStr">
        <is>
          <t>MAT-22-014</t>
        </is>
      </c>
      <c r="B1182" s="3" t="inlineStr">
        <is>
          <t>Materiales</t>
        </is>
      </c>
      <c r="C1182" s="3" t="inlineStr">
        <is>
          <t>Cerramiento perimetral</t>
        </is>
      </c>
      <c r="D1182" s="4" t="inlineStr">
        <is>
          <t>Alambre de púas calibre 16, rollo de 250 metros</t>
        </is>
      </c>
      <c r="E1182" s="4" t="inlineStr"/>
      <c r="F1182" s="3" t="inlineStr">
        <is>
          <t>rollo</t>
        </is>
      </c>
      <c r="G1182" s="3" t="inlineStr">
        <is>
          <t>Exteriores</t>
        </is>
      </c>
      <c r="H1182" s="3" t="inlineStr">
        <is>
          <t>estandar</t>
        </is>
      </c>
      <c r="I1182" s="3" t="inlineStr">
        <is>
          <t>importado</t>
        </is>
      </c>
      <c r="J1182" s="5" t="n">
        <v>4</v>
      </c>
      <c r="K1182" s="6" t="n">
        <v>2696.5</v>
      </c>
      <c r="L1182" s="6" t="n">
        <v>1885</v>
      </c>
      <c r="M1182" s="6" t="n">
        <v>3785</v>
      </c>
      <c r="N1182" s="3" t="inlineStr">
        <is>
          <t>Sí</t>
        </is>
      </c>
      <c r="O1182" s="6">
        <f>IF(K1182="","",IF(N1182="Sí",ROUND(K1182/1.18,2),K1182))</f>
        <v/>
      </c>
      <c r="P1182" s="3" t="inlineStr">
        <is>
          <t>2026-09-09</t>
        </is>
      </c>
      <c r="Q1182" s="4" t="inlineStr">
        <is>
          <t>Ferretería Cima · Ferretería Ochoa (8A) · InnovaCentro (La Innovación) · Max Ferretería</t>
        </is>
      </c>
    </row>
    <row r="1183">
      <c r="A1183" s="3" t="inlineStr">
        <is>
          <t>MAT-22-015</t>
        </is>
      </c>
      <c r="B1183" s="3" t="inlineStr">
        <is>
          <t>Materiales</t>
        </is>
      </c>
      <c r="C1183" s="3" t="inlineStr">
        <is>
          <t>Cerramiento perimetral</t>
        </is>
      </c>
      <c r="D1183" s="4" t="inlineStr">
        <is>
          <t>Alambre de púas calibre 17, rollo de 250 metros</t>
        </is>
      </c>
      <c r="E1183" s="4" t="inlineStr"/>
      <c r="F1183" s="3" t="inlineStr">
        <is>
          <t>rollo</t>
        </is>
      </c>
      <c r="G1183" s="3" t="inlineStr">
        <is>
          <t>Exteriores</t>
        </is>
      </c>
      <c r="H1183" s="3" t="inlineStr">
        <is>
          <t>estandar</t>
        </is>
      </c>
      <c r="I1183" s="3" t="inlineStr">
        <is>
          <t>importado</t>
        </is>
      </c>
      <c r="J1183" s="5" t="n">
        <v>1</v>
      </c>
      <c r="K1183" s="6" t="n">
        <v>1933.36</v>
      </c>
      <c r="L1183" s="6" t="n">
        <v>1933.36</v>
      </c>
      <c r="M1183" s="6" t="n">
        <v>1933.36</v>
      </c>
      <c r="N1183" s="3" t="inlineStr">
        <is>
          <t>Sí</t>
        </is>
      </c>
      <c r="O1183" s="6">
        <f>IF(K1183="","",IF(N1183="Sí",ROUND(K1183/1.18,2),K1183))</f>
        <v/>
      </c>
      <c r="P1183" s="3" t="inlineStr">
        <is>
          <t>2026-09-09</t>
        </is>
      </c>
      <c r="Q1183" s="4" t="inlineStr">
        <is>
          <t>Ferretería Ochoa (8A)</t>
        </is>
      </c>
    </row>
    <row r="1184">
      <c r="A1184" s="3" t="inlineStr">
        <is>
          <t>MAT-22-016</t>
        </is>
      </c>
      <c r="B1184" s="3" t="inlineStr">
        <is>
          <t>Materiales</t>
        </is>
      </c>
      <c r="C1184" s="3" t="inlineStr">
        <is>
          <t>Cerramiento perimetral</t>
        </is>
      </c>
      <c r="D1184" s="4" t="inlineStr">
        <is>
          <t>Tela metálica calibre 16, retícula 1" x 2", 4 pies de alto</t>
        </is>
      </c>
      <c r="E1184" s="4" t="inlineStr">
        <is>
          <t>Rollo de 100 pies</t>
        </is>
      </c>
      <c r="F1184" s="3" t="inlineStr">
        <is>
          <t>yarda</t>
        </is>
      </c>
      <c r="G1184" s="3" t="inlineStr">
        <is>
          <t>Exteriores</t>
        </is>
      </c>
      <c r="H1184" s="3" t="inlineStr">
        <is>
          <t>estandar</t>
        </is>
      </c>
      <c r="I1184" s="3" t="inlineStr">
        <is>
          <t>importado</t>
        </is>
      </c>
      <c r="J1184" s="5" t="n">
        <v>1</v>
      </c>
      <c r="K1184" s="6" t="n">
        <v>113.78</v>
      </c>
      <c r="L1184" s="6" t="n">
        <v>113.78</v>
      </c>
      <c r="M1184" s="6" t="n">
        <v>113.78</v>
      </c>
      <c r="N1184" s="3" t="inlineStr">
        <is>
          <t>Sí</t>
        </is>
      </c>
      <c r="O1184" s="6">
        <f>IF(K1184="","",IF(N1184="Sí",ROUND(K1184/1.18,2),K1184))</f>
        <v/>
      </c>
      <c r="P1184" s="3" t="inlineStr">
        <is>
          <t>2026-09-09</t>
        </is>
      </c>
      <c r="Q1184" s="4" t="inlineStr">
        <is>
          <t>Ferretería Ochoa (8A)</t>
        </is>
      </c>
    </row>
    <row r="1185">
      <c r="A1185" s="3" t="inlineStr">
        <is>
          <t>MAT-22-017</t>
        </is>
      </c>
      <c r="B1185" s="3" t="inlineStr">
        <is>
          <t>Materiales</t>
        </is>
      </c>
      <c r="C1185" s="3" t="inlineStr">
        <is>
          <t>Cerramiento perimetral</t>
        </is>
      </c>
      <c r="D1185" s="4" t="inlineStr">
        <is>
          <t>Tela metálica calibre 18, retícula 1/2" x 1/2", 4 pies de alto</t>
        </is>
      </c>
      <c r="E1185" s="4" t="inlineStr">
        <is>
          <t>Rollo de 100 pies</t>
        </is>
      </c>
      <c r="F1185" s="3" t="inlineStr">
        <is>
          <t>yarda</t>
        </is>
      </c>
      <c r="G1185" s="3" t="inlineStr">
        <is>
          <t>Exteriores</t>
        </is>
      </c>
      <c r="H1185" s="3" t="inlineStr">
        <is>
          <t>estandar</t>
        </is>
      </c>
      <c r="I1185" s="3" t="inlineStr">
        <is>
          <t>importado</t>
        </is>
      </c>
      <c r="J1185" s="5" t="n">
        <v>1</v>
      </c>
      <c r="K1185" s="6" t="n">
        <v>192.26</v>
      </c>
      <c r="L1185" s="6" t="n">
        <v>192.26</v>
      </c>
      <c r="M1185" s="6" t="n">
        <v>192.26</v>
      </c>
      <c r="N1185" s="3" t="inlineStr">
        <is>
          <t>Sí</t>
        </is>
      </c>
      <c r="O1185" s="6">
        <f>IF(K1185="","",IF(N1185="Sí",ROUND(K1185/1.18,2),K1185))</f>
        <v/>
      </c>
      <c r="P1185" s="3" t="inlineStr">
        <is>
          <t>2026-09-09</t>
        </is>
      </c>
      <c r="Q1185" s="4" t="inlineStr">
        <is>
          <t>Ferretería Ochoa (8A)</t>
        </is>
      </c>
    </row>
    <row r="1186">
      <c r="A1186" s="3" t="inlineStr">
        <is>
          <t>MAT-22-018</t>
        </is>
      </c>
      <c r="B1186" s="3" t="inlineStr">
        <is>
          <t>Materiales</t>
        </is>
      </c>
      <c r="C1186" s="3" t="inlineStr">
        <is>
          <t>Cerramiento perimetral</t>
        </is>
      </c>
      <c r="D1186" s="4" t="inlineStr">
        <is>
          <t>Tela metálica calibre 18, retícula 1" x 1/2", 3 pies de alto</t>
        </is>
      </c>
      <c r="E1186" s="4" t="inlineStr">
        <is>
          <t>Rollo de 100 pies</t>
        </is>
      </c>
      <c r="F1186" s="3" t="inlineStr">
        <is>
          <t>yarda</t>
        </is>
      </c>
      <c r="G1186" s="3" t="inlineStr">
        <is>
          <t>Exteriores</t>
        </is>
      </c>
      <c r="H1186" s="3" t="inlineStr">
        <is>
          <t>estandar</t>
        </is>
      </c>
      <c r="I1186" s="3" t="inlineStr">
        <is>
          <t>importado</t>
        </is>
      </c>
      <c r="J1186" s="5" t="n">
        <v>1</v>
      </c>
      <c r="K1186" s="6" t="n">
        <v>106.11</v>
      </c>
      <c r="L1186" s="6" t="n">
        <v>106.11</v>
      </c>
      <c r="M1186" s="6" t="n">
        <v>106.11</v>
      </c>
      <c r="N1186" s="3" t="inlineStr">
        <is>
          <t>Sí</t>
        </is>
      </c>
      <c r="O1186" s="6">
        <f>IF(K1186="","",IF(N1186="Sí",ROUND(K1186/1.18,2),K1186))</f>
        <v/>
      </c>
      <c r="P1186" s="3" t="inlineStr">
        <is>
          <t>2026-09-09</t>
        </is>
      </c>
      <c r="Q1186" s="4" t="inlineStr">
        <is>
          <t>Ferretería Ochoa (8A)</t>
        </is>
      </c>
    </row>
    <row r="1187">
      <c r="A1187" s="3" t="inlineStr">
        <is>
          <t>MAT-22-019</t>
        </is>
      </c>
      <c r="B1187" s="3" t="inlineStr">
        <is>
          <t>Materiales</t>
        </is>
      </c>
      <c r="C1187" s="3" t="inlineStr">
        <is>
          <t>Cerramiento perimetral</t>
        </is>
      </c>
      <c r="D1187" s="4" t="inlineStr">
        <is>
          <t>Tela metálica calibre 18, retícula 1" x 1/2", 4 pies de alto</t>
        </is>
      </c>
      <c r="E1187" s="4" t="inlineStr">
        <is>
          <t>Rollo de 100 pies</t>
        </is>
      </c>
      <c r="F1187" s="3" t="inlineStr">
        <is>
          <t>yarda</t>
        </is>
      </c>
      <c r="G1187" s="3" t="inlineStr">
        <is>
          <t>Exteriores</t>
        </is>
      </c>
      <c r="H1187" s="3" t="inlineStr">
        <is>
          <t>estandar</t>
        </is>
      </c>
      <c r="I1187" s="3" t="inlineStr">
        <is>
          <t>importado</t>
        </is>
      </c>
      <c r="J1187" s="5" t="n">
        <v>1</v>
      </c>
      <c r="K1187" s="6" t="n">
        <v>145.1</v>
      </c>
      <c r="L1187" s="6" t="n">
        <v>145.1</v>
      </c>
      <c r="M1187" s="6" t="n">
        <v>145.1</v>
      </c>
      <c r="N1187" s="3" t="inlineStr">
        <is>
          <t>Sí</t>
        </is>
      </c>
      <c r="O1187" s="6">
        <f>IF(K1187="","",IF(N1187="Sí",ROUND(K1187/1.18,2),K1187))</f>
        <v/>
      </c>
      <c r="P1187" s="3" t="inlineStr">
        <is>
          <t>2026-09-09</t>
        </is>
      </c>
      <c r="Q1187" s="4" t="inlineStr">
        <is>
          <t>Ferretería Ochoa (8A)</t>
        </is>
      </c>
    </row>
    <row r="1188">
      <c r="A1188" s="3" t="inlineStr">
        <is>
          <t>MAT-22-020</t>
        </is>
      </c>
      <c r="B1188" s="3" t="inlineStr">
        <is>
          <t>Materiales</t>
        </is>
      </c>
      <c r="C1188" s="3" t="inlineStr">
        <is>
          <t>Cerramiento perimetral</t>
        </is>
      </c>
      <c r="D1188" s="4" t="inlineStr">
        <is>
          <t>Tela metálica calibre 20, retícula 1" x 2", 3 pies de alto</t>
        </is>
      </c>
      <c r="E1188" s="4" t="inlineStr">
        <is>
          <t>Rollo de 100 pies</t>
        </is>
      </c>
      <c r="F1188" s="3" t="inlineStr">
        <is>
          <t>yarda</t>
        </is>
      </c>
      <c r="G1188" s="3" t="inlineStr">
        <is>
          <t>Exteriores</t>
        </is>
      </c>
      <c r="H1188" s="3" t="inlineStr">
        <is>
          <t>estandar</t>
        </is>
      </c>
      <c r="I1188" s="3" t="inlineStr">
        <is>
          <t>importado</t>
        </is>
      </c>
      <c r="J1188" s="5" t="n">
        <v>1</v>
      </c>
      <c r="K1188" s="6" t="n">
        <v>37.54</v>
      </c>
      <c r="L1188" s="6" t="n">
        <v>37.54</v>
      </c>
      <c r="M1188" s="6" t="n">
        <v>37.54</v>
      </c>
      <c r="N1188" s="3" t="inlineStr">
        <is>
          <t>Sí</t>
        </is>
      </c>
      <c r="O1188" s="6">
        <f>IF(K1188="","",IF(N1188="Sí",ROUND(K1188/1.18,2),K1188))</f>
        <v/>
      </c>
      <c r="P1188" s="3" t="inlineStr">
        <is>
          <t>2026-09-09</t>
        </is>
      </c>
      <c r="Q1188" s="4" t="inlineStr">
        <is>
          <t>Ferretería Ochoa (8A)</t>
        </is>
      </c>
    </row>
    <row r="1189">
      <c r="A1189" s="3" t="inlineStr">
        <is>
          <t>MAT-22-021</t>
        </is>
      </c>
      <c r="B1189" s="3" t="inlineStr">
        <is>
          <t>Materiales</t>
        </is>
      </c>
      <c r="C1189" s="3" t="inlineStr">
        <is>
          <t>Cerramiento perimetral</t>
        </is>
      </c>
      <c r="D1189" s="4" t="inlineStr">
        <is>
          <t>Tela metálica calibre 21, retícula 3/8" x 3/8", 3 pies de alto</t>
        </is>
      </c>
      <c r="E1189" s="4" t="inlineStr">
        <is>
          <t>Rollo de 100 pies</t>
        </is>
      </c>
      <c r="F1189" s="3" t="inlineStr">
        <is>
          <t>yarda</t>
        </is>
      </c>
      <c r="G1189" s="3" t="inlineStr">
        <is>
          <t>Exteriores</t>
        </is>
      </c>
      <c r="H1189" s="3" t="inlineStr">
        <is>
          <t>estandar</t>
        </is>
      </c>
      <c r="I1189" s="3" t="inlineStr">
        <is>
          <t>importado</t>
        </is>
      </c>
      <c r="J1189" s="5" t="n">
        <v>1</v>
      </c>
      <c r="K1189" s="6" t="n">
        <v>72.61</v>
      </c>
      <c r="L1189" s="6" t="n">
        <v>72.61</v>
      </c>
      <c r="M1189" s="6" t="n">
        <v>72.61</v>
      </c>
      <c r="N1189" s="3" t="inlineStr">
        <is>
          <t>Sí</t>
        </is>
      </c>
      <c r="O1189" s="6">
        <f>IF(K1189="","",IF(N1189="Sí",ROUND(K1189/1.18,2),K1189))</f>
        <v/>
      </c>
      <c r="P1189" s="3" t="inlineStr">
        <is>
          <t>2026-09-09</t>
        </is>
      </c>
      <c r="Q1189" s="4" t="inlineStr">
        <is>
          <t>Ferretería Ochoa (8A)</t>
        </is>
      </c>
    </row>
    <row r="1190">
      <c r="A1190" s="3" t="inlineStr">
        <is>
          <t>MAT-22-022</t>
        </is>
      </c>
      <c r="B1190" s="3" t="inlineStr">
        <is>
          <t>Materiales</t>
        </is>
      </c>
      <c r="C1190" s="3" t="inlineStr">
        <is>
          <t>Cerramiento perimetral</t>
        </is>
      </c>
      <c r="D1190" s="4" t="inlineStr">
        <is>
          <t>Tela para gallinero calibre 19, 3 pies de alto</t>
        </is>
      </c>
      <c r="E1190" s="4" t="inlineStr">
        <is>
          <t>Rollo de 100 pies</t>
        </is>
      </c>
      <c r="F1190" s="3" t="inlineStr">
        <is>
          <t>yarda</t>
        </is>
      </c>
      <c r="G1190" s="3" t="inlineStr">
        <is>
          <t>Exteriores</t>
        </is>
      </c>
      <c r="H1190" s="3" t="inlineStr">
        <is>
          <t>estandar</t>
        </is>
      </c>
      <c r="I1190" s="3" t="inlineStr">
        <is>
          <t>importado</t>
        </is>
      </c>
      <c r="J1190" s="5" t="n">
        <v>1</v>
      </c>
      <c r="K1190" s="6" t="n">
        <v>54.04</v>
      </c>
      <c r="L1190" s="6" t="n">
        <v>54.04</v>
      </c>
      <c r="M1190" s="6" t="n">
        <v>54.04</v>
      </c>
      <c r="N1190" s="3" t="inlineStr">
        <is>
          <t>Sí</t>
        </is>
      </c>
      <c r="O1190" s="6">
        <f>IF(K1190="","",IF(N1190="Sí",ROUND(K1190/1.18,2),K1190))</f>
        <v/>
      </c>
      <c r="P1190" s="3" t="inlineStr">
        <is>
          <t>2026-09-09</t>
        </is>
      </c>
      <c r="Q1190" s="4" t="inlineStr">
        <is>
          <t>Ferretería Ochoa (8A)</t>
        </is>
      </c>
    </row>
    <row r="1191">
      <c r="A1191" s="3" t="inlineStr">
        <is>
          <t>MAT-22-023</t>
        </is>
      </c>
      <c r="B1191" s="3" t="inlineStr">
        <is>
          <t>Materiales</t>
        </is>
      </c>
      <c r="C1191" s="3" t="inlineStr">
        <is>
          <t>Cerramiento perimetral</t>
        </is>
      </c>
      <c r="D1191" s="4" t="inlineStr">
        <is>
          <t>Tela para gallinero calibre 20, 3 pies de alto</t>
        </is>
      </c>
      <c r="E1191" s="4" t="inlineStr">
        <is>
          <t>Rollo de 100 pies</t>
        </is>
      </c>
      <c r="F1191" s="3" t="inlineStr">
        <is>
          <t>yarda</t>
        </is>
      </c>
      <c r="G1191" s="3" t="inlineStr">
        <is>
          <t>Exteriores</t>
        </is>
      </c>
      <c r="H1191" s="3" t="inlineStr">
        <is>
          <t>estandar</t>
        </is>
      </c>
      <c r="I1191" s="3" t="inlineStr">
        <is>
          <t>importado</t>
        </is>
      </c>
      <c r="J1191" s="5" t="n">
        <v>1</v>
      </c>
      <c r="K1191" s="6" t="n">
        <v>46.53</v>
      </c>
      <c r="L1191" s="6" t="n">
        <v>46.53</v>
      </c>
      <c r="M1191" s="6" t="n">
        <v>46.53</v>
      </c>
      <c r="N1191" s="3" t="inlineStr">
        <is>
          <t>Sí</t>
        </is>
      </c>
      <c r="O1191" s="6">
        <f>IF(K1191="","",IF(N1191="Sí",ROUND(K1191/1.18,2),K1191))</f>
        <v/>
      </c>
      <c r="P1191" s="3" t="inlineStr">
        <is>
          <t>2026-09-09</t>
        </is>
      </c>
      <c r="Q1191" s="4" t="inlineStr">
        <is>
          <t>Ferretería Ochoa (8A)</t>
        </is>
      </c>
    </row>
    <row r="1192">
      <c r="A1192" s="3" t="inlineStr">
        <is>
          <t>MAT-22-024</t>
        </is>
      </c>
      <c r="B1192" s="3" t="inlineStr">
        <is>
          <t>Materiales</t>
        </is>
      </c>
      <c r="C1192" s="3" t="inlineStr">
        <is>
          <t>Cerramiento perimetral</t>
        </is>
      </c>
      <c r="D1192" s="4" t="inlineStr">
        <is>
          <t>Alambre de trinchera, 45 Mts</t>
        </is>
      </c>
      <c r="E1192" s="4" t="inlineStr"/>
      <c r="F1192" s="3" t="inlineStr">
        <is>
          <t>rollo</t>
        </is>
      </c>
      <c r="G1192" s="3" t="inlineStr">
        <is>
          <t>Exteriores</t>
        </is>
      </c>
      <c r="H1192" s="3" t="inlineStr">
        <is>
          <t>estandar</t>
        </is>
      </c>
      <c r="I1192" s="3" t="inlineStr">
        <is>
          <t>importado</t>
        </is>
      </c>
      <c r="J1192" s="5" t="n">
        <v>1</v>
      </c>
      <c r="K1192" s="6" t="n">
        <v>595</v>
      </c>
      <c r="L1192" s="6" t="n">
        <v>595</v>
      </c>
      <c r="M1192" s="6" t="n">
        <v>595</v>
      </c>
      <c r="N1192" s="3" t="inlineStr">
        <is>
          <t>Sí</t>
        </is>
      </c>
      <c r="O1192" s="6">
        <f>IF(K1192="","",IF(N1192="Sí",ROUND(K1192/1.18,2),K1192))</f>
        <v/>
      </c>
      <c r="P1192" s="3" t="inlineStr">
        <is>
          <t>2026-09-09</t>
        </is>
      </c>
      <c r="Q1192" s="4" t="inlineStr">
        <is>
          <t>InnovaCentro (La Innovación)</t>
        </is>
      </c>
      <c r="AD1192" s="7" t="inlineStr">
        <is>
          <t>45 Mts</t>
        </is>
      </c>
    </row>
    <row r="1193">
      <c r="A1193" s="3" t="inlineStr">
        <is>
          <t>MAT-22-025</t>
        </is>
      </c>
      <c r="B1193" s="3" t="inlineStr">
        <is>
          <t>Materiales</t>
        </is>
      </c>
      <c r="C1193" s="3" t="inlineStr">
        <is>
          <t>Cerramiento perimetral</t>
        </is>
      </c>
      <c r="D1193" s="4" t="inlineStr">
        <is>
          <t>Protección de verja, 1mt</t>
        </is>
      </c>
      <c r="E1193" s="4" t="inlineStr"/>
      <c r="F1193" s="3" t="inlineStr">
        <is>
          <t>unidad</t>
        </is>
      </c>
      <c r="G1193" s="3" t="inlineStr">
        <is>
          <t>Exteriores</t>
        </is>
      </c>
      <c r="H1193" s="3" t="inlineStr">
        <is>
          <t>estandar</t>
        </is>
      </c>
      <c r="I1193" s="3" t="inlineStr">
        <is>
          <t>importado</t>
        </is>
      </c>
      <c r="J1193" s="5" t="n">
        <v>1</v>
      </c>
      <c r="K1193" s="6" t="n">
        <v>990</v>
      </c>
      <c r="L1193" s="6" t="n">
        <v>985</v>
      </c>
      <c r="M1193" s="6" t="n">
        <v>995</v>
      </c>
      <c r="N1193" s="3" t="inlineStr">
        <is>
          <t>Sí</t>
        </is>
      </c>
      <c r="O1193" s="6">
        <f>IF(K1193="","",IF(N1193="Sí",ROUND(K1193/1.18,2),K1193))</f>
        <v/>
      </c>
      <c r="P1193" s="3" t="inlineStr">
        <is>
          <t>2026-09-09</t>
        </is>
      </c>
      <c r="Q1193" s="4" t="inlineStr">
        <is>
          <t>InnovaCentro (La Innovación)</t>
        </is>
      </c>
      <c r="AD1193" s="7" t="inlineStr">
        <is>
          <t>1mt</t>
        </is>
      </c>
    </row>
    <row r="1194">
      <c r="A1194" s="3" t="inlineStr">
        <is>
          <t>MAT-22-026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Abrazadera corta para malla ciclónica 1 1/4"</t>
        </is>
      </c>
      <c r="E1194" s="4" t="inlineStr"/>
      <c r="F1194" s="3" t="inlineStr">
        <is>
          <t>unidad</t>
        </is>
      </c>
      <c r="G1194" s="3" t="inlineStr">
        <is>
          <t>Exteriores</t>
        </is>
      </c>
      <c r="H1194" s="3" t="inlineStr">
        <is>
          <t>estandar</t>
        </is>
      </c>
      <c r="I1194" s="3" t="inlineStr">
        <is>
          <t>importado</t>
        </is>
      </c>
      <c r="J1194" s="5" t="n">
        <v>2</v>
      </c>
      <c r="K1194" s="6" t="n">
        <v>28.52</v>
      </c>
      <c r="L1194" s="6" t="n">
        <v>16.91</v>
      </c>
      <c r="M1194" s="6" t="n">
        <v>40.12</v>
      </c>
      <c r="N1194" s="3" t="inlineStr">
        <is>
          <t>Sí</t>
        </is>
      </c>
      <c r="O1194" s="6">
        <f>IF(K1194="","",IF(N1194="Sí",ROUND(K1194/1.18,2),K1194))</f>
        <v/>
      </c>
      <c r="P1194" s="3" t="inlineStr">
        <is>
          <t>2026-09-09</t>
        </is>
      </c>
      <c r="Q1194" s="4" t="inlineStr">
        <is>
          <t>Ferretería MC · Ferretería Ochoa (8A)</t>
        </is>
      </c>
    </row>
    <row r="1195">
      <c r="A1195" s="3" t="inlineStr">
        <is>
          <t>MAT-22-027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Copa pasante para malla ciclónica 1 1/4" x 1 1/2"</t>
        </is>
      </c>
      <c r="E1195" s="4" t="inlineStr"/>
      <c r="F1195" s="3" t="inlineStr">
        <is>
          <t>unidad</t>
        </is>
      </c>
      <c r="G1195" s="3" t="inlineStr">
        <is>
          <t>Exteriores</t>
        </is>
      </c>
      <c r="H1195" s="3" t="inlineStr">
        <is>
          <t>estandar</t>
        </is>
      </c>
      <c r="I1195" s="3" t="inlineStr">
        <is>
          <t>importado</t>
        </is>
      </c>
      <c r="J1195" s="5" t="n">
        <v>3</v>
      </c>
      <c r="K1195" s="6" t="n">
        <v>98</v>
      </c>
      <c r="L1195" s="6" t="n">
        <v>76.66</v>
      </c>
      <c r="M1195" s="6" t="n">
        <v>136.41</v>
      </c>
      <c r="N1195" s="3" t="inlineStr">
        <is>
          <t>Sí</t>
        </is>
      </c>
      <c r="O1195" s="6">
        <f>IF(K1195="","",IF(N1195="Sí",ROUND(K1195/1.18,2),K1195))</f>
        <v/>
      </c>
      <c r="P1195" s="3" t="inlineStr">
        <is>
          <t>2026-09-09</t>
        </is>
      </c>
      <c r="Q1195" s="4" t="inlineStr">
        <is>
          <t>Ferretería MC · Ferretería Ochoa (8A) · InnovaCentro (La Innovación)</t>
        </is>
      </c>
    </row>
    <row r="1196">
      <c r="A1196" s="3" t="inlineStr">
        <is>
          <t>MAT-22-028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Copa tensora para malla ciclónica 1 1/4"</t>
        </is>
      </c>
      <c r="E1196" s="4" t="inlineStr"/>
      <c r="F1196" s="3" t="inlineStr">
        <is>
          <t>unidad</t>
        </is>
      </c>
      <c r="G1196" s="3" t="inlineStr">
        <is>
          <t>Exteriores</t>
        </is>
      </c>
      <c r="H1196" s="3" t="inlineStr">
        <is>
          <t>estandar</t>
        </is>
      </c>
      <c r="I1196" s="3" t="inlineStr">
        <is>
          <t>importado</t>
        </is>
      </c>
      <c r="J1196" s="5" t="n">
        <v>1</v>
      </c>
      <c r="K1196" s="6" t="n">
        <v>55.61</v>
      </c>
      <c r="L1196" s="6" t="n">
        <v>55.61</v>
      </c>
      <c r="M1196" s="6" t="n">
        <v>55.61</v>
      </c>
      <c r="N1196" s="3" t="inlineStr">
        <is>
          <t>Sí</t>
        </is>
      </c>
      <c r="O1196" s="6">
        <f>IF(K1196="","",IF(N1196="Sí",ROUND(K1196/1.18,2),K1196))</f>
        <v/>
      </c>
      <c r="P1196" s="3" t="inlineStr">
        <is>
          <t>2026-09-09</t>
        </is>
      </c>
      <c r="Q1196" s="4" t="inlineStr">
        <is>
          <t>Ferretería Ochoa (8A)</t>
        </is>
      </c>
    </row>
    <row r="1197">
      <c r="A1197" s="3" t="inlineStr">
        <is>
          <t>MAT-22-029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Copa terminal para malla ciclónica 1 1/4"</t>
        </is>
      </c>
      <c r="E1197" s="4" t="inlineStr"/>
      <c r="F1197" s="3" t="inlineStr">
        <is>
          <t>unidad</t>
        </is>
      </c>
      <c r="G1197" s="3" t="inlineStr">
        <is>
          <t>Exteriores</t>
        </is>
      </c>
      <c r="H1197" s="3" t="inlineStr">
        <is>
          <t>estandar</t>
        </is>
      </c>
      <c r="I1197" s="3" t="inlineStr">
        <is>
          <t>importado</t>
        </is>
      </c>
      <c r="J1197" s="5" t="n">
        <v>2</v>
      </c>
      <c r="K1197" s="6" t="n">
        <v>66.62</v>
      </c>
      <c r="L1197" s="6" t="n">
        <v>36.96</v>
      </c>
      <c r="M1197" s="6" t="n">
        <v>96.29000000000001</v>
      </c>
      <c r="N1197" s="3" t="inlineStr">
        <is>
          <t>Sí</t>
        </is>
      </c>
      <c r="O1197" s="6">
        <f>IF(K1197="","",IF(N1197="Sí",ROUND(K1197/1.18,2),K1197))</f>
        <v/>
      </c>
      <c r="P1197" s="3" t="inlineStr">
        <is>
          <t>2026-09-09</t>
        </is>
      </c>
      <c r="Q1197" s="4" t="inlineStr">
        <is>
          <t>Ferretería MC · Ferretería Ochoa (8A)</t>
        </is>
      </c>
    </row>
    <row r="1198">
      <c r="A1198" s="3" t="inlineStr">
        <is>
          <t>MAT-22-030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Unión reforzada para malla ciclónica 1 1/4"</t>
        </is>
      </c>
      <c r="E1198" s="4" t="inlineStr"/>
      <c r="F1198" s="3" t="inlineStr">
        <is>
          <t>unidad</t>
        </is>
      </c>
      <c r="G1198" s="3" t="inlineStr">
        <is>
          <t>Exteriores</t>
        </is>
      </c>
      <c r="H1198" s="3" t="inlineStr">
        <is>
          <t>estandar</t>
        </is>
      </c>
      <c r="I1198" s="3" t="inlineStr">
        <is>
          <t>importado</t>
        </is>
      </c>
      <c r="J1198" s="5" t="n">
        <v>1</v>
      </c>
      <c r="K1198" s="6" t="n">
        <v>60.03</v>
      </c>
      <c r="L1198" s="6" t="n">
        <v>60.03</v>
      </c>
      <c r="M1198" s="6" t="n">
        <v>60.03</v>
      </c>
      <c r="N1198" s="3" t="inlineStr">
        <is>
          <t>Sí</t>
        </is>
      </c>
      <c r="O1198" s="6">
        <f>IF(K1198="","",IF(N1198="Sí",ROUND(K1198/1.18,2),K1198))</f>
        <v/>
      </c>
      <c r="P1198" s="3" t="inlineStr">
        <is>
          <t>2026-09-09</t>
        </is>
      </c>
      <c r="Q1198" s="4" t="inlineStr">
        <is>
          <t>Ferretería Ochoa (8A)</t>
        </is>
      </c>
    </row>
    <row r="1199">
      <c r="A1199" s="3" t="inlineStr">
        <is>
          <t>MAT-22-031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Abrazadera corta para malla ciclónica 1 1/2"</t>
        </is>
      </c>
      <c r="E1199" s="4" t="inlineStr"/>
      <c r="F1199" s="3" t="inlineStr">
        <is>
          <t>unidad</t>
        </is>
      </c>
      <c r="G1199" s="3" t="inlineStr">
        <is>
          <t>Exteriores</t>
        </is>
      </c>
      <c r="H1199" s="3" t="inlineStr">
        <is>
          <t>estandar</t>
        </is>
      </c>
      <c r="I1199" s="3" t="inlineStr">
        <is>
          <t>importado</t>
        </is>
      </c>
      <c r="J1199" s="5" t="n">
        <v>2</v>
      </c>
      <c r="K1199" s="6" t="n">
        <v>24.66</v>
      </c>
      <c r="L1199" s="6" t="n">
        <v>19.14</v>
      </c>
      <c r="M1199" s="6" t="n">
        <v>30.17</v>
      </c>
      <c r="N1199" s="3" t="inlineStr">
        <is>
          <t>Sí</t>
        </is>
      </c>
      <c r="O1199" s="6">
        <f>IF(K1199="","",IF(N1199="Sí",ROUND(K1199/1.18,2),K1199))</f>
        <v/>
      </c>
      <c r="P1199" s="3" t="inlineStr">
        <is>
          <t>2026-09-09</t>
        </is>
      </c>
      <c r="Q1199" s="4" t="inlineStr">
        <is>
          <t>Ferretería MC · Ferretería Ochoa (8A)</t>
        </is>
      </c>
    </row>
    <row r="1200">
      <c r="A1200" s="3" t="inlineStr">
        <is>
          <t>MAT-22-032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Abrazadera larga para malla ciclónica 1 1/2"</t>
        </is>
      </c>
      <c r="E1200" s="4" t="inlineStr">
        <is>
          <t>Sin tornillo · se compra aparte</t>
        </is>
      </c>
      <c r="F1200" s="3" t="inlineStr">
        <is>
          <t>unidad</t>
        </is>
      </c>
      <c r="G1200" s="3" t="inlineStr">
        <is>
          <t>Exteriores</t>
        </is>
      </c>
      <c r="H1200" s="3" t="inlineStr">
        <is>
          <t>estandar</t>
        </is>
      </c>
      <c r="I1200" s="3" t="inlineStr">
        <is>
          <t>importado</t>
        </is>
      </c>
      <c r="J1200" s="5" t="n">
        <v>3</v>
      </c>
      <c r="K1200" s="6" t="n">
        <v>39.91</v>
      </c>
      <c r="L1200" s="6" t="n">
        <v>28.77</v>
      </c>
      <c r="M1200" s="6" t="n">
        <v>46</v>
      </c>
      <c r="N1200" s="3" t="inlineStr">
        <is>
          <t>Sí</t>
        </is>
      </c>
      <c r="O1200" s="6">
        <f>IF(K1200="","",IF(N1200="Sí",ROUND(K1200/1.18,2),K1200))</f>
        <v/>
      </c>
      <c r="P1200" s="3" t="inlineStr">
        <is>
          <t>2026-09-09</t>
        </is>
      </c>
      <c r="Q1200" s="4" t="inlineStr">
        <is>
          <t>Ferretería MC · Ferretería Ochoa (8A) · InnovaCentro (La Innovación)</t>
        </is>
      </c>
    </row>
    <row r="1201">
      <c r="A1201" s="3" t="inlineStr">
        <is>
          <t>MAT-22-033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Brazo doble para malla ciclónica 1 1/2" x 1 1/4"</t>
        </is>
      </c>
      <c r="E1201" s="4" t="inlineStr"/>
      <c r="F1201" s="3" t="inlineStr">
        <is>
          <t>unidad</t>
        </is>
      </c>
      <c r="G1201" s="3" t="inlineStr">
        <is>
          <t>Exteriores</t>
        </is>
      </c>
      <c r="H1201" s="3" t="inlineStr">
        <is>
          <t>estandar</t>
        </is>
      </c>
      <c r="I1201" s="3" t="inlineStr">
        <is>
          <t>importado</t>
        </is>
      </c>
      <c r="J1201" s="5" t="n">
        <v>3</v>
      </c>
      <c r="K1201" s="6" t="n">
        <v>277</v>
      </c>
      <c r="L1201" s="6" t="n">
        <v>187.9</v>
      </c>
      <c r="M1201" s="6" t="n">
        <v>337.48</v>
      </c>
      <c r="N1201" s="3" t="inlineStr">
        <is>
          <t>Sí</t>
        </is>
      </c>
      <c r="O1201" s="6">
        <f>IF(K1201="","",IF(N1201="Sí",ROUND(K1201/1.18,2),K1201))</f>
        <v/>
      </c>
      <c r="P1201" s="3" t="inlineStr">
        <is>
          <t>2026-09-09</t>
        </is>
      </c>
      <c r="Q1201" s="4" t="inlineStr">
        <is>
          <t>Ferretería MC · Ferretería Ochoa (8A) · InnovaCentro (La Innovación)</t>
        </is>
      </c>
    </row>
    <row r="1202">
      <c r="A1202" s="3" t="inlineStr">
        <is>
          <t>MAT-22-034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Brazo sencillo para malla ciclónica 1 1/2" x 1 1/4"</t>
        </is>
      </c>
      <c r="E1202" s="4" t="inlineStr"/>
      <c r="F1202" s="3" t="inlineStr">
        <is>
          <t>unidad</t>
        </is>
      </c>
      <c r="G1202" s="3" t="inlineStr">
        <is>
          <t>Exteriores</t>
        </is>
      </c>
      <c r="H1202" s="3" t="inlineStr">
        <is>
          <t>estandar</t>
        </is>
      </c>
      <c r="I1202" s="3" t="inlineStr">
        <is>
          <t>importado</t>
        </is>
      </c>
      <c r="J1202" s="5" t="n">
        <v>3</v>
      </c>
      <c r="K1202" s="6" t="n">
        <v>168</v>
      </c>
      <c r="L1202" s="6" t="n">
        <v>124.76</v>
      </c>
      <c r="M1202" s="6" t="n">
        <v>257.24</v>
      </c>
      <c r="N1202" s="3" t="inlineStr">
        <is>
          <t>Sí</t>
        </is>
      </c>
      <c r="O1202" s="6">
        <f>IF(K1202="","",IF(N1202="Sí",ROUND(K1202/1.18,2),K1202))</f>
        <v/>
      </c>
      <c r="P1202" s="3" t="inlineStr">
        <is>
          <t>2026-09-09</t>
        </is>
      </c>
      <c r="Q1202" s="4" t="inlineStr">
        <is>
          <t>Ferretería MC · Ferretería Ochoa (8A) · InnovaCentro (La Innovación)</t>
        </is>
      </c>
    </row>
    <row r="1203">
      <c r="A1203" s="3" t="inlineStr">
        <is>
          <t>MAT-22-035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Copa pasante para malla ciclónica 1 1/2" x 1 1/2"</t>
        </is>
      </c>
      <c r="E1203" s="4" t="inlineStr"/>
      <c r="F1203" s="3" t="inlineStr">
        <is>
          <t>unidad</t>
        </is>
      </c>
      <c r="G1203" s="3" t="inlineStr">
        <is>
          <t>Exteriores</t>
        </is>
      </c>
      <c r="H1203" s="3" t="inlineStr">
        <is>
          <t>estandar</t>
        </is>
      </c>
      <c r="I1203" s="3" t="inlineStr">
        <is>
          <t>importado</t>
        </is>
      </c>
      <c r="J1203" s="5" t="n">
        <v>1</v>
      </c>
      <c r="K1203" s="6" t="n">
        <v>76.66</v>
      </c>
      <c r="L1203" s="6" t="n">
        <v>76.66</v>
      </c>
      <c r="M1203" s="6" t="n">
        <v>76.66</v>
      </c>
      <c r="N1203" s="3" t="inlineStr">
        <is>
          <t>Sí</t>
        </is>
      </c>
      <c r="O1203" s="6">
        <f>IF(K1203="","",IF(N1203="Sí",ROUND(K1203/1.18,2),K1203))</f>
        <v/>
      </c>
      <c r="P1203" s="3" t="inlineStr">
        <is>
          <t>2026-09-09</t>
        </is>
      </c>
      <c r="Q1203" s="4" t="inlineStr">
        <is>
          <t>Ferretería Ochoa (8A)</t>
        </is>
      </c>
    </row>
    <row r="1204">
      <c r="A1204" s="3" t="inlineStr">
        <is>
          <t>MAT-22-036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Copa terminal para malla ciclónica 1 1/2"</t>
        </is>
      </c>
      <c r="E1204" s="4" t="inlineStr"/>
      <c r="F1204" s="3" t="inlineStr">
        <is>
          <t>unidad</t>
        </is>
      </c>
      <c r="G1204" s="3" t="inlineStr">
        <is>
          <t>Exteriores</t>
        </is>
      </c>
      <c r="H1204" s="3" t="inlineStr">
        <is>
          <t>estandar</t>
        </is>
      </c>
      <c r="I1204" s="3" t="inlineStr">
        <is>
          <t>importado</t>
        </is>
      </c>
      <c r="J1204" s="5" t="n">
        <v>3</v>
      </c>
      <c r="K1204" s="6" t="n">
        <v>96.29000000000001</v>
      </c>
      <c r="L1204" s="6" t="n">
        <v>61.63</v>
      </c>
      <c r="M1204" s="6" t="n">
        <v>105</v>
      </c>
      <c r="N1204" s="3" t="inlineStr">
        <is>
          <t>Sí</t>
        </is>
      </c>
      <c r="O1204" s="6">
        <f>IF(K1204="","",IF(N1204="Sí",ROUND(K1204/1.18,2),K1204))</f>
        <v/>
      </c>
      <c r="P1204" s="3" t="inlineStr">
        <is>
          <t>2026-09-09</t>
        </is>
      </c>
      <c r="Q1204" s="4" t="inlineStr">
        <is>
          <t>Ferretería MC · Ferretería Ochoa (8A) · InnovaCentro (La Innovación)</t>
        </is>
      </c>
    </row>
    <row r="1205">
      <c r="A1205" s="3" t="inlineStr">
        <is>
          <t>MAT-22-037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Abrazadera corta para malla ciclónica 2"</t>
        </is>
      </c>
      <c r="E1205" s="4" t="inlineStr"/>
      <c r="F1205" s="3" t="inlineStr">
        <is>
          <t>unidad</t>
        </is>
      </c>
      <c r="G1205" s="3" t="inlineStr">
        <is>
          <t>Exteriores</t>
        </is>
      </c>
      <c r="H1205" s="3" t="inlineStr">
        <is>
          <t>estandar</t>
        </is>
      </c>
      <c r="I1205" s="3" t="inlineStr">
        <is>
          <t>importado</t>
        </is>
      </c>
      <c r="J1205" s="5" t="n">
        <v>2</v>
      </c>
      <c r="K1205" s="6" t="n">
        <v>33.79</v>
      </c>
      <c r="L1205" s="6" t="n">
        <v>21.04</v>
      </c>
      <c r="M1205" s="6" t="n">
        <v>46.54</v>
      </c>
      <c r="N1205" s="3" t="inlineStr">
        <is>
          <t>Sí</t>
        </is>
      </c>
      <c r="O1205" s="6">
        <f>IF(K1205="","",IF(N1205="Sí",ROUND(K1205/1.18,2),K1205))</f>
        <v/>
      </c>
      <c r="P1205" s="3" t="inlineStr">
        <is>
          <t>2026-09-09</t>
        </is>
      </c>
      <c r="Q1205" s="4" t="inlineStr">
        <is>
          <t>Ferretería MC · Ferretería Ochoa (8A)</t>
        </is>
      </c>
    </row>
    <row r="1206">
      <c r="A1206" s="3" t="inlineStr">
        <is>
          <t>MAT-22-038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Abrazadera larga para malla ciclónica 2"</t>
        </is>
      </c>
      <c r="E1206" s="4" t="inlineStr">
        <is>
          <t>Sin tornillo · se compra aparte</t>
        </is>
      </c>
      <c r="F1206" s="3" t="inlineStr">
        <is>
          <t>unidad</t>
        </is>
      </c>
      <c r="G1206" s="3" t="inlineStr">
        <is>
          <t>Exteriores</t>
        </is>
      </c>
      <c r="H1206" s="3" t="inlineStr">
        <is>
          <t>estandar</t>
        </is>
      </c>
      <c r="I1206" s="3" t="inlineStr">
        <is>
          <t>importado</t>
        </is>
      </c>
      <c r="J1206" s="5" t="n">
        <v>2</v>
      </c>
      <c r="K1206" s="6" t="n">
        <v>34.26</v>
      </c>
      <c r="L1206" s="6" t="n">
        <v>20.38</v>
      </c>
      <c r="M1206" s="6" t="n">
        <v>48.14</v>
      </c>
      <c r="N1206" s="3" t="inlineStr">
        <is>
          <t>Sí</t>
        </is>
      </c>
      <c r="O1206" s="6">
        <f>IF(K1206="","",IF(N1206="Sí",ROUND(K1206/1.18,2),K1206))</f>
        <v/>
      </c>
      <c r="P1206" s="3" t="inlineStr">
        <is>
          <t>2026-09-09</t>
        </is>
      </c>
      <c r="Q1206" s="4" t="inlineStr">
        <is>
          <t>Ferretería MC · Ferretería Ochoa (8A)</t>
        </is>
      </c>
    </row>
    <row r="1207">
      <c r="A1207" s="3" t="inlineStr">
        <is>
          <t>MAT-22-039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Brazo sencillo para malla ciclónica 2" x 1 1/4"</t>
        </is>
      </c>
      <c r="E1207" s="4" t="inlineStr"/>
      <c r="F1207" s="3" t="inlineStr">
        <is>
          <t>unidad</t>
        </is>
      </c>
      <c r="G1207" s="3" t="inlineStr">
        <is>
          <t>Exteriores</t>
        </is>
      </c>
      <c r="H1207" s="3" t="inlineStr">
        <is>
          <t>estandar</t>
        </is>
      </c>
      <c r="I1207" s="3" t="inlineStr">
        <is>
          <t>importado</t>
        </is>
      </c>
      <c r="J1207" s="5" t="n">
        <v>2</v>
      </c>
      <c r="K1207" s="6" t="n">
        <v>252.96</v>
      </c>
      <c r="L1207" s="6" t="n">
        <v>187.9</v>
      </c>
      <c r="M1207" s="6" t="n">
        <v>318.01</v>
      </c>
      <c r="N1207" s="3" t="inlineStr">
        <is>
          <t>Sí</t>
        </is>
      </c>
      <c r="O1207" s="6">
        <f>IF(K1207="","",IF(N1207="Sí",ROUND(K1207/1.18,2),K1207))</f>
        <v/>
      </c>
      <c r="P1207" s="3" t="inlineStr">
        <is>
          <t>2026-09-09</t>
        </is>
      </c>
      <c r="Q1207" s="4" t="inlineStr">
        <is>
          <t>Ferretería MC · Ferretería Ochoa (8A)</t>
        </is>
      </c>
    </row>
    <row r="1208">
      <c r="A1208" s="3" t="inlineStr">
        <is>
          <t>MAT-22-040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Brazo doble para malla ciclónica 2" x 1 1/2"</t>
        </is>
      </c>
      <c r="E1208" s="4" t="inlineStr"/>
      <c r="F1208" s="3" t="inlineStr">
        <is>
          <t>unidad</t>
        </is>
      </c>
      <c r="G1208" s="3" t="inlineStr">
        <is>
          <t>Exteriores</t>
        </is>
      </c>
      <c r="H1208" s="3" t="inlineStr">
        <is>
          <t>estandar</t>
        </is>
      </c>
      <c r="I1208" s="3" t="inlineStr">
        <is>
          <t>importado</t>
        </is>
      </c>
      <c r="J1208" s="5" t="n">
        <v>2</v>
      </c>
      <c r="K1208" s="6" t="n">
        <v>355.33</v>
      </c>
      <c r="L1208" s="6" t="n">
        <v>337.48</v>
      </c>
      <c r="M1208" s="6" t="n">
        <v>373.18</v>
      </c>
      <c r="N1208" s="3" t="inlineStr">
        <is>
          <t>Sí</t>
        </is>
      </c>
      <c r="O1208" s="6">
        <f>IF(K1208="","",IF(N1208="Sí",ROUND(K1208/1.18,2),K1208))</f>
        <v/>
      </c>
      <c r="P1208" s="3" t="inlineStr">
        <is>
          <t>2026-09-09</t>
        </is>
      </c>
      <c r="Q1208" s="4" t="inlineStr">
        <is>
          <t>Ferretería MC · Ferretería Ochoa (8A)</t>
        </is>
      </c>
    </row>
    <row r="1209">
      <c r="A1209" s="3" t="inlineStr">
        <is>
          <t>MAT-22-041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Copa terminal para malla ciclónica 2"</t>
        </is>
      </c>
      <c r="E1209" s="4" t="inlineStr"/>
      <c r="F1209" s="3" t="inlineStr">
        <is>
          <t>unidad</t>
        </is>
      </c>
      <c r="G1209" s="3" t="inlineStr">
        <is>
          <t>Exteriores</t>
        </is>
      </c>
      <c r="H1209" s="3" t="inlineStr">
        <is>
          <t>estandar</t>
        </is>
      </c>
      <c r="I1209" s="3" t="inlineStr">
        <is>
          <t>importado</t>
        </is>
      </c>
      <c r="J1209" s="5" t="n">
        <v>2</v>
      </c>
      <c r="K1209" s="6" t="n">
        <v>77.70999999999999</v>
      </c>
      <c r="L1209" s="6" t="n">
        <v>51.11</v>
      </c>
      <c r="M1209" s="6" t="n">
        <v>104.31</v>
      </c>
      <c r="N1209" s="3" t="inlineStr">
        <is>
          <t>Sí</t>
        </is>
      </c>
      <c r="O1209" s="6">
        <f>IF(K1209="","",IF(N1209="Sí",ROUND(K1209/1.18,2),K1209))</f>
        <v/>
      </c>
      <c r="P1209" s="3" t="inlineStr">
        <is>
          <t>2026-09-09</t>
        </is>
      </c>
      <c r="Q1209" s="4" t="inlineStr">
        <is>
          <t>Ferretería MC · Ferretería Ochoa (8A)</t>
        </is>
      </c>
    </row>
    <row r="1210">
      <c r="A1210" s="3" t="inlineStr">
        <is>
          <t>MAT-22-042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Brazo para malla ciclónica 2 3/8" x 1 1/2"</t>
        </is>
      </c>
      <c r="E1210" s="4" t="inlineStr"/>
      <c r="F1210" s="3" t="inlineStr">
        <is>
          <t>unidad</t>
        </is>
      </c>
      <c r="G1210" s="3" t="inlineStr">
        <is>
          <t>Exteriores</t>
        </is>
      </c>
      <c r="H1210" s="3" t="inlineStr">
        <is>
          <t>estandar</t>
        </is>
      </c>
      <c r="I1210" s="3" t="inlineStr">
        <is>
          <t>importado</t>
        </is>
      </c>
      <c r="J1210" s="5" t="n">
        <v>1</v>
      </c>
      <c r="K1210" s="6" t="n">
        <v>300.64</v>
      </c>
      <c r="L1210" s="6" t="n">
        <v>300.64</v>
      </c>
      <c r="M1210" s="6" t="n">
        <v>300.64</v>
      </c>
      <c r="N1210" s="3" t="inlineStr">
        <is>
          <t>Sí</t>
        </is>
      </c>
      <c r="O1210" s="6">
        <f>IF(K1210="","",IF(N1210="Sí",ROUND(K1210/1.18,2),K1210))</f>
        <v/>
      </c>
      <c r="P1210" s="3" t="inlineStr">
        <is>
          <t>2026-09-09</t>
        </is>
      </c>
      <c r="Q1210" s="4" t="inlineStr">
        <is>
          <t>Ferretería Ochoa (8A)</t>
        </is>
      </c>
    </row>
    <row r="1211">
      <c r="A1211" s="3" t="inlineStr">
        <is>
          <t>MAT-22-043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Copa terminal para malla ciclónica 3"</t>
        </is>
      </c>
      <c r="E1211" s="4" t="inlineStr"/>
      <c r="F1211" s="3" t="inlineStr">
        <is>
          <t>unidad</t>
        </is>
      </c>
      <c r="G1211" s="3" t="inlineStr">
        <is>
          <t>Exteriores</t>
        </is>
      </c>
      <c r="H1211" s="3" t="inlineStr">
        <is>
          <t>estandar</t>
        </is>
      </c>
      <c r="I1211" s="3" t="inlineStr">
        <is>
          <t>importado</t>
        </is>
      </c>
      <c r="J1211" s="5" t="n">
        <v>1</v>
      </c>
      <c r="K1211" s="6" t="n">
        <v>36.5</v>
      </c>
      <c r="L1211" s="6" t="n">
        <v>36.5</v>
      </c>
      <c r="M1211" s="6" t="n">
        <v>36.5</v>
      </c>
      <c r="N1211" s="3" t="inlineStr">
        <is>
          <t>Sí</t>
        </is>
      </c>
      <c r="O1211" s="6">
        <f>IF(K1211="","",IF(N1211="Sí",ROUND(K1211/1.18,2),K1211))</f>
        <v/>
      </c>
      <c r="P1211" s="3" t="inlineStr">
        <is>
          <t>2026-09-09</t>
        </is>
      </c>
      <c r="Q1211" s="4" t="inlineStr">
        <is>
          <t>Ferretería Ochoa (8A)</t>
        </is>
      </c>
    </row>
    <row r="1212">
      <c r="A1212" s="3" t="inlineStr">
        <is>
          <t>MAT-23-001</t>
        </is>
      </c>
      <c r="B1212" s="3" t="inlineStr">
        <is>
          <t>Materiales</t>
        </is>
      </c>
      <c r="C1212" s="3" t="inlineStr">
        <is>
          <t>Perfilería de aluminio</t>
        </is>
      </c>
      <c r="D1212" s="4" t="inlineStr">
        <is>
          <t>Tubo redondo de aluminio 3/8" x 19.20 pies</t>
        </is>
      </c>
      <c r="E1212" s="4" t="inlineStr">
        <is>
          <t>La ficha no declara la pared</t>
        </is>
      </c>
      <c r="F1212" s="3" t="inlineStr">
        <is>
          <t>unidad</t>
        </is>
      </c>
      <c r="G1212" s="3" t="inlineStr">
        <is>
          <t>Puertas y ventanas</t>
        </is>
      </c>
      <c r="H1212" s="3" t="inlineStr">
        <is>
          <t>estandar</t>
        </is>
      </c>
      <c r="I1212" s="3" t="inlineStr">
        <is>
          <t>importado</t>
        </is>
      </c>
      <c r="J1212" s="5" t="n">
        <v>1</v>
      </c>
      <c r="K1212" s="6" t="n">
        <v>299.9</v>
      </c>
      <c r="L1212" s="6" t="n">
        <v>299.9</v>
      </c>
      <c r="M1212" s="6" t="n">
        <v>299.9</v>
      </c>
      <c r="N1212" s="3" t="inlineStr">
        <is>
          <t>Sí</t>
        </is>
      </c>
      <c r="O1212" s="6">
        <f>IF(K1212="","",IF(N1212="Sí",ROUND(K1212/1.18,2),K1212))</f>
        <v/>
      </c>
      <c r="P1212" s="3" t="inlineStr">
        <is>
          <t>2026-09-09</t>
        </is>
      </c>
      <c r="Q1212" s="4" t="inlineStr">
        <is>
          <t>Ferretería Ochoa (8A)</t>
        </is>
      </c>
    </row>
    <row r="1213">
      <c r="A1213" s="3" t="inlineStr">
        <is>
          <t>MAT-23-002</t>
        </is>
      </c>
      <c r="B1213" s="3" t="inlineStr">
        <is>
          <t>Materiales</t>
        </is>
      </c>
      <c r="C1213" s="3" t="inlineStr">
        <is>
          <t>Perfilería de aluminio</t>
        </is>
      </c>
      <c r="D1213" s="4" t="inlineStr">
        <is>
          <t>Tubo redondo de aluminio 1/2" x 19.20 pies</t>
        </is>
      </c>
      <c r="E1213" s="4" t="inlineStr">
        <is>
          <t>La ficha no declara la pared</t>
        </is>
      </c>
      <c r="F1213" s="3" t="inlineStr">
        <is>
          <t>unidad</t>
        </is>
      </c>
      <c r="G1213" s="3" t="inlineStr">
        <is>
          <t>Puertas y ventanas</t>
        </is>
      </c>
      <c r="H1213" s="3" t="inlineStr">
        <is>
          <t>estandar</t>
        </is>
      </c>
      <c r="I1213" s="3" t="inlineStr">
        <is>
          <t>importado</t>
        </is>
      </c>
      <c r="J1213" s="5" t="n">
        <v>1</v>
      </c>
      <c r="K1213" s="6" t="n">
        <v>373.61</v>
      </c>
      <c r="L1213" s="6" t="n">
        <v>373.61</v>
      </c>
      <c r="M1213" s="6" t="n">
        <v>373.61</v>
      </c>
      <c r="N1213" s="3" t="inlineStr">
        <is>
          <t>Sí</t>
        </is>
      </c>
      <c r="O1213" s="6">
        <f>IF(K1213="","",IF(N1213="Sí",ROUND(K1213/1.18,2),K1213))</f>
        <v/>
      </c>
      <c r="P1213" s="3" t="inlineStr">
        <is>
          <t>2026-09-09</t>
        </is>
      </c>
      <c r="Q1213" s="4" t="inlineStr">
        <is>
          <t>Ferretería Ochoa (8A)</t>
        </is>
      </c>
    </row>
    <row r="1214">
      <c r="A1214" s="3" t="inlineStr">
        <is>
          <t>MAT-23-003</t>
        </is>
      </c>
      <c r="B1214" s="3" t="inlineStr">
        <is>
          <t>Materiales</t>
        </is>
      </c>
      <c r="C1214" s="3" t="inlineStr">
        <is>
          <t>Perfilería de aluminio</t>
        </is>
      </c>
      <c r="D1214" s="4" t="inlineStr">
        <is>
          <t>Planchuela de aluminio 1/2" x 1/8" x 19.20 pies</t>
        </is>
      </c>
      <c r="E1214" s="4" t="inlineStr"/>
      <c r="F1214" s="3" t="inlineStr">
        <is>
          <t>unidad</t>
        </is>
      </c>
      <c r="G1214" s="3" t="inlineStr">
        <is>
          <t>Puertas y ventanas</t>
        </is>
      </c>
      <c r="H1214" s="3" t="inlineStr">
        <is>
          <t>estandar</t>
        </is>
      </c>
      <c r="I1214" s="3" t="inlineStr">
        <is>
          <t>importado</t>
        </is>
      </c>
      <c r="J1214" s="5" t="n">
        <v>1</v>
      </c>
      <c r="K1214" s="6" t="n">
        <v>452.36</v>
      </c>
      <c r="L1214" s="6" t="n">
        <v>452.36</v>
      </c>
      <c r="M1214" s="6" t="n">
        <v>452.36</v>
      </c>
      <c r="N1214" s="3" t="inlineStr">
        <is>
          <t>Sí</t>
        </is>
      </c>
      <c r="O1214" s="6">
        <f>IF(K1214="","",IF(N1214="Sí",ROUND(K1214/1.18,2),K1214))</f>
        <v/>
      </c>
      <c r="P1214" s="3" t="inlineStr">
        <is>
          <t>2026-09-09</t>
        </is>
      </c>
      <c r="Q1214" s="4" t="inlineStr">
        <is>
          <t>Ferretería Ochoa (8A)</t>
        </is>
      </c>
    </row>
    <row r="1215">
      <c r="A1215" s="3" t="inlineStr">
        <is>
          <t>MAT-23-004</t>
        </is>
      </c>
      <c r="B1215" s="3" t="inlineStr">
        <is>
          <t>Materiales</t>
        </is>
      </c>
      <c r="C1215" s="3" t="inlineStr">
        <is>
          <t>Perfilería de aluminio</t>
        </is>
      </c>
      <c r="D1215" s="4" t="inlineStr">
        <is>
          <t>Angular de aluminio 1/2" x 1/2" x 19.20 pies</t>
        </is>
      </c>
      <c r="E1215" s="4" t="inlineStr">
        <is>
          <t>La ficha no declara el espesor</t>
        </is>
      </c>
      <c r="F1215" s="3" t="inlineStr">
        <is>
          <t>unidad</t>
        </is>
      </c>
      <c r="G1215" s="3" t="inlineStr">
        <is>
          <t>Puertas y ventanas</t>
        </is>
      </c>
      <c r="H1215" s="3" t="inlineStr">
        <is>
          <t>estandar</t>
        </is>
      </c>
      <c r="I1215" s="3" t="inlineStr">
        <is>
          <t>importado</t>
        </is>
      </c>
      <c r="J1215" s="5" t="n">
        <v>2</v>
      </c>
      <c r="K1215" s="6" t="n">
        <v>344.86</v>
      </c>
      <c r="L1215" s="6" t="n">
        <v>295</v>
      </c>
      <c r="M1215" s="6" t="n">
        <v>394.72</v>
      </c>
      <c r="N1215" s="3" t="inlineStr">
        <is>
          <t>Sí</t>
        </is>
      </c>
      <c r="O1215" s="6">
        <f>IF(K1215="","",IF(N1215="Sí",ROUND(K1215/1.18,2),K1215))</f>
        <v/>
      </c>
      <c r="P1215" s="3" t="inlineStr">
        <is>
          <t>2026-09-09</t>
        </is>
      </c>
      <c r="Q1215" s="4" t="inlineStr">
        <is>
          <t>Ferretería Ochoa (8A) · InnovaCentro (La Innovación)</t>
        </is>
      </c>
    </row>
    <row r="1216">
      <c r="A1216" s="3" t="inlineStr">
        <is>
          <t>MAT-23-005</t>
        </is>
      </c>
      <c r="B1216" s="3" t="inlineStr">
        <is>
          <t>Materiales</t>
        </is>
      </c>
      <c r="C1216" s="3" t="inlineStr">
        <is>
          <t>Perfilería de aluminio</t>
        </is>
      </c>
      <c r="D1216" s="4" t="inlineStr">
        <is>
          <t>Moldura U de aluminio 1/2" x 1/2" x 19.20 pies</t>
        </is>
      </c>
      <c r="E1216" s="4" t="inlineStr">
        <is>
          <t>La ficha no declara el espesor</t>
        </is>
      </c>
      <c r="F1216" s="3" t="inlineStr">
        <is>
          <t>unidad</t>
        </is>
      </c>
      <c r="G1216" s="3" t="inlineStr">
        <is>
          <t>Puertas y ventanas</t>
        </is>
      </c>
      <c r="H1216" s="3" t="inlineStr">
        <is>
          <t>estandar</t>
        </is>
      </c>
      <c r="I1216" s="3" t="inlineStr">
        <is>
          <t>importado</t>
        </is>
      </c>
      <c r="J1216" s="5" t="n">
        <v>1</v>
      </c>
      <c r="K1216" s="6" t="n">
        <v>377.71</v>
      </c>
      <c r="L1216" s="6" t="n">
        <v>377.71</v>
      </c>
      <c r="M1216" s="6" t="n">
        <v>377.71</v>
      </c>
      <c r="N1216" s="3" t="inlineStr">
        <is>
          <t>Sí</t>
        </is>
      </c>
      <c r="O1216" s="6">
        <f>IF(K1216="","",IF(N1216="Sí",ROUND(K1216/1.18,2),K1216))</f>
        <v/>
      </c>
      <c r="P1216" s="3" t="inlineStr">
        <is>
          <t>2026-09-09</t>
        </is>
      </c>
      <c r="Q1216" s="4" t="inlineStr">
        <is>
          <t>Ferretería Ochoa (8A)</t>
        </is>
      </c>
    </row>
    <row r="1217">
      <c r="A1217" s="3" t="inlineStr">
        <is>
          <t>MAT-23-006</t>
        </is>
      </c>
      <c r="B1217" s="3" t="inlineStr">
        <is>
          <t>Materiales</t>
        </is>
      </c>
      <c r="C1217" s="3" t="inlineStr">
        <is>
          <t>Perfilería de aluminio</t>
        </is>
      </c>
      <c r="D1217" s="4" t="inlineStr">
        <is>
          <t>Moldura U de aluminio 5/8" x 5/8" x 19.20 pies</t>
        </is>
      </c>
      <c r="E1217" s="4" t="inlineStr">
        <is>
          <t>La ficha no declara el espesor</t>
        </is>
      </c>
      <c r="F1217" s="3" t="inlineStr">
        <is>
          <t>unidad</t>
        </is>
      </c>
      <c r="G1217" s="3" t="inlineStr">
        <is>
          <t>Puertas y ventanas</t>
        </is>
      </c>
      <c r="H1217" s="3" t="inlineStr">
        <is>
          <t>estandar</t>
        </is>
      </c>
      <c r="I1217" s="3" t="inlineStr">
        <is>
          <t>importado</t>
        </is>
      </c>
      <c r="J1217" s="5" t="n">
        <v>1</v>
      </c>
      <c r="K1217" s="6" t="n">
        <v>827.9</v>
      </c>
      <c r="L1217" s="6" t="n">
        <v>827.9</v>
      </c>
      <c r="M1217" s="6" t="n">
        <v>827.9</v>
      </c>
      <c r="N1217" s="3" t="inlineStr">
        <is>
          <t>Sí</t>
        </is>
      </c>
      <c r="O1217" s="6">
        <f>IF(K1217="","",IF(N1217="Sí",ROUND(K1217/1.18,2),K1217))</f>
        <v/>
      </c>
      <c r="P1217" s="3" t="inlineStr">
        <is>
          <t>2026-09-09</t>
        </is>
      </c>
      <c r="Q1217" s="4" t="inlineStr">
        <is>
          <t>Ferretería Ochoa (8A)</t>
        </is>
      </c>
    </row>
    <row r="1218">
      <c r="A1218" s="3" t="inlineStr">
        <is>
          <t>MAT-23-007</t>
        </is>
      </c>
      <c r="B1218" s="3" t="inlineStr">
        <is>
          <t>Materiales</t>
        </is>
      </c>
      <c r="C1218" s="3" t="inlineStr">
        <is>
          <t>Perfilería de aluminio</t>
        </is>
      </c>
      <c r="D1218" s="4" t="inlineStr">
        <is>
          <t>Tubo redondo de aluminio 3/4" x 19.20 pies</t>
        </is>
      </c>
      <c r="E1218" s="4" t="inlineStr">
        <is>
          <t>La ficha no declara la pared</t>
        </is>
      </c>
      <c r="F1218" s="3" t="inlineStr">
        <is>
          <t>unidad</t>
        </is>
      </c>
      <c r="G1218" s="3" t="inlineStr">
        <is>
          <t>Puertas y ventanas</t>
        </is>
      </c>
      <c r="H1218" s="3" t="inlineStr">
        <is>
          <t>estandar</t>
        </is>
      </c>
      <c r="I1218" s="3" t="inlineStr">
        <is>
          <t>importado</t>
        </is>
      </c>
      <c r="J1218" s="5" t="n">
        <v>1</v>
      </c>
      <c r="K1218" s="6" t="n">
        <v>772.42</v>
      </c>
      <c r="L1218" s="6" t="n">
        <v>772.42</v>
      </c>
      <c r="M1218" s="6" t="n">
        <v>772.42</v>
      </c>
      <c r="N1218" s="3" t="inlineStr">
        <is>
          <t>Sí</t>
        </is>
      </c>
      <c r="O1218" s="6">
        <f>IF(K1218="","",IF(N1218="Sí",ROUND(K1218/1.18,2),K1218))</f>
        <v/>
      </c>
      <c r="P1218" s="3" t="inlineStr">
        <is>
          <t>2026-09-09</t>
        </is>
      </c>
      <c r="Q1218" s="4" t="inlineStr">
        <is>
          <t>Ferretería Ochoa (8A)</t>
        </is>
      </c>
    </row>
    <row r="1219">
      <c r="A1219" s="3" t="inlineStr">
        <is>
          <t>MAT-23-008</t>
        </is>
      </c>
      <c r="B1219" s="3" t="inlineStr">
        <is>
          <t>Materiales</t>
        </is>
      </c>
      <c r="C1219" s="3" t="inlineStr">
        <is>
          <t>Perfilería de aluminio</t>
        </is>
      </c>
      <c r="D1219" s="4" t="inlineStr">
        <is>
          <t>Angular de aluminio 3/4" x 3/4" x 19.20 pies</t>
        </is>
      </c>
      <c r="E1219" s="4" t="inlineStr">
        <is>
          <t>La ficha no declara el espesor</t>
        </is>
      </c>
      <c r="F1219" s="3" t="inlineStr">
        <is>
          <t>unidad</t>
        </is>
      </c>
      <c r="G1219" s="3" t="inlineStr">
        <is>
          <t>Puertas y ventanas</t>
        </is>
      </c>
      <c r="H1219" s="3" t="inlineStr">
        <is>
          <t>estandar</t>
        </is>
      </c>
      <c r="I1219" s="3" t="inlineStr">
        <is>
          <t>importado</t>
        </is>
      </c>
      <c r="J1219" s="5" t="n">
        <v>2</v>
      </c>
      <c r="K1219" s="6" t="n">
        <v>440.65</v>
      </c>
      <c r="L1219" s="6" t="n">
        <v>436.29</v>
      </c>
      <c r="M1219" s="6" t="n">
        <v>445</v>
      </c>
      <c r="N1219" s="3" t="inlineStr">
        <is>
          <t>Sí</t>
        </is>
      </c>
      <c r="O1219" s="6">
        <f>IF(K1219="","",IF(N1219="Sí",ROUND(K1219/1.18,2),K1219))</f>
        <v/>
      </c>
      <c r="P1219" s="3" t="inlineStr">
        <is>
          <t>2026-09-09</t>
        </is>
      </c>
      <c r="Q1219" s="4" t="inlineStr">
        <is>
          <t>Ferretería Ochoa (8A) · InnovaCentro (La Innovación)</t>
        </is>
      </c>
    </row>
    <row r="1220">
      <c r="A1220" s="3" t="inlineStr">
        <is>
          <t>MAT-23-009</t>
        </is>
      </c>
      <c r="B1220" s="3" t="inlineStr">
        <is>
          <t>Materiales</t>
        </is>
      </c>
      <c r="C1220" s="3" t="inlineStr">
        <is>
          <t>Perfilería de aluminio</t>
        </is>
      </c>
      <c r="D1220" s="4" t="inlineStr">
        <is>
          <t>Tubo redondo de aluminio 1" x 19.20 pies</t>
        </is>
      </c>
      <c r="E1220" s="4" t="inlineStr">
        <is>
          <t>La ficha no declara la pared</t>
        </is>
      </c>
      <c r="F1220" s="3" t="inlineStr">
        <is>
          <t>unidad</t>
        </is>
      </c>
      <c r="G1220" s="3" t="inlineStr">
        <is>
          <t>Puertas y ventanas</t>
        </is>
      </c>
      <c r="H1220" s="3" t="inlineStr">
        <is>
          <t>estandar</t>
        </is>
      </c>
      <c r="I1220" s="3" t="inlineStr">
        <is>
          <t>importado</t>
        </is>
      </c>
      <c r="J1220" s="5" t="n">
        <v>1</v>
      </c>
      <c r="K1220" s="6" t="n">
        <v>957.33</v>
      </c>
      <c r="L1220" s="6" t="n">
        <v>957.33</v>
      </c>
      <c r="M1220" s="6" t="n">
        <v>957.33</v>
      </c>
      <c r="N1220" s="3" t="inlineStr">
        <is>
          <t>Sí</t>
        </is>
      </c>
      <c r="O1220" s="6">
        <f>IF(K1220="","",IF(N1220="Sí",ROUND(K1220/1.18,2),K1220))</f>
        <v/>
      </c>
      <c r="P1220" s="3" t="inlineStr">
        <is>
          <t>2026-09-09</t>
        </is>
      </c>
      <c r="Q1220" s="4" t="inlineStr">
        <is>
          <t>Ferretería Ochoa (8A)</t>
        </is>
      </c>
    </row>
    <row r="1221">
      <c r="A1221" s="3" t="inlineStr">
        <is>
          <t>MAT-23-010</t>
        </is>
      </c>
      <c r="B1221" s="3" t="inlineStr">
        <is>
          <t>Materiales</t>
        </is>
      </c>
      <c r="C1221" s="3" t="inlineStr">
        <is>
          <t>Perfilería de aluminio</t>
        </is>
      </c>
      <c r="D1221" s="4" t="inlineStr">
        <is>
          <t>Planchuela de aluminio 1" x 1/4" x 19.20 pies</t>
        </is>
      </c>
      <c r="E1221" s="4" t="inlineStr"/>
      <c r="F1221" s="3" t="inlineStr">
        <is>
          <t>unidad</t>
        </is>
      </c>
      <c r="G1221" s="3" t="inlineStr">
        <is>
          <t>Puertas y ventanas</t>
        </is>
      </c>
      <c r="H1221" s="3" t="inlineStr">
        <is>
          <t>estandar</t>
        </is>
      </c>
      <c r="I1221" s="3" t="inlineStr">
        <is>
          <t>importado</t>
        </is>
      </c>
      <c r="J1221" s="5" t="n">
        <v>1</v>
      </c>
      <c r="K1221" s="6" t="n">
        <v>1709.91</v>
      </c>
      <c r="L1221" s="6" t="n">
        <v>1709.91</v>
      </c>
      <c r="M1221" s="6" t="n">
        <v>1709.91</v>
      </c>
      <c r="N1221" s="3" t="inlineStr">
        <is>
          <t>Sí</t>
        </is>
      </c>
      <c r="O1221" s="6">
        <f>IF(K1221="","",IF(N1221="Sí",ROUND(K1221/1.18,2),K1221))</f>
        <v/>
      </c>
      <c r="P1221" s="3" t="inlineStr">
        <is>
          <t>2026-09-09</t>
        </is>
      </c>
      <c r="Q1221" s="4" t="inlineStr">
        <is>
          <t>Ferretería Ochoa (8A)</t>
        </is>
      </c>
    </row>
    <row r="1222">
      <c r="A1222" s="3" t="inlineStr">
        <is>
          <t>MAT-23-011</t>
        </is>
      </c>
      <c r="B1222" s="3" t="inlineStr">
        <is>
          <t>Materiales</t>
        </is>
      </c>
      <c r="C1222" s="3" t="inlineStr">
        <is>
          <t>Perfilería de aluminio</t>
        </is>
      </c>
      <c r="D1222" s="4" t="inlineStr">
        <is>
          <t>Angular de aluminio 1" x 3/4" x 19.20 pies</t>
        </is>
      </c>
      <c r="E1222" s="4" t="inlineStr">
        <is>
          <t>La ficha no declara el espesor</t>
        </is>
      </c>
      <c r="F1222" s="3" t="inlineStr">
        <is>
          <t>unidad</t>
        </is>
      </c>
      <c r="G1222" s="3" t="inlineStr">
        <is>
          <t>Puertas y ventanas</t>
        </is>
      </c>
      <c r="H1222" s="3" t="inlineStr">
        <is>
          <t>estandar</t>
        </is>
      </c>
      <c r="I1222" s="3" t="inlineStr">
        <is>
          <t>importado</t>
        </is>
      </c>
      <c r="J1222" s="5" t="n">
        <v>2</v>
      </c>
      <c r="K1222" s="6" t="n">
        <v>690.79</v>
      </c>
      <c r="L1222" s="6" t="n">
        <v>626.5700000000001</v>
      </c>
      <c r="M1222" s="6" t="n">
        <v>755</v>
      </c>
      <c r="N1222" s="3" t="inlineStr">
        <is>
          <t>Sí</t>
        </is>
      </c>
      <c r="O1222" s="6">
        <f>IF(K1222="","",IF(N1222="Sí",ROUND(K1222/1.18,2),K1222))</f>
        <v/>
      </c>
      <c r="P1222" s="3" t="inlineStr">
        <is>
          <t>2026-09-09</t>
        </is>
      </c>
      <c r="Q1222" s="4" t="inlineStr">
        <is>
          <t>Ferretería Ochoa (8A) · InnovaCentro (La Innovación)</t>
        </is>
      </c>
    </row>
    <row r="1223">
      <c r="A1223" s="3" t="inlineStr">
        <is>
          <t>MAT-23-012</t>
        </is>
      </c>
      <c r="B1223" s="3" t="inlineStr">
        <is>
          <t>Materiales</t>
        </is>
      </c>
      <c r="C1223" s="3" t="inlineStr">
        <is>
          <t>Perfilería de aluminio</t>
        </is>
      </c>
      <c r="D1223" s="4" t="inlineStr">
        <is>
          <t>Perfil de aluminio 1" x 1" x 19.20 pies</t>
        </is>
      </c>
      <c r="E1223" s="4" t="inlineStr">
        <is>
          <t>La ficha no declara la pared</t>
        </is>
      </c>
      <c r="F1223" s="3" t="inlineStr">
        <is>
          <t>unidad</t>
        </is>
      </c>
      <c r="G1223" s="3" t="inlineStr">
        <is>
          <t>Puertas y ventanas</t>
        </is>
      </c>
      <c r="H1223" s="3" t="inlineStr">
        <is>
          <t>estandar</t>
        </is>
      </c>
      <c r="I1223" s="3" t="inlineStr">
        <is>
          <t>importado</t>
        </is>
      </c>
      <c r="J1223" s="5" t="n">
        <v>1</v>
      </c>
      <c r="K1223" s="6" t="n">
        <v>1336.93</v>
      </c>
      <c r="L1223" s="6" t="n">
        <v>1336.93</v>
      </c>
      <c r="M1223" s="6" t="n">
        <v>1336.93</v>
      </c>
      <c r="N1223" s="3" t="inlineStr">
        <is>
          <t>Sí</t>
        </is>
      </c>
      <c r="O1223" s="6">
        <f>IF(K1223="","",IF(N1223="Sí",ROUND(K1223/1.18,2),K1223))</f>
        <v/>
      </c>
      <c r="P1223" s="3" t="inlineStr">
        <is>
          <t>2026-09-09</t>
        </is>
      </c>
      <c r="Q1223" s="4" t="inlineStr">
        <is>
          <t>Ferretería Ochoa (8A)</t>
        </is>
      </c>
    </row>
    <row r="1224">
      <c r="A1224" s="3" t="inlineStr">
        <is>
          <t>MAT-23-013</t>
        </is>
      </c>
      <c r="B1224" s="3" t="inlineStr">
        <is>
          <t>Materiales</t>
        </is>
      </c>
      <c r="C1224" s="3" t="inlineStr">
        <is>
          <t>Perfilería de aluminio</t>
        </is>
      </c>
      <c r="D1224" s="4" t="inlineStr">
        <is>
          <t>Tubo redondo de aluminio 1 1/4" x 19.20 pies</t>
        </is>
      </c>
      <c r="E1224" s="4" t="inlineStr">
        <is>
          <t>La ficha no declara la pared</t>
        </is>
      </c>
      <c r="F1224" s="3" t="inlineStr">
        <is>
          <t>unidad</t>
        </is>
      </c>
      <c r="G1224" s="3" t="inlineStr">
        <is>
          <t>Puertas y ventanas</t>
        </is>
      </c>
      <c r="H1224" s="3" t="inlineStr">
        <is>
          <t>estandar</t>
        </is>
      </c>
      <c r="I1224" s="3" t="inlineStr">
        <is>
          <t>importado</t>
        </is>
      </c>
      <c r="J1224" s="5" t="n">
        <v>1</v>
      </c>
      <c r="K1224" s="6" t="n">
        <v>2185.58</v>
      </c>
      <c r="L1224" s="6" t="n">
        <v>2185.58</v>
      </c>
      <c r="M1224" s="6" t="n">
        <v>2185.58</v>
      </c>
      <c r="N1224" s="3" t="inlineStr">
        <is>
          <t>Sí</t>
        </is>
      </c>
      <c r="O1224" s="6">
        <f>IF(K1224="","",IF(N1224="Sí",ROUND(K1224/1.18,2),K1224))</f>
        <v/>
      </c>
      <c r="P1224" s="3" t="inlineStr">
        <is>
          <t>2026-09-09</t>
        </is>
      </c>
      <c r="Q1224" s="4" t="inlineStr">
        <is>
          <t>Ferretería Ochoa (8A)</t>
        </is>
      </c>
    </row>
    <row r="1225">
      <c r="A1225" s="3" t="inlineStr">
        <is>
          <t>MAT-23-014</t>
        </is>
      </c>
      <c r="B1225" s="3" t="inlineStr">
        <is>
          <t>Materiales</t>
        </is>
      </c>
      <c r="C1225" s="3" t="inlineStr">
        <is>
          <t>Perfilería de aluminio</t>
        </is>
      </c>
      <c r="D1225" s="4" t="inlineStr">
        <is>
          <t>Angular de aluminio 1 1/4" x 1 1/4" x 19.20 pies</t>
        </is>
      </c>
      <c r="E1225" s="4" t="inlineStr">
        <is>
          <t>La ficha no declara el espesor</t>
        </is>
      </c>
      <c r="F1225" s="3" t="inlineStr">
        <is>
          <t>unidad</t>
        </is>
      </c>
      <c r="G1225" s="3" t="inlineStr">
        <is>
          <t>Puertas y ventanas</t>
        </is>
      </c>
      <c r="H1225" s="3" t="inlineStr">
        <is>
          <t>estandar</t>
        </is>
      </c>
      <c r="I1225" s="3" t="inlineStr">
        <is>
          <t>importado</t>
        </is>
      </c>
      <c r="J1225" s="5" t="n">
        <v>2</v>
      </c>
      <c r="K1225" s="6" t="n">
        <v>1073.61</v>
      </c>
      <c r="L1225" s="6" t="n">
        <v>982.22</v>
      </c>
      <c r="M1225" s="6" t="n">
        <v>1165</v>
      </c>
      <c r="N1225" s="3" t="inlineStr">
        <is>
          <t>Sí</t>
        </is>
      </c>
      <c r="O1225" s="6">
        <f>IF(K1225="","",IF(N1225="Sí",ROUND(K1225/1.18,2),K1225))</f>
        <v/>
      </c>
      <c r="P1225" s="3" t="inlineStr">
        <is>
          <t>2026-09-09</t>
        </is>
      </c>
      <c r="Q1225" s="4" t="inlineStr">
        <is>
          <t>Ferretería Ochoa (8A) · InnovaCentro (La Innovación)</t>
        </is>
      </c>
    </row>
    <row r="1226">
      <c r="A1226" s="3" t="inlineStr">
        <is>
          <t>MAT-23-015</t>
        </is>
      </c>
      <c r="B1226" s="3" t="inlineStr">
        <is>
          <t>Materiales</t>
        </is>
      </c>
      <c r="C1226" s="3" t="inlineStr">
        <is>
          <t>Perfilería de aluminio</t>
        </is>
      </c>
      <c r="D1226" s="4" t="inlineStr">
        <is>
          <t>Planchuela de aluminio 1 1/2" x 1/4" x 19.20 pies</t>
        </is>
      </c>
      <c r="E1226" s="4" t="inlineStr"/>
      <c r="F1226" s="3" t="inlineStr">
        <is>
          <t>unidad</t>
        </is>
      </c>
      <c r="G1226" s="3" t="inlineStr">
        <is>
          <t>Puertas y ventanas</t>
        </is>
      </c>
      <c r="H1226" s="3" t="inlineStr">
        <is>
          <t>estandar</t>
        </is>
      </c>
      <c r="I1226" s="3" t="inlineStr">
        <is>
          <t>importado</t>
        </is>
      </c>
      <c r="J1226" s="5" t="n">
        <v>1</v>
      </c>
      <c r="K1226" s="6" t="n">
        <v>2567.7</v>
      </c>
      <c r="L1226" s="6" t="n">
        <v>2567.7</v>
      </c>
      <c r="M1226" s="6" t="n">
        <v>2567.7</v>
      </c>
      <c r="N1226" s="3" t="inlineStr">
        <is>
          <t>Sí</t>
        </is>
      </c>
      <c r="O1226" s="6">
        <f>IF(K1226="","",IF(N1226="Sí",ROUND(K1226/1.18,2),K1226))</f>
        <v/>
      </c>
      <c r="P1226" s="3" t="inlineStr">
        <is>
          <t>2026-09-09</t>
        </is>
      </c>
      <c r="Q1226" s="4" t="inlineStr">
        <is>
          <t>Ferretería Ochoa (8A)</t>
        </is>
      </c>
    </row>
    <row r="1227">
      <c r="A1227" s="3" t="inlineStr">
        <is>
          <t>MAT-23-016</t>
        </is>
      </c>
      <c r="B1227" s="3" t="inlineStr">
        <is>
          <t>Materiales</t>
        </is>
      </c>
      <c r="C1227" s="3" t="inlineStr">
        <is>
          <t>Perfilería de aluminio</t>
        </is>
      </c>
      <c r="D1227" s="4" t="inlineStr">
        <is>
          <t>Moldura U de aluminio 1 1/2" x 3/4" x 19.20 pies</t>
        </is>
      </c>
      <c r="E1227" s="4" t="inlineStr">
        <is>
          <t>La ficha no declara el espesor</t>
        </is>
      </c>
      <c r="F1227" s="3" t="inlineStr">
        <is>
          <t>unidad</t>
        </is>
      </c>
      <c r="G1227" s="3" t="inlineStr">
        <is>
          <t>Puertas y ventanas</t>
        </is>
      </c>
      <c r="H1227" s="3" t="inlineStr">
        <is>
          <t>estandar</t>
        </is>
      </c>
      <c r="I1227" s="3" t="inlineStr">
        <is>
          <t>importado</t>
        </is>
      </c>
      <c r="J1227" s="5" t="n">
        <v>1</v>
      </c>
      <c r="K1227" s="6" t="n">
        <v>1117.37</v>
      </c>
      <c r="L1227" s="6" t="n">
        <v>1117.37</v>
      </c>
      <c r="M1227" s="6" t="n">
        <v>1117.37</v>
      </c>
      <c r="N1227" s="3" t="inlineStr">
        <is>
          <t>Sí</t>
        </is>
      </c>
      <c r="O1227" s="6">
        <f>IF(K1227="","",IF(N1227="Sí",ROUND(K1227/1.18,2),K1227))</f>
        <v/>
      </c>
      <c r="P1227" s="3" t="inlineStr">
        <is>
          <t>2026-09-09</t>
        </is>
      </c>
      <c r="Q1227" s="4" t="inlineStr">
        <is>
          <t>Ferretería Ochoa (8A)</t>
        </is>
      </c>
    </row>
    <row r="1228">
      <c r="A1228" s="3" t="inlineStr">
        <is>
          <t>MAT-23-017</t>
        </is>
      </c>
      <c r="B1228" s="3" t="inlineStr">
        <is>
          <t>Materiales</t>
        </is>
      </c>
      <c r="C1228" s="3" t="inlineStr">
        <is>
          <t>Perfilería de aluminio</t>
        </is>
      </c>
      <c r="D1228" s="4" t="inlineStr">
        <is>
          <t>Angular de aluminio 1 1/2" x 1 1/2" x 19.20 pies</t>
        </is>
      </c>
      <c r="E1228" s="4" t="inlineStr">
        <is>
          <t>La ficha no declara el espesor</t>
        </is>
      </c>
      <c r="F1228" s="3" t="inlineStr">
        <is>
          <t>unidad</t>
        </is>
      </c>
      <c r="G1228" s="3" t="inlineStr">
        <is>
          <t>Puertas y ventanas</t>
        </is>
      </c>
      <c r="H1228" s="3" t="inlineStr">
        <is>
          <t>estandar</t>
        </is>
      </c>
      <c r="I1228" s="3" t="inlineStr">
        <is>
          <t>importado</t>
        </is>
      </c>
      <c r="J1228" s="5" t="n">
        <v>1</v>
      </c>
      <c r="K1228" s="6" t="n">
        <v>2473.52</v>
      </c>
      <c r="L1228" s="6" t="n">
        <v>2473.52</v>
      </c>
      <c r="M1228" s="6" t="n">
        <v>2473.52</v>
      </c>
      <c r="N1228" s="3" t="inlineStr">
        <is>
          <t>Sí</t>
        </is>
      </c>
      <c r="O1228" s="6">
        <f>IF(K1228="","",IF(N1228="Sí",ROUND(K1228/1.18,2),K1228))</f>
        <v/>
      </c>
      <c r="P1228" s="3" t="inlineStr">
        <is>
          <t>2026-09-09</t>
        </is>
      </c>
      <c r="Q1228" s="4" t="inlineStr">
        <is>
          <t>Ferretería Ochoa (8A)</t>
        </is>
      </c>
    </row>
    <row r="1229">
      <c r="A1229" s="3" t="inlineStr">
        <is>
          <t>MAT-23-018</t>
        </is>
      </c>
      <c r="B1229" s="3" t="inlineStr">
        <is>
          <t>Materiales</t>
        </is>
      </c>
      <c r="C1229" s="3" t="inlineStr">
        <is>
          <t>Perfilería de aluminio</t>
        </is>
      </c>
      <c r="D1229" s="4" t="inlineStr">
        <is>
          <t>Perfil cuadrado de aluminio 1 1/2" x 1 1/2" x 19.20 pies</t>
        </is>
      </c>
      <c r="E1229" s="4" t="inlineStr">
        <is>
          <t>La ficha no declara la pared</t>
        </is>
      </c>
      <c r="F1229" s="3" t="inlineStr">
        <is>
          <t>unidad</t>
        </is>
      </c>
      <c r="G1229" s="3" t="inlineStr">
        <is>
          <t>Puertas y ventanas</t>
        </is>
      </c>
      <c r="H1229" s="3" t="inlineStr">
        <is>
          <t>estandar</t>
        </is>
      </c>
      <c r="I1229" s="3" t="inlineStr">
        <is>
          <t>importado</t>
        </is>
      </c>
      <c r="J1229" s="5" t="n">
        <v>1</v>
      </c>
      <c r="K1229" s="6" t="n">
        <v>1701.73</v>
      </c>
      <c r="L1229" s="6" t="n">
        <v>1701.73</v>
      </c>
      <c r="M1229" s="6" t="n">
        <v>1701.73</v>
      </c>
      <c r="N1229" s="3" t="inlineStr">
        <is>
          <t>Sí</t>
        </is>
      </c>
      <c r="O1229" s="6">
        <f>IF(K1229="","",IF(N1229="Sí",ROUND(K1229/1.18,2),K1229))</f>
        <v/>
      </c>
      <c r="P1229" s="3" t="inlineStr">
        <is>
          <t>2026-09-09</t>
        </is>
      </c>
      <c r="Q1229" s="4" t="inlineStr">
        <is>
          <t>Ferretería Ochoa (8A)</t>
        </is>
      </c>
    </row>
    <row r="1230">
      <c r="A1230" s="3" t="inlineStr">
        <is>
          <t>MAT-23-019</t>
        </is>
      </c>
      <c r="B1230" s="3" t="inlineStr">
        <is>
          <t>Materiales</t>
        </is>
      </c>
      <c r="C1230" s="3" t="inlineStr">
        <is>
          <t>Perfilería de aluminio</t>
        </is>
      </c>
      <c r="D1230" s="4" t="inlineStr">
        <is>
          <t>Perfil rectangular de aluminio 2" x 1" x 19.20 pies</t>
        </is>
      </c>
      <c r="E1230" s="4" t="inlineStr">
        <is>
          <t>La ficha no declara la pared</t>
        </is>
      </c>
      <c r="F1230" s="3" t="inlineStr">
        <is>
          <t>unidad</t>
        </is>
      </c>
      <c r="G1230" s="3" t="inlineStr">
        <is>
          <t>Puertas y ventanas</t>
        </is>
      </c>
      <c r="H1230" s="3" t="inlineStr">
        <is>
          <t>estandar</t>
        </is>
      </c>
      <c r="I1230" s="3" t="inlineStr">
        <is>
          <t>importado</t>
        </is>
      </c>
      <c r="J1230" s="5" t="n">
        <v>1</v>
      </c>
      <c r="K1230" s="6" t="n">
        <v>1846.63</v>
      </c>
      <c r="L1230" s="6" t="n">
        <v>1846.63</v>
      </c>
      <c r="M1230" s="6" t="n">
        <v>1846.63</v>
      </c>
      <c r="N1230" s="3" t="inlineStr">
        <is>
          <t>Sí</t>
        </is>
      </c>
      <c r="O1230" s="6">
        <f>IF(K1230="","",IF(N1230="Sí",ROUND(K1230/1.18,2),K1230))</f>
        <v/>
      </c>
      <c r="P1230" s="3" t="inlineStr">
        <is>
          <t>2026-09-09</t>
        </is>
      </c>
      <c r="Q1230" s="4" t="inlineStr">
        <is>
          <t>Ferretería Ochoa (8A)</t>
        </is>
      </c>
    </row>
    <row r="1231">
      <c r="A1231" s="3" t="inlineStr">
        <is>
          <t>MAT-23-020</t>
        </is>
      </c>
      <c r="B1231" s="3" t="inlineStr">
        <is>
          <t>Materiales</t>
        </is>
      </c>
      <c r="C1231" s="3" t="inlineStr">
        <is>
          <t>Perfilería de aluminio</t>
        </is>
      </c>
      <c r="D1231" s="4" t="inlineStr">
        <is>
          <t>Angular de aluminio 2" x 2" x 19.20 pies</t>
        </is>
      </c>
      <c r="E1231" s="4" t="inlineStr">
        <is>
          <t>La ficha no declara el espesor</t>
        </is>
      </c>
      <c r="F1231" s="3" t="inlineStr">
        <is>
          <t>unidad</t>
        </is>
      </c>
      <c r="G1231" s="3" t="inlineStr">
        <is>
          <t>Puertas y ventanas</t>
        </is>
      </c>
      <c r="H1231" s="3" t="inlineStr">
        <is>
          <t>estandar</t>
        </is>
      </c>
      <c r="I1231" s="3" t="inlineStr">
        <is>
          <t>importado</t>
        </is>
      </c>
      <c r="J1231" s="5" t="n">
        <v>1</v>
      </c>
      <c r="K1231" s="6" t="n">
        <v>3334.76</v>
      </c>
      <c r="L1231" s="6" t="n">
        <v>3334.76</v>
      </c>
      <c r="M1231" s="6" t="n">
        <v>3334.76</v>
      </c>
      <c r="N1231" s="3" t="inlineStr">
        <is>
          <t>Sí</t>
        </is>
      </c>
      <c r="O1231" s="6">
        <f>IF(K1231="","",IF(N1231="Sí",ROUND(K1231/1.18,2),K1231))</f>
        <v/>
      </c>
      <c r="P1231" s="3" t="inlineStr">
        <is>
          <t>2026-09-09</t>
        </is>
      </c>
      <c r="Q1231" s="4" t="inlineStr">
        <is>
          <t>Ferretería Ochoa (8A)</t>
        </is>
      </c>
    </row>
    <row r="1232">
      <c r="A1232" s="3" t="inlineStr">
        <is>
          <t>MAT-23-021</t>
        </is>
      </c>
      <c r="B1232" s="3" t="inlineStr">
        <is>
          <t>Materiales</t>
        </is>
      </c>
      <c r="C1232" s="3" t="inlineStr">
        <is>
          <t>Perfilería de aluminio</t>
        </is>
      </c>
      <c r="D1232" s="4" t="inlineStr">
        <is>
          <t>Planchuela de aluminio 3" x 3/16" x 19.20 pies</t>
        </is>
      </c>
      <c r="E1232" s="4" t="inlineStr"/>
      <c r="F1232" s="3" t="inlineStr">
        <is>
          <t>unidad</t>
        </is>
      </c>
      <c r="G1232" s="3" t="inlineStr">
        <is>
          <t>Puertas y ventanas</t>
        </is>
      </c>
      <c r="H1232" s="3" t="inlineStr">
        <is>
          <t>estandar</t>
        </is>
      </c>
      <c r="I1232" s="3" t="inlineStr">
        <is>
          <t>importado</t>
        </is>
      </c>
      <c r="J1232" s="5" t="n">
        <v>1</v>
      </c>
      <c r="K1232" s="6" t="n">
        <v>2695.59</v>
      </c>
      <c r="L1232" s="6" t="n">
        <v>2695.59</v>
      </c>
      <c r="M1232" s="6" t="n">
        <v>2695.59</v>
      </c>
      <c r="N1232" s="3" t="inlineStr">
        <is>
          <t>Sí</t>
        </is>
      </c>
      <c r="O1232" s="6">
        <f>IF(K1232="","",IF(N1232="Sí",ROUND(K1232/1.18,2),K1232))</f>
        <v/>
      </c>
      <c r="P1232" s="3" t="inlineStr">
        <is>
          <t>2026-09-09</t>
        </is>
      </c>
      <c r="Q1232" s="4" t="inlineStr">
        <is>
          <t>Ferretería Ochoa (8A)</t>
        </is>
      </c>
    </row>
    <row r="1233">
      <c r="A1233" s="3" t="inlineStr">
        <is>
          <t>MAT-23-022</t>
        </is>
      </c>
      <c r="B1233" s="3" t="inlineStr">
        <is>
          <t>Materiales</t>
        </is>
      </c>
      <c r="C1233" s="3" t="inlineStr">
        <is>
          <t>Perfilería de aluminio</t>
        </is>
      </c>
      <c r="D1233" s="4" t="inlineStr">
        <is>
          <t>Perfil rectangular de aluminio 3" x 1 1/2" x 19.20 pies</t>
        </is>
      </c>
      <c r="E1233" s="4" t="inlineStr">
        <is>
          <t>La ficha no declara la pared</t>
        </is>
      </c>
      <c r="F1233" s="3" t="inlineStr">
        <is>
          <t>unidad</t>
        </is>
      </c>
      <c r="G1233" s="3" t="inlineStr">
        <is>
          <t>Puertas y ventanas</t>
        </is>
      </c>
      <c r="H1233" s="3" t="inlineStr">
        <is>
          <t>estandar</t>
        </is>
      </c>
      <c r="I1233" s="3" t="inlineStr">
        <is>
          <t>importado</t>
        </is>
      </c>
      <c r="J1233" s="5" t="n">
        <v>1</v>
      </c>
      <c r="K1233" s="6" t="n">
        <v>3956.93</v>
      </c>
      <c r="L1233" s="6" t="n">
        <v>3956.93</v>
      </c>
      <c r="M1233" s="6" t="n">
        <v>3956.93</v>
      </c>
      <c r="N1233" s="3" t="inlineStr">
        <is>
          <t>Sí</t>
        </is>
      </c>
      <c r="O1233" s="6">
        <f>IF(K1233="","",IF(N1233="Sí",ROUND(K1233/1.18,2),K1233))</f>
        <v/>
      </c>
      <c r="P1233" s="3" t="inlineStr">
        <is>
          <t>2026-09-09</t>
        </is>
      </c>
      <c r="Q1233" s="4" t="inlineStr">
        <is>
          <t>Ferretería Ochoa (8A)</t>
        </is>
      </c>
    </row>
    <row r="1234">
      <c r="A1234" s="3" t="inlineStr">
        <is>
          <t>MAT-23-023</t>
        </is>
      </c>
      <c r="B1234" s="3" t="inlineStr">
        <is>
          <t>Materiales</t>
        </is>
      </c>
      <c r="C1234" s="3" t="inlineStr">
        <is>
          <t>Perfilería de aluminio</t>
        </is>
      </c>
      <c r="D1234" s="4" t="inlineStr">
        <is>
          <t>Planchuela de aluminio 4" x 1/8" x 19.20 pies</t>
        </is>
      </c>
      <c r="E1234" s="4" t="inlineStr"/>
      <c r="F1234" s="3" t="inlineStr">
        <is>
          <t>unidad</t>
        </is>
      </c>
      <c r="G1234" s="3" t="inlineStr">
        <is>
          <t>Puertas y ventanas</t>
        </is>
      </c>
      <c r="H1234" s="3" t="inlineStr">
        <is>
          <t>estandar</t>
        </is>
      </c>
      <c r="I1234" s="3" t="inlineStr">
        <is>
          <t>importado</t>
        </is>
      </c>
      <c r="J1234" s="5" t="n">
        <v>1</v>
      </c>
      <c r="K1234" s="6" t="n">
        <v>3464.55</v>
      </c>
      <c r="L1234" s="6" t="n">
        <v>3464.55</v>
      </c>
      <c r="M1234" s="6" t="n">
        <v>3464.55</v>
      </c>
      <c r="N1234" s="3" t="inlineStr">
        <is>
          <t>Sí</t>
        </is>
      </c>
      <c r="O1234" s="6">
        <f>IF(K1234="","",IF(N1234="Sí",ROUND(K1234/1.18,2),K1234))</f>
        <v/>
      </c>
      <c r="P1234" s="3" t="inlineStr">
        <is>
          <t>2026-09-09</t>
        </is>
      </c>
      <c r="Q1234" s="4" t="inlineStr">
        <is>
          <t>Ferretería Ochoa (8A)</t>
        </is>
      </c>
    </row>
    <row r="1235">
      <c r="A1235" s="3" t="inlineStr">
        <is>
          <t>MAT-23-024</t>
        </is>
      </c>
      <c r="B1235" s="3" t="inlineStr">
        <is>
          <t>Materiales</t>
        </is>
      </c>
      <c r="C1235" s="3" t="inlineStr">
        <is>
          <t>Perfilería de aluminio</t>
        </is>
      </c>
      <c r="D1235" s="4" t="inlineStr">
        <is>
          <t>Perfil rectangular de aluminio 4" x 1 3/4" x 19.20 pies</t>
        </is>
      </c>
      <c r="E1235" s="4" t="inlineStr">
        <is>
          <t>La ficha no declara la pared</t>
        </is>
      </c>
      <c r="F1235" s="3" t="inlineStr">
        <is>
          <t>unidad</t>
        </is>
      </c>
      <c r="G1235" s="3" t="inlineStr">
        <is>
          <t>Puertas y ventanas</t>
        </is>
      </c>
      <c r="H1235" s="3" t="inlineStr">
        <is>
          <t>estandar</t>
        </is>
      </c>
      <c r="I1235" s="3" t="inlineStr">
        <is>
          <t>importado</t>
        </is>
      </c>
      <c r="J1235" s="5" t="n">
        <v>1</v>
      </c>
      <c r="K1235" s="6" t="n">
        <v>5142.65</v>
      </c>
      <c r="L1235" s="6" t="n">
        <v>5142.65</v>
      </c>
      <c r="M1235" s="6" t="n">
        <v>5142.65</v>
      </c>
      <c r="N1235" s="3" t="inlineStr">
        <is>
          <t>Sí</t>
        </is>
      </c>
      <c r="O1235" s="6">
        <f>IF(K1235="","",IF(N1235="Sí",ROUND(K1235/1.18,2),K1235))</f>
        <v/>
      </c>
      <c r="P1235" s="3" t="inlineStr">
        <is>
          <t>2026-09-09</t>
        </is>
      </c>
      <c r="Q1235" s="4" t="inlineStr">
        <is>
          <t>Ferretería Ochoa (8A)</t>
        </is>
      </c>
    </row>
    <row r="1236">
      <c r="A1236" s="3" t="inlineStr">
        <is>
          <t>MAT-23-025</t>
        </is>
      </c>
      <c r="B1236" s="3" t="inlineStr">
        <is>
          <t>Materiales</t>
        </is>
      </c>
      <c r="C1236" s="3" t="inlineStr">
        <is>
          <t>Perfilería de aluminio</t>
        </is>
      </c>
      <c r="D1236" s="4" t="inlineStr">
        <is>
          <t>Angular de aluminio, 1X1"X19'</t>
        </is>
      </c>
      <c r="E1236" s="4" t="inlineStr"/>
      <c r="F1236" s="3" t="inlineStr">
        <is>
          <t>unidad</t>
        </is>
      </c>
      <c r="G1236" s="3" t="inlineStr">
        <is>
          <t>Puertas y ventanas</t>
        </is>
      </c>
      <c r="H1236" s="3" t="inlineStr">
        <is>
          <t>estandar</t>
        </is>
      </c>
      <c r="I1236" s="3" t="inlineStr">
        <is>
          <t>importado</t>
        </is>
      </c>
      <c r="J1236" s="5" t="n">
        <v>1</v>
      </c>
      <c r="K1236" s="6" t="n">
        <v>750</v>
      </c>
      <c r="L1236" s="6" t="n">
        <v>750</v>
      </c>
      <c r="M1236" s="6" t="n">
        <v>750</v>
      </c>
      <c r="N1236" s="3" t="inlineStr">
        <is>
          <t>Sí</t>
        </is>
      </c>
      <c r="O1236" s="6">
        <f>IF(K1236="","",IF(N1236="Sí",ROUND(K1236/1.18,2),K1236))</f>
        <v/>
      </c>
      <c r="P1236" s="3" t="inlineStr">
        <is>
          <t>2026-09-09</t>
        </is>
      </c>
      <c r="Q1236" s="4" t="inlineStr">
        <is>
          <t>InnovaCentro (La Innovación)</t>
        </is>
      </c>
      <c r="AD1236" s="7" t="inlineStr">
        <is>
          <t>1X1"X19'</t>
        </is>
      </c>
    </row>
    <row r="1237">
      <c r="A1237" s="3" t="inlineStr">
        <is>
          <t>MAT-23-026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Angular de aluminio, 3/4X1/2"X19'</t>
        </is>
      </c>
      <c r="E1237" s="4" t="inlineStr"/>
      <c r="F1237" s="3" t="inlineStr">
        <is>
          <t>unidad</t>
        </is>
      </c>
      <c r="G1237" s="3" t="inlineStr">
        <is>
          <t>Puertas y ventanas</t>
        </is>
      </c>
      <c r="H1237" s="3" t="inlineStr">
        <is>
          <t>estandar</t>
        </is>
      </c>
      <c r="I1237" s="3" t="inlineStr">
        <is>
          <t>importado</t>
        </is>
      </c>
      <c r="J1237" s="5" t="n">
        <v>1</v>
      </c>
      <c r="K1237" s="6" t="n">
        <v>398</v>
      </c>
      <c r="L1237" s="6" t="n">
        <v>398</v>
      </c>
      <c r="M1237" s="6" t="n">
        <v>398</v>
      </c>
      <c r="N1237" s="3" t="inlineStr">
        <is>
          <t>Sí</t>
        </is>
      </c>
      <c r="O1237" s="6">
        <f>IF(K1237="","",IF(N1237="Sí",ROUND(K1237/1.18,2),K1237))</f>
        <v/>
      </c>
      <c r="P1237" s="3" t="inlineStr">
        <is>
          <t>2026-09-09</t>
        </is>
      </c>
      <c r="Q1237" s="4" t="inlineStr">
        <is>
          <t>InnovaCentro (La Innovación)</t>
        </is>
      </c>
      <c r="AD1237" s="7" t="inlineStr">
        <is>
          <t>3/4X1/2"X19'</t>
        </is>
      </c>
    </row>
    <row r="1238">
      <c r="A1238" s="3" t="inlineStr">
        <is>
          <t>MAT-24-001</t>
        </is>
      </c>
      <c r="B1238" s="3" t="inlineStr">
        <is>
          <t>Materiales</t>
        </is>
      </c>
      <c r="C1238" s="3" t="inlineStr">
        <is>
          <t>Inodoros y urinarios</t>
        </is>
      </c>
      <c r="D1238" s="4" t="inlineStr">
        <is>
          <t>Inodoro de una pieza</t>
        </is>
      </c>
      <c r="E1238" s="4" t="inlineStr"/>
      <c r="F1238" s="3" t="inlineStr">
        <is>
          <t>unidad</t>
        </is>
      </c>
      <c r="G1238" s="3" t="inlineStr">
        <is>
          <t>Instalaciones</t>
        </is>
      </c>
      <c r="H1238" s="3" t="inlineStr">
        <is>
          <t>estandar</t>
        </is>
      </c>
      <c r="I1238" s="3" t="inlineStr">
        <is>
          <t>importado</t>
        </is>
      </c>
      <c r="J1238" s="5" t="n">
        <v>6</v>
      </c>
      <c r="K1238" s="6" t="n">
        <v>9860</v>
      </c>
      <c r="L1238" s="6" t="n">
        <v>4225</v>
      </c>
      <c r="M1238" s="6" t="n">
        <v>112642.82</v>
      </c>
      <c r="N1238" s="3" t="inlineStr">
        <is>
          <t>Sí</t>
        </is>
      </c>
      <c r="O1238" s="6">
        <f>IF(K1238="","",IF(N1238="Sí",ROUND(K1238/1.18,2),K1238))</f>
        <v/>
      </c>
      <c r="P1238" s="3" t="inlineStr">
        <is>
          <t>2026-09-10</t>
        </is>
      </c>
      <c r="Q1238" s="4" t="inlineStr">
        <is>
          <t>Bellón · CerArte · Ferretería Cima · Ferretería Ochoa (8A) · InnovaCentro (La Innovación) · La Ibérica</t>
        </is>
      </c>
      <c r="AF1238" s="4" t="inlineStr">
        <is>
          <t>Largo (mm): 710 · Ancho (mm): 380 · Alto (mm): 750</t>
        </is>
      </c>
    </row>
    <row r="1239">
      <c r="A1239" s="3" t="inlineStr">
        <is>
          <t>MAT-24-002</t>
        </is>
      </c>
      <c r="B1239" s="3" t="inlineStr">
        <is>
          <t>Materiales</t>
        </is>
      </c>
      <c r="C1239" s="3" t="inlineStr">
        <is>
          <t>Inodoros y urinarios</t>
        </is>
      </c>
      <c r="D1239" s="4" t="inlineStr">
        <is>
          <t>Inodoro infantil</t>
        </is>
      </c>
      <c r="E1239" s="4" t="inlineStr"/>
      <c r="F1239" s="3" t="inlineStr">
        <is>
          <t>unidad</t>
        </is>
      </c>
      <c r="G1239" s="3" t="inlineStr">
        <is>
          <t>Instalaciones</t>
        </is>
      </c>
      <c r="H1239" s="3" t="inlineStr">
        <is>
          <t>estandar</t>
        </is>
      </c>
      <c r="I1239" s="3" t="inlineStr">
        <is>
          <t>importado</t>
        </is>
      </c>
      <c r="J1239" s="5" t="n">
        <v>3</v>
      </c>
      <c r="K1239" s="6" t="n">
        <v>11543.61</v>
      </c>
      <c r="L1239" s="6" t="n">
        <v>7490.66</v>
      </c>
      <c r="M1239" s="6" t="n">
        <v>13750</v>
      </c>
      <c r="N1239" s="3" t="inlineStr">
        <is>
          <t>Sí</t>
        </is>
      </c>
      <c r="O1239" s="6">
        <f>IF(K1239="","",IF(N1239="Sí",ROUND(K1239/1.18,2),K1239))</f>
        <v/>
      </c>
      <c r="P1239" s="3" t="inlineStr">
        <is>
          <t>2026-09-10</t>
        </is>
      </c>
      <c r="Q1239" s="4" t="inlineStr">
        <is>
          <t>Bellón · CerArte · La Ibérica</t>
        </is>
      </c>
    </row>
    <row r="1240">
      <c r="A1240" s="3" t="inlineStr">
        <is>
          <t>MAT-24-004</t>
        </is>
      </c>
      <c r="B1240" s="3" t="inlineStr">
        <is>
          <t>Materiales</t>
        </is>
      </c>
      <c r="C1240" s="3" t="inlineStr">
        <is>
          <t>Inodoros y urinarios</t>
        </is>
      </c>
      <c r="D1240" s="4" t="inlineStr">
        <is>
          <t>Inodoro de dos piezas</t>
        </is>
      </c>
      <c r="E1240" s="4" t="inlineStr">
        <is>
          <t>Tanque y basineta incluidos</t>
        </is>
      </c>
      <c r="F1240" s="3" t="inlineStr">
        <is>
          <t>unidad</t>
        </is>
      </c>
      <c r="G1240" s="3" t="inlineStr">
        <is>
          <t>Instalaciones</t>
        </is>
      </c>
      <c r="H1240" s="3" t="inlineStr">
        <is>
          <t>estandar</t>
        </is>
      </c>
      <c r="I1240" s="3" t="inlineStr">
        <is>
          <t>importado</t>
        </is>
      </c>
      <c r="J1240" s="5" t="n">
        <v>3</v>
      </c>
      <c r="K1240" s="6" t="n">
        <v>8905.379999999999</v>
      </c>
      <c r="L1240" s="6" t="n">
        <v>5100</v>
      </c>
      <c r="M1240" s="6" t="n">
        <v>25810.28</v>
      </c>
      <c r="N1240" s="3" t="inlineStr">
        <is>
          <t>Sí</t>
        </is>
      </c>
      <c r="O1240" s="6">
        <f>IF(K1240="","",IF(N1240="Sí",ROUND(K1240/1.18,2),K1240))</f>
        <v/>
      </c>
      <c r="P1240" s="3" t="inlineStr">
        <is>
          <t>2026-09-10</t>
        </is>
      </c>
      <c r="Q1240" s="4" t="inlineStr">
        <is>
          <t>Bellón · CerArte · Ferretería Cima</t>
        </is>
      </c>
    </row>
    <row r="1241">
      <c r="A1241" s="3" t="inlineStr">
        <is>
          <t>MAT-24-005</t>
        </is>
      </c>
      <c r="B1241" s="3" t="inlineStr">
        <is>
          <t>Materiales</t>
        </is>
      </c>
      <c r="C1241" s="3" t="inlineStr">
        <is>
          <t>Inodoros y urinarios</t>
        </is>
      </c>
      <c r="D1241" s="4" t="inlineStr">
        <is>
          <t>Tanque para inodoro de dos piezas</t>
        </is>
      </c>
      <c r="E1241" s="4" t="inlineStr">
        <is>
          <t>Sin basineta · se compra aparte</t>
        </is>
      </c>
      <c r="F1241" s="3" t="inlineStr">
        <is>
          <t>unidad</t>
        </is>
      </c>
      <c r="G1241" s="3" t="inlineStr">
        <is>
          <t>Instalaciones</t>
        </is>
      </c>
      <c r="H1241" s="3" t="inlineStr">
        <is>
          <t>estandar</t>
        </is>
      </c>
      <c r="I1241" s="3" t="inlineStr">
        <is>
          <t>importado</t>
        </is>
      </c>
      <c r="J1241" s="5" t="n">
        <v>2</v>
      </c>
      <c r="K1241" s="6" t="n">
        <v>4198.79</v>
      </c>
      <c r="L1241" s="6" t="n">
        <v>586.47</v>
      </c>
      <c r="M1241" s="6" t="n">
        <v>18906.72</v>
      </c>
      <c r="N1241" s="3" t="inlineStr">
        <is>
          <t>Sí</t>
        </is>
      </c>
      <c r="O1241" s="6">
        <f>IF(K1241="","",IF(N1241="Sí",ROUND(K1241/1.18,2),K1241))</f>
        <v/>
      </c>
      <c r="P1241" s="3" t="inlineStr">
        <is>
          <t>2026-09-09</t>
        </is>
      </c>
      <c r="Q1241" s="4" t="inlineStr">
        <is>
          <t>Ferretería Ochoa (8A) · InnovaCentro (La Innovación)</t>
        </is>
      </c>
      <c r="R1241" s="7" t="inlineStr">
        <is>
          <t>redondo</t>
        </is>
      </c>
      <c r="AF1241" s="4" t="inlineStr">
        <is>
          <t>Largo (mm): 710 · Ancho (mm): 415 · Alto (mm): 800 · Descarga (L): 4.8</t>
        </is>
      </c>
    </row>
    <row r="1242">
      <c r="A1242" s="3" t="inlineStr">
        <is>
          <t>MAT-24-006</t>
        </is>
      </c>
      <c r="B1242" s="3" t="inlineStr">
        <is>
          <t>Materiales</t>
        </is>
      </c>
      <c r="C1242" s="3" t="inlineStr">
        <is>
          <t>Inodoros y urinarios</t>
        </is>
      </c>
      <c r="D1242" s="4" t="inlineStr">
        <is>
          <t>Basineta para inodoro de dos piezas</t>
        </is>
      </c>
      <c r="E1242" s="4" t="inlineStr">
        <is>
          <t>Sin tanque · se compra aparte</t>
        </is>
      </c>
      <c r="F1242" s="3" t="inlineStr">
        <is>
          <t>unidad</t>
        </is>
      </c>
      <c r="G1242" s="3" t="inlineStr">
        <is>
          <t>Instalaciones</t>
        </is>
      </c>
      <c r="H1242" s="3" t="inlineStr">
        <is>
          <t>estandar</t>
        </is>
      </c>
      <c r="I1242" s="3" t="inlineStr">
        <is>
          <t>importado</t>
        </is>
      </c>
      <c r="J1242" s="5" t="n">
        <v>2</v>
      </c>
      <c r="K1242" s="6" t="n">
        <v>5574.97</v>
      </c>
      <c r="L1242" s="6" t="n">
        <v>2129.12</v>
      </c>
      <c r="M1242" s="6" t="n">
        <v>31632.12</v>
      </c>
      <c r="N1242" s="3" t="inlineStr">
        <is>
          <t>Sí</t>
        </is>
      </c>
      <c r="O1242" s="6">
        <f>IF(K1242="","",IF(N1242="Sí",ROUND(K1242/1.18,2),K1242))</f>
        <v/>
      </c>
      <c r="P1242" s="3" t="inlineStr">
        <is>
          <t>2026-09-10</t>
        </is>
      </c>
      <c r="Q1242" s="4" t="inlineStr">
        <is>
          <t>CerArte · Ferretería Ochoa (8A)</t>
        </is>
      </c>
    </row>
    <row r="1243">
      <c r="A1243" s="3" t="inlineStr">
        <is>
          <t>MAT-24-007</t>
        </is>
      </c>
      <c r="B1243" s="3" t="inlineStr">
        <is>
          <t>Materiales</t>
        </is>
      </c>
      <c r="C1243" s="3" t="inlineStr">
        <is>
          <t>Inodoros y urinarios</t>
        </is>
      </c>
      <c r="D1243" s="4" t="inlineStr">
        <is>
          <t>Taza para fluxómetro</t>
        </is>
      </c>
      <c r="E1243" s="4" t="inlineStr">
        <is>
          <t>Sin tanque · el fluxómetro va aparte</t>
        </is>
      </c>
      <c r="F1243" s="3" t="inlineStr">
        <is>
          <t>unidad</t>
        </is>
      </c>
      <c r="G1243" s="3" t="inlineStr">
        <is>
          <t>Instalaciones</t>
        </is>
      </c>
      <c r="H1243" s="3" t="inlineStr">
        <is>
          <t>estandar</t>
        </is>
      </c>
      <c r="I1243" s="3" t="inlineStr">
        <is>
          <t>importado</t>
        </is>
      </c>
      <c r="J1243" s="5" t="n">
        <v>3</v>
      </c>
      <c r="K1243" s="6" t="n">
        <v>9091</v>
      </c>
      <c r="L1243" s="6" t="n">
        <v>3925</v>
      </c>
      <c r="M1243" s="6" t="n">
        <v>16838.01</v>
      </c>
      <c r="N1243" s="3" t="inlineStr">
        <is>
          <t>Sí</t>
        </is>
      </c>
      <c r="O1243" s="6">
        <f>IF(K1243="","",IF(N1243="Sí",ROUND(K1243/1.18,2),K1243))</f>
        <v/>
      </c>
      <c r="P1243" s="3" t="inlineStr">
        <is>
          <t>2026-09-10</t>
        </is>
      </c>
      <c r="Q1243" s="4" t="inlineStr">
        <is>
          <t>CerArte · InnovaCentro (La Innovación) · La Ibérica</t>
        </is>
      </c>
      <c r="R1243" s="7" t="inlineStr">
        <is>
          <t>elongado</t>
        </is>
      </c>
    </row>
    <row r="1244">
      <c r="A1244" s="3" t="inlineStr">
        <is>
          <t>MAT-24-008</t>
        </is>
      </c>
      <c r="B1244" s="3" t="inlineStr">
        <is>
          <t>Materiales</t>
        </is>
      </c>
      <c r="C1244" s="3" t="inlineStr">
        <is>
          <t>Inodoros y urinarios</t>
        </is>
      </c>
      <c r="D1244" s="4" t="inlineStr">
        <is>
          <t>Urinario de porcelana</t>
        </is>
      </c>
      <c r="E1244" s="4" t="inlineStr"/>
      <c r="F1244" s="3" t="inlineStr">
        <is>
          <t>unidad</t>
        </is>
      </c>
      <c r="G1244" s="3" t="inlineStr">
        <is>
          <t>Instalaciones</t>
        </is>
      </c>
      <c r="H1244" s="3" t="inlineStr">
        <is>
          <t>estandar</t>
        </is>
      </c>
      <c r="I1244" s="3" t="inlineStr">
        <is>
          <t>importado</t>
        </is>
      </c>
      <c r="J1244" s="5" t="n">
        <v>5</v>
      </c>
      <c r="K1244" s="6" t="n">
        <v>9070.48</v>
      </c>
      <c r="L1244" s="6" t="n">
        <v>3265</v>
      </c>
      <c r="M1244" s="6" t="n">
        <v>30546.11</v>
      </c>
      <c r="N1244" s="3" t="inlineStr">
        <is>
          <t>Sí</t>
        </is>
      </c>
      <c r="O1244" s="6">
        <f>IF(K1244="","",IF(N1244="Sí",ROUND(K1244/1.18,2),K1244))</f>
        <v/>
      </c>
      <c r="P1244" s="3" t="inlineStr">
        <is>
          <t>2026-09-10</t>
        </is>
      </c>
      <c r="Q1244" s="4" t="inlineStr">
        <is>
          <t>Bellón · CerArte · Ferretería Ochoa (8A) · InnovaCentro (La Innovación) · La Ibérica</t>
        </is>
      </c>
    </row>
    <row r="1245">
      <c r="A1245" s="3" t="inlineStr">
        <is>
          <t>MAT-24-009</t>
        </is>
      </c>
      <c r="B1245" s="3" t="inlineStr">
        <is>
          <t>Materiales</t>
        </is>
      </c>
      <c r="C1245" s="3" t="inlineStr">
        <is>
          <t>Inodoros y urinarios</t>
        </is>
      </c>
      <c r="D1245" s="4" t="inlineStr">
        <is>
          <t>Bidé</t>
        </is>
      </c>
      <c r="E1245" s="4" t="inlineStr"/>
      <c r="F1245" s="3" t="inlineStr">
        <is>
          <t>unidad</t>
        </is>
      </c>
      <c r="G1245" s="3" t="inlineStr">
        <is>
          <t>Instalaciones</t>
        </is>
      </c>
      <c r="H1245" s="3" t="inlineStr">
        <is>
          <t>estandar</t>
        </is>
      </c>
      <c r="I1245" s="3" t="inlineStr">
        <is>
          <t>importado</t>
        </is>
      </c>
      <c r="J1245" s="5" t="n">
        <v>4</v>
      </c>
      <c r="K1245" s="6" t="n">
        <v>20490</v>
      </c>
      <c r="L1245" s="6" t="n">
        <v>3998</v>
      </c>
      <c r="M1245" s="6" t="n">
        <v>48499.99</v>
      </c>
      <c r="N1245" s="3" t="inlineStr">
        <is>
          <t>Sí</t>
        </is>
      </c>
      <c r="O1245" s="6">
        <f>IF(K1245="","",IF(N1245="Sí",ROUND(K1245/1.18,2),K1245))</f>
        <v/>
      </c>
      <c r="P1245" s="3" t="inlineStr">
        <is>
          <t>2026-09-10</t>
        </is>
      </c>
      <c r="Q1245" s="4" t="inlineStr">
        <is>
          <t>CerArte · Ferretería Cima · InnovaCentro (La Innovación) · La Ibérica</t>
        </is>
      </c>
    </row>
    <row r="1246">
      <c r="A1246" s="3" t="inlineStr">
        <is>
          <t>MAT-24-010</t>
        </is>
      </c>
      <c r="B1246" s="3" t="inlineStr">
        <is>
          <t>Materiales</t>
        </is>
      </c>
      <c r="C1246" s="3" t="inlineStr">
        <is>
          <t>Inodoros y urinarios</t>
        </is>
      </c>
      <c r="D1246" s="4" t="inlineStr">
        <is>
          <t>Kit de instalación de inodoro</t>
        </is>
      </c>
      <c r="E1246" s="4" t="inlineStr"/>
      <c r="F1246" s="3" t="inlineStr">
        <is>
          <t>juego</t>
        </is>
      </c>
      <c r="G1246" s="3" t="inlineStr">
        <is>
          <t>Instalaciones</t>
        </is>
      </c>
      <c r="H1246" s="3" t="inlineStr">
        <is>
          <t>estandar</t>
        </is>
      </c>
      <c r="I1246" s="3" t="inlineStr">
        <is>
          <t>importado</t>
        </is>
      </c>
      <c r="J1246" s="5" t="n">
        <v>1</v>
      </c>
      <c r="K1246" s="6" t="n">
        <v>1773</v>
      </c>
      <c r="L1246" s="6" t="n">
        <v>1773</v>
      </c>
      <c r="M1246" s="6" t="n">
        <v>1773</v>
      </c>
      <c r="N1246" s="3" t="inlineStr">
        <is>
          <t>Sí</t>
        </is>
      </c>
      <c r="O1246" s="6">
        <f>IF(K1246="","",IF(N1246="Sí",ROUND(K1246/1.18,2),K1246))</f>
        <v/>
      </c>
      <c r="P1246" s="3" t="inlineStr">
        <is>
          <t>2026-09-09</t>
        </is>
      </c>
      <c r="Q1246" s="4" t="inlineStr">
        <is>
          <t>Ferretería Ochoa (8A)</t>
        </is>
      </c>
    </row>
    <row r="1247">
      <c r="A1247" s="3" t="inlineStr">
        <is>
          <t>MAT-25-001</t>
        </is>
      </c>
      <c r="B1247" s="3" t="inlineStr">
        <is>
          <t>Materiales</t>
        </is>
      </c>
      <c r="C1247" s="3" t="inlineStr">
        <is>
          <t>Lavamanos y pedestales</t>
        </is>
      </c>
      <c r="D1247" s="4" t="inlineStr">
        <is>
          <t>Lavamanos</t>
        </is>
      </c>
      <c r="E1247" s="4" t="inlineStr"/>
      <c r="F1247" s="3" t="inlineStr">
        <is>
          <t>unidad</t>
        </is>
      </c>
      <c r="G1247" s="3" t="inlineStr">
        <is>
          <t>Instalaciones</t>
        </is>
      </c>
      <c r="H1247" s="3" t="inlineStr">
        <is>
          <t>estandar</t>
        </is>
      </c>
      <c r="I1247" s="3" t="inlineStr">
        <is>
          <t>importado</t>
        </is>
      </c>
      <c r="J1247" s="5" t="n">
        <v>3</v>
      </c>
      <c r="K1247" s="6" t="n">
        <v>8500</v>
      </c>
      <c r="L1247" s="6" t="n">
        <v>910</v>
      </c>
      <c r="M1247" s="6" t="n">
        <v>88600.00999999999</v>
      </c>
      <c r="N1247" s="3" t="inlineStr">
        <is>
          <t>Sí</t>
        </is>
      </c>
      <c r="O1247" s="6">
        <f>IF(K1247="","",IF(N1247="Sí",ROUND(K1247/1.18,2),K1247))</f>
        <v/>
      </c>
      <c r="P1247" s="3" t="inlineStr">
        <is>
          <t>2026-09-10</t>
        </is>
      </c>
      <c r="Q1247" s="4" t="inlineStr">
        <is>
          <t>Ferremix (Grupo Alterra) · Ferretería Ochoa (8A) · La Ibérica</t>
        </is>
      </c>
      <c r="AF1247" s="4" t="inlineStr">
        <is>
          <t>Largo (mm): 810 · Ancho (mm): 460 · Alto (mm): 170</t>
        </is>
      </c>
    </row>
    <row r="1248">
      <c r="A1248" s="3" t="inlineStr">
        <is>
          <t>MAT-25-002</t>
        </is>
      </c>
      <c r="B1248" s="3" t="inlineStr">
        <is>
          <t>Materiales</t>
        </is>
      </c>
      <c r="C1248" s="3" t="inlineStr">
        <is>
          <t>Lavamanos y pedestales</t>
        </is>
      </c>
      <c r="D1248" s="4" t="inlineStr">
        <is>
          <t>Lavamanos, de empotrar</t>
        </is>
      </c>
      <c r="E1248" s="4" t="inlineStr"/>
      <c r="F1248" s="3" t="inlineStr">
        <is>
          <t>unidad</t>
        </is>
      </c>
      <c r="G1248" s="3" t="inlineStr">
        <is>
          <t>Instalaciones</t>
        </is>
      </c>
      <c r="H1248" s="3" t="inlineStr">
        <is>
          <t>estandar</t>
        </is>
      </c>
      <c r="I1248" s="3" t="inlineStr">
        <is>
          <t>importado</t>
        </is>
      </c>
      <c r="J1248" s="5" t="n">
        <v>5</v>
      </c>
      <c r="K1248" s="6" t="n">
        <v>3403.56</v>
      </c>
      <c r="L1248" s="6" t="n">
        <v>684.67</v>
      </c>
      <c r="M1248" s="6" t="n">
        <v>17160.88</v>
      </c>
      <c r="N1248" s="3" t="inlineStr">
        <is>
          <t>Sí</t>
        </is>
      </c>
      <c r="O1248" s="6">
        <f>IF(K1248="","",IF(N1248="Sí",ROUND(K1248/1.18,2),K1248))</f>
        <v/>
      </c>
      <c r="P1248" s="3" t="inlineStr">
        <is>
          <t>2026-09-10</t>
        </is>
      </c>
      <c r="Q1248" s="4" t="inlineStr">
        <is>
          <t>Bellón · CerArte · Ferretería Ochoa (8A) · InnovaCentro (La Innovación) · La Ibérica</t>
        </is>
      </c>
      <c r="S1248" s="7" t="inlineStr">
        <is>
          <t>empotrar</t>
        </is>
      </c>
      <c r="AF1248" s="4" t="inlineStr">
        <is>
          <t>Alto (mm): 175</t>
        </is>
      </c>
    </row>
    <row r="1249">
      <c r="A1249" s="3" t="inlineStr">
        <is>
          <t>MAT-25-003</t>
        </is>
      </c>
      <c r="B1249" s="3" t="inlineStr">
        <is>
          <t>Materiales</t>
        </is>
      </c>
      <c r="C1249" s="3" t="inlineStr">
        <is>
          <t>Lavamanos y pedestales</t>
        </is>
      </c>
      <c r="D1249" s="4" t="inlineStr">
        <is>
          <t>Lavamanos, de exento</t>
        </is>
      </c>
      <c r="E1249" s="4" t="inlineStr"/>
      <c r="F1249" s="3" t="inlineStr">
        <is>
          <t>unidad</t>
        </is>
      </c>
      <c r="G1249" s="3" t="inlineStr">
        <is>
          <t>Instalaciones</t>
        </is>
      </c>
      <c r="H1249" s="3" t="inlineStr">
        <is>
          <t>estandar</t>
        </is>
      </c>
      <c r="I1249" s="3" t="inlineStr">
        <is>
          <t>importado</t>
        </is>
      </c>
      <c r="J1249" s="5" t="n">
        <v>1</v>
      </c>
      <c r="K1249" s="6" t="n">
        <v>244189.99</v>
      </c>
      <c r="L1249" s="6" t="n">
        <v>218499.99</v>
      </c>
      <c r="M1249" s="6" t="n">
        <v>269879.99</v>
      </c>
      <c r="N1249" s="3" t="inlineStr">
        <is>
          <t>Sí</t>
        </is>
      </c>
      <c r="O1249" s="6">
        <f>IF(K1249="","",IF(N1249="Sí",ROUND(K1249/1.18,2),K1249))</f>
        <v/>
      </c>
      <c r="P1249" s="3" t="inlineStr">
        <is>
          <t>2026-09-10</t>
        </is>
      </c>
      <c r="Q1249" s="4" t="inlineStr">
        <is>
          <t>CerArte</t>
        </is>
      </c>
      <c r="S1249" s="7" t="inlineStr">
        <is>
          <t>exento</t>
        </is>
      </c>
    </row>
    <row r="1250">
      <c r="A1250" s="3" t="inlineStr">
        <is>
          <t>MAT-25-005</t>
        </is>
      </c>
      <c r="B1250" s="3" t="inlineStr">
        <is>
          <t>Materiales</t>
        </is>
      </c>
      <c r="C1250" s="3" t="inlineStr">
        <is>
          <t>Lavamanos y pedestales</t>
        </is>
      </c>
      <c r="D1250" s="4" t="inlineStr">
        <is>
          <t>Lavamanos, de pedestal</t>
        </is>
      </c>
      <c r="E1250" s="4" t="inlineStr"/>
      <c r="F1250" s="3" t="inlineStr">
        <is>
          <t>unidad</t>
        </is>
      </c>
      <c r="G1250" s="3" t="inlineStr">
        <is>
          <t>Instalaciones</t>
        </is>
      </c>
      <c r="H1250" s="3" t="inlineStr">
        <is>
          <t>estandar</t>
        </is>
      </c>
      <c r="I1250" s="3" t="inlineStr">
        <is>
          <t>importado</t>
        </is>
      </c>
      <c r="J1250" s="5" t="n">
        <v>6</v>
      </c>
      <c r="K1250" s="6" t="n">
        <v>2676.3</v>
      </c>
      <c r="L1250" s="6" t="n">
        <v>216</v>
      </c>
      <c r="M1250" s="6" t="n">
        <v>79846.39999999999</v>
      </c>
      <c r="N1250" s="3" t="inlineStr">
        <is>
          <t>Sí</t>
        </is>
      </c>
      <c r="O1250" s="6">
        <f>IF(K1250="","",IF(N1250="Sí",ROUND(K1250/1.18,2),K1250))</f>
        <v/>
      </c>
      <c r="P1250" s="3" t="inlineStr">
        <is>
          <t>2026-09-10</t>
        </is>
      </c>
      <c r="Q1250" s="4" t="inlineStr">
        <is>
          <t>Bellón · CerArte · Ferretería Cima · Ferretería Ochoa (8A) · InnovaCentro (La Innovación) · La Ibérica</t>
        </is>
      </c>
      <c r="S1250" s="7" t="inlineStr">
        <is>
          <t>pedestal</t>
        </is>
      </c>
      <c r="AF1250" s="4" t="inlineStr">
        <is>
          <t>Agujeros: 1 · Largo (mm): 310 · Alto (mm): 110</t>
        </is>
      </c>
    </row>
    <row r="1251">
      <c r="A1251" s="3" t="inlineStr">
        <is>
          <t>MAT-25-006</t>
        </is>
      </c>
      <c r="B1251" s="3" t="inlineStr">
        <is>
          <t>Materiales</t>
        </is>
      </c>
      <c r="C1251" s="3" t="inlineStr">
        <is>
          <t>Lavamanos y pedestales</t>
        </is>
      </c>
      <c r="D1251" s="4" t="inlineStr">
        <is>
          <t>Lavamanos, de sobreponer</t>
        </is>
      </c>
      <c r="E1251" s="4" t="inlineStr"/>
      <c r="F1251" s="3" t="inlineStr">
        <is>
          <t>unidad</t>
        </is>
      </c>
      <c r="G1251" s="3" t="inlineStr">
        <is>
          <t>Instalaciones</t>
        </is>
      </c>
      <c r="H1251" s="3" t="inlineStr">
        <is>
          <t>estandar</t>
        </is>
      </c>
      <c r="I1251" s="3" t="inlineStr">
        <is>
          <t>importado</t>
        </is>
      </c>
      <c r="J1251" s="5" t="n">
        <v>6</v>
      </c>
      <c r="K1251" s="6" t="n">
        <v>4140.13</v>
      </c>
      <c r="L1251" s="6" t="n">
        <v>1150</v>
      </c>
      <c r="M1251" s="6" t="n">
        <v>127140.01</v>
      </c>
      <c r="N1251" s="3" t="inlineStr">
        <is>
          <t>Sí</t>
        </is>
      </c>
      <c r="O1251" s="6">
        <f>IF(K1251="","",IF(N1251="Sí",ROUND(K1251/1.18,2),K1251))</f>
        <v/>
      </c>
      <c r="P1251" s="3" t="inlineStr">
        <is>
          <t>2026-09-10</t>
        </is>
      </c>
      <c r="Q1251" s="4" t="inlineStr">
        <is>
          <t>Bellón · CerArte · Ferretería Cima · Ferretería Ochoa (8A) · InnovaCentro (La Innovación) · La Ibérica</t>
        </is>
      </c>
      <c r="S1251" s="7" t="inlineStr">
        <is>
          <t>sobreponer</t>
        </is>
      </c>
      <c r="AF1251" s="4" t="inlineStr">
        <is>
          <t>Agujeros: 1</t>
        </is>
      </c>
    </row>
    <row r="1252">
      <c r="A1252" s="3" t="inlineStr">
        <is>
          <t>MAT-25-007</t>
        </is>
      </c>
      <c r="B1252" s="3" t="inlineStr">
        <is>
          <t>Materiales</t>
        </is>
      </c>
      <c r="C1252" s="3" t="inlineStr">
        <is>
          <t>Lavamanos y pedestales</t>
        </is>
      </c>
      <c r="D1252" s="4" t="inlineStr">
        <is>
          <t>Pedestal para lavamanos</t>
        </is>
      </c>
      <c r="E1252" s="4" t="inlineStr">
        <is>
          <t>Sin lavamanos · se compra aparte</t>
        </is>
      </c>
      <c r="F1252" s="3" t="inlineStr">
        <is>
          <t>unidad</t>
        </is>
      </c>
      <c r="G1252" s="3" t="inlineStr">
        <is>
          <t>Instalaciones</t>
        </is>
      </c>
      <c r="H1252" s="3" t="inlineStr">
        <is>
          <t>estandar</t>
        </is>
      </c>
      <c r="I1252" s="3" t="inlineStr">
        <is>
          <t>importado</t>
        </is>
      </c>
      <c r="J1252" s="5" t="n">
        <v>2</v>
      </c>
      <c r="K1252" s="6" t="n">
        <v>2014.01</v>
      </c>
      <c r="L1252" s="6" t="n">
        <v>891.27</v>
      </c>
      <c r="M1252" s="6" t="n">
        <v>3334.17</v>
      </c>
      <c r="N1252" s="3" t="inlineStr">
        <is>
          <t>Sí</t>
        </is>
      </c>
      <c r="O1252" s="6">
        <f>IF(K1252="","",IF(N1252="Sí",ROUND(K1252/1.18,2),K1252))</f>
        <v/>
      </c>
      <c r="P1252" s="3" t="inlineStr">
        <is>
          <t>2026-09-10</t>
        </is>
      </c>
      <c r="Q1252" s="4" t="inlineStr">
        <is>
          <t>Ferretería Ochoa (8A) · La Ibérica</t>
        </is>
      </c>
    </row>
    <row r="1253">
      <c r="A1253" s="3" t="inlineStr">
        <is>
          <t>MAT-25-008</t>
        </is>
      </c>
      <c r="B1253" s="3" t="inlineStr">
        <is>
          <t>Materiales</t>
        </is>
      </c>
      <c r="C1253" s="3" t="inlineStr">
        <is>
          <t>Lavamanos y pedestales</t>
        </is>
      </c>
      <c r="D1253" s="4" t="inlineStr">
        <is>
          <t>Palometa para lavamanos</t>
        </is>
      </c>
      <c r="E1253" s="4" t="inlineStr"/>
      <c r="F1253" s="3" t="inlineStr">
        <is>
          <t>unidad</t>
        </is>
      </c>
      <c r="G1253" s="3" t="inlineStr">
        <is>
          <t>Instalaciones</t>
        </is>
      </c>
      <c r="H1253" s="3" t="inlineStr">
        <is>
          <t>estandar</t>
        </is>
      </c>
      <c r="I1253" s="3" t="inlineStr">
        <is>
          <t>importado</t>
        </is>
      </c>
      <c r="J1253" s="5" t="n">
        <v>2</v>
      </c>
      <c r="K1253" s="6" t="n">
        <v>80.59</v>
      </c>
      <c r="L1253" s="6" t="n">
        <v>57.88</v>
      </c>
      <c r="M1253" s="6" t="n">
        <v>189</v>
      </c>
      <c r="N1253" s="3" t="inlineStr">
        <is>
          <t>Sí</t>
        </is>
      </c>
      <c r="O1253" s="6">
        <f>IF(K1253="","",IF(N1253="Sí",ROUND(K1253/1.18,2),K1253))</f>
        <v/>
      </c>
      <c r="P1253" s="3" t="inlineStr">
        <is>
          <t>2026-09-09</t>
        </is>
      </c>
      <c r="Q1253" s="4" t="inlineStr">
        <is>
          <t>Ferretería Cima · Ferretería Ochoa (8A)</t>
        </is>
      </c>
    </row>
    <row r="1254">
      <c r="A1254" s="3" t="inlineStr">
        <is>
          <t>MAT-25-009</t>
        </is>
      </c>
      <c r="B1254" s="3" t="inlineStr">
        <is>
          <t>Materiales</t>
        </is>
      </c>
      <c r="C1254" s="3" t="inlineStr">
        <is>
          <t>Lavamanos y pedestales</t>
        </is>
      </c>
      <c r="D1254" s="4" t="inlineStr">
        <is>
          <t>Conector de desagüe para lavamanos</t>
        </is>
      </c>
      <c r="E1254" s="4" t="inlineStr"/>
      <c r="F1254" s="3" t="inlineStr">
        <is>
          <t>unidad</t>
        </is>
      </c>
      <c r="G1254" s="3" t="inlineStr">
        <is>
          <t>Instalaciones</t>
        </is>
      </c>
      <c r="H1254" s="3" t="inlineStr">
        <is>
          <t>estandar</t>
        </is>
      </c>
      <c r="I1254" s="3" t="inlineStr">
        <is>
          <t>importado</t>
        </is>
      </c>
      <c r="J1254" s="5" t="n">
        <v>1</v>
      </c>
      <c r="K1254" s="6" t="n">
        <v>255.94</v>
      </c>
      <c r="L1254" s="6" t="n">
        <v>255.94</v>
      </c>
      <c r="M1254" s="6" t="n">
        <v>255.94</v>
      </c>
      <c r="N1254" s="3" t="inlineStr">
        <is>
          <t>Sí</t>
        </is>
      </c>
      <c r="O1254" s="6">
        <f>IF(K1254="","",IF(N1254="Sí",ROUND(K1254/1.18,2),K1254))</f>
        <v/>
      </c>
      <c r="P1254" s="3" t="inlineStr">
        <is>
          <t>2026-09-09</t>
        </is>
      </c>
      <c r="Q1254" s="4" t="inlineStr">
        <is>
          <t>Ferretería Ochoa (8A)</t>
        </is>
      </c>
    </row>
    <row r="1255">
      <c r="A1255" s="3" t="inlineStr">
        <is>
          <t>MAT-26-001</t>
        </is>
      </c>
      <c r="B1255" s="3" t="inlineStr">
        <is>
          <t>Materiales</t>
        </is>
      </c>
      <c r="C1255" s="3" t="inlineStr">
        <is>
          <t>Muebles y espejos de baño</t>
        </is>
      </c>
      <c r="D1255" s="4" t="inlineStr">
        <is>
          <t>Mueble de baño</t>
        </is>
      </c>
      <c r="E1255" s="4" t="inlineStr"/>
      <c r="F1255" s="3" t="inlineStr">
        <is>
          <t>unidad</t>
        </is>
      </c>
      <c r="G1255" s="3" t="inlineStr">
        <is>
          <t>Terminación de superficies</t>
        </is>
      </c>
      <c r="H1255" s="3" t="inlineStr">
        <is>
          <t>estandar</t>
        </is>
      </c>
      <c r="I1255" s="3" t="inlineStr">
        <is>
          <t>importado</t>
        </is>
      </c>
      <c r="J1255" s="5" t="n">
        <v>2</v>
      </c>
      <c r="K1255" s="6" t="n">
        <v>14401.48</v>
      </c>
      <c r="L1255" s="6" t="n">
        <v>6495</v>
      </c>
      <c r="M1255" s="6" t="n">
        <v>45479.87</v>
      </c>
      <c r="N1255" s="3" t="inlineStr">
        <is>
          <t>Sí</t>
        </is>
      </c>
      <c r="O1255" s="6">
        <f>IF(K1255="","",IF(N1255="Sí",ROUND(K1255/1.18,2),K1255))</f>
        <v/>
      </c>
      <c r="P1255" s="3" t="inlineStr">
        <is>
          <t>2026-09-09</t>
        </is>
      </c>
      <c r="Q1255" s="4" t="inlineStr">
        <is>
          <t>Ferretería Ochoa (8A) · InnovaCentro (La Innovación)</t>
        </is>
      </c>
    </row>
    <row r="1256">
      <c r="A1256" s="3" t="inlineStr">
        <is>
          <t>MAT-26-002</t>
        </is>
      </c>
      <c r="B1256" s="3" t="inlineStr">
        <is>
          <t>Materiales</t>
        </is>
      </c>
      <c r="C1256" s="3" t="inlineStr">
        <is>
          <t>Muebles y espejos de baño</t>
        </is>
      </c>
      <c r="D1256" s="4" t="inlineStr">
        <is>
          <t>Mueble de baño, de pared</t>
        </is>
      </c>
      <c r="E1256" s="4" t="inlineStr"/>
      <c r="F1256" s="3" t="inlineStr">
        <is>
          <t>unidad</t>
        </is>
      </c>
      <c r="G1256" s="3" t="inlineStr">
        <is>
          <t>Terminación de superficies</t>
        </is>
      </c>
      <c r="H1256" s="3" t="inlineStr">
        <is>
          <t>estandar</t>
        </is>
      </c>
      <c r="I1256" s="3" t="inlineStr">
        <is>
          <t>importado</t>
        </is>
      </c>
      <c r="J1256" s="5" t="n">
        <v>4</v>
      </c>
      <c r="K1256" s="6" t="n">
        <v>17169.24</v>
      </c>
      <c r="L1256" s="6" t="n">
        <v>5433.44</v>
      </c>
      <c r="M1256" s="6" t="n">
        <v>58000</v>
      </c>
      <c r="N1256" s="3" t="inlineStr">
        <is>
          <t>Sí</t>
        </is>
      </c>
      <c r="O1256" s="6">
        <f>IF(K1256="","",IF(N1256="Sí",ROUND(K1256/1.18,2),K1256))</f>
        <v/>
      </c>
      <c r="P1256" s="3" t="inlineStr">
        <is>
          <t>2026-09-10</t>
        </is>
      </c>
      <c r="Q1256" s="4" t="inlineStr">
        <is>
          <t>Ferremix (Grupo Alterra) · Ferretería Ochoa (8A) · InnovaCentro (La Innovación) · La Ibérica</t>
        </is>
      </c>
      <c r="S1256" s="7" t="inlineStr">
        <is>
          <t>pared</t>
        </is>
      </c>
    </row>
    <row r="1257">
      <c r="A1257" s="3" t="inlineStr">
        <is>
          <t>MAT-26-003</t>
        </is>
      </c>
      <c r="B1257" s="3" t="inlineStr">
        <is>
          <t>Materiales</t>
        </is>
      </c>
      <c r="C1257" s="3" t="inlineStr">
        <is>
          <t>Muebles y espejos de baño</t>
        </is>
      </c>
      <c r="D1257" s="4" t="inlineStr">
        <is>
          <t>Mueble de baño, de piso</t>
        </is>
      </c>
      <c r="E1257" s="4" t="inlineStr"/>
      <c r="F1257" s="3" t="inlineStr">
        <is>
          <t>unidad</t>
        </is>
      </c>
      <c r="G1257" s="3" t="inlineStr">
        <is>
          <t>Terminación de superficies</t>
        </is>
      </c>
      <c r="H1257" s="3" t="inlineStr">
        <is>
          <t>estandar</t>
        </is>
      </c>
      <c r="I1257" s="3" t="inlineStr">
        <is>
          <t>importado</t>
        </is>
      </c>
      <c r="J1257" s="5" t="n">
        <v>5</v>
      </c>
      <c r="K1257" s="6" t="n">
        <v>21623.89</v>
      </c>
      <c r="L1257" s="6" t="n">
        <v>2725</v>
      </c>
      <c r="M1257" s="6" t="n">
        <v>197500</v>
      </c>
      <c r="N1257" s="3" t="inlineStr">
        <is>
          <t>Sí</t>
        </is>
      </c>
      <c r="O1257" s="6">
        <f>IF(K1257="","",IF(N1257="Sí",ROUND(K1257/1.18,2),K1257))</f>
        <v/>
      </c>
      <c r="P1257" s="3" t="inlineStr">
        <is>
          <t>2026-09-10</t>
        </is>
      </c>
      <c r="Q1257" s="4" t="inlineStr">
        <is>
          <t>CerArte · Ferremix (Grupo Alterra) · Ferretería Cima · InnovaCentro (La Innovación) · La Ibérica</t>
        </is>
      </c>
      <c r="S1257" s="7" t="inlineStr">
        <is>
          <t>piso</t>
        </is>
      </c>
    </row>
    <row r="1258">
      <c r="A1258" s="3" t="inlineStr">
        <is>
          <t>MAT-26-004</t>
        </is>
      </c>
      <c r="B1258" s="3" t="inlineStr">
        <is>
          <t>Materiales</t>
        </is>
      </c>
      <c r="C1258" s="3" t="inlineStr">
        <is>
          <t>Muebles y espejos de baño</t>
        </is>
      </c>
      <c r="D1258" s="4" t="inlineStr">
        <is>
          <t>Botiquín de baño</t>
        </is>
      </c>
      <c r="E1258" s="4" t="inlineStr"/>
      <c r="F1258" s="3" t="inlineStr">
        <is>
          <t>unidad</t>
        </is>
      </c>
      <c r="G1258" s="3" t="inlineStr">
        <is>
          <t>Terminación de superficies</t>
        </is>
      </c>
      <c r="H1258" s="3" t="inlineStr">
        <is>
          <t>estandar</t>
        </is>
      </c>
      <c r="I1258" s="3" t="inlineStr">
        <is>
          <t>importado</t>
        </is>
      </c>
      <c r="J1258" s="5" t="n">
        <v>3</v>
      </c>
      <c r="K1258" s="6" t="n">
        <v>1481</v>
      </c>
      <c r="L1258" s="6" t="n">
        <v>725.87</v>
      </c>
      <c r="M1258" s="6" t="n">
        <v>6543.83</v>
      </c>
      <c r="N1258" s="3" t="inlineStr">
        <is>
          <t>Sí</t>
        </is>
      </c>
      <c r="O1258" s="6">
        <f>IF(K1258="","",IF(N1258="Sí",ROUND(K1258/1.18,2),K1258))</f>
        <v/>
      </c>
      <c r="P1258" s="3" t="inlineStr">
        <is>
          <t>2026-09-09</t>
        </is>
      </c>
      <c r="Q1258" s="4" t="inlineStr">
        <is>
          <t>Ferretería Cima · Ferretería Ochoa (8A) · InnovaCentro (La Innovación)</t>
        </is>
      </c>
      <c r="AF1258" s="4" t="inlineStr">
        <is>
          <t>Largo (mm): 300 · Alto (mm): 120</t>
        </is>
      </c>
    </row>
    <row r="1259">
      <c r="A1259" s="3" t="inlineStr">
        <is>
          <t>MAT-26-005</t>
        </is>
      </c>
      <c r="B1259" s="3" t="inlineStr">
        <is>
          <t>Materiales</t>
        </is>
      </c>
      <c r="C1259" s="3" t="inlineStr">
        <is>
          <t>Muebles y espejos de baño</t>
        </is>
      </c>
      <c r="D1259" s="4" t="inlineStr">
        <is>
          <t>Botiquín de baño, con luz LED</t>
        </is>
      </c>
      <c r="E1259" s="4" t="inlineStr"/>
      <c r="F1259" s="3" t="inlineStr">
        <is>
          <t>unidad</t>
        </is>
      </c>
      <c r="G1259" s="3" t="inlineStr">
        <is>
          <t>Terminación de superficies</t>
        </is>
      </c>
      <c r="H1259" s="3" t="inlineStr">
        <is>
          <t>estandar</t>
        </is>
      </c>
      <c r="I1259" s="3" t="inlineStr">
        <is>
          <t>importado</t>
        </is>
      </c>
      <c r="J1259" s="5" t="n">
        <v>1</v>
      </c>
      <c r="K1259" s="6" t="n">
        <v>15456.85</v>
      </c>
      <c r="L1259" s="6" t="n">
        <v>10320.96</v>
      </c>
      <c r="M1259" s="6" t="n">
        <v>24256.84</v>
      </c>
      <c r="N1259" s="3" t="inlineStr">
        <is>
          <t>Sí</t>
        </is>
      </c>
      <c r="O1259" s="6">
        <f>IF(K1259="","",IF(N1259="Sí",ROUND(K1259/1.18,2),K1259))</f>
        <v/>
      </c>
      <c r="P1259" s="3" t="inlineStr">
        <is>
          <t>2026-09-09</t>
        </is>
      </c>
      <c r="Q1259" s="4" t="inlineStr">
        <is>
          <t>Ferretería Ochoa (8A)</t>
        </is>
      </c>
      <c r="AF1259" s="4" t="inlineStr">
        <is>
          <t>Luz: led</t>
        </is>
      </c>
    </row>
    <row r="1260">
      <c r="A1260" s="3" t="inlineStr">
        <is>
          <t>MAT-26-006</t>
        </is>
      </c>
      <c r="B1260" s="3" t="inlineStr">
        <is>
          <t>Materiales</t>
        </is>
      </c>
      <c r="C1260" s="3" t="inlineStr">
        <is>
          <t>Muebles y espejos de baño</t>
        </is>
      </c>
      <c r="D1260" s="4" t="inlineStr">
        <is>
          <t>Espejo de baño</t>
        </is>
      </c>
      <c r="E1260" s="4" t="inlineStr"/>
      <c r="F1260" s="3" t="inlineStr">
        <is>
          <t>unidad</t>
        </is>
      </c>
      <c r="G1260" s="3" t="inlineStr">
        <is>
          <t>Terminación de superficies</t>
        </is>
      </c>
      <c r="H1260" s="3" t="inlineStr">
        <is>
          <t>estandar</t>
        </is>
      </c>
      <c r="I1260" s="3" t="inlineStr">
        <is>
          <t>importado</t>
        </is>
      </c>
      <c r="J1260" s="5" t="n">
        <v>4</v>
      </c>
      <c r="K1260" s="6" t="n">
        <v>1594.71</v>
      </c>
      <c r="L1260" s="6" t="n">
        <v>665</v>
      </c>
      <c r="M1260" s="6" t="n">
        <v>47121.22</v>
      </c>
      <c r="N1260" s="3" t="inlineStr">
        <is>
          <t>Sí</t>
        </is>
      </c>
      <c r="O1260" s="6">
        <f>IF(K1260="","",IF(N1260="Sí",ROUND(K1260/1.18,2),K1260))</f>
        <v/>
      </c>
      <c r="P1260" s="3" t="inlineStr">
        <is>
          <t>2026-09-10</t>
        </is>
      </c>
      <c r="Q1260" s="4" t="inlineStr">
        <is>
          <t>CerArte · Ferretería Ochoa (8A) · InnovaCentro (La Innovación) · La Ibérica</t>
        </is>
      </c>
    </row>
    <row r="1261">
      <c r="A1261" s="3" t="inlineStr">
        <is>
          <t>MAT-26-007</t>
        </is>
      </c>
      <c r="B1261" s="3" t="inlineStr">
        <is>
          <t>Materiales</t>
        </is>
      </c>
      <c r="C1261" s="3" t="inlineStr">
        <is>
          <t>Muebles y espejos de baño</t>
        </is>
      </c>
      <c r="D1261" s="4" t="inlineStr">
        <is>
          <t>Espejo de baño, con luz LED</t>
        </is>
      </c>
      <c r="E1261" s="4" t="inlineStr"/>
      <c r="F1261" s="3" t="inlineStr">
        <is>
          <t>unidad</t>
        </is>
      </c>
      <c r="G1261" s="3" t="inlineStr">
        <is>
          <t>Terminación de superficies</t>
        </is>
      </c>
      <c r="H1261" s="3" t="inlineStr">
        <is>
          <t>estandar</t>
        </is>
      </c>
      <c r="I1261" s="3" t="inlineStr">
        <is>
          <t>importado</t>
        </is>
      </c>
      <c r="J1261" s="5" t="n">
        <v>5</v>
      </c>
      <c r="K1261" s="6" t="n">
        <v>7811.18</v>
      </c>
      <c r="L1261" s="6" t="n">
        <v>1795</v>
      </c>
      <c r="M1261" s="6" t="n">
        <v>30090</v>
      </c>
      <c r="N1261" s="3" t="inlineStr">
        <is>
          <t>Sí</t>
        </is>
      </c>
      <c r="O1261" s="6">
        <f>IF(K1261="","",IF(N1261="Sí",ROUND(K1261/1.18,2),K1261))</f>
        <v/>
      </c>
      <c r="P1261" s="3" t="inlineStr">
        <is>
          <t>2026-09-10</t>
        </is>
      </c>
      <c r="Q1261" s="4" t="inlineStr">
        <is>
          <t>CerArte · Ferremix (Grupo Alterra) · Ferretería Ochoa (8A) · InnovaCentro (La Innovación) · La Ibérica</t>
        </is>
      </c>
      <c r="AF1261" s="4" t="inlineStr">
        <is>
          <t>Luz: led</t>
        </is>
      </c>
    </row>
    <row r="1262">
      <c r="A1262" s="3" t="inlineStr">
        <is>
          <t>MAT-26-008</t>
        </is>
      </c>
      <c r="B1262" s="3" t="inlineStr">
        <is>
          <t>Materiales</t>
        </is>
      </c>
      <c r="C1262" s="3" t="inlineStr">
        <is>
          <t>Muebles y espejos de baño</t>
        </is>
      </c>
      <c r="D1262" s="4" t="inlineStr">
        <is>
          <t>Cabina o panel de ducha</t>
        </is>
      </c>
      <c r="E1262" s="4" t="inlineStr"/>
      <c r="F1262" s="3" t="inlineStr">
        <is>
          <t>unidad</t>
        </is>
      </c>
      <c r="G1262" s="3" t="inlineStr">
        <is>
          <t>Terminación de superficies</t>
        </is>
      </c>
      <c r="H1262" s="3" t="inlineStr">
        <is>
          <t>estandar</t>
        </is>
      </c>
      <c r="I1262" s="3" t="inlineStr">
        <is>
          <t>importado</t>
        </is>
      </c>
      <c r="J1262" s="5" t="n">
        <v>3</v>
      </c>
      <c r="K1262" s="6" t="n">
        <v>6079</v>
      </c>
      <c r="L1262" s="6" t="n">
        <v>3118.5</v>
      </c>
      <c r="M1262" s="6" t="n">
        <v>18914.37</v>
      </c>
      <c r="N1262" s="3" t="inlineStr">
        <is>
          <t>Sí</t>
        </is>
      </c>
      <c r="O1262" s="6">
        <f>IF(K1262="","",IF(N1262="Sí",ROUND(K1262/1.18,2),K1262))</f>
        <v/>
      </c>
      <c r="P1262" s="3" t="inlineStr">
        <is>
          <t>2026-09-10</t>
        </is>
      </c>
      <c r="Q1262" s="4" t="inlineStr">
        <is>
          <t>CerArte · InnovaCentro (La Innovación) · La Ibérica</t>
        </is>
      </c>
    </row>
    <row r="1263">
      <c r="A1263" s="3" t="inlineStr">
        <is>
          <t>MAT-26-009</t>
        </is>
      </c>
      <c r="B1263" s="3" t="inlineStr">
        <is>
          <t>Materiales</t>
        </is>
      </c>
      <c r="C1263" s="3" t="inlineStr">
        <is>
          <t>Muebles y espejos de baño</t>
        </is>
      </c>
      <c r="D1263" s="4" t="inlineStr">
        <is>
          <t>Bañera</t>
        </is>
      </c>
      <c r="E1263" s="4" t="inlineStr"/>
      <c r="F1263" s="3" t="inlineStr">
        <is>
          <t>unidad</t>
        </is>
      </c>
      <c r="G1263" s="3" t="inlineStr">
        <is>
          <t>Terminación de superficies</t>
        </is>
      </c>
      <c r="H1263" s="3" t="inlineStr">
        <is>
          <t>estandar</t>
        </is>
      </c>
      <c r="I1263" s="3" t="inlineStr">
        <is>
          <t>importado</t>
        </is>
      </c>
      <c r="J1263" s="5" t="n">
        <v>3</v>
      </c>
      <c r="K1263" s="6" t="n">
        <v>97909.59</v>
      </c>
      <c r="L1263" s="6" t="n">
        <v>9469</v>
      </c>
      <c r="M1263" s="6" t="n">
        <v>430700</v>
      </c>
      <c r="N1263" s="3" t="inlineStr">
        <is>
          <t>Sí</t>
        </is>
      </c>
      <c r="O1263" s="6">
        <f>IF(K1263="","",IF(N1263="Sí",ROUND(K1263/1.18,2),K1263))</f>
        <v/>
      </c>
      <c r="P1263" s="3" t="inlineStr">
        <is>
          <t>2026-09-10</t>
        </is>
      </c>
      <c r="Q1263" s="4" t="inlineStr">
        <is>
          <t>Bellón · CerArte · La Ibérica</t>
        </is>
      </c>
    </row>
    <row r="1264">
      <c r="A1264" s="3" t="inlineStr">
        <is>
          <t>MAT-26-010</t>
        </is>
      </c>
      <c r="B1264" s="3" t="inlineStr">
        <is>
          <t>Materiales</t>
        </is>
      </c>
      <c r="C1264" s="3" t="inlineStr">
        <is>
          <t>Muebles y espejos de baño</t>
        </is>
      </c>
      <c r="D1264" s="4" t="inlineStr">
        <is>
          <t>Plato de ducha</t>
        </is>
      </c>
      <c r="E1264" s="4" t="inlineStr"/>
      <c r="F1264" s="3" t="inlineStr">
        <is>
          <t>unidad</t>
        </is>
      </c>
      <c r="G1264" s="3" t="inlineStr">
        <is>
          <t>Terminación de superficies</t>
        </is>
      </c>
      <c r="H1264" s="3" t="inlineStr">
        <is>
          <t>estandar</t>
        </is>
      </c>
      <c r="I1264" s="3" t="inlineStr">
        <is>
          <t>importado</t>
        </is>
      </c>
      <c r="J1264" s="5" t="n">
        <v>2</v>
      </c>
      <c r="K1264" s="6" t="n">
        <v>19278.36</v>
      </c>
      <c r="L1264" s="6" t="n">
        <v>14999.99</v>
      </c>
      <c r="M1264" s="6" t="n">
        <v>29990</v>
      </c>
      <c r="N1264" s="3" t="inlineStr">
        <is>
          <t>Sí</t>
        </is>
      </c>
      <c r="O1264" s="6">
        <f>IF(K1264="","",IF(N1264="Sí",ROUND(K1264/1.18,2),K1264))</f>
        <v/>
      </c>
      <c r="P1264" s="3" t="inlineStr">
        <is>
          <t>2026-09-10</t>
        </is>
      </c>
      <c r="Q1264" s="4" t="inlineStr">
        <is>
          <t>CerArte · La Ibérica</t>
        </is>
      </c>
    </row>
    <row r="1265">
      <c r="A1265" s="3" t="inlineStr">
        <is>
          <t>MAT-27-001</t>
        </is>
      </c>
      <c r="B1265" s="3" t="inlineStr">
        <is>
          <t>Materiales</t>
        </is>
      </c>
      <c r="C1265" s="3" t="inlineStr">
        <is>
          <t>Accesorios de baño</t>
        </is>
      </c>
      <c r="D1265" s="4" t="inlineStr">
        <is>
          <t>Barra de seguridad, abatible, 20 cm</t>
        </is>
      </c>
      <c r="E1265" s="4" t="inlineStr"/>
      <c r="F1265" s="3" t="inlineStr">
        <is>
          <t>unidad</t>
        </is>
      </c>
      <c r="G1265" s="3" t="inlineStr">
        <is>
          <t>Terminación de superficies</t>
        </is>
      </c>
      <c r="H1265" s="3" t="inlineStr">
        <is>
          <t>estandar</t>
        </is>
      </c>
      <c r="I1265" s="3" t="inlineStr">
        <is>
          <t>importado</t>
        </is>
      </c>
      <c r="J1265" s="5" t="n">
        <v>1</v>
      </c>
      <c r="K1265" s="6" t="n">
        <v>2439</v>
      </c>
      <c r="L1265" s="6" t="n">
        <v>2439</v>
      </c>
      <c r="M1265" s="6" t="n">
        <v>2439</v>
      </c>
      <c r="N1265" s="3" t="inlineStr">
        <is>
          <t>Sí</t>
        </is>
      </c>
      <c r="O1265" s="6">
        <f>IF(K1265="","",IF(N1265="Sí",ROUND(K1265/1.18,2),K1265))</f>
        <v/>
      </c>
      <c r="P1265" s="3" t="inlineStr">
        <is>
          <t>2026-09-09</t>
        </is>
      </c>
      <c r="Q1265" s="4" t="inlineStr">
        <is>
          <t>InnovaCentro (La Innovación)</t>
        </is>
      </c>
      <c r="R1265" s="7" t="inlineStr">
        <is>
          <t>abatible</t>
        </is>
      </c>
      <c r="U1265" s="7" t="n">
        <v>20</v>
      </c>
    </row>
    <row r="1266">
      <c r="A1266" s="3" t="inlineStr">
        <is>
          <t>MAT-27-002</t>
        </is>
      </c>
      <c r="B1266" s="3" t="inlineStr">
        <is>
          <t>Materiales</t>
        </is>
      </c>
      <c r="C1266" s="3" t="inlineStr">
        <is>
          <t>Accesorios de baño</t>
        </is>
      </c>
      <c r="D1266" s="4" t="inlineStr">
        <is>
          <t>Barra de seguridad, curva</t>
        </is>
      </c>
      <c r="E1266" s="4" t="inlineStr"/>
      <c r="F1266" s="3" t="inlineStr">
        <is>
          <t>unidad</t>
        </is>
      </c>
      <c r="G1266" s="3" t="inlineStr">
        <is>
          <t>Terminación de superficies</t>
        </is>
      </c>
      <c r="H1266" s="3" t="inlineStr">
        <is>
          <t>estandar</t>
        </is>
      </c>
      <c r="I1266" s="3" t="inlineStr">
        <is>
          <t>importado</t>
        </is>
      </c>
      <c r="J1266" s="5" t="n">
        <v>1</v>
      </c>
      <c r="K1266" s="6" t="n">
        <v>1416.67</v>
      </c>
      <c r="L1266" s="6" t="n">
        <v>1416.67</v>
      </c>
      <c r="M1266" s="6" t="n">
        <v>1416.67</v>
      </c>
      <c r="N1266" s="3" t="inlineStr">
        <is>
          <t>Sí</t>
        </is>
      </c>
      <c r="O1266" s="6">
        <f>IF(K1266="","",IF(N1266="Sí",ROUND(K1266/1.18,2),K1266))</f>
        <v/>
      </c>
      <c r="P1266" s="3" t="inlineStr">
        <is>
          <t>2026-09-09</t>
        </is>
      </c>
      <c r="Q1266" s="4" t="inlineStr">
        <is>
          <t>Ferretería Ochoa (8A)</t>
        </is>
      </c>
      <c r="R1266" s="7" t="inlineStr">
        <is>
          <t>curva</t>
        </is>
      </c>
    </row>
    <row r="1267">
      <c r="A1267" s="3" t="inlineStr">
        <is>
          <t>MAT-27-003</t>
        </is>
      </c>
      <c r="B1267" s="3" t="inlineStr">
        <is>
          <t>Materiales</t>
        </is>
      </c>
      <c r="C1267" s="3" t="inlineStr">
        <is>
          <t>Accesorios de baño</t>
        </is>
      </c>
      <c r="D1267" s="4" t="inlineStr">
        <is>
          <t>Barra de seguridad, en L, 30 cm</t>
        </is>
      </c>
      <c r="E1267" s="4" t="inlineStr"/>
      <c r="F1267" s="3" t="inlineStr">
        <is>
          <t>unidad</t>
        </is>
      </c>
      <c r="G1267" s="3" t="inlineStr">
        <is>
          <t>Terminación de superficies</t>
        </is>
      </c>
      <c r="H1267" s="3" t="inlineStr">
        <is>
          <t>estandar</t>
        </is>
      </c>
      <c r="I1267" s="3" t="inlineStr">
        <is>
          <t>importado</t>
        </is>
      </c>
      <c r="J1267" s="5" t="n">
        <v>1</v>
      </c>
      <c r="K1267" s="6" t="n">
        <v>1200</v>
      </c>
      <c r="L1267" s="6" t="n">
        <v>1200</v>
      </c>
      <c r="M1267" s="6" t="n">
        <v>1200</v>
      </c>
      <c r="N1267" s="3" t="inlineStr">
        <is>
          <t>Sí</t>
        </is>
      </c>
      <c r="O1267" s="6">
        <f>IF(K1267="","",IF(N1267="Sí",ROUND(K1267/1.18,2),K1267))</f>
        <v/>
      </c>
      <c r="P1267" s="3" t="inlineStr">
        <is>
          <t>2026-09-09</t>
        </is>
      </c>
      <c r="Q1267" s="4" t="inlineStr">
        <is>
          <t>InnovaCentro (La Innovación)</t>
        </is>
      </c>
      <c r="R1267" s="7" t="inlineStr">
        <is>
          <t>en L</t>
        </is>
      </c>
      <c r="U1267" s="7" t="n">
        <v>30</v>
      </c>
    </row>
    <row r="1268">
      <c r="A1268" s="3" t="inlineStr">
        <is>
          <t>MAT-27-004</t>
        </is>
      </c>
      <c r="B1268" s="3" t="inlineStr">
        <is>
          <t>Materiales</t>
        </is>
      </c>
      <c r="C1268" s="3" t="inlineStr">
        <is>
          <t>Accesorios de baño</t>
        </is>
      </c>
      <c r="D1268" s="4" t="inlineStr">
        <is>
          <t>Barra de seguridad, en L, 45 cm</t>
        </is>
      </c>
      <c r="E1268" s="4" t="inlineStr"/>
      <c r="F1268" s="3" t="inlineStr">
        <is>
          <t>unidad</t>
        </is>
      </c>
      <c r="G1268" s="3" t="inlineStr">
        <is>
          <t>Terminación de superficies</t>
        </is>
      </c>
      <c r="H1268" s="3" t="inlineStr">
        <is>
          <t>estandar</t>
        </is>
      </c>
      <c r="I1268" s="3" t="inlineStr">
        <is>
          <t>importado</t>
        </is>
      </c>
      <c r="J1268" s="5" t="n">
        <v>1</v>
      </c>
      <c r="K1268" s="6" t="n">
        <v>925</v>
      </c>
      <c r="L1268" s="6" t="n">
        <v>925</v>
      </c>
      <c r="M1268" s="6" t="n">
        <v>925</v>
      </c>
      <c r="N1268" s="3" t="inlineStr">
        <is>
          <t>Sí</t>
        </is>
      </c>
      <c r="O1268" s="6">
        <f>IF(K1268="","",IF(N1268="Sí",ROUND(K1268/1.18,2),K1268))</f>
        <v/>
      </c>
      <c r="P1268" s="3" t="inlineStr">
        <is>
          <t>2026-09-09</t>
        </is>
      </c>
      <c r="Q1268" s="4" t="inlineStr">
        <is>
          <t>InnovaCentro (La Innovación)</t>
        </is>
      </c>
      <c r="R1268" s="7" t="inlineStr">
        <is>
          <t>en L</t>
        </is>
      </c>
      <c r="U1268" s="7" t="n">
        <v>45</v>
      </c>
    </row>
    <row r="1269">
      <c r="A1269" s="3" t="inlineStr">
        <is>
          <t>MAT-27-005</t>
        </is>
      </c>
      <c r="B1269" s="3" t="inlineStr">
        <is>
          <t>Materiales</t>
        </is>
      </c>
      <c r="C1269" s="3" t="inlineStr">
        <is>
          <t>Accesorios de baño</t>
        </is>
      </c>
      <c r="D1269" s="4" t="inlineStr">
        <is>
          <t>Barra de seguridad, en L, 55 cm</t>
        </is>
      </c>
      <c r="E1269" s="4" t="inlineStr"/>
      <c r="F1269" s="3" t="inlineStr">
        <is>
          <t>unidad</t>
        </is>
      </c>
      <c r="G1269" s="3" t="inlineStr">
        <is>
          <t>Terminación de superficies</t>
        </is>
      </c>
      <c r="H1269" s="3" t="inlineStr">
        <is>
          <t>estandar</t>
        </is>
      </c>
      <c r="I1269" s="3" t="inlineStr">
        <is>
          <t>importado</t>
        </is>
      </c>
      <c r="J1269" s="5" t="n">
        <v>1</v>
      </c>
      <c r="K1269" s="6" t="n">
        <v>2619</v>
      </c>
      <c r="L1269" s="6" t="n">
        <v>2619</v>
      </c>
      <c r="M1269" s="6" t="n">
        <v>2619</v>
      </c>
      <c r="N1269" s="3" t="inlineStr">
        <is>
          <t>Sí</t>
        </is>
      </c>
      <c r="O1269" s="6">
        <f>IF(K1269="","",IF(N1269="Sí",ROUND(K1269/1.18,2),K1269))</f>
        <v/>
      </c>
      <c r="P1269" s="3" t="inlineStr">
        <is>
          <t>2026-09-09</t>
        </is>
      </c>
      <c r="Q1269" s="4" t="inlineStr">
        <is>
          <t>InnovaCentro (La Innovación)</t>
        </is>
      </c>
      <c r="R1269" s="7" t="inlineStr">
        <is>
          <t>en L</t>
        </is>
      </c>
      <c r="U1269" s="7" t="n">
        <v>55</v>
      </c>
    </row>
    <row r="1270">
      <c r="A1270" s="3" t="inlineStr">
        <is>
          <t>MAT-27-006</t>
        </is>
      </c>
      <c r="B1270" s="3" t="inlineStr">
        <is>
          <t>Materiales</t>
        </is>
      </c>
      <c r="C1270" s="3" t="inlineStr">
        <is>
          <t>Accesorios de baño</t>
        </is>
      </c>
      <c r="D1270" s="4" t="inlineStr">
        <is>
          <t>Barra de seguridad, en L, 75 cm</t>
        </is>
      </c>
      <c r="E1270" s="4" t="inlineStr"/>
      <c r="F1270" s="3" t="inlineStr">
        <is>
          <t>unidad</t>
        </is>
      </c>
      <c r="G1270" s="3" t="inlineStr">
        <is>
          <t>Terminación de superficies</t>
        </is>
      </c>
      <c r="H1270" s="3" t="inlineStr">
        <is>
          <t>estandar</t>
        </is>
      </c>
      <c r="I1270" s="3" t="inlineStr">
        <is>
          <t>importado</t>
        </is>
      </c>
      <c r="J1270" s="5" t="n">
        <v>2</v>
      </c>
      <c r="K1270" s="6" t="n">
        <v>6294</v>
      </c>
      <c r="L1270" s="6" t="n">
        <v>5648.35</v>
      </c>
      <c r="M1270" s="6" t="n">
        <v>6294</v>
      </c>
      <c r="N1270" s="3" t="inlineStr">
        <is>
          <t>Sí</t>
        </is>
      </c>
      <c r="O1270" s="6">
        <f>IF(K1270="","",IF(N1270="Sí",ROUND(K1270/1.18,2),K1270))</f>
        <v/>
      </c>
      <c r="P1270" s="3" t="inlineStr">
        <is>
          <t>2026-09-10</t>
        </is>
      </c>
      <c r="Q1270" s="4" t="inlineStr">
        <is>
          <t>CerArte · InnovaCentro (La Innovación)</t>
        </is>
      </c>
      <c r="R1270" s="7" t="inlineStr">
        <is>
          <t>en L</t>
        </is>
      </c>
      <c r="U1270" s="7" t="n">
        <v>75</v>
      </c>
    </row>
    <row r="1271">
      <c r="A1271" s="3" t="inlineStr">
        <is>
          <t>MAT-27-007</t>
        </is>
      </c>
      <c r="B1271" s="3" t="inlineStr">
        <is>
          <t>Materiales</t>
        </is>
      </c>
      <c r="C1271" s="3" t="inlineStr">
        <is>
          <t>Accesorios de baño</t>
        </is>
      </c>
      <c r="D1271" s="4" t="inlineStr">
        <is>
          <t>Barra de seguridad, recta</t>
        </is>
      </c>
      <c r="E1271" s="4" t="inlineStr"/>
      <c r="F1271" s="3" t="inlineStr">
        <is>
          <t>unidad</t>
        </is>
      </c>
      <c r="G1271" s="3" t="inlineStr">
        <is>
          <t>Terminación de superficies</t>
        </is>
      </c>
      <c r="H1271" s="3" t="inlineStr">
        <is>
          <t>estandar</t>
        </is>
      </c>
      <c r="I1271" s="3" t="inlineStr">
        <is>
          <t>importado</t>
        </is>
      </c>
      <c r="J1271" s="5" t="n">
        <v>2</v>
      </c>
      <c r="K1271" s="6" t="n">
        <v>1940</v>
      </c>
      <c r="L1271" s="6" t="n">
        <v>1615</v>
      </c>
      <c r="M1271" s="6" t="n">
        <v>7495.91</v>
      </c>
      <c r="N1271" s="3" t="inlineStr">
        <is>
          <t>Sí</t>
        </is>
      </c>
      <c r="O1271" s="6">
        <f>IF(K1271="","",IF(N1271="Sí",ROUND(K1271/1.18,2),K1271))</f>
        <v/>
      </c>
      <c r="P1271" s="3" t="inlineStr">
        <is>
          <t>2026-09-10</t>
        </is>
      </c>
      <c r="Q1271" s="4" t="inlineStr">
        <is>
          <t>Ferremix (Grupo Alterra) · Ferretería Ochoa (8A)</t>
        </is>
      </c>
      <c r="R1271" s="7" t="inlineStr">
        <is>
          <t>recta</t>
        </is>
      </c>
    </row>
    <row r="1272">
      <c r="A1272" s="3" t="inlineStr">
        <is>
          <t>MAT-27-008</t>
        </is>
      </c>
      <c r="B1272" s="3" t="inlineStr">
        <is>
          <t>Materiales</t>
        </is>
      </c>
      <c r="C1272" s="3" t="inlineStr">
        <is>
          <t>Accesorios de baño</t>
        </is>
      </c>
      <c r="D1272" s="4" t="inlineStr">
        <is>
          <t>Barra de seguridad, recta, 105 cm</t>
        </is>
      </c>
      <c r="E1272" s="4" t="inlineStr"/>
      <c r="F1272" s="3" t="inlineStr">
        <is>
          <t>unidad</t>
        </is>
      </c>
      <c r="G1272" s="3" t="inlineStr">
        <is>
          <t>Terminación de superficies</t>
        </is>
      </c>
      <c r="H1272" s="3" t="inlineStr">
        <is>
          <t>estandar</t>
        </is>
      </c>
      <c r="I1272" s="3" t="inlineStr">
        <is>
          <t>importado</t>
        </is>
      </c>
      <c r="J1272" s="5" t="n">
        <v>1</v>
      </c>
      <c r="K1272" s="6" t="n">
        <v>2750</v>
      </c>
      <c r="L1272" s="6" t="n">
        <v>2750</v>
      </c>
      <c r="M1272" s="6" t="n">
        <v>2750</v>
      </c>
      <c r="N1272" s="3" t="inlineStr">
        <is>
          <t>Sí</t>
        </is>
      </c>
      <c r="O1272" s="6">
        <f>IF(K1272="","",IF(N1272="Sí",ROUND(K1272/1.18,2),K1272))</f>
        <v/>
      </c>
      <c r="P1272" s="3" t="inlineStr">
        <is>
          <t>2026-09-09</t>
        </is>
      </c>
      <c r="Q1272" s="4" t="inlineStr">
        <is>
          <t>InnovaCentro (La Innovación)</t>
        </is>
      </c>
      <c r="R1272" s="7" t="inlineStr">
        <is>
          <t>recta</t>
        </is>
      </c>
      <c r="U1272" s="7" t="n">
        <v>105</v>
      </c>
    </row>
    <row r="1273">
      <c r="A1273" s="3" t="inlineStr">
        <is>
          <t>MAT-27-009</t>
        </is>
      </c>
      <c r="B1273" s="3" t="inlineStr">
        <is>
          <t>Materiales</t>
        </is>
      </c>
      <c r="C1273" s="3" t="inlineStr">
        <is>
          <t>Accesorios de baño</t>
        </is>
      </c>
      <c r="D1273" s="4" t="inlineStr">
        <is>
          <t>Barra de seguridad, recta, 120 cm</t>
        </is>
      </c>
      <c r="E1273" s="4" t="inlineStr"/>
      <c r="F1273" s="3" t="inlineStr">
        <is>
          <t>unidad</t>
        </is>
      </c>
      <c r="G1273" s="3" t="inlineStr">
        <is>
          <t>Terminación de superficies</t>
        </is>
      </c>
      <c r="H1273" s="3" t="inlineStr">
        <is>
          <t>estandar</t>
        </is>
      </c>
      <c r="I1273" s="3" t="inlineStr">
        <is>
          <t>importado</t>
        </is>
      </c>
      <c r="J1273" s="5" t="n">
        <v>1</v>
      </c>
      <c r="K1273" s="6" t="n">
        <v>3092</v>
      </c>
      <c r="L1273" s="6" t="n">
        <v>3092</v>
      </c>
      <c r="M1273" s="6" t="n">
        <v>3092</v>
      </c>
      <c r="N1273" s="3" t="inlineStr">
        <is>
          <t>Sí</t>
        </is>
      </c>
      <c r="O1273" s="6">
        <f>IF(K1273="","",IF(N1273="Sí",ROUND(K1273/1.18,2),K1273))</f>
        <v/>
      </c>
      <c r="P1273" s="3" t="inlineStr">
        <is>
          <t>2026-09-09</t>
        </is>
      </c>
      <c r="Q1273" s="4" t="inlineStr">
        <is>
          <t>InnovaCentro (La Innovación)</t>
        </is>
      </c>
      <c r="R1273" s="7" t="inlineStr">
        <is>
          <t>recta</t>
        </is>
      </c>
      <c r="U1273" s="7" t="n">
        <v>120</v>
      </c>
    </row>
    <row r="1274">
      <c r="A1274" s="3" t="inlineStr">
        <is>
          <t>MAT-27-010</t>
        </is>
      </c>
      <c r="B1274" s="3" t="inlineStr">
        <is>
          <t>Materiales</t>
        </is>
      </c>
      <c r="C1274" s="3" t="inlineStr">
        <is>
          <t>Accesorios de baño</t>
        </is>
      </c>
      <c r="D1274" s="4" t="inlineStr">
        <is>
          <t>Barra de seguridad, recta, 30 cm</t>
        </is>
      </c>
      <c r="E1274" s="4" t="inlineStr"/>
      <c r="F1274" s="3" t="inlineStr">
        <is>
          <t>unidad</t>
        </is>
      </c>
      <c r="G1274" s="3" t="inlineStr">
        <is>
          <t>Terminación de superficies</t>
        </is>
      </c>
      <c r="H1274" s="3" t="inlineStr">
        <is>
          <t>estandar</t>
        </is>
      </c>
      <c r="I1274" s="3" t="inlineStr">
        <is>
          <t>importado</t>
        </is>
      </c>
      <c r="J1274" s="5" t="n">
        <v>3</v>
      </c>
      <c r="K1274" s="6" t="n">
        <v>1805.4</v>
      </c>
      <c r="L1274" s="6" t="n">
        <v>1200</v>
      </c>
      <c r="M1274" s="6" t="n">
        <v>3007.09</v>
      </c>
      <c r="N1274" s="3" t="inlineStr">
        <is>
          <t>Sí</t>
        </is>
      </c>
      <c r="O1274" s="6">
        <f>IF(K1274="","",IF(N1274="Sí",ROUND(K1274/1.18,2),K1274))</f>
        <v/>
      </c>
      <c r="P1274" s="3" t="inlineStr">
        <is>
          <t>2026-09-10</t>
        </is>
      </c>
      <c r="Q1274" s="4" t="inlineStr">
        <is>
          <t>CerArte · Ferretería Ochoa (8A) · InnovaCentro (La Innovación)</t>
        </is>
      </c>
      <c r="R1274" s="7" t="inlineStr">
        <is>
          <t>recta</t>
        </is>
      </c>
      <c r="U1274" s="7" t="n">
        <v>30</v>
      </c>
    </row>
    <row r="1275">
      <c r="A1275" s="3" t="inlineStr">
        <is>
          <t>MAT-27-011</t>
        </is>
      </c>
      <c r="B1275" s="3" t="inlineStr">
        <is>
          <t>Materiales</t>
        </is>
      </c>
      <c r="C1275" s="3" t="inlineStr">
        <is>
          <t>Accesorios de baño</t>
        </is>
      </c>
      <c r="D1275" s="4" t="inlineStr">
        <is>
          <t>Barra de seguridad, recta, 40 cm</t>
        </is>
      </c>
      <c r="E1275" s="4" t="inlineStr"/>
      <c r="F1275" s="3" t="inlineStr">
        <is>
          <t>unidad</t>
        </is>
      </c>
      <c r="G1275" s="3" t="inlineStr">
        <is>
          <t>Terminación de superficies</t>
        </is>
      </c>
      <c r="H1275" s="3" t="inlineStr">
        <is>
          <t>estandar</t>
        </is>
      </c>
      <c r="I1275" s="3" t="inlineStr">
        <is>
          <t>importado</t>
        </is>
      </c>
      <c r="J1275" s="5" t="n">
        <v>2</v>
      </c>
      <c r="K1275" s="6" t="n">
        <v>925.98</v>
      </c>
      <c r="L1275" s="6" t="n">
        <v>675</v>
      </c>
      <c r="M1275" s="6" t="n">
        <v>1176.96</v>
      </c>
      <c r="N1275" s="3" t="inlineStr">
        <is>
          <t>Sí</t>
        </is>
      </c>
      <c r="O1275" s="6">
        <f>IF(K1275="","",IF(N1275="Sí",ROUND(K1275/1.18,2),K1275))</f>
        <v/>
      </c>
      <c r="P1275" s="3" t="inlineStr">
        <is>
          <t>2026-09-09</t>
        </is>
      </c>
      <c r="Q1275" s="4" t="inlineStr">
        <is>
          <t>Ferretería Ochoa (8A) · InnovaCentro (La Innovación)</t>
        </is>
      </c>
      <c r="R1275" s="7" t="inlineStr">
        <is>
          <t>recta</t>
        </is>
      </c>
      <c r="U1275" s="7" t="n">
        <v>40</v>
      </c>
    </row>
    <row r="1276">
      <c r="A1276" s="3" t="inlineStr">
        <is>
          <t>MAT-27-012</t>
        </is>
      </c>
      <c r="B1276" s="3" t="inlineStr">
        <is>
          <t>Materiales</t>
        </is>
      </c>
      <c r="C1276" s="3" t="inlineStr">
        <is>
          <t>Accesorios de baño</t>
        </is>
      </c>
      <c r="D1276" s="4" t="inlineStr">
        <is>
          <t>Barra de seguridad, recta, 45 cm</t>
        </is>
      </c>
      <c r="E1276" s="4" t="inlineStr"/>
      <c r="F1276" s="3" t="inlineStr">
        <is>
          <t>unidad</t>
        </is>
      </c>
      <c r="G1276" s="3" t="inlineStr">
        <is>
          <t>Terminación de superficies</t>
        </is>
      </c>
      <c r="H1276" s="3" t="inlineStr">
        <is>
          <t>estandar</t>
        </is>
      </c>
      <c r="I1276" s="3" t="inlineStr">
        <is>
          <t>importado</t>
        </is>
      </c>
      <c r="J1276" s="5" t="n">
        <v>1</v>
      </c>
      <c r="K1276" s="6" t="n">
        <v>1665</v>
      </c>
      <c r="L1276" s="6" t="n">
        <v>1595</v>
      </c>
      <c r="M1276" s="6" t="n">
        <v>1735</v>
      </c>
      <c r="N1276" s="3" t="inlineStr">
        <is>
          <t>Sí</t>
        </is>
      </c>
      <c r="O1276" s="6">
        <f>IF(K1276="","",IF(N1276="Sí",ROUND(K1276/1.18,2),K1276))</f>
        <v/>
      </c>
      <c r="P1276" s="3" t="inlineStr">
        <is>
          <t>2026-09-09</t>
        </is>
      </c>
      <c r="Q1276" s="4" t="inlineStr">
        <is>
          <t>InnovaCentro (La Innovación)</t>
        </is>
      </c>
      <c r="R1276" s="7" t="inlineStr">
        <is>
          <t>recta</t>
        </is>
      </c>
      <c r="U1276" s="7" t="n">
        <v>45</v>
      </c>
    </row>
    <row r="1277">
      <c r="A1277" s="3" t="inlineStr">
        <is>
          <t>MAT-27-013</t>
        </is>
      </c>
      <c r="B1277" s="3" t="inlineStr">
        <is>
          <t>Materiales</t>
        </is>
      </c>
      <c r="C1277" s="3" t="inlineStr">
        <is>
          <t>Accesorios de baño</t>
        </is>
      </c>
      <c r="D1277" s="4" t="inlineStr">
        <is>
          <t>Barra de seguridad, recta, 50 cm</t>
        </is>
      </c>
      <c r="E1277" s="4" t="inlineStr"/>
      <c r="F1277" s="3" t="inlineStr">
        <is>
          <t>unidad</t>
        </is>
      </c>
      <c r="G1277" s="3" t="inlineStr">
        <is>
          <t>Terminación de superficies</t>
        </is>
      </c>
      <c r="H1277" s="3" t="inlineStr">
        <is>
          <t>estandar</t>
        </is>
      </c>
      <c r="I1277" s="3" t="inlineStr">
        <is>
          <t>importado</t>
        </is>
      </c>
      <c r="J1277" s="5" t="n">
        <v>2</v>
      </c>
      <c r="K1277" s="6" t="n">
        <v>1195</v>
      </c>
      <c r="L1277" s="6" t="n">
        <v>745</v>
      </c>
      <c r="M1277" s="6" t="n">
        <v>1522.47</v>
      </c>
      <c r="N1277" s="3" t="inlineStr">
        <is>
          <t>Sí</t>
        </is>
      </c>
      <c r="O1277" s="6">
        <f>IF(K1277="","",IF(N1277="Sí",ROUND(K1277/1.18,2),K1277))</f>
        <v/>
      </c>
      <c r="P1277" s="3" t="inlineStr">
        <is>
          <t>2026-09-09</t>
        </is>
      </c>
      <c r="Q1277" s="4" t="inlineStr">
        <is>
          <t>Ferretería Ochoa (8A) · InnovaCentro (La Innovación)</t>
        </is>
      </c>
      <c r="R1277" s="7" t="inlineStr">
        <is>
          <t>recta</t>
        </is>
      </c>
      <c r="U1277" s="7" t="n">
        <v>50</v>
      </c>
    </row>
    <row r="1278">
      <c r="A1278" s="3" t="inlineStr">
        <is>
          <t>MAT-27-014</t>
        </is>
      </c>
      <c r="B1278" s="3" t="inlineStr">
        <is>
          <t>Materiales</t>
        </is>
      </c>
      <c r="C1278" s="3" t="inlineStr">
        <is>
          <t>Accesorios de baño</t>
        </is>
      </c>
      <c r="D1278" s="4" t="inlineStr">
        <is>
          <t>Barra de seguridad, recta, 60 cm</t>
        </is>
      </c>
      <c r="E1278" s="4" t="inlineStr"/>
      <c r="F1278" s="3" t="inlineStr">
        <is>
          <t>unidad</t>
        </is>
      </c>
      <c r="G1278" s="3" t="inlineStr">
        <is>
          <t>Terminación de superficies</t>
        </is>
      </c>
      <c r="H1278" s="3" t="inlineStr">
        <is>
          <t>estandar</t>
        </is>
      </c>
      <c r="I1278" s="3" t="inlineStr">
        <is>
          <t>importado</t>
        </is>
      </c>
      <c r="J1278" s="5" t="n">
        <v>2</v>
      </c>
      <c r="K1278" s="6" t="n">
        <v>1995</v>
      </c>
      <c r="L1278" s="6" t="n">
        <v>1869</v>
      </c>
      <c r="M1278" s="6" t="n">
        <v>3297.37</v>
      </c>
      <c r="N1278" s="3" t="inlineStr">
        <is>
          <t>Sí</t>
        </is>
      </c>
      <c r="O1278" s="6">
        <f>IF(K1278="","",IF(N1278="Sí",ROUND(K1278/1.18,2),K1278))</f>
        <v/>
      </c>
      <c r="P1278" s="3" t="inlineStr">
        <is>
          <t>2026-09-09</t>
        </is>
      </c>
      <c r="Q1278" s="4" t="inlineStr">
        <is>
          <t>Ferretería Ochoa (8A) · InnovaCentro (La Innovación)</t>
        </is>
      </c>
      <c r="R1278" s="7" t="inlineStr">
        <is>
          <t>recta</t>
        </is>
      </c>
      <c r="U1278" s="7" t="n">
        <v>60</v>
      </c>
    </row>
    <row r="1279">
      <c r="A1279" s="3" t="inlineStr">
        <is>
          <t>MAT-27-015</t>
        </is>
      </c>
      <c r="B1279" s="3" t="inlineStr">
        <is>
          <t>Materiales</t>
        </is>
      </c>
      <c r="C1279" s="3" t="inlineStr">
        <is>
          <t>Accesorios de baño</t>
        </is>
      </c>
      <c r="D1279" s="4" t="inlineStr">
        <is>
          <t>Barra de seguridad, recta, 70 cm</t>
        </is>
      </c>
      <c r="E1279" s="4" t="inlineStr"/>
      <c r="F1279" s="3" t="inlineStr">
        <is>
          <t>unidad</t>
        </is>
      </c>
      <c r="G1279" s="3" t="inlineStr">
        <is>
          <t>Terminación de superficies</t>
        </is>
      </c>
      <c r="H1279" s="3" t="inlineStr">
        <is>
          <t>estandar</t>
        </is>
      </c>
      <c r="I1279" s="3" t="inlineStr">
        <is>
          <t>importado</t>
        </is>
      </c>
      <c r="J1279" s="5" t="n">
        <v>2</v>
      </c>
      <c r="K1279" s="6" t="n">
        <v>3983.41</v>
      </c>
      <c r="L1279" s="6" t="n">
        <v>3271.81</v>
      </c>
      <c r="M1279" s="6" t="n">
        <v>4695</v>
      </c>
      <c r="N1279" s="3" t="inlineStr">
        <is>
          <t>Sí</t>
        </is>
      </c>
      <c r="O1279" s="6">
        <f>IF(K1279="","",IF(N1279="Sí",ROUND(K1279/1.18,2),K1279))</f>
        <v/>
      </c>
      <c r="P1279" s="3" t="inlineStr">
        <is>
          <t>2026-09-09</t>
        </is>
      </c>
      <c r="Q1279" s="4" t="inlineStr">
        <is>
          <t>Ferretería Ochoa (8A) · InnovaCentro (La Innovación)</t>
        </is>
      </c>
      <c r="R1279" s="7" t="inlineStr">
        <is>
          <t>recta</t>
        </is>
      </c>
      <c r="U1279" s="7" t="n">
        <v>70</v>
      </c>
    </row>
    <row r="1280">
      <c r="A1280" s="3" t="inlineStr">
        <is>
          <t>MAT-27-016</t>
        </is>
      </c>
      <c r="B1280" s="3" t="inlineStr">
        <is>
          <t>Materiales</t>
        </is>
      </c>
      <c r="C1280" s="3" t="inlineStr">
        <is>
          <t>Accesorios de baño</t>
        </is>
      </c>
      <c r="D1280" s="4" t="inlineStr">
        <is>
          <t>Barra de seguridad, recta, 75 cm</t>
        </is>
      </c>
      <c r="E1280" s="4" t="inlineStr"/>
      <c r="F1280" s="3" t="inlineStr">
        <is>
          <t>unidad</t>
        </is>
      </c>
      <c r="G1280" s="3" t="inlineStr">
        <is>
          <t>Terminación de superficies</t>
        </is>
      </c>
      <c r="H1280" s="3" t="inlineStr">
        <is>
          <t>estandar</t>
        </is>
      </c>
      <c r="I1280" s="3" t="inlineStr">
        <is>
          <t>importado</t>
        </is>
      </c>
      <c r="J1280" s="5" t="n">
        <v>1</v>
      </c>
      <c r="K1280" s="6" t="n">
        <v>2185</v>
      </c>
      <c r="L1280" s="6" t="n">
        <v>2185</v>
      </c>
      <c r="M1280" s="6" t="n">
        <v>2185</v>
      </c>
      <c r="N1280" s="3" t="inlineStr">
        <is>
          <t>Sí</t>
        </is>
      </c>
      <c r="O1280" s="6">
        <f>IF(K1280="","",IF(N1280="Sí",ROUND(K1280/1.18,2),K1280))</f>
        <v/>
      </c>
      <c r="P1280" s="3" t="inlineStr">
        <is>
          <t>2026-09-09</t>
        </is>
      </c>
      <c r="Q1280" s="4" t="inlineStr">
        <is>
          <t>InnovaCentro (La Innovación)</t>
        </is>
      </c>
      <c r="R1280" s="7" t="inlineStr">
        <is>
          <t>recta</t>
        </is>
      </c>
      <c r="U1280" s="7" t="n">
        <v>75</v>
      </c>
    </row>
    <row r="1281">
      <c r="A1281" s="3" t="inlineStr">
        <is>
          <t>MAT-27-017</t>
        </is>
      </c>
      <c r="B1281" s="3" t="inlineStr">
        <is>
          <t>Materiales</t>
        </is>
      </c>
      <c r="C1281" s="3" t="inlineStr">
        <is>
          <t>Accesorios de baño</t>
        </is>
      </c>
      <c r="D1281" s="4" t="inlineStr">
        <is>
          <t>Barra de seguridad, recta, 90 cm</t>
        </is>
      </c>
      <c r="E1281" s="4" t="inlineStr"/>
      <c r="F1281" s="3" t="inlineStr">
        <is>
          <t>unidad</t>
        </is>
      </c>
      <c r="G1281" s="3" t="inlineStr">
        <is>
          <t>Terminación de superficies</t>
        </is>
      </c>
      <c r="H1281" s="3" t="inlineStr">
        <is>
          <t>estandar</t>
        </is>
      </c>
      <c r="I1281" s="3" t="inlineStr">
        <is>
          <t>importado</t>
        </is>
      </c>
      <c r="J1281" s="5" t="n">
        <v>2</v>
      </c>
      <c r="K1281" s="6" t="n">
        <v>2439</v>
      </c>
      <c r="L1281" s="6" t="n">
        <v>2395</v>
      </c>
      <c r="M1281" s="6" t="n">
        <v>6226.47</v>
      </c>
      <c r="N1281" s="3" t="inlineStr">
        <is>
          <t>Sí</t>
        </is>
      </c>
      <c r="O1281" s="6">
        <f>IF(K1281="","",IF(N1281="Sí",ROUND(K1281/1.18,2),K1281))</f>
        <v/>
      </c>
      <c r="P1281" s="3" t="inlineStr">
        <is>
          <t>2026-09-09</t>
        </is>
      </c>
      <c r="Q1281" s="4" t="inlineStr">
        <is>
          <t>Ferretería Ochoa (8A) · InnovaCentro (La Innovación)</t>
        </is>
      </c>
      <c r="R1281" s="7" t="inlineStr">
        <is>
          <t>recta</t>
        </is>
      </c>
      <c r="U1281" s="7" t="n">
        <v>90</v>
      </c>
    </row>
    <row r="1282">
      <c r="A1282" s="3" t="inlineStr">
        <is>
          <t>MAT-27-018</t>
        </is>
      </c>
      <c r="B1282" s="3" t="inlineStr">
        <is>
          <t>Materiales</t>
        </is>
      </c>
      <c r="C1282" s="3" t="inlineStr">
        <is>
          <t>Accesorios de baño</t>
        </is>
      </c>
      <c r="D1282" s="4" t="inlineStr">
        <is>
          <t>Juego de accesorios de baño</t>
        </is>
      </c>
      <c r="E1282" s="4" t="inlineStr"/>
      <c r="F1282" s="3" t="inlineStr">
        <is>
          <t>juego</t>
        </is>
      </c>
      <c r="G1282" s="3" t="inlineStr">
        <is>
          <t>Terminación de superficies</t>
        </is>
      </c>
      <c r="H1282" s="3" t="inlineStr">
        <is>
          <t>estandar</t>
        </is>
      </c>
      <c r="I1282" s="3" t="inlineStr">
        <is>
          <t>importado</t>
        </is>
      </c>
      <c r="J1282" s="5" t="n">
        <v>3</v>
      </c>
      <c r="K1282" s="6" t="n">
        <v>2367.36</v>
      </c>
      <c r="L1282" s="6" t="n">
        <v>345</v>
      </c>
      <c r="M1282" s="6" t="n">
        <v>6782.1</v>
      </c>
      <c r="N1282" s="3" t="inlineStr">
        <is>
          <t>Sí</t>
        </is>
      </c>
      <c r="O1282" s="6">
        <f>IF(K1282="","",IF(N1282="Sí",ROUND(K1282/1.18,2),K1282))</f>
        <v/>
      </c>
      <c r="P1282" s="3" t="inlineStr">
        <is>
          <t>2026-09-10</t>
        </is>
      </c>
      <c r="Q1282" s="4" t="inlineStr">
        <is>
          <t>CerArte · Ferremix (Grupo Alterra) · Ferretería Ochoa (8A)</t>
        </is>
      </c>
      <c r="AF1282" s="4" t="inlineStr">
        <is>
          <t>ambito: domestico</t>
        </is>
      </c>
    </row>
    <row r="1283">
      <c r="A1283" s="3" t="inlineStr">
        <is>
          <t>MAT-27-019</t>
        </is>
      </c>
      <c r="B1283" s="3" t="inlineStr">
        <is>
          <t>Materiales</t>
        </is>
      </c>
      <c r="C1283" s="3" t="inlineStr">
        <is>
          <t>Accesorios de baño</t>
        </is>
      </c>
      <c r="D1283" s="4" t="inlineStr">
        <is>
          <t>Juego de accesorios de baño, 3 piezas</t>
        </is>
      </c>
      <c r="E1283" s="4" t="inlineStr"/>
      <c r="F1283" s="3" t="inlineStr">
        <is>
          <t>juego</t>
        </is>
      </c>
      <c r="G1283" s="3" t="inlineStr">
        <is>
          <t>Terminación de superficies</t>
        </is>
      </c>
      <c r="H1283" s="3" t="inlineStr">
        <is>
          <t>estandar</t>
        </is>
      </c>
      <c r="I1283" s="3" t="inlineStr">
        <is>
          <t>importado</t>
        </is>
      </c>
      <c r="J1283" s="5" t="n">
        <v>1</v>
      </c>
      <c r="K1283" s="6" t="n">
        <v>1673.59</v>
      </c>
      <c r="L1283" s="6" t="n">
        <v>1081.92</v>
      </c>
      <c r="M1283" s="6" t="n">
        <v>1673.59</v>
      </c>
      <c r="N1283" s="3" t="inlineStr">
        <is>
          <t>Sí</t>
        </is>
      </c>
      <c r="O1283" s="6">
        <f>IF(K1283="","",IF(N1283="Sí",ROUND(K1283/1.18,2),K1283))</f>
        <v/>
      </c>
      <c r="P1283" s="3" t="inlineStr">
        <is>
          <t>2026-09-09</t>
        </is>
      </c>
      <c r="Q1283" s="4" t="inlineStr">
        <is>
          <t>Ferretería Ochoa (8A)</t>
        </is>
      </c>
      <c r="T1283" s="7" t="n">
        <v>3</v>
      </c>
      <c r="AF1283" s="4" t="inlineStr">
        <is>
          <t>ambito: domestico</t>
        </is>
      </c>
    </row>
    <row r="1284">
      <c r="A1284" s="3" t="inlineStr">
        <is>
          <t>MAT-27-020</t>
        </is>
      </c>
      <c r="B1284" s="3" t="inlineStr">
        <is>
          <t>Materiales</t>
        </is>
      </c>
      <c r="C1284" s="3" t="inlineStr">
        <is>
          <t>Accesorios de baño</t>
        </is>
      </c>
      <c r="D1284" s="4" t="inlineStr">
        <is>
          <t>Juego de accesorios de baño, 4 piezas</t>
        </is>
      </c>
      <c r="E1284" s="4" t="inlineStr"/>
      <c r="F1284" s="3" t="inlineStr">
        <is>
          <t>juego</t>
        </is>
      </c>
      <c r="G1284" s="3" t="inlineStr">
        <is>
          <t>Terminación de superficies</t>
        </is>
      </c>
      <c r="H1284" s="3" t="inlineStr">
        <is>
          <t>estandar</t>
        </is>
      </c>
      <c r="I1284" s="3" t="inlineStr">
        <is>
          <t>importado</t>
        </is>
      </c>
      <c r="J1284" s="5" t="n">
        <v>2</v>
      </c>
      <c r="K1284" s="6" t="n">
        <v>2927.39</v>
      </c>
      <c r="L1284" s="6" t="n">
        <v>1605.2</v>
      </c>
      <c r="M1284" s="6" t="n">
        <v>3995</v>
      </c>
      <c r="N1284" s="3" t="inlineStr">
        <is>
          <t>Sí</t>
        </is>
      </c>
      <c r="O1284" s="6">
        <f>IF(K1284="","",IF(N1284="Sí",ROUND(K1284/1.18,2),K1284))</f>
        <v/>
      </c>
      <c r="P1284" s="3" t="inlineStr">
        <is>
          <t>2026-09-09</t>
        </is>
      </c>
      <c r="Q1284" s="4" t="inlineStr">
        <is>
          <t>Ferretería Ochoa (8A) · InnovaCentro (La Innovación)</t>
        </is>
      </c>
      <c r="T1284" s="7" t="n">
        <v>4</v>
      </c>
      <c r="AF1284" s="4" t="inlineStr">
        <is>
          <t>ambito: domestico</t>
        </is>
      </c>
    </row>
    <row r="1285">
      <c r="A1285" s="3" t="inlineStr">
        <is>
          <t>MAT-27-021</t>
        </is>
      </c>
      <c r="B1285" s="3" t="inlineStr">
        <is>
          <t>Materiales</t>
        </is>
      </c>
      <c r="C1285" s="3" t="inlineStr">
        <is>
          <t>Accesorios de baño</t>
        </is>
      </c>
      <c r="D1285" s="4" t="inlineStr">
        <is>
          <t>Juego de accesorios de baño, 5 piezas</t>
        </is>
      </c>
      <c r="E1285" s="4" t="inlineStr"/>
      <c r="F1285" s="3" t="inlineStr">
        <is>
          <t>juego</t>
        </is>
      </c>
      <c r="G1285" s="3" t="inlineStr">
        <is>
          <t>Terminación de superficies</t>
        </is>
      </c>
      <c r="H1285" s="3" t="inlineStr">
        <is>
          <t>estandar</t>
        </is>
      </c>
      <c r="I1285" s="3" t="inlineStr">
        <is>
          <t>importado</t>
        </is>
      </c>
      <c r="J1285" s="5" t="n">
        <v>3</v>
      </c>
      <c r="K1285" s="6" t="n">
        <v>1139</v>
      </c>
      <c r="L1285" s="6" t="n">
        <v>394</v>
      </c>
      <c r="M1285" s="6" t="n">
        <v>1883</v>
      </c>
      <c r="N1285" s="3" t="inlineStr">
        <is>
          <t>Sí</t>
        </is>
      </c>
      <c r="O1285" s="6">
        <f>IF(K1285="","",IF(N1285="Sí",ROUND(K1285/1.18,2),K1285))</f>
        <v/>
      </c>
      <c r="P1285" s="3" t="inlineStr">
        <is>
          <t>2026-09-09</t>
        </is>
      </c>
      <c r="Q1285" s="4" t="inlineStr">
        <is>
          <t>Ferretería Cima · Ferretería Ochoa (8A) · InnovaCentro (La Innovación)</t>
        </is>
      </c>
      <c r="T1285" s="7" t="n">
        <v>5</v>
      </c>
      <c r="AF1285" s="4" t="inlineStr">
        <is>
          <t>ambito: domestico</t>
        </is>
      </c>
    </row>
    <row r="1286">
      <c r="A1286" s="3" t="inlineStr">
        <is>
          <t>MAT-27-022</t>
        </is>
      </c>
      <c r="B1286" s="3" t="inlineStr">
        <is>
          <t>Materiales</t>
        </is>
      </c>
      <c r="C1286" s="3" t="inlineStr">
        <is>
          <t>Accesorios de baño</t>
        </is>
      </c>
      <c r="D1286" s="4" t="inlineStr">
        <is>
          <t>Juego de accesorios de baño, 6 piezas</t>
        </is>
      </c>
      <c r="E1286" s="4" t="inlineStr"/>
      <c r="F1286" s="3" t="inlineStr">
        <is>
          <t>juego</t>
        </is>
      </c>
      <c r="G1286" s="3" t="inlineStr">
        <is>
          <t>Terminación de superficies</t>
        </is>
      </c>
      <c r="H1286" s="3" t="inlineStr">
        <is>
          <t>estandar</t>
        </is>
      </c>
      <c r="I1286" s="3" t="inlineStr">
        <is>
          <t>importado</t>
        </is>
      </c>
      <c r="J1286" s="5" t="n">
        <v>3</v>
      </c>
      <c r="K1286" s="6" t="n">
        <v>3019.72</v>
      </c>
      <c r="L1286" s="6" t="n">
        <v>1342.61</v>
      </c>
      <c r="M1286" s="6" t="n">
        <v>4372.84</v>
      </c>
      <c r="N1286" s="3" t="inlineStr">
        <is>
          <t>Sí</t>
        </is>
      </c>
      <c r="O1286" s="6">
        <f>IF(K1286="","",IF(N1286="Sí",ROUND(K1286/1.18,2),K1286))</f>
        <v/>
      </c>
      <c r="P1286" s="3" t="inlineStr">
        <is>
          <t>2026-09-09</t>
        </is>
      </c>
      <c r="Q1286" s="4" t="inlineStr">
        <is>
          <t>Ferretería Cima · Ferretería Ochoa (8A) · InnovaCentro (La Innovación)</t>
        </is>
      </c>
      <c r="T1286" s="7" t="n">
        <v>6</v>
      </c>
      <c r="AF1286" s="4" t="inlineStr">
        <is>
          <t>ambito: domestico</t>
        </is>
      </c>
    </row>
    <row r="1287">
      <c r="A1287" s="3" t="inlineStr">
        <is>
          <t>MAT-27-023</t>
        </is>
      </c>
      <c r="B1287" s="3" t="inlineStr">
        <is>
          <t>Materiales</t>
        </is>
      </c>
      <c r="C1287" s="3" t="inlineStr">
        <is>
          <t>Accesorios de baño</t>
        </is>
      </c>
      <c r="D1287" s="4" t="inlineStr">
        <is>
          <t>Secador de manos</t>
        </is>
      </c>
      <c r="E1287" s="4" t="inlineStr"/>
      <c r="F1287" s="3" t="inlineStr">
        <is>
          <t>unidad</t>
        </is>
      </c>
      <c r="G1287" s="3" t="inlineStr">
        <is>
          <t>Terminación de superficies</t>
        </is>
      </c>
      <c r="H1287" s="3" t="inlineStr">
        <is>
          <t>estandar</t>
        </is>
      </c>
      <c r="I1287" s="3" t="inlineStr">
        <is>
          <t>importado</t>
        </is>
      </c>
      <c r="J1287" s="5" t="n">
        <v>1</v>
      </c>
      <c r="K1287" s="6" t="n">
        <v>3467.5</v>
      </c>
      <c r="L1287" s="6" t="n">
        <v>3335</v>
      </c>
      <c r="M1287" s="6" t="n">
        <v>3600</v>
      </c>
      <c r="N1287" s="3" t="inlineStr">
        <is>
          <t>Sí</t>
        </is>
      </c>
      <c r="O1287" s="6">
        <f>IF(K1287="","",IF(N1287="Sí",ROUND(K1287/1.18,2),K1287))</f>
        <v/>
      </c>
      <c r="P1287" s="3" t="inlineStr">
        <is>
          <t>2026-09-09</t>
        </is>
      </c>
      <c r="Q1287" s="4" t="inlineStr">
        <is>
          <t>InnovaCentro (La Innovación)</t>
        </is>
      </c>
      <c r="AF1287" s="4" t="inlineStr">
        <is>
          <t>ambito: domestico</t>
        </is>
      </c>
    </row>
    <row r="1288">
      <c r="A1288" s="3" t="inlineStr">
        <is>
          <t>MAT-27-024</t>
        </is>
      </c>
      <c r="B1288" s="3" t="inlineStr">
        <is>
          <t>Materiales</t>
        </is>
      </c>
      <c r="C1288" s="3" t="inlineStr">
        <is>
          <t>Accesorios de baño</t>
        </is>
      </c>
      <c r="D1288" s="4" t="inlineStr">
        <is>
          <t>Secador de manos, de botón</t>
        </is>
      </c>
      <c r="E1288" s="4" t="inlineStr"/>
      <c r="F1288" s="3" t="inlineStr">
        <is>
          <t>unidad</t>
        </is>
      </c>
      <c r="G1288" s="3" t="inlineStr">
        <is>
          <t>Terminación de superficies</t>
        </is>
      </c>
      <c r="H1288" s="3" t="inlineStr">
        <is>
          <t>estandar</t>
        </is>
      </c>
      <c r="I1288" s="3" t="inlineStr">
        <is>
          <t>importado</t>
        </is>
      </c>
      <c r="J1288" s="5" t="n">
        <v>1</v>
      </c>
      <c r="K1288" s="6" t="n">
        <v>16368.74</v>
      </c>
      <c r="L1288" s="6" t="n">
        <v>16368.74</v>
      </c>
      <c r="M1288" s="6" t="n">
        <v>16368.74</v>
      </c>
      <c r="N1288" s="3" t="inlineStr">
        <is>
          <t>Sí</t>
        </is>
      </c>
      <c r="O1288" s="6">
        <f>IF(K1288="","",IF(N1288="Sí",ROUND(K1288/1.18,2),K1288))</f>
        <v/>
      </c>
      <c r="P1288" s="3" t="inlineStr">
        <is>
          <t>2026-09-09</t>
        </is>
      </c>
      <c r="Q1288" s="4" t="inlineStr">
        <is>
          <t>Ferretería Ochoa (8A)</t>
        </is>
      </c>
      <c r="AF1288" s="4" t="inlineStr">
        <is>
          <t>ambito: domestico · Activación: boton</t>
        </is>
      </c>
    </row>
    <row r="1289">
      <c r="A1289" s="3" t="inlineStr">
        <is>
          <t>MAT-27-025</t>
        </is>
      </c>
      <c r="B1289" s="3" t="inlineStr">
        <is>
          <t>Materiales</t>
        </is>
      </c>
      <c r="C1289" s="3" t="inlineStr">
        <is>
          <t>Accesorios de baño</t>
        </is>
      </c>
      <c r="D1289" s="4" t="inlineStr">
        <is>
          <t>Secador de manos, con sensor</t>
        </is>
      </c>
      <c r="E1289" s="4" t="inlineStr"/>
      <c r="F1289" s="3" t="inlineStr">
        <is>
          <t>unidad</t>
        </is>
      </c>
      <c r="G1289" s="3" t="inlineStr">
        <is>
          <t>Terminación de superficies</t>
        </is>
      </c>
      <c r="H1289" s="3" t="inlineStr">
        <is>
          <t>estandar</t>
        </is>
      </c>
      <c r="I1289" s="3" t="inlineStr">
        <is>
          <t>importado</t>
        </is>
      </c>
      <c r="J1289" s="5" t="n">
        <v>3</v>
      </c>
      <c r="K1289" s="6" t="n">
        <v>16755</v>
      </c>
      <c r="L1289" s="6" t="n">
        <v>12495</v>
      </c>
      <c r="M1289" s="6" t="n">
        <v>63455.69</v>
      </c>
      <c r="N1289" s="3" t="inlineStr">
        <is>
          <t>Sí</t>
        </is>
      </c>
      <c r="O1289" s="6">
        <f>IF(K1289="","",IF(N1289="Sí",ROUND(K1289/1.18,2),K1289))</f>
        <v/>
      </c>
      <c r="P1289" s="3" t="inlineStr">
        <is>
          <t>2026-09-10</t>
        </is>
      </c>
      <c r="Q1289" s="4" t="inlineStr">
        <is>
          <t>Ferremix (Grupo Alterra) · Ferretería Ochoa (8A) · InnovaCentro (La Innovación)</t>
        </is>
      </c>
      <c r="AF1289" s="4" t="inlineStr">
        <is>
          <t>ambito: domestico · Activación: sensor · Ancho (mm): 270</t>
        </is>
      </c>
    </row>
    <row r="1290">
      <c r="A1290" s="3" t="inlineStr">
        <is>
          <t>MAT-27-026</t>
        </is>
      </c>
      <c r="B1290" s="3" t="inlineStr">
        <is>
          <t>Materiales</t>
        </is>
      </c>
      <c r="C1290" s="3" t="inlineStr">
        <is>
          <t>Accesorios de baño</t>
        </is>
      </c>
      <c r="D1290" s="4" t="inlineStr">
        <is>
          <t>Secador de manos, institucional</t>
        </is>
      </c>
      <c r="E1290" s="4" t="inlineStr"/>
      <c r="F1290" s="3" t="inlineStr">
        <is>
          <t>unidad</t>
        </is>
      </c>
      <c r="G1290" s="3" t="inlineStr">
        <is>
          <t>Terminación de superficies</t>
        </is>
      </c>
      <c r="H1290" s="3" t="inlineStr">
        <is>
          <t>estandar</t>
        </is>
      </c>
      <c r="I1290" s="3" t="inlineStr">
        <is>
          <t>importado</t>
        </is>
      </c>
      <c r="J1290" s="5" t="n">
        <v>2</v>
      </c>
      <c r="K1290" s="6" t="n">
        <v>33477.34</v>
      </c>
      <c r="L1290" s="6" t="n">
        <v>27487.14</v>
      </c>
      <c r="M1290" s="6" t="n">
        <v>39467.53</v>
      </c>
      <c r="N1290" s="3" t="inlineStr">
        <is>
          <t>Sí</t>
        </is>
      </c>
      <c r="O1290" s="6">
        <f>IF(K1290="","",IF(N1290="Sí",ROUND(K1290/1.18,2),K1290))</f>
        <v/>
      </c>
      <c r="P1290" s="3" t="inlineStr">
        <is>
          <t>2026-09-10</t>
        </is>
      </c>
      <c r="Q1290" s="4" t="inlineStr">
        <is>
          <t>CerArte · Ferretería Ochoa (8A)</t>
        </is>
      </c>
      <c r="AF1290" s="4" t="inlineStr">
        <is>
          <t>ambito: institucional</t>
        </is>
      </c>
    </row>
    <row r="1291">
      <c r="A1291" s="3" t="inlineStr">
        <is>
          <t>MAT-27-027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Secador de manos, institucional, con sensor</t>
        </is>
      </c>
      <c r="E1291" s="4" t="inlineStr"/>
      <c r="F1291" s="3" t="inlineStr">
        <is>
          <t>unidad</t>
        </is>
      </c>
      <c r="G1291" s="3" t="inlineStr">
        <is>
          <t>Terminación de superficies</t>
        </is>
      </c>
      <c r="H1291" s="3" t="inlineStr">
        <is>
          <t>estandar</t>
        </is>
      </c>
      <c r="I1291" s="3" t="inlineStr">
        <is>
          <t>importado</t>
        </is>
      </c>
      <c r="J1291" s="5" t="n">
        <v>1</v>
      </c>
      <c r="K1291" s="6" t="n">
        <v>32765.78</v>
      </c>
      <c r="L1291" s="6" t="n">
        <v>32765.78</v>
      </c>
      <c r="M1291" s="6" t="n">
        <v>32765.78</v>
      </c>
      <c r="N1291" s="3" t="inlineStr">
        <is>
          <t>Sí</t>
        </is>
      </c>
      <c r="O1291" s="6">
        <f>IF(K1291="","",IF(N1291="Sí",ROUND(K1291/1.18,2),K1291))</f>
        <v/>
      </c>
      <c r="P1291" s="3" t="inlineStr">
        <is>
          <t>2026-09-09</t>
        </is>
      </c>
      <c r="Q1291" s="4" t="inlineStr">
        <is>
          <t>Ferretería Ochoa (8A)</t>
        </is>
      </c>
      <c r="AF1291" s="4" t="inlineStr">
        <is>
          <t>ambito: institucional · Activación: sensor</t>
        </is>
      </c>
    </row>
    <row r="1292">
      <c r="A1292" s="3" t="inlineStr">
        <is>
          <t>MAT-27-028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Dispensador de jabón</t>
        </is>
      </c>
      <c r="E1292" s="4" t="inlineStr"/>
      <c r="F1292" s="3" t="inlineStr">
        <is>
          <t>unidad</t>
        </is>
      </c>
      <c r="G1292" s="3" t="inlineStr">
        <is>
          <t>Terminación de superficies</t>
        </is>
      </c>
      <c r="H1292" s="3" t="inlineStr">
        <is>
          <t>estandar</t>
        </is>
      </c>
      <c r="I1292" s="3" t="inlineStr">
        <is>
          <t>importado</t>
        </is>
      </c>
      <c r="J1292" s="5" t="n">
        <v>2</v>
      </c>
      <c r="K1292" s="6" t="n">
        <v>672</v>
      </c>
      <c r="L1292" s="6" t="n">
        <v>156</v>
      </c>
      <c r="M1292" s="6" t="n">
        <v>2309</v>
      </c>
      <c r="N1292" s="3" t="inlineStr">
        <is>
          <t>Sí</t>
        </is>
      </c>
      <c r="O1292" s="6">
        <f>IF(K1292="","",IF(N1292="Sí",ROUND(K1292/1.18,2),K1292))</f>
        <v/>
      </c>
      <c r="P1292" s="3" t="inlineStr">
        <is>
          <t>2026-09-10</t>
        </is>
      </c>
      <c r="Q1292" s="4" t="inlineStr">
        <is>
          <t>Ferremix (Grupo Alterra) · InnovaCentro (La Innovación)</t>
        </is>
      </c>
      <c r="AF1292" s="4" t="inlineStr">
        <is>
          <t>ambito: domestico</t>
        </is>
      </c>
    </row>
    <row r="1293">
      <c r="A1293" s="3" t="inlineStr">
        <is>
          <t>MAT-27-029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Dispensador de jabón, con sensor</t>
        </is>
      </c>
      <c r="E1293" s="4" t="inlineStr"/>
      <c r="F1293" s="3" t="inlineStr">
        <is>
          <t>unidad</t>
        </is>
      </c>
      <c r="G1293" s="3" t="inlineStr">
        <is>
          <t>Terminación de superficies</t>
        </is>
      </c>
      <c r="H1293" s="3" t="inlineStr">
        <is>
          <t>estandar</t>
        </is>
      </c>
      <c r="I1293" s="3" t="inlineStr">
        <is>
          <t>importado</t>
        </is>
      </c>
      <c r="J1293" s="5" t="n">
        <v>1</v>
      </c>
      <c r="K1293" s="6" t="n">
        <v>33870.73</v>
      </c>
      <c r="L1293" s="6" t="n">
        <v>33870.73</v>
      </c>
      <c r="M1293" s="6" t="n">
        <v>33870.73</v>
      </c>
      <c r="N1293" s="3" t="inlineStr">
        <is>
          <t>Sí</t>
        </is>
      </c>
      <c r="O1293" s="6">
        <f>IF(K1293="","",IF(N1293="Sí",ROUND(K1293/1.18,2),K1293))</f>
        <v/>
      </c>
      <c r="P1293" s="3" t="inlineStr">
        <is>
          <t>2026-09-10</t>
        </is>
      </c>
      <c r="Q1293" s="4" t="inlineStr">
        <is>
          <t>CerArte</t>
        </is>
      </c>
      <c r="AF1293" s="4" t="inlineStr">
        <is>
          <t>ambito: domestico · Activación: sensor</t>
        </is>
      </c>
    </row>
    <row r="1294">
      <c r="A1294" s="3" t="inlineStr">
        <is>
          <t>MAT-27-030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Dispensador de jabón, institucional</t>
        </is>
      </c>
      <c r="E1294" s="4" t="inlineStr"/>
      <c r="F1294" s="3" t="inlineStr">
        <is>
          <t>unidad</t>
        </is>
      </c>
      <c r="G1294" s="3" t="inlineStr">
        <is>
          <t>Terminación de superficies</t>
        </is>
      </c>
      <c r="H1294" s="3" t="inlineStr">
        <is>
          <t>estandar</t>
        </is>
      </c>
      <c r="I1294" s="3" t="inlineStr">
        <is>
          <t>importado</t>
        </is>
      </c>
      <c r="J1294" s="5" t="n">
        <v>2</v>
      </c>
      <c r="K1294" s="6" t="n">
        <v>3782.5</v>
      </c>
      <c r="L1294" s="6" t="n">
        <v>1270</v>
      </c>
      <c r="M1294" s="6" t="n">
        <v>15547.21</v>
      </c>
      <c r="N1294" s="3" t="inlineStr">
        <is>
          <t>Sí</t>
        </is>
      </c>
      <c r="O1294" s="6">
        <f>IF(K1294="","",IF(N1294="Sí",ROUND(K1294/1.18,2),K1294))</f>
        <v/>
      </c>
      <c r="P1294" s="3" t="inlineStr">
        <is>
          <t>2026-09-09</t>
        </is>
      </c>
      <c r="Q1294" s="4" t="inlineStr">
        <is>
          <t>Ferretería Ochoa (8A) · InnovaCentro (La Innovación)</t>
        </is>
      </c>
      <c r="AF1294" s="4" t="inlineStr">
        <is>
          <t>ambito: institucional</t>
        </is>
      </c>
    </row>
    <row r="1295">
      <c r="A1295" s="3" t="inlineStr">
        <is>
          <t>MAT-27-031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Dispensador de papel, de papel higiénico</t>
        </is>
      </c>
      <c r="E1295" s="4" t="inlineStr"/>
      <c r="F1295" s="3" t="inlineStr">
        <is>
          <t>unidad</t>
        </is>
      </c>
      <c r="G1295" s="3" t="inlineStr">
        <is>
          <t>Terminación de superficies</t>
        </is>
      </c>
      <c r="H1295" s="3" t="inlineStr">
        <is>
          <t>estandar</t>
        </is>
      </c>
      <c r="I1295" s="3" t="inlineStr">
        <is>
          <t>importado</t>
        </is>
      </c>
      <c r="J1295" s="5" t="n">
        <v>1</v>
      </c>
      <c r="K1295" s="6" t="n">
        <v>587.5</v>
      </c>
      <c r="L1295" s="6" t="n">
        <v>485</v>
      </c>
      <c r="M1295" s="6" t="n">
        <v>690</v>
      </c>
      <c r="N1295" s="3" t="inlineStr">
        <is>
          <t>Sí</t>
        </is>
      </c>
      <c r="O1295" s="6">
        <f>IF(K1295="","",IF(N1295="Sí",ROUND(K1295/1.18,2),K1295))</f>
        <v/>
      </c>
      <c r="P1295" s="3" t="inlineStr">
        <is>
          <t>2026-09-09</t>
        </is>
      </c>
      <c r="Q1295" s="4" t="inlineStr">
        <is>
          <t>InnovaCentro (La Innovación)</t>
        </is>
      </c>
      <c r="AF1295" s="4" t="inlineStr">
        <is>
          <t>ambito: domestico · Tipo de papel: papel higiénico · Ancho (mm): 270</t>
        </is>
      </c>
    </row>
    <row r="1296">
      <c r="A1296" s="3" t="inlineStr">
        <is>
          <t>MAT-27-032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Dispensador de papel, de toalla</t>
        </is>
      </c>
      <c r="E1296" s="4" t="inlineStr"/>
      <c r="F1296" s="3" t="inlineStr">
        <is>
          <t>unidad</t>
        </is>
      </c>
      <c r="G1296" s="3" t="inlineStr">
        <is>
          <t>Terminación de superficies</t>
        </is>
      </c>
      <c r="H1296" s="3" t="inlineStr">
        <is>
          <t>estandar</t>
        </is>
      </c>
      <c r="I1296" s="3" t="inlineStr">
        <is>
          <t>importado</t>
        </is>
      </c>
      <c r="J1296" s="5" t="n">
        <v>2</v>
      </c>
      <c r="K1296" s="6" t="n">
        <v>2595</v>
      </c>
      <c r="L1296" s="6" t="n">
        <v>274</v>
      </c>
      <c r="M1296" s="6" t="n">
        <v>7965</v>
      </c>
      <c r="N1296" s="3" t="inlineStr">
        <is>
          <t>Sí</t>
        </is>
      </c>
      <c r="O1296" s="6">
        <f>IF(K1296="","",IF(N1296="Sí",ROUND(K1296/1.18,2),K1296))</f>
        <v/>
      </c>
      <c r="P1296" s="3" t="inlineStr">
        <is>
          <t>2026-09-09</t>
        </is>
      </c>
      <c r="Q1296" s="4" t="inlineStr">
        <is>
          <t>Ferretería Ochoa (8A) · InnovaCentro (La Innovación)</t>
        </is>
      </c>
      <c r="AF1296" s="4" t="inlineStr">
        <is>
          <t>ambito: domestico · Tipo de papel: toalla · Ancho (mm): 310</t>
        </is>
      </c>
    </row>
    <row r="1297">
      <c r="A1297" s="3" t="inlineStr">
        <is>
          <t>MAT-27-033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Dispensador de papel, institucional, de papel higiénico</t>
        </is>
      </c>
      <c r="E1297" s="4" t="inlineStr"/>
      <c r="F1297" s="3" t="inlineStr">
        <is>
          <t>unidad</t>
        </is>
      </c>
      <c r="G1297" s="3" t="inlineStr">
        <is>
          <t>Terminación de superficies</t>
        </is>
      </c>
      <c r="H1297" s="3" t="inlineStr">
        <is>
          <t>estandar</t>
        </is>
      </c>
      <c r="I1297" s="3" t="inlineStr">
        <is>
          <t>importado</t>
        </is>
      </c>
      <c r="J1297" s="5" t="n">
        <v>1</v>
      </c>
      <c r="K1297" s="6" t="n">
        <v>2870</v>
      </c>
      <c r="L1297" s="6" t="n">
        <v>1105</v>
      </c>
      <c r="M1297" s="6" t="n">
        <v>8995</v>
      </c>
      <c r="N1297" s="3" t="inlineStr">
        <is>
          <t>Sí</t>
        </is>
      </c>
      <c r="O1297" s="6">
        <f>IF(K1297="","",IF(N1297="Sí",ROUND(K1297/1.18,2),K1297))</f>
        <v/>
      </c>
      <c r="P1297" s="3" t="inlineStr">
        <is>
          <t>2026-09-09</t>
        </is>
      </c>
      <c r="Q1297" s="4" t="inlineStr">
        <is>
          <t>InnovaCentro (La Innovación)</t>
        </is>
      </c>
      <c r="AF1297" s="4" t="inlineStr">
        <is>
          <t>ambito: institucional · Tipo de papel: papel higiénico</t>
        </is>
      </c>
    </row>
    <row r="1298">
      <c r="A1298" s="3" t="inlineStr">
        <is>
          <t>MAT-27-034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Dispensador de papel, institucional, de toalla</t>
        </is>
      </c>
      <c r="E1298" s="4" t="inlineStr"/>
      <c r="F1298" s="3" t="inlineStr">
        <is>
          <t>unidad</t>
        </is>
      </c>
      <c r="G1298" s="3" t="inlineStr">
        <is>
          <t>Terminación de superficies</t>
        </is>
      </c>
      <c r="H1298" s="3" t="inlineStr">
        <is>
          <t>estandar</t>
        </is>
      </c>
      <c r="I1298" s="3" t="inlineStr">
        <is>
          <t>importado</t>
        </is>
      </c>
      <c r="J1298" s="5" t="n">
        <v>1</v>
      </c>
      <c r="K1298" s="6" t="n">
        <v>3245</v>
      </c>
      <c r="L1298" s="6" t="n">
        <v>2515</v>
      </c>
      <c r="M1298" s="6" t="n">
        <v>12190</v>
      </c>
      <c r="N1298" s="3" t="inlineStr">
        <is>
          <t>Sí</t>
        </is>
      </c>
      <c r="O1298" s="6">
        <f>IF(K1298="","",IF(N1298="Sí",ROUND(K1298/1.18,2),K1298))</f>
        <v/>
      </c>
      <c r="P1298" s="3" t="inlineStr">
        <is>
          <t>2026-09-09</t>
        </is>
      </c>
      <c r="Q1298" s="4" t="inlineStr">
        <is>
          <t>InnovaCentro (La Innovación)</t>
        </is>
      </c>
      <c r="AF1298" s="4" t="inlineStr">
        <is>
          <t>ambito: institucional · Tipo de papel: toalla</t>
        </is>
      </c>
    </row>
    <row r="1299">
      <c r="A1299" s="3" t="inlineStr">
        <is>
          <t>MAT-27-035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Cambiador de bebés de pared</t>
        </is>
      </c>
      <c r="E1299" s="4" t="inlineStr"/>
      <c r="F1299" s="3" t="inlineStr">
        <is>
          <t>unidad</t>
        </is>
      </c>
      <c r="G1299" s="3" t="inlineStr">
        <is>
          <t>Terminación de superficies</t>
        </is>
      </c>
      <c r="H1299" s="3" t="inlineStr">
        <is>
          <t>estandar</t>
        </is>
      </c>
      <c r="I1299" s="3" t="inlineStr">
        <is>
          <t>importado</t>
        </is>
      </c>
      <c r="J1299" s="5" t="n">
        <v>1</v>
      </c>
      <c r="K1299" s="6" t="n">
        <v>8705</v>
      </c>
      <c r="L1299" s="6" t="n">
        <v>8705</v>
      </c>
      <c r="M1299" s="6" t="n">
        <v>8705</v>
      </c>
      <c r="N1299" s="3" t="inlineStr">
        <is>
          <t>Sí</t>
        </is>
      </c>
      <c r="O1299" s="6">
        <f>IF(K1299="","",IF(N1299="Sí",ROUND(K1299/1.18,2),K1299))</f>
        <v/>
      </c>
      <c r="P1299" s="3" t="inlineStr">
        <is>
          <t>2026-09-09</t>
        </is>
      </c>
      <c r="Q1299" s="4" t="inlineStr">
        <is>
          <t>InnovaCentro (La Innovación)</t>
        </is>
      </c>
      <c r="AF1299" s="4" t="inlineStr">
        <is>
          <t>Largo (mm): 860 · Ancho (mm): 550 · Alto (mm): 140</t>
        </is>
      </c>
    </row>
    <row r="1300">
      <c r="A1300" s="3" t="inlineStr">
        <is>
          <t>MAT-28-001</t>
        </is>
      </c>
      <c r="B1300" s="3" t="inlineStr">
        <is>
          <t>Materiales</t>
        </is>
      </c>
      <c r="C1300" s="3" t="inlineStr">
        <is>
          <t>Alarmas y control de accesos</t>
        </is>
      </c>
      <c r="D1300" s="4" t="inlineStr">
        <is>
          <t>Kit de alarma</t>
        </is>
      </c>
      <c r="E1300" s="4" t="inlineStr"/>
      <c r="F1300" s="3" t="inlineStr">
        <is>
          <t>juego</t>
        </is>
      </c>
      <c r="G1300" s="3" t="inlineStr">
        <is>
          <t>Instalaciones</t>
        </is>
      </c>
      <c r="H1300" s="3" t="inlineStr">
        <is>
          <t>estandar</t>
        </is>
      </c>
      <c r="I1300" s="3" t="inlineStr">
        <is>
          <t>importado</t>
        </is>
      </c>
      <c r="J1300" s="5" t="n">
        <v>1</v>
      </c>
      <c r="K1300" s="6" t="n">
        <v>7107.67</v>
      </c>
      <c r="L1300" s="6" t="n">
        <v>7107.67</v>
      </c>
      <c r="M1300" s="6" t="n">
        <v>7107.67</v>
      </c>
      <c r="N1300" s="3" t="inlineStr">
        <is>
          <t>Sí</t>
        </is>
      </c>
      <c r="O1300" s="6">
        <f>IF(K1300="","",IF(N1300="Sí",ROUND(K1300/1.18,2),K1300))</f>
        <v/>
      </c>
      <c r="P1300" s="3" t="inlineStr">
        <is>
          <t>2026-09-09</t>
        </is>
      </c>
      <c r="Q1300" s="4" t="inlineStr">
        <is>
          <t>Ferretería Ochoa (8A)</t>
        </is>
      </c>
    </row>
    <row r="1301">
      <c r="A1301" s="3" t="inlineStr">
        <is>
          <t>MAT-28-002</t>
        </is>
      </c>
      <c r="B1301" s="3" t="inlineStr">
        <is>
          <t>Materiales</t>
        </is>
      </c>
      <c r="C1301" s="3" t="inlineStr">
        <is>
          <t>Alarmas y control de accesos</t>
        </is>
      </c>
      <c r="D1301" s="4" t="inlineStr">
        <is>
          <t>Panel de alarma</t>
        </is>
      </c>
      <c r="E1301" s="4" t="inlineStr"/>
      <c r="F1301" s="3" t="inlineStr">
        <is>
          <t>unidad</t>
        </is>
      </c>
      <c r="G1301" s="3" t="inlineStr">
        <is>
          <t>Instalaciones</t>
        </is>
      </c>
      <c r="H1301" s="3" t="inlineStr">
        <is>
          <t>estandar</t>
        </is>
      </c>
      <c r="I1301" s="3" t="inlineStr">
        <is>
          <t>importado</t>
        </is>
      </c>
      <c r="J1301" s="5" t="n">
        <v>1</v>
      </c>
      <c r="K1301" s="6" t="n">
        <v>15771.4</v>
      </c>
      <c r="L1301" s="6" t="n">
        <v>3536.16</v>
      </c>
      <c r="M1301" s="6" t="n">
        <v>40009.07</v>
      </c>
      <c r="N1301" s="3" t="inlineStr">
        <is>
          <t>Sí</t>
        </is>
      </c>
      <c r="O1301" s="6">
        <f>IF(K1301="","",IF(N1301="Sí",ROUND(K1301/1.18,2),K1301))</f>
        <v/>
      </c>
      <c r="P1301" s="3" t="inlineStr">
        <is>
          <t>2026-09-09</t>
        </is>
      </c>
      <c r="Q1301" s="4" t="inlineStr">
        <is>
          <t>Ferretería Ochoa (8A)</t>
        </is>
      </c>
    </row>
    <row r="1302">
      <c r="A1302" s="3" t="inlineStr">
        <is>
          <t>MAT-28-003</t>
        </is>
      </c>
      <c r="B1302" s="3" t="inlineStr">
        <is>
          <t>Materiales</t>
        </is>
      </c>
      <c r="C1302" s="3" t="inlineStr">
        <is>
          <t>Alarmas y control de accesos</t>
        </is>
      </c>
      <c r="D1302" s="4" t="inlineStr">
        <is>
          <t>Panel de alarma 28 zonas</t>
        </is>
      </c>
      <c r="E1302" s="4" t="inlineStr"/>
      <c r="F1302" s="3" t="inlineStr">
        <is>
          <t>unidad</t>
        </is>
      </c>
      <c r="G1302" s="3" t="inlineStr">
        <is>
          <t>Instalaciones</t>
        </is>
      </c>
      <c r="H1302" s="3" t="inlineStr">
        <is>
          <t>estandar</t>
        </is>
      </c>
      <c r="I1302" s="3" t="inlineStr">
        <is>
          <t>importado</t>
        </is>
      </c>
      <c r="J1302" s="5" t="n">
        <v>1</v>
      </c>
      <c r="K1302" s="6" t="n">
        <v>7194.58</v>
      </c>
      <c r="L1302" s="6" t="n">
        <v>7194.58</v>
      </c>
      <c r="M1302" s="6" t="n">
        <v>7194.58</v>
      </c>
      <c r="N1302" s="3" t="inlineStr">
        <is>
          <t>Sí</t>
        </is>
      </c>
      <c r="O1302" s="6">
        <f>IF(K1302="","",IF(N1302="Sí",ROUND(K1302/1.18,2),K1302))</f>
        <v/>
      </c>
      <c r="P1302" s="3" t="inlineStr">
        <is>
          <t>2026-09-09</t>
        </is>
      </c>
      <c r="Q1302" s="4" t="inlineStr">
        <is>
          <t>Ferretería Ochoa (8A)</t>
        </is>
      </c>
      <c r="AF1302" s="4" t="inlineStr">
        <is>
          <t>Zonas: 28</t>
        </is>
      </c>
    </row>
    <row r="1303">
      <c r="A1303" s="3" t="inlineStr">
        <is>
          <t>MAT-28-004</t>
        </is>
      </c>
      <c r="B1303" s="3" t="inlineStr">
        <is>
          <t>Materiales</t>
        </is>
      </c>
      <c r="C1303" s="3" t="inlineStr">
        <is>
          <t>Alarmas y control de accesos</t>
        </is>
      </c>
      <c r="D1303" s="4" t="inlineStr">
        <is>
          <t>Panel de alarma 320 zonas</t>
        </is>
      </c>
      <c r="E1303" s="4" t="inlineStr"/>
      <c r="F1303" s="3" t="inlineStr">
        <is>
          <t>unidad</t>
        </is>
      </c>
      <c r="G1303" s="3" t="inlineStr">
        <is>
          <t>Instalaciones</t>
        </is>
      </c>
      <c r="H1303" s="3" t="inlineStr">
        <is>
          <t>estandar</t>
        </is>
      </c>
      <c r="I1303" s="3" t="inlineStr">
        <is>
          <t>importado</t>
        </is>
      </c>
      <c r="J1303" s="5" t="n">
        <v>1</v>
      </c>
      <c r="K1303" s="6" t="n">
        <v>16552.7</v>
      </c>
      <c r="L1303" s="6" t="n">
        <v>13889.31</v>
      </c>
      <c r="M1303" s="6" t="n">
        <v>19216.09</v>
      </c>
      <c r="N1303" s="3" t="inlineStr">
        <is>
          <t>Sí</t>
        </is>
      </c>
      <c r="O1303" s="6">
        <f>IF(K1303="","",IF(N1303="Sí",ROUND(K1303/1.18,2),K1303))</f>
        <v/>
      </c>
      <c r="P1303" s="3" t="inlineStr">
        <is>
          <t>2026-09-09</t>
        </is>
      </c>
      <c r="Q1303" s="4" t="inlineStr">
        <is>
          <t>Ferretería Ochoa (8A)</t>
        </is>
      </c>
      <c r="AF1303" s="4" t="inlineStr">
        <is>
          <t>Zonas: 320</t>
        </is>
      </c>
    </row>
    <row r="1304">
      <c r="A1304" s="3" t="inlineStr">
        <is>
          <t>MAT-28-005</t>
        </is>
      </c>
      <c r="B1304" s="3" t="inlineStr">
        <is>
          <t>Materiales</t>
        </is>
      </c>
      <c r="C1304" s="3" t="inlineStr">
        <is>
          <t>Alarmas y control de accesos</t>
        </is>
      </c>
      <c r="D1304" s="4" t="inlineStr">
        <is>
          <t>Panel de alarma 4 zonas</t>
        </is>
      </c>
      <c r="E1304" s="4" t="inlineStr"/>
      <c r="F1304" s="3" t="inlineStr">
        <is>
          <t>unidad</t>
        </is>
      </c>
      <c r="G1304" s="3" t="inlineStr">
        <is>
          <t>Instalaciones</t>
        </is>
      </c>
      <c r="H1304" s="3" t="inlineStr">
        <is>
          <t>estandar</t>
        </is>
      </c>
      <c r="I1304" s="3" t="inlineStr">
        <is>
          <t>importado</t>
        </is>
      </c>
      <c r="J1304" s="5" t="n">
        <v>1</v>
      </c>
      <c r="K1304" s="6" t="n">
        <v>18682.71</v>
      </c>
      <c r="L1304" s="6" t="n">
        <v>18682.71</v>
      </c>
      <c r="M1304" s="6" t="n">
        <v>18682.71</v>
      </c>
      <c r="N1304" s="3" t="inlineStr">
        <is>
          <t>Sí</t>
        </is>
      </c>
      <c r="O1304" s="6">
        <f>IF(K1304="","",IF(N1304="Sí",ROUND(K1304/1.18,2),K1304))</f>
        <v/>
      </c>
      <c r="P1304" s="3" t="inlineStr">
        <is>
          <t>2026-09-09</t>
        </is>
      </c>
      <c r="Q1304" s="4" t="inlineStr">
        <is>
          <t>Ferretería Ochoa (8A)</t>
        </is>
      </c>
      <c r="AF1304" s="4" t="inlineStr">
        <is>
          <t>Zonas: 4</t>
        </is>
      </c>
    </row>
    <row r="1305">
      <c r="A1305" s="3" t="inlineStr">
        <is>
          <t>MAT-28-006</t>
        </is>
      </c>
      <c r="B1305" s="3" t="inlineStr">
        <is>
          <t>Materiales</t>
        </is>
      </c>
      <c r="C1305" s="3" t="inlineStr">
        <is>
          <t>Alarmas y control de accesos</t>
        </is>
      </c>
      <c r="D1305" s="4" t="inlineStr">
        <is>
          <t>Panel de alarma 48 zonas</t>
        </is>
      </c>
      <c r="E1305" s="4" t="inlineStr"/>
      <c r="F1305" s="3" t="inlineStr">
        <is>
          <t>unidad</t>
        </is>
      </c>
      <c r="G1305" s="3" t="inlineStr">
        <is>
          <t>Instalaciones</t>
        </is>
      </c>
      <c r="H1305" s="3" t="inlineStr">
        <is>
          <t>estandar</t>
        </is>
      </c>
      <c r="I1305" s="3" t="inlineStr">
        <is>
          <t>importado</t>
        </is>
      </c>
      <c r="J1305" s="5" t="n">
        <v>1</v>
      </c>
      <c r="K1305" s="6" t="n">
        <v>8277.66</v>
      </c>
      <c r="L1305" s="6" t="n">
        <v>8277.66</v>
      </c>
      <c r="M1305" s="6" t="n">
        <v>8277.66</v>
      </c>
      <c r="N1305" s="3" t="inlineStr">
        <is>
          <t>Sí</t>
        </is>
      </c>
      <c r="O1305" s="6">
        <f>IF(K1305="","",IF(N1305="Sí",ROUND(K1305/1.18,2),K1305))</f>
        <v/>
      </c>
      <c r="P1305" s="3" t="inlineStr">
        <is>
          <t>2026-09-09</t>
        </is>
      </c>
      <c r="Q1305" s="4" t="inlineStr">
        <is>
          <t>Ferretería Ochoa (8A)</t>
        </is>
      </c>
      <c r="AF1305" s="4" t="inlineStr">
        <is>
          <t>Zonas: 48</t>
        </is>
      </c>
    </row>
    <row r="1306">
      <c r="A1306" s="3" t="inlineStr">
        <is>
          <t>MAT-28-007</t>
        </is>
      </c>
      <c r="B1306" s="3" t="inlineStr">
        <is>
          <t>Materiales</t>
        </is>
      </c>
      <c r="C1306" s="3" t="inlineStr">
        <is>
          <t>Alarmas y control de accesos</t>
        </is>
      </c>
      <c r="D1306" s="4" t="inlineStr">
        <is>
          <t>Panel de alarma 8 zonas</t>
        </is>
      </c>
      <c r="E1306" s="4" t="inlineStr"/>
      <c r="F1306" s="3" t="inlineStr">
        <is>
          <t>unidad</t>
        </is>
      </c>
      <c r="G1306" s="3" t="inlineStr">
        <is>
          <t>Instalaciones</t>
        </is>
      </c>
      <c r="H1306" s="3" t="inlineStr">
        <is>
          <t>estandar</t>
        </is>
      </c>
      <c r="I1306" s="3" t="inlineStr">
        <is>
          <t>importado</t>
        </is>
      </c>
      <c r="J1306" s="5" t="n">
        <v>1</v>
      </c>
      <c r="K1306" s="6" t="n">
        <v>11668.57</v>
      </c>
      <c r="L1306" s="6" t="n">
        <v>11668.57</v>
      </c>
      <c r="M1306" s="6" t="n">
        <v>11668.57</v>
      </c>
      <c r="N1306" s="3" t="inlineStr">
        <is>
          <t>Sí</t>
        </is>
      </c>
      <c r="O1306" s="6">
        <f>IF(K1306="","",IF(N1306="Sí",ROUND(K1306/1.18,2),K1306))</f>
        <v/>
      </c>
      <c r="P1306" s="3" t="inlineStr">
        <is>
          <t>2026-09-09</t>
        </is>
      </c>
      <c r="Q1306" s="4" t="inlineStr">
        <is>
          <t>Ferretería Ochoa (8A)</t>
        </is>
      </c>
      <c r="AF1306" s="4" t="inlineStr">
        <is>
          <t>Zonas: 8</t>
        </is>
      </c>
    </row>
    <row r="1307">
      <c r="A1307" s="3" t="inlineStr">
        <is>
          <t>MAT-28-008</t>
        </is>
      </c>
      <c r="B1307" s="3" t="inlineStr">
        <is>
          <t>Materiales</t>
        </is>
      </c>
      <c r="C1307" s="3" t="inlineStr">
        <is>
          <t>Alarmas y control de accesos</t>
        </is>
      </c>
      <c r="D1307" s="4" t="inlineStr">
        <is>
          <t>Teclado para alarma</t>
        </is>
      </c>
      <c r="E1307" s="4" t="inlineStr"/>
      <c r="F1307" s="3" t="inlineStr">
        <is>
          <t>unidad</t>
        </is>
      </c>
      <c r="G1307" s="3" t="inlineStr">
        <is>
          <t>Instalaciones</t>
        </is>
      </c>
      <c r="H1307" s="3" t="inlineStr">
        <is>
          <t>estandar</t>
        </is>
      </c>
      <c r="I1307" s="3" t="inlineStr">
        <is>
          <t>importado</t>
        </is>
      </c>
      <c r="J1307" s="5" t="n">
        <v>1</v>
      </c>
      <c r="K1307" s="6" t="n">
        <v>6879.53</v>
      </c>
      <c r="L1307" s="6" t="n">
        <v>3449.44</v>
      </c>
      <c r="M1307" s="6" t="n">
        <v>13205.36</v>
      </c>
      <c r="N1307" s="3" t="inlineStr">
        <is>
          <t>Sí</t>
        </is>
      </c>
      <c r="O1307" s="6">
        <f>IF(K1307="","",IF(N1307="Sí",ROUND(K1307/1.18,2),K1307))</f>
        <v/>
      </c>
      <c r="P1307" s="3" t="inlineStr">
        <is>
          <t>2026-09-09</t>
        </is>
      </c>
      <c r="Q1307" s="4" t="inlineStr">
        <is>
          <t>Ferretería Ochoa (8A)</t>
        </is>
      </c>
    </row>
    <row r="1308">
      <c r="A1308" s="3" t="inlineStr">
        <is>
          <t>MAT-28-009</t>
        </is>
      </c>
      <c r="B1308" s="3" t="inlineStr">
        <is>
          <t>Materiales</t>
        </is>
      </c>
      <c r="C1308" s="3" t="inlineStr">
        <is>
          <t>Alarmas y control de accesos</t>
        </is>
      </c>
      <c r="D1308" s="4" t="inlineStr">
        <is>
          <t>Detector de movimiento</t>
        </is>
      </c>
      <c r="E1308" s="4" t="inlineStr"/>
      <c r="F1308" s="3" t="inlineStr">
        <is>
          <t>unidad</t>
        </is>
      </c>
      <c r="G1308" s="3" t="inlineStr">
        <is>
          <t>Instalaciones</t>
        </is>
      </c>
      <c r="H1308" s="3" t="inlineStr">
        <is>
          <t>estandar</t>
        </is>
      </c>
      <c r="I1308" s="3" t="inlineStr">
        <is>
          <t>importado</t>
        </is>
      </c>
      <c r="J1308" s="5" t="n">
        <v>1</v>
      </c>
      <c r="K1308" s="6" t="n">
        <v>1486.93</v>
      </c>
      <c r="L1308" s="6" t="n">
        <v>266.05</v>
      </c>
      <c r="M1308" s="6" t="n">
        <v>11447.71</v>
      </c>
      <c r="N1308" s="3" t="inlineStr">
        <is>
          <t>Sí</t>
        </is>
      </c>
      <c r="O1308" s="6">
        <f>IF(K1308="","",IF(N1308="Sí",ROUND(K1308/1.18,2),K1308))</f>
        <v/>
      </c>
      <c r="P1308" s="3" t="inlineStr">
        <is>
          <t>2026-09-09</t>
        </is>
      </c>
      <c r="Q1308" s="4" t="inlineStr">
        <is>
          <t>Ferretería Ochoa (8A)</t>
        </is>
      </c>
      <c r="AF1308" s="4" t="inlineStr">
        <is>
          <t>Enlace: inalámbrico</t>
        </is>
      </c>
    </row>
    <row r="1309">
      <c r="A1309" s="3" t="inlineStr">
        <is>
          <t>MAT-28-010</t>
        </is>
      </c>
      <c r="B1309" s="3" t="inlineStr">
        <is>
          <t>Materiales</t>
        </is>
      </c>
      <c r="C1309" s="3" t="inlineStr">
        <is>
          <t>Alarmas y control de accesos</t>
        </is>
      </c>
      <c r="D1309" s="4" t="inlineStr">
        <is>
          <t>Detector de movimiento alcance 10 m</t>
        </is>
      </c>
      <c r="E1309" s="4" t="inlineStr"/>
      <c r="F1309" s="3" t="inlineStr">
        <is>
          <t>unidad</t>
        </is>
      </c>
      <c r="G1309" s="3" t="inlineStr">
        <is>
          <t>Instalaciones</t>
        </is>
      </c>
      <c r="H1309" s="3" t="inlineStr">
        <is>
          <t>estandar</t>
        </is>
      </c>
      <c r="I1309" s="3" t="inlineStr">
        <is>
          <t>importado</t>
        </is>
      </c>
      <c r="J1309" s="5" t="n">
        <v>1</v>
      </c>
      <c r="K1309" s="6" t="n">
        <v>7135.36</v>
      </c>
      <c r="L1309" s="6" t="n">
        <v>7135.36</v>
      </c>
      <c r="M1309" s="6" t="n">
        <v>7135.36</v>
      </c>
      <c r="N1309" s="3" t="inlineStr">
        <is>
          <t>Sí</t>
        </is>
      </c>
      <c r="O1309" s="6">
        <f>IF(K1309="","",IF(N1309="Sí",ROUND(K1309/1.18,2),K1309))</f>
        <v/>
      </c>
      <c r="P1309" s="3" t="inlineStr">
        <is>
          <t>2026-09-09</t>
        </is>
      </c>
      <c r="Q1309" s="4" t="inlineStr">
        <is>
          <t>Ferretería Ochoa (8A)</t>
        </is>
      </c>
      <c r="AF1309" s="4" t="inlineStr">
        <is>
          <t>Alcance (m): 10 · Enlace: inalámbrico</t>
        </is>
      </c>
    </row>
    <row r="1310">
      <c r="A1310" s="3" t="inlineStr">
        <is>
          <t>MAT-28-011</t>
        </is>
      </c>
      <c r="B1310" s="3" t="inlineStr">
        <is>
          <t>Materiales</t>
        </is>
      </c>
      <c r="C1310" s="3" t="inlineStr">
        <is>
          <t>Alarmas y control de accesos</t>
        </is>
      </c>
      <c r="D1310" s="4" t="inlineStr">
        <is>
          <t>Detector de movimiento alcance 11 m</t>
        </is>
      </c>
      <c r="E1310" s="4" t="inlineStr"/>
      <c r="F1310" s="3" t="inlineStr">
        <is>
          <t>unidad</t>
        </is>
      </c>
      <c r="G1310" s="3" t="inlineStr">
        <is>
          <t>Instalaciones</t>
        </is>
      </c>
      <c r="H1310" s="3" t="inlineStr">
        <is>
          <t>estandar</t>
        </is>
      </c>
      <c r="I1310" s="3" t="inlineStr">
        <is>
          <t>importado</t>
        </is>
      </c>
      <c r="J1310" s="5" t="n">
        <v>1</v>
      </c>
      <c r="K1310" s="6" t="n">
        <v>5567.22</v>
      </c>
      <c r="L1310" s="6" t="n">
        <v>5567.22</v>
      </c>
      <c r="M1310" s="6" t="n">
        <v>5567.22</v>
      </c>
      <c r="N1310" s="3" t="inlineStr">
        <is>
          <t>Sí</t>
        </is>
      </c>
      <c r="O1310" s="6">
        <f>IF(K1310="","",IF(N1310="Sí",ROUND(K1310/1.18,2),K1310))</f>
        <v/>
      </c>
      <c r="P1310" s="3" t="inlineStr">
        <is>
          <t>2026-09-09</t>
        </is>
      </c>
      <c r="Q1310" s="4" t="inlineStr">
        <is>
          <t>Ferretería Ochoa (8A)</t>
        </is>
      </c>
      <c r="AF1310" s="4" t="inlineStr">
        <is>
          <t>Alcance (m): 11 · Enlace: inalámbrico</t>
        </is>
      </c>
    </row>
    <row r="1311">
      <c r="A1311" s="3" t="inlineStr">
        <is>
          <t>MAT-28-012</t>
        </is>
      </c>
      <c r="B1311" s="3" t="inlineStr">
        <is>
          <t>Materiales</t>
        </is>
      </c>
      <c r="C1311" s="3" t="inlineStr">
        <is>
          <t>Alarmas y control de accesos</t>
        </is>
      </c>
      <c r="D1311" s="4" t="inlineStr">
        <is>
          <t>Detector de movimiento alcance 12 m</t>
        </is>
      </c>
      <c r="E1311" s="4" t="inlineStr"/>
      <c r="F1311" s="3" t="inlineStr">
        <is>
          <t>unidad</t>
        </is>
      </c>
      <c r="G1311" s="3" t="inlineStr">
        <is>
          <t>Instalaciones</t>
        </is>
      </c>
      <c r="H1311" s="3" t="inlineStr">
        <is>
          <t>estandar</t>
        </is>
      </c>
      <c r="I1311" s="3" t="inlineStr">
        <is>
          <t>importado</t>
        </is>
      </c>
      <c r="J1311" s="5" t="n">
        <v>1</v>
      </c>
      <c r="K1311" s="6" t="n">
        <v>2831.47</v>
      </c>
      <c r="L1311" s="6" t="n">
        <v>820.3</v>
      </c>
      <c r="M1311" s="6" t="n">
        <v>5338.48</v>
      </c>
      <c r="N1311" s="3" t="inlineStr">
        <is>
          <t>Sí</t>
        </is>
      </c>
      <c r="O1311" s="6">
        <f>IF(K1311="","",IF(N1311="Sí",ROUND(K1311/1.18,2),K1311))</f>
        <v/>
      </c>
      <c r="P1311" s="3" t="inlineStr">
        <is>
          <t>2026-09-09</t>
        </is>
      </c>
      <c r="Q1311" s="4" t="inlineStr">
        <is>
          <t>Ferretería Ochoa (8A)</t>
        </is>
      </c>
      <c r="AF1311" s="4" t="inlineStr">
        <is>
          <t>Alcance (m): 12 · Enlace: inalámbrico</t>
        </is>
      </c>
    </row>
    <row r="1312">
      <c r="A1312" s="3" t="inlineStr">
        <is>
          <t>MAT-28-013</t>
        </is>
      </c>
      <c r="B1312" s="3" t="inlineStr">
        <is>
          <t>Materiales</t>
        </is>
      </c>
      <c r="C1312" s="3" t="inlineStr">
        <is>
          <t>Alarmas y control de accesos</t>
        </is>
      </c>
      <c r="D1312" s="4" t="inlineStr">
        <is>
          <t>Detector de movimiento alcance 15 m</t>
        </is>
      </c>
      <c r="E1312" s="4" t="inlineStr"/>
      <c r="F1312" s="3" t="inlineStr">
        <is>
          <t>unidad</t>
        </is>
      </c>
      <c r="G1312" s="3" t="inlineStr">
        <is>
          <t>Instalaciones</t>
        </is>
      </c>
      <c r="H1312" s="3" t="inlineStr">
        <is>
          <t>estandar</t>
        </is>
      </c>
      <c r="I1312" s="3" t="inlineStr">
        <is>
          <t>importado</t>
        </is>
      </c>
      <c r="J1312" s="5" t="n">
        <v>1</v>
      </c>
      <c r="K1312" s="6" t="n">
        <v>2675.69</v>
      </c>
      <c r="L1312" s="6" t="n">
        <v>2675.69</v>
      </c>
      <c r="M1312" s="6" t="n">
        <v>2675.69</v>
      </c>
      <c r="N1312" s="3" t="inlineStr">
        <is>
          <t>Sí</t>
        </is>
      </c>
      <c r="O1312" s="6">
        <f>IF(K1312="","",IF(N1312="Sí",ROUND(K1312/1.18,2),K1312))</f>
        <v/>
      </c>
      <c r="P1312" s="3" t="inlineStr">
        <is>
          <t>2026-09-09</t>
        </is>
      </c>
      <c r="Q1312" s="4" t="inlineStr">
        <is>
          <t>Ferretería Ochoa (8A)</t>
        </is>
      </c>
      <c r="AF1312" s="4" t="inlineStr">
        <is>
          <t>Alcance (m): 15 · Enlace: inalámbrico</t>
        </is>
      </c>
    </row>
    <row r="1313">
      <c r="A1313" s="3" t="inlineStr">
        <is>
          <t>MAT-28-014</t>
        </is>
      </c>
      <c r="B1313" s="3" t="inlineStr">
        <is>
          <t>Materiales</t>
        </is>
      </c>
      <c r="C1313" s="3" t="inlineStr">
        <is>
          <t>Alarmas y control de accesos</t>
        </is>
      </c>
      <c r="D1313" s="4" t="inlineStr">
        <is>
          <t>Detector de movimiento alcance 16 m</t>
        </is>
      </c>
      <c r="E1313" s="4" t="inlineStr"/>
      <c r="F1313" s="3" t="inlineStr">
        <is>
          <t>unidad</t>
        </is>
      </c>
      <c r="G1313" s="3" t="inlineStr">
        <is>
          <t>Instalaciones</t>
        </is>
      </c>
      <c r="H1313" s="3" t="inlineStr">
        <is>
          <t>estandar</t>
        </is>
      </c>
      <c r="I1313" s="3" t="inlineStr">
        <is>
          <t>importado</t>
        </is>
      </c>
      <c r="J1313" s="5" t="n">
        <v>1</v>
      </c>
      <c r="K1313" s="6" t="n">
        <v>2944.96</v>
      </c>
      <c r="L1313" s="6" t="n">
        <v>2944.96</v>
      </c>
      <c r="M1313" s="6" t="n">
        <v>2944.96</v>
      </c>
      <c r="N1313" s="3" t="inlineStr">
        <is>
          <t>Sí</t>
        </is>
      </c>
      <c r="O1313" s="6">
        <f>IF(K1313="","",IF(N1313="Sí",ROUND(K1313/1.18,2),K1313))</f>
        <v/>
      </c>
      <c r="P1313" s="3" t="inlineStr">
        <is>
          <t>2026-09-09</t>
        </is>
      </c>
      <c r="Q1313" s="4" t="inlineStr">
        <is>
          <t>Ferretería Ochoa (8A)</t>
        </is>
      </c>
      <c r="AF1313" s="4" t="inlineStr">
        <is>
          <t>Alcance (m): 16</t>
        </is>
      </c>
    </row>
    <row r="1314">
      <c r="A1314" s="3" t="inlineStr">
        <is>
          <t>MAT-28-015</t>
        </is>
      </c>
      <c r="B1314" s="3" t="inlineStr">
        <is>
          <t>Materiales</t>
        </is>
      </c>
      <c r="C1314" s="3" t="inlineStr">
        <is>
          <t>Alarmas y control de accesos</t>
        </is>
      </c>
      <c r="D1314" s="4" t="inlineStr">
        <is>
          <t>Contacto magnético para puerta o ventana</t>
        </is>
      </c>
      <c r="E1314" s="4" t="inlineStr"/>
      <c r="F1314" s="3" t="inlineStr">
        <is>
          <t>unidad</t>
        </is>
      </c>
      <c r="G1314" s="3" t="inlineStr">
        <is>
          <t>Instalaciones</t>
        </is>
      </c>
      <c r="H1314" s="3" t="inlineStr">
        <is>
          <t>estandar</t>
        </is>
      </c>
      <c r="I1314" s="3" t="inlineStr">
        <is>
          <t>importado</t>
        </is>
      </c>
      <c r="J1314" s="5" t="n">
        <v>1</v>
      </c>
      <c r="K1314" s="6" t="n">
        <v>1673.26</v>
      </c>
      <c r="L1314" s="6" t="n">
        <v>506.24</v>
      </c>
      <c r="M1314" s="6" t="n">
        <v>1989.25</v>
      </c>
      <c r="N1314" s="3" t="inlineStr">
        <is>
          <t>Sí</t>
        </is>
      </c>
      <c r="O1314" s="6">
        <f>IF(K1314="","",IF(N1314="Sí",ROUND(K1314/1.18,2),K1314))</f>
        <v/>
      </c>
      <c r="P1314" s="3" t="inlineStr">
        <is>
          <t>2026-09-09</t>
        </is>
      </c>
      <c r="Q1314" s="4" t="inlineStr">
        <is>
          <t>Ferretería Ochoa (8A)</t>
        </is>
      </c>
    </row>
    <row r="1315">
      <c r="A1315" s="3" t="inlineStr">
        <is>
          <t>MAT-28-016</t>
        </is>
      </c>
      <c r="B1315" s="3" t="inlineStr">
        <is>
          <t>Materiales</t>
        </is>
      </c>
      <c r="C1315" s="3" t="inlineStr">
        <is>
          <t>Alarmas y control de accesos</t>
        </is>
      </c>
      <c r="D1315" s="4" t="inlineStr">
        <is>
          <t>Sirena de alarma</t>
        </is>
      </c>
      <c r="E1315" s="4" t="inlineStr"/>
      <c r="F1315" s="3" t="inlineStr">
        <is>
          <t>unidad</t>
        </is>
      </c>
      <c r="G1315" s="3" t="inlineStr">
        <is>
          <t>Instalaciones</t>
        </is>
      </c>
      <c r="H1315" s="3" t="inlineStr">
        <is>
          <t>estandar</t>
        </is>
      </c>
      <c r="I1315" s="3" t="inlineStr">
        <is>
          <t>importado</t>
        </is>
      </c>
      <c r="J1315" s="5" t="n">
        <v>1</v>
      </c>
      <c r="K1315" s="6" t="n">
        <v>12406.5</v>
      </c>
      <c r="L1315" s="6" t="n">
        <v>713.99</v>
      </c>
      <c r="M1315" s="6" t="n">
        <v>49478.37</v>
      </c>
      <c r="N1315" s="3" t="inlineStr">
        <is>
          <t>Sí</t>
        </is>
      </c>
      <c r="O1315" s="6">
        <f>IF(K1315="","",IF(N1315="Sí",ROUND(K1315/1.18,2),K1315))</f>
        <v/>
      </c>
      <c r="P1315" s="3" t="inlineStr">
        <is>
          <t>2026-09-09</t>
        </is>
      </c>
      <c r="Q1315" s="4" t="inlineStr">
        <is>
          <t>Ferretería Ochoa (8A)</t>
        </is>
      </c>
      <c r="AF1315" s="4" t="inlineStr">
        <is>
          <t>Potencia (dB): 102</t>
        </is>
      </c>
    </row>
    <row r="1316">
      <c r="A1316" s="3" t="inlineStr">
        <is>
          <t>MAT-28-017</t>
        </is>
      </c>
      <c r="B1316" s="3" t="inlineStr">
        <is>
          <t>Materiales</t>
        </is>
      </c>
      <c r="C1316" s="3" t="inlineStr">
        <is>
          <t>Alarmas y control de accesos</t>
        </is>
      </c>
      <c r="D1316" s="4" t="inlineStr">
        <is>
          <t>Sirena de alarma de exterior</t>
        </is>
      </c>
      <c r="E1316" s="4" t="inlineStr"/>
      <c r="F1316" s="3" t="inlineStr">
        <is>
          <t>unidad</t>
        </is>
      </c>
      <c r="G1316" s="3" t="inlineStr">
        <is>
          <t>Instalaciones</t>
        </is>
      </c>
      <c r="H1316" s="3" t="inlineStr">
        <is>
          <t>estandar</t>
        </is>
      </c>
      <c r="I1316" s="3" t="inlineStr">
        <is>
          <t>importado</t>
        </is>
      </c>
      <c r="J1316" s="5" t="n">
        <v>1</v>
      </c>
      <c r="K1316" s="6" t="n">
        <v>5053.69</v>
      </c>
      <c r="L1316" s="6" t="n">
        <v>5053.69</v>
      </c>
      <c r="M1316" s="6" t="n">
        <v>5053.69</v>
      </c>
      <c r="N1316" s="3" t="inlineStr">
        <is>
          <t>Sí</t>
        </is>
      </c>
      <c r="O1316" s="6">
        <f>IF(K1316="","",IF(N1316="Sí",ROUND(K1316/1.18,2),K1316))</f>
        <v/>
      </c>
      <c r="P1316" s="3" t="inlineStr">
        <is>
          <t>2026-09-09</t>
        </is>
      </c>
      <c r="Q1316" s="4" t="inlineStr">
        <is>
          <t>Ferretería Ochoa (8A)</t>
        </is>
      </c>
      <c r="AF1316" s="4" t="inlineStr">
        <is>
          <t>Ubicación: exterior · Potencia (dB): 104</t>
        </is>
      </c>
    </row>
    <row r="1317">
      <c r="A1317" s="3" t="inlineStr">
        <is>
          <t>MAT-28-018</t>
        </is>
      </c>
      <c r="B1317" s="3" t="inlineStr">
        <is>
          <t>Materiales</t>
        </is>
      </c>
      <c r="C1317" s="3" t="inlineStr">
        <is>
          <t>Alarmas y control de accesos</t>
        </is>
      </c>
      <c r="D1317" s="4" t="inlineStr">
        <is>
          <t>Sirena de alarma de interior</t>
        </is>
      </c>
      <c r="E1317" s="4" t="inlineStr"/>
      <c r="F1317" s="3" t="inlineStr">
        <is>
          <t>unidad</t>
        </is>
      </c>
      <c r="G1317" s="3" t="inlineStr">
        <is>
          <t>Instalaciones</t>
        </is>
      </c>
      <c r="H1317" s="3" t="inlineStr">
        <is>
          <t>estandar</t>
        </is>
      </c>
      <c r="I1317" s="3" t="inlineStr">
        <is>
          <t>importado</t>
        </is>
      </c>
      <c r="J1317" s="5" t="n">
        <v>1</v>
      </c>
      <c r="K1317" s="6" t="n">
        <v>3381.4</v>
      </c>
      <c r="L1317" s="6" t="n">
        <v>3381.4</v>
      </c>
      <c r="M1317" s="6" t="n">
        <v>3381.4</v>
      </c>
      <c r="N1317" s="3" t="inlineStr">
        <is>
          <t>Sí</t>
        </is>
      </c>
      <c r="O1317" s="6">
        <f>IF(K1317="","",IF(N1317="Sí",ROUND(K1317/1.18,2),K1317))</f>
        <v/>
      </c>
      <c r="P1317" s="3" t="inlineStr">
        <is>
          <t>2026-09-09</t>
        </is>
      </c>
      <c r="Q1317" s="4" t="inlineStr">
        <is>
          <t>Ferretería Ochoa (8A)</t>
        </is>
      </c>
      <c r="AF1317" s="4" t="inlineStr">
        <is>
          <t>Ubicación: interior · Potencia (dB): 95</t>
        </is>
      </c>
    </row>
    <row r="1318">
      <c r="A1318" s="3" t="inlineStr">
        <is>
          <t>MAT-28-019</t>
        </is>
      </c>
      <c r="B1318" s="3" t="inlineStr">
        <is>
          <t>Materiales</t>
        </is>
      </c>
      <c r="C1318" s="3" t="inlineStr">
        <is>
          <t>Alarmas y control de accesos</t>
        </is>
      </c>
      <c r="D1318" s="4" t="inlineStr">
        <is>
          <t>Control de acceso</t>
        </is>
      </c>
      <c r="E1318" s="4" t="inlineStr"/>
      <c r="F1318" s="3" t="inlineStr">
        <is>
          <t>unidad</t>
        </is>
      </c>
      <c r="G1318" s="3" t="inlineStr">
        <is>
          <t>Instalaciones</t>
        </is>
      </c>
      <c r="H1318" s="3" t="inlineStr">
        <is>
          <t>estandar</t>
        </is>
      </c>
      <c r="I1318" s="3" t="inlineStr">
        <is>
          <t>importado</t>
        </is>
      </c>
      <c r="J1318" s="5" t="n">
        <v>1</v>
      </c>
      <c r="K1318" s="6" t="n">
        <v>14529.44</v>
      </c>
      <c r="L1318" s="6" t="n">
        <v>5063.11</v>
      </c>
      <c r="M1318" s="6" t="n">
        <v>51002.38</v>
      </c>
      <c r="N1318" s="3" t="inlineStr">
        <is>
          <t>Sí</t>
        </is>
      </c>
      <c r="O1318" s="6">
        <f>IF(K1318="","",IF(N1318="Sí",ROUND(K1318/1.18,2),K1318))</f>
        <v/>
      </c>
      <c r="P1318" s="3" t="inlineStr">
        <is>
          <t>2026-09-09</t>
        </is>
      </c>
      <c r="Q1318" s="4" t="inlineStr">
        <is>
          <t>Ferretería Ochoa (8A)</t>
        </is>
      </c>
    </row>
    <row r="1319">
      <c r="A1319" s="3" t="inlineStr">
        <is>
          <t>MAT-28-020</t>
        </is>
      </c>
      <c r="B1319" s="3" t="inlineStr">
        <is>
          <t>Materiales</t>
        </is>
      </c>
      <c r="C1319" s="3" t="inlineStr">
        <is>
          <t>Alarmas y control de accesos</t>
        </is>
      </c>
      <c r="D1319" s="4" t="inlineStr">
        <is>
          <t>Control de acceso huella</t>
        </is>
      </c>
      <c r="E1319" s="4" t="inlineStr"/>
      <c r="F1319" s="3" t="inlineStr">
        <is>
          <t>unidad</t>
        </is>
      </c>
      <c r="G1319" s="3" t="inlineStr">
        <is>
          <t>Instalaciones</t>
        </is>
      </c>
      <c r="H1319" s="3" t="inlineStr">
        <is>
          <t>estandar</t>
        </is>
      </c>
      <c r="I1319" s="3" t="inlineStr">
        <is>
          <t>importado</t>
        </is>
      </c>
      <c r="J1319" s="5" t="n">
        <v>1</v>
      </c>
      <c r="K1319" s="6" t="n">
        <v>16289.94</v>
      </c>
      <c r="L1319" s="6" t="n">
        <v>10930.42</v>
      </c>
      <c r="M1319" s="6" t="n">
        <v>48902.72</v>
      </c>
      <c r="N1319" s="3" t="inlineStr">
        <is>
          <t>Sí</t>
        </is>
      </c>
      <c r="O1319" s="6">
        <f>IF(K1319="","",IF(N1319="Sí",ROUND(K1319/1.18,2),K1319))</f>
        <v/>
      </c>
      <c r="P1319" s="3" t="inlineStr">
        <is>
          <t>2026-09-09</t>
        </is>
      </c>
      <c r="Q1319" s="4" t="inlineStr">
        <is>
          <t>Ferretería Ochoa (8A)</t>
        </is>
      </c>
      <c r="X1319" s="7" t="inlineStr">
        <is>
          <t>huella</t>
        </is>
      </c>
    </row>
    <row r="1320">
      <c r="A1320" s="3" t="inlineStr">
        <is>
          <t>MAT-28-021</t>
        </is>
      </c>
      <c r="B1320" s="3" t="inlineStr">
        <is>
          <t>Materiales</t>
        </is>
      </c>
      <c r="C1320" s="3" t="inlineStr">
        <is>
          <t>Alarmas y control de accesos</t>
        </is>
      </c>
      <c r="D1320" s="4" t="inlineStr">
        <is>
          <t>Control de acceso proximidad</t>
        </is>
      </c>
      <c r="E1320" s="4" t="inlineStr"/>
      <c r="F1320" s="3" t="inlineStr">
        <is>
          <t>unidad</t>
        </is>
      </c>
      <c r="G1320" s="3" t="inlineStr">
        <is>
          <t>Instalaciones</t>
        </is>
      </c>
      <c r="H1320" s="3" t="inlineStr">
        <is>
          <t>estandar</t>
        </is>
      </c>
      <c r="I1320" s="3" t="inlineStr">
        <is>
          <t>importado</t>
        </is>
      </c>
      <c r="J1320" s="5" t="n">
        <v>1</v>
      </c>
      <c r="K1320" s="6" t="n">
        <v>9465.780000000001</v>
      </c>
      <c r="L1320" s="6" t="n">
        <v>8365.110000000001</v>
      </c>
      <c r="M1320" s="6" t="n">
        <v>10566.44</v>
      </c>
      <c r="N1320" s="3" t="inlineStr">
        <is>
          <t>Sí</t>
        </is>
      </c>
      <c r="O1320" s="6">
        <f>IF(K1320="","",IF(N1320="Sí",ROUND(K1320/1.18,2),K1320))</f>
        <v/>
      </c>
      <c r="P1320" s="3" t="inlineStr">
        <is>
          <t>2026-09-09</t>
        </is>
      </c>
      <c r="Q1320" s="4" t="inlineStr">
        <is>
          <t>Ferretería Ochoa (8A)</t>
        </is>
      </c>
      <c r="X1320" s="7" t="inlineStr">
        <is>
          <t>proximidad</t>
        </is>
      </c>
    </row>
    <row r="1321">
      <c r="A1321" s="3" t="inlineStr">
        <is>
          <t>MAT-28-022</t>
        </is>
      </c>
      <c r="B1321" s="3" t="inlineStr">
        <is>
          <t>Materiales</t>
        </is>
      </c>
      <c r="C1321" s="3" t="inlineStr">
        <is>
          <t>Alarmas y control de accesos</t>
        </is>
      </c>
      <c r="D1321" s="4" t="inlineStr">
        <is>
          <t>Control de acceso teclado</t>
        </is>
      </c>
      <c r="E1321" s="4" t="inlineStr"/>
      <c r="F1321" s="3" t="inlineStr">
        <is>
          <t>unidad</t>
        </is>
      </c>
      <c r="G1321" s="3" t="inlineStr">
        <is>
          <t>Instalaciones</t>
        </is>
      </c>
      <c r="H1321" s="3" t="inlineStr">
        <is>
          <t>estandar</t>
        </is>
      </c>
      <c r="I1321" s="3" t="inlineStr">
        <is>
          <t>importado</t>
        </is>
      </c>
      <c r="J1321" s="5" t="n">
        <v>1</v>
      </c>
      <c r="K1321" s="6" t="n">
        <v>12767.79</v>
      </c>
      <c r="L1321" s="6" t="n">
        <v>12767.79</v>
      </c>
      <c r="M1321" s="6" t="n">
        <v>12767.79</v>
      </c>
      <c r="N1321" s="3" t="inlineStr">
        <is>
          <t>Sí</t>
        </is>
      </c>
      <c r="O1321" s="6">
        <f>IF(K1321="","",IF(N1321="Sí",ROUND(K1321/1.18,2),K1321))</f>
        <v/>
      </c>
      <c r="P1321" s="3" t="inlineStr">
        <is>
          <t>2026-09-09</t>
        </is>
      </c>
      <c r="Q1321" s="4" t="inlineStr">
        <is>
          <t>Ferretería Ochoa (8A)</t>
        </is>
      </c>
      <c r="X1321" s="7" t="inlineStr">
        <is>
          <t>teclado</t>
        </is>
      </c>
    </row>
    <row r="1322">
      <c r="A1322" s="3" t="inlineStr">
        <is>
          <t>MAT-28-024</t>
        </is>
      </c>
      <c r="B1322" s="3" t="inlineStr">
        <is>
          <t>Materiales</t>
        </is>
      </c>
      <c r="C1322" s="3" t="inlineStr">
        <is>
          <t>Alarmas y control de accesos</t>
        </is>
      </c>
      <c r="D1322" s="4" t="inlineStr">
        <is>
          <t>Accesorio de sistema de alarma</t>
        </is>
      </c>
      <c r="E1322" s="4" t="inlineStr"/>
      <c r="F1322" s="3" t="inlineStr">
        <is>
          <t>unidad</t>
        </is>
      </c>
      <c r="G1322" s="3" t="inlineStr">
        <is>
          <t>Instalaciones</t>
        </is>
      </c>
      <c r="H1322" s="3" t="inlineStr">
        <is>
          <t>estandar</t>
        </is>
      </c>
      <c r="I1322" s="3" t="inlineStr">
        <is>
          <t>importado</t>
        </is>
      </c>
      <c r="J1322" s="5" t="n">
        <v>1</v>
      </c>
      <c r="K1322" s="6" t="n">
        <v>1838.69</v>
      </c>
      <c r="L1322" s="6" t="n">
        <v>146.83</v>
      </c>
      <c r="M1322" s="6" t="n">
        <v>34654.38</v>
      </c>
      <c r="N1322" s="3" t="inlineStr">
        <is>
          <t>Sí</t>
        </is>
      </c>
      <c r="O1322" s="6">
        <f>IF(K1322="","",IF(N1322="Sí",ROUND(K1322/1.18,2),K1322))</f>
        <v/>
      </c>
      <c r="P1322" s="3" t="inlineStr">
        <is>
          <t>2026-09-09</t>
        </is>
      </c>
      <c r="Q1322" s="4" t="inlineStr">
        <is>
          <t>Ferretería Ochoa (8A)</t>
        </is>
      </c>
    </row>
    <row r="1323">
      <c r="A1323" s="3" t="inlineStr">
        <is>
          <t>MAT-29-003</t>
        </is>
      </c>
      <c r="B1323" s="3" t="inlineStr">
        <is>
          <t>Materiales</t>
        </is>
      </c>
      <c r="C1323" s="3" t="inlineStr">
        <is>
          <t>Detección de incendios</t>
        </is>
      </c>
      <c r="D1323" s="4" t="inlineStr">
        <is>
          <t>Detector para sistema de incendio de calor</t>
        </is>
      </c>
      <c r="E1323" s="4" t="inlineStr"/>
      <c r="F1323" s="3" t="inlineStr">
        <is>
          <t>unidad</t>
        </is>
      </c>
      <c r="G1323" s="3" t="inlineStr">
        <is>
          <t>Instalaciones</t>
        </is>
      </c>
      <c r="H1323" s="3" t="inlineStr">
        <is>
          <t>estandar</t>
        </is>
      </c>
      <c r="I1323" s="3" t="inlineStr">
        <is>
          <t>importado</t>
        </is>
      </c>
      <c r="J1323" s="5" t="n">
        <v>1</v>
      </c>
      <c r="K1323" s="6" t="n">
        <v>1780.89</v>
      </c>
      <c r="L1323" s="6" t="n">
        <v>1508.54</v>
      </c>
      <c r="M1323" s="6" t="n">
        <v>2053.24</v>
      </c>
      <c r="N1323" s="3" t="inlineStr">
        <is>
          <t>Sí</t>
        </is>
      </c>
      <c r="O1323" s="6">
        <f>IF(K1323="","",IF(N1323="Sí",ROUND(K1323/1.18,2),K1323))</f>
        <v/>
      </c>
      <c r="P1323" s="3" t="inlineStr">
        <is>
          <t>2026-09-09</t>
        </is>
      </c>
      <c r="Q1323" s="4" t="inlineStr">
        <is>
          <t>Ferretería Ochoa (8A)</t>
        </is>
      </c>
      <c r="AF1323" s="4" t="inlineStr">
        <is>
          <t>Detección: calor</t>
        </is>
      </c>
    </row>
    <row r="1324">
      <c r="A1324" s="3" t="inlineStr">
        <is>
          <t>MAT-29-004</t>
        </is>
      </c>
      <c r="B1324" s="3" t="inlineStr">
        <is>
          <t>Materiales</t>
        </is>
      </c>
      <c r="C1324" s="3" t="inlineStr">
        <is>
          <t>Detección de incendios</t>
        </is>
      </c>
      <c r="D1324" s="4" t="inlineStr">
        <is>
          <t>Detector para sistema de incendio de humo</t>
        </is>
      </c>
      <c r="E1324" s="4" t="inlineStr"/>
      <c r="F1324" s="3" t="inlineStr">
        <is>
          <t>unidad</t>
        </is>
      </c>
      <c r="G1324" s="3" t="inlineStr">
        <is>
          <t>Instalaciones</t>
        </is>
      </c>
      <c r="H1324" s="3" t="inlineStr">
        <is>
          <t>estandar</t>
        </is>
      </c>
      <c r="I1324" s="3" t="inlineStr">
        <is>
          <t>importado</t>
        </is>
      </c>
      <c r="J1324" s="5" t="n">
        <v>1</v>
      </c>
      <c r="K1324" s="6" t="n">
        <v>2135.37</v>
      </c>
      <c r="L1324" s="6" t="n">
        <v>1934.03</v>
      </c>
      <c r="M1324" s="6" t="n">
        <v>23981.94</v>
      </c>
      <c r="N1324" s="3" t="inlineStr">
        <is>
          <t>Sí</t>
        </is>
      </c>
      <c r="O1324" s="6">
        <f>IF(K1324="","",IF(N1324="Sí",ROUND(K1324/1.18,2),K1324))</f>
        <v/>
      </c>
      <c r="P1324" s="3" t="inlineStr">
        <is>
          <t>2026-09-09</t>
        </is>
      </c>
      <c r="Q1324" s="4" t="inlineStr">
        <is>
          <t>Ferretería Ochoa (8A)</t>
        </is>
      </c>
      <c r="AF1324" s="4" t="inlineStr">
        <is>
          <t>Detección: humo</t>
        </is>
      </c>
    </row>
    <row r="1325">
      <c r="A1325" s="3" t="inlineStr">
        <is>
          <t>MAT-29-005</t>
        </is>
      </c>
      <c r="B1325" s="3" t="inlineStr">
        <is>
          <t>Materiales</t>
        </is>
      </c>
      <c r="C1325" s="3" t="inlineStr">
        <is>
          <t>Detección de incendios</t>
        </is>
      </c>
      <c r="D1325" s="4" t="inlineStr">
        <is>
          <t>Detector para sistema de incendio de humo y calor</t>
        </is>
      </c>
      <c r="E1325" s="4" t="inlineStr"/>
      <c r="F1325" s="3" t="inlineStr">
        <is>
          <t>unidad</t>
        </is>
      </c>
      <c r="G1325" s="3" t="inlineStr">
        <is>
          <t>Instalaciones</t>
        </is>
      </c>
      <c r="H1325" s="3" t="inlineStr">
        <is>
          <t>estandar</t>
        </is>
      </c>
      <c r="I1325" s="3" t="inlineStr">
        <is>
          <t>importado</t>
        </is>
      </c>
      <c r="J1325" s="5" t="n">
        <v>1</v>
      </c>
      <c r="K1325" s="6" t="n">
        <v>1657.72</v>
      </c>
      <c r="L1325" s="6" t="n">
        <v>1657.72</v>
      </c>
      <c r="M1325" s="6" t="n">
        <v>1657.72</v>
      </c>
      <c r="N1325" s="3" t="inlineStr">
        <is>
          <t>Sí</t>
        </is>
      </c>
      <c r="O1325" s="6">
        <f>IF(K1325="","",IF(N1325="Sí",ROUND(K1325/1.18,2),K1325))</f>
        <v/>
      </c>
      <c r="P1325" s="3" t="inlineStr">
        <is>
          <t>2026-09-09</t>
        </is>
      </c>
      <c r="Q1325" s="4" t="inlineStr">
        <is>
          <t>Ferretería Ochoa (8A)</t>
        </is>
      </c>
      <c r="AF1325" s="4" t="inlineStr">
        <is>
          <t>Detección: humo y calor</t>
        </is>
      </c>
    </row>
    <row r="1326">
      <c r="A1326" s="3" t="inlineStr">
        <is>
          <t>MAT-29-006</t>
        </is>
      </c>
      <c r="B1326" s="3" t="inlineStr">
        <is>
          <t>Materiales</t>
        </is>
      </c>
      <c r="C1326" s="3" t="inlineStr">
        <is>
          <t>Detección de incendios</t>
        </is>
      </c>
      <c r="D1326" s="4" t="inlineStr">
        <is>
          <t>Estación manual de incendio</t>
        </is>
      </c>
      <c r="E1326" s="4" t="inlineStr"/>
      <c r="F1326" s="3" t="inlineStr">
        <is>
          <t>unidad</t>
        </is>
      </c>
      <c r="G1326" s="3" t="inlineStr">
        <is>
          <t>Instalaciones</t>
        </is>
      </c>
      <c r="H1326" s="3" t="inlineStr">
        <is>
          <t>estandar</t>
        </is>
      </c>
      <c r="I1326" s="3" t="inlineStr">
        <is>
          <t>importado</t>
        </is>
      </c>
      <c r="J1326" s="5" t="n">
        <v>1</v>
      </c>
      <c r="K1326" s="6" t="n">
        <v>2358.36</v>
      </c>
      <c r="L1326" s="6" t="n">
        <v>870.3</v>
      </c>
      <c r="M1326" s="6" t="n">
        <v>4065.41</v>
      </c>
      <c r="N1326" s="3" t="inlineStr">
        <is>
          <t>Sí</t>
        </is>
      </c>
      <c r="O1326" s="6">
        <f>IF(K1326="","",IF(N1326="Sí",ROUND(K1326/1.18,2),K1326))</f>
        <v/>
      </c>
      <c r="P1326" s="3" t="inlineStr">
        <is>
          <t>2026-09-09</t>
        </is>
      </c>
      <c r="Q1326" s="4" t="inlineStr">
        <is>
          <t>Ferretería Ochoa (8A)</t>
        </is>
      </c>
    </row>
    <row r="1327">
      <c r="A1327" s="3" t="inlineStr">
        <is>
          <t>MAT-29-007</t>
        </is>
      </c>
      <c r="B1327" s="3" t="inlineStr">
        <is>
          <t>Materiales</t>
        </is>
      </c>
      <c r="C1327" s="3" t="inlineStr">
        <is>
          <t>Detección de incendios</t>
        </is>
      </c>
      <c r="D1327" s="4" t="inlineStr">
        <is>
          <t>Sirena o estrobo de incendio</t>
        </is>
      </c>
      <c r="E1327" s="4" t="inlineStr"/>
      <c r="F1327" s="3" t="inlineStr">
        <is>
          <t>unidad</t>
        </is>
      </c>
      <c r="G1327" s="3" t="inlineStr">
        <is>
          <t>Instalaciones</t>
        </is>
      </c>
      <c r="H1327" s="3" t="inlineStr">
        <is>
          <t>estandar</t>
        </is>
      </c>
      <c r="I1327" s="3" t="inlineStr">
        <is>
          <t>importado</t>
        </is>
      </c>
      <c r="J1327" s="5" t="n">
        <v>1</v>
      </c>
      <c r="K1327" s="6" t="n">
        <v>3502.55</v>
      </c>
      <c r="L1327" s="6" t="n">
        <v>3502.55</v>
      </c>
      <c r="M1327" s="6" t="n">
        <v>3502.55</v>
      </c>
      <c r="N1327" s="3" t="inlineStr">
        <is>
          <t>Sí</t>
        </is>
      </c>
      <c r="O1327" s="6">
        <f>IF(K1327="","",IF(N1327="Sí",ROUND(K1327/1.18,2),K1327))</f>
        <v/>
      </c>
      <c r="P1327" s="3" t="inlineStr">
        <is>
          <t>2026-09-09</t>
        </is>
      </c>
      <c r="Q1327" s="4" t="inlineStr">
        <is>
          <t>Ferretería Ochoa (8A)</t>
        </is>
      </c>
    </row>
    <row r="1328">
      <c r="A1328" s="3" t="inlineStr">
        <is>
          <t>MAT-29-008</t>
        </is>
      </c>
      <c r="B1328" s="3" t="inlineStr">
        <is>
          <t>Materiales</t>
        </is>
      </c>
      <c r="C1328" s="3" t="inlineStr">
        <is>
          <t>Detección de incendios</t>
        </is>
      </c>
      <c r="D1328" s="4" t="inlineStr">
        <is>
          <t>Accesorio de sistema de incendio</t>
        </is>
      </c>
      <c r="E1328" s="4" t="inlineStr"/>
      <c r="F1328" s="3" t="inlineStr">
        <is>
          <t>unidad</t>
        </is>
      </c>
      <c r="G1328" s="3" t="inlineStr">
        <is>
          <t>Instalaciones</t>
        </is>
      </c>
      <c r="H1328" s="3" t="inlineStr">
        <is>
          <t>estandar</t>
        </is>
      </c>
      <c r="I1328" s="3" t="inlineStr">
        <is>
          <t>importado</t>
        </is>
      </c>
      <c r="J1328" s="5" t="n">
        <v>1</v>
      </c>
      <c r="K1328" s="6" t="n">
        <v>270.76</v>
      </c>
      <c r="L1328" s="6" t="n">
        <v>232.07</v>
      </c>
      <c r="M1328" s="6" t="n">
        <v>615.97</v>
      </c>
      <c r="N1328" s="3" t="inlineStr">
        <is>
          <t>Sí</t>
        </is>
      </c>
      <c r="O1328" s="6">
        <f>IF(K1328="","",IF(N1328="Sí",ROUND(K1328/1.18,2),K1328))</f>
        <v/>
      </c>
      <c r="P1328" s="3" t="inlineStr">
        <is>
          <t>2026-09-09</t>
        </is>
      </c>
      <c r="Q1328" s="4" t="inlineStr">
        <is>
          <t>Ferretería Ochoa (8A)</t>
        </is>
      </c>
    </row>
    <row r="1329">
      <c r="A1329" s="3" t="inlineStr">
        <is>
          <t>MAT-30-003</t>
        </is>
      </c>
      <c r="B1329" s="3" t="inlineStr">
        <is>
          <t>Materiales</t>
        </is>
      </c>
      <c r="C1329" s="3" t="inlineStr">
        <is>
          <t>Cableado estructurado y redes</t>
        </is>
      </c>
      <c r="D1329" s="4" t="inlineStr">
        <is>
          <t>Cable de red blindado</t>
        </is>
      </c>
      <c r="E1329" s="4" t="inlineStr"/>
      <c r="F1329" s="3" t="inlineStr">
        <is>
          <t>rollo</t>
        </is>
      </c>
      <c r="G1329" s="3" t="inlineStr">
        <is>
          <t>Instalaciones</t>
        </is>
      </c>
      <c r="H1329" s="3" t="inlineStr">
        <is>
          <t>estandar</t>
        </is>
      </c>
      <c r="I1329" s="3" t="inlineStr">
        <is>
          <t>importado</t>
        </is>
      </c>
      <c r="J1329" s="5" t="n">
        <v>1</v>
      </c>
      <c r="K1329" s="6" t="n">
        <v>1675.6</v>
      </c>
      <c r="L1329" s="6" t="n">
        <v>1675.6</v>
      </c>
      <c r="M1329" s="6" t="n">
        <v>1675.6</v>
      </c>
      <c r="N1329" s="3" t="inlineStr">
        <is>
          <t>Sí</t>
        </is>
      </c>
      <c r="O1329" s="6">
        <f>IF(K1329="","",IF(N1329="Sí",ROUND(K1329/1.18,2),K1329))</f>
        <v/>
      </c>
      <c r="P1329" s="3" t="inlineStr">
        <is>
          <t>2026-09-09</t>
        </is>
      </c>
      <c r="Q1329" s="4" t="inlineStr">
        <is>
          <t>Ferretería Ochoa (8A)</t>
        </is>
      </c>
      <c r="AF1329" s="4" t="inlineStr">
        <is>
          <t>Blindaje: blindado</t>
        </is>
      </c>
    </row>
    <row r="1330">
      <c r="A1330" s="3" t="inlineStr">
        <is>
          <t>MAT-30-004</t>
        </is>
      </c>
      <c r="B1330" s="3" t="inlineStr">
        <is>
          <t>Materiales</t>
        </is>
      </c>
      <c r="C1330" s="3" t="inlineStr">
        <is>
          <t>Cableado estructurado y redes</t>
        </is>
      </c>
      <c r="D1330" s="4" t="inlineStr">
        <is>
          <t>Cable de red Cat 5</t>
        </is>
      </c>
      <c r="E1330" s="4" t="inlineStr"/>
      <c r="F1330" s="3" t="inlineStr">
        <is>
          <t>rollo</t>
        </is>
      </c>
      <c r="G1330" s="3" t="inlineStr">
        <is>
          <t>Instalaciones</t>
        </is>
      </c>
      <c r="H1330" s="3" t="inlineStr">
        <is>
          <t>estandar</t>
        </is>
      </c>
      <c r="I1330" s="3" t="inlineStr">
        <is>
          <t>importado</t>
        </is>
      </c>
      <c r="J1330" s="5" t="n">
        <v>1</v>
      </c>
      <c r="K1330" s="6" t="n">
        <v>106.6</v>
      </c>
      <c r="L1330" s="6" t="n">
        <v>72.59999999999999</v>
      </c>
      <c r="M1330" s="6" t="n">
        <v>125.64</v>
      </c>
      <c r="N1330" s="3" t="inlineStr">
        <is>
          <t>Sí</t>
        </is>
      </c>
      <c r="O1330" s="6">
        <f>IF(K1330="","",IF(N1330="Sí",ROUND(K1330/1.18,2),K1330))</f>
        <v/>
      </c>
      <c r="P1330" s="3" t="inlineStr">
        <is>
          <t>2026-09-09</t>
        </is>
      </c>
      <c r="Q1330" s="4" t="inlineStr">
        <is>
          <t>Ferretería Ochoa (8A)</t>
        </is>
      </c>
      <c r="AF1330" s="4" t="inlineStr">
        <is>
          <t>Categoría de cable: 5 · Largo (m): 305</t>
        </is>
      </c>
    </row>
    <row r="1331">
      <c r="A1331" s="3" t="inlineStr">
        <is>
          <t>MAT-30-005</t>
        </is>
      </c>
      <c r="B1331" s="3" t="inlineStr">
        <is>
          <t>Materiales</t>
        </is>
      </c>
      <c r="C1331" s="3" t="inlineStr">
        <is>
          <t>Cableado estructurado y redes</t>
        </is>
      </c>
      <c r="D1331" s="4" t="inlineStr">
        <is>
          <t>Cable de red Cat 5 blindado</t>
        </is>
      </c>
      <c r="E1331" s="4" t="inlineStr"/>
      <c r="F1331" s="3" t="inlineStr">
        <is>
          <t>rollo</t>
        </is>
      </c>
      <c r="G1331" s="3" t="inlineStr">
        <is>
          <t>Instalaciones</t>
        </is>
      </c>
      <c r="H1331" s="3" t="inlineStr">
        <is>
          <t>estandar</t>
        </is>
      </c>
      <c r="I1331" s="3" t="inlineStr">
        <is>
          <t>importado</t>
        </is>
      </c>
      <c r="J1331" s="5" t="n">
        <v>1</v>
      </c>
      <c r="K1331" s="6" t="n">
        <v>813.6</v>
      </c>
      <c r="L1331" s="6" t="n">
        <v>813.6</v>
      </c>
      <c r="M1331" s="6" t="n">
        <v>813.6</v>
      </c>
      <c r="N1331" s="3" t="inlineStr">
        <is>
          <t>Sí</t>
        </is>
      </c>
      <c r="O1331" s="6">
        <f>IF(K1331="","",IF(N1331="Sí",ROUND(K1331/1.18,2),K1331))</f>
        <v/>
      </c>
      <c r="P1331" s="3" t="inlineStr">
        <is>
          <t>2026-09-09</t>
        </is>
      </c>
      <c r="Q1331" s="4" t="inlineStr">
        <is>
          <t>Ferretería Ochoa (8A)</t>
        </is>
      </c>
      <c r="AF1331" s="4" t="inlineStr">
        <is>
          <t>Categoría de cable: 5 · Blindaje: blindado</t>
        </is>
      </c>
    </row>
    <row r="1332">
      <c r="A1332" s="3" t="inlineStr">
        <is>
          <t>MAT-30-007</t>
        </is>
      </c>
      <c r="B1332" s="3" t="inlineStr">
        <is>
          <t>Materiales</t>
        </is>
      </c>
      <c r="C1332" s="3" t="inlineStr">
        <is>
          <t>Cableado estructurado y redes</t>
        </is>
      </c>
      <c r="D1332" s="4" t="inlineStr">
        <is>
          <t>Cable de red Cat 6A</t>
        </is>
      </c>
      <c r="E1332" s="4" t="inlineStr"/>
      <c r="F1332" s="3" t="inlineStr">
        <is>
          <t>rollo</t>
        </is>
      </c>
      <c r="G1332" s="3" t="inlineStr">
        <is>
          <t>Instalaciones</t>
        </is>
      </c>
      <c r="H1332" s="3" t="inlineStr">
        <is>
          <t>estandar</t>
        </is>
      </c>
      <c r="I1332" s="3" t="inlineStr">
        <is>
          <t>importado</t>
        </is>
      </c>
      <c r="J1332" s="5" t="n">
        <v>1</v>
      </c>
      <c r="K1332" s="6" t="n">
        <v>466.67</v>
      </c>
      <c r="L1332" s="6" t="n">
        <v>215.59</v>
      </c>
      <c r="M1332" s="6" t="n">
        <v>860.04</v>
      </c>
      <c r="N1332" s="3" t="inlineStr">
        <is>
          <t>Sí</t>
        </is>
      </c>
      <c r="O1332" s="6">
        <f>IF(K1332="","",IF(N1332="Sí",ROUND(K1332/1.18,2),K1332))</f>
        <v/>
      </c>
      <c r="P1332" s="3" t="inlineStr">
        <is>
          <t>2026-09-09</t>
        </is>
      </c>
      <c r="Q1332" s="4" t="inlineStr">
        <is>
          <t>Ferretería Ochoa (8A)</t>
        </is>
      </c>
      <c r="AF1332" s="4" t="inlineStr">
        <is>
          <t>Categoría de cable: 6A</t>
        </is>
      </c>
    </row>
    <row r="1333">
      <c r="A1333" s="3" t="inlineStr">
        <is>
          <t>MAT-30-009</t>
        </is>
      </c>
      <c r="B1333" s="3" t="inlineStr">
        <is>
          <t>Materiales</t>
        </is>
      </c>
      <c r="C1333" s="3" t="inlineStr">
        <is>
          <t>Cableado estructurado y redes</t>
        </is>
      </c>
      <c r="D1333" s="4" t="inlineStr">
        <is>
          <t>Jack RJ45 Cat 5</t>
        </is>
      </c>
      <c r="E1333" s="4" t="inlineStr"/>
      <c r="F1333" s="3" t="inlineStr">
        <is>
          <t>unidad</t>
        </is>
      </c>
      <c r="G1333" s="3" t="inlineStr">
        <is>
          <t>Instalaciones</t>
        </is>
      </c>
      <c r="H1333" s="3" t="inlineStr">
        <is>
          <t>estandar</t>
        </is>
      </c>
      <c r="I1333" s="3" t="inlineStr">
        <is>
          <t>importado</t>
        </is>
      </c>
      <c r="J1333" s="5" t="n">
        <v>1</v>
      </c>
      <c r="K1333" s="6" t="n">
        <v>106.97</v>
      </c>
      <c r="L1333" s="6" t="n">
        <v>106.97</v>
      </c>
      <c r="M1333" s="6" t="n">
        <v>106.97</v>
      </c>
      <c r="N1333" s="3" t="inlineStr">
        <is>
          <t>Sí</t>
        </is>
      </c>
      <c r="O1333" s="6">
        <f>IF(K1333="","",IF(N1333="Sí",ROUND(K1333/1.18,2),K1333))</f>
        <v/>
      </c>
      <c r="P1333" s="3" t="inlineStr">
        <is>
          <t>2026-09-09</t>
        </is>
      </c>
      <c r="Q1333" s="4" t="inlineStr">
        <is>
          <t>Ferretería Ochoa (8A)</t>
        </is>
      </c>
      <c r="AF1333" s="4" t="inlineStr">
        <is>
          <t>Categoría de cable: 5</t>
        </is>
      </c>
    </row>
    <row r="1334">
      <c r="A1334" s="3" t="inlineStr">
        <is>
          <t>MAT-30-010</t>
        </is>
      </c>
      <c r="B1334" s="3" t="inlineStr">
        <is>
          <t>Materiales</t>
        </is>
      </c>
      <c r="C1334" s="3" t="inlineStr">
        <is>
          <t>Cableado estructurado y redes</t>
        </is>
      </c>
      <c r="D1334" s="4" t="inlineStr">
        <is>
          <t>Jack RJ45 Cat 6</t>
        </is>
      </c>
      <c r="E1334" s="4" t="inlineStr"/>
      <c r="F1334" s="3" t="inlineStr">
        <is>
          <t>unidad</t>
        </is>
      </c>
      <c r="G1334" s="3" t="inlineStr">
        <is>
          <t>Instalaciones</t>
        </is>
      </c>
      <c r="H1334" s="3" t="inlineStr">
        <is>
          <t>estandar</t>
        </is>
      </c>
      <c r="I1334" s="3" t="inlineStr">
        <is>
          <t>importado</t>
        </is>
      </c>
      <c r="J1334" s="5" t="n">
        <v>1</v>
      </c>
      <c r="K1334" s="6" t="n">
        <v>254.97</v>
      </c>
      <c r="L1334" s="6" t="n">
        <v>189.16</v>
      </c>
      <c r="M1334" s="6" t="n">
        <v>1513.22</v>
      </c>
      <c r="N1334" s="3" t="inlineStr">
        <is>
          <t>Sí</t>
        </is>
      </c>
      <c r="O1334" s="6">
        <f>IF(K1334="","",IF(N1334="Sí",ROUND(K1334/1.18,2),K1334))</f>
        <v/>
      </c>
      <c r="P1334" s="3" t="inlineStr">
        <is>
          <t>2026-09-09</t>
        </is>
      </c>
      <c r="Q1334" s="4" t="inlineStr">
        <is>
          <t>Ferretería Ochoa (8A)</t>
        </is>
      </c>
      <c r="AF1334" s="4" t="inlineStr">
        <is>
          <t>Categoría de cable: 6</t>
        </is>
      </c>
    </row>
    <row r="1335">
      <c r="A1335" s="3" t="inlineStr">
        <is>
          <t>MAT-30-011</t>
        </is>
      </c>
      <c r="B1335" s="3" t="inlineStr">
        <is>
          <t>Materiales</t>
        </is>
      </c>
      <c r="C1335" s="3" t="inlineStr">
        <is>
          <t>Cableado estructurado y redes</t>
        </is>
      </c>
      <c r="D1335" s="4" t="inlineStr">
        <is>
          <t>Jack RJ45 Cat 6A</t>
        </is>
      </c>
      <c r="E1335" s="4" t="inlineStr"/>
      <c r="F1335" s="3" t="inlineStr">
        <is>
          <t>unidad</t>
        </is>
      </c>
      <c r="G1335" s="3" t="inlineStr">
        <is>
          <t>Instalaciones</t>
        </is>
      </c>
      <c r="H1335" s="3" t="inlineStr">
        <is>
          <t>estandar</t>
        </is>
      </c>
      <c r="I1335" s="3" t="inlineStr">
        <is>
          <t>importado</t>
        </is>
      </c>
      <c r="J1335" s="5" t="n">
        <v>1</v>
      </c>
      <c r="K1335" s="6" t="n">
        <v>256.97</v>
      </c>
      <c r="L1335" s="6" t="n">
        <v>256.97</v>
      </c>
      <c r="M1335" s="6" t="n">
        <v>256.97</v>
      </c>
      <c r="N1335" s="3" t="inlineStr">
        <is>
          <t>Sí</t>
        </is>
      </c>
      <c r="O1335" s="6">
        <f>IF(K1335="","",IF(N1335="Sí",ROUND(K1335/1.18,2),K1335))</f>
        <v/>
      </c>
      <c r="P1335" s="3" t="inlineStr">
        <is>
          <t>2026-09-09</t>
        </is>
      </c>
      <c r="Q1335" s="4" t="inlineStr">
        <is>
          <t>Ferretería Ochoa (8A)</t>
        </is>
      </c>
      <c r="AF1335" s="4" t="inlineStr">
        <is>
          <t>Categoría de cable: 6A</t>
        </is>
      </c>
    </row>
    <row r="1336">
      <c r="A1336" s="3" t="inlineStr">
        <is>
          <t>MAT-30-012</t>
        </is>
      </c>
      <c r="B1336" s="3" t="inlineStr">
        <is>
          <t>Materiales</t>
        </is>
      </c>
      <c r="C1336" s="3" t="inlineStr">
        <is>
          <t>Cableado estructurado y redes</t>
        </is>
      </c>
      <c r="D1336" s="4" t="inlineStr">
        <is>
          <t>Jack RJ45 Cat 6A blindado</t>
        </is>
      </c>
      <c r="E1336" s="4" t="inlineStr"/>
      <c r="F1336" s="3" t="inlineStr">
        <is>
          <t>unidad</t>
        </is>
      </c>
      <c r="G1336" s="3" t="inlineStr">
        <is>
          <t>Instalaciones</t>
        </is>
      </c>
      <c r="H1336" s="3" t="inlineStr">
        <is>
          <t>estandar</t>
        </is>
      </c>
      <c r="I1336" s="3" t="inlineStr">
        <is>
          <t>importado</t>
        </is>
      </c>
      <c r="J1336" s="5" t="n">
        <v>1</v>
      </c>
      <c r="K1336" s="6" t="n">
        <v>334.53</v>
      </c>
      <c r="L1336" s="6" t="n">
        <v>275.76</v>
      </c>
      <c r="M1336" s="6" t="n">
        <v>439.42</v>
      </c>
      <c r="N1336" s="3" t="inlineStr">
        <is>
          <t>Sí</t>
        </is>
      </c>
      <c r="O1336" s="6">
        <f>IF(K1336="","",IF(N1336="Sí",ROUND(K1336/1.18,2),K1336))</f>
        <v/>
      </c>
      <c r="P1336" s="3" t="inlineStr">
        <is>
          <t>2026-09-09</t>
        </is>
      </c>
      <c r="Q1336" s="4" t="inlineStr">
        <is>
          <t>Ferretería Ochoa (8A)</t>
        </is>
      </c>
      <c r="AF1336" s="4" t="inlineStr">
        <is>
          <t>Categoría de cable: 6A · Blindaje: blindado</t>
        </is>
      </c>
    </row>
    <row r="1337">
      <c r="A1337" s="3" t="inlineStr">
        <is>
          <t>MAT-30-013</t>
        </is>
      </c>
      <c r="B1337" s="3" t="inlineStr">
        <is>
          <t>Materiales</t>
        </is>
      </c>
      <c r="C1337" s="3" t="inlineStr">
        <is>
          <t>Cableado estructurado y redes</t>
        </is>
      </c>
      <c r="D1337" s="4" t="inlineStr">
        <is>
          <t>Patch panel</t>
        </is>
      </c>
      <c r="E1337" s="4" t="inlineStr"/>
      <c r="F1337" s="3" t="inlineStr">
        <is>
          <t>unidad</t>
        </is>
      </c>
      <c r="G1337" s="3" t="inlineStr">
        <is>
          <t>Instalaciones</t>
        </is>
      </c>
      <c r="H1337" s="3" t="inlineStr">
        <is>
          <t>estandar</t>
        </is>
      </c>
      <c r="I1337" s="3" t="inlineStr">
        <is>
          <t>importado</t>
        </is>
      </c>
      <c r="J1337" s="5" t="n">
        <v>1</v>
      </c>
      <c r="K1337" s="6" t="n">
        <v>1305.12</v>
      </c>
      <c r="L1337" s="6" t="n">
        <v>192.87</v>
      </c>
      <c r="M1337" s="6" t="n">
        <v>1396.76</v>
      </c>
      <c r="N1337" s="3" t="inlineStr">
        <is>
          <t>Sí</t>
        </is>
      </c>
      <c r="O1337" s="6">
        <f>IF(K1337="","",IF(N1337="Sí",ROUND(K1337/1.18,2),K1337))</f>
        <v/>
      </c>
      <c r="P1337" s="3" t="inlineStr">
        <is>
          <t>2026-09-09</t>
        </is>
      </c>
      <c r="Q1337" s="4" t="inlineStr">
        <is>
          <t>Ferretería Ochoa (8A)</t>
        </is>
      </c>
    </row>
    <row r="1338">
      <c r="A1338" s="3" t="inlineStr">
        <is>
          <t>MAT-30-014</t>
        </is>
      </c>
      <c r="B1338" s="3" t="inlineStr">
        <is>
          <t>Materiales</t>
        </is>
      </c>
      <c r="C1338" s="3" t="inlineStr">
        <is>
          <t>Cableado estructurado y redes</t>
        </is>
      </c>
      <c r="D1338" s="4" t="inlineStr">
        <is>
          <t>Patch panel 24 puertos</t>
        </is>
      </c>
      <c r="E1338" s="4" t="inlineStr"/>
      <c r="F1338" s="3" t="inlineStr">
        <is>
          <t>unidad</t>
        </is>
      </c>
      <c r="G1338" s="3" t="inlineStr">
        <is>
          <t>Instalaciones</t>
        </is>
      </c>
      <c r="H1338" s="3" t="inlineStr">
        <is>
          <t>estandar</t>
        </is>
      </c>
      <c r="I1338" s="3" t="inlineStr">
        <is>
          <t>importado</t>
        </is>
      </c>
      <c r="J1338" s="5" t="n">
        <v>1</v>
      </c>
      <c r="K1338" s="6" t="n">
        <v>5568.67</v>
      </c>
      <c r="L1338" s="6" t="n">
        <v>5568.67</v>
      </c>
      <c r="M1338" s="6" t="n">
        <v>5568.67</v>
      </c>
      <c r="N1338" s="3" t="inlineStr">
        <is>
          <t>Sí</t>
        </is>
      </c>
      <c r="O1338" s="6">
        <f>IF(K1338="","",IF(N1338="Sí",ROUND(K1338/1.18,2),K1338))</f>
        <v/>
      </c>
      <c r="P1338" s="3" t="inlineStr">
        <is>
          <t>2026-09-09</t>
        </is>
      </c>
      <c r="Q1338" s="4" t="inlineStr">
        <is>
          <t>Ferretería Ochoa (8A)</t>
        </is>
      </c>
      <c r="AF1338" s="4" t="inlineStr">
        <is>
          <t>Puertos: 24</t>
        </is>
      </c>
    </row>
    <row r="1339">
      <c r="A1339" s="3" t="inlineStr">
        <is>
          <t>MAT-30-015</t>
        </is>
      </c>
      <c r="B1339" s="3" t="inlineStr">
        <is>
          <t>Materiales</t>
        </is>
      </c>
      <c r="C1339" s="3" t="inlineStr">
        <is>
          <t>Cableado estructurado y redes</t>
        </is>
      </c>
      <c r="D1339" s="4" t="inlineStr">
        <is>
          <t>Patch panel 48 puertos</t>
        </is>
      </c>
      <c r="E1339" s="4" t="inlineStr"/>
      <c r="F1339" s="3" t="inlineStr">
        <is>
          <t>unidad</t>
        </is>
      </c>
      <c r="G1339" s="3" t="inlineStr">
        <is>
          <t>Instalaciones</t>
        </is>
      </c>
      <c r="H1339" s="3" t="inlineStr">
        <is>
          <t>estandar</t>
        </is>
      </c>
      <c r="I1339" s="3" t="inlineStr">
        <is>
          <t>importado</t>
        </is>
      </c>
      <c r="J1339" s="5" t="n">
        <v>1</v>
      </c>
      <c r="K1339" s="6" t="n">
        <v>1782.28</v>
      </c>
      <c r="L1339" s="6" t="n">
        <v>1782.28</v>
      </c>
      <c r="M1339" s="6" t="n">
        <v>1782.28</v>
      </c>
      <c r="N1339" s="3" t="inlineStr">
        <is>
          <t>Sí</t>
        </is>
      </c>
      <c r="O1339" s="6">
        <f>IF(K1339="","",IF(N1339="Sí",ROUND(K1339/1.18,2),K1339))</f>
        <v/>
      </c>
      <c r="P1339" s="3" t="inlineStr">
        <is>
          <t>2026-09-09</t>
        </is>
      </c>
      <c r="Q1339" s="4" t="inlineStr">
        <is>
          <t>Ferretería Ochoa (8A)</t>
        </is>
      </c>
      <c r="AF1339" s="4" t="inlineStr">
        <is>
          <t>Puertos: 48</t>
        </is>
      </c>
    </row>
    <row r="1340">
      <c r="A1340" s="3" t="inlineStr">
        <is>
          <t>MAT-30-016</t>
        </is>
      </c>
      <c r="B1340" s="3" t="inlineStr">
        <is>
          <t>Materiales</t>
        </is>
      </c>
      <c r="C1340" s="3" t="inlineStr">
        <is>
          <t>Cableado estructurado y redes</t>
        </is>
      </c>
      <c r="D1340" s="4" t="inlineStr">
        <is>
          <t>Placa de pared para datos</t>
        </is>
      </c>
      <c r="E1340" s="4" t="inlineStr"/>
      <c r="F1340" s="3" t="inlineStr">
        <is>
          <t>unidad</t>
        </is>
      </c>
      <c r="G1340" s="3" t="inlineStr">
        <is>
          <t>Instalaciones</t>
        </is>
      </c>
      <c r="H1340" s="3" t="inlineStr">
        <is>
          <t>estandar</t>
        </is>
      </c>
      <c r="I1340" s="3" t="inlineStr">
        <is>
          <t>importado</t>
        </is>
      </c>
      <c r="J1340" s="5" t="n">
        <v>1</v>
      </c>
      <c r="K1340" s="6" t="n">
        <v>102.17</v>
      </c>
      <c r="L1340" s="6" t="n">
        <v>77.06</v>
      </c>
      <c r="M1340" s="6" t="n">
        <v>612.77</v>
      </c>
      <c r="N1340" s="3" t="inlineStr">
        <is>
          <t>Sí</t>
        </is>
      </c>
      <c r="O1340" s="6">
        <f>IF(K1340="","",IF(N1340="Sí",ROUND(K1340/1.18,2),K1340))</f>
        <v/>
      </c>
      <c r="P1340" s="3" t="inlineStr">
        <is>
          <t>2026-09-09</t>
        </is>
      </c>
      <c r="Q1340" s="4" t="inlineStr">
        <is>
          <t>Ferretería Ochoa (8A)</t>
        </is>
      </c>
    </row>
    <row r="1341">
      <c r="A1341" s="3" t="inlineStr">
        <is>
          <t>MAT-30-019</t>
        </is>
      </c>
      <c r="B1341" s="3" t="inlineStr">
        <is>
          <t>Materiales</t>
        </is>
      </c>
      <c r="C1341" s="3" t="inlineStr">
        <is>
          <t>Cableado estructurado y redes</t>
        </is>
      </c>
      <c r="D1341" s="4" t="inlineStr">
        <is>
          <t>Placa de pared para datos 3 puertos</t>
        </is>
      </c>
      <c r="E1341" s="4" t="inlineStr"/>
      <c r="F1341" s="3" t="inlineStr">
        <is>
          <t>unidad</t>
        </is>
      </c>
      <c r="G1341" s="3" t="inlineStr">
        <is>
          <t>Instalaciones</t>
        </is>
      </c>
      <c r="H1341" s="3" t="inlineStr">
        <is>
          <t>estandar</t>
        </is>
      </c>
      <c r="I1341" s="3" t="inlineStr">
        <is>
          <t>importado</t>
        </is>
      </c>
      <c r="J1341" s="5" t="n">
        <v>1</v>
      </c>
      <c r="K1341" s="6" t="n">
        <v>1196.92</v>
      </c>
      <c r="L1341" s="6" t="n">
        <v>1196.92</v>
      </c>
      <c r="M1341" s="6" t="n">
        <v>1196.92</v>
      </c>
      <c r="N1341" s="3" t="inlineStr">
        <is>
          <t>Sí</t>
        </is>
      </c>
      <c r="O1341" s="6">
        <f>IF(K1341="","",IF(N1341="Sí",ROUND(K1341/1.18,2),K1341))</f>
        <v/>
      </c>
      <c r="P1341" s="3" t="inlineStr">
        <is>
          <t>2026-09-09</t>
        </is>
      </c>
      <c r="Q1341" s="4" t="inlineStr">
        <is>
          <t>Ferretería Ochoa (8A)</t>
        </is>
      </c>
      <c r="AF1341" s="4" t="inlineStr">
        <is>
          <t>Puertos: 3</t>
        </is>
      </c>
    </row>
    <row r="1342">
      <c r="A1342" s="3" t="inlineStr">
        <is>
          <t>MAT-30-021</t>
        </is>
      </c>
      <c r="B1342" s="3" t="inlineStr">
        <is>
          <t>Materiales</t>
        </is>
      </c>
      <c r="C1342" s="3" t="inlineStr">
        <is>
          <t>Cableado estructurado y redes</t>
        </is>
      </c>
      <c r="D1342" s="4" t="inlineStr">
        <is>
          <t>Equipo de red</t>
        </is>
      </c>
      <c r="E1342" s="4" t="inlineStr"/>
      <c r="F1342" s="3" t="inlineStr">
        <is>
          <t>unidad</t>
        </is>
      </c>
      <c r="G1342" s="3" t="inlineStr">
        <is>
          <t>Instalaciones</t>
        </is>
      </c>
      <c r="H1342" s="3" t="inlineStr">
        <is>
          <t>estandar</t>
        </is>
      </c>
      <c r="I1342" s="3" t="inlineStr">
        <is>
          <t>importado</t>
        </is>
      </c>
      <c r="J1342" s="5" t="n">
        <v>1</v>
      </c>
      <c r="K1342" s="6" t="n">
        <v>4902.12</v>
      </c>
      <c r="L1342" s="6" t="n">
        <v>587.39</v>
      </c>
      <c r="M1342" s="6" t="n">
        <v>18998.93</v>
      </c>
      <c r="N1342" s="3" t="inlineStr">
        <is>
          <t>Sí</t>
        </is>
      </c>
      <c r="O1342" s="6">
        <f>IF(K1342="","",IF(N1342="Sí",ROUND(K1342/1.18,2),K1342))</f>
        <v/>
      </c>
      <c r="P1342" s="3" t="inlineStr">
        <is>
          <t>2026-09-09</t>
        </is>
      </c>
      <c r="Q1342" s="4" t="inlineStr">
        <is>
          <t>Ferretería Ochoa (8A)</t>
        </is>
      </c>
    </row>
    <row r="1343">
      <c r="A1343" s="3" t="inlineStr">
        <is>
          <t>MAT-30-022</t>
        </is>
      </c>
      <c r="B1343" s="3" t="inlineStr">
        <is>
          <t>Materiales</t>
        </is>
      </c>
      <c r="C1343" s="3" t="inlineStr">
        <is>
          <t>Cableado estructurado y redes</t>
        </is>
      </c>
      <c r="D1343" s="4" t="inlineStr">
        <is>
          <t>Equipo de red 24 puertos</t>
        </is>
      </c>
      <c r="E1343" s="4" t="inlineStr"/>
      <c r="F1343" s="3" t="inlineStr">
        <is>
          <t>unidad</t>
        </is>
      </c>
      <c r="G1343" s="3" t="inlineStr">
        <is>
          <t>Instalaciones</t>
        </is>
      </c>
      <c r="H1343" s="3" t="inlineStr">
        <is>
          <t>estandar</t>
        </is>
      </c>
      <c r="I1343" s="3" t="inlineStr">
        <is>
          <t>importado</t>
        </is>
      </c>
      <c r="J1343" s="5" t="n">
        <v>1</v>
      </c>
      <c r="K1343" s="6" t="n">
        <v>16692.67</v>
      </c>
      <c r="L1343" s="6" t="n">
        <v>16692.67</v>
      </c>
      <c r="M1343" s="6" t="n">
        <v>16692.67</v>
      </c>
      <c r="N1343" s="3" t="inlineStr">
        <is>
          <t>Sí</t>
        </is>
      </c>
      <c r="O1343" s="6">
        <f>IF(K1343="","",IF(N1343="Sí",ROUND(K1343/1.18,2),K1343))</f>
        <v/>
      </c>
      <c r="P1343" s="3" t="inlineStr">
        <is>
          <t>2026-09-09</t>
        </is>
      </c>
      <c r="Q1343" s="4" t="inlineStr">
        <is>
          <t>Ferretería Ochoa (8A)</t>
        </is>
      </c>
      <c r="AF1343" s="4" t="inlineStr">
        <is>
          <t>Puertos: 24</t>
        </is>
      </c>
    </row>
    <row r="1344">
      <c r="A1344" s="3" t="inlineStr">
        <is>
          <t>MAT-30-027</t>
        </is>
      </c>
      <c r="B1344" s="3" t="inlineStr">
        <is>
          <t>Materiales</t>
        </is>
      </c>
      <c r="C1344" s="3" t="inlineStr">
        <is>
          <t>Cableado estructurado y redes</t>
        </is>
      </c>
      <c r="D1344" s="4" t="inlineStr">
        <is>
          <t>Fuente de alimentación para sistemas 12 V</t>
        </is>
      </c>
      <c r="E1344" s="4" t="inlineStr"/>
      <c r="F1344" s="3" t="inlineStr">
        <is>
          <t>unidad</t>
        </is>
      </c>
      <c r="G1344" s="3" t="inlineStr">
        <is>
          <t>Instalaciones</t>
        </is>
      </c>
      <c r="H1344" s="3" t="inlineStr">
        <is>
          <t>estandar</t>
        </is>
      </c>
      <c r="I1344" s="3" t="inlineStr">
        <is>
          <t>importado</t>
        </is>
      </c>
      <c r="J1344" s="5" t="n">
        <v>1</v>
      </c>
      <c r="K1344" s="6" t="n">
        <v>2813.06</v>
      </c>
      <c r="L1344" s="6" t="n">
        <v>1111.78</v>
      </c>
      <c r="M1344" s="6" t="n">
        <v>4514.34</v>
      </c>
      <c r="N1344" s="3" t="inlineStr">
        <is>
          <t>Sí</t>
        </is>
      </c>
      <c r="O1344" s="6">
        <f>IF(K1344="","",IF(N1344="Sí",ROUND(K1344/1.18,2),K1344))</f>
        <v/>
      </c>
      <c r="P1344" s="3" t="inlineStr">
        <is>
          <t>2026-09-09</t>
        </is>
      </c>
      <c r="Q1344" s="4" t="inlineStr">
        <is>
          <t>Ferretería Ochoa (8A)</t>
        </is>
      </c>
      <c r="AF1344" s="4" t="inlineStr">
        <is>
          <t>Voltaje (V): 12 · Amperaje (A): 4</t>
        </is>
      </c>
    </row>
    <row r="1345">
      <c r="A1345" s="3" t="inlineStr">
        <is>
          <t>MAT-30-028</t>
        </is>
      </c>
      <c r="B1345" s="3" t="inlineStr">
        <is>
          <t>Materiales</t>
        </is>
      </c>
      <c r="C1345" s="3" t="inlineStr">
        <is>
          <t>Cableado estructurado y redes</t>
        </is>
      </c>
      <c r="D1345" s="4" t="inlineStr">
        <is>
          <t>Fuente de alimentación para sistemas 120 V</t>
        </is>
      </c>
      <c r="E1345" s="4" t="inlineStr"/>
      <c r="F1345" s="3" t="inlineStr">
        <is>
          <t>unidad</t>
        </is>
      </c>
      <c r="G1345" s="3" t="inlineStr">
        <is>
          <t>Instalaciones</t>
        </is>
      </c>
      <c r="H1345" s="3" t="inlineStr">
        <is>
          <t>estandar</t>
        </is>
      </c>
      <c r="I1345" s="3" t="inlineStr">
        <is>
          <t>importado</t>
        </is>
      </c>
      <c r="J1345" s="5" t="n">
        <v>1</v>
      </c>
      <c r="K1345" s="6" t="n">
        <v>1031.86</v>
      </c>
      <c r="L1345" s="6" t="n">
        <v>906.34</v>
      </c>
      <c r="M1345" s="6" t="n">
        <v>1157.38</v>
      </c>
      <c r="N1345" s="3" t="inlineStr">
        <is>
          <t>Sí</t>
        </is>
      </c>
      <c r="O1345" s="6">
        <f>IF(K1345="","",IF(N1345="Sí",ROUND(K1345/1.18,2),K1345))</f>
        <v/>
      </c>
      <c r="P1345" s="3" t="inlineStr">
        <is>
          <t>2026-09-09</t>
        </is>
      </c>
      <c r="Q1345" s="4" t="inlineStr">
        <is>
          <t>Ferretería Ochoa (8A)</t>
        </is>
      </c>
      <c r="AF1345" s="4" t="inlineStr">
        <is>
          <t>Voltaje (V): 120</t>
        </is>
      </c>
    </row>
    <row r="1346">
      <c r="A1346" s="3" t="inlineStr">
        <is>
          <t>MAT-30-029</t>
        </is>
      </c>
      <c r="B1346" s="3" t="inlineStr">
        <is>
          <t>Materiales</t>
        </is>
      </c>
      <c r="C1346" s="3" t="inlineStr">
        <is>
          <t>Cableado estructurado y redes</t>
        </is>
      </c>
      <c r="D1346" s="4" t="inlineStr">
        <is>
          <t>Fuente de alimentación para sistemas 24 V</t>
        </is>
      </c>
      <c r="E1346" s="4" t="inlineStr"/>
      <c r="F1346" s="3" t="inlineStr">
        <is>
          <t>unidad</t>
        </is>
      </c>
      <c r="G1346" s="3" t="inlineStr">
        <is>
          <t>Instalaciones</t>
        </is>
      </c>
      <c r="H1346" s="3" t="inlineStr">
        <is>
          <t>estandar</t>
        </is>
      </c>
      <c r="I1346" s="3" t="inlineStr">
        <is>
          <t>importado</t>
        </is>
      </c>
      <c r="J1346" s="5" t="n">
        <v>1</v>
      </c>
      <c r="K1346" s="6" t="n">
        <v>13861.06</v>
      </c>
      <c r="L1346" s="6" t="n">
        <v>11089.49</v>
      </c>
      <c r="M1346" s="6" t="n">
        <v>16632.64</v>
      </c>
      <c r="N1346" s="3" t="inlineStr">
        <is>
          <t>Sí</t>
        </is>
      </c>
      <c r="O1346" s="6">
        <f>IF(K1346="","",IF(N1346="Sí",ROUND(K1346/1.18,2),K1346))</f>
        <v/>
      </c>
      <c r="P1346" s="3" t="inlineStr">
        <is>
          <t>2026-09-09</t>
        </is>
      </c>
      <c r="Q1346" s="4" t="inlineStr">
        <is>
          <t>Ferretería Ochoa (8A)</t>
        </is>
      </c>
      <c r="AF1346" s="4" t="inlineStr">
        <is>
          <t>Voltaje (V): 24 · Amperaje (A): 8</t>
        </is>
      </c>
    </row>
    <row r="1347">
      <c r="A1347" s="3" t="inlineStr">
        <is>
          <t>MAT-30-030</t>
        </is>
      </c>
      <c r="B1347" s="3" t="inlineStr">
        <is>
          <t>Materiales</t>
        </is>
      </c>
      <c r="C1347" s="3" t="inlineStr">
        <is>
          <t>Cableado estructurado y redes</t>
        </is>
      </c>
      <c r="D1347" s="4" t="inlineStr">
        <is>
          <t>Fuente de alimentación para sistemas 275 V</t>
        </is>
      </c>
      <c r="E1347" s="4" t="inlineStr"/>
      <c r="F1347" s="3" t="inlineStr">
        <is>
          <t>unidad</t>
        </is>
      </c>
      <c r="G1347" s="3" t="inlineStr">
        <is>
          <t>Instalaciones</t>
        </is>
      </c>
      <c r="H1347" s="3" t="inlineStr">
        <is>
          <t>estandar</t>
        </is>
      </c>
      <c r="I1347" s="3" t="inlineStr">
        <is>
          <t>importado</t>
        </is>
      </c>
      <c r="J1347" s="5" t="n">
        <v>1</v>
      </c>
      <c r="K1347" s="6" t="n">
        <v>28.95</v>
      </c>
      <c r="L1347" s="6" t="n">
        <v>28.95</v>
      </c>
      <c r="M1347" s="6" t="n">
        <v>28.95</v>
      </c>
      <c r="N1347" s="3" t="inlineStr">
        <is>
          <t>Sí</t>
        </is>
      </c>
      <c r="O1347" s="6">
        <f>IF(K1347="","",IF(N1347="Sí",ROUND(K1347/1.18,2),K1347))</f>
        <v/>
      </c>
      <c r="P1347" s="3" t="inlineStr">
        <is>
          <t>2026-09-09</t>
        </is>
      </c>
      <c r="Q1347" s="4" t="inlineStr">
        <is>
          <t>Ferretería Ochoa (8A)</t>
        </is>
      </c>
      <c r="AF1347" s="4" t="inlineStr">
        <is>
          <t>Voltaje (V): 275</t>
        </is>
      </c>
    </row>
    <row r="1348">
      <c r="A1348" s="3" t="inlineStr">
        <is>
          <t>MAT-30-031</t>
        </is>
      </c>
      <c r="B1348" s="3" t="inlineStr">
        <is>
          <t>Materiales</t>
        </is>
      </c>
      <c r="C1348" s="3" t="inlineStr">
        <is>
          <t>Cableado estructurado y redes</t>
        </is>
      </c>
      <c r="D1348" s="4" t="inlineStr">
        <is>
          <t>Fuente de alimentación para sistemas 277 V</t>
        </is>
      </c>
      <c r="E1348" s="4" t="inlineStr"/>
      <c r="F1348" s="3" t="inlineStr">
        <is>
          <t>unidad</t>
        </is>
      </c>
      <c r="G1348" s="3" t="inlineStr">
        <is>
          <t>Instalaciones</t>
        </is>
      </c>
      <c r="H1348" s="3" t="inlineStr">
        <is>
          <t>estandar</t>
        </is>
      </c>
      <c r="I1348" s="3" t="inlineStr">
        <is>
          <t>importado</t>
        </is>
      </c>
      <c r="J1348" s="5" t="n">
        <v>1</v>
      </c>
      <c r="K1348" s="6" t="n">
        <v>2150.5</v>
      </c>
      <c r="L1348" s="6" t="n">
        <v>2150.5</v>
      </c>
      <c r="M1348" s="6" t="n">
        <v>2150.5</v>
      </c>
      <c r="N1348" s="3" t="inlineStr">
        <is>
          <t>Sí</t>
        </is>
      </c>
      <c r="O1348" s="6">
        <f>IF(K1348="","",IF(N1348="Sí",ROUND(K1348/1.18,2),K1348))</f>
        <v/>
      </c>
      <c r="P1348" s="3" t="inlineStr">
        <is>
          <t>2026-09-09</t>
        </is>
      </c>
      <c r="Q1348" s="4" t="inlineStr">
        <is>
          <t>Ferretería Ochoa (8A)</t>
        </is>
      </c>
      <c r="AF1348" s="4" t="inlineStr">
        <is>
          <t>Voltaje (V): 277</t>
        </is>
      </c>
    </row>
    <row r="1349">
      <c r="A1349" s="3" t="inlineStr">
        <is>
          <t>MAT-31-003</t>
        </is>
      </c>
      <c r="B1349" s="3" t="inlineStr">
        <is>
          <t>Materiales</t>
        </is>
      </c>
      <c r="C1349" s="3" t="inlineStr">
        <is>
          <t>Domótica e intercomunicadores</t>
        </is>
      </c>
      <c r="D1349" s="4" t="inlineStr">
        <is>
          <t>Interruptor inteligente 1 canales</t>
        </is>
      </c>
      <c r="E1349" s="4" t="inlineStr">
        <is>
          <t>Necesita neutro en la caja</t>
        </is>
      </c>
      <c r="F1349" s="3" t="inlineStr">
        <is>
          <t>unidad</t>
        </is>
      </c>
      <c r="G1349" s="3" t="inlineStr">
        <is>
          <t>Instalaciones</t>
        </is>
      </c>
      <c r="H1349" s="3" t="inlineStr">
        <is>
          <t>estandar</t>
        </is>
      </c>
      <c r="I1349" s="3" t="inlineStr">
        <is>
          <t>importado</t>
        </is>
      </c>
      <c r="J1349" s="5" t="n">
        <v>1</v>
      </c>
      <c r="K1349" s="6" t="n">
        <v>1549.16</v>
      </c>
      <c r="L1349" s="6" t="n">
        <v>1089.61</v>
      </c>
      <c r="M1349" s="6" t="n">
        <v>2008.71</v>
      </c>
      <c r="N1349" s="3" t="inlineStr">
        <is>
          <t>Sí</t>
        </is>
      </c>
      <c r="O1349" s="6">
        <f>IF(K1349="","",IF(N1349="Sí",ROUND(K1349/1.18,2),K1349))</f>
        <v/>
      </c>
      <c r="P1349" s="3" t="inlineStr">
        <is>
          <t>2026-09-09</t>
        </is>
      </c>
      <c r="Q1349" s="4" t="inlineStr">
        <is>
          <t>Ferretería Ochoa (8A)</t>
        </is>
      </c>
      <c r="Y1349" s="7" t="n">
        <v>1</v>
      </c>
    </row>
    <row r="1350">
      <c r="A1350" s="3" t="inlineStr">
        <is>
          <t>MAT-31-004</t>
        </is>
      </c>
      <c r="B1350" s="3" t="inlineStr">
        <is>
          <t>Materiales</t>
        </is>
      </c>
      <c r="C1350" s="3" t="inlineStr">
        <is>
          <t>Domótica e intercomunicadores</t>
        </is>
      </c>
      <c r="D1350" s="4" t="inlineStr">
        <is>
          <t>Interruptor inteligente 1 canales con neutro</t>
        </is>
      </c>
      <c r="E1350" s="4" t="inlineStr"/>
      <c r="F1350" s="3" t="inlineStr">
        <is>
          <t>unidad</t>
        </is>
      </c>
      <c r="G1350" s="3" t="inlineStr">
        <is>
          <t>Instalaciones</t>
        </is>
      </c>
      <c r="H1350" s="3" t="inlineStr">
        <is>
          <t>estandar</t>
        </is>
      </c>
      <c r="I1350" s="3" t="inlineStr">
        <is>
          <t>importado</t>
        </is>
      </c>
      <c r="J1350" s="5" t="n">
        <v>1</v>
      </c>
      <c r="K1350" s="6" t="n">
        <v>2892.27</v>
      </c>
      <c r="L1350" s="6" t="n">
        <v>2892.27</v>
      </c>
      <c r="M1350" s="6" t="n">
        <v>2892.27</v>
      </c>
      <c r="N1350" s="3" t="inlineStr">
        <is>
          <t>Sí</t>
        </is>
      </c>
      <c r="O1350" s="6">
        <f>IF(K1350="","",IF(N1350="Sí",ROUND(K1350/1.18,2),K1350))</f>
        <v/>
      </c>
      <c r="P1350" s="3" t="inlineStr">
        <is>
          <t>2026-09-09</t>
        </is>
      </c>
      <c r="Q1350" s="4" t="inlineStr">
        <is>
          <t>Ferretería Ochoa (8A)</t>
        </is>
      </c>
      <c r="Y1350" s="7" t="n">
        <v>1</v>
      </c>
      <c r="AF1350" s="4" t="inlineStr">
        <is>
          <t>Neutro: con</t>
        </is>
      </c>
    </row>
    <row r="1351">
      <c r="A1351" s="3" t="inlineStr">
        <is>
          <t>MAT-31-005</t>
        </is>
      </c>
      <c r="B1351" s="3" t="inlineStr">
        <is>
          <t>Materiales</t>
        </is>
      </c>
      <c r="C1351" s="3" t="inlineStr">
        <is>
          <t>Domótica e intercomunicadores</t>
        </is>
      </c>
      <c r="D1351" s="4" t="inlineStr">
        <is>
          <t>Interruptor inteligente 1 canales sin neutro</t>
        </is>
      </c>
      <c r="E1351" s="4" t="inlineStr"/>
      <c r="F1351" s="3" t="inlineStr">
        <is>
          <t>unidad</t>
        </is>
      </c>
      <c r="G1351" s="3" t="inlineStr">
        <is>
          <t>Instalaciones</t>
        </is>
      </c>
      <c r="H1351" s="3" t="inlineStr">
        <is>
          <t>estandar</t>
        </is>
      </c>
      <c r="I1351" s="3" t="inlineStr">
        <is>
          <t>importado</t>
        </is>
      </c>
      <c r="J1351" s="5" t="n">
        <v>1</v>
      </c>
      <c r="K1351" s="6" t="n">
        <v>2958.46</v>
      </c>
      <c r="L1351" s="6" t="n">
        <v>2958.46</v>
      </c>
      <c r="M1351" s="6" t="n">
        <v>2958.46</v>
      </c>
      <c r="N1351" s="3" t="inlineStr">
        <is>
          <t>Sí</t>
        </is>
      </c>
      <c r="O1351" s="6">
        <f>IF(K1351="","",IF(N1351="Sí",ROUND(K1351/1.18,2),K1351))</f>
        <v/>
      </c>
      <c r="P1351" s="3" t="inlineStr">
        <is>
          <t>2026-09-09</t>
        </is>
      </c>
      <c r="Q1351" s="4" t="inlineStr">
        <is>
          <t>Ferretería Ochoa (8A)</t>
        </is>
      </c>
      <c r="Y1351" s="7" t="n">
        <v>1</v>
      </c>
      <c r="AF1351" s="4" t="inlineStr">
        <is>
          <t>Neutro: sin</t>
        </is>
      </c>
    </row>
    <row r="1352">
      <c r="A1352" s="3" t="inlineStr">
        <is>
          <t>MAT-31-006</t>
        </is>
      </c>
      <c r="B1352" s="3" t="inlineStr">
        <is>
          <t>Materiales</t>
        </is>
      </c>
      <c r="C1352" s="3" t="inlineStr">
        <is>
          <t>Domótica e intercomunicadores</t>
        </is>
      </c>
      <c r="D1352" s="4" t="inlineStr">
        <is>
          <t>Interruptor inteligente 2 canales</t>
        </is>
      </c>
      <c r="E1352" s="4" t="inlineStr">
        <is>
          <t>Necesita neutro en la caja</t>
        </is>
      </c>
      <c r="F1352" s="3" t="inlineStr">
        <is>
          <t>unidad</t>
        </is>
      </c>
      <c r="G1352" s="3" t="inlineStr">
        <is>
          <t>Instalaciones</t>
        </is>
      </c>
      <c r="H1352" s="3" t="inlineStr">
        <is>
          <t>estandar</t>
        </is>
      </c>
      <c r="I1352" s="3" t="inlineStr">
        <is>
          <t>importado</t>
        </is>
      </c>
      <c r="J1352" s="5" t="n">
        <v>1</v>
      </c>
      <c r="K1352" s="6" t="n">
        <v>1632.51</v>
      </c>
      <c r="L1352" s="6" t="n">
        <v>1210.31</v>
      </c>
      <c r="M1352" s="6" t="n">
        <v>2054.7</v>
      </c>
      <c r="N1352" s="3" t="inlineStr">
        <is>
          <t>Sí</t>
        </is>
      </c>
      <c r="O1352" s="6">
        <f>IF(K1352="","",IF(N1352="Sí",ROUND(K1352/1.18,2),K1352))</f>
        <v/>
      </c>
      <c r="P1352" s="3" t="inlineStr">
        <is>
          <t>2026-09-09</t>
        </is>
      </c>
      <c r="Q1352" s="4" t="inlineStr">
        <is>
          <t>Ferretería Ochoa (8A)</t>
        </is>
      </c>
      <c r="Y1352" s="7" t="n">
        <v>2</v>
      </c>
    </row>
    <row r="1353">
      <c r="A1353" s="3" t="inlineStr">
        <is>
          <t>MAT-31-007</t>
        </is>
      </c>
      <c r="B1353" s="3" t="inlineStr">
        <is>
          <t>Materiales</t>
        </is>
      </c>
      <c r="C1353" s="3" t="inlineStr">
        <is>
          <t>Domótica e intercomunicadores</t>
        </is>
      </c>
      <c r="D1353" s="4" t="inlineStr">
        <is>
          <t>Interruptor inteligente 2 canales con neutro</t>
        </is>
      </c>
      <c r="E1353" s="4" t="inlineStr"/>
      <c r="F1353" s="3" t="inlineStr">
        <is>
          <t>unidad</t>
        </is>
      </c>
      <c r="G1353" s="3" t="inlineStr">
        <is>
          <t>Instalaciones</t>
        </is>
      </c>
      <c r="H1353" s="3" t="inlineStr">
        <is>
          <t>estandar</t>
        </is>
      </c>
      <c r="I1353" s="3" t="inlineStr">
        <is>
          <t>importado</t>
        </is>
      </c>
      <c r="J1353" s="5" t="n">
        <v>1</v>
      </c>
      <c r="K1353" s="6" t="n">
        <v>2743.31</v>
      </c>
      <c r="L1353" s="6" t="n">
        <v>2743.31</v>
      </c>
      <c r="M1353" s="6" t="n">
        <v>2743.31</v>
      </c>
      <c r="N1353" s="3" t="inlineStr">
        <is>
          <t>Sí</t>
        </is>
      </c>
      <c r="O1353" s="6">
        <f>IF(K1353="","",IF(N1353="Sí",ROUND(K1353/1.18,2),K1353))</f>
        <v/>
      </c>
      <c r="P1353" s="3" t="inlineStr">
        <is>
          <t>2026-09-09</t>
        </is>
      </c>
      <c r="Q1353" s="4" t="inlineStr">
        <is>
          <t>Ferretería Ochoa (8A)</t>
        </is>
      </c>
      <c r="Y1353" s="7" t="n">
        <v>2</v>
      </c>
      <c r="AF1353" s="4" t="inlineStr">
        <is>
          <t>Neutro: con</t>
        </is>
      </c>
    </row>
    <row r="1354">
      <c r="A1354" s="3" t="inlineStr">
        <is>
          <t>MAT-31-008</t>
        </is>
      </c>
      <c r="B1354" s="3" t="inlineStr">
        <is>
          <t>Materiales</t>
        </is>
      </c>
      <c r="C1354" s="3" t="inlineStr">
        <is>
          <t>Domótica e intercomunicadores</t>
        </is>
      </c>
      <c r="D1354" s="4" t="inlineStr">
        <is>
          <t>Interruptor inteligente 2 canales sin neutro</t>
        </is>
      </c>
      <c r="E1354" s="4" t="inlineStr"/>
      <c r="F1354" s="3" t="inlineStr">
        <is>
          <t>unidad</t>
        </is>
      </c>
      <c r="G1354" s="3" t="inlineStr">
        <is>
          <t>Instalaciones</t>
        </is>
      </c>
      <c r="H1354" s="3" t="inlineStr">
        <is>
          <t>estandar</t>
        </is>
      </c>
      <c r="I1354" s="3" t="inlineStr">
        <is>
          <t>importado</t>
        </is>
      </c>
      <c r="J1354" s="5" t="n">
        <v>1</v>
      </c>
      <c r="K1354" s="6" t="n">
        <v>2743.31</v>
      </c>
      <c r="L1354" s="6" t="n">
        <v>2743.31</v>
      </c>
      <c r="M1354" s="6" t="n">
        <v>2743.31</v>
      </c>
      <c r="N1354" s="3" t="inlineStr">
        <is>
          <t>Sí</t>
        </is>
      </c>
      <c r="O1354" s="6">
        <f>IF(K1354="","",IF(N1354="Sí",ROUND(K1354/1.18,2),K1354))</f>
        <v/>
      </c>
      <c r="P1354" s="3" t="inlineStr">
        <is>
          <t>2026-09-09</t>
        </is>
      </c>
      <c r="Q1354" s="4" t="inlineStr">
        <is>
          <t>Ferretería Ochoa (8A)</t>
        </is>
      </c>
      <c r="Y1354" s="7" t="n">
        <v>2</v>
      </c>
      <c r="AF1354" s="4" t="inlineStr">
        <is>
          <t>Neutro: sin</t>
        </is>
      </c>
    </row>
    <row r="1355">
      <c r="A1355" s="3" t="inlineStr">
        <is>
          <t>MAT-31-009</t>
        </is>
      </c>
      <c r="B1355" s="3" t="inlineStr">
        <is>
          <t>Materiales</t>
        </is>
      </c>
      <c r="C1355" s="3" t="inlineStr">
        <is>
          <t>Domótica e intercomunicadores</t>
        </is>
      </c>
      <c r="D1355" s="4" t="inlineStr">
        <is>
          <t>Interruptor inteligente 3 canales</t>
        </is>
      </c>
      <c r="E1355" s="4" t="inlineStr">
        <is>
          <t>Necesita neutro en la caja</t>
        </is>
      </c>
      <c r="F1355" s="3" t="inlineStr">
        <is>
          <t>unidad</t>
        </is>
      </c>
      <c r="G1355" s="3" t="inlineStr">
        <is>
          <t>Instalaciones</t>
        </is>
      </c>
      <c r="H1355" s="3" t="inlineStr">
        <is>
          <t>estandar</t>
        </is>
      </c>
      <c r="I1355" s="3" t="inlineStr">
        <is>
          <t>importado</t>
        </is>
      </c>
      <c r="J1355" s="5" t="n">
        <v>1</v>
      </c>
      <c r="K1355" s="6" t="n">
        <v>4577.22</v>
      </c>
      <c r="L1355" s="6" t="n">
        <v>1497.83</v>
      </c>
      <c r="M1355" s="6" t="n">
        <v>7656.61</v>
      </c>
      <c r="N1355" s="3" t="inlineStr">
        <is>
          <t>Sí</t>
        </is>
      </c>
      <c r="O1355" s="6">
        <f>IF(K1355="","",IF(N1355="Sí",ROUND(K1355/1.18,2),K1355))</f>
        <v/>
      </c>
      <c r="P1355" s="3" t="inlineStr">
        <is>
          <t>2026-09-09</t>
        </is>
      </c>
      <c r="Q1355" s="4" t="inlineStr">
        <is>
          <t>Ferretería Ochoa (8A)</t>
        </is>
      </c>
      <c r="Y1355" s="7" t="n">
        <v>3</v>
      </c>
    </row>
    <row r="1356">
      <c r="A1356" s="3" t="inlineStr">
        <is>
          <t>MAT-31-011</t>
        </is>
      </c>
      <c r="B1356" s="3" t="inlineStr">
        <is>
          <t>Materiales</t>
        </is>
      </c>
      <c r="C1356" s="3" t="inlineStr">
        <is>
          <t>Domótica e intercomunicadores</t>
        </is>
      </c>
      <c r="D1356" s="4" t="inlineStr">
        <is>
          <t>Central de domótica</t>
        </is>
      </c>
      <c r="E1356" s="4" t="inlineStr"/>
      <c r="F1356" s="3" t="inlineStr">
        <is>
          <t>unidad</t>
        </is>
      </c>
      <c r="G1356" s="3" t="inlineStr">
        <is>
          <t>Instalaciones</t>
        </is>
      </c>
      <c r="H1356" s="3" t="inlineStr">
        <is>
          <t>estandar</t>
        </is>
      </c>
      <c r="I1356" s="3" t="inlineStr">
        <is>
          <t>importado</t>
        </is>
      </c>
      <c r="J1356" s="5" t="n">
        <v>1</v>
      </c>
      <c r="K1356" s="6" t="n">
        <v>5847.29</v>
      </c>
      <c r="L1356" s="6" t="n">
        <v>1143.26</v>
      </c>
      <c r="M1356" s="6" t="n">
        <v>85380.83</v>
      </c>
      <c r="N1356" s="3" t="inlineStr">
        <is>
          <t>Sí</t>
        </is>
      </c>
      <c r="O1356" s="6">
        <f>IF(K1356="","",IF(N1356="Sí",ROUND(K1356/1.18,2),K1356))</f>
        <v/>
      </c>
      <c r="P1356" s="3" t="inlineStr">
        <is>
          <t>2026-09-09</t>
        </is>
      </c>
      <c r="Q1356" s="4" t="inlineStr">
        <is>
          <t>Ferretería Ochoa (8A)</t>
        </is>
      </c>
    </row>
    <row r="1357">
      <c r="A1357" s="3" t="inlineStr">
        <is>
          <t>MAT-31-012</t>
        </is>
      </c>
      <c r="B1357" s="3" t="inlineStr">
        <is>
          <t>Materiales</t>
        </is>
      </c>
      <c r="C1357" s="3" t="inlineStr">
        <is>
          <t>Domótica e intercomunicadores</t>
        </is>
      </c>
      <c r="D1357" s="4" t="inlineStr">
        <is>
          <t>Kit de intercomunicador 4 apartamentos con video</t>
        </is>
      </c>
      <c r="E1357" s="4" t="inlineStr"/>
      <c r="F1357" s="3" t="inlineStr">
        <is>
          <t>juego</t>
        </is>
      </c>
      <c r="G1357" s="3" t="inlineStr">
        <is>
          <t>Instalaciones</t>
        </is>
      </c>
      <c r="H1357" s="3" t="inlineStr">
        <is>
          <t>estandar</t>
        </is>
      </c>
      <c r="I1357" s="3" t="inlineStr">
        <is>
          <t>importado</t>
        </is>
      </c>
      <c r="J1357" s="5" t="n">
        <v>1</v>
      </c>
      <c r="K1357" s="6" t="n">
        <v>32009.7</v>
      </c>
      <c r="L1357" s="6" t="n">
        <v>32009.7</v>
      </c>
      <c r="M1357" s="6" t="n">
        <v>32009.7</v>
      </c>
      <c r="N1357" s="3" t="inlineStr">
        <is>
          <t>Sí</t>
        </is>
      </c>
      <c r="O1357" s="6">
        <f>IF(K1357="","",IF(N1357="Sí",ROUND(K1357/1.18,2),K1357))</f>
        <v/>
      </c>
      <c r="P1357" s="3" t="inlineStr">
        <is>
          <t>2026-09-09</t>
        </is>
      </c>
      <c r="Q1357" s="4" t="inlineStr">
        <is>
          <t>Ferretería Ochoa (8A)</t>
        </is>
      </c>
      <c r="AF1357" s="4" t="inlineStr">
        <is>
          <t>Apartamentos: 4 · Video: si</t>
        </is>
      </c>
    </row>
    <row r="1358">
      <c r="A1358" s="3" t="inlineStr">
        <is>
          <t>MAT-31-013</t>
        </is>
      </c>
      <c r="B1358" s="3" t="inlineStr">
        <is>
          <t>Materiales</t>
        </is>
      </c>
      <c r="C1358" s="3" t="inlineStr">
        <is>
          <t>Domótica e intercomunicadores</t>
        </is>
      </c>
      <c r="D1358" s="4" t="inlineStr">
        <is>
          <t>Kit de intercomunicador 6 apartamentos con video</t>
        </is>
      </c>
      <c r="E1358" s="4" t="inlineStr"/>
      <c r="F1358" s="3" t="inlineStr">
        <is>
          <t>juego</t>
        </is>
      </c>
      <c r="G1358" s="3" t="inlineStr">
        <is>
          <t>Instalaciones</t>
        </is>
      </c>
      <c r="H1358" s="3" t="inlineStr">
        <is>
          <t>estandar</t>
        </is>
      </c>
      <c r="I1358" s="3" t="inlineStr">
        <is>
          <t>importado</t>
        </is>
      </c>
      <c r="J1358" s="5" t="n">
        <v>1</v>
      </c>
      <c r="K1358" s="6" t="n">
        <v>41504.58</v>
      </c>
      <c r="L1358" s="6" t="n">
        <v>41504.58</v>
      </c>
      <c r="M1358" s="6" t="n">
        <v>41504.58</v>
      </c>
      <c r="N1358" s="3" t="inlineStr">
        <is>
          <t>Sí</t>
        </is>
      </c>
      <c r="O1358" s="6">
        <f>IF(K1358="","",IF(N1358="Sí",ROUND(K1358/1.18,2),K1358))</f>
        <v/>
      </c>
      <c r="P1358" s="3" t="inlineStr">
        <is>
          <t>2026-09-09</t>
        </is>
      </c>
      <c r="Q1358" s="4" t="inlineStr">
        <is>
          <t>Ferretería Ochoa (8A)</t>
        </is>
      </c>
      <c r="AF1358" s="4" t="inlineStr">
        <is>
          <t>Apartamentos: 6 · Video: si</t>
        </is>
      </c>
    </row>
    <row r="1359">
      <c r="A1359" s="3" t="inlineStr">
        <is>
          <t>MAT-31-014</t>
        </is>
      </c>
      <c r="B1359" s="3" t="inlineStr">
        <is>
          <t>Materiales</t>
        </is>
      </c>
      <c r="C1359" s="3" t="inlineStr">
        <is>
          <t>Domótica e intercomunicadores</t>
        </is>
      </c>
      <c r="D1359" s="4" t="inlineStr">
        <is>
          <t>Kit de intercomunicador 8 apartamentos solo audio</t>
        </is>
      </c>
      <c r="E1359" s="4" t="inlineStr"/>
      <c r="F1359" s="3" t="inlineStr">
        <is>
          <t>juego</t>
        </is>
      </c>
      <c r="G1359" s="3" t="inlineStr">
        <is>
          <t>Instalaciones</t>
        </is>
      </c>
      <c r="H1359" s="3" t="inlineStr">
        <is>
          <t>estandar</t>
        </is>
      </c>
      <c r="I1359" s="3" t="inlineStr">
        <is>
          <t>importado</t>
        </is>
      </c>
      <c r="J1359" s="5" t="n">
        <v>1</v>
      </c>
      <c r="K1359" s="6" t="n">
        <v>16951.2</v>
      </c>
      <c r="L1359" s="6" t="n">
        <v>16951.2</v>
      </c>
      <c r="M1359" s="6" t="n">
        <v>16951.2</v>
      </c>
      <c r="N1359" s="3" t="inlineStr">
        <is>
          <t>Sí</t>
        </is>
      </c>
      <c r="O1359" s="6">
        <f>IF(K1359="","",IF(N1359="Sí",ROUND(K1359/1.18,2),K1359))</f>
        <v/>
      </c>
      <c r="P1359" s="3" t="inlineStr">
        <is>
          <t>2026-09-09</t>
        </is>
      </c>
      <c r="Q1359" s="4" t="inlineStr">
        <is>
          <t>Ferretería Ochoa (8A)</t>
        </is>
      </c>
      <c r="AF1359" s="4" t="inlineStr">
        <is>
          <t>Apartamentos: 8 · Video: no</t>
        </is>
      </c>
    </row>
    <row r="1360">
      <c r="A1360" s="3" t="inlineStr">
        <is>
          <t>MAT-31-015</t>
        </is>
      </c>
      <c r="B1360" s="3" t="inlineStr">
        <is>
          <t>Materiales</t>
        </is>
      </c>
      <c r="C1360" s="3" t="inlineStr">
        <is>
          <t>Domótica e intercomunicadores</t>
        </is>
      </c>
      <c r="D1360" s="4" t="inlineStr">
        <is>
          <t>Kit de intercomunicador 8 apartamentos con video</t>
        </is>
      </c>
      <c r="E1360" s="4" t="inlineStr"/>
      <c r="F1360" s="3" t="inlineStr">
        <is>
          <t>juego</t>
        </is>
      </c>
      <c r="G1360" s="3" t="inlineStr">
        <is>
          <t>Instalaciones</t>
        </is>
      </c>
      <c r="H1360" s="3" t="inlineStr">
        <is>
          <t>estandar</t>
        </is>
      </c>
      <c r="I1360" s="3" t="inlineStr">
        <is>
          <t>importado</t>
        </is>
      </c>
      <c r="J1360" s="5" t="n">
        <v>1</v>
      </c>
      <c r="K1360" s="6" t="n">
        <v>50715.2</v>
      </c>
      <c r="L1360" s="6" t="n">
        <v>50715.2</v>
      </c>
      <c r="M1360" s="6" t="n">
        <v>50715.2</v>
      </c>
      <c r="N1360" s="3" t="inlineStr">
        <is>
          <t>Sí</t>
        </is>
      </c>
      <c r="O1360" s="6">
        <f>IF(K1360="","",IF(N1360="Sí",ROUND(K1360/1.18,2),K1360))</f>
        <v/>
      </c>
      <c r="P1360" s="3" t="inlineStr">
        <is>
          <t>2026-09-09</t>
        </is>
      </c>
      <c r="Q1360" s="4" t="inlineStr">
        <is>
          <t>Ferretería Ochoa (8A)</t>
        </is>
      </c>
      <c r="AF1360" s="4" t="inlineStr">
        <is>
          <t>Apartamentos: 8 · Video: si</t>
        </is>
      </c>
    </row>
    <row r="1361">
      <c r="A1361" s="3" t="inlineStr">
        <is>
          <t>MAT-31-016</t>
        </is>
      </c>
      <c r="B1361" s="3" t="inlineStr">
        <is>
          <t>Materiales</t>
        </is>
      </c>
      <c r="C1361" s="3" t="inlineStr">
        <is>
          <t>Domótica e intercomunicadores</t>
        </is>
      </c>
      <c r="D1361" s="4" t="inlineStr">
        <is>
          <t>Kit de intercomunicador con video</t>
        </is>
      </c>
      <c r="E1361" s="4" t="inlineStr"/>
      <c r="F1361" s="3" t="inlineStr">
        <is>
          <t>juego</t>
        </is>
      </c>
      <c r="G1361" s="3" t="inlineStr">
        <is>
          <t>Instalaciones</t>
        </is>
      </c>
      <c r="H1361" s="3" t="inlineStr">
        <is>
          <t>estandar</t>
        </is>
      </c>
      <c r="I1361" s="3" t="inlineStr">
        <is>
          <t>importado</t>
        </is>
      </c>
      <c r="J1361" s="5" t="n">
        <v>1</v>
      </c>
      <c r="K1361" s="6" t="n">
        <v>12858.25</v>
      </c>
      <c r="L1361" s="6" t="n">
        <v>8802.870000000001</v>
      </c>
      <c r="M1361" s="6" t="n">
        <v>22538.2</v>
      </c>
      <c r="N1361" s="3" t="inlineStr">
        <is>
          <t>Sí</t>
        </is>
      </c>
      <c r="O1361" s="6">
        <f>IF(K1361="","",IF(N1361="Sí",ROUND(K1361/1.18,2),K1361))</f>
        <v/>
      </c>
      <c r="P1361" s="3" t="inlineStr">
        <is>
          <t>2026-09-09</t>
        </is>
      </c>
      <c r="Q1361" s="4" t="inlineStr">
        <is>
          <t>Ferretería Ochoa (8A)</t>
        </is>
      </c>
      <c r="AF1361" s="4" t="inlineStr">
        <is>
          <t>Video: si</t>
        </is>
      </c>
    </row>
    <row r="1362">
      <c r="A1362" s="3" t="inlineStr">
        <is>
          <t>MAT-31-017</t>
        </is>
      </c>
      <c r="B1362" s="3" t="inlineStr">
        <is>
          <t>Materiales</t>
        </is>
      </c>
      <c r="C1362" s="3" t="inlineStr">
        <is>
          <t>Domótica e intercomunicadores</t>
        </is>
      </c>
      <c r="D1362" s="4" t="inlineStr">
        <is>
          <t>Estación de intercomunicador</t>
        </is>
      </c>
      <c r="E1362" s="4" t="inlineStr"/>
      <c r="F1362" s="3" t="inlineStr">
        <is>
          <t>unidad</t>
        </is>
      </c>
      <c r="G1362" s="3" t="inlineStr">
        <is>
          <t>Instalaciones</t>
        </is>
      </c>
      <c r="H1362" s="3" t="inlineStr">
        <is>
          <t>estandar</t>
        </is>
      </c>
      <c r="I1362" s="3" t="inlineStr">
        <is>
          <t>importado</t>
        </is>
      </c>
      <c r="J1362" s="5" t="n">
        <v>1</v>
      </c>
      <c r="K1362" s="6" t="n">
        <v>9200.34</v>
      </c>
      <c r="L1362" s="6" t="n">
        <v>9200.34</v>
      </c>
      <c r="M1362" s="6" t="n">
        <v>9200.34</v>
      </c>
      <c r="N1362" s="3" t="inlineStr">
        <is>
          <t>Sí</t>
        </is>
      </c>
      <c r="O1362" s="6">
        <f>IF(K1362="","",IF(N1362="Sí",ROUND(K1362/1.18,2),K1362))</f>
        <v/>
      </c>
      <c r="P1362" s="3" t="inlineStr">
        <is>
          <t>2026-09-09</t>
        </is>
      </c>
      <c r="Q1362" s="4" t="inlineStr">
        <is>
          <t>Ferretería Ochoa (8A)</t>
        </is>
      </c>
    </row>
    <row r="1363">
      <c r="A1363" s="3" t="inlineStr">
        <is>
          <t>MAT-31-018</t>
        </is>
      </c>
      <c r="B1363" s="3" t="inlineStr">
        <is>
          <t>Materiales</t>
        </is>
      </c>
      <c r="C1363" s="3" t="inlineStr">
        <is>
          <t>Domótica e intercomunicadores</t>
        </is>
      </c>
      <c r="D1363" s="4" t="inlineStr">
        <is>
          <t>Estación de intercomunicador 7"</t>
        </is>
      </c>
      <c r="E1363" s="4" t="inlineStr"/>
      <c r="F1363" s="3" t="inlineStr">
        <is>
          <t>unidad</t>
        </is>
      </c>
      <c r="G1363" s="3" t="inlineStr">
        <is>
          <t>Instalaciones</t>
        </is>
      </c>
      <c r="H1363" s="3" t="inlineStr">
        <is>
          <t>estandar</t>
        </is>
      </c>
      <c r="I1363" s="3" t="inlineStr">
        <is>
          <t>importado</t>
        </is>
      </c>
      <c r="J1363" s="5" t="n">
        <v>1</v>
      </c>
      <c r="K1363" s="6" t="n">
        <v>14861.01</v>
      </c>
      <c r="L1363" s="6" t="n">
        <v>14861.01</v>
      </c>
      <c r="M1363" s="6" t="n">
        <v>14861.01</v>
      </c>
      <c r="N1363" s="3" t="inlineStr">
        <is>
          <t>Sí</t>
        </is>
      </c>
      <c r="O1363" s="6">
        <f>IF(K1363="","",IF(N1363="Sí",ROUND(K1363/1.18,2),K1363))</f>
        <v/>
      </c>
      <c r="P1363" s="3" t="inlineStr">
        <is>
          <t>2026-09-09</t>
        </is>
      </c>
      <c r="Q1363" s="4" t="inlineStr">
        <is>
          <t>Ferretería Ochoa (8A)</t>
        </is>
      </c>
      <c r="AF1363" s="4" t="inlineStr">
        <is>
          <t>Pulgadas: 7</t>
        </is>
      </c>
    </row>
    <row r="1364">
      <c r="A1364" s="3" t="inlineStr">
        <is>
          <t>MAT-31-019</t>
        </is>
      </c>
      <c r="B1364" s="3" t="inlineStr">
        <is>
          <t>Materiales</t>
        </is>
      </c>
      <c r="C1364" s="3" t="inlineStr">
        <is>
          <t>Domótica e intercomunicadores</t>
        </is>
      </c>
      <c r="D1364" s="4" t="inlineStr">
        <is>
          <t>Accesorio de intercomunicador</t>
        </is>
      </c>
      <c r="E1364" s="4" t="inlineStr"/>
      <c r="F1364" s="3" t="inlineStr">
        <is>
          <t>unidad</t>
        </is>
      </c>
      <c r="G1364" s="3" t="inlineStr">
        <is>
          <t>Instalaciones</t>
        </is>
      </c>
      <c r="H1364" s="3" t="inlineStr">
        <is>
          <t>estandar</t>
        </is>
      </c>
      <c r="I1364" s="3" t="inlineStr">
        <is>
          <t>importado</t>
        </is>
      </c>
      <c r="J1364" s="5" t="n">
        <v>1</v>
      </c>
      <c r="K1364" s="6" t="n">
        <v>1765.47</v>
      </c>
      <c r="L1364" s="6" t="n">
        <v>305.08</v>
      </c>
      <c r="M1364" s="6" t="n">
        <v>11519.81</v>
      </c>
      <c r="N1364" s="3" t="inlineStr">
        <is>
          <t>Sí</t>
        </is>
      </c>
      <c r="O1364" s="6">
        <f>IF(K1364="","",IF(N1364="Sí",ROUND(K1364/1.18,2),K1364))</f>
        <v/>
      </c>
      <c r="P1364" s="3" t="inlineStr">
        <is>
          <t>2026-09-09</t>
        </is>
      </c>
      <c r="Q1364" s="4" t="inlineStr">
        <is>
          <t>Ferretería Ochoa (8A)</t>
        </is>
      </c>
    </row>
    <row r="1365">
      <c r="A1365" s="3" t="inlineStr">
        <is>
          <t>MAT-32-008</t>
        </is>
      </c>
      <c r="B1365" s="3" t="inlineStr">
        <is>
          <t>Materiales</t>
        </is>
      </c>
      <c r="C1365" s="3" t="inlineStr">
        <is>
          <t>Tubería y conexiones</t>
        </is>
      </c>
      <c r="D1365" s="4" t="inlineStr">
        <is>
          <t>Tubo Acero Inoxidable SCH-40 1/2" x 20 pies</t>
        </is>
      </c>
      <c r="E1365" s="4" t="inlineStr"/>
      <c r="F1365" s="3" t="inlineStr">
        <is>
          <t>tubo</t>
        </is>
      </c>
      <c r="G1365" s="3" t="inlineStr">
        <is>
          <t>Instalaciones</t>
        </is>
      </c>
      <c r="H1365" s="3" t="inlineStr">
        <is>
          <t>estandar</t>
        </is>
      </c>
      <c r="I1365" s="3" t="inlineStr">
        <is>
          <t>importado</t>
        </is>
      </c>
      <c r="J1365" s="5" t="n">
        <v>1</v>
      </c>
      <c r="K1365" s="6" t="n">
        <v>3075</v>
      </c>
      <c r="L1365" s="6" t="n">
        <v>3075</v>
      </c>
      <c r="M1365" s="6" t="n">
        <v>3075</v>
      </c>
      <c r="N1365" s="3" t="inlineStr">
        <is>
          <t>Sí</t>
        </is>
      </c>
      <c r="O1365" s="6">
        <f>IF(K1365="","",IF(N1365="Sí",ROUND(K1365/1.18,2),K1365))</f>
        <v/>
      </c>
      <c r="P1365" s="3" t="inlineStr">
        <is>
          <t>2026-09-10</t>
        </is>
      </c>
      <c r="Q1365" s="4" t="inlineStr">
        <is>
          <t>Bellón</t>
        </is>
      </c>
      <c r="Z1365" s="7" t="n">
        <v>20</v>
      </c>
      <c r="AF1365" s="4" t="inlineStr">
        <is>
          <t>material: Acero Inoxidable · norma: SCH-40 · diametro: 1/2"</t>
        </is>
      </c>
    </row>
    <row r="1366">
      <c r="A1366" s="3" t="inlineStr">
        <is>
          <t>MAT-32-009</t>
        </is>
      </c>
      <c r="B1366" s="3" t="inlineStr">
        <is>
          <t>Materiales</t>
        </is>
      </c>
      <c r="C1366" s="3" t="inlineStr">
        <is>
          <t>Tubería y conexiones</t>
        </is>
      </c>
      <c r="D1366" s="4" t="inlineStr">
        <is>
          <t>Tubo CPVC SDR-11 1/2" x 10 pies</t>
        </is>
      </c>
      <c r="E1366" s="4" t="inlineStr"/>
      <c r="F1366" s="3" t="inlineStr">
        <is>
          <t>tubo</t>
        </is>
      </c>
      <c r="G1366" s="3" t="inlineStr">
        <is>
          <t>Instalaciones</t>
        </is>
      </c>
      <c r="H1366" s="3" t="inlineStr">
        <is>
          <t>estandar</t>
        </is>
      </c>
      <c r="I1366" s="3" t="inlineStr">
        <is>
          <t>importado</t>
        </is>
      </c>
      <c r="J1366" s="5" t="n">
        <v>1</v>
      </c>
      <c r="K1366" s="6" t="n">
        <v>231</v>
      </c>
      <c r="L1366" s="6" t="n">
        <v>231</v>
      </c>
      <c r="M1366" s="6" t="n">
        <v>231</v>
      </c>
      <c r="N1366" s="3" t="inlineStr">
        <is>
          <t>Sí</t>
        </is>
      </c>
      <c r="O1366" s="6">
        <f>IF(K1366="","",IF(N1366="Sí",ROUND(K1366/1.18,2),K1366))</f>
        <v/>
      </c>
      <c r="P1366" s="3" t="inlineStr">
        <is>
          <t>2026-09-10</t>
        </is>
      </c>
      <c r="Q1366" s="4" t="inlineStr">
        <is>
          <t>Bellón</t>
        </is>
      </c>
      <c r="Z1366" s="7" t="n">
        <v>10</v>
      </c>
      <c r="AF1366" s="4" t="inlineStr">
        <is>
          <t>material: CPVC · norma: SDR-11 · diametro: 1/2"</t>
        </is>
      </c>
    </row>
    <row r="1367">
      <c r="A1367" s="3" t="inlineStr">
        <is>
          <t>MAT-32-010</t>
        </is>
      </c>
      <c r="B1367" s="3" t="inlineStr">
        <is>
          <t>Materiales</t>
        </is>
      </c>
      <c r="C1367" s="3" t="inlineStr">
        <is>
          <t>Tubería y conexiones</t>
        </is>
      </c>
      <c r="D1367" s="4" t="inlineStr">
        <is>
          <t>Tubo CPVC SDR-11 1" x 10 pies</t>
        </is>
      </c>
      <c r="E1367" s="4" t="inlineStr"/>
      <c r="F1367" s="3" t="inlineStr">
        <is>
          <t>tubo</t>
        </is>
      </c>
      <c r="G1367" s="3" t="inlineStr">
        <is>
          <t>Instalaciones</t>
        </is>
      </c>
      <c r="H1367" s="3" t="inlineStr">
        <is>
          <t>estandar</t>
        </is>
      </c>
      <c r="I1367" s="3" t="inlineStr">
        <is>
          <t>importado</t>
        </is>
      </c>
      <c r="J1367" s="5" t="n">
        <v>1</v>
      </c>
      <c r="K1367" s="6" t="n">
        <v>650</v>
      </c>
      <c r="L1367" s="6" t="n">
        <v>650</v>
      </c>
      <c r="M1367" s="6" t="n">
        <v>650</v>
      </c>
      <c r="N1367" s="3" t="inlineStr">
        <is>
          <t>Sí</t>
        </is>
      </c>
      <c r="O1367" s="6">
        <f>IF(K1367="","",IF(N1367="Sí",ROUND(K1367/1.18,2),K1367))</f>
        <v/>
      </c>
      <c r="P1367" s="3" t="inlineStr">
        <is>
          <t>2026-09-10</t>
        </is>
      </c>
      <c r="Q1367" s="4" t="inlineStr">
        <is>
          <t>Bellón</t>
        </is>
      </c>
      <c r="Z1367" s="7" t="n">
        <v>10</v>
      </c>
      <c r="AF1367" s="4" t="inlineStr">
        <is>
          <t>material: CPVC · norma: SDR-11 · diametro: 1"</t>
        </is>
      </c>
    </row>
    <row r="1368">
      <c r="A1368" s="3" t="inlineStr">
        <is>
          <t>MAT-32-011</t>
        </is>
      </c>
      <c r="B1368" s="3" t="inlineStr">
        <is>
          <t>Materiales</t>
        </is>
      </c>
      <c r="C1368" s="3" t="inlineStr">
        <is>
          <t>Tubería y conexiones</t>
        </is>
      </c>
      <c r="D1368" s="4" t="inlineStr">
        <is>
          <t>Tubo CPVC SDR-11 3/4" x 10 pies</t>
        </is>
      </c>
      <c r="E1368" s="4" t="inlineStr"/>
      <c r="F1368" s="3" t="inlineStr">
        <is>
          <t>tubo</t>
        </is>
      </c>
      <c r="G1368" s="3" t="inlineStr">
        <is>
          <t>Instalaciones</t>
        </is>
      </c>
      <c r="H1368" s="3" t="inlineStr">
        <is>
          <t>estandar</t>
        </is>
      </c>
      <c r="I1368" s="3" t="inlineStr">
        <is>
          <t>importado</t>
        </is>
      </c>
      <c r="J1368" s="5" t="n">
        <v>1</v>
      </c>
      <c r="K1368" s="6" t="n">
        <v>347</v>
      </c>
      <c r="L1368" s="6" t="n">
        <v>347</v>
      </c>
      <c r="M1368" s="6" t="n">
        <v>347</v>
      </c>
      <c r="N1368" s="3" t="inlineStr">
        <is>
          <t>Sí</t>
        </is>
      </c>
      <c r="O1368" s="6">
        <f>IF(K1368="","",IF(N1368="Sí",ROUND(K1368/1.18,2),K1368))</f>
        <v/>
      </c>
      <c r="P1368" s="3" t="inlineStr">
        <is>
          <t>2026-09-10</t>
        </is>
      </c>
      <c r="Q1368" s="4" t="inlineStr">
        <is>
          <t>Bellón</t>
        </is>
      </c>
      <c r="Z1368" s="7" t="n">
        <v>10</v>
      </c>
      <c r="AF1368" s="4" t="inlineStr">
        <is>
          <t>material: CPVC · norma: SDR-11 · diametro: 3/4"</t>
        </is>
      </c>
    </row>
    <row r="1369">
      <c r="A1369" s="3" t="inlineStr">
        <is>
          <t>MAT-32-012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Tubo PVC DRENAJE 2" x 19 pies</t>
        </is>
      </c>
      <c r="E1369" s="4" t="inlineStr"/>
      <c r="F1369" s="3" t="inlineStr">
        <is>
          <t>tubo</t>
        </is>
      </c>
      <c r="G1369" s="3" t="inlineStr">
        <is>
          <t>Instalaciones</t>
        </is>
      </c>
      <c r="H1369" s="3" t="inlineStr">
        <is>
          <t>estandar</t>
        </is>
      </c>
      <c r="I1369" s="3" t="inlineStr">
        <is>
          <t>importado</t>
        </is>
      </c>
      <c r="J1369" s="5" t="n">
        <v>1</v>
      </c>
      <c r="K1369" s="6" t="n">
        <v>498</v>
      </c>
      <c r="L1369" s="6" t="n">
        <v>267</v>
      </c>
      <c r="M1369" s="6" t="n">
        <v>729</v>
      </c>
      <c r="N1369" s="3" t="inlineStr">
        <is>
          <t>Sí</t>
        </is>
      </c>
      <c r="O1369" s="6">
        <f>IF(K1369="","",IF(N1369="Sí",ROUND(K1369/1.18,2),K1369))</f>
        <v/>
      </c>
      <c r="P1369" s="3" t="inlineStr">
        <is>
          <t>2026-09-10</t>
        </is>
      </c>
      <c r="Q1369" s="4" t="inlineStr">
        <is>
          <t>Bellón</t>
        </is>
      </c>
      <c r="Z1369" s="7" t="n">
        <v>19</v>
      </c>
      <c r="AF1369" s="4" t="inlineStr">
        <is>
          <t>material: PVC · norma: DRENAJE · diametro: 2"</t>
        </is>
      </c>
    </row>
    <row r="1370">
      <c r="A1370" s="3" t="inlineStr">
        <is>
          <t>MAT-32-013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Tubo PVC DRENAJE 3" x 19 pies</t>
        </is>
      </c>
      <c r="E1370" s="4" t="inlineStr"/>
      <c r="F1370" s="3" t="inlineStr">
        <is>
          <t>tubo</t>
        </is>
      </c>
      <c r="G1370" s="3" t="inlineStr">
        <is>
          <t>Instalaciones</t>
        </is>
      </c>
      <c r="H1370" s="3" t="inlineStr">
        <is>
          <t>estandar</t>
        </is>
      </c>
      <c r="I1370" s="3" t="inlineStr">
        <is>
          <t>importado</t>
        </is>
      </c>
      <c r="J1370" s="5" t="n">
        <v>2</v>
      </c>
      <c r="K1370" s="6" t="n">
        <v>875.63</v>
      </c>
      <c r="L1370" s="6" t="n">
        <v>784.26</v>
      </c>
      <c r="M1370" s="6" t="n">
        <v>967</v>
      </c>
      <c r="N1370" s="3" t="inlineStr">
        <is>
          <t>Sí</t>
        </is>
      </c>
      <c r="O1370" s="6">
        <f>IF(K1370="","",IF(N1370="Sí",ROUND(K1370/1.18,2),K1370))</f>
        <v/>
      </c>
      <c r="P1370" s="3" t="inlineStr">
        <is>
          <t>2026-09-10</t>
        </is>
      </c>
      <c r="Q1370" s="4" t="inlineStr">
        <is>
          <t>Bellón · Ferretería Cima</t>
        </is>
      </c>
      <c r="Z1370" s="7" t="n">
        <v>19</v>
      </c>
      <c r="AF1370" s="4" t="inlineStr">
        <is>
          <t>material: PVC · norma: DRENAJE · diametro: 3"</t>
        </is>
      </c>
    </row>
    <row r="1371">
      <c r="A1371" s="3" t="inlineStr">
        <is>
          <t>MAT-32-014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Tubo PVC DRENAJE 4" x 19 pies</t>
        </is>
      </c>
      <c r="E1371" s="4" t="inlineStr"/>
      <c r="F1371" s="3" t="inlineStr">
        <is>
          <t>tubo</t>
        </is>
      </c>
      <c r="G1371" s="3" t="inlineStr">
        <is>
          <t>Instalaciones</t>
        </is>
      </c>
      <c r="H1371" s="3" t="inlineStr">
        <is>
          <t>estandar</t>
        </is>
      </c>
      <c r="I1371" s="3" t="inlineStr">
        <is>
          <t>importado</t>
        </is>
      </c>
      <c r="J1371" s="5" t="n">
        <v>2</v>
      </c>
      <c r="K1371" s="6" t="n">
        <v>1021</v>
      </c>
      <c r="L1371" s="6" t="n">
        <v>1001</v>
      </c>
      <c r="M1371" s="6" t="n">
        <v>1041</v>
      </c>
      <c r="N1371" s="3" t="inlineStr">
        <is>
          <t>Sí</t>
        </is>
      </c>
      <c r="O1371" s="6">
        <f>IF(K1371="","",IF(N1371="Sí",ROUND(K1371/1.18,2),K1371))</f>
        <v/>
      </c>
      <c r="P1371" s="3" t="inlineStr">
        <is>
          <t>2026-09-10</t>
        </is>
      </c>
      <c r="Q1371" s="4" t="inlineStr">
        <is>
          <t>Bellón · Ferretería Cima</t>
        </is>
      </c>
      <c r="Z1371" s="7" t="n">
        <v>19</v>
      </c>
      <c r="AF1371" s="4" t="inlineStr">
        <is>
          <t>material: PVC · norma: DRENAJE · diametro: 4"</t>
        </is>
      </c>
    </row>
    <row r="1372">
      <c r="A1372" s="3" t="inlineStr">
        <is>
          <t>MAT-32-015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Tubo PVC DRENAJE 6" x 19 pies</t>
        </is>
      </c>
      <c r="E1372" s="4" t="inlineStr"/>
      <c r="F1372" s="3" t="inlineStr">
        <is>
          <t>tubo</t>
        </is>
      </c>
      <c r="G1372" s="3" t="inlineStr">
        <is>
          <t>Instalaciones</t>
        </is>
      </c>
      <c r="H1372" s="3" t="inlineStr">
        <is>
          <t>estandar</t>
        </is>
      </c>
      <c r="I1372" s="3" t="inlineStr">
        <is>
          <t>importado</t>
        </is>
      </c>
      <c r="J1372" s="5" t="n">
        <v>1</v>
      </c>
      <c r="K1372" s="6" t="n">
        <v>3133.17</v>
      </c>
      <c r="L1372" s="6" t="n">
        <v>3133.17</v>
      </c>
      <c r="M1372" s="6" t="n">
        <v>3133.17</v>
      </c>
      <c r="N1372" s="3" t="inlineStr">
        <is>
          <t>Sí</t>
        </is>
      </c>
      <c r="O1372" s="6">
        <f>IF(K1372="","",IF(N1372="Sí",ROUND(K1372/1.18,2),K1372))</f>
        <v/>
      </c>
      <c r="P1372" s="3" t="inlineStr">
        <is>
          <t>2026-09-10</t>
        </is>
      </c>
      <c r="Q1372" s="4" t="inlineStr">
        <is>
          <t>Bellón</t>
        </is>
      </c>
      <c r="Z1372" s="7" t="n">
        <v>19</v>
      </c>
      <c r="AF1372" s="4" t="inlineStr">
        <is>
          <t>material: PVC · norma: DRENAJE · diametro: 6"</t>
        </is>
      </c>
    </row>
    <row r="1373">
      <c r="A1373" s="3" t="inlineStr">
        <is>
          <t>MAT-32-016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Tubo PVC DRENAJE 8" x 19 pies</t>
        </is>
      </c>
      <c r="E1373" s="4" t="inlineStr"/>
      <c r="F1373" s="3" t="inlineStr">
        <is>
          <t>tubo</t>
        </is>
      </c>
      <c r="G1373" s="3" t="inlineStr">
        <is>
          <t>Instalaciones</t>
        </is>
      </c>
      <c r="H1373" s="3" t="inlineStr">
        <is>
          <t>estandar</t>
        </is>
      </c>
      <c r="I1373" s="3" t="inlineStr">
        <is>
          <t>importado</t>
        </is>
      </c>
      <c r="J1373" s="5" t="n">
        <v>1</v>
      </c>
      <c r="K1373" s="6" t="n">
        <v>5301.3</v>
      </c>
      <c r="L1373" s="6" t="n">
        <v>5301.3</v>
      </c>
      <c r="M1373" s="6" t="n">
        <v>5301.3</v>
      </c>
      <c r="N1373" s="3" t="inlineStr">
        <is>
          <t>Sí</t>
        </is>
      </c>
      <c r="O1373" s="6">
        <f>IF(K1373="","",IF(N1373="Sí",ROUND(K1373/1.18,2),K1373))</f>
        <v/>
      </c>
      <c r="P1373" s="3" t="inlineStr">
        <is>
          <t>2026-09-10</t>
        </is>
      </c>
      <c r="Q1373" s="4" t="inlineStr">
        <is>
          <t>Bellón</t>
        </is>
      </c>
      <c r="Z1373" s="7" t="n">
        <v>19</v>
      </c>
      <c r="AF1373" s="4" t="inlineStr">
        <is>
          <t>material: PVC · norma: DRENAJE · diametro: 8"</t>
        </is>
      </c>
    </row>
    <row r="1374">
      <c r="A1374" s="3" t="inlineStr">
        <is>
          <t>MAT-32-017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Tubo PVC SCH-40 1 1/2" x 19 pies</t>
        </is>
      </c>
      <c r="E1374" s="4" t="inlineStr"/>
      <c r="F1374" s="3" t="inlineStr">
        <is>
          <t>tubo</t>
        </is>
      </c>
      <c r="G1374" s="3" t="inlineStr">
        <is>
          <t>Instalaciones</t>
        </is>
      </c>
      <c r="H1374" s="3" t="inlineStr">
        <is>
          <t>estandar</t>
        </is>
      </c>
      <c r="I1374" s="3" t="inlineStr">
        <is>
          <t>importado</t>
        </is>
      </c>
      <c r="J1374" s="5" t="n">
        <v>3</v>
      </c>
      <c r="K1374" s="6" t="n">
        <v>944</v>
      </c>
      <c r="L1374" s="6" t="n">
        <v>535</v>
      </c>
      <c r="M1374" s="6" t="n">
        <v>1059.64</v>
      </c>
      <c r="N1374" s="3" t="inlineStr">
        <is>
          <t>Sí</t>
        </is>
      </c>
      <c r="O1374" s="6">
        <f>IF(K1374="","",IF(N1374="Sí",ROUND(K1374/1.18,2),K1374))</f>
        <v/>
      </c>
      <c r="P1374" s="3" t="inlineStr">
        <is>
          <t>2026-09-09</t>
        </is>
      </c>
      <c r="Q1374" s="4" t="inlineStr">
        <is>
          <t>Ferretería Cima · Ferretería MC · Max Ferretería</t>
        </is>
      </c>
      <c r="Z1374" s="7" t="n">
        <v>19</v>
      </c>
      <c r="AF1374" s="4" t="inlineStr">
        <is>
          <t>material: PVC · norma: SCH-40 · diametro: 1 1/2"</t>
        </is>
      </c>
    </row>
    <row r="1375">
      <c r="A1375" s="3" t="inlineStr">
        <is>
          <t>MAT-32-018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Tubo PVC SCH-40 1/2" x 19 pies</t>
        </is>
      </c>
      <c r="E1375" s="4" t="inlineStr"/>
      <c r="F1375" s="3" t="inlineStr">
        <is>
          <t>tubo</t>
        </is>
      </c>
      <c r="G1375" s="3" t="inlineStr">
        <is>
          <t>Instalaciones</t>
        </is>
      </c>
      <c r="H1375" s="3" t="inlineStr">
        <is>
          <t>estandar</t>
        </is>
      </c>
      <c r="I1375" s="3" t="inlineStr">
        <is>
          <t>importado</t>
        </is>
      </c>
      <c r="J1375" s="5" t="n">
        <v>2</v>
      </c>
      <c r="K1375" s="6" t="n">
        <v>298.78</v>
      </c>
      <c r="L1375" s="6" t="n">
        <v>275</v>
      </c>
      <c r="M1375" s="6" t="n">
        <v>1025</v>
      </c>
      <c r="N1375" s="3" t="inlineStr">
        <is>
          <t>Sí</t>
        </is>
      </c>
      <c r="O1375" s="6">
        <f>IF(K1375="","",IF(N1375="Sí",ROUND(K1375/1.18,2),K1375))</f>
        <v/>
      </c>
      <c r="P1375" s="3" t="inlineStr">
        <is>
          <t>2026-09-10</t>
        </is>
      </c>
      <c r="Q1375" s="4" t="inlineStr">
        <is>
          <t>Bellón · Ferretería MC</t>
        </is>
      </c>
      <c r="Z1375" s="7" t="n">
        <v>19</v>
      </c>
      <c r="AF1375" s="4" t="inlineStr">
        <is>
          <t>material: PVC · norma: SCH-40 · diametro: 1/2"</t>
        </is>
      </c>
    </row>
    <row r="1376">
      <c r="A1376" s="3" t="inlineStr">
        <is>
          <t>MAT-32-019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Tubo PVC SCH-40 1" x 19 pies</t>
        </is>
      </c>
      <c r="E1376" s="4" t="inlineStr"/>
      <c r="F1376" s="3" t="inlineStr">
        <is>
          <t>tubo</t>
        </is>
      </c>
      <c r="G1376" s="3" t="inlineStr">
        <is>
          <t>Instalaciones</t>
        </is>
      </c>
      <c r="H1376" s="3" t="inlineStr">
        <is>
          <t>estandar</t>
        </is>
      </c>
      <c r="I1376" s="3" t="inlineStr">
        <is>
          <t>importado</t>
        </is>
      </c>
      <c r="J1376" s="5" t="n">
        <v>4</v>
      </c>
      <c r="K1376" s="6" t="n">
        <v>596.5</v>
      </c>
      <c r="L1376" s="6" t="n">
        <v>315</v>
      </c>
      <c r="M1376" s="6" t="n">
        <v>627.05</v>
      </c>
      <c r="N1376" s="3" t="inlineStr">
        <is>
          <t>Sí</t>
        </is>
      </c>
      <c r="O1376" s="6">
        <f>IF(K1376="","",IF(N1376="Sí",ROUND(K1376/1.18,2),K1376))</f>
        <v/>
      </c>
      <c r="P1376" s="3" t="inlineStr">
        <is>
          <t>2026-09-10</t>
        </is>
      </c>
      <c r="Q1376" s="4" t="inlineStr">
        <is>
          <t>Bellón · Ferretería Cima · Ferretería MC · Max Ferretería</t>
        </is>
      </c>
      <c r="Z1376" s="7" t="n">
        <v>19</v>
      </c>
      <c r="AF1376" s="4" t="inlineStr">
        <is>
          <t>material: PVC · norma: SCH-40 · diametro: 1"</t>
        </is>
      </c>
    </row>
    <row r="1377">
      <c r="A1377" s="3" t="inlineStr">
        <is>
          <t>MAT-32-020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Tubo PVC SCH-40 2" x 19 pies</t>
        </is>
      </c>
      <c r="E1377" s="4" t="inlineStr"/>
      <c r="F1377" s="3" t="inlineStr">
        <is>
          <t>tubo</t>
        </is>
      </c>
      <c r="G1377" s="3" t="inlineStr">
        <is>
          <t>Instalaciones</t>
        </is>
      </c>
      <c r="H1377" s="3" t="inlineStr">
        <is>
          <t>estandar</t>
        </is>
      </c>
      <c r="I1377" s="3" t="inlineStr">
        <is>
          <t>importado</t>
        </is>
      </c>
      <c r="J1377" s="5" t="n">
        <v>3</v>
      </c>
      <c r="K1377" s="6" t="n">
        <v>1416</v>
      </c>
      <c r="L1377" s="6" t="n">
        <v>745</v>
      </c>
      <c r="M1377" s="6" t="n">
        <v>1424.97</v>
      </c>
      <c r="N1377" s="3" t="inlineStr">
        <is>
          <t>Sí</t>
        </is>
      </c>
      <c r="O1377" s="6">
        <f>IF(K1377="","",IF(N1377="Sí",ROUND(K1377/1.18,2),K1377))</f>
        <v/>
      </c>
      <c r="P1377" s="3" t="inlineStr">
        <is>
          <t>2026-09-10</t>
        </is>
      </c>
      <c r="Q1377" s="4" t="inlineStr">
        <is>
          <t>Bellón · Ferretería MC · Max Ferretería</t>
        </is>
      </c>
      <c r="Z1377" s="7" t="n">
        <v>19</v>
      </c>
      <c r="AF1377" s="4" t="inlineStr">
        <is>
          <t>material: PVC · norma: SCH-40 · diametro: 2"</t>
        </is>
      </c>
    </row>
    <row r="1378">
      <c r="A1378" s="3" t="inlineStr">
        <is>
          <t>MAT-32-021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Tubo PVC SCH-40 2" x 9.5 pies</t>
        </is>
      </c>
      <c r="E1378" s="4" t="inlineStr"/>
      <c r="F1378" s="3" t="inlineStr">
        <is>
          <t>tubo</t>
        </is>
      </c>
      <c r="G1378" s="3" t="inlineStr">
        <is>
          <t>Instalaciones</t>
        </is>
      </c>
      <c r="H1378" s="3" t="inlineStr">
        <is>
          <t>estandar</t>
        </is>
      </c>
      <c r="I1378" s="3" t="inlineStr">
        <is>
          <t>importado</t>
        </is>
      </c>
      <c r="J1378" s="5" t="n">
        <v>1</v>
      </c>
      <c r="K1378" s="6" t="n">
        <v>698</v>
      </c>
      <c r="L1378" s="6" t="n">
        <v>698</v>
      </c>
      <c r="M1378" s="6" t="n">
        <v>698</v>
      </c>
      <c r="N1378" s="3" t="inlineStr">
        <is>
          <t>Sí</t>
        </is>
      </c>
      <c r="O1378" s="6">
        <f>IF(K1378="","",IF(N1378="Sí",ROUND(K1378/1.18,2),K1378))</f>
        <v/>
      </c>
      <c r="P1378" s="3" t="inlineStr">
        <is>
          <t>2026-09-10</t>
        </is>
      </c>
      <c r="Q1378" s="4" t="inlineStr">
        <is>
          <t>Bellón</t>
        </is>
      </c>
      <c r="Z1378" s="7" t="n">
        <v>9.5</v>
      </c>
      <c r="AF1378" s="4" t="inlineStr">
        <is>
          <t>material: PVC · norma: SCH-40 · diametro: 2"</t>
        </is>
      </c>
    </row>
    <row r="1379">
      <c r="A1379" s="3" t="inlineStr">
        <is>
          <t>MAT-32-022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Tubo PVC SCH-40 3/4" x 19 pies</t>
        </is>
      </c>
      <c r="E1379" s="4" t="inlineStr"/>
      <c r="F1379" s="3" t="inlineStr">
        <is>
          <t>tubo</t>
        </is>
      </c>
      <c r="G1379" s="3" t="inlineStr">
        <is>
          <t>Instalaciones</t>
        </is>
      </c>
      <c r="H1379" s="3" t="inlineStr">
        <is>
          <t>estandar</t>
        </is>
      </c>
      <c r="I1379" s="3" t="inlineStr">
        <is>
          <t>importado</t>
        </is>
      </c>
      <c r="J1379" s="5" t="n">
        <v>4</v>
      </c>
      <c r="K1379" s="6" t="n">
        <v>388</v>
      </c>
      <c r="L1379" s="6" t="n">
        <v>217</v>
      </c>
      <c r="M1379" s="6" t="n">
        <v>423.5</v>
      </c>
      <c r="N1379" s="3" t="inlineStr">
        <is>
          <t>Sí</t>
        </is>
      </c>
      <c r="O1379" s="6">
        <f>IF(K1379="","",IF(N1379="Sí",ROUND(K1379/1.18,2),K1379))</f>
        <v/>
      </c>
      <c r="P1379" s="3" t="inlineStr">
        <is>
          <t>2026-09-10</t>
        </is>
      </c>
      <c r="Q1379" s="4" t="inlineStr">
        <is>
          <t>Bellón · Ferretería Cima · Ferretería MC · Max Ferretería</t>
        </is>
      </c>
      <c r="Z1379" s="7" t="n">
        <v>19</v>
      </c>
      <c r="AF1379" s="4" t="inlineStr">
        <is>
          <t>material: PVC · norma: SCH-40 · diametro: 3/4"</t>
        </is>
      </c>
    </row>
    <row r="1380">
      <c r="A1380" s="3" t="inlineStr">
        <is>
          <t>MAT-32-023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Tubo PVC SCH-40 3/4" x 9.5 pies</t>
        </is>
      </c>
      <c r="E1380" s="4" t="inlineStr"/>
      <c r="F1380" s="3" t="inlineStr">
        <is>
          <t>tubo</t>
        </is>
      </c>
      <c r="G1380" s="3" t="inlineStr">
        <is>
          <t>Instalaciones</t>
        </is>
      </c>
      <c r="H1380" s="3" t="inlineStr">
        <is>
          <t>estandar</t>
        </is>
      </c>
      <c r="I1380" s="3" t="inlineStr">
        <is>
          <t>importado</t>
        </is>
      </c>
      <c r="J1380" s="5" t="n">
        <v>1</v>
      </c>
      <c r="K1380" s="6" t="n">
        <v>154</v>
      </c>
      <c r="L1380" s="6" t="n">
        <v>154</v>
      </c>
      <c r="M1380" s="6" t="n">
        <v>154</v>
      </c>
      <c r="N1380" s="3" t="inlineStr">
        <is>
          <t>Sí</t>
        </is>
      </c>
      <c r="O1380" s="6">
        <f>IF(K1380="","",IF(N1380="Sí",ROUND(K1380/1.18,2),K1380))</f>
        <v/>
      </c>
      <c r="P1380" s="3" t="inlineStr">
        <is>
          <t>2026-09-10</t>
        </is>
      </c>
      <c r="Q1380" s="4" t="inlineStr">
        <is>
          <t>Bellón</t>
        </is>
      </c>
      <c r="Z1380" s="7" t="n">
        <v>9.5</v>
      </c>
      <c r="AF1380" s="4" t="inlineStr">
        <is>
          <t>material: PVC · norma: SCH-40 · diametro: 3/4"</t>
        </is>
      </c>
    </row>
    <row r="1381">
      <c r="A1381" s="3" t="inlineStr">
        <is>
          <t>MAT-32-024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Tubo PVC SCH-40 3" x 19 pies</t>
        </is>
      </c>
      <c r="E1381" s="4" t="inlineStr"/>
      <c r="F1381" s="3" t="inlineStr">
        <is>
          <t>tubo</t>
        </is>
      </c>
      <c r="G1381" s="3" t="inlineStr">
        <is>
          <t>Instalaciones</t>
        </is>
      </c>
      <c r="H1381" s="3" t="inlineStr">
        <is>
          <t>estandar</t>
        </is>
      </c>
      <c r="I1381" s="3" t="inlineStr">
        <is>
          <t>importado</t>
        </is>
      </c>
      <c r="J1381" s="5" t="n">
        <v>2</v>
      </c>
      <c r="K1381" s="6" t="n">
        <v>2895.19</v>
      </c>
      <c r="L1381" s="6" t="n">
        <v>2832</v>
      </c>
      <c r="M1381" s="6" t="n">
        <v>2958.38</v>
      </c>
      <c r="N1381" s="3" t="inlineStr">
        <is>
          <t>Sí</t>
        </is>
      </c>
      <c r="O1381" s="6">
        <f>IF(K1381="","",IF(N1381="Sí",ROUND(K1381/1.18,2),K1381))</f>
        <v/>
      </c>
      <c r="P1381" s="3" t="inlineStr">
        <is>
          <t>2026-09-10</t>
        </is>
      </c>
      <c r="Q1381" s="4" t="inlineStr">
        <is>
          <t>Bellón · Ferretería MC</t>
        </is>
      </c>
      <c r="Z1381" s="7" t="n">
        <v>19</v>
      </c>
      <c r="AF1381" s="4" t="inlineStr">
        <is>
          <t>material: PVC · norma: SCH-40 · diametro: 3"</t>
        </is>
      </c>
    </row>
    <row r="1382">
      <c r="A1382" s="3" t="inlineStr">
        <is>
          <t>MAT-32-025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Tubo PVC SCH-40 4" x 19 pies</t>
        </is>
      </c>
      <c r="E1382" s="4" t="inlineStr"/>
      <c r="F1382" s="3" t="inlineStr">
        <is>
          <t>tubo</t>
        </is>
      </c>
      <c r="G1382" s="3" t="inlineStr">
        <is>
          <t>Instalaciones</t>
        </is>
      </c>
      <c r="H1382" s="3" t="inlineStr">
        <is>
          <t>estandar</t>
        </is>
      </c>
      <c r="I1382" s="3" t="inlineStr">
        <is>
          <t>importado</t>
        </is>
      </c>
      <c r="J1382" s="5" t="n">
        <v>2</v>
      </c>
      <c r="K1382" s="6" t="n">
        <v>4117.09</v>
      </c>
      <c r="L1382" s="6" t="n">
        <v>4020.28</v>
      </c>
      <c r="M1382" s="6" t="n">
        <v>4213.9</v>
      </c>
      <c r="N1382" s="3" t="inlineStr">
        <is>
          <t>Sí</t>
        </is>
      </c>
      <c r="O1382" s="6">
        <f>IF(K1382="","",IF(N1382="Sí",ROUND(K1382/1.18,2),K1382))</f>
        <v/>
      </c>
      <c r="P1382" s="3" t="inlineStr">
        <is>
          <t>2026-09-10</t>
        </is>
      </c>
      <c r="Q1382" s="4" t="inlineStr">
        <is>
          <t>Bellón · Ferretería MC</t>
        </is>
      </c>
      <c r="Z1382" s="7" t="n">
        <v>19</v>
      </c>
      <c r="AF1382" s="4" t="inlineStr">
        <is>
          <t>material: PVC · norma: SCH-40 · diametro: 4"</t>
        </is>
      </c>
    </row>
    <row r="1383">
      <c r="A1383" s="3" t="inlineStr">
        <is>
          <t>MAT-32-026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Tubo PVC SCH-40 6" x 19 pies</t>
        </is>
      </c>
      <c r="E1383" s="4" t="inlineStr"/>
      <c r="F1383" s="3" t="inlineStr">
        <is>
          <t>tubo</t>
        </is>
      </c>
      <c r="G1383" s="3" t="inlineStr">
        <is>
          <t>Instalaciones</t>
        </is>
      </c>
      <c r="H1383" s="3" t="inlineStr">
        <is>
          <t>estandar</t>
        </is>
      </c>
      <c r="I1383" s="3" t="inlineStr">
        <is>
          <t>importado</t>
        </is>
      </c>
      <c r="J1383" s="5" t="n">
        <v>2</v>
      </c>
      <c r="K1383" s="6" t="n">
        <v>8008.1</v>
      </c>
      <c r="L1383" s="6" t="n">
        <v>7865</v>
      </c>
      <c r="M1383" s="6" t="n">
        <v>8151.2</v>
      </c>
      <c r="N1383" s="3" t="inlineStr">
        <is>
          <t>Sí</t>
        </is>
      </c>
      <c r="O1383" s="6">
        <f>IF(K1383="","",IF(N1383="Sí",ROUND(K1383/1.18,2),K1383))</f>
        <v/>
      </c>
      <c r="P1383" s="3" t="inlineStr">
        <is>
          <t>2026-09-10</t>
        </is>
      </c>
      <c r="Q1383" s="4" t="inlineStr">
        <is>
          <t>Bellón · Ferretería MC</t>
        </is>
      </c>
      <c r="Z1383" s="7" t="n">
        <v>19</v>
      </c>
      <c r="AF1383" s="4" t="inlineStr">
        <is>
          <t>material: PVC · norma: SCH-40 · diametro: 6"</t>
        </is>
      </c>
    </row>
    <row r="1384">
      <c r="A1384" s="3" t="inlineStr">
        <is>
          <t>MAT-32-027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Tubo PVC SCH-40 8" x 19 pies</t>
        </is>
      </c>
      <c r="E1384" s="4" t="inlineStr"/>
      <c r="F1384" s="3" t="inlineStr">
        <is>
          <t>tubo</t>
        </is>
      </c>
      <c r="G1384" s="3" t="inlineStr">
        <is>
          <t>Instalaciones</t>
        </is>
      </c>
      <c r="H1384" s="3" t="inlineStr">
        <is>
          <t>estandar</t>
        </is>
      </c>
      <c r="I1384" s="3" t="inlineStr">
        <is>
          <t>importado</t>
        </is>
      </c>
      <c r="J1384" s="5" t="n">
        <v>2</v>
      </c>
      <c r="K1384" s="6" t="n">
        <v>12041.54</v>
      </c>
      <c r="L1384" s="6" t="n">
        <v>11841.41</v>
      </c>
      <c r="M1384" s="6" t="n">
        <v>12241.67</v>
      </c>
      <c r="N1384" s="3" t="inlineStr">
        <is>
          <t>Sí</t>
        </is>
      </c>
      <c r="O1384" s="6">
        <f>IF(K1384="","",IF(N1384="Sí",ROUND(K1384/1.18,2),K1384))</f>
        <v/>
      </c>
      <c r="P1384" s="3" t="inlineStr">
        <is>
          <t>2026-09-10</t>
        </is>
      </c>
      <c r="Q1384" s="4" t="inlineStr">
        <is>
          <t>Bellón · Ferretería MC</t>
        </is>
      </c>
      <c r="Z1384" s="7" t="n">
        <v>19</v>
      </c>
      <c r="AF1384" s="4" t="inlineStr">
        <is>
          <t>material: PVC · norma: SCH-40 · diametro: 8"</t>
        </is>
      </c>
    </row>
    <row r="1385">
      <c r="A1385" s="3" t="inlineStr">
        <is>
          <t>MAT-32-028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Tubo PVC SCH-80 1/2" x 19 pies</t>
        </is>
      </c>
      <c r="E1385" s="4" t="inlineStr"/>
      <c r="F1385" s="3" t="inlineStr">
        <is>
          <t>tubo</t>
        </is>
      </c>
      <c r="G1385" s="3" t="inlineStr">
        <is>
          <t>Instalaciones</t>
        </is>
      </c>
      <c r="H1385" s="3" t="inlineStr">
        <is>
          <t>estandar</t>
        </is>
      </c>
      <c r="I1385" s="3" t="inlineStr">
        <is>
          <t>importado</t>
        </is>
      </c>
      <c r="J1385" s="5" t="n">
        <v>1</v>
      </c>
      <c r="K1385" s="6" t="n">
        <v>1098.5</v>
      </c>
      <c r="L1385" s="6" t="n">
        <v>465</v>
      </c>
      <c r="M1385" s="6" t="n">
        <v>1732</v>
      </c>
      <c r="N1385" s="3" t="inlineStr">
        <is>
          <t>Sí</t>
        </is>
      </c>
      <c r="O1385" s="6">
        <f>IF(K1385="","",IF(N1385="Sí",ROUND(K1385/1.18,2),K1385))</f>
        <v/>
      </c>
      <c r="P1385" s="3" t="inlineStr">
        <is>
          <t>2026-09-10</t>
        </is>
      </c>
      <c r="Q1385" s="4" t="inlineStr">
        <is>
          <t>Bellón</t>
        </is>
      </c>
      <c r="Z1385" s="7" t="n">
        <v>19</v>
      </c>
      <c r="AF1385" s="4" t="inlineStr">
        <is>
          <t>material: PVC · norma: SCH-80 · diametro: 1/2"</t>
        </is>
      </c>
    </row>
    <row r="1386">
      <c r="A1386" s="3" t="inlineStr">
        <is>
          <t>MAT-32-029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Tubo PVC SCH-80 1" x 19 pies</t>
        </is>
      </c>
      <c r="E1386" s="4" t="inlineStr"/>
      <c r="F1386" s="3" t="inlineStr">
        <is>
          <t>tubo</t>
        </is>
      </c>
      <c r="G1386" s="3" t="inlineStr">
        <is>
          <t>Instalaciones</t>
        </is>
      </c>
      <c r="H1386" s="3" t="inlineStr">
        <is>
          <t>estandar</t>
        </is>
      </c>
      <c r="I1386" s="3" t="inlineStr">
        <is>
          <t>importado</t>
        </is>
      </c>
      <c r="J1386" s="5" t="n">
        <v>1</v>
      </c>
      <c r="K1386" s="6" t="n">
        <v>905</v>
      </c>
      <c r="L1386" s="6" t="n">
        <v>905</v>
      </c>
      <c r="M1386" s="6" t="n">
        <v>905</v>
      </c>
      <c r="N1386" s="3" t="inlineStr">
        <is>
          <t>Sí</t>
        </is>
      </c>
      <c r="O1386" s="6">
        <f>IF(K1386="","",IF(N1386="Sí",ROUND(K1386/1.18,2),K1386))</f>
        <v/>
      </c>
      <c r="P1386" s="3" t="inlineStr">
        <is>
          <t>2026-09-10</t>
        </is>
      </c>
      <c r="Q1386" s="4" t="inlineStr">
        <is>
          <t>Bellón</t>
        </is>
      </c>
      <c r="Z1386" s="7" t="n">
        <v>19</v>
      </c>
      <c r="AF1386" s="4" t="inlineStr">
        <is>
          <t>material: PVC · norma: SCH-80 · diametro: 1"</t>
        </is>
      </c>
    </row>
    <row r="1387">
      <c r="A1387" s="3" t="inlineStr">
        <is>
          <t>MAT-32-030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Tubo PVC SCH-80 2" x 19 pies</t>
        </is>
      </c>
      <c r="E1387" s="4" t="inlineStr"/>
      <c r="F1387" s="3" t="inlineStr">
        <is>
          <t>tubo</t>
        </is>
      </c>
      <c r="G1387" s="3" t="inlineStr">
        <is>
          <t>Instalaciones</t>
        </is>
      </c>
      <c r="H1387" s="3" t="inlineStr">
        <is>
          <t>estandar</t>
        </is>
      </c>
      <c r="I1387" s="3" t="inlineStr">
        <is>
          <t>importado</t>
        </is>
      </c>
      <c r="J1387" s="5" t="n">
        <v>1</v>
      </c>
      <c r="K1387" s="6" t="n">
        <v>2276</v>
      </c>
      <c r="L1387" s="6" t="n">
        <v>2276</v>
      </c>
      <c r="M1387" s="6" t="n">
        <v>2276</v>
      </c>
      <c r="N1387" s="3" t="inlineStr">
        <is>
          <t>Sí</t>
        </is>
      </c>
      <c r="O1387" s="6">
        <f>IF(K1387="","",IF(N1387="Sí",ROUND(K1387/1.18,2),K1387))</f>
        <v/>
      </c>
      <c r="P1387" s="3" t="inlineStr">
        <is>
          <t>2026-09-10</t>
        </is>
      </c>
      <c r="Q1387" s="4" t="inlineStr">
        <is>
          <t>Bellón</t>
        </is>
      </c>
      <c r="Z1387" s="7" t="n">
        <v>19</v>
      </c>
      <c r="AF1387" s="4" t="inlineStr">
        <is>
          <t>material: PVC · norma: SCH-80 · diametro: 2"</t>
        </is>
      </c>
    </row>
    <row r="1388">
      <c r="A1388" s="3" t="inlineStr">
        <is>
          <t>MAT-32-031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Tubo PVC SCH-80 3/4" x 19 pies</t>
        </is>
      </c>
      <c r="E1388" s="4" t="inlineStr"/>
      <c r="F1388" s="3" t="inlineStr">
        <is>
          <t>tubo</t>
        </is>
      </c>
      <c r="G1388" s="3" t="inlineStr">
        <is>
          <t>Instalaciones</t>
        </is>
      </c>
      <c r="H1388" s="3" t="inlineStr">
        <is>
          <t>estandar</t>
        </is>
      </c>
      <c r="I1388" s="3" t="inlineStr">
        <is>
          <t>importado</t>
        </is>
      </c>
      <c r="J1388" s="5" t="n">
        <v>1</v>
      </c>
      <c r="K1388" s="6" t="n">
        <v>621</v>
      </c>
      <c r="L1388" s="6" t="n">
        <v>621</v>
      </c>
      <c r="M1388" s="6" t="n">
        <v>621</v>
      </c>
      <c r="N1388" s="3" t="inlineStr">
        <is>
          <t>Sí</t>
        </is>
      </c>
      <c r="O1388" s="6">
        <f>IF(K1388="","",IF(N1388="Sí",ROUND(K1388/1.18,2),K1388))</f>
        <v/>
      </c>
      <c r="P1388" s="3" t="inlineStr">
        <is>
          <t>2026-09-10</t>
        </is>
      </c>
      <c r="Q1388" s="4" t="inlineStr">
        <is>
          <t>Bellón</t>
        </is>
      </c>
      <c r="Z1388" s="7" t="n">
        <v>19</v>
      </c>
      <c r="AF1388" s="4" t="inlineStr">
        <is>
          <t>material: PVC · norma: SCH-80 · diametro: 3/4"</t>
        </is>
      </c>
    </row>
    <row r="1389">
      <c r="A1389" s="3" t="inlineStr">
        <is>
          <t>MAT-32-032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Tubo PVC SCH-80 3" x 19 pies</t>
        </is>
      </c>
      <c r="E1389" s="4" t="inlineStr"/>
      <c r="F1389" s="3" t="inlineStr">
        <is>
          <t>tubo</t>
        </is>
      </c>
      <c r="G1389" s="3" t="inlineStr">
        <is>
          <t>Instalaciones</t>
        </is>
      </c>
      <c r="H1389" s="3" t="inlineStr">
        <is>
          <t>estandar</t>
        </is>
      </c>
      <c r="I1389" s="3" t="inlineStr">
        <is>
          <t>importado</t>
        </is>
      </c>
      <c r="J1389" s="5" t="n">
        <v>1</v>
      </c>
      <c r="K1389" s="6" t="n">
        <v>4177</v>
      </c>
      <c r="L1389" s="6" t="n">
        <v>4177</v>
      </c>
      <c r="M1389" s="6" t="n">
        <v>4177</v>
      </c>
      <c r="N1389" s="3" t="inlineStr">
        <is>
          <t>Sí</t>
        </is>
      </c>
      <c r="O1389" s="6">
        <f>IF(K1389="","",IF(N1389="Sí",ROUND(K1389/1.18,2),K1389))</f>
        <v/>
      </c>
      <c r="P1389" s="3" t="inlineStr">
        <is>
          <t>2026-09-10</t>
        </is>
      </c>
      <c r="Q1389" s="4" t="inlineStr">
        <is>
          <t>Bellón</t>
        </is>
      </c>
      <c r="Z1389" s="7" t="n">
        <v>19</v>
      </c>
      <c r="AF1389" s="4" t="inlineStr">
        <is>
          <t>material: PVC · norma: SCH-80 · diametro: 3"</t>
        </is>
      </c>
    </row>
    <row r="1390">
      <c r="A1390" s="3" t="inlineStr">
        <is>
          <t>MAT-32-033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Tubo PVC SDR-13.5 1/2" x 19 pies</t>
        </is>
      </c>
      <c r="E1390" s="4" t="inlineStr"/>
      <c r="F1390" s="3" t="inlineStr">
        <is>
          <t>tubo</t>
        </is>
      </c>
      <c r="G1390" s="3" t="inlineStr">
        <is>
          <t>Instalaciones</t>
        </is>
      </c>
      <c r="H1390" s="3" t="inlineStr">
        <is>
          <t>estandar</t>
        </is>
      </c>
      <c r="I1390" s="3" t="inlineStr">
        <is>
          <t>importado</t>
        </is>
      </c>
      <c r="J1390" s="5" t="n">
        <v>1</v>
      </c>
      <c r="K1390" s="6" t="n">
        <v>181</v>
      </c>
      <c r="L1390" s="6" t="n">
        <v>181</v>
      </c>
      <c r="M1390" s="6" t="n">
        <v>181</v>
      </c>
      <c r="N1390" s="3" t="inlineStr">
        <is>
          <t>Sí</t>
        </is>
      </c>
      <c r="O1390" s="6">
        <f>IF(K1390="","",IF(N1390="Sí",ROUND(K1390/1.18,2),K1390))</f>
        <v/>
      </c>
      <c r="P1390" s="3" t="inlineStr">
        <is>
          <t>2026-09-10</t>
        </is>
      </c>
      <c r="Q1390" s="4" t="inlineStr">
        <is>
          <t>Bellón</t>
        </is>
      </c>
      <c r="Z1390" s="7" t="n">
        <v>19</v>
      </c>
      <c r="AF1390" s="4" t="inlineStr">
        <is>
          <t>material: PVC · norma: SDR-13.5 · diametro: 1/2"</t>
        </is>
      </c>
    </row>
    <row r="1391">
      <c r="A1391" s="3" t="inlineStr">
        <is>
          <t>MAT-32-034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PVC SDR-21 1" x 19 pies</t>
        </is>
      </c>
      <c r="E1391" s="4" t="inlineStr"/>
      <c r="F1391" s="3" t="inlineStr">
        <is>
          <t>tubo</t>
        </is>
      </c>
      <c r="G1391" s="3" t="inlineStr">
        <is>
          <t>Instalaciones</t>
        </is>
      </c>
      <c r="H1391" s="3" t="inlineStr">
        <is>
          <t>estandar</t>
        </is>
      </c>
      <c r="I1391" s="3" t="inlineStr">
        <is>
          <t>importado</t>
        </is>
      </c>
      <c r="J1391" s="5" t="n">
        <v>1</v>
      </c>
      <c r="K1391" s="6" t="n">
        <v>320</v>
      </c>
      <c r="L1391" s="6" t="n">
        <v>320</v>
      </c>
      <c r="M1391" s="6" t="n">
        <v>320</v>
      </c>
      <c r="N1391" s="3" t="inlineStr">
        <is>
          <t>Sí</t>
        </is>
      </c>
      <c r="O1391" s="6">
        <f>IF(K1391="","",IF(N1391="Sí",ROUND(K1391/1.18,2),K1391))</f>
        <v/>
      </c>
      <c r="P1391" s="3" t="inlineStr">
        <is>
          <t>2026-09-10</t>
        </is>
      </c>
      <c r="Q1391" s="4" t="inlineStr">
        <is>
          <t>Bellón</t>
        </is>
      </c>
      <c r="Z1391" s="7" t="n">
        <v>19</v>
      </c>
      <c r="AF1391" s="4" t="inlineStr">
        <is>
          <t>material: PVC · norma: SDR-21 · diametro: 1"</t>
        </is>
      </c>
    </row>
    <row r="1392">
      <c r="A1392" s="3" t="inlineStr">
        <is>
          <t>MAT-32-035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PVC SDR-21 1" x 9.5 pies</t>
        </is>
      </c>
      <c r="E1392" s="4" t="inlineStr"/>
      <c r="F1392" s="3" t="inlineStr">
        <is>
          <t>tubo</t>
        </is>
      </c>
      <c r="G1392" s="3" t="inlineStr">
        <is>
          <t>Instalaciones</t>
        </is>
      </c>
      <c r="H1392" s="3" t="inlineStr">
        <is>
          <t>estandar</t>
        </is>
      </c>
      <c r="I1392" s="3" t="inlineStr">
        <is>
          <t>importado</t>
        </is>
      </c>
      <c r="J1392" s="5" t="n">
        <v>1</v>
      </c>
      <c r="K1392" s="6" t="n">
        <v>176</v>
      </c>
      <c r="L1392" s="6" t="n">
        <v>176</v>
      </c>
      <c r="M1392" s="6" t="n">
        <v>176</v>
      </c>
      <c r="N1392" s="3" t="inlineStr">
        <is>
          <t>Sí</t>
        </is>
      </c>
      <c r="O1392" s="6">
        <f>IF(K1392="","",IF(N1392="Sí",ROUND(K1392/1.18,2),K1392))</f>
        <v/>
      </c>
      <c r="P1392" s="3" t="inlineStr">
        <is>
          <t>2026-09-10</t>
        </is>
      </c>
      <c r="Q1392" s="4" t="inlineStr">
        <is>
          <t>Bellón</t>
        </is>
      </c>
      <c r="Z1392" s="7" t="n">
        <v>9.5</v>
      </c>
      <c r="AF1392" s="4" t="inlineStr">
        <is>
          <t>material: PVC · norma: SDR-21 · diametro: 1"</t>
        </is>
      </c>
    </row>
    <row r="1393">
      <c r="A1393" s="3" t="inlineStr">
        <is>
          <t>MAT-32-036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PVC SDR-21 3/4" x 19 pies</t>
        </is>
      </c>
      <c r="E1393" s="4" t="inlineStr"/>
      <c r="F1393" s="3" t="inlineStr">
        <is>
          <t>tubo</t>
        </is>
      </c>
      <c r="G1393" s="3" t="inlineStr">
        <is>
          <t>Instalaciones</t>
        </is>
      </c>
      <c r="H1393" s="3" t="inlineStr">
        <is>
          <t>estandar</t>
        </is>
      </c>
      <c r="I1393" s="3" t="inlineStr">
        <is>
          <t>importado</t>
        </is>
      </c>
      <c r="J1393" s="5" t="n">
        <v>1</v>
      </c>
      <c r="K1393" s="6" t="n">
        <v>260</v>
      </c>
      <c r="L1393" s="6" t="n">
        <v>260</v>
      </c>
      <c r="M1393" s="6" t="n">
        <v>260</v>
      </c>
      <c r="N1393" s="3" t="inlineStr">
        <is>
          <t>Sí</t>
        </is>
      </c>
      <c r="O1393" s="6">
        <f>IF(K1393="","",IF(N1393="Sí",ROUND(K1393/1.18,2),K1393))</f>
        <v/>
      </c>
      <c r="P1393" s="3" t="inlineStr">
        <is>
          <t>2026-09-10</t>
        </is>
      </c>
      <c r="Q1393" s="4" t="inlineStr">
        <is>
          <t>Bellón</t>
        </is>
      </c>
      <c r="Z1393" s="7" t="n">
        <v>19</v>
      </c>
      <c r="AF1393" s="4" t="inlineStr">
        <is>
          <t>material: PVC · norma: SDR-21 · diametro: 3/4"</t>
        </is>
      </c>
    </row>
    <row r="1394">
      <c r="A1394" s="3" t="inlineStr">
        <is>
          <t>MAT-32-037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PVC SDR-21 3/4" x 9.5 pies</t>
        </is>
      </c>
      <c r="E1394" s="4" t="inlineStr"/>
      <c r="F1394" s="3" t="inlineStr">
        <is>
          <t>tubo</t>
        </is>
      </c>
      <c r="G1394" s="3" t="inlineStr">
        <is>
          <t>Instalaciones</t>
        </is>
      </c>
      <c r="H1394" s="3" t="inlineStr">
        <is>
          <t>estandar</t>
        </is>
      </c>
      <c r="I1394" s="3" t="inlineStr">
        <is>
          <t>importado</t>
        </is>
      </c>
      <c r="J1394" s="5" t="n">
        <v>1</v>
      </c>
      <c r="K1394" s="6" t="n">
        <v>146</v>
      </c>
      <c r="L1394" s="6" t="n">
        <v>146</v>
      </c>
      <c r="M1394" s="6" t="n">
        <v>146</v>
      </c>
      <c r="N1394" s="3" t="inlineStr">
        <is>
          <t>Sí</t>
        </is>
      </c>
      <c r="O1394" s="6">
        <f>IF(K1394="","",IF(N1394="Sí",ROUND(K1394/1.18,2),K1394))</f>
        <v/>
      </c>
      <c r="P1394" s="3" t="inlineStr">
        <is>
          <t>2026-09-10</t>
        </is>
      </c>
      <c r="Q1394" s="4" t="inlineStr">
        <is>
          <t>Bellón</t>
        </is>
      </c>
      <c r="Z1394" s="7" t="n">
        <v>9.5</v>
      </c>
      <c r="AF1394" s="4" t="inlineStr">
        <is>
          <t>material: PVC · norma: SDR-21 · diametro: 3/4"</t>
        </is>
      </c>
    </row>
    <row r="1395">
      <c r="A1395" s="3" t="inlineStr">
        <is>
          <t>MAT-32-038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SDR-26 1 1/2" x 19 pies</t>
        </is>
      </c>
      <c r="E1395" s="4" t="inlineStr"/>
      <c r="F1395" s="3" t="inlineStr">
        <is>
          <t>tubo</t>
        </is>
      </c>
      <c r="G1395" s="3" t="inlineStr">
        <is>
          <t>Instalaciones</t>
        </is>
      </c>
      <c r="H1395" s="3" t="inlineStr">
        <is>
          <t>estandar</t>
        </is>
      </c>
      <c r="I1395" s="3" t="inlineStr">
        <is>
          <t>importado</t>
        </is>
      </c>
      <c r="J1395" s="5" t="n">
        <v>1</v>
      </c>
      <c r="K1395" s="6" t="n">
        <v>585.99</v>
      </c>
      <c r="L1395" s="6" t="n">
        <v>585.99</v>
      </c>
      <c r="M1395" s="6" t="n">
        <v>585.99</v>
      </c>
      <c r="N1395" s="3" t="inlineStr">
        <is>
          <t>Sí</t>
        </is>
      </c>
      <c r="O1395" s="6">
        <f>IF(K1395="","",IF(N1395="Sí",ROUND(K1395/1.18,2),K1395))</f>
        <v/>
      </c>
      <c r="P1395" s="3" t="inlineStr">
        <is>
          <t>2026-09-09</t>
        </is>
      </c>
      <c r="Q1395" s="4" t="inlineStr">
        <is>
          <t>Ferretería MC</t>
        </is>
      </c>
      <c r="Z1395" s="7" t="n">
        <v>19</v>
      </c>
      <c r="AF1395" s="4" t="inlineStr">
        <is>
          <t>material: PVC · norma: SDR-26 · diametro: 1 1/2"</t>
        </is>
      </c>
    </row>
    <row r="1396">
      <c r="A1396" s="3" t="inlineStr">
        <is>
          <t>MAT-32-039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Tubo PVC SDR-26 1/2" x 19 pies</t>
        </is>
      </c>
      <c r="E1396" s="4" t="inlineStr"/>
      <c r="F1396" s="3" t="inlineStr">
        <is>
          <t>tubo</t>
        </is>
      </c>
      <c r="G1396" s="3" t="inlineStr">
        <is>
          <t>Instalaciones</t>
        </is>
      </c>
      <c r="H1396" s="3" t="inlineStr">
        <is>
          <t>estandar</t>
        </is>
      </c>
      <c r="I1396" s="3" t="inlineStr">
        <is>
          <t>importado</t>
        </is>
      </c>
      <c r="J1396" s="5" t="n">
        <v>3</v>
      </c>
      <c r="K1396" s="6" t="n">
        <v>113.88</v>
      </c>
      <c r="L1396" s="6" t="n">
        <v>70.78</v>
      </c>
      <c r="M1396" s="6" t="n">
        <v>565.4400000000001</v>
      </c>
      <c r="N1396" s="3" t="inlineStr">
        <is>
          <t>Sí</t>
        </is>
      </c>
      <c r="O1396" s="6">
        <f>IF(K1396="","",IF(N1396="Sí",ROUND(K1396/1.18,2),K1396))</f>
        <v/>
      </c>
      <c r="P1396" s="3" t="inlineStr">
        <is>
          <t>2026-09-10</t>
        </is>
      </c>
      <c r="Q1396" s="4" t="inlineStr">
        <is>
          <t>Bellón · Ferretería Cima · Ferretería MC</t>
        </is>
      </c>
      <c r="Z1396" s="7" t="n">
        <v>19</v>
      </c>
      <c r="AF1396" s="4" t="inlineStr">
        <is>
          <t>material: PVC · norma: SDR-26 · diametro: 1/2"</t>
        </is>
      </c>
    </row>
    <row r="1397">
      <c r="A1397" s="3" t="inlineStr">
        <is>
          <t>MAT-32-040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Tubo PVC SDR-26 1/2" x 9.5 pies</t>
        </is>
      </c>
      <c r="E1397" s="4" t="inlineStr"/>
      <c r="F1397" s="3" t="inlineStr">
        <is>
          <t>tubo</t>
        </is>
      </c>
      <c r="G1397" s="3" t="inlineStr">
        <is>
          <t>Instalaciones</t>
        </is>
      </c>
      <c r="H1397" s="3" t="inlineStr">
        <is>
          <t>estandar</t>
        </is>
      </c>
      <c r="I1397" s="3" t="inlineStr">
        <is>
          <t>importado</t>
        </is>
      </c>
      <c r="J1397" s="5" t="n">
        <v>1</v>
      </c>
      <c r="K1397" s="6" t="n">
        <v>293</v>
      </c>
      <c r="L1397" s="6" t="n">
        <v>293</v>
      </c>
      <c r="M1397" s="6" t="n">
        <v>293</v>
      </c>
      <c r="N1397" s="3" t="inlineStr">
        <is>
          <t>Sí</t>
        </is>
      </c>
      <c r="O1397" s="6">
        <f>IF(K1397="","",IF(N1397="Sí",ROUND(K1397/1.18,2),K1397))</f>
        <v/>
      </c>
      <c r="P1397" s="3" t="inlineStr">
        <is>
          <t>2026-09-10</t>
        </is>
      </c>
      <c r="Q1397" s="4" t="inlineStr">
        <is>
          <t>Bellón</t>
        </is>
      </c>
      <c r="Z1397" s="7" t="n">
        <v>9.5</v>
      </c>
      <c r="AF1397" s="4" t="inlineStr">
        <is>
          <t>material: PVC · norma: SDR-26 · diametro: 1/2"</t>
        </is>
      </c>
    </row>
    <row r="1398">
      <c r="A1398" s="3" t="inlineStr">
        <is>
          <t>MAT-32-041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Tubo PVC SDR-26 1" x 19 pies</t>
        </is>
      </c>
      <c r="E1398" s="4" t="inlineStr"/>
      <c r="F1398" s="3" t="inlineStr">
        <is>
          <t>tubo</t>
        </is>
      </c>
      <c r="G1398" s="3" t="inlineStr">
        <is>
          <t>Instalaciones</t>
        </is>
      </c>
      <c r="H1398" s="3" t="inlineStr">
        <is>
          <t>estandar</t>
        </is>
      </c>
      <c r="I1398" s="3" t="inlineStr">
        <is>
          <t>importado</t>
        </is>
      </c>
      <c r="J1398" s="5" t="n">
        <v>3</v>
      </c>
      <c r="K1398" s="6" t="n">
        <v>294.06</v>
      </c>
      <c r="L1398" s="6" t="n">
        <v>269</v>
      </c>
      <c r="M1398" s="6" t="n">
        <v>305</v>
      </c>
      <c r="N1398" s="3" t="inlineStr">
        <is>
          <t>Sí</t>
        </is>
      </c>
      <c r="O1398" s="6">
        <f>IF(K1398="","",IF(N1398="Sí",ROUND(K1398/1.18,2),K1398))</f>
        <v/>
      </c>
      <c r="P1398" s="3" t="inlineStr">
        <is>
          <t>2026-09-10</t>
        </is>
      </c>
      <c r="Q1398" s="4" t="inlineStr">
        <is>
          <t>Bellón · Ferretería Cima · Ferretería MC</t>
        </is>
      </c>
      <c r="Z1398" s="7" t="n">
        <v>19</v>
      </c>
      <c r="AF1398" s="4" t="inlineStr">
        <is>
          <t>material: PVC · norma: SDR-26 · diametro: 1"</t>
        </is>
      </c>
    </row>
    <row r="1399">
      <c r="A1399" s="3" t="inlineStr">
        <is>
          <t>MAT-32-042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PVC SDR-26 1" x 9.5 pies</t>
        </is>
      </c>
      <c r="E1399" s="4" t="inlineStr"/>
      <c r="F1399" s="3" t="inlineStr">
        <is>
          <t>tubo</t>
        </is>
      </c>
      <c r="G1399" s="3" t="inlineStr">
        <is>
          <t>Instalaciones</t>
        </is>
      </c>
      <c r="H1399" s="3" t="inlineStr">
        <is>
          <t>estandar</t>
        </is>
      </c>
      <c r="I1399" s="3" t="inlineStr">
        <is>
          <t>importado</t>
        </is>
      </c>
      <c r="J1399" s="5" t="n">
        <v>1</v>
      </c>
      <c r="K1399" s="6" t="n">
        <v>150</v>
      </c>
      <c r="L1399" s="6" t="n">
        <v>150</v>
      </c>
      <c r="M1399" s="6" t="n">
        <v>150</v>
      </c>
      <c r="N1399" s="3" t="inlineStr">
        <is>
          <t>Sí</t>
        </is>
      </c>
      <c r="O1399" s="6">
        <f>IF(K1399="","",IF(N1399="Sí",ROUND(K1399/1.18,2),K1399))</f>
        <v/>
      </c>
      <c r="P1399" s="3" t="inlineStr">
        <is>
          <t>2026-09-10</t>
        </is>
      </c>
      <c r="Q1399" s="4" t="inlineStr">
        <is>
          <t>Bellón</t>
        </is>
      </c>
      <c r="Z1399" s="7" t="n">
        <v>9.5</v>
      </c>
      <c r="AF1399" s="4" t="inlineStr">
        <is>
          <t>material: PVC · norma: SDR-26 · diametro: 1"</t>
        </is>
      </c>
    </row>
    <row r="1400">
      <c r="A1400" s="3" t="inlineStr">
        <is>
          <t>MAT-32-043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PVC SDR-26 2" x 19 pies</t>
        </is>
      </c>
      <c r="E1400" s="4" t="inlineStr"/>
      <c r="F1400" s="3" t="inlineStr">
        <is>
          <t>tubo</t>
        </is>
      </c>
      <c r="G1400" s="3" t="inlineStr">
        <is>
          <t>Instalaciones</t>
        </is>
      </c>
      <c r="H1400" s="3" t="inlineStr">
        <is>
          <t>estandar</t>
        </is>
      </c>
      <c r="I1400" s="3" t="inlineStr">
        <is>
          <t>importado</t>
        </is>
      </c>
      <c r="J1400" s="5" t="n">
        <v>2</v>
      </c>
      <c r="K1400" s="6" t="n">
        <v>897.37</v>
      </c>
      <c r="L1400" s="6" t="n">
        <v>881.41</v>
      </c>
      <c r="M1400" s="6" t="n">
        <v>913.3200000000001</v>
      </c>
      <c r="N1400" s="3" t="inlineStr">
        <is>
          <t>Sí</t>
        </is>
      </c>
      <c r="O1400" s="6">
        <f>IF(K1400="","",IF(N1400="Sí",ROUND(K1400/1.18,2),K1400))</f>
        <v/>
      </c>
      <c r="P1400" s="3" t="inlineStr">
        <is>
          <t>2026-09-10</t>
        </is>
      </c>
      <c r="Q1400" s="4" t="inlineStr">
        <is>
          <t>Bellón · Ferretería MC</t>
        </is>
      </c>
      <c r="Z1400" s="7" t="n">
        <v>19</v>
      </c>
      <c r="AF1400" s="4" t="inlineStr">
        <is>
          <t>material: PVC · norma: SDR-26 · diametro: 2"</t>
        </is>
      </c>
    </row>
    <row r="1401">
      <c r="A1401" s="3" t="inlineStr">
        <is>
          <t>MAT-32-044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PVC SDR-26 2" x 9.5 pies</t>
        </is>
      </c>
      <c r="E1401" s="4" t="inlineStr"/>
      <c r="F1401" s="3" t="inlineStr">
        <is>
          <t>tubo</t>
        </is>
      </c>
      <c r="G1401" s="3" t="inlineStr">
        <is>
          <t>Instalaciones</t>
        </is>
      </c>
      <c r="H1401" s="3" t="inlineStr">
        <is>
          <t>estandar</t>
        </is>
      </c>
      <c r="I1401" s="3" t="inlineStr">
        <is>
          <t>importado</t>
        </is>
      </c>
      <c r="J1401" s="5" t="n">
        <v>1</v>
      </c>
      <c r="K1401" s="6" t="n">
        <v>455</v>
      </c>
      <c r="L1401" s="6" t="n">
        <v>455</v>
      </c>
      <c r="M1401" s="6" t="n">
        <v>455</v>
      </c>
      <c r="N1401" s="3" t="inlineStr">
        <is>
          <t>Sí</t>
        </is>
      </c>
      <c r="O1401" s="6">
        <f>IF(K1401="","",IF(N1401="Sí",ROUND(K1401/1.18,2),K1401))</f>
        <v/>
      </c>
      <c r="P1401" s="3" t="inlineStr">
        <is>
          <t>2026-09-10</t>
        </is>
      </c>
      <c r="Q1401" s="4" t="inlineStr">
        <is>
          <t>Bellón</t>
        </is>
      </c>
      <c r="Z1401" s="7" t="n">
        <v>9.5</v>
      </c>
      <c r="AF1401" s="4" t="inlineStr">
        <is>
          <t>material: PVC · norma: SDR-26 · diametro: 2"</t>
        </is>
      </c>
    </row>
    <row r="1402">
      <c r="A1402" s="3" t="inlineStr">
        <is>
          <t>MAT-32-045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PVC SDR-26 3/4" x 19 pies</t>
        </is>
      </c>
      <c r="E1402" s="4" t="inlineStr"/>
      <c r="F1402" s="3" t="inlineStr">
        <is>
          <t>tubo</t>
        </is>
      </c>
      <c r="G1402" s="3" t="inlineStr">
        <is>
          <t>Instalaciones</t>
        </is>
      </c>
      <c r="H1402" s="3" t="inlineStr">
        <is>
          <t>estandar</t>
        </is>
      </c>
      <c r="I1402" s="3" t="inlineStr">
        <is>
          <t>importado</t>
        </is>
      </c>
      <c r="J1402" s="5" t="n">
        <v>4</v>
      </c>
      <c r="K1402" s="6" t="n">
        <v>175</v>
      </c>
      <c r="L1402" s="6" t="n">
        <v>90</v>
      </c>
      <c r="M1402" s="6" t="n">
        <v>181.13</v>
      </c>
      <c r="N1402" s="3" t="inlineStr">
        <is>
          <t>Sí</t>
        </is>
      </c>
      <c r="O1402" s="6">
        <f>IF(K1402="","",IF(N1402="Sí",ROUND(K1402/1.18,2),K1402))</f>
        <v/>
      </c>
      <c r="P1402" s="3" t="inlineStr">
        <is>
          <t>2026-09-10</t>
        </is>
      </c>
      <c r="Q1402" s="4" t="inlineStr">
        <is>
          <t>Bellón · Ferretería Cima · Ferretería MC · Max Ferretería</t>
        </is>
      </c>
      <c r="Z1402" s="7" t="n">
        <v>19</v>
      </c>
      <c r="AF1402" s="4" t="inlineStr">
        <is>
          <t>material: PVC · norma: SDR-26 · diametro: 3/4"</t>
        </is>
      </c>
    </row>
    <row r="1403">
      <c r="A1403" s="3" t="inlineStr">
        <is>
          <t>MAT-32-046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SDR-26 3/4" x 9.5 pies</t>
        </is>
      </c>
      <c r="E1403" s="4" t="inlineStr"/>
      <c r="F1403" s="3" t="inlineStr">
        <is>
          <t>tubo</t>
        </is>
      </c>
      <c r="G1403" s="3" t="inlineStr">
        <is>
          <t>Instalaciones</t>
        </is>
      </c>
      <c r="H1403" s="3" t="inlineStr">
        <is>
          <t>estandar</t>
        </is>
      </c>
      <c r="I1403" s="3" t="inlineStr">
        <is>
          <t>importado</t>
        </is>
      </c>
      <c r="J1403" s="5" t="n">
        <v>1</v>
      </c>
      <c r="K1403" s="6" t="n">
        <v>94</v>
      </c>
      <c r="L1403" s="6" t="n">
        <v>94</v>
      </c>
      <c r="M1403" s="6" t="n">
        <v>94</v>
      </c>
      <c r="N1403" s="3" t="inlineStr">
        <is>
          <t>Sí</t>
        </is>
      </c>
      <c r="O1403" s="6">
        <f>IF(K1403="","",IF(N1403="Sí",ROUND(K1403/1.18,2),K1403))</f>
        <v/>
      </c>
      <c r="P1403" s="3" t="inlineStr">
        <is>
          <t>2026-09-10</t>
        </is>
      </c>
      <c r="Q1403" s="4" t="inlineStr">
        <is>
          <t>Bellón</t>
        </is>
      </c>
      <c r="Z1403" s="7" t="n">
        <v>9.5</v>
      </c>
      <c r="AF1403" s="4" t="inlineStr">
        <is>
          <t>material: PVC · norma: SDR-26 · diametro: 3/4"</t>
        </is>
      </c>
    </row>
    <row r="1404">
      <c r="A1404" s="3" t="inlineStr">
        <is>
          <t>MAT-32-047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SDR-26 3" x 19 pies</t>
        </is>
      </c>
      <c r="E1404" s="4" t="inlineStr"/>
      <c r="F1404" s="3" t="inlineStr">
        <is>
          <t>tubo</t>
        </is>
      </c>
      <c r="G1404" s="3" t="inlineStr">
        <is>
          <t>Instalaciones</t>
        </is>
      </c>
      <c r="H1404" s="3" t="inlineStr">
        <is>
          <t>estandar</t>
        </is>
      </c>
      <c r="I1404" s="3" t="inlineStr">
        <is>
          <t>importado</t>
        </is>
      </c>
      <c r="J1404" s="5" t="n">
        <v>3</v>
      </c>
      <c r="K1404" s="6" t="n">
        <v>1998.09</v>
      </c>
      <c r="L1404" s="6" t="n">
        <v>1928.2</v>
      </c>
      <c r="M1404" s="6" t="n">
        <v>2172</v>
      </c>
      <c r="N1404" s="3" t="inlineStr">
        <is>
          <t>Sí</t>
        </is>
      </c>
      <c r="O1404" s="6">
        <f>IF(K1404="","",IF(N1404="Sí",ROUND(K1404/1.18,2),K1404))</f>
        <v/>
      </c>
      <c r="P1404" s="3" t="inlineStr">
        <is>
          <t>2026-09-10</t>
        </is>
      </c>
      <c r="Q1404" s="4" t="inlineStr">
        <is>
          <t>Bellón · Ferretería Cima · Ferretería MC</t>
        </is>
      </c>
      <c r="Z1404" s="7" t="n">
        <v>19</v>
      </c>
      <c r="AF1404" s="4" t="inlineStr">
        <is>
          <t>material: PVC · norma: SDR-26 · diametro: 3"</t>
        </is>
      </c>
    </row>
    <row r="1405">
      <c r="A1405" s="3" t="inlineStr">
        <is>
          <t>MAT-32-048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SDR-26 3" x 9.5 pies</t>
        </is>
      </c>
      <c r="E1405" s="4" t="inlineStr"/>
      <c r="F1405" s="3" t="inlineStr">
        <is>
          <t>tubo</t>
        </is>
      </c>
      <c r="G1405" s="3" t="inlineStr">
        <is>
          <t>Instalaciones</t>
        </is>
      </c>
      <c r="H1405" s="3" t="inlineStr">
        <is>
          <t>estandar</t>
        </is>
      </c>
      <c r="I1405" s="3" t="inlineStr">
        <is>
          <t>importado</t>
        </is>
      </c>
      <c r="J1405" s="5" t="n">
        <v>1</v>
      </c>
      <c r="K1405" s="6" t="n">
        <v>988</v>
      </c>
      <c r="L1405" s="6" t="n">
        <v>988</v>
      </c>
      <c r="M1405" s="6" t="n">
        <v>988</v>
      </c>
      <c r="N1405" s="3" t="inlineStr">
        <is>
          <t>Sí</t>
        </is>
      </c>
      <c r="O1405" s="6">
        <f>IF(K1405="","",IF(N1405="Sí",ROUND(K1405/1.18,2),K1405))</f>
        <v/>
      </c>
      <c r="P1405" s="3" t="inlineStr">
        <is>
          <t>2026-09-10</t>
        </is>
      </c>
      <c r="Q1405" s="4" t="inlineStr">
        <is>
          <t>Bellón</t>
        </is>
      </c>
      <c r="Z1405" s="7" t="n">
        <v>9.5</v>
      </c>
      <c r="AF1405" s="4" t="inlineStr">
        <is>
          <t>material: PVC · norma: SDR-26 · diametro: 3"</t>
        </is>
      </c>
    </row>
    <row r="1406">
      <c r="A1406" s="3" t="inlineStr">
        <is>
          <t>MAT-32-049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SDR-26 4" x 19 pies</t>
        </is>
      </c>
      <c r="E1406" s="4" t="inlineStr"/>
      <c r="F1406" s="3" t="inlineStr">
        <is>
          <t>tubo</t>
        </is>
      </c>
      <c r="G1406" s="3" t="inlineStr">
        <is>
          <t>Instalaciones</t>
        </is>
      </c>
      <c r="H1406" s="3" t="inlineStr">
        <is>
          <t>estandar</t>
        </is>
      </c>
      <c r="I1406" s="3" t="inlineStr">
        <is>
          <t>importado</t>
        </is>
      </c>
      <c r="J1406" s="5" t="n">
        <v>2</v>
      </c>
      <c r="K1406" s="6" t="n">
        <v>3207.29</v>
      </c>
      <c r="L1406" s="6" t="n">
        <v>3133</v>
      </c>
      <c r="M1406" s="6" t="n">
        <v>3281.58</v>
      </c>
      <c r="N1406" s="3" t="inlineStr">
        <is>
          <t>Sí</t>
        </is>
      </c>
      <c r="O1406" s="6">
        <f>IF(K1406="","",IF(N1406="Sí",ROUND(K1406/1.18,2),K1406))</f>
        <v/>
      </c>
      <c r="P1406" s="3" t="inlineStr">
        <is>
          <t>2026-09-10</t>
        </is>
      </c>
      <c r="Q1406" s="4" t="inlineStr">
        <is>
          <t>Bellón · Ferretería MC</t>
        </is>
      </c>
      <c r="Z1406" s="7" t="n">
        <v>19</v>
      </c>
      <c r="AF1406" s="4" t="inlineStr">
        <is>
          <t>material: PVC · norma: SDR-26 · diametro: 4"</t>
        </is>
      </c>
    </row>
    <row r="1407">
      <c r="A1407" s="3" t="inlineStr">
        <is>
          <t>MAT-32-050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SDR-26 6" x 19 pies</t>
        </is>
      </c>
      <c r="E1407" s="4" t="inlineStr"/>
      <c r="F1407" s="3" t="inlineStr">
        <is>
          <t>tubo</t>
        </is>
      </c>
      <c r="G1407" s="3" t="inlineStr">
        <is>
          <t>Instalaciones</t>
        </is>
      </c>
      <c r="H1407" s="3" t="inlineStr">
        <is>
          <t>estandar</t>
        </is>
      </c>
      <c r="I1407" s="3" t="inlineStr">
        <is>
          <t>importado</t>
        </is>
      </c>
      <c r="J1407" s="5" t="n">
        <v>2</v>
      </c>
      <c r="K1407" s="6" t="n">
        <v>7000.73</v>
      </c>
      <c r="L1407" s="6" t="n">
        <v>6884.88</v>
      </c>
      <c r="M1407" s="6" t="n">
        <v>7116.58</v>
      </c>
      <c r="N1407" s="3" t="inlineStr">
        <is>
          <t>Sí</t>
        </is>
      </c>
      <c r="O1407" s="6">
        <f>IF(K1407="","",IF(N1407="Sí",ROUND(K1407/1.18,2),K1407))</f>
        <v/>
      </c>
      <c r="P1407" s="3" t="inlineStr">
        <is>
          <t>2026-09-10</t>
        </is>
      </c>
      <c r="Q1407" s="4" t="inlineStr">
        <is>
          <t>Bellón · Ferretería MC</t>
        </is>
      </c>
      <c r="Z1407" s="7" t="n">
        <v>19</v>
      </c>
      <c r="AF1407" s="4" t="inlineStr">
        <is>
          <t>material: PVC · norma: SDR-26 · diametro: 6"</t>
        </is>
      </c>
    </row>
    <row r="1408">
      <c r="A1408" s="3" t="inlineStr">
        <is>
          <t>MAT-32-051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SDR-26 8" x 19 pies</t>
        </is>
      </c>
      <c r="E1408" s="4" t="inlineStr"/>
      <c r="F1408" s="3" t="inlineStr">
        <is>
          <t>tubo</t>
        </is>
      </c>
      <c r="G1408" s="3" t="inlineStr">
        <is>
          <t>Instalaciones</t>
        </is>
      </c>
      <c r="H1408" s="3" t="inlineStr">
        <is>
          <t>estandar</t>
        </is>
      </c>
      <c r="I1408" s="3" t="inlineStr">
        <is>
          <t>importado</t>
        </is>
      </c>
      <c r="J1408" s="5" t="n">
        <v>3</v>
      </c>
      <c r="K1408" s="6" t="n">
        <v>11666.54</v>
      </c>
      <c r="L1408" s="6" t="n">
        <v>10360</v>
      </c>
      <c r="M1408" s="6" t="n">
        <v>11929.92</v>
      </c>
      <c r="N1408" s="3" t="inlineStr">
        <is>
          <t>Sí</t>
        </is>
      </c>
      <c r="O1408" s="6">
        <f>IF(K1408="","",IF(N1408="Sí",ROUND(K1408/1.18,2),K1408))</f>
        <v/>
      </c>
      <c r="P1408" s="3" t="inlineStr">
        <is>
          <t>2026-09-10</t>
        </is>
      </c>
      <c r="Q1408" s="4" t="inlineStr">
        <is>
          <t>Bellón · Ferretería MC · Max Ferretería</t>
        </is>
      </c>
      <c r="Z1408" s="7" t="n">
        <v>19</v>
      </c>
      <c r="AF1408" s="4" t="inlineStr">
        <is>
          <t>material: PVC · norma: SDR-26 · diametro: 8"</t>
        </is>
      </c>
    </row>
    <row r="1409">
      <c r="A1409" s="3" t="inlineStr">
        <is>
          <t>MAT-32-052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SDR-32.5 10" x 19 pies</t>
        </is>
      </c>
      <c r="E1409" s="4" t="inlineStr"/>
      <c r="F1409" s="3" t="inlineStr">
        <is>
          <t>tubo</t>
        </is>
      </c>
      <c r="G1409" s="3" t="inlineStr">
        <is>
          <t>Instalaciones</t>
        </is>
      </c>
      <c r="H1409" s="3" t="inlineStr">
        <is>
          <t>estandar</t>
        </is>
      </c>
      <c r="I1409" s="3" t="inlineStr">
        <is>
          <t>importado</t>
        </is>
      </c>
      <c r="J1409" s="5" t="n">
        <v>1</v>
      </c>
      <c r="K1409" s="6" t="n">
        <v>15540.55</v>
      </c>
      <c r="L1409" s="6" t="n">
        <v>15540.55</v>
      </c>
      <c r="M1409" s="6" t="n">
        <v>15540.55</v>
      </c>
      <c r="N1409" s="3" t="inlineStr">
        <is>
          <t>Sí</t>
        </is>
      </c>
      <c r="O1409" s="6">
        <f>IF(K1409="","",IF(N1409="Sí",ROUND(K1409/1.18,2),K1409))</f>
        <v/>
      </c>
      <c r="P1409" s="3" t="inlineStr">
        <is>
          <t>2026-09-10</t>
        </is>
      </c>
      <c r="Q1409" s="4" t="inlineStr">
        <is>
          <t>Bellón</t>
        </is>
      </c>
      <c r="Z1409" s="7" t="n">
        <v>19</v>
      </c>
      <c r="AF1409" s="4" t="inlineStr">
        <is>
          <t>material: PVC · norma: SDR-32.5 · diametro: 10"</t>
        </is>
      </c>
    </row>
    <row r="1410">
      <c r="A1410" s="3" t="inlineStr">
        <is>
          <t>MAT-32-053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SDR-32.5 2" x 19 pies</t>
        </is>
      </c>
      <c r="E1410" s="4" t="inlineStr"/>
      <c r="F1410" s="3" t="inlineStr">
        <is>
          <t>tubo</t>
        </is>
      </c>
      <c r="G1410" s="3" t="inlineStr">
        <is>
          <t>Instalaciones</t>
        </is>
      </c>
      <c r="H1410" s="3" t="inlineStr">
        <is>
          <t>estandar</t>
        </is>
      </c>
      <c r="I1410" s="3" t="inlineStr">
        <is>
          <t>importado</t>
        </is>
      </c>
      <c r="J1410" s="5" t="n">
        <v>1</v>
      </c>
      <c r="K1410" s="6" t="n">
        <v>711.42</v>
      </c>
      <c r="L1410" s="6" t="n">
        <v>711.42</v>
      </c>
      <c r="M1410" s="6" t="n">
        <v>711.42</v>
      </c>
      <c r="N1410" s="3" t="inlineStr">
        <is>
          <t>Sí</t>
        </is>
      </c>
      <c r="O1410" s="6">
        <f>IF(K1410="","",IF(N1410="Sí",ROUND(K1410/1.18,2),K1410))</f>
        <v/>
      </c>
      <c r="P1410" s="3" t="inlineStr">
        <is>
          <t>2026-09-10</t>
        </is>
      </c>
      <c r="Q1410" s="4" t="inlineStr">
        <is>
          <t>Bellón</t>
        </is>
      </c>
      <c r="Z1410" s="7" t="n">
        <v>19</v>
      </c>
      <c r="AF1410" s="4" t="inlineStr">
        <is>
          <t>material: PVC · norma: SDR-32.5 · diametro: 2"</t>
        </is>
      </c>
    </row>
    <row r="1411">
      <c r="A1411" s="3" t="inlineStr">
        <is>
          <t>MAT-32-054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SDR-32.5 3" x 19 pies</t>
        </is>
      </c>
      <c r="E1411" s="4" t="inlineStr"/>
      <c r="F1411" s="3" t="inlineStr">
        <is>
          <t>tubo</t>
        </is>
      </c>
      <c r="G1411" s="3" t="inlineStr">
        <is>
          <t>Instalaciones</t>
        </is>
      </c>
      <c r="H1411" s="3" t="inlineStr">
        <is>
          <t>estandar</t>
        </is>
      </c>
      <c r="I1411" s="3" t="inlineStr">
        <is>
          <t>importado</t>
        </is>
      </c>
      <c r="J1411" s="5" t="n">
        <v>1</v>
      </c>
      <c r="K1411" s="6" t="n">
        <v>1549.5</v>
      </c>
      <c r="L1411" s="6" t="n">
        <v>1549.5</v>
      </c>
      <c r="M1411" s="6" t="n">
        <v>1549.5</v>
      </c>
      <c r="N1411" s="3" t="inlineStr">
        <is>
          <t>Sí</t>
        </is>
      </c>
      <c r="O1411" s="6">
        <f>IF(K1411="","",IF(N1411="Sí",ROUND(K1411/1.18,2),K1411))</f>
        <v/>
      </c>
      <c r="P1411" s="3" t="inlineStr">
        <is>
          <t>2026-09-10</t>
        </is>
      </c>
      <c r="Q1411" s="4" t="inlineStr">
        <is>
          <t>Bellón</t>
        </is>
      </c>
      <c r="Z1411" s="7" t="n">
        <v>19</v>
      </c>
      <c r="AF1411" s="4" t="inlineStr">
        <is>
          <t>material: PVC · norma: SDR-32.5 · diametro: 3"</t>
        </is>
      </c>
    </row>
    <row r="1412">
      <c r="A1412" s="3" t="inlineStr">
        <is>
          <t>MAT-32-055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SDR-32.5 4" x 19 pies</t>
        </is>
      </c>
      <c r="E1412" s="4" t="inlineStr"/>
      <c r="F1412" s="3" t="inlineStr">
        <is>
          <t>tubo</t>
        </is>
      </c>
      <c r="G1412" s="3" t="inlineStr">
        <is>
          <t>Instalaciones</t>
        </is>
      </c>
      <c r="H1412" s="3" t="inlineStr">
        <is>
          <t>estandar</t>
        </is>
      </c>
      <c r="I1412" s="3" t="inlineStr">
        <is>
          <t>importado</t>
        </is>
      </c>
      <c r="J1412" s="5" t="n">
        <v>1</v>
      </c>
      <c r="K1412" s="6" t="n">
        <v>2548.33</v>
      </c>
      <c r="L1412" s="6" t="n">
        <v>2548.33</v>
      </c>
      <c r="M1412" s="6" t="n">
        <v>2548.33</v>
      </c>
      <c r="N1412" s="3" t="inlineStr">
        <is>
          <t>Sí</t>
        </is>
      </c>
      <c r="O1412" s="6">
        <f>IF(K1412="","",IF(N1412="Sí",ROUND(K1412/1.18,2),K1412))</f>
        <v/>
      </c>
      <c r="P1412" s="3" t="inlineStr">
        <is>
          <t>2026-09-10</t>
        </is>
      </c>
      <c r="Q1412" s="4" t="inlineStr">
        <is>
          <t>Bellón</t>
        </is>
      </c>
      <c r="Z1412" s="7" t="n">
        <v>19</v>
      </c>
      <c r="AF1412" s="4" t="inlineStr">
        <is>
          <t>material: PVC · norma: SDR-32.5 · diametro: 4"</t>
        </is>
      </c>
    </row>
    <row r="1413">
      <c r="A1413" s="3" t="inlineStr">
        <is>
          <t>MAT-32-056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SDR-32.5 6" x 19 pies</t>
        </is>
      </c>
      <c r="E1413" s="4" t="inlineStr"/>
      <c r="F1413" s="3" t="inlineStr">
        <is>
          <t>tubo</t>
        </is>
      </c>
      <c r="G1413" s="3" t="inlineStr">
        <is>
          <t>Instalaciones</t>
        </is>
      </c>
      <c r="H1413" s="3" t="inlineStr">
        <is>
          <t>estandar</t>
        </is>
      </c>
      <c r="I1413" s="3" t="inlineStr">
        <is>
          <t>importado</t>
        </is>
      </c>
      <c r="J1413" s="5" t="n">
        <v>1</v>
      </c>
      <c r="K1413" s="6" t="n">
        <v>9381.73</v>
      </c>
      <c r="L1413" s="6" t="n">
        <v>9381.73</v>
      </c>
      <c r="M1413" s="6" t="n">
        <v>9381.73</v>
      </c>
      <c r="N1413" s="3" t="inlineStr">
        <is>
          <t>Sí</t>
        </is>
      </c>
      <c r="O1413" s="6">
        <f>IF(K1413="","",IF(N1413="Sí",ROUND(K1413/1.18,2),K1413))</f>
        <v/>
      </c>
      <c r="P1413" s="3" t="inlineStr">
        <is>
          <t>2026-09-10</t>
        </is>
      </c>
      <c r="Q1413" s="4" t="inlineStr">
        <is>
          <t>Bellón</t>
        </is>
      </c>
      <c r="Z1413" s="7" t="n">
        <v>19</v>
      </c>
      <c r="AF1413" s="4" t="inlineStr">
        <is>
          <t>material: PVC · norma: SDR-32.5 · diametro: 6"</t>
        </is>
      </c>
    </row>
    <row r="1414">
      <c r="A1414" s="3" t="inlineStr">
        <is>
          <t>MAT-32-057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SDR-32.5 8" x 19 pies</t>
        </is>
      </c>
      <c r="E1414" s="4" t="inlineStr"/>
      <c r="F1414" s="3" t="inlineStr">
        <is>
          <t>tubo</t>
        </is>
      </c>
      <c r="G1414" s="3" t="inlineStr">
        <is>
          <t>Instalaciones</t>
        </is>
      </c>
      <c r="H1414" s="3" t="inlineStr">
        <is>
          <t>estandar</t>
        </is>
      </c>
      <c r="I1414" s="3" t="inlineStr">
        <is>
          <t>importado</t>
        </is>
      </c>
      <c r="J1414" s="5" t="n">
        <v>1</v>
      </c>
      <c r="K1414" s="6" t="n">
        <v>9381.73</v>
      </c>
      <c r="L1414" s="6" t="n">
        <v>9381.73</v>
      </c>
      <c r="M1414" s="6" t="n">
        <v>9381.73</v>
      </c>
      <c r="N1414" s="3" t="inlineStr">
        <is>
          <t>Sí</t>
        </is>
      </c>
      <c r="O1414" s="6">
        <f>IF(K1414="","",IF(N1414="Sí",ROUND(K1414/1.18,2),K1414))</f>
        <v/>
      </c>
      <c r="P1414" s="3" t="inlineStr">
        <is>
          <t>2026-09-10</t>
        </is>
      </c>
      <c r="Q1414" s="4" t="inlineStr">
        <is>
          <t>Bellón</t>
        </is>
      </c>
      <c r="Z1414" s="7" t="n">
        <v>19</v>
      </c>
      <c r="AF1414" s="4" t="inlineStr">
        <is>
          <t>material: PVC · norma: SDR-32.5 · diametro: 8"</t>
        </is>
      </c>
    </row>
    <row r="1415">
      <c r="A1415" s="3" t="inlineStr">
        <is>
          <t>MAT-32-058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SDR-41 1 1/2" x 19 pies</t>
        </is>
      </c>
      <c r="E1415" s="4" t="inlineStr"/>
      <c r="F1415" s="3" t="inlineStr">
        <is>
          <t>tubo</t>
        </is>
      </c>
      <c r="G1415" s="3" t="inlineStr">
        <is>
          <t>Instalaciones</t>
        </is>
      </c>
      <c r="H1415" s="3" t="inlineStr">
        <is>
          <t>estandar</t>
        </is>
      </c>
      <c r="I1415" s="3" t="inlineStr">
        <is>
          <t>importado</t>
        </is>
      </c>
      <c r="J1415" s="5" t="n">
        <v>2</v>
      </c>
      <c r="K1415" s="6" t="n">
        <v>425.8</v>
      </c>
      <c r="L1415" s="6" t="n">
        <v>398.6</v>
      </c>
      <c r="M1415" s="6" t="n">
        <v>453</v>
      </c>
      <c r="N1415" s="3" t="inlineStr">
        <is>
          <t>Sí</t>
        </is>
      </c>
      <c r="O1415" s="6">
        <f>IF(K1415="","",IF(N1415="Sí",ROUND(K1415/1.18,2),K1415))</f>
        <v/>
      </c>
      <c r="P1415" s="3" t="inlineStr">
        <is>
          <t>2026-09-09</t>
        </is>
      </c>
      <c r="Q1415" s="4" t="inlineStr">
        <is>
          <t>Ferretería Cima · Ferretería MC</t>
        </is>
      </c>
      <c r="Z1415" s="7" t="n">
        <v>19</v>
      </c>
      <c r="AF1415" s="4" t="inlineStr">
        <is>
          <t>material: PVC · norma: SDR-41 · diametro: 1 1/2"</t>
        </is>
      </c>
    </row>
    <row r="1416">
      <c r="A1416" s="3" t="inlineStr">
        <is>
          <t>MAT-32-059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SDR-41 1/2" x 19 pies</t>
        </is>
      </c>
      <c r="E1416" s="4" t="inlineStr"/>
      <c r="F1416" s="3" t="inlineStr">
        <is>
          <t>tubo</t>
        </is>
      </c>
      <c r="G1416" s="3" t="inlineStr">
        <is>
          <t>Instalaciones</t>
        </is>
      </c>
      <c r="H1416" s="3" t="inlineStr">
        <is>
          <t>estandar</t>
        </is>
      </c>
      <c r="I1416" s="3" t="inlineStr">
        <is>
          <t>importado</t>
        </is>
      </c>
      <c r="J1416" s="5" t="n">
        <v>1</v>
      </c>
      <c r="K1416" s="6" t="n">
        <v>386</v>
      </c>
      <c r="L1416" s="6" t="n">
        <v>386</v>
      </c>
      <c r="M1416" s="6" t="n">
        <v>386</v>
      </c>
      <c r="N1416" s="3" t="inlineStr">
        <is>
          <t>Sí</t>
        </is>
      </c>
      <c r="O1416" s="6">
        <f>IF(K1416="","",IF(N1416="Sí",ROUND(K1416/1.18,2),K1416))</f>
        <v/>
      </c>
      <c r="P1416" s="3" t="inlineStr">
        <is>
          <t>2026-09-10</t>
        </is>
      </c>
      <c r="Q1416" s="4" t="inlineStr">
        <is>
          <t>Bellón</t>
        </is>
      </c>
      <c r="Z1416" s="7" t="n">
        <v>19</v>
      </c>
      <c r="AF1416" s="4" t="inlineStr">
        <is>
          <t>material: PVC · norma: SDR-41 · diametro: 1/2"</t>
        </is>
      </c>
    </row>
    <row r="1417">
      <c r="A1417" s="3" t="inlineStr">
        <is>
          <t>MAT-32-060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SDR-41 1/2" x 9.5 pies</t>
        </is>
      </c>
      <c r="E1417" s="4" t="inlineStr"/>
      <c r="F1417" s="3" t="inlineStr">
        <is>
          <t>tubo</t>
        </is>
      </c>
      <c r="G1417" s="3" t="inlineStr">
        <is>
          <t>Instalaciones</t>
        </is>
      </c>
      <c r="H1417" s="3" t="inlineStr">
        <is>
          <t>estandar</t>
        </is>
      </c>
      <c r="I1417" s="3" t="inlineStr">
        <is>
          <t>importado</t>
        </is>
      </c>
      <c r="J1417" s="5" t="n">
        <v>1</v>
      </c>
      <c r="K1417" s="6" t="n">
        <v>202</v>
      </c>
      <c r="L1417" s="6" t="n">
        <v>202</v>
      </c>
      <c r="M1417" s="6" t="n">
        <v>202</v>
      </c>
      <c r="N1417" s="3" t="inlineStr">
        <is>
          <t>Sí</t>
        </is>
      </c>
      <c r="O1417" s="6">
        <f>IF(K1417="","",IF(N1417="Sí",ROUND(K1417/1.18,2),K1417))</f>
        <v/>
      </c>
      <c r="P1417" s="3" t="inlineStr">
        <is>
          <t>2026-09-10</t>
        </is>
      </c>
      <c r="Q1417" s="4" t="inlineStr">
        <is>
          <t>Bellón</t>
        </is>
      </c>
      <c r="Z1417" s="7" t="n">
        <v>9.5</v>
      </c>
      <c r="AF1417" s="4" t="inlineStr">
        <is>
          <t>material: PVC · norma: SDR-41 · diametro: 1/2"</t>
        </is>
      </c>
    </row>
    <row r="1418">
      <c r="A1418" s="3" t="inlineStr">
        <is>
          <t>MAT-32-061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SDR-41 10" x 19 pies</t>
        </is>
      </c>
      <c r="E1418" s="4" t="inlineStr"/>
      <c r="F1418" s="3" t="inlineStr">
        <is>
          <t>tubo</t>
        </is>
      </c>
      <c r="G1418" s="3" t="inlineStr">
        <is>
          <t>Instalaciones</t>
        </is>
      </c>
      <c r="H1418" s="3" t="inlineStr">
        <is>
          <t>estandar</t>
        </is>
      </c>
      <c r="I1418" s="3" t="inlineStr">
        <is>
          <t>importado</t>
        </is>
      </c>
      <c r="J1418" s="5" t="n">
        <v>1</v>
      </c>
      <c r="K1418" s="6" t="n">
        <v>12736.57</v>
      </c>
      <c r="L1418" s="6" t="n">
        <v>12736.57</v>
      </c>
      <c r="M1418" s="6" t="n">
        <v>12736.57</v>
      </c>
      <c r="N1418" s="3" t="inlineStr">
        <is>
          <t>Sí</t>
        </is>
      </c>
      <c r="O1418" s="6">
        <f>IF(K1418="","",IF(N1418="Sí",ROUND(K1418/1.18,2),K1418))</f>
        <v/>
      </c>
      <c r="P1418" s="3" t="inlineStr">
        <is>
          <t>2026-09-10</t>
        </is>
      </c>
      <c r="Q1418" s="4" t="inlineStr">
        <is>
          <t>Bellón</t>
        </is>
      </c>
      <c r="Z1418" s="7" t="n">
        <v>19</v>
      </c>
      <c r="AF1418" s="4" t="inlineStr">
        <is>
          <t>material: PVC · norma: SDR-41 · diametro: 10"</t>
        </is>
      </c>
    </row>
    <row r="1419">
      <c r="A1419" s="3" t="inlineStr">
        <is>
          <t>MAT-32-062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SDR-41 12" x 19 pies</t>
        </is>
      </c>
      <c r="E1419" s="4" t="inlineStr"/>
      <c r="F1419" s="3" t="inlineStr">
        <is>
          <t>tubo</t>
        </is>
      </c>
      <c r="G1419" s="3" t="inlineStr">
        <is>
          <t>Instalaciones</t>
        </is>
      </c>
      <c r="H1419" s="3" t="inlineStr">
        <is>
          <t>estandar</t>
        </is>
      </c>
      <c r="I1419" s="3" t="inlineStr">
        <is>
          <t>importado</t>
        </is>
      </c>
      <c r="J1419" s="5" t="n">
        <v>1</v>
      </c>
      <c r="K1419" s="6" t="n">
        <v>17906.86</v>
      </c>
      <c r="L1419" s="6" t="n">
        <v>17906.86</v>
      </c>
      <c r="M1419" s="6" t="n">
        <v>17906.86</v>
      </c>
      <c r="N1419" s="3" t="inlineStr">
        <is>
          <t>Sí</t>
        </is>
      </c>
      <c r="O1419" s="6">
        <f>IF(K1419="","",IF(N1419="Sí",ROUND(K1419/1.18,2),K1419))</f>
        <v/>
      </c>
      <c r="P1419" s="3" t="inlineStr">
        <is>
          <t>2026-09-10</t>
        </is>
      </c>
      <c r="Q1419" s="4" t="inlineStr">
        <is>
          <t>Bellón</t>
        </is>
      </c>
      <c r="Z1419" s="7" t="n">
        <v>19</v>
      </c>
      <c r="AF1419" s="4" t="inlineStr">
        <is>
          <t>material: PVC · norma: SDR-41 · diametro: 12"</t>
        </is>
      </c>
    </row>
    <row r="1420">
      <c r="A1420" s="3" t="inlineStr">
        <is>
          <t>MAT-32-063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SDR-41 2" x 19 pies</t>
        </is>
      </c>
      <c r="E1420" s="4" t="inlineStr"/>
      <c r="F1420" s="3" t="inlineStr">
        <is>
          <t>tubo</t>
        </is>
      </c>
      <c r="G1420" s="3" t="inlineStr">
        <is>
          <t>Instalaciones</t>
        </is>
      </c>
      <c r="H1420" s="3" t="inlineStr">
        <is>
          <t>estandar</t>
        </is>
      </c>
      <c r="I1420" s="3" t="inlineStr">
        <is>
          <t>importado</t>
        </is>
      </c>
      <c r="J1420" s="5" t="n">
        <v>2</v>
      </c>
      <c r="K1420" s="6" t="n">
        <v>573.67</v>
      </c>
      <c r="L1420" s="6" t="n">
        <v>561</v>
      </c>
      <c r="M1420" s="6" t="n">
        <v>586.34</v>
      </c>
      <c r="N1420" s="3" t="inlineStr">
        <is>
          <t>Sí</t>
        </is>
      </c>
      <c r="O1420" s="6">
        <f>IF(K1420="","",IF(N1420="Sí",ROUND(K1420/1.18,2),K1420))</f>
        <v/>
      </c>
      <c r="P1420" s="3" t="inlineStr">
        <is>
          <t>2026-09-10</t>
        </is>
      </c>
      <c r="Q1420" s="4" t="inlineStr">
        <is>
          <t>Bellón · Ferretería MC</t>
        </is>
      </c>
      <c r="Z1420" s="7" t="n">
        <v>19</v>
      </c>
      <c r="AF1420" s="4" t="inlineStr">
        <is>
          <t>material: PVC · norma: SDR-41 · diametro: 2"</t>
        </is>
      </c>
    </row>
    <row r="1421">
      <c r="A1421" s="3" t="inlineStr">
        <is>
          <t>MAT-32-064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SDR-41 3" x 19 pies</t>
        </is>
      </c>
      <c r="E1421" s="4" t="inlineStr"/>
      <c r="F1421" s="3" t="inlineStr">
        <is>
          <t>tubo</t>
        </is>
      </c>
      <c r="G1421" s="3" t="inlineStr">
        <is>
          <t>Instalaciones</t>
        </is>
      </c>
      <c r="H1421" s="3" t="inlineStr">
        <is>
          <t>estandar</t>
        </is>
      </c>
      <c r="I1421" s="3" t="inlineStr">
        <is>
          <t>importado</t>
        </is>
      </c>
      <c r="J1421" s="5" t="n">
        <v>4</v>
      </c>
      <c r="K1421" s="6" t="n">
        <v>1036.92</v>
      </c>
      <c r="L1421" s="6" t="n">
        <v>670</v>
      </c>
      <c r="M1421" s="6" t="n">
        <v>1150</v>
      </c>
      <c r="N1421" s="3" t="inlineStr">
        <is>
          <t>Sí</t>
        </is>
      </c>
      <c r="O1421" s="6">
        <f>IF(K1421="","",IF(N1421="Sí",ROUND(K1421/1.18,2),K1421))</f>
        <v/>
      </c>
      <c r="P1421" s="3" t="inlineStr">
        <is>
          <t>2026-09-10</t>
        </is>
      </c>
      <c r="Q1421" s="4" t="inlineStr">
        <is>
          <t>Bellón · Ferretería Cima · Ferretería MC · Max Ferretería</t>
        </is>
      </c>
      <c r="Z1421" s="7" t="n">
        <v>19</v>
      </c>
      <c r="AF1421" s="4" t="inlineStr">
        <is>
          <t>material: PVC · norma: SDR-41 · diametro: 3"</t>
        </is>
      </c>
    </row>
    <row r="1422">
      <c r="A1422" s="3" t="inlineStr">
        <is>
          <t>MAT-32-065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SDR-41 4" x 19 pies</t>
        </is>
      </c>
      <c r="E1422" s="4" t="inlineStr"/>
      <c r="F1422" s="3" t="inlineStr">
        <is>
          <t>tubo</t>
        </is>
      </c>
      <c r="G1422" s="3" t="inlineStr">
        <is>
          <t>Instalaciones</t>
        </is>
      </c>
      <c r="H1422" s="3" t="inlineStr">
        <is>
          <t>estandar</t>
        </is>
      </c>
      <c r="I1422" s="3" t="inlineStr">
        <is>
          <t>importado</t>
        </is>
      </c>
      <c r="J1422" s="5" t="n">
        <v>2</v>
      </c>
      <c r="K1422" s="6" t="n">
        <v>1770.23</v>
      </c>
      <c r="L1422" s="6" t="n">
        <v>1738.6</v>
      </c>
      <c r="M1422" s="6" t="n">
        <v>1801.86</v>
      </c>
      <c r="N1422" s="3" t="inlineStr">
        <is>
          <t>Sí</t>
        </is>
      </c>
      <c r="O1422" s="6">
        <f>IF(K1422="","",IF(N1422="Sí",ROUND(K1422/1.18,2),K1422))</f>
        <v/>
      </c>
      <c r="P1422" s="3" t="inlineStr">
        <is>
          <t>2026-09-10</t>
        </is>
      </c>
      <c r="Q1422" s="4" t="inlineStr">
        <is>
          <t>Bellón · Ferretería MC</t>
        </is>
      </c>
      <c r="Z1422" s="7" t="n">
        <v>19</v>
      </c>
      <c r="AF1422" s="4" t="inlineStr">
        <is>
          <t>material: PVC · norma: SDR-41 · diametro: 4"</t>
        </is>
      </c>
    </row>
    <row r="1423">
      <c r="A1423" s="3" t="inlineStr">
        <is>
          <t>MAT-32-066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SDR-41 4" x 9.5 pies</t>
        </is>
      </c>
      <c r="E1423" s="4" t="inlineStr"/>
      <c r="F1423" s="3" t="inlineStr">
        <is>
          <t>tubo</t>
        </is>
      </c>
      <c r="G1423" s="3" t="inlineStr">
        <is>
          <t>Instalaciones</t>
        </is>
      </c>
      <c r="H1423" s="3" t="inlineStr">
        <is>
          <t>estandar</t>
        </is>
      </c>
      <c r="I1423" s="3" t="inlineStr">
        <is>
          <t>importado</t>
        </is>
      </c>
      <c r="J1423" s="5" t="n">
        <v>1</v>
      </c>
      <c r="K1423" s="6" t="n">
        <v>868</v>
      </c>
      <c r="L1423" s="6" t="n">
        <v>868</v>
      </c>
      <c r="M1423" s="6" t="n">
        <v>868</v>
      </c>
      <c r="N1423" s="3" t="inlineStr">
        <is>
          <t>Sí</t>
        </is>
      </c>
      <c r="O1423" s="6">
        <f>IF(K1423="","",IF(N1423="Sí",ROUND(K1423/1.18,2),K1423))</f>
        <v/>
      </c>
      <c r="P1423" s="3" t="inlineStr">
        <is>
          <t>2026-09-10</t>
        </is>
      </c>
      <c r="Q1423" s="4" t="inlineStr">
        <is>
          <t>Bellón</t>
        </is>
      </c>
      <c r="Z1423" s="7" t="n">
        <v>9.5</v>
      </c>
      <c r="AF1423" s="4" t="inlineStr">
        <is>
          <t>material: PVC · norma: SDR-41 · diametro: 4"</t>
        </is>
      </c>
    </row>
    <row r="1424">
      <c r="A1424" s="3" t="inlineStr">
        <is>
          <t>MAT-32-067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SDR-41 6" x 19 pies</t>
        </is>
      </c>
      <c r="E1424" s="4" t="inlineStr"/>
      <c r="F1424" s="3" t="inlineStr">
        <is>
          <t>tubo</t>
        </is>
      </c>
      <c r="G1424" s="3" t="inlineStr">
        <is>
          <t>Instalaciones</t>
        </is>
      </c>
      <c r="H1424" s="3" t="inlineStr">
        <is>
          <t>estandar</t>
        </is>
      </c>
      <c r="I1424" s="3" t="inlineStr">
        <is>
          <t>importado</t>
        </is>
      </c>
      <c r="J1424" s="5" t="n">
        <v>2</v>
      </c>
      <c r="K1424" s="6" t="n">
        <v>5010.42</v>
      </c>
      <c r="L1424" s="6" t="n">
        <v>4920.87</v>
      </c>
      <c r="M1424" s="6" t="n">
        <v>5099.96</v>
      </c>
      <c r="N1424" s="3" t="inlineStr">
        <is>
          <t>Sí</t>
        </is>
      </c>
      <c r="O1424" s="6">
        <f>IF(K1424="","",IF(N1424="Sí",ROUND(K1424/1.18,2),K1424))</f>
        <v/>
      </c>
      <c r="P1424" s="3" t="inlineStr">
        <is>
          <t>2026-09-10</t>
        </is>
      </c>
      <c r="Q1424" s="4" t="inlineStr">
        <is>
          <t>Bellón · Ferretería MC</t>
        </is>
      </c>
      <c r="Z1424" s="7" t="n">
        <v>19</v>
      </c>
      <c r="AF1424" s="4" t="inlineStr">
        <is>
          <t>material: PVC · norma: SDR-41 · diametro: 6"</t>
        </is>
      </c>
    </row>
    <row r="1425">
      <c r="A1425" s="3" t="inlineStr">
        <is>
          <t>MAT-32-068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SDR-41 8" x 19 pies</t>
        </is>
      </c>
      <c r="E1425" s="4" t="inlineStr"/>
      <c r="F1425" s="3" t="inlineStr">
        <is>
          <t>tubo</t>
        </is>
      </c>
      <c r="G1425" s="3" t="inlineStr">
        <is>
          <t>Instalaciones</t>
        </is>
      </c>
      <c r="H1425" s="3" t="inlineStr">
        <is>
          <t>estandar</t>
        </is>
      </c>
      <c r="I1425" s="3" t="inlineStr">
        <is>
          <t>importado</t>
        </is>
      </c>
      <c r="J1425" s="5" t="n">
        <v>3</v>
      </c>
      <c r="K1425" s="6" t="n">
        <v>7570</v>
      </c>
      <c r="L1425" s="6" t="n">
        <v>4819.99</v>
      </c>
      <c r="M1425" s="6" t="n">
        <v>7930.66</v>
      </c>
      <c r="N1425" s="3" t="inlineStr">
        <is>
          <t>Sí</t>
        </is>
      </c>
      <c r="O1425" s="6">
        <f>IF(K1425="","",IF(N1425="Sí",ROUND(K1425/1.18,2),K1425))</f>
        <v/>
      </c>
      <c r="P1425" s="3" t="inlineStr">
        <is>
          <t>2026-09-10</t>
        </is>
      </c>
      <c r="Q1425" s="4" t="inlineStr">
        <is>
          <t>Bellón · Ferretería MC · Max Ferretería</t>
        </is>
      </c>
      <c r="Z1425" s="7" t="n">
        <v>19</v>
      </c>
      <c r="AF1425" s="4" t="inlineStr">
        <is>
          <t>material: PVC · norma: SDR-41 · diametro: 8"</t>
        </is>
      </c>
    </row>
    <row r="1426">
      <c r="A1426" s="3" t="inlineStr">
        <is>
          <t>MAT-32-069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Abrazadera de manguera 1 1/2"</t>
        </is>
      </c>
      <c r="E1426" s="4" t="inlineStr"/>
      <c r="F1426" s="3" t="inlineStr">
        <is>
          <t>unidad</t>
        </is>
      </c>
      <c r="G1426" s="3" t="inlineStr">
        <is>
          <t>Instalaciones</t>
        </is>
      </c>
      <c r="H1426" s="3" t="inlineStr">
        <is>
          <t>estandar</t>
        </is>
      </c>
      <c r="I1426" s="3" t="inlineStr">
        <is>
          <t>importado</t>
        </is>
      </c>
      <c r="J1426" s="5" t="n">
        <v>1</v>
      </c>
      <c r="K1426" s="6" t="n">
        <v>53</v>
      </c>
      <c r="L1426" s="6" t="n">
        <v>39</v>
      </c>
      <c r="M1426" s="6" t="n">
        <v>67</v>
      </c>
      <c r="N1426" s="3" t="inlineStr">
        <is>
          <t>Sí</t>
        </is>
      </c>
      <c r="O1426" s="6">
        <f>IF(K1426="","",IF(N1426="Sí",ROUND(K1426/1.18,2),K1426))</f>
        <v/>
      </c>
      <c r="P1426" s="3" t="inlineStr">
        <is>
          <t>2026-09-09</t>
        </is>
      </c>
      <c r="Q1426" s="4" t="inlineStr">
        <is>
          <t>Ferretería Cima</t>
        </is>
      </c>
      <c r="AF1426" s="4" t="inlineStr">
        <is>
          <t>tipo: abrazadera · material: manguera · medida: 1 1/2"</t>
        </is>
      </c>
    </row>
    <row r="1427">
      <c r="A1427" s="3" t="inlineStr">
        <is>
          <t>MAT-32-070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Abrazadera de manguera 1/2"</t>
        </is>
      </c>
      <c r="E1427" s="4" t="inlineStr"/>
      <c r="F1427" s="3" t="inlineStr">
        <is>
          <t>unidad</t>
        </is>
      </c>
      <c r="G1427" s="3" t="inlineStr">
        <is>
          <t>Instalaciones</t>
        </is>
      </c>
      <c r="H1427" s="3" t="inlineStr">
        <is>
          <t>estandar</t>
        </is>
      </c>
      <c r="I1427" s="3" t="inlineStr">
        <is>
          <t>importado</t>
        </is>
      </c>
      <c r="J1427" s="5" t="n">
        <v>1</v>
      </c>
      <c r="K1427" s="6" t="n">
        <v>53</v>
      </c>
      <c r="L1427" s="6" t="n">
        <v>53</v>
      </c>
      <c r="M1427" s="6" t="n">
        <v>53</v>
      </c>
      <c r="N1427" s="3" t="inlineStr">
        <is>
          <t>Sí</t>
        </is>
      </c>
      <c r="O1427" s="6">
        <f>IF(K1427="","",IF(N1427="Sí",ROUND(K1427/1.18,2),K1427))</f>
        <v/>
      </c>
      <c r="P1427" s="3" t="inlineStr">
        <is>
          <t>2026-09-09</t>
        </is>
      </c>
      <c r="Q1427" s="4" t="inlineStr">
        <is>
          <t>Ferretería Cima</t>
        </is>
      </c>
      <c r="AF1427" s="4" t="inlineStr">
        <is>
          <t>tipo: abrazadera · material: manguera · medida: 1/2"</t>
        </is>
      </c>
    </row>
    <row r="1428">
      <c r="A1428" s="3" t="inlineStr">
        <is>
          <t>MAT-32-071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Abrazadera de manguera 1"</t>
        </is>
      </c>
      <c r="E1428" s="4" t="inlineStr"/>
      <c r="F1428" s="3" t="inlineStr">
        <is>
          <t>unidad</t>
        </is>
      </c>
      <c r="G1428" s="3" t="inlineStr">
        <is>
          <t>Instalaciones</t>
        </is>
      </c>
      <c r="H1428" s="3" t="inlineStr">
        <is>
          <t>estandar</t>
        </is>
      </c>
      <c r="I1428" s="3" t="inlineStr">
        <is>
          <t>importado</t>
        </is>
      </c>
      <c r="J1428" s="5" t="n">
        <v>1</v>
      </c>
      <c r="K1428" s="6" t="n">
        <v>56</v>
      </c>
      <c r="L1428" s="6" t="n">
        <v>56</v>
      </c>
      <c r="M1428" s="6" t="n">
        <v>56</v>
      </c>
      <c r="N1428" s="3" t="inlineStr">
        <is>
          <t>Sí</t>
        </is>
      </c>
      <c r="O1428" s="6">
        <f>IF(K1428="","",IF(N1428="Sí",ROUND(K1428/1.18,2),K1428))</f>
        <v/>
      </c>
      <c r="P1428" s="3" t="inlineStr">
        <is>
          <t>2026-09-09</t>
        </is>
      </c>
      <c r="Q1428" s="4" t="inlineStr">
        <is>
          <t>Ferretería Cima</t>
        </is>
      </c>
      <c r="AF1428" s="4" t="inlineStr">
        <is>
          <t>tipo: abrazadera · material: manguera · medida: 1"</t>
        </is>
      </c>
    </row>
    <row r="1429">
      <c r="A1429" s="3" t="inlineStr">
        <is>
          <t>MAT-32-072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Abrazadera de manguera 2"</t>
        </is>
      </c>
      <c r="E1429" s="4" t="inlineStr"/>
      <c r="F1429" s="3" t="inlineStr">
        <is>
          <t>unidad</t>
        </is>
      </c>
      <c r="G1429" s="3" t="inlineStr">
        <is>
          <t>Instalaciones</t>
        </is>
      </c>
      <c r="H1429" s="3" t="inlineStr">
        <is>
          <t>estandar</t>
        </is>
      </c>
      <c r="I1429" s="3" t="inlineStr">
        <is>
          <t>importado</t>
        </is>
      </c>
      <c r="J1429" s="5" t="n">
        <v>1</v>
      </c>
      <c r="K1429" s="6" t="n">
        <v>68</v>
      </c>
      <c r="L1429" s="6" t="n">
        <v>68</v>
      </c>
      <c r="M1429" s="6" t="n">
        <v>68</v>
      </c>
      <c r="N1429" s="3" t="inlineStr">
        <is>
          <t>Sí</t>
        </is>
      </c>
      <c r="O1429" s="6">
        <f>IF(K1429="","",IF(N1429="Sí",ROUND(K1429/1.18,2),K1429))</f>
        <v/>
      </c>
      <c r="P1429" s="3" t="inlineStr">
        <is>
          <t>2026-09-09</t>
        </is>
      </c>
      <c r="Q1429" s="4" t="inlineStr">
        <is>
          <t>Ferretería Cima</t>
        </is>
      </c>
      <c r="AF1429" s="4" t="inlineStr">
        <is>
          <t>tipo: abrazadera · material: manguera · medida: 2"</t>
        </is>
      </c>
    </row>
    <row r="1430">
      <c r="A1430" s="3" t="inlineStr">
        <is>
          <t>MAT-32-073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Abrazadera de manguera 3/4"</t>
        </is>
      </c>
      <c r="E1430" s="4" t="inlineStr"/>
      <c r="F1430" s="3" t="inlineStr">
        <is>
          <t>unidad</t>
        </is>
      </c>
      <c r="G1430" s="3" t="inlineStr">
        <is>
          <t>Instalaciones</t>
        </is>
      </c>
      <c r="H1430" s="3" t="inlineStr">
        <is>
          <t>estandar</t>
        </is>
      </c>
      <c r="I1430" s="3" t="inlineStr">
        <is>
          <t>importado</t>
        </is>
      </c>
      <c r="J1430" s="5" t="n">
        <v>1</v>
      </c>
      <c r="K1430" s="6" t="n">
        <v>65</v>
      </c>
      <c r="L1430" s="6" t="n">
        <v>65</v>
      </c>
      <c r="M1430" s="6" t="n">
        <v>65</v>
      </c>
      <c r="N1430" s="3" t="inlineStr">
        <is>
          <t>Sí</t>
        </is>
      </c>
      <c r="O1430" s="6">
        <f>IF(K1430="","",IF(N1430="Sí",ROUND(K1430/1.18,2),K1430))</f>
        <v/>
      </c>
      <c r="P1430" s="3" t="inlineStr">
        <is>
          <t>2026-09-09</t>
        </is>
      </c>
      <c r="Q1430" s="4" t="inlineStr">
        <is>
          <t>Ferretería Cima</t>
        </is>
      </c>
      <c r="AF1430" s="4" t="inlineStr">
        <is>
          <t>tipo: abrazadera · material: manguera · medida: 3/4"</t>
        </is>
      </c>
    </row>
    <row r="1431">
      <c r="A1431" s="3" t="inlineStr">
        <is>
          <t>MAT-32-074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Adaptador hembra de bronce 12" x 1/2"</t>
        </is>
      </c>
      <c r="E1431" s="4" t="inlineStr"/>
      <c r="F1431" s="3" t="inlineStr">
        <is>
          <t>unidad</t>
        </is>
      </c>
      <c r="G1431" s="3" t="inlineStr">
        <is>
          <t>Instalaciones</t>
        </is>
      </c>
      <c r="H1431" s="3" t="inlineStr">
        <is>
          <t>estandar</t>
        </is>
      </c>
      <c r="I1431" s="3" t="inlineStr">
        <is>
          <t>importado</t>
        </is>
      </c>
      <c r="J1431" s="5" t="n">
        <v>1</v>
      </c>
      <c r="K1431" s="6" t="n">
        <v>265</v>
      </c>
      <c r="L1431" s="6" t="n">
        <v>265</v>
      </c>
      <c r="M1431" s="6" t="n">
        <v>265</v>
      </c>
      <c r="N1431" s="3" t="inlineStr">
        <is>
          <t>Sí</t>
        </is>
      </c>
      <c r="O1431" s="6">
        <f>IF(K1431="","",IF(N1431="Sí",ROUND(K1431/1.18,2),K1431))</f>
        <v/>
      </c>
      <c r="P1431" s="3" t="inlineStr">
        <is>
          <t>2026-09-10</t>
        </is>
      </c>
      <c r="Q1431" s="4" t="inlineStr">
        <is>
          <t>Bellón</t>
        </is>
      </c>
      <c r="AF1431" s="4" t="inlineStr">
        <is>
          <t>tipo: adaptador-hembra · material: bronce · medida: 12" x 1/2"</t>
        </is>
      </c>
    </row>
    <row r="1432">
      <c r="A1432" s="3" t="inlineStr">
        <is>
          <t>MAT-32-075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Adaptador hembra de bronce 12" x 3/8"</t>
        </is>
      </c>
      <c r="E1432" s="4" t="inlineStr"/>
      <c r="F1432" s="3" t="inlineStr">
        <is>
          <t>unidad</t>
        </is>
      </c>
      <c r="G1432" s="3" t="inlineStr">
        <is>
          <t>Instalaciones</t>
        </is>
      </c>
      <c r="H1432" s="3" t="inlineStr">
        <is>
          <t>estandar</t>
        </is>
      </c>
      <c r="I1432" s="3" t="inlineStr">
        <is>
          <t>importado</t>
        </is>
      </c>
      <c r="J1432" s="5" t="n">
        <v>1</v>
      </c>
      <c r="K1432" s="6" t="n">
        <v>282</v>
      </c>
      <c r="L1432" s="6" t="n">
        <v>282</v>
      </c>
      <c r="M1432" s="6" t="n">
        <v>282</v>
      </c>
      <c r="N1432" s="3" t="inlineStr">
        <is>
          <t>Sí</t>
        </is>
      </c>
      <c r="O1432" s="6">
        <f>IF(K1432="","",IF(N1432="Sí",ROUND(K1432/1.18,2),K1432))</f>
        <v/>
      </c>
      <c r="P1432" s="3" t="inlineStr">
        <is>
          <t>2026-09-10</t>
        </is>
      </c>
      <c r="Q1432" s="4" t="inlineStr">
        <is>
          <t>Bellón</t>
        </is>
      </c>
      <c r="AF1432" s="4" t="inlineStr">
        <is>
          <t>tipo: adaptador-hembra · material: bronce · medida: 12" x 3/8"</t>
        </is>
      </c>
    </row>
    <row r="1433">
      <c r="A1433" s="3" t="inlineStr">
        <is>
          <t>MAT-32-076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Adaptador hembra de bronce 15" x 1/2"</t>
        </is>
      </c>
      <c r="E1433" s="4" t="inlineStr"/>
      <c r="F1433" s="3" t="inlineStr">
        <is>
          <t>unidad</t>
        </is>
      </c>
      <c r="G1433" s="3" t="inlineStr">
        <is>
          <t>Instalaciones</t>
        </is>
      </c>
      <c r="H1433" s="3" t="inlineStr">
        <is>
          <t>estandar</t>
        </is>
      </c>
      <c r="I1433" s="3" t="inlineStr">
        <is>
          <t>importado</t>
        </is>
      </c>
      <c r="J1433" s="5" t="n">
        <v>1</v>
      </c>
      <c r="K1433" s="6" t="n">
        <v>204</v>
      </c>
      <c r="L1433" s="6" t="n">
        <v>204</v>
      </c>
      <c r="M1433" s="6" t="n">
        <v>204</v>
      </c>
      <c r="N1433" s="3" t="inlineStr">
        <is>
          <t>Sí</t>
        </is>
      </c>
      <c r="O1433" s="6">
        <f>IF(K1433="","",IF(N1433="Sí",ROUND(K1433/1.18,2),K1433))</f>
        <v/>
      </c>
      <c r="P1433" s="3" t="inlineStr">
        <is>
          <t>2026-09-10</t>
        </is>
      </c>
      <c r="Q1433" s="4" t="inlineStr">
        <is>
          <t>Bellón</t>
        </is>
      </c>
      <c r="AF1433" s="4" t="inlineStr">
        <is>
          <t>tipo: adaptador-hembra · material: bronce · medida: 15" x 1/2"</t>
        </is>
      </c>
    </row>
    <row r="1434">
      <c r="A1434" s="3" t="inlineStr">
        <is>
          <t>MAT-32-077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Adaptador hembra de bronce 15" x 3/4"</t>
        </is>
      </c>
      <c r="E1434" s="4" t="inlineStr"/>
      <c r="F1434" s="3" t="inlineStr">
        <is>
          <t>unidad</t>
        </is>
      </c>
      <c r="G1434" s="3" t="inlineStr">
        <is>
          <t>Instalaciones</t>
        </is>
      </c>
      <c r="H1434" s="3" t="inlineStr">
        <is>
          <t>estandar</t>
        </is>
      </c>
      <c r="I1434" s="3" t="inlineStr">
        <is>
          <t>importado</t>
        </is>
      </c>
      <c r="J1434" s="5" t="n">
        <v>1</v>
      </c>
      <c r="K1434" s="6" t="n">
        <v>349</v>
      </c>
      <c r="L1434" s="6" t="n">
        <v>349</v>
      </c>
      <c r="M1434" s="6" t="n">
        <v>349</v>
      </c>
      <c r="N1434" s="3" t="inlineStr">
        <is>
          <t>Sí</t>
        </is>
      </c>
      <c r="O1434" s="6">
        <f>IF(K1434="","",IF(N1434="Sí",ROUND(K1434/1.18,2),K1434))</f>
        <v/>
      </c>
      <c r="P1434" s="3" t="inlineStr">
        <is>
          <t>2026-09-10</t>
        </is>
      </c>
      <c r="Q1434" s="4" t="inlineStr">
        <is>
          <t>Bellón</t>
        </is>
      </c>
      <c r="AF1434" s="4" t="inlineStr">
        <is>
          <t>tipo: adaptador-hembra · material: bronce · medida: 15" x 3/4"</t>
        </is>
      </c>
    </row>
    <row r="1435">
      <c r="A1435" s="3" t="inlineStr">
        <is>
          <t>MAT-32-078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Adaptador hembra de bronce 15" x 3/8"</t>
        </is>
      </c>
      <c r="E1435" s="4" t="inlineStr"/>
      <c r="F1435" s="3" t="inlineStr">
        <is>
          <t>unidad</t>
        </is>
      </c>
      <c r="G1435" s="3" t="inlineStr">
        <is>
          <t>Instalaciones</t>
        </is>
      </c>
      <c r="H1435" s="3" t="inlineStr">
        <is>
          <t>estandar</t>
        </is>
      </c>
      <c r="I1435" s="3" t="inlineStr">
        <is>
          <t>importado</t>
        </is>
      </c>
      <c r="J1435" s="5" t="n">
        <v>1</v>
      </c>
      <c r="K1435" s="6" t="n">
        <v>279</v>
      </c>
      <c r="L1435" s="6" t="n">
        <v>279</v>
      </c>
      <c r="M1435" s="6" t="n">
        <v>279</v>
      </c>
      <c r="N1435" s="3" t="inlineStr">
        <is>
          <t>Sí</t>
        </is>
      </c>
      <c r="O1435" s="6">
        <f>IF(K1435="","",IF(N1435="Sí",ROUND(K1435/1.18,2),K1435))</f>
        <v/>
      </c>
      <c r="P1435" s="3" t="inlineStr">
        <is>
          <t>2026-09-10</t>
        </is>
      </c>
      <c r="Q1435" s="4" t="inlineStr">
        <is>
          <t>Bellón</t>
        </is>
      </c>
      <c r="AF1435" s="4" t="inlineStr">
        <is>
          <t>tipo: adaptador-hembra · material: bronce · medida: 15" x 3/8"</t>
        </is>
      </c>
    </row>
    <row r="1436">
      <c r="A1436" s="3" t="inlineStr">
        <is>
          <t>MAT-32-079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Adaptador hembra de bronce 18" x 1/2"</t>
        </is>
      </c>
      <c r="E1436" s="4" t="inlineStr"/>
      <c r="F1436" s="3" t="inlineStr">
        <is>
          <t>unidad</t>
        </is>
      </c>
      <c r="G1436" s="3" t="inlineStr">
        <is>
          <t>Instalaciones</t>
        </is>
      </c>
      <c r="H1436" s="3" t="inlineStr">
        <is>
          <t>estandar</t>
        </is>
      </c>
      <c r="I1436" s="3" t="inlineStr">
        <is>
          <t>importado</t>
        </is>
      </c>
      <c r="J1436" s="5" t="n">
        <v>1</v>
      </c>
      <c r="K1436" s="6" t="n">
        <v>253</v>
      </c>
      <c r="L1436" s="6" t="n">
        <v>253</v>
      </c>
      <c r="M1436" s="6" t="n">
        <v>253</v>
      </c>
      <c r="N1436" s="3" t="inlineStr">
        <is>
          <t>Sí</t>
        </is>
      </c>
      <c r="O1436" s="6">
        <f>IF(K1436="","",IF(N1436="Sí",ROUND(K1436/1.18,2),K1436))</f>
        <v/>
      </c>
      <c r="P1436" s="3" t="inlineStr">
        <is>
          <t>2026-09-10</t>
        </is>
      </c>
      <c r="Q1436" s="4" t="inlineStr">
        <is>
          <t>Bellón</t>
        </is>
      </c>
      <c r="AF1436" s="4" t="inlineStr">
        <is>
          <t>tipo: adaptador-hembra · material: bronce · medida: 18" x 1/2"</t>
        </is>
      </c>
    </row>
    <row r="1437">
      <c r="A1437" s="3" t="inlineStr">
        <is>
          <t>MAT-32-080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Adaptador hembra de bronce 18" x 3/4"</t>
        </is>
      </c>
      <c r="E1437" s="4" t="inlineStr"/>
      <c r="F1437" s="3" t="inlineStr">
        <is>
          <t>unidad</t>
        </is>
      </c>
      <c r="G1437" s="3" t="inlineStr">
        <is>
          <t>Instalaciones</t>
        </is>
      </c>
      <c r="H1437" s="3" t="inlineStr">
        <is>
          <t>estandar</t>
        </is>
      </c>
      <c r="I1437" s="3" t="inlineStr">
        <is>
          <t>importado</t>
        </is>
      </c>
      <c r="J1437" s="5" t="n">
        <v>1</v>
      </c>
      <c r="K1437" s="6" t="n">
        <v>356</v>
      </c>
      <c r="L1437" s="6" t="n">
        <v>356</v>
      </c>
      <c r="M1437" s="6" t="n">
        <v>356</v>
      </c>
      <c r="N1437" s="3" t="inlineStr">
        <is>
          <t>Sí</t>
        </is>
      </c>
      <c r="O1437" s="6">
        <f>IF(K1437="","",IF(N1437="Sí",ROUND(K1437/1.18,2),K1437))</f>
        <v/>
      </c>
      <c r="P1437" s="3" t="inlineStr">
        <is>
          <t>2026-09-10</t>
        </is>
      </c>
      <c r="Q1437" s="4" t="inlineStr">
        <is>
          <t>Bellón</t>
        </is>
      </c>
      <c r="AF1437" s="4" t="inlineStr">
        <is>
          <t>tipo: adaptador-hembra · material: bronce · medida: 18" x 3/4"</t>
        </is>
      </c>
    </row>
    <row r="1438">
      <c r="A1438" s="3" t="inlineStr">
        <is>
          <t>MAT-32-081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Adaptador hembra de bronce 25" x 3/4"</t>
        </is>
      </c>
      <c r="E1438" s="4" t="inlineStr"/>
      <c r="F1438" s="3" t="inlineStr">
        <is>
          <t>unidad</t>
        </is>
      </c>
      <c r="G1438" s="3" t="inlineStr">
        <is>
          <t>Instalaciones</t>
        </is>
      </c>
      <c r="H1438" s="3" t="inlineStr">
        <is>
          <t>estandar</t>
        </is>
      </c>
      <c r="I1438" s="3" t="inlineStr">
        <is>
          <t>importado</t>
        </is>
      </c>
      <c r="J1438" s="5" t="n">
        <v>1</v>
      </c>
      <c r="K1438" s="6" t="n">
        <v>423</v>
      </c>
      <c r="L1438" s="6" t="n">
        <v>423</v>
      </c>
      <c r="M1438" s="6" t="n">
        <v>423</v>
      </c>
      <c r="N1438" s="3" t="inlineStr">
        <is>
          <t>Sí</t>
        </is>
      </c>
      <c r="O1438" s="6">
        <f>IF(K1438="","",IF(N1438="Sí",ROUND(K1438/1.18,2),K1438))</f>
        <v/>
      </c>
      <c r="P1438" s="3" t="inlineStr">
        <is>
          <t>2026-09-10</t>
        </is>
      </c>
      <c r="Q1438" s="4" t="inlineStr">
        <is>
          <t>Bellón</t>
        </is>
      </c>
      <c r="AF1438" s="4" t="inlineStr">
        <is>
          <t>tipo: adaptador-hembra · material: bronce · medida: 25" x 3/4"</t>
        </is>
      </c>
    </row>
    <row r="1439">
      <c r="A1439" s="3" t="inlineStr">
        <is>
          <t>MAT-32-082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Adaptador hembra de bronce 3/8" x 1/2"</t>
        </is>
      </c>
      <c r="E1439" s="4" t="inlineStr"/>
      <c r="F1439" s="3" t="inlineStr">
        <is>
          <t>unidad</t>
        </is>
      </c>
      <c r="G1439" s="3" t="inlineStr">
        <is>
          <t>Instalaciones</t>
        </is>
      </c>
      <c r="H1439" s="3" t="inlineStr">
        <is>
          <t>estandar</t>
        </is>
      </c>
      <c r="I1439" s="3" t="inlineStr">
        <is>
          <t>importado</t>
        </is>
      </c>
      <c r="J1439" s="5" t="n">
        <v>1</v>
      </c>
      <c r="K1439" s="6" t="n">
        <v>144.5</v>
      </c>
      <c r="L1439" s="6" t="n">
        <v>135</v>
      </c>
      <c r="M1439" s="6" t="n">
        <v>154</v>
      </c>
      <c r="N1439" s="3" t="inlineStr">
        <is>
          <t>Sí</t>
        </is>
      </c>
      <c r="O1439" s="6">
        <f>IF(K1439="","",IF(N1439="Sí",ROUND(K1439/1.18,2),K1439))</f>
        <v/>
      </c>
      <c r="P1439" s="3" t="inlineStr">
        <is>
          <t>2026-09-10</t>
        </is>
      </c>
      <c r="Q1439" s="4" t="inlineStr">
        <is>
          <t>Bellón</t>
        </is>
      </c>
      <c r="AF1439" s="4" t="inlineStr">
        <is>
          <t>tipo: adaptador-hembra · material: bronce · medida: 3/8" x 1/2"</t>
        </is>
      </c>
    </row>
    <row r="1440">
      <c r="A1440" s="3" t="inlineStr">
        <is>
          <t>MAT-32-083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Adaptador hembra de bronce 3/8" x 1/4"</t>
        </is>
      </c>
      <c r="E1440" s="4" t="inlineStr"/>
      <c r="F1440" s="3" t="inlineStr">
        <is>
          <t>unidad</t>
        </is>
      </c>
      <c r="G1440" s="3" t="inlineStr">
        <is>
          <t>Instalaciones</t>
        </is>
      </c>
      <c r="H1440" s="3" t="inlineStr">
        <is>
          <t>estandar</t>
        </is>
      </c>
      <c r="I1440" s="3" t="inlineStr">
        <is>
          <t>importado</t>
        </is>
      </c>
      <c r="J1440" s="5" t="n">
        <v>1</v>
      </c>
      <c r="K1440" s="6" t="n">
        <v>104</v>
      </c>
      <c r="L1440" s="6" t="n">
        <v>104</v>
      </c>
      <c r="M1440" s="6" t="n">
        <v>104</v>
      </c>
      <c r="N1440" s="3" t="inlineStr">
        <is>
          <t>Sí</t>
        </is>
      </c>
      <c r="O1440" s="6">
        <f>IF(K1440="","",IF(N1440="Sí",ROUND(K1440/1.18,2),K1440))</f>
        <v/>
      </c>
      <c r="P1440" s="3" t="inlineStr">
        <is>
          <t>2026-09-10</t>
        </is>
      </c>
      <c r="Q1440" s="4" t="inlineStr">
        <is>
          <t>Bellón</t>
        </is>
      </c>
      <c r="AF1440" s="4" t="inlineStr">
        <is>
          <t>tipo: adaptador-hembra · material: bronce · medida: 3/8" x 1/4"</t>
        </is>
      </c>
    </row>
    <row r="1441">
      <c r="A1441" s="3" t="inlineStr">
        <is>
          <t>MAT-32-084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Adaptador hembra de bronce 3/8" x 3/4"</t>
        </is>
      </c>
      <c r="E1441" s="4" t="inlineStr"/>
      <c r="F1441" s="3" t="inlineStr">
        <is>
          <t>unidad</t>
        </is>
      </c>
      <c r="G1441" s="3" t="inlineStr">
        <is>
          <t>Instalaciones</t>
        </is>
      </c>
      <c r="H1441" s="3" t="inlineStr">
        <is>
          <t>estandar</t>
        </is>
      </c>
      <c r="I1441" s="3" t="inlineStr">
        <is>
          <t>importado</t>
        </is>
      </c>
      <c r="J1441" s="5" t="n">
        <v>1</v>
      </c>
      <c r="K1441" s="6" t="n">
        <v>183</v>
      </c>
      <c r="L1441" s="6" t="n">
        <v>183</v>
      </c>
      <c r="M1441" s="6" t="n">
        <v>183</v>
      </c>
      <c r="N1441" s="3" t="inlineStr">
        <is>
          <t>Sí</t>
        </is>
      </c>
      <c r="O1441" s="6">
        <f>IF(K1441="","",IF(N1441="Sí",ROUND(K1441/1.18,2),K1441))</f>
        <v/>
      </c>
      <c r="P1441" s="3" t="inlineStr">
        <is>
          <t>2026-09-10</t>
        </is>
      </c>
      <c r="Q1441" s="4" t="inlineStr">
        <is>
          <t>Bellón</t>
        </is>
      </c>
      <c r="AF1441" s="4" t="inlineStr">
        <is>
          <t>tipo: adaptador-hembra · material: bronce · medida: 3/8" x 3/4"</t>
        </is>
      </c>
    </row>
    <row r="1442">
      <c r="A1442" s="3" t="inlineStr">
        <is>
          <t>MAT-32-085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Adaptador hembra de bronce 3/8" x 3/8"</t>
        </is>
      </c>
      <c r="E1442" s="4" t="inlineStr"/>
      <c r="F1442" s="3" t="inlineStr">
        <is>
          <t>unidad</t>
        </is>
      </c>
      <c r="G1442" s="3" t="inlineStr">
        <is>
          <t>Instalaciones</t>
        </is>
      </c>
      <c r="H1442" s="3" t="inlineStr">
        <is>
          <t>estandar</t>
        </is>
      </c>
      <c r="I1442" s="3" t="inlineStr">
        <is>
          <t>importado</t>
        </is>
      </c>
      <c r="J1442" s="5" t="n">
        <v>1</v>
      </c>
      <c r="K1442" s="6" t="n">
        <v>90</v>
      </c>
      <c r="L1442" s="6" t="n">
        <v>90</v>
      </c>
      <c r="M1442" s="6" t="n">
        <v>90</v>
      </c>
      <c r="N1442" s="3" t="inlineStr">
        <is>
          <t>Sí</t>
        </is>
      </c>
      <c r="O1442" s="6">
        <f>IF(K1442="","",IF(N1442="Sí",ROUND(K1442/1.18,2),K1442))</f>
        <v/>
      </c>
      <c r="P1442" s="3" t="inlineStr">
        <is>
          <t>2026-09-10</t>
        </is>
      </c>
      <c r="Q1442" s="4" t="inlineStr">
        <is>
          <t>Bellón</t>
        </is>
      </c>
      <c r="AF1442" s="4" t="inlineStr">
        <is>
          <t>tipo: adaptador-hembra · material: bronce · medida: 3/8" x 3/8"</t>
        </is>
      </c>
    </row>
    <row r="1443">
      <c r="A1443" s="3" t="inlineStr">
        <is>
          <t>MAT-32-086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Adaptador hembra de bronce 32" x 1"</t>
        </is>
      </c>
      <c r="E1443" s="4" t="inlineStr"/>
      <c r="F1443" s="3" t="inlineStr">
        <is>
          <t>unidad</t>
        </is>
      </c>
      <c r="G1443" s="3" t="inlineStr">
        <is>
          <t>Instalaciones</t>
        </is>
      </c>
      <c r="H1443" s="3" t="inlineStr">
        <is>
          <t>estandar</t>
        </is>
      </c>
      <c r="I1443" s="3" t="inlineStr">
        <is>
          <t>importado</t>
        </is>
      </c>
      <c r="J1443" s="5" t="n">
        <v>1</v>
      </c>
      <c r="K1443" s="6" t="n">
        <v>535</v>
      </c>
      <c r="L1443" s="6" t="n">
        <v>535</v>
      </c>
      <c r="M1443" s="6" t="n">
        <v>535</v>
      </c>
      <c r="N1443" s="3" t="inlineStr">
        <is>
          <t>Sí</t>
        </is>
      </c>
      <c r="O1443" s="6">
        <f>IF(K1443="","",IF(N1443="Sí",ROUND(K1443/1.18,2),K1443))</f>
        <v/>
      </c>
      <c r="P1443" s="3" t="inlineStr">
        <is>
          <t>2026-09-10</t>
        </is>
      </c>
      <c r="Q1443" s="4" t="inlineStr">
        <is>
          <t>Bellón</t>
        </is>
      </c>
      <c r="AF1443" s="4" t="inlineStr">
        <is>
          <t>tipo: adaptador-hembra · material: bronce · medida: 32" x 1"</t>
        </is>
      </c>
    </row>
    <row r="1444">
      <c r="A1444" s="3" t="inlineStr">
        <is>
          <t>MAT-32-087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Adaptador hembra de CPVC 1/2"</t>
        </is>
      </c>
      <c r="E1444" s="4" t="inlineStr"/>
      <c r="F1444" s="3" t="inlineStr">
        <is>
          <t>unidad</t>
        </is>
      </c>
      <c r="G1444" s="3" t="inlineStr">
        <is>
          <t>Instalaciones</t>
        </is>
      </c>
      <c r="H1444" s="3" t="inlineStr">
        <is>
          <t>estandar</t>
        </is>
      </c>
      <c r="I1444" s="3" t="inlineStr">
        <is>
          <t>importado</t>
        </is>
      </c>
      <c r="J1444" s="5" t="n">
        <v>1</v>
      </c>
      <c r="K1444" s="6" t="n">
        <v>11.01</v>
      </c>
      <c r="L1444" s="6" t="n">
        <v>11.01</v>
      </c>
      <c r="M1444" s="6" t="n">
        <v>11.01</v>
      </c>
      <c r="N1444" s="3" t="inlineStr">
        <is>
          <t>Sí</t>
        </is>
      </c>
      <c r="O1444" s="6">
        <f>IF(K1444="","",IF(N1444="Sí",ROUND(K1444/1.18,2),K1444))</f>
        <v/>
      </c>
      <c r="P1444" s="3" t="inlineStr">
        <is>
          <t>2026-09-10</t>
        </is>
      </c>
      <c r="Q1444" s="4" t="inlineStr">
        <is>
          <t>Bellón</t>
        </is>
      </c>
      <c r="AF1444" s="4" t="inlineStr">
        <is>
          <t>tipo: adaptador-hembra · material: CPVC · medida: 1/2"</t>
        </is>
      </c>
    </row>
    <row r="1445">
      <c r="A1445" s="3" t="inlineStr">
        <is>
          <t>MAT-32-088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Adaptador hembra de CPVC 1"</t>
        </is>
      </c>
      <c r="E1445" s="4" t="inlineStr"/>
      <c r="F1445" s="3" t="inlineStr">
        <is>
          <t>unidad</t>
        </is>
      </c>
      <c r="G1445" s="3" t="inlineStr">
        <is>
          <t>Instalaciones</t>
        </is>
      </c>
      <c r="H1445" s="3" t="inlineStr">
        <is>
          <t>estandar</t>
        </is>
      </c>
      <c r="I1445" s="3" t="inlineStr">
        <is>
          <t>importado</t>
        </is>
      </c>
      <c r="J1445" s="5" t="n">
        <v>1</v>
      </c>
      <c r="K1445" s="6" t="n">
        <v>26.25</v>
      </c>
      <c r="L1445" s="6" t="n">
        <v>26.25</v>
      </c>
      <c r="M1445" s="6" t="n">
        <v>26.25</v>
      </c>
      <c r="N1445" s="3" t="inlineStr">
        <is>
          <t>Sí</t>
        </is>
      </c>
      <c r="O1445" s="6">
        <f>IF(K1445="","",IF(N1445="Sí",ROUND(K1445/1.18,2),K1445))</f>
        <v/>
      </c>
      <c r="P1445" s="3" t="inlineStr">
        <is>
          <t>2026-09-10</t>
        </is>
      </c>
      <c r="Q1445" s="4" t="inlineStr">
        <is>
          <t>Bellón</t>
        </is>
      </c>
      <c r="AF1445" s="4" t="inlineStr">
        <is>
          <t>tipo: adaptador-hembra · material: CPVC · medida: 1"</t>
        </is>
      </c>
    </row>
    <row r="1446">
      <c r="A1446" s="3" t="inlineStr">
        <is>
          <t>MAT-32-089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Adaptador hembra de CPVC 3/4"</t>
        </is>
      </c>
      <c r="E1446" s="4" t="inlineStr"/>
      <c r="F1446" s="3" t="inlineStr">
        <is>
          <t>unidad</t>
        </is>
      </c>
      <c r="G1446" s="3" t="inlineStr">
        <is>
          <t>Instalaciones</t>
        </is>
      </c>
      <c r="H1446" s="3" t="inlineStr">
        <is>
          <t>estandar</t>
        </is>
      </c>
      <c r="I1446" s="3" t="inlineStr">
        <is>
          <t>importado</t>
        </is>
      </c>
      <c r="J1446" s="5" t="n">
        <v>1</v>
      </c>
      <c r="K1446" s="6" t="n">
        <v>27.22</v>
      </c>
      <c r="L1446" s="6" t="n">
        <v>27.22</v>
      </c>
      <c r="M1446" s="6" t="n">
        <v>27.22</v>
      </c>
      <c r="N1446" s="3" t="inlineStr">
        <is>
          <t>Sí</t>
        </is>
      </c>
      <c r="O1446" s="6">
        <f>IF(K1446="","",IF(N1446="Sí",ROUND(K1446/1.18,2),K1446))</f>
        <v/>
      </c>
      <c r="P1446" s="3" t="inlineStr">
        <is>
          <t>2026-09-10</t>
        </is>
      </c>
      <c r="Q1446" s="4" t="inlineStr">
        <is>
          <t>Bellón</t>
        </is>
      </c>
      <c r="AF1446" s="4" t="inlineStr">
        <is>
          <t>tipo: adaptador-hembra · material: CPVC · medida: 3/4"</t>
        </is>
      </c>
    </row>
    <row r="1447">
      <c r="A1447" s="3" t="inlineStr">
        <is>
          <t>MAT-32-090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Adaptador hembra de plástico 5/8"</t>
        </is>
      </c>
      <c r="E1447" s="4" t="inlineStr"/>
      <c r="F1447" s="3" t="inlineStr">
        <is>
          <t>unidad</t>
        </is>
      </c>
      <c r="G1447" s="3" t="inlineStr">
        <is>
          <t>Instalaciones</t>
        </is>
      </c>
      <c r="H1447" s="3" t="inlineStr">
        <is>
          <t>estandar</t>
        </is>
      </c>
      <c r="I1447" s="3" t="inlineStr">
        <is>
          <t>importado</t>
        </is>
      </c>
      <c r="J1447" s="5" t="n">
        <v>1</v>
      </c>
      <c r="K1447" s="6" t="n">
        <v>106</v>
      </c>
      <c r="L1447" s="6" t="n">
        <v>106</v>
      </c>
      <c r="M1447" s="6" t="n">
        <v>106</v>
      </c>
      <c r="N1447" s="3" t="inlineStr">
        <is>
          <t>Sí</t>
        </is>
      </c>
      <c r="O1447" s="6">
        <f>IF(K1447="","",IF(N1447="Sí",ROUND(K1447/1.18,2),K1447))</f>
        <v/>
      </c>
      <c r="P1447" s="3" t="inlineStr">
        <is>
          <t>2026-09-10</t>
        </is>
      </c>
      <c r="Q1447" s="4" t="inlineStr">
        <is>
          <t>Bellón</t>
        </is>
      </c>
      <c r="AF1447" s="4" t="inlineStr">
        <is>
          <t>tipo: adaptador-hembra · material: plástico · medida: 5/8"</t>
        </is>
      </c>
    </row>
    <row r="1448">
      <c r="A1448" s="3" t="inlineStr">
        <is>
          <t>MAT-32-091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Adaptador hembra de PPR 20 mm</t>
        </is>
      </c>
      <c r="E1448" s="4" t="inlineStr"/>
      <c r="F1448" s="3" t="inlineStr">
        <is>
          <t>unidad</t>
        </is>
      </c>
      <c r="G1448" s="3" t="inlineStr">
        <is>
          <t>Instalaciones</t>
        </is>
      </c>
      <c r="H1448" s="3" t="inlineStr">
        <is>
          <t>estandar</t>
        </is>
      </c>
      <c r="I1448" s="3" t="inlineStr">
        <is>
          <t>importado</t>
        </is>
      </c>
      <c r="J1448" s="5" t="n">
        <v>2</v>
      </c>
      <c r="K1448" s="6" t="n">
        <v>69</v>
      </c>
      <c r="L1448" s="6" t="n">
        <v>58.58</v>
      </c>
      <c r="M1448" s="6" t="n">
        <v>172</v>
      </c>
      <c r="N1448" s="3" t="inlineStr">
        <is>
          <t>Sí</t>
        </is>
      </c>
      <c r="O1448" s="6">
        <f>IF(K1448="","",IF(N1448="Sí",ROUND(K1448/1.18,2),K1448))</f>
        <v/>
      </c>
      <c r="P1448" s="3" t="inlineStr">
        <is>
          <t>2026-09-10</t>
        </is>
      </c>
      <c r="Q1448" s="4" t="inlineStr">
        <is>
          <t>Bellón · Ferretería Cima</t>
        </is>
      </c>
      <c r="AF1448" s="4" t="inlineStr">
        <is>
          <t>tipo: adaptador-hembra · material: PPR · medida: 20 mm</t>
        </is>
      </c>
    </row>
    <row r="1449">
      <c r="A1449" s="3" t="inlineStr">
        <is>
          <t>MAT-32-092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Adaptador hembra de PPR 25 mm</t>
        </is>
      </c>
      <c r="E1449" s="4" t="inlineStr"/>
      <c r="F1449" s="3" t="inlineStr">
        <is>
          <t>unidad</t>
        </is>
      </c>
      <c r="G1449" s="3" t="inlineStr">
        <is>
          <t>Instalaciones</t>
        </is>
      </c>
      <c r="H1449" s="3" t="inlineStr">
        <is>
          <t>estandar</t>
        </is>
      </c>
      <c r="I1449" s="3" t="inlineStr">
        <is>
          <t>importado</t>
        </is>
      </c>
      <c r="J1449" s="5" t="n">
        <v>1</v>
      </c>
      <c r="K1449" s="6" t="n">
        <v>68</v>
      </c>
      <c r="L1449" s="6" t="n">
        <v>60</v>
      </c>
      <c r="M1449" s="6" t="n">
        <v>76</v>
      </c>
      <c r="N1449" s="3" t="inlineStr">
        <is>
          <t>Sí</t>
        </is>
      </c>
      <c r="O1449" s="6">
        <f>IF(K1449="","",IF(N1449="Sí",ROUND(K1449/1.18,2),K1449))</f>
        <v/>
      </c>
      <c r="P1449" s="3" t="inlineStr">
        <is>
          <t>2026-09-10</t>
        </is>
      </c>
      <c r="Q1449" s="4" t="inlineStr">
        <is>
          <t>Bellón</t>
        </is>
      </c>
      <c r="AF1449" s="4" t="inlineStr">
        <is>
          <t>tipo: adaptador-hembra · material: PPR · medida: 25 mm</t>
        </is>
      </c>
    </row>
    <row r="1450">
      <c r="A1450" s="3" t="inlineStr">
        <is>
          <t>MAT-32-093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Adaptador hembra de PPR 32 mm</t>
        </is>
      </c>
      <c r="E1450" s="4" t="inlineStr"/>
      <c r="F1450" s="3" t="inlineStr">
        <is>
          <t>unidad</t>
        </is>
      </c>
      <c r="G1450" s="3" t="inlineStr">
        <is>
          <t>Instalaciones</t>
        </is>
      </c>
      <c r="H1450" s="3" t="inlineStr">
        <is>
          <t>estandar</t>
        </is>
      </c>
      <c r="I1450" s="3" t="inlineStr">
        <is>
          <t>importado</t>
        </is>
      </c>
      <c r="J1450" s="5" t="n">
        <v>1</v>
      </c>
      <c r="K1450" s="6" t="n">
        <v>80</v>
      </c>
      <c r="L1450" s="6" t="n">
        <v>56.64</v>
      </c>
      <c r="M1450" s="6" t="n">
        <v>140</v>
      </c>
      <c r="N1450" s="3" t="inlineStr">
        <is>
          <t>Sí</t>
        </is>
      </c>
      <c r="O1450" s="6">
        <f>IF(K1450="","",IF(N1450="Sí",ROUND(K1450/1.18,2),K1450))</f>
        <v/>
      </c>
      <c r="P1450" s="3" t="inlineStr">
        <is>
          <t>2026-09-10</t>
        </is>
      </c>
      <c r="Q1450" s="4" t="inlineStr">
        <is>
          <t>Bellón</t>
        </is>
      </c>
      <c r="AF1450" s="4" t="inlineStr">
        <is>
          <t>tipo: adaptador-hembra · material: PPR · medida: 32 mm</t>
        </is>
      </c>
    </row>
    <row r="1451">
      <c r="A1451" s="3" t="inlineStr">
        <is>
          <t>MAT-32-094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Adaptador hembra de PPR 50 mm</t>
        </is>
      </c>
      <c r="E1451" s="4" t="inlineStr"/>
      <c r="F1451" s="3" t="inlineStr">
        <is>
          <t>unidad</t>
        </is>
      </c>
      <c r="G1451" s="3" t="inlineStr">
        <is>
          <t>Instalaciones</t>
        </is>
      </c>
      <c r="H1451" s="3" t="inlineStr">
        <is>
          <t>estandar</t>
        </is>
      </c>
      <c r="I1451" s="3" t="inlineStr">
        <is>
          <t>importado</t>
        </is>
      </c>
      <c r="J1451" s="5" t="n">
        <v>1</v>
      </c>
      <c r="K1451" s="6" t="n">
        <v>270</v>
      </c>
      <c r="L1451" s="6" t="n">
        <v>270</v>
      </c>
      <c r="M1451" s="6" t="n">
        <v>270</v>
      </c>
      <c r="N1451" s="3" t="inlineStr">
        <is>
          <t>Sí</t>
        </is>
      </c>
      <c r="O1451" s="6">
        <f>IF(K1451="","",IF(N1451="Sí",ROUND(K1451/1.18,2),K1451))</f>
        <v/>
      </c>
      <c r="P1451" s="3" t="inlineStr">
        <is>
          <t>2026-09-10</t>
        </is>
      </c>
      <c r="Q1451" s="4" t="inlineStr">
        <is>
          <t>Bellón</t>
        </is>
      </c>
      <c r="AF1451" s="4" t="inlineStr">
        <is>
          <t>tipo: adaptador-hembra · material: PPR · medida: 50 mm</t>
        </is>
      </c>
    </row>
    <row r="1452">
      <c r="A1452" s="3" t="inlineStr">
        <is>
          <t>MAT-32-095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Adaptador hembra de PVC 1 1/2"</t>
        </is>
      </c>
      <c r="E1452" s="4" t="inlineStr"/>
      <c r="F1452" s="3" t="inlineStr">
        <is>
          <t>unidad</t>
        </is>
      </c>
      <c r="G1452" s="3" t="inlineStr">
        <is>
          <t>Instalaciones</t>
        </is>
      </c>
      <c r="H1452" s="3" t="inlineStr">
        <is>
          <t>estandar</t>
        </is>
      </c>
      <c r="I1452" s="3" t="inlineStr">
        <is>
          <t>importado</t>
        </is>
      </c>
      <c r="J1452" s="5" t="n">
        <v>2</v>
      </c>
      <c r="K1452" s="6" t="n">
        <v>47.15</v>
      </c>
      <c r="L1452" s="6" t="n">
        <v>19.21</v>
      </c>
      <c r="M1452" s="6" t="n">
        <v>75</v>
      </c>
      <c r="N1452" s="3" t="inlineStr">
        <is>
          <t>Sí</t>
        </is>
      </c>
      <c r="O1452" s="6">
        <f>IF(K1452="","",IF(N1452="Sí",ROUND(K1452/1.18,2),K1452))</f>
        <v/>
      </c>
      <c r="P1452" s="3" t="inlineStr">
        <is>
          <t>2026-09-10</t>
        </is>
      </c>
      <c r="Q1452" s="4" t="inlineStr">
        <is>
          <t>Bellón · Ferretería Cima</t>
        </is>
      </c>
      <c r="AF1452" s="4" t="inlineStr">
        <is>
          <t>tipo: adaptador-hembra · material: PVC · medida: 1 1/2"</t>
        </is>
      </c>
    </row>
    <row r="1453">
      <c r="A1453" s="3" t="inlineStr">
        <is>
          <t>MAT-32-096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Adaptador hembra de PVC 1/2"</t>
        </is>
      </c>
      <c r="E1453" s="4" t="inlineStr"/>
      <c r="F1453" s="3" t="inlineStr">
        <is>
          <t>unidad</t>
        </is>
      </c>
      <c r="G1453" s="3" t="inlineStr">
        <is>
          <t>Instalaciones</t>
        </is>
      </c>
      <c r="H1453" s="3" t="inlineStr">
        <is>
          <t>estandar</t>
        </is>
      </c>
      <c r="I1453" s="3" t="inlineStr">
        <is>
          <t>importado</t>
        </is>
      </c>
      <c r="J1453" s="5" t="n">
        <v>2</v>
      </c>
      <c r="K1453" s="6" t="n">
        <v>10.51</v>
      </c>
      <c r="L1453" s="6" t="n">
        <v>4.73</v>
      </c>
      <c r="M1453" s="6" t="n">
        <v>20</v>
      </c>
      <c r="N1453" s="3" t="inlineStr">
        <is>
          <t>Sí</t>
        </is>
      </c>
      <c r="O1453" s="6">
        <f>IF(K1453="","",IF(N1453="Sí",ROUND(K1453/1.18,2),K1453))</f>
        <v/>
      </c>
      <c r="P1453" s="3" t="inlineStr">
        <is>
          <t>2026-09-10</t>
        </is>
      </c>
      <c r="Q1453" s="4" t="inlineStr">
        <is>
          <t>Bellón · Ferretería Cima</t>
        </is>
      </c>
      <c r="AF1453" s="4" t="inlineStr">
        <is>
          <t>tipo: adaptador-hembra · material: PVC · medida: 1/2"</t>
        </is>
      </c>
    </row>
    <row r="1454">
      <c r="A1454" s="3" t="inlineStr">
        <is>
          <t>MAT-32-097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Adaptador hembra de PVC 1"</t>
        </is>
      </c>
      <c r="E1454" s="4" t="inlineStr"/>
      <c r="F1454" s="3" t="inlineStr">
        <is>
          <t>unidad</t>
        </is>
      </c>
      <c r="G1454" s="3" t="inlineStr">
        <is>
          <t>Instalaciones</t>
        </is>
      </c>
      <c r="H1454" s="3" t="inlineStr">
        <is>
          <t>estandar</t>
        </is>
      </c>
      <c r="I1454" s="3" t="inlineStr">
        <is>
          <t>importado</t>
        </is>
      </c>
      <c r="J1454" s="5" t="n">
        <v>2</v>
      </c>
      <c r="K1454" s="6" t="n">
        <v>23.63</v>
      </c>
      <c r="L1454" s="6" t="n">
        <v>11.28</v>
      </c>
      <c r="M1454" s="6" t="n">
        <v>45</v>
      </c>
      <c r="N1454" s="3" t="inlineStr">
        <is>
          <t>Sí</t>
        </is>
      </c>
      <c r="O1454" s="6">
        <f>IF(K1454="","",IF(N1454="Sí",ROUND(K1454/1.18,2),K1454))</f>
        <v/>
      </c>
      <c r="P1454" s="3" t="inlineStr">
        <is>
          <t>2026-09-10</t>
        </is>
      </c>
      <c r="Q1454" s="4" t="inlineStr">
        <is>
          <t>Bellón · Ferretería Cima</t>
        </is>
      </c>
      <c r="AF1454" s="4" t="inlineStr">
        <is>
          <t>tipo: adaptador-hembra · material: PVC · medida: 1"</t>
        </is>
      </c>
    </row>
    <row r="1455">
      <c r="A1455" s="3" t="inlineStr">
        <is>
          <t>MAT-32-098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Adaptador hembra de PVC 2"</t>
        </is>
      </c>
      <c r="E1455" s="4" t="inlineStr"/>
      <c r="F1455" s="3" t="inlineStr">
        <is>
          <t>unidad</t>
        </is>
      </c>
      <c r="G1455" s="3" t="inlineStr">
        <is>
          <t>Instalaciones</t>
        </is>
      </c>
      <c r="H1455" s="3" t="inlineStr">
        <is>
          <t>estandar</t>
        </is>
      </c>
      <c r="I1455" s="3" t="inlineStr">
        <is>
          <t>importado</t>
        </is>
      </c>
      <c r="J1455" s="5" t="n">
        <v>2</v>
      </c>
      <c r="K1455" s="6" t="n">
        <v>67.28</v>
      </c>
      <c r="L1455" s="6" t="n">
        <v>27.15</v>
      </c>
      <c r="M1455" s="6" t="n">
        <v>130</v>
      </c>
      <c r="N1455" s="3" t="inlineStr">
        <is>
          <t>Sí</t>
        </is>
      </c>
      <c r="O1455" s="6">
        <f>IF(K1455="","",IF(N1455="Sí",ROUND(K1455/1.18,2),K1455))</f>
        <v/>
      </c>
      <c r="P1455" s="3" t="inlineStr">
        <is>
          <t>2026-09-10</t>
        </is>
      </c>
      <c r="Q1455" s="4" t="inlineStr">
        <is>
          <t>Bellón · Ferretería Cima</t>
        </is>
      </c>
      <c r="AF1455" s="4" t="inlineStr">
        <is>
          <t>tipo: adaptador-hembra · material: PVC · medida: 2"</t>
        </is>
      </c>
    </row>
    <row r="1456">
      <c r="A1456" s="3" t="inlineStr">
        <is>
          <t>MAT-32-099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Adaptador hembra de PVC 3/4"</t>
        </is>
      </c>
      <c r="E1456" s="4" t="inlineStr"/>
      <c r="F1456" s="3" t="inlineStr">
        <is>
          <t>unidad</t>
        </is>
      </c>
      <c r="G1456" s="3" t="inlineStr">
        <is>
          <t>Instalaciones</t>
        </is>
      </c>
      <c r="H1456" s="3" t="inlineStr">
        <is>
          <t>estandar</t>
        </is>
      </c>
      <c r="I1456" s="3" t="inlineStr">
        <is>
          <t>importado</t>
        </is>
      </c>
      <c r="J1456" s="5" t="n">
        <v>2</v>
      </c>
      <c r="K1456" s="6" t="n">
        <v>25.11</v>
      </c>
      <c r="L1456" s="6" t="n">
        <v>6.78</v>
      </c>
      <c r="M1456" s="6" t="n">
        <v>29.4</v>
      </c>
      <c r="N1456" s="3" t="inlineStr">
        <is>
          <t>Sí</t>
        </is>
      </c>
      <c r="O1456" s="6">
        <f>IF(K1456="","",IF(N1456="Sí",ROUND(K1456/1.18,2),K1456))</f>
        <v/>
      </c>
      <c r="P1456" s="3" t="inlineStr">
        <is>
          <t>2026-09-10</t>
        </is>
      </c>
      <c r="Q1456" s="4" t="inlineStr">
        <is>
          <t>Bellón · Ferretería Cima</t>
        </is>
      </c>
      <c r="AF1456" s="4" t="inlineStr">
        <is>
          <t>tipo: adaptador-hembra · material: PVC · medida: 3/4"</t>
        </is>
      </c>
    </row>
    <row r="1457">
      <c r="A1457" s="3" t="inlineStr">
        <is>
          <t>MAT-32-100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hembra de PVC 3"</t>
        </is>
      </c>
      <c r="E1457" s="4" t="inlineStr"/>
      <c r="F1457" s="3" t="inlineStr">
        <is>
          <t>unidad</t>
        </is>
      </c>
      <c r="G1457" s="3" t="inlineStr">
        <is>
          <t>Instalaciones</t>
        </is>
      </c>
      <c r="H1457" s="3" t="inlineStr">
        <is>
          <t>estandar</t>
        </is>
      </c>
      <c r="I1457" s="3" t="inlineStr">
        <is>
          <t>importado</t>
        </is>
      </c>
      <c r="J1457" s="5" t="n">
        <v>2</v>
      </c>
      <c r="K1457" s="6" t="n">
        <v>81.23</v>
      </c>
      <c r="L1457" s="6" t="n">
        <v>70.8</v>
      </c>
      <c r="M1457" s="6" t="n">
        <v>177</v>
      </c>
      <c r="N1457" s="3" t="inlineStr">
        <is>
          <t>Sí</t>
        </is>
      </c>
      <c r="O1457" s="6">
        <f>IF(K1457="","",IF(N1457="Sí",ROUND(K1457/1.18,2),K1457))</f>
        <v/>
      </c>
      <c r="P1457" s="3" t="inlineStr">
        <is>
          <t>2026-09-10</t>
        </is>
      </c>
      <c r="Q1457" s="4" t="inlineStr">
        <is>
          <t>Bellón · Ferretería Cima</t>
        </is>
      </c>
      <c r="AF1457" s="4" t="inlineStr">
        <is>
          <t>tipo: adaptador-hembra · material: PVC · medida: 3"</t>
        </is>
      </c>
    </row>
    <row r="1458">
      <c r="A1458" s="3" t="inlineStr">
        <is>
          <t>MAT-32-101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hembra de PVC 4"</t>
        </is>
      </c>
      <c r="E1458" s="4" t="inlineStr"/>
      <c r="F1458" s="3" t="inlineStr">
        <is>
          <t>unidad</t>
        </is>
      </c>
      <c r="G1458" s="3" t="inlineStr">
        <is>
          <t>Instalaciones</t>
        </is>
      </c>
      <c r="H1458" s="3" t="inlineStr">
        <is>
          <t>estandar</t>
        </is>
      </c>
      <c r="I1458" s="3" t="inlineStr">
        <is>
          <t>importado</t>
        </is>
      </c>
      <c r="J1458" s="5" t="n">
        <v>2</v>
      </c>
      <c r="K1458" s="6" t="n">
        <v>128.31</v>
      </c>
      <c r="L1458" s="6" t="n">
        <v>94</v>
      </c>
      <c r="M1458" s="6" t="n">
        <v>172</v>
      </c>
      <c r="N1458" s="3" t="inlineStr">
        <is>
          <t>Sí</t>
        </is>
      </c>
      <c r="O1458" s="6">
        <f>IF(K1458="","",IF(N1458="Sí",ROUND(K1458/1.18,2),K1458))</f>
        <v/>
      </c>
      <c r="P1458" s="3" t="inlineStr">
        <is>
          <t>2026-09-10</t>
        </is>
      </c>
      <c r="Q1458" s="4" t="inlineStr">
        <is>
          <t>Bellón · Ferretería Cima</t>
        </is>
      </c>
      <c r="AF1458" s="4" t="inlineStr">
        <is>
          <t>tipo: adaptador-hembra · material: PVC · medida: 4"</t>
        </is>
      </c>
    </row>
    <row r="1459">
      <c r="A1459" s="3" t="inlineStr">
        <is>
          <t>MAT-32-102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hembra de PVC 6"</t>
        </is>
      </c>
      <c r="E1459" s="4" t="inlineStr"/>
      <c r="F1459" s="3" t="inlineStr">
        <is>
          <t>unidad</t>
        </is>
      </c>
      <c r="G1459" s="3" t="inlineStr">
        <is>
          <t>Instalaciones</t>
        </is>
      </c>
      <c r="H1459" s="3" t="inlineStr">
        <is>
          <t>estandar</t>
        </is>
      </c>
      <c r="I1459" s="3" t="inlineStr">
        <is>
          <t>importado</t>
        </is>
      </c>
      <c r="J1459" s="5" t="n">
        <v>1</v>
      </c>
      <c r="K1459" s="6" t="n">
        <v>790</v>
      </c>
      <c r="L1459" s="6" t="n">
        <v>790</v>
      </c>
      <c r="M1459" s="6" t="n">
        <v>790</v>
      </c>
      <c r="N1459" s="3" t="inlineStr">
        <is>
          <t>Sí</t>
        </is>
      </c>
      <c r="O1459" s="6">
        <f>IF(K1459="","",IF(N1459="Sí",ROUND(K1459/1.18,2),K1459))</f>
        <v/>
      </c>
      <c r="P1459" s="3" t="inlineStr">
        <is>
          <t>2026-09-10</t>
        </is>
      </c>
      <c r="Q1459" s="4" t="inlineStr">
        <is>
          <t>Bellón</t>
        </is>
      </c>
      <c r="AF1459" s="4" t="inlineStr">
        <is>
          <t>tipo: adaptador-hembra · material: PVC · medida: 6"</t>
        </is>
      </c>
    </row>
    <row r="1460">
      <c r="A1460" s="3" t="inlineStr">
        <is>
          <t>MAT-32-103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macho de bronce 0.31" x 3/8"</t>
        </is>
      </c>
      <c r="E1460" s="4" t="inlineStr"/>
      <c r="F1460" s="3" t="inlineStr">
        <is>
          <t>unidad</t>
        </is>
      </c>
      <c r="G1460" s="3" t="inlineStr">
        <is>
          <t>Instalaciones</t>
        </is>
      </c>
      <c r="H1460" s="3" t="inlineStr">
        <is>
          <t>estandar</t>
        </is>
      </c>
      <c r="I1460" s="3" t="inlineStr">
        <is>
          <t>importado</t>
        </is>
      </c>
      <c r="J1460" s="5" t="n">
        <v>1</v>
      </c>
      <c r="K1460" s="6" t="n">
        <v>88</v>
      </c>
      <c r="L1460" s="6" t="n">
        <v>88</v>
      </c>
      <c r="M1460" s="6" t="n">
        <v>88</v>
      </c>
      <c r="N1460" s="3" t="inlineStr">
        <is>
          <t>Sí</t>
        </is>
      </c>
      <c r="O1460" s="6">
        <f>IF(K1460="","",IF(N1460="Sí",ROUND(K1460/1.18,2),K1460))</f>
        <v/>
      </c>
      <c r="P1460" s="3" t="inlineStr">
        <is>
          <t>2026-09-10</t>
        </is>
      </c>
      <c r="Q1460" s="4" t="inlineStr">
        <is>
          <t>Bellón</t>
        </is>
      </c>
      <c r="AF1460" s="4" t="inlineStr">
        <is>
          <t>tipo: adaptador-macho · material: bronce · medida: 0.31" x 3/8"</t>
        </is>
      </c>
    </row>
    <row r="1461">
      <c r="A1461" s="3" t="inlineStr">
        <is>
          <t>MAT-32-104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macho de bronce 1/2" x 1/2"</t>
        </is>
      </c>
      <c r="E1461" s="4" t="inlineStr"/>
      <c r="F1461" s="3" t="inlineStr">
        <is>
          <t>unidad</t>
        </is>
      </c>
      <c r="G1461" s="3" t="inlineStr">
        <is>
          <t>Instalaciones</t>
        </is>
      </c>
      <c r="H1461" s="3" t="inlineStr">
        <is>
          <t>estandar</t>
        </is>
      </c>
      <c r="I1461" s="3" t="inlineStr">
        <is>
          <t>importado</t>
        </is>
      </c>
      <c r="J1461" s="5" t="n">
        <v>1</v>
      </c>
      <c r="K1461" s="6" t="n">
        <v>154</v>
      </c>
      <c r="L1461" s="6" t="n">
        <v>111</v>
      </c>
      <c r="M1461" s="6" t="n">
        <v>200</v>
      </c>
      <c r="N1461" s="3" t="inlineStr">
        <is>
          <t>Sí</t>
        </is>
      </c>
      <c r="O1461" s="6">
        <f>IF(K1461="","",IF(N1461="Sí",ROUND(K1461/1.18,2),K1461))</f>
        <v/>
      </c>
      <c r="P1461" s="3" t="inlineStr">
        <is>
          <t>2026-09-10</t>
        </is>
      </c>
      <c r="Q1461" s="4" t="inlineStr">
        <is>
          <t>Bellón</t>
        </is>
      </c>
      <c r="AF1461" s="4" t="inlineStr">
        <is>
          <t>tipo: adaptador-macho · material: bronce · medida: 1/2" x 1/2"</t>
        </is>
      </c>
    </row>
    <row r="1462">
      <c r="A1462" s="3" t="inlineStr">
        <is>
          <t>MAT-32-105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macho de bronce 1/2" x 3/4"</t>
        </is>
      </c>
      <c r="E1462" s="4" t="inlineStr"/>
      <c r="F1462" s="3" t="inlineStr">
        <is>
          <t>unidad</t>
        </is>
      </c>
      <c r="G1462" s="3" t="inlineStr">
        <is>
          <t>Instalaciones</t>
        </is>
      </c>
      <c r="H1462" s="3" t="inlineStr">
        <is>
          <t>estandar</t>
        </is>
      </c>
      <c r="I1462" s="3" t="inlineStr">
        <is>
          <t>importado</t>
        </is>
      </c>
      <c r="J1462" s="5" t="n">
        <v>1</v>
      </c>
      <c r="K1462" s="6" t="n">
        <v>196</v>
      </c>
      <c r="L1462" s="6" t="n">
        <v>196</v>
      </c>
      <c r="M1462" s="6" t="n">
        <v>196</v>
      </c>
      <c r="N1462" s="3" t="inlineStr">
        <is>
          <t>Sí</t>
        </is>
      </c>
      <c r="O1462" s="6">
        <f>IF(K1462="","",IF(N1462="Sí",ROUND(K1462/1.18,2),K1462))</f>
        <v/>
      </c>
      <c r="P1462" s="3" t="inlineStr">
        <is>
          <t>2026-09-10</t>
        </is>
      </c>
      <c r="Q1462" s="4" t="inlineStr">
        <is>
          <t>Bellón</t>
        </is>
      </c>
      <c r="AF1462" s="4" t="inlineStr">
        <is>
          <t>tipo: adaptador-macho · material: bronce · medida: 1/2" x 3/4"</t>
        </is>
      </c>
    </row>
    <row r="1463">
      <c r="A1463" s="3" t="inlineStr">
        <is>
          <t>MAT-32-106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macho de bronce 1/2" x 3/8"</t>
        </is>
      </c>
      <c r="E1463" s="4" t="inlineStr"/>
      <c r="F1463" s="3" t="inlineStr">
        <is>
          <t>unidad</t>
        </is>
      </c>
      <c r="G1463" s="3" t="inlineStr">
        <is>
          <t>Instalaciones</t>
        </is>
      </c>
      <c r="H1463" s="3" t="inlineStr">
        <is>
          <t>estandar</t>
        </is>
      </c>
      <c r="I1463" s="3" t="inlineStr">
        <is>
          <t>importado</t>
        </is>
      </c>
      <c r="J1463" s="5" t="n">
        <v>1</v>
      </c>
      <c r="K1463" s="6" t="n">
        <v>115.5</v>
      </c>
      <c r="L1463" s="6" t="n">
        <v>94</v>
      </c>
      <c r="M1463" s="6" t="n">
        <v>137</v>
      </c>
      <c r="N1463" s="3" t="inlineStr">
        <is>
          <t>Sí</t>
        </is>
      </c>
      <c r="O1463" s="6">
        <f>IF(K1463="","",IF(N1463="Sí",ROUND(K1463/1.18,2),K1463))</f>
        <v/>
      </c>
      <c r="P1463" s="3" t="inlineStr">
        <is>
          <t>2026-09-10</t>
        </is>
      </c>
      <c r="Q1463" s="4" t="inlineStr">
        <is>
          <t>Bellón</t>
        </is>
      </c>
      <c r="AF1463" s="4" t="inlineStr">
        <is>
          <t>tipo: adaptador-macho · material: bronce · medida: 1/2" x 3/8"</t>
        </is>
      </c>
    </row>
    <row r="1464">
      <c r="A1464" s="3" t="inlineStr">
        <is>
          <t>MAT-32-107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macho de bronce 1/4" x 1/2"</t>
        </is>
      </c>
      <c r="E1464" s="4" t="inlineStr"/>
      <c r="F1464" s="3" t="inlineStr">
        <is>
          <t>unidad</t>
        </is>
      </c>
      <c r="G1464" s="3" t="inlineStr">
        <is>
          <t>Instalaciones</t>
        </is>
      </c>
      <c r="H1464" s="3" t="inlineStr">
        <is>
          <t>estandar</t>
        </is>
      </c>
      <c r="I1464" s="3" t="inlineStr">
        <is>
          <t>importado</t>
        </is>
      </c>
      <c r="J1464" s="5" t="n">
        <v>1</v>
      </c>
      <c r="K1464" s="6" t="n">
        <v>120</v>
      </c>
      <c r="L1464" s="6" t="n">
        <v>120</v>
      </c>
      <c r="M1464" s="6" t="n">
        <v>120</v>
      </c>
      <c r="N1464" s="3" t="inlineStr">
        <is>
          <t>Sí</t>
        </is>
      </c>
      <c r="O1464" s="6">
        <f>IF(K1464="","",IF(N1464="Sí",ROUND(K1464/1.18,2),K1464))</f>
        <v/>
      </c>
      <c r="P1464" s="3" t="inlineStr">
        <is>
          <t>2026-09-10</t>
        </is>
      </c>
      <c r="Q1464" s="4" t="inlineStr">
        <is>
          <t>Bellón</t>
        </is>
      </c>
      <c r="AF1464" s="4" t="inlineStr">
        <is>
          <t>tipo: adaptador-macho · material: bronce · medida: 1/4" x 1/2"</t>
        </is>
      </c>
    </row>
    <row r="1465">
      <c r="A1465" s="3" t="inlineStr">
        <is>
          <t>MAT-32-108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macho de bronce 1/4" x 1/4"</t>
        </is>
      </c>
      <c r="E1465" s="4" t="inlineStr"/>
      <c r="F1465" s="3" t="inlineStr">
        <is>
          <t>unidad</t>
        </is>
      </c>
      <c r="G1465" s="3" t="inlineStr">
        <is>
          <t>Instalaciones</t>
        </is>
      </c>
      <c r="H1465" s="3" t="inlineStr">
        <is>
          <t>estandar</t>
        </is>
      </c>
      <c r="I1465" s="3" t="inlineStr">
        <is>
          <t>importado</t>
        </is>
      </c>
      <c r="J1465" s="5" t="n">
        <v>1</v>
      </c>
      <c r="K1465" s="6" t="n">
        <v>75.09</v>
      </c>
      <c r="L1465" s="6" t="n">
        <v>62.17</v>
      </c>
      <c r="M1465" s="6" t="n">
        <v>88</v>
      </c>
      <c r="N1465" s="3" t="inlineStr">
        <is>
          <t>Sí</t>
        </is>
      </c>
      <c r="O1465" s="6">
        <f>IF(K1465="","",IF(N1465="Sí",ROUND(K1465/1.18,2),K1465))</f>
        <v/>
      </c>
      <c r="P1465" s="3" t="inlineStr">
        <is>
          <t>2026-09-10</t>
        </is>
      </c>
      <c r="Q1465" s="4" t="inlineStr">
        <is>
          <t>Bellón</t>
        </is>
      </c>
      <c r="AF1465" s="4" t="inlineStr">
        <is>
          <t>tipo: adaptador-macho · material: bronce · medida: 1/4" x 1/4"</t>
        </is>
      </c>
    </row>
    <row r="1466">
      <c r="A1466" s="3" t="inlineStr">
        <is>
          <t>MAT-32-109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macho de bronce 1/4" x 1/8"</t>
        </is>
      </c>
      <c r="E1466" s="4" t="inlineStr"/>
      <c r="F1466" s="3" t="inlineStr">
        <is>
          <t>unidad</t>
        </is>
      </c>
      <c r="G1466" s="3" t="inlineStr">
        <is>
          <t>Instalaciones</t>
        </is>
      </c>
      <c r="H1466" s="3" t="inlineStr">
        <is>
          <t>estandar</t>
        </is>
      </c>
      <c r="I1466" s="3" t="inlineStr">
        <is>
          <t>importado</t>
        </is>
      </c>
      <c r="J1466" s="5" t="n">
        <v>1</v>
      </c>
      <c r="K1466" s="6" t="n">
        <v>51.5</v>
      </c>
      <c r="L1466" s="6" t="n">
        <v>43</v>
      </c>
      <c r="M1466" s="6" t="n">
        <v>60</v>
      </c>
      <c r="N1466" s="3" t="inlineStr">
        <is>
          <t>Sí</t>
        </is>
      </c>
      <c r="O1466" s="6">
        <f>IF(K1466="","",IF(N1466="Sí",ROUND(K1466/1.18,2),K1466))</f>
        <v/>
      </c>
      <c r="P1466" s="3" t="inlineStr">
        <is>
          <t>2026-09-10</t>
        </is>
      </c>
      <c r="Q1466" s="4" t="inlineStr">
        <is>
          <t>Bellón</t>
        </is>
      </c>
      <c r="AF1466" s="4" t="inlineStr">
        <is>
          <t>tipo: adaptador-macho · material: bronce · medida: 1/4" x 1/8"</t>
        </is>
      </c>
    </row>
    <row r="1467">
      <c r="A1467" s="3" t="inlineStr">
        <is>
          <t>MAT-32-110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macho de bronce 1/4" x 3/8"</t>
        </is>
      </c>
      <c r="E1467" s="4" t="inlineStr"/>
      <c r="F1467" s="3" t="inlineStr">
        <is>
          <t>unidad</t>
        </is>
      </c>
      <c r="G1467" s="3" t="inlineStr">
        <is>
          <t>Instalaciones</t>
        </is>
      </c>
      <c r="H1467" s="3" t="inlineStr">
        <is>
          <t>estandar</t>
        </is>
      </c>
      <c r="I1467" s="3" t="inlineStr">
        <is>
          <t>importado</t>
        </is>
      </c>
      <c r="J1467" s="5" t="n">
        <v>1</v>
      </c>
      <c r="K1467" s="6" t="n">
        <v>81</v>
      </c>
      <c r="L1467" s="6" t="n">
        <v>81</v>
      </c>
      <c r="M1467" s="6" t="n">
        <v>81</v>
      </c>
      <c r="N1467" s="3" t="inlineStr">
        <is>
          <t>Sí</t>
        </is>
      </c>
      <c r="O1467" s="6">
        <f>IF(K1467="","",IF(N1467="Sí",ROUND(K1467/1.18,2),K1467))</f>
        <v/>
      </c>
      <c r="P1467" s="3" t="inlineStr">
        <is>
          <t>2026-09-10</t>
        </is>
      </c>
      <c r="Q1467" s="4" t="inlineStr">
        <is>
          <t>Bellón</t>
        </is>
      </c>
      <c r="AF1467" s="4" t="inlineStr">
        <is>
          <t>tipo: adaptador-macho · material: bronce · medida: 1/4" x 3/8"</t>
        </is>
      </c>
    </row>
    <row r="1468">
      <c r="A1468" s="3" t="inlineStr">
        <is>
          <t>MAT-32-111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macho de bronce 12" x 1/2"</t>
        </is>
      </c>
      <c r="E1468" s="4" t="inlineStr"/>
      <c r="F1468" s="3" t="inlineStr">
        <is>
          <t>unidad</t>
        </is>
      </c>
      <c r="G1468" s="3" t="inlineStr">
        <is>
          <t>Instalaciones</t>
        </is>
      </c>
      <c r="H1468" s="3" t="inlineStr">
        <is>
          <t>estandar</t>
        </is>
      </c>
      <c r="I1468" s="3" t="inlineStr">
        <is>
          <t>importado</t>
        </is>
      </c>
      <c r="J1468" s="5" t="n">
        <v>1</v>
      </c>
      <c r="K1468" s="6" t="n">
        <v>232</v>
      </c>
      <c r="L1468" s="6" t="n">
        <v>232</v>
      </c>
      <c r="M1468" s="6" t="n">
        <v>232</v>
      </c>
      <c r="N1468" s="3" t="inlineStr">
        <is>
          <t>Sí</t>
        </is>
      </c>
      <c r="O1468" s="6">
        <f>IF(K1468="","",IF(N1468="Sí",ROUND(K1468/1.18,2),K1468))</f>
        <v/>
      </c>
      <c r="P1468" s="3" t="inlineStr">
        <is>
          <t>2026-09-10</t>
        </is>
      </c>
      <c r="Q1468" s="4" t="inlineStr">
        <is>
          <t>Bellón</t>
        </is>
      </c>
      <c r="AF1468" s="4" t="inlineStr">
        <is>
          <t>tipo: adaptador-macho · material: bronce · medida: 12" x 1/2"</t>
        </is>
      </c>
    </row>
    <row r="1469">
      <c r="A1469" s="3" t="inlineStr">
        <is>
          <t>MAT-32-112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macho de bronce 12" x 3/8"</t>
        </is>
      </c>
      <c r="E1469" s="4" t="inlineStr"/>
      <c r="F1469" s="3" t="inlineStr">
        <is>
          <t>unidad</t>
        </is>
      </c>
      <c r="G1469" s="3" t="inlineStr">
        <is>
          <t>Instalaciones</t>
        </is>
      </c>
      <c r="H1469" s="3" t="inlineStr">
        <is>
          <t>estandar</t>
        </is>
      </c>
      <c r="I1469" s="3" t="inlineStr">
        <is>
          <t>importado</t>
        </is>
      </c>
      <c r="J1469" s="5" t="n">
        <v>1</v>
      </c>
      <c r="K1469" s="6" t="n">
        <v>326</v>
      </c>
      <c r="L1469" s="6" t="n">
        <v>326</v>
      </c>
      <c r="M1469" s="6" t="n">
        <v>326</v>
      </c>
      <c r="N1469" s="3" t="inlineStr">
        <is>
          <t>Sí</t>
        </is>
      </c>
      <c r="O1469" s="6">
        <f>IF(K1469="","",IF(N1469="Sí",ROUND(K1469/1.18,2),K1469))</f>
        <v/>
      </c>
      <c r="P1469" s="3" t="inlineStr">
        <is>
          <t>2026-09-10</t>
        </is>
      </c>
      <c r="Q1469" s="4" t="inlineStr">
        <is>
          <t>Bellón</t>
        </is>
      </c>
      <c r="AF1469" s="4" t="inlineStr">
        <is>
          <t>tipo: adaptador-macho · material: bronce · medida: 12" x 3/8"</t>
        </is>
      </c>
    </row>
    <row r="1470">
      <c r="A1470" s="3" t="inlineStr">
        <is>
          <t>MAT-32-113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macho de bronce 15" x 1/2"</t>
        </is>
      </c>
      <c r="E1470" s="4" t="inlineStr"/>
      <c r="F1470" s="3" t="inlineStr">
        <is>
          <t>unidad</t>
        </is>
      </c>
      <c r="G1470" s="3" t="inlineStr">
        <is>
          <t>Instalaciones</t>
        </is>
      </c>
      <c r="H1470" s="3" t="inlineStr">
        <is>
          <t>estandar</t>
        </is>
      </c>
      <c r="I1470" s="3" t="inlineStr">
        <is>
          <t>importado</t>
        </is>
      </c>
      <c r="J1470" s="5" t="n">
        <v>1</v>
      </c>
      <c r="K1470" s="6" t="n">
        <v>205</v>
      </c>
      <c r="L1470" s="6" t="n">
        <v>205</v>
      </c>
      <c r="M1470" s="6" t="n">
        <v>205</v>
      </c>
      <c r="N1470" s="3" t="inlineStr">
        <is>
          <t>Sí</t>
        </is>
      </c>
      <c r="O1470" s="6">
        <f>IF(K1470="","",IF(N1470="Sí",ROUND(K1470/1.18,2),K1470))</f>
        <v/>
      </c>
      <c r="P1470" s="3" t="inlineStr">
        <is>
          <t>2026-09-10</t>
        </is>
      </c>
      <c r="Q1470" s="4" t="inlineStr">
        <is>
          <t>Bellón</t>
        </is>
      </c>
      <c r="AF1470" s="4" t="inlineStr">
        <is>
          <t>tipo: adaptador-macho · material: bronce · medida: 15" x 1/2"</t>
        </is>
      </c>
    </row>
    <row r="1471">
      <c r="A1471" s="3" t="inlineStr">
        <is>
          <t>MAT-32-114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macho de bronce 15" x 3/4"</t>
        </is>
      </c>
      <c r="E1471" s="4" t="inlineStr"/>
      <c r="F1471" s="3" t="inlineStr">
        <is>
          <t>unidad</t>
        </is>
      </c>
      <c r="G1471" s="3" t="inlineStr">
        <is>
          <t>Instalaciones</t>
        </is>
      </c>
      <c r="H1471" s="3" t="inlineStr">
        <is>
          <t>estandar</t>
        </is>
      </c>
      <c r="I1471" s="3" t="inlineStr">
        <is>
          <t>importado</t>
        </is>
      </c>
      <c r="J1471" s="5" t="n">
        <v>1</v>
      </c>
      <c r="K1471" s="6" t="n">
        <v>377</v>
      </c>
      <c r="L1471" s="6" t="n">
        <v>377</v>
      </c>
      <c r="M1471" s="6" t="n">
        <v>377</v>
      </c>
      <c r="N1471" s="3" t="inlineStr">
        <is>
          <t>Sí</t>
        </is>
      </c>
      <c r="O1471" s="6">
        <f>IF(K1471="","",IF(N1471="Sí",ROUND(K1471/1.18,2),K1471))</f>
        <v/>
      </c>
      <c r="P1471" s="3" t="inlineStr">
        <is>
          <t>2026-09-10</t>
        </is>
      </c>
      <c r="Q1471" s="4" t="inlineStr">
        <is>
          <t>Bellón</t>
        </is>
      </c>
      <c r="AF1471" s="4" t="inlineStr">
        <is>
          <t>tipo: adaptador-macho · material: bronce · medida: 15" x 3/4"</t>
        </is>
      </c>
    </row>
    <row r="1472">
      <c r="A1472" s="3" t="inlineStr">
        <is>
          <t>MAT-32-115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macho de bronce 15" x 3/8"</t>
        </is>
      </c>
      <c r="E1472" s="4" t="inlineStr"/>
      <c r="F1472" s="3" t="inlineStr">
        <is>
          <t>unidad</t>
        </is>
      </c>
      <c r="G1472" s="3" t="inlineStr">
        <is>
          <t>Instalaciones</t>
        </is>
      </c>
      <c r="H1472" s="3" t="inlineStr">
        <is>
          <t>estandar</t>
        </is>
      </c>
      <c r="I1472" s="3" t="inlineStr">
        <is>
          <t>importado</t>
        </is>
      </c>
      <c r="J1472" s="5" t="n">
        <v>1</v>
      </c>
      <c r="K1472" s="6" t="n">
        <v>309</v>
      </c>
      <c r="L1472" s="6" t="n">
        <v>309</v>
      </c>
      <c r="M1472" s="6" t="n">
        <v>309</v>
      </c>
      <c r="N1472" s="3" t="inlineStr">
        <is>
          <t>Sí</t>
        </is>
      </c>
      <c r="O1472" s="6">
        <f>IF(K1472="","",IF(N1472="Sí",ROUND(K1472/1.18,2),K1472))</f>
        <v/>
      </c>
      <c r="P1472" s="3" t="inlineStr">
        <is>
          <t>2026-09-10</t>
        </is>
      </c>
      <c r="Q1472" s="4" t="inlineStr">
        <is>
          <t>Bellón</t>
        </is>
      </c>
      <c r="AF1472" s="4" t="inlineStr">
        <is>
          <t>tipo: adaptador-macho · material: bronce · medida: 15" x 3/8"</t>
        </is>
      </c>
    </row>
    <row r="1473">
      <c r="A1473" s="3" t="inlineStr">
        <is>
          <t>MAT-32-116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macho de bronce 18" x 1/2"</t>
        </is>
      </c>
      <c r="E1473" s="4" t="inlineStr"/>
      <c r="F1473" s="3" t="inlineStr">
        <is>
          <t>unidad</t>
        </is>
      </c>
      <c r="G1473" s="3" t="inlineStr">
        <is>
          <t>Instalaciones</t>
        </is>
      </c>
      <c r="H1473" s="3" t="inlineStr">
        <is>
          <t>estandar</t>
        </is>
      </c>
      <c r="I1473" s="3" t="inlineStr">
        <is>
          <t>importado</t>
        </is>
      </c>
      <c r="J1473" s="5" t="n">
        <v>1</v>
      </c>
      <c r="K1473" s="6" t="n">
        <v>232</v>
      </c>
      <c r="L1473" s="6" t="n">
        <v>232</v>
      </c>
      <c r="M1473" s="6" t="n">
        <v>232</v>
      </c>
      <c r="N1473" s="3" t="inlineStr">
        <is>
          <t>Sí</t>
        </is>
      </c>
      <c r="O1473" s="6">
        <f>IF(K1473="","",IF(N1473="Sí",ROUND(K1473/1.18,2),K1473))</f>
        <v/>
      </c>
      <c r="P1473" s="3" t="inlineStr">
        <is>
          <t>2026-09-10</t>
        </is>
      </c>
      <c r="Q1473" s="4" t="inlineStr">
        <is>
          <t>Bellón</t>
        </is>
      </c>
      <c r="AF1473" s="4" t="inlineStr">
        <is>
          <t>tipo: adaptador-macho · material: bronce · medida: 18" x 1/2"</t>
        </is>
      </c>
    </row>
    <row r="1474">
      <c r="A1474" s="3" t="inlineStr">
        <is>
          <t>MAT-32-117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macho de bronce 18" x 3/4"</t>
        </is>
      </c>
      <c r="E1474" s="4" t="inlineStr"/>
      <c r="F1474" s="3" t="inlineStr">
        <is>
          <t>unidad</t>
        </is>
      </c>
      <c r="G1474" s="3" t="inlineStr">
        <is>
          <t>Instalaciones</t>
        </is>
      </c>
      <c r="H1474" s="3" t="inlineStr">
        <is>
          <t>estandar</t>
        </is>
      </c>
      <c r="I1474" s="3" t="inlineStr">
        <is>
          <t>importado</t>
        </is>
      </c>
      <c r="J1474" s="5" t="n">
        <v>1</v>
      </c>
      <c r="K1474" s="6" t="n">
        <v>315</v>
      </c>
      <c r="L1474" s="6" t="n">
        <v>315</v>
      </c>
      <c r="M1474" s="6" t="n">
        <v>315</v>
      </c>
      <c r="N1474" s="3" t="inlineStr">
        <is>
          <t>Sí</t>
        </is>
      </c>
      <c r="O1474" s="6">
        <f>IF(K1474="","",IF(N1474="Sí",ROUND(K1474/1.18,2),K1474))</f>
        <v/>
      </c>
      <c r="P1474" s="3" t="inlineStr">
        <is>
          <t>2026-09-10</t>
        </is>
      </c>
      <c r="Q1474" s="4" t="inlineStr">
        <is>
          <t>Bellón</t>
        </is>
      </c>
      <c r="AF1474" s="4" t="inlineStr">
        <is>
          <t>tipo: adaptador-macho · material: bronce · medida: 18" x 3/4"</t>
        </is>
      </c>
    </row>
    <row r="1475">
      <c r="A1475" s="3" t="inlineStr">
        <is>
          <t>MAT-32-118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macho de bronce 25" x 3/4"</t>
        </is>
      </c>
      <c r="E1475" s="4" t="inlineStr"/>
      <c r="F1475" s="3" t="inlineStr">
        <is>
          <t>unidad</t>
        </is>
      </c>
      <c r="G1475" s="3" t="inlineStr">
        <is>
          <t>Instalaciones</t>
        </is>
      </c>
      <c r="H1475" s="3" t="inlineStr">
        <is>
          <t>estandar</t>
        </is>
      </c>
      <c r="I1475" s="3" t="inlineStr">
        <is>
          <t>importado</t>
        </is>
      </c>
      <c r="J1475" s="5" t="n">
        <v>1</v>
      </c>
      <c r="K1475" s="6" t="n">
        <v>390</v>
      </c>
      <c r="L1475" s="6" t="n">
        <v>390</v>
      </c>
      <c r="M1475" s="6" t="n">
        <v>390</v>
      </c>
      <c r="N1475" s="3" t="inlineStr">
        <is>
          <t>Sí</t>
        </is>
      </c>
      <c r="O1475" s="6">
        <f>IF(K1475="","",IF(N1475="Sí",ROUND(K1475/1.18,2),K1475))</f>
        <v/>
      </c>
      <c r="P1475" s="3" t="inlineStr">
        <is>
          <t>2026-09-10</t>
        </is>
      </c>
      <c r="Q1475" s="4" t="inlineStr">
        <is>
          <t>Bellón</t>
        </is>
      </c>
      <c r="AF1475" s="4" t="inlineStr">
        <is>
          <t>tipo: adaptador-macho · material: bronce · medida: 25" x 3/4"</t>
        </is>
      </c>
    </row>
    <row r="1476">
      <c r="A1476" s="3" t="inlineStr">
        <is>
          <t>MAT-32-119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macho de bronce 3/8" x 1/2"</t>
        </is>
      </c>
      <c r="E1476" s="4" t="inlineStr"/>
      <c r="F1476" s="3" t="inlineStr">
        <is>
          <t>unidad</t>
        </is>
      </c>
      <c r="G1476" s="3" t="inlineStr">
        <is>
          <t>Instalaciones</t>
        </is>
      </c>
      <c r="H1476" s="3" t="inlineStr">
        <is>
          <t>estandar</t>
        </is>
      </c>
      <c r="I1476" s="3" t="inlineStr">
        <is>
          <t>importado</t>
        </is>
      </c>
      <c r="J1476" s="5" t="n">
        <v>1</v>
      </c>
      <c r="K1476" s="6" t="n">
        <v>149</v>
      </c>
      <c r="L1476" s="6" t="n">
        <v>149</v>
      </c>
      <c r="M1476" s="6" t="n">
        <v>149</v>
      </c>
      <c r="N1476" s="3" t="inlineStr">
        <is>
          <t>Sí</t>
        </is>
      </c>
      <c r="O1476" s="6">
        <f>IF(K1476="","",IF(N1476="Sí",ROUND(K1476/1.18,2),K1476))</f>
        <v/>
      </c>
      <c r="P1476" s="3" t="inlineStr">
        <is>
          <t>2026-09-10</t>
        </is>
      </c>
      <c r="Q1476" s="4" t="inlineStr">
        <is>
          <t>Bellón</t>
        </is>
      </c>
      <c r="AF1476" s="4" t="inlineStr">
        <is>
          <t>tipo: adaptador-macho · material: bronce · medida: 3/8" x 1/2"</t>
        </is>
      </c>
    </row>
    <row r="1477">
      <c r="A1477" s="3" t="inlineStr">
        <is>
          <t>MAT-32-120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macho de bronce 3/8" x 3/8"</t>
        </is>
      </c>
      <c r="E1477" s="4" t="inlineStr"/>
      <c r="F1477" s="3" t="inlineStr">
        <is>
          <t>unidad</t>
        </is>
      </c>
      <c r="G1477" s="3" t="inlineStr">
        <is>
          <t>Instalaciones</t>
        </is>
      </c>
      <c r="H1477" s="3" t="inlineStr">
        <is>
          <t>estandar</t>
        </is>
      </c>
      <c r="I1477" s="3" t="inlineStr">
        <is>
          <t>importado</t>
        </is>
      </c>
      <c r="J1477" s="5" t="n">
        <v>1</v>
      </c>
      <c r="K1477" s="6" t="n">
        <v>78</v>
      </c>
      <c r="L1477" s="6" t="n">
        <v>68</v>
      </c>
      <c r="M1477" s="6" t="n">
        <v>88</v>
      </c>
      <c r="N1477" s="3" t="inlineStr">
        <is>
          <t>Sí</t>
        </is>
      </c>
      <c r="O1477" s="6">
        <f>IF(K1477="","",IF(N1477="Sí",ROUND(K1477/1.18,2),K1477))</f>
        <v/>
      </c>
      <c r="P1477" s="3" t="inlineStr">
        <is>
          <t>2026-09-10</t>
        </is>
      </c>
      <c r="Q1477" s="4" t="inlineStr">
        <is>
          <t>Bellón</t>
        </is>
      </c>
      <c r="AF1477" s="4" t="inlineStr">
        <is>
          <t>tipo: adaptador-macho · material: bronce · medida: 3/8" x 3/8"</t>
        </is>
      </c>
    </row>
    <row r="1478">
      <c r="A1478" s="3" t="inlineStr">
        <is>
          <t>MAT-32-121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macho de bronce 32" x 1"</t>
        </is>
      </c>
      <c r="E1478" s="4" t="inlineStr"/>
      <c r="F1478" s="3" t="inlineStr">
        <is>
          <t>unidad</t>
        </is>
      </c>
      <c r="G1478" s="3" t="inlineStr">
        <is>
          <t>Instalaciones</t>
        </is>
      </c>
      <c r="H1478" s="3" t="inlineStr">
        <is>
          <t>estandar</t>
        </is>
      </c>
      <c r="I1478" s="3" t="inlineStr">
        <is>
          <t>importado</t>
        </is>
      </c>
      <c r="J1478" s="5" t="n">
        <v>1</v>
      </c>
      <c r="K1478" s="6" t="n">
        <v>597</v>
      </c>
      <c r="L1478" s="6" t="n">
        <v>597</v>
      </c>
      <c r="M1478" s="6" t="n">
        <v>597</v>
      </c>
      <c r="N1478" s="3" t="inlineStr">
        <is>
          <t>Sí</t>
        </is>
      </c>
      <c r="O1478" s="6">
        <f>IF(K1478="","",IF(N1478="Sí",ROUND(K1478/1.18,2),K1478))</f>
        <v/>
      </c>
      <c r="P1478" s="3" t="inlineStr">
        <is>
          <t>2026-09-10</t>
        </is>
      </c>
      <c r="Q1478" s="4" t="inlineStr">
        <is>
          <t>Bellón</t>
        </is>
      </c>
      <c r="AF1478" s="4" t="inlineStr">
        <is>
          <t>tipo: adaptador-macho · material: bronce · medida: 32" x 1"</t>
        </is>
      </c>
    </row>
    <row r="1479">
      <c r="A1479" s="3" t="inlineStr">
        <is>
          <t>MAT-32-122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macho de bronce 5/8" x 1/2"</t>
        </is>
      </c>
      <c r="E1479" s="4" t="inlineStr"/>
      <c r="F1479" s="3" t="inlineStr">
        <is>
          <t>unidad</t>
        </is>
      </c>
      <c r="G1479" s="3" t="inlineStr">
        <is>
          <t>Instalaciones</t>
        </is>
      </c>
      <c r="H1479" s="3" t="inlineStr">
        <is>
          <t>estandar</t>
        </is>
      </c>
      <c r="I1479" s="3" t="inlineStr">
        <is>
          <t>importado</t>
        </is>
      </c>
      <c r="J1479" s="5" t="n">
        <v>1</v>
      </c>
      <c r="K1479" s="6" t="n">
        <v>152</v>
      </c>
      <c r="L1479" s="6" t="n">
        <v>152</v>
      </c>
      <c r="M1479" s="6" t="n">
        <v>152</v>
      </c>
      <c r="N1479" s="3" t="inlineStr">
        <is>
          <t>Sí</t>
        </is>
      </c>
      <c r="O1479" s="6">
        <f>IF(K1479="","",IF(N1479="Sí",ROUND(K1479/1.18,2),K1479))</f>
        <v/>
      </c>
      <c r="P1479" s="3" t="inlineStr">
        <is>
          <t>2026-09-10</t>
        </is>
      </c>
      <c r="Q1479" s="4" t="inlineStr">
        <is>
          <t>Bellón</t>
        </is>
      </c>
      <c r="AF1479" s="4" t="inlineStr">
        <is>
          <t>tipo: adaptador-macho · material: bronce · medida: 5/8" x 1/2"</t>
        </is>
      </c>
    </row>
    <row r="1480">
      <c r="A1480" s="3" t="inlineStr">
        <is>
          <t>MAT-32-123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macho de cobre 1" x 1 1/8"</t>
        </is>
      </c>
      <c r="E1480" s="4" t="inlineStr"/>
      <c r="F1480" s="3" t="inlineStr">
        <is>
          <t>unidad</t>
        </is>
      </c>
      <c r="G1480" s="3" t="inlineStr">
        <is>
          <t>Instalaciones</t>
        </is>
      </c>
      <c r="H1480" s="3" t="inlineStr">
        <is>
          <t>estandar</t>
        </is>
      </c>
      <c r="I1480" s="3" t="inlineStr">
        <is>
          <t>importado</t>
        </is>
      </c>
      <c r="J1480" s="5" t="n">
        <v>1</v>
      </c>
      <c r="K1480" s="6" t="n">
        <v>119</v>
      </c>
      <c r="L1480" s="6" t="n">
        <v>119</v>
      </c>
      <c r="M1480" s="6" t="n">
        <v>119</v>
      </c>
      <c r="N1480" s="3" t="inlineStr">
        <is>
          <t>Sí</t>
        </is>
      </c>
      <c r="O1480" s="6">
        <f>IF(K1480="","",IF(N1480="Sí",ROUND(K1480/1.18,2),K1480))</f>
        <v/>
      </c>
      <c r="P1480" s="3" t="inlineStr">
        <is>
          <t>2026-09-10</t>
        </is>
      </c>
      <c r="Q1480" s="4" t="inlineStr">
        <is>
          <t>Bellón</t>
        </is>
      </c>
      <c r="AF1480" s="4" t="inlineStr">
        <is>
          <t>tipo: adaptador-macho · material: cobre · medida: 1" x 1 1/8"</t>
        </is>
      </c>
    </row>
    <row r="1481">
      <c r="A1481" s="3" t="inlineStr">
        <is>
          <t>MAT-32-124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macho de CPVC 1/2"</t>
        </is>
      </c>
      <c r="E1481" s="4" t="inlineStr"/>
      <c r="F1481" s="3" t="inlineStr">
        <is>
          <t>unidad</t>
        </is>
      </c>
      <c r="G1481" s="3" t="inlineStr">
        <is>
          <t>Instalaciones</t>
        </is>
      </c>
      <c r="H1481" s="3" t="inlineStr">
        <is>
          <t>estandar</t>
        </is>
      </c>
      <c r="I1481" s="3" t="inlineStr">
        <is>
          <t>importado</t>
        </is>
      </c>
      <c r="J1481" s="5" t="n">
        <v>1</v>
      </c>
      <c r="K1481" s="6" t="n">
        <v>13</v>
      </c>
      <c r="L1481" s="6" t="n">
        <v>13</v>
      </c>
      <c r="M1481" s="6" t="n">
        <v>13</v>
      </c>
      <c r="N1481" s="3" t="inlineStr">
        <is>
          <t>Sí</t>
        </is>
      </c>
      <c r="O1481" s="6">
        <f>IF(K1481="","",IF(N1481="Sí",ROUND(K1481/1.18,2),K1481))</f>
        <v/>
      </c>
      <c r="P1481" s="3" t="inlineStr">
        <is>
          <t>2026-09-10</t>
        </is>
      </c>
      <c r="Q1481" s="4" t="inlineStr">
        <is>
          <t>Bellón</t>
        </is>
      </c>
      <c r="AF1481" s="4" t="inlineStr">
        <is>
          <t>tipo: adaptador-macho · material: CPVC · medida: 1/2"</t>
        </is>
      </c>
    </row>
    <row r="1482">
      <c r="A1482" s="3" t="inlineStr">
        <is>
          <t>MAT-32-125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macho de CPVC 1"</t>
        </is>
      </c>
      <c r="E1482" s="4" t="inlineStr"/>
      <c r="F1482" s="3" t="inlineStr">
        <is>
          <t>unidad</t>
        </is>
      </c>
      <c r="G1482" s="3" t="inlineStr">
        <is>
          <t>Instalaciones</t>
        </is>
      </c>
      <c r="H1482" s="3" t="inlineStr">
        <is>
          <t>estandar</t>
        </is>
      </c>
      <c r="I1482" s="3" t="inlineStr">
        <is>
          <t>importado</t>
        </is>
      </c>
      <c r="J1482" s="5" t="n">
        <v>1</v>
      </c>
      <c r="K1482" s="6" t="n">
        <v>32.71</v>
      </c>
      <c r="L1482" s="6" t="n">
        <v>32.71</v>
      </c>
      <c r="M1482" s="6" t="n">
        <v>32.71</v>
      </c>
      <c r="N1482" s="3" t="inlineStr">
        <is>
          <t>Sí</t>
        </is>
      </c>
      <c r="O1482" s="6">
        <f>IF(K1482="","",IF(N1482="Sí",ROUND(K1482/1.18,2),K1482))</f>
        <v/>
      </c>
      <c r="P1482" s="3" t="inlineStr">
        <is>
          <t>2026-09-10</t>
        </is>
      </c>
      <c r="Q1482" s="4" t="inlineStr">
        <is>
          <t>Bellón</t>
        </is>
      </c>
      <c r="AF1482" s="4" t="inlineStr">
        <is>
          <t>tipo: adaptador-macho · material: CPVC · medida: 1"</t>
        </is>
      </c>
    </row>
    <row r="1483">
      <c r="A1483" s="3" t="inlineStr">
        <is>
          <t>MAT-32-126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macho de CPVC 3/4"</t>
        </is>
      </c>
      <c r="E1483" s="4" t="inlineStr"/>
      <c r="F1483" s="3" t="inlineStr">
        <is>
          <t>unidad</t>
        </is>
      </c>
      <c r="G1483" s="3" t="inlineStr">
        <is>
          <t>Instalaciones</t>
        </is>
      </c>
      <c r="H1483" s="3" t="inlineStr">
        <is>
          <t>estandar</t>
        </is>
      </c>
      <c r="I1483" s="3" t="inlineStr">
        <is>
          <t>importado</t>
        </is>
      </c>
      <c r="J1483" s="5" t="n">
        <v>1</v>
      </c>
      <c r="K1483" s="6" t="n">
        <v>18.22</v>
      </c>
      <c r="L1483" s="6" t="n">
        <v>18.22</v>
      </c>
      <c r="M1483" s="6" t="n">
        <v>18.22</v>
      </c>
      <c r="N1483" s="3" t="inlineStr">
        <is>
          <t>Sí</t>
        </is>
      </c>
      <c r="O1483" s="6">
        <f>IF(K1483="","",IF(N1483="Sí",ROUND(K1483/1.18,2),K1483))</f>
        <v/>
      </c>
      <c r="P1483" s="3" t="inlineStr">
        <is>
          <t>2026-09-10</t>
        </is>
      </c>
      <c r="Q1483" s="4" t="inlineStr">
        <is>
          <t>Bellón</t>
        </is>
      </c>
      <c r="AF1483" s="4" t="inlineStr">
        <is>
          <t>tipo: adaptador-macho · material: CPVC · medida: 3/4"</t>
        </is>
      </c>
    </row>
    <row r="1484">
      <c r="A1484" s="3" t="inlineStr">
        <is>
          <t>MAT-32-127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macho de plástico 1/2"</t>
        </is>
      </c>
      <c r="E1484" s="4" t="inlineStr"/>
      <c r="F1484" s="3" t="inlineStr">
        <is>
          <t>unidad</t>
        </is>
      </c>
      <c r="G1484" s="3" t="inlineStr">
        <is>
          <t>Instalaciones</t>
        </is>
      </c>
      <c r="H1484" s="3" t="inlineStr">
        <is>
          <t>estandar</t>
        </is>
      </c>
      <c r="I1484" s="3" t="inlineStr">
        <is>
          <t>importado</t>
        </is>
      </c>
      <c r="J1484" s="5" t="n">
        <v>1</v>
      </c>
      <c r="K1484" s="6" t="n">
        <v>155</v>
      </c>
      <c r="L1484" s="6" t="n">
        <v>155</v>
      </c>
      <c r="M1484" s="6" t="n">
        <v>155</v>
      </c>
      <c r="N1484" s="3" t="inlineStr">
        <is>
          <t>Sí</t>
        </is>
      </c>
      <c r="O1484" s="6">
        <f>IF(K1484="","",IF(N1484="Sí",ROUND(K1484/1.18,2),K1484))</f>
        <v/>
      </c>
      <c r="P1484" s="3" t="inlineStr">
        <is>
          <t>2026-09-10</t>
        </is>
      </c>
      <c r="Q1484" s="4" t="inlineStr">
        <is>
          <t>Bellón</t>
        </is>
      </c>
      <c r="AF1484" s="4" t="inlineStr">
        <is>
          <t>tipo: adaptador-macho · material: plástico · medida: 1/2"</t>
        </is>
      </c>
    </row>
    <row r="1485">
      <c r="A1485" s="3" t="inlineStr">
        <is>
          <t>MAT-32-128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macho de plástico 1"</t>
        </is>
      </c>
      <c r="E1485" s="4" t="inlineStr"/>
      <c r="F1485" s="3" t="inlineStr">
        <is>
          <t>unidad</t>
        </is>
      </c>
      <c r="G1485" s="3" t="inlineStr">
        <is>
          <t>Instalaciones</t>
        </is>
      </c>
      <c r="H1485" s="3" t="inlineStr">
        <is>
          <t>estandar</t>
        </is>
      </c>
      <c r="I1485" s="3" t="inlineStr">
        <is>
          <t>importado</t>
        </is>
      </c>
      <c r="J1485" s="5" t="n">
        <v>1</v>
      </c>
      <c r="K1485" s="6" t="n">
        <v>190</v>
      </c>
      <c r="L1485" s="6" t="n">
        <v>190</v>
      </c>
      <c r="M1485" s="6" t="n">
        <v>190</v>
      </c>
      <c r="N1485" s="3" t="inlineStr">
        <is>
          <t>Sí</t>
        </is>
      </c>
      <c r="O1485" s="6">
        <f>IF(K1485="","",IF(N1485="Sí",ROUND(K1485/1.18,2),K1485))</f>
        <v/>
      </c>
      <c r="P1485" s="3" t="inlineStr">
        <is>
          <t>2026-09-10</t>
        </is>
      </c>
      <c r="Q1485" s="4" t="inlineStr">
        <is>
          <t>Bellón</t>
        </is>
      </c>
      <c r="AF1485" s="4" t="inlineStr">
        <is>
          <t>tipo: adaptador-macho · material: plástico · medida: 1"</t>
        </is>
      </c>
    </row>
    <row r="1486">
      <c r="A1486" s="3" t="inlineStr">
        <is>
          <t>MAT-32-129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macho de plástico 2"</t>
        </is>
      </c>
      <c r="E1486" s="4" t="inlineStr"/>
      <c r="F1486" s="3" t="inlineStr">
        <is>
          <t>unidad</t>
        </is>
      </c>
      <c r="G1486" s="3" t="inlineStr">
        <is>
          <t>Instalaciones</t>
        </is>
      </c>
      <c r="H1486" s="3" t="inlineStr">
        <is>
          <t>estandar</t>
        </is>
      </c>
      <c r="I1486" s="3" t="inlineStr">
        <is>
          <t>importado</t>
        </is>
      </c>
      <c r="J1486" s="5" t="n">
        <v>1</v>
      </c>
      <c r="K1486" s="6" t="n">
        <v>285</v>
      </c>
      <c r="L1486" s="6" t="n">
        <v>285</v>
      </c>
      <c r="M1486" s="6" t="n">
        <v>285</v>
      </c>
      <c r="N1486" s="3" t="inlineStr">
        <is>
          <t>Sí</t>
        </is>
      </c>
      <c r="O1486" s="6">
        <f>IF(K1486="","",IF(N1486="Sí",ROUND(K1486/1.18,2),K1486))</f>
        <v/>
      </c>
      <c r="P1486" s="3" t="inlineStr">
        <is>
          <t>2026-09-10</t>
        </is>
      </c>
      <c r="Q1486" s="4" t="inlineStr">
        <is>
          <t>Bellón</t>
        </is>
      </c>
      <c r="AF1486" s="4" t="inlineStr">
        <is>
          <t>tipo: adaptador-macho · material: plástico · medida: 2"</t>
        </is>
      </c>
    </row>
    <row r="1487">
      <c r="A1487" s="3" t="inlineStr">
        <is>
          <t>MAT-32-130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macho de plástico 3/4" x 0"</t>
        </is>
      </c>
      <c r="E1487" s="4" t="inlineStr"/>
      <c r="F1487" s="3" t="inlineStr">
        <is>
          <t>unidad</t>
        </is>
      </c>
      <c r="G1487" s="3" t="inlineStr">
        <is>
          <t>Instalaciones</t>
        </is>
      </c>
      <c r="H1487" s="3" t="inlineStr">
        <is>
          <t>estandar</t>
        </is>
      </c>
      <c r="I1487" s="3" t="inlineStr">
        <is>
          <t>importado</t>
        </is>
      </c>
      <c r="J1487" s="5" t="n">
        <v>1</v>
      </c>
      <c r="K1487" s="6" t="n">
        <v>187</v>
      </c>
      <c r="L1487" s="6" t="n">
        <v>187</v>
      </c>
      <c r="M1487" s="6" t="n">
        <v>187</v>
      </c>
      <c r="N1487" s="3" t="inlineStr">
        <is>
          <t>Sí</t>
        </is>
      </c>
      <c r="O1487" s="6">
        <f>IF(K1487="","",IF(N1487="Sí",ROUND(K1487/1.18,2),K1487))</f>
        <v/>
      </c>
      <c r="P1487" s="3" t="inlineStr">
        <is>
          <t>2026-09-10</t>
        </is>
      </c>
      <c r="Q1487" s="4" t="inlineStr">
        <is>
          <t>Bellón</t>
        </is>
      </c>
      <c r="AF1487" s="4" t="inlineStr">
        <is>
          <t>tipo: adaptador-macho · material: plástico · medida: 3/4" x 0"</t>
        </is>
      </c>
    </row>
    <row r="1488">
      <c r="A1488" s="3" t="inlineStr">
        <is>
          <t>MAT-32-131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macho de PPR 20 mm</t>
        </is>
      </c>
      <c r="E1488" s="4" t="inlineStr"/>
      <c r="F1488" s="3" t="inlineStr">
        <is>
          <t>unidad</t>
        </is>
      </c>
      <c r="G1488" s="3" t="inlineStr">
        <is>
          <t>Instalaciones</t>
        </is>
      </c>
      <c r="H1488" s="3" t="inlineStr">
        <is>
          <t>estandar</t>
        </is>
      </c>
      <c r="I1488" s="3" t="inlineStr">
        <is>
          <t>importado</t>
        </is>
      </c>
      <c r="J1488" s="5" t="n">
        <v>2</v>
      </c>
      <c r="K1488" s="6" t="n">
        <v>136.06</v>
      </c>
      <c r="L1488" s="6" t="n">
        <v>63.5</v>
      </c>
      <c r="M1488" s="6" t="n">
        <v>205</v>
      </c>
      <c r="N1488" s="3" t="inlineStr">
        <is>
          <t>Sí</t>
        </is>
      </c>
      <c r="O1488" s="6">
        <f>IF(K1488="","",IF(N1488="Sí",ROUND(K1488/1.18,2),K1488))</f>
        <v/>
      </c>
      <c r="P1488" s="3" t="inlineStr">
        <is>
          <t>2026-09-10</t>
        </is>
      </c>
      <c r="Q1488" s="4" t="inlineStr">
        <is>
          <t>Bellón · Ferretería Cima</t>
        </is>
      </c>
      <c r="AF1488" s="4" t="inlineStr">
        <is>
          <t>tipo: adaptador-macho · material: PPR · medida: 20 mm</t>
        </is>
      </c>
    </row>
    <row r="1489">
      <c r="A1489" s="3" t="inlineStr">
        <is>
          <t>MAT-32-132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macho de PPR 25 mm</t>
        </is>
      </c>
      <c r="E1489" s="4" t="inlineStr"/>
      <c r="F1489" s="3" t="inlineStr">
        <is>
          <t>unidad</t>
        </is>
      </c>
      <c r="G1489" s="3" t="inlineStr">
        <is>
          <t>Instalaciones</t>
        </is>
      </c>
      <c r="H1489" s="3" t="inlineStr">
        <is>
          <t>estandar</t>
        </is>
      </c>
      <c r="I1489" s="3" t="inlineStr">
        <is>
          <t>importado</t>
        </is>
      </c>
      <c r="J1489" s="5" t="n">
        <v>2</v>
      </c>
      <c r="K1489" s="6" t="n">
        <v>91</v>
      </c>
      <c r="L1489" s="6" t="n">
        <v>74.16</v>
      </c>
      <c r="M1489" s="6" t="n">
        <v>253</v>
      </c>
      <c r="N1489" s="3" t="inlineStr">
        <is>
          <t>Sí</t>
        </is>
      </c>
      <c r="O1489" s="6">
        <f>IF(K1489="","",IF(N1489="Sí",ROUND(K1489/1.18,2),K1489))</f>
        <v/>
      </c>
      <c r="P1489" s="3" t="inlineStr">
        <is>
          <t>2026-09-10</t>
        </is>
      </c>
      <c r="Q1489" s="4" t="inlineStr">
        <is>
          <t>Bellón · Ferretería Cima</t>
        </is>
      </c>
      <c r="AF1489" s="4" t="inlineStr">
        <is>
          <t>tipo: adaptador-macho · material: PPR · medida: 25 mm</t>
        </is>
      </c>
    </row>
    <row r="1490">
      <c r="A1490" s="3" t="inlineStr">
        <is>
          <t>MAT-32-133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macho de PPR 32 mm</t>
        </is>
      </c>
      <c r="E1490" s="4" t="inlineStr"/>
      <c r="F1490" s="3" t="inlineStr">
        <is>
          <t>unidad</t>
        </is>
      </c>
      <c r="G1490" s="3" t="inlineStr">
        <is>
          <t>Instalaciones</t>
        </is>
      </c>
      <c r="H1490" s="3" t="inlineStr">
        <is>
          <t>estandar</t>
        </is>
      </c>
      <c r="I1490" s="3" t="inlineStr">
        <is>
          <t>importado</t>
        </is>
      </c>
      <c r="J1490" s="5" t="n">
        <v>1</v>
      </c>
      <c r="K1490" s="6" t="n">
        <v>83.45</v>
      </c>
      <c r="L1490" s="6" t="n">
        <v>78.15000000000001</v>
      </c>
      <c r="M1490" s="6" t="n">
        <v>175</v>
      </c>
      <c r="N1490" s="3" t="inlineStr">
        <is>
          <t>Sí</t>
        </is>
      </c>
      <c r="O1490" s="6">
        <f>IF(K1490="","",IF(N1490="Sí",ROUND(K1490/1.18,2),K1490))</f>
        <v/>
      </c>
      <c r="P1490" s="3" t="inlineStr">
        <is>
          <t>2026-09-10</t>
        </is>
      </c>
      <c r="Q1490" s="4" t="inlineStr">
        <is>
          <t>Bellón</t>
        </is>
      </c>
      <c r="AF1490" s="4" t="inlineStr">
        <is>
          <t>tipo: adaptador-macho · material: PPR · medida: 32 mm</t>
        </is>
      </c>
    </row>
    <row r="1491">
      <c r="A1491" s="3" t="inlineStr">
        <is>
          <t>MAT-32-134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macho de PPR 50 mm</t>
        </is>
      </c>
      <c r="E1491" s="4" t="inlineStr"/>
      <c r="F1491" s="3" t="inlineStr">
        <is>
          <t>unidad</t>
        </is>
      </c>
      <c r="G1491" s="3" t="inlineStr">
        <is>
          <t>Instalaciones</t>
        </is>
      </c>
      <c r="H1491" s="3" t="inlineStr">
        <is>
          <t>estandar</t>
        </is>
      </c>
      <c r="I1491" s="3" t="inlineStr">
        <is>
          <t>importado</t>
        </is>
      </c>
      <c r="J1491" s="5" t="n">
        <v>1</v>
      </c>
      <c r="K1491" s="6" t="n">
        <v>310</v>
      </c>
      <c r="L1491" s="6" t="n">
        <v>310</v>
      </c>
      <c r="M1491" s="6" t="n">
        <v>310</v>
      </c>
      <c r="N1491" s="3" t="inlineStr">
        <is>
          <t>Sí</t>
        </is>
      </c>
      <c r="O1491" s="6">
        <f>IF(K1491="","",IF(N1491="Sí",ROUND(K1491/1.18,2),K1491))</f>
        <v/>
      </c>
      <c r="P1491" s="3" t="inlineStr">
        <is>
          <t>2026-09-10</t>
        </is>
      </c>
      <c r="Q1491" s="4" t="inlineStr">
        <is>
          <t>Bellón</t>
        </is>
      </c>
      <c r="AF1491" s="4" t="inlineStr">
        <is>
          <t>tipo: adaptador-macho · material: PPR · medida: 50 mm</t>
        </is>
      </c>
    </row>
    <row r="1492">
      <c r="A1492" s="3" t="inlineStr">
        <is>
          <t>MAT-32-135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macho de PVC 1 1/2"</t>
        </is>
      </c>
      <c r="E1492" s="4" t="inlineStr"/>
      <c r="F1492" s="3" t="inlineStr">
        <is>
          <t>unidad</t>
        </is>
      </c>
      <c r="G1492" s="3" t="inlineStr">
        <is>
          <t>Instalaciones</t>
        </is>
      </c>
      <c r="H1492" s="3" t="inlineStr">
        <is>
          <t>estandar</t>
        </is>
      </c>
      <c r="I1492" s="3" t="inlineStr">
        <is>
          <t>importado</t>
        </is>
      </c>
      <c r="J1492" s="5" t="n">
        <v>2</v>
      </c>
      <c r="K1492" s="6" t="n">
        <v>34.5</v>
      </c>
      <c r="L1492" s="6" t="n">
        <v>19.31</v>
      </c>
      <c r="M1492" s="6" t="n">
        <v>95</v>
      </c>
      <c r="N1492" s="3" t="inlineStr">
        <is>
          <t>Sí</t>
        </is>
      </c>
      <c r="O1492" s="6">
        <f>IF(K1492="","",IF(N1492="Sí",ROUND(K1492/1.18,2),K1492))</f>
        <v/>
      </c>
      <c r="P1492" s="3" t="inlineStr">
        <is>
          <t>2026-09-10</t>
        </is>
      </c>
      <c r="Q1492" s="4" t="inlineStr">
        <is>
          <t>Bellón · Ferretería Cima</t>
        </is>
      </c>
      <c r="AF1492" s="4" t="inlineStr">
        <is>
          <t>tipo: adaptador-macho · material: PVC · medida: 1 1/2"</t>
        </is>
      </c>
    </row>
    <row r="1493">
      <c r="A1493" s="3" t="inlineStr">
        <is>
          <t>MAT-32-136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macho de PVC 1/2"</t>
        </is>
      </c>
      <c r="E1493" s="4" t="inlineStr"/>
      <c r="F1493" s="3" t="inlineStr">
        <is>
          <t>unidad</t>
        </is>
      </c>
      <c r="G1493" s="3" t="inlineStr">
        <is>
          <t>Instalaciones</t>
        </is>
      </c>
      <c r="H1493" s="3" t="inlineStr">
        <is>
          <t>estandar</t>
        </is>
      </c>
      <c r="I1493" s="3" t="inlineStr">
        <is>
          <t>importado</t>
        </is>
      </c>
      <c r="J1493" s="5" t="n">
        <v>2</v>
      </c>
      <c r="K1493" s="6" t="n">
        <v>5.36</v>
      </c>
      <c r="L1493" s="6" t="n">
        <v>4.08</v>
      </c>
      <c r="M1493" s="6" t="n">
        <v>26</v>
      </c>
      <c r="N1493" s="3" t="inlineStr">
        <is>
          <t>Sí</t>
        </is>
      </c>
      <c r="O1493" s="6">
        <f>IF(K1493="","",IF(N1493="Sí",ROUND(K1493/1.18,2),K1493))</f>
        <v/>
      </c>
      <c r="P1493" s="3" t="inlineStr">
        <is>
          <t>2026-09-10</t>
        </is>
      </c>
      <c r="Q1493" s="4" t="inlineStr">
        <is>
          <t>Bellón · Ferretería Cima</t>
        </is>
      </c>
      <c r="AF1493" s="4" t="inlineStr">
        <is>
          <t>tipo: adaptador-macho · material: PVC · medida: 1/2"</t>
        </is>
      </c>
    </row>
    <row r="1494">
      <c r="A1494" s="3" t="inlineStr">
        <is>
          <t>MAT-32-137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PVC 1"</t>
        </is>
      </c>
      <c r="E1494" s="4" t="inlineStr"/>
      <c r="F1494" s="3" t="inlineStr">
        <is>
          <t>unidad</t>
        </is>
      </c>
      <c r="G1494" s="3" t="inlineStr">
        <is>
          <t>Instalaciones</t>
        </is>
      </c>
      <c r="H1494" s="3" t="inlineStr">
        <is>
          <t>estandar</t>
        </is>
      </c>
      <c r="I1494" s="3" t="inlineStr">
        <is>
          <t>importado</t>
        </is>
      </c>
      <c r="J1494" s="5" t="n">
        <v>2</v>
      </c>
      <c r="K1494" s="6" t="n">
        <v>18.2</v>
      </c>
      <c r="L1494" s="6" t="n">
        <v>8.73</v>
      </c>
      <c r="M1494" s="6" t="n">
        <v>40</v>
      </c>
      <c r="N1494" s="3" t="inlineStr">
        <is>
          <t>Sí</t>
        </is>
      </c>
      <c r="O1494" s="6">
        <f>IF(K1494="","",IF(N1494="Sí",ROUND(K1494/1.18,2),K1494))</f>
        <v/>
      </c>
      <c r="P1494" s="3" t="inlineStr">
        <is>
          <t>2026-09-10</t>
        </is>
      </c>
      <c r="Q1494" s="4" t="inlineStr">
        <is>
          <t>Bellón · Ferretería Cima</t>
        </is>
      </c>
      <c r="AF1494" s="4" t="inlineStr">
        <is>
          <t>tipo: adaptador-macho · material: PVC · medida: 1"</t>
        </is>
      </c>
    </row>
    <row r="1495">
      <c r="A1495" s="3" t="inlineStr">
        <is>
          <t>MAT-32-138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PVC 2"</t>
        </is>
      </c>
      <c r="E1495" s="4" t="inlineStr"/>
      <c r="F1495" s="3" t="inlineStr">
        <is>
          <t>unidad</t>
        </is>
      </c>
      <c r="G1495" s="3" t="inlineStr">
        <is>
          <t>Instalaciones</t>
        </is>
      </c>
      <c r="H1495" s="3" t="inlineStr">
        <is>
          <t>estandar</t>
        </is>
      </c>
      <c r="I1495" s="3" t="inlineStr">
        <is>
          <t>importado</t>
        </is>
      </c>
      <c r="J1495" s="5" t="n">
        <v>2</v>
      </c>
      <c r="K1495" s="6" t="n">
        <v>60.76</v>
      </c>
      <c r="L1495" s="6" t="n">
        <v>28.05</v>
      </c>
      <c r="M1495" s="6" t="n">
        <v>126</v>
      </c>
      <c r="N1495" s="3" t="inlineStr">
        <is>
          <t>Sí</t>
        </is>
      </c>
      <c r="O1495" s="6">
        <f>IF(K1495="","",IF(N1495="Sí",ROUND(K1495/1.18,2),K1495))</f>
        <v/>
      </c>
      <c r="P1495" s="3" t="inlineStr">
        <is>
          <t>2026-09-10</t>
        </is>
      </c>
      <c r="Q1495" s="4" t="inlineStr">
        <is>
          <t>Bellón · Ferretería Cima</t>
        </is>
      </c>
      <c r="AF1495" s="4" t="inlineStr">
        <is>
          <t>tipo: adaptador-macho · material: PVC · medida: 2"</t>
        </is>
      </c>
    </row>
    <row r="1496">
      <c r="A1496" s="3" t="inlineStr">
        <is>
          <t>MAT-32-139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PVC 3/4"</t>
        </is>
      </c>
      <c r="E1496" s="4" t="inlineStr"/>
      <c r="F1496" s="3" t="inlineStr">
        <is>
          <t>unidad</t>
        </is>
      </c>
      <c r="G1496" s="3" t="inlineStr">
        <is>
          <t>Instalaciones</t>
        </is>
      </c>
      <c r="H1496" s="3" t="inlineStr">
        <is>
          <t>estandar</t>
        </is>
      </c>
      <c r="I1496" s="3" t="inlineStr">
        <is>
          <t>importado</t>
        </is>
      </c>
      <c r="J1496" s="5" t="n">
        <v>2</v>
      </c>
      <c r="K1496" s="6" t="n">
        <v>10.75</v>
      </c>
      <c r="L1496" s="6" t="n">
        <v>5.62</v>
      </c>
      <c r="M1496" s="6" t="n">
        <v>26</v>
      </c>
      <c r="N1496" s="3" t="inlineStr">
        <is>
          <t>Sí</t>
        </is>
      </c>
      <c r="O1496" s="6">
        <f>IF(K1496="","",IF(N1496="Sí",ROUND(K1496/1.18,2),K1496))</f>
        <v/>
      </c>
      <c r="P1496" s="3" t="inlineStr">
        <is>
          <t>2026-09-10</t>
        </is>
      </c>
      <c r="Q1496" s="4" t="inlineStr">
        <is>
          <t>Bellón · Ferretería Cima</t>
        </is>
      </c>
      <c r="AF1496" s="4" t="inlineStr">
        <is>
          <t>tipo: adaptador-macho · material: PVC · medida: 3/4"</t>
        </is>
      </c>
    </row>
    <row r="1497">
      <c r="A1497" s="3" t="inlineStr">
        <is>
          <t>MAT-32-140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PVC 3"</t>
        </is>
      </c>
      <c r="E1497" s="4" t="inlineStr"/>
      <c r="F1497" s="3" t="inlineStr">
        <is>
          <t>unidad</t>
        </is>
      </c>
      <c r="G1497" s="3" t="inlineStr">
        <is>
          <t>Instalaciones</t>
        </is>
      </c>
      <c r="H1497" s="3" t="inlineStr">
        <is>
          <t>estandar</t>
        </is>
      </c>
      <c r="I1497" s="3" t="inlineStr">
        <is>
          <t>importado</t>
        </is>
      </c>
      <c r="J1497" s="5" t="n">
        <v>2</v>
      </c>
      <c r="K1497" s="6" t="n">
        <v>157</v>
      </c>
      <c r="L1497" s="6" t="n">
        <v>85</v>
      </c>
      <c r="M1497" s="6" t="n">
        <v>271</v>
      </c>
      <c r="N1497" s="3" t="inlineStr">
        <is>
          <t>Sí</t>
        </is>
      </c>
      <c r="O1497" s="6">
        <f>IF(K1497="","",IF(N1497="Sí",ROUND(K1497/1.18,2),K1497))</f>
        <v/>
      </c>
      <c r="P1497" s="3" t="inlineStr">
        <is>
          <t>2026-09-10</t>
        </is>
      </c>
      <c r="Q1497" s="4" t="inlineStr">
        <is>
          <t>Bellón · Ferretería Cima</t>
        </is>
      </c>
      <c r="AF1497" s="4" t="inlineStr">
        <is>
          <t>tipo: adaptador-macho · material: PVC · medida: 3"</t>
        </is>
      </c>
    </row>
    <row r="1498">
      <c r="A1498" s="3" t="inlineStr">
        <is>
          <t>MAT-32-141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PVC 4"</t>
        </is>
      </c>
      <c r="E1498" s="4" t="inlineStr"/>
      <c r="F1498" s="3" t="inlineStr">
        <is>
          <t>unidad</t>
        </is>
      </c>
      <c r="G1498" s="3" t="inlineStr">
        <is>
          <t>Instalaciones</t>
        </is>
      </c>
      <c r="H1498" s="3" t="inlineStr">
        <is>
          <t>estandar</t>
        </is>
      </c>
      <c r="I1498" s="3" t="inlineStr">
        <is>
          <t>importado</t>
        </is>
      </c>
      <c r="J1498" s="5" t="n">
        <v>2</v>
      </c>
      <c r="K1498" s="6" t="n">
        <v>234.99</v>
      </c>
      <c r="L1498" s="6" t="n">
        <v>120</v>
      </c>
      <c r="M1498" s="6" t="n">
        <v>341</v>
      </c>
      <c r="N1498" s="3" t="inlineStr">
        <is>
          <t>Sí</t>
        </is>
      </c>
      <c r="O1498" s="6">
        <f>IF(K1498="","",IF(N1498="Sí",ROUND(K1498/1.18,2),K1498))</f>
        <v/>
      </c>
      <c r="P1498" s="3" t="inlineStr">
        <is>
          <t>2026-09-10</t>
        </is>
      </c>
      <c r="Q1498" s="4" t="inlineStr">
        <is>
          <t>Bellón · Ferretería Cima</t>
        </is>
      </c>
      <c r="AF1498" s="4" t="inlineStr">
        <is>
          <t>tipo: adaptador-macho · material: PVC · medida: 4"</t>
        </is>
      </c>
    </row>
    <row r="1499">
      <c r="A1499" s="3" t="inlineStr">
        <is>
          <t>MAT-32-142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PVC 6"</t>
        </is>
      </c>
      <c r="E1499" s="4" t="inlineStr"/>
      <c r="F1499" s="3" t="inlineStr">
        <is>
          <t>unidad</t>
        </is>
      </c>
      <c r="G1499" s="3" t="inlineStr">
        <is>
          <t>Instalaciones</t>
        </is>
      </c>
      <c r="H1499" s="3" t="inlineStr">
        <is>
          <t>estandar</t>
        </is>
      </c>
      <c r="I1499" s="3" t="inlineStr">
        <is>
          <t>importado</t>
        </is>
      </c>
      <c r="J1499" s="5" t="n">
        <v>1</v>
      </c>
      <c r="K1499" s="6" t="n">
        <v>567</v>
      </c>
      <c r="L1499" s="6" t="n">
        <v>567</v>
      </c>
      <c r="M1499" s="6" t="n">
        <v>567</v>
      </c>
      <c r="N1499" s="3" t="inlineStr">
        <is>
          <t>Sí</t>
        </is>
      </c>
      <c r="O1499" s="6">
        <f>IF(K1499="","",IF(N1499="Sí",ROUND(K1499/1.18,2),K1499))</f>
        <v/>
      </c>
      <c r="P1499" s="3" t="inlineStr">
        <is>
          <t>2026-09-10</t>
        </is>
      </c>
      <c r="Q1499" s="4" t="inlineStr">
        <is>
          <t>Bellón</t>
        </is>
      </c>
      <c r="AF1499" s="4" t="inlineStr">
        <is>
          <t>tipo: adaptador-macho · material: PVC · medida: 6"</t>
        </is>
      </c>
    </row>
    <row r="1500">
      <c r="A1500" s="3" t="inlineStr">
        <is>
          <t>MAT-32-143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de bronce 7/8" x 1/2"</t>
        </is>
      </c>
      <c r="E1500" s="4" t="inlineStr"/>
      <c r="F1500" s="3" t="inlineStr">
        <is>
          <t>unidad</t>
        </is>
      </c>
      <c r="G1500" s="3" t="inlineStr">
        <is>
          <t>Instalaciones</t>
        </is>
      </c>
      <c r="H1500" s="3" t="inlineStr">
        <is>
          <t>estandar</t>
        </is>
      </c>
      <c r="I1500" s="3" t="inlineStr">
        <is>
          <t>importado</t>
        </is>
      </c>
      <c r="J1500" s="5" t="n">
        <v>1</v>
      </c>
      <c r="K1500" s="6" t="n">
        <v>176</v>
      </c>
      <c r="L1500" s="6" t="n">
        <v>176</v>
      </c>
      <c r="M1500" s="6" t="n">
        <v>176</v>
      </c>
      <c r="N1500" s="3" t="inlineStr">
        <is>
          <t>Sí</t>
        </is>
      </c>
      <c r="O1500" s="6">
        <f>IF(K1500="","",IF(N1500="Sí",ROUND(K1500/1.18,2),K1500))</f>
        <v/>
      </c>
      <c r="P1500" s="3" t="inlineStr">
        <is>
          <t>2026-09-10</t>
        </is>
      </c>
      <c r="Q1500" s="4" t="inlineStr">
        <is>
          <t>Bellón</t>
        </is>
      </c>
      <c r="AF1500" s="4" t="inlineStr">
        <is>
          <t>tipo: adaptador · material: bronce · medida: 7/8" x 1/2"</t>
        </is>
      </c>
    </row>
    <row r="1501">
      <c r="A1501" s="3" t="inlineStr">
        <is>
          <t>MAT-32-144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Anilla de cobre 0.19"</t>
        </is>
      </c>
      <c r="E1501" s="4" t="inlineStr"/>
      <c r="F1501" s="3" t="inlineStr">
        <is>
          <t>unidad</t>
        </is>
      </c>
      <c r="G1501" s="3" t="inlineStr">
        <is>
          <t>Instalaciones</t>
        </is>
      </c>
      <c r="H1501" s="3" t="inlineStr">
        <is>
          <t>estandar</t>
        </is>
      </c>
      <c r="I1501" s="3" t="inlineStr">
        <is>
          <t>importado</t>
        </is>
      </c>
      <c r="J1501" s="5" t="n">
        <v>1</v>
      </c>
      <c r="K1501" s="6" t="n">
        <v>31</v>
      </c>
      <c r="L1501" s="6" t="n">
        <v>31</v>
      </c>
      <c r="M1501" s="6" t="n">
        <v>31</v>
      </c>
      <c r="N1501" s="3" t="inlineStr">
        <is>
          <t>Sí</t>
        </is>
      </c>
      <c r="O1501" s="6">
        <f>IF(K1501="","",IF(N1501="Sí",ROUND(K1501/1.18,2),K1501))</f>
        <v/>
      </c>
      <c r="P1501" s="3" t="inlineStr">
        <is>
          <t>2026-09-09</t>
        </is>
      </c>
      <c r="Q1501" s="4" t="inlineStr">
        <is>
          <t>Ferretería Cima</t>
        </is>
      </c>
      <c r="AF1501" s="4" t="inlineStr">
        <is>
          <t>tipo: anilla · material: cobre · medida: 0.19"</t>
        </is>
      </c>
    </row>
    <row r="1502">
      <c r="A1502" s="3" t="inlineStr">
        <is>
          <t>MAT-32-145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Anilla de cobre 0.31"</t>
        </is>
      </c>
      <c r="E1502" s="4" t="inlineStr"/>
      <c r="F1502" s="3" t="inlineStr">
        <is>
          <t>unidad</t>
        </is>
      </c>
      <c r="G1502" s="3" t="inlineStr">
        <is>
          <t>Instalaciones</t>
        </is>
      </c>
      <c r="H1502" s="3" t="inlineStr">
        <is>
          <t>estandar</t>
        </is>
      </c>
      <c r="I1502" s="3" t="inlineStr">
        <is>
          <t>importado</t>
        </is>
      </c>
      <c r="J1502" s="5" t="n">
        <v>1</v>
      </c>
      <c r="K1502" s="6" t="n">
        <v>19</v>
      </c>
      <c r="L1502" s="6" t="n">
        <v>19</v>
      </c>
      <c r="M1502" s="6" t="n">
        <v>19</v>
      </c>
      <c r="N1502" s="3" t="inlineStr">
        <is>
          <t>Sí</t>
        </is>
      </c>
      <c r="O1502" s="6">
        <f>IF(K1502="","",IF(N1502="Sí",ROUND(K1502/1.18,2),K1502))</f>
        <v/>
      </c>
      <c r="P1502" s="3" t="inlineStr">
        <is>
          <t>2026-09-09</t>
        </is>
      </c>
      <c r="Q1502" s="4" t="inlineStr">
        <is>
          <t>Ferretería Cima</t>
        </is>
      </c>
      <c r="AF1502" s="4" t="inlineStr">
        <is>
          <t>tipo: anilla · material: cobre · medida: 0.31"</t>
        </is>
      </c>
    </row>
    <row r="1503">
      <c r="A1503" s="3" t="inlineStr">
        <is>
          <t>MAT-32-146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Anilla de cobre 1/2"</t>
        </is>
      </c>
      <c r="E1503" s="4" t="inlineStr"/>
      <c r="F1503" s="3" t="inlineStr">
        <is>
          <t>unidad</t>
        </is>
      </c>
      <c r="G1503" s="3" t="inlineStr">
        <is>
          <t>Instalaciones</t>
        </is>
      </c>
      <c r="H1503" s="3" t="inlineStr">
        <is>
          <t>estandar</t>
        </is>
      </c>
      <c r="I1503" s="3" t="inlineStr">
        <is>
          <t>importado</t>
        </is>
      </c>
      <c r="J1503" s="5" t="n">
        <v>1</v>
      </c>
      <c r="K1503" s="6" t="n">
        <v>32</v>
      </c>
      <c r="L1503" s="6" t="n">
        <v>32</v>
      </c>
      <c r="M1503" s="6" t="n">
        <v>32</v>
      </c>
      <c r="N1503" s="3" t="inlineStr">
        <is>
          <t>Sí</t>
        </is>
      </c>
      <c r="O1503" s="6">
        <f>IF(K1503="","",IF(N1503="Sí",ROUND(K1503/1.18,2),K1503))</f>
        <v/>
      </c>
      <c r="P1503" s="3" t="inlineStr">
        <is>
          <t>2026-09-09</t>
        </is>
      </c>
      <c r="Q1503" s="4" t="inlineStr">
        <is>
          <t>Ferretería Cima</t>
        </is>
      </c>
      <c r="AF1503" s="4" t="inlineStr">
        <is>
          <t>tipo: anilla · material: cobre · medida: 1/2"</t>
        </is>
      </c>
    </row>
    <row r="1504">
      <c r="A1504" s="3" t="inlineStr">
        <is>
          <t>MAT-32-147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Anilla de cobre 1/4"</t>
        </is>
      </c>
      <c r="E1504" s="4" t="inlineStr"/>
      <c r="F1504" s="3" t="inlineStr">
        <is>
          <t>unidad</t>
        </is>
      </c>
      <c r="G1504" s="3" t="inlineStr">
        <is>
          <t>Instalaciones</t>
        </is>
      </c>
      <c r="H1504" s="3" t="inlineStr">
        <is>
          <t>estandar</t>
        </is>
      </c>
      <c r="I1504" s="3" t="inlineStr">
        <is>
          <t>importado</t>
        </is>
      </c>
      <c r="J1504" s="5" t="n">
        <v>1</v>
      </c>
      <c r="K1504" s="6" t="n">
        <v>31</v>
      </c>
      <c r="L1504" s="6" t="n">
        <v>31</v>
      </c>
      <c r="M1504" s="6" t="n">
        <v>31</v>
      </c>
      <c r="N1504" s="3" t="inlineStr">
        <is>
          <t>Sí</t>
        </is>
      </c>
      <c r="O1504" s="6">
        <f>IF(K1504="","",IF(N1504="Sí",ROUND(K1504/1.18,2),K1504))</f>
        <v/>
      </c>
      <c r="P1504" s="3" t="inlineStr">
        <is>
          <t>2026-09-09</t>
        </is>
      </c>
      <c r="Q1504" s="4" t="inlineStr">
        <is>
          <t>Ferretería Cima</t>
        </is>
      </c>
      <c r="AF1504" s="4" t="inlineStr">
        <is>
          <t>tipo: anilla · material: cobre · medida: 1/4"</t>
        </is>
      </c>
    </row>
    <row r="1505">
      <c r="A1505" s="3" t="inlineStr">
        <is>
          <t>MAT-32-148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Anilla de cobre 3/8"</t>
        </is>
      </c>
      <c r="E1505" s="4" t="inlineStr"/>
      <c r="F1505" s="3" t="inlineStr">
        <is>
          <t>unidad</t>
        </is>
      </c>
      <c r="G1505" s="3" t="inlineStr">
        <is>
          <t>Instalaciones</t>
        </is>
      </c>
      <c r="H1505" s="3" t="inlineStr">
        <is>
          <t>estandar</t>
        </is>
      </c>
      <c r="I1505" s="3" t="inlineStr">
        <is>
          <t>importado</t>
        </is>
      </c>
      <c r="J1505" s="5" t="n">
        <v>1</v>
      </c>
      <c r="K1505" s="6" t="n">
        <v>31</v>
      </c>
      <c r="L1505" s="6" t="n">
        <v>31</v>
      </c>
      <c r="M1505" s="6" t="n">
        <v>31</v>
      </c>
      <c r="N1505" s="3" t="inlineStr">
        <is>
          <t>Sí</t>
        </is>
      </c>
      <c r="O1505" s="6">
        <f>IF(K1505="","",IF(N1505="Sí",ROUND(K1505/1.18,2),K1505))</f>
        <v/>
      </c>
      <c r="P1505" s="3" t="inlineStr">
        <is>
          <t>2026-09-09</t>
        </is>
      </c>
      <c r="Q1505" s="4" t="inlineStr">
        <is>
          <t>Ferretería Cima</t>
        </is>
      </c>
      <c r="AF1505" s="4" t="inlineStr">
        <is>
          <t>tipo: anilla · material: cobre · medida: 3/8"</t>
        </is>
      </c>
    </row>
    <row r="1506">
      <c r="A1506" s="3" t="inlineStr">
        <is>
          <t>MAT-32-149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Codo de 45° de CPVC 1/2"</t>
        </is>
      </c>
      <c r="E1506" s="4" t="inlineStr"/>
      <c r="F1506" s="3" t="inlineStr">
        <is>
          <t>unidad</t>
        </is>
      </c>
      <c r="G1506" s="3" t="inlineStr">
        <is>
          <t>Instalaciones</t>
        </is>
      </c>
      <c r="H1506" s="3" t="inlineStr">
        <is>
          <t>estandar</t>
        </is>
      </c>
      <c r="I1506" s="3" t="inlineStr">
        <is>
          <t>importado</t>
        </is>
      </c>
      <c r="J1506" s="5" t="n">
        <v>1</v>
      </c>
      <c r="K1506" s="6" t="n">
        <v>10.5</v>
      </c>
      <c r="L1506" s="6" t="n">
        <v>10.5</v>
      </c>
      <c r="M1506" s="6" t="n">
        <v>10.5</v>
      </c>
      <c r="N1506" s="3" t="inlineStr">
        <is>
          <t>Sí</t>
        </is>
      </c>
      <c r="O1506" s="6">
        <f>IF(K1506="","",IF(N1506="Sí",ROUND(K1506/1.18,2),K1506))</f>
        <v/>
      </c>
      <c r="P1506" s="3" t="inlineStr">
        <is>
          <t>2026-09-10</t>
        </is>
      </c>
      <c r="Q1506" s="4" t="inlineStr">
        <is>
          <t>Bellón</t>
        </is>
      </c>
      <c r="AF1506" s="4" t="inlineStr">
        <is>
          <t>tipo: codo-45 · material: CPVC · medida: 1/2"</t>
        </is>
      </c>
    </row>
    <row r="1507">
      <c r="A1507" s="3" t="inlineStr">
        <is>
          <t>MAT-32-150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Codo de 45° de CPVC 1"</t>
        </is>
      </c>
      <c r="E1507" s="4" t="inlineStr"/>
      <c r="F1507" s="3" t="inlineStr">
        <is>
          <t>unidad</t>
        </is>
      </c>
      <c r="G1507" s="3" t="inlineStr">
        <is>
          <t>Instalaciones</t>
        </is>
      </c>
      <c r="H1507" s="3" t="inlineStr">
        <is>
          <t>estandar</t>
        </is>
      </c>
      <c r="I1507" s="3" t="inlineStr">
        <is>
          <t>importado</t>
        </is>
      </c>
      <c r="J1507" s="5" t="n">
        <v>1</v>
      </c>
      <c r="K1507" s="6" t="n">
        <v>33.39</v>
      </c>
      <c r="L1507" s="6" t="n">
        <v>33.39</v>
      </c>
      <c r="M1507" s="6" t="n">
        <v>33.39</v>
      </c>
      <c r="N1507" s="3" t="inlineStr">
        <is>
          <t>Sí</t>
        </is>
      </c>
      <c r="O1507" s="6">
        <f>IF(K1507="","",IF(N1507="Sí",ROUND(K1507/1.18,2),K1507))</f>
        <v/>
      </c>
      <c r="P1507" s="3" t="inlineStr">
        <is>
          <t>2026-09-10</t>
        </is>
      </c>
      <c r="Q1507" s="4" t="inlineStr">
        <is>
          <t>Bellón</t>
        </is>
      </c>
      <c r="AF1507" s="4" t="inlineStr">
        <is>
          <t>tipo: codo-45 · material: CPVC · medida: 1"</t>
        </is>
      </c>
    </row>
    <row r="1508">
      <c r="A1508" s="3" t="inlineStr">
        <is>
          <t>MAT-32-151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Codo de 45° de CPVC 3/4"</t>
        </is>
      </c>
      <c r="E1508" s="4" t="inlineStr"/>
      <c r="F1508" s="3" t="inlineStr">
        <is>
          <t>unidad</t>
        </is>
      </c>
      <c r="G1508" s="3" t="inlineStr">
        <is>
          <t>Instalaciones</t>
        </is>
      </c>
      <c r="H1508" s="3" t="inlineStr">
        <is>
          <t>estandar</t>
        </is>
      </c>
      <c r="I1508" s="3" t="inlineStr">
        <is>
          <t>importado</t>
        </is>
      </c>
      <c r="J1508" s="5" t="n">
        <v>1</v>
      </c>
      <c r="K1508" s="6" t="n">
        <v>25.61</v>
      </c>
      <c r="L1508" s="6" t="n">
        <v>25.61</v>
      </c>
      <c r="M1508" s="6" t="n">
        <v>25.61</v>
      </c>
      <c r="N1508" s="3" t="inlineStr">
        <is>
          <t>Sí</t>
        </is>
      </c>
      <c r="O1508" s="6">
        <f>IF(K1508="","",IF(N1508="Sí",ROUND(K1508/1.18,2),K1508))</f>
        <v/>
      </c>
      <c r="P1508" s="3" t="inlineStr">
        <is>
          <t>2026-09-10</t>
        </is>
      </c>
      <c r="Q1508" s="4" t="inlineStr">
        <is>
          <t>Bellón</t>
        </is>
      </c>
      <c r="AF1508" s="4" t="inlineStr">
        <is>
          <t>tipo: codo-45 · material: CPVC · medida: 3/4"</t>
        </is>
      </c>
    </row>
    <row r="1509">
      <c r="A1509" s="3" t="inlineStr">
        <is>
          <t>MAT-32-152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Codo de 45° de HG 1 1/2"</t>
        </is>
      </c>
      <c r="E1509" s="4" t="inlineStr"/>
      <c r="F1509" s="3" t="inlineStr">
        <is>
          <t>unidad</t>
        </is>
      </c>
      <c r="G1509" s="3" t="inlineStr">
        <is>
          <t>Instalaciones</t>
        </is>
      </c>
      <c r="H1509" s="3" t="inlineStr">
        <is>
          <t>estandar</t>
        </is>
      </c>
      <c r="I1509" s="3" t="inlineStr">
        <is>
          <t>importado</t>
        </is>
      </c>
      <c r="J1509" s="5" t="n">
        <v>1</v>
      </c>
      <c r="K1509" s="6" t="n">
        <v>120</v>
      </c>
      <c r="L1509" s="6" t="n">
        <v>120</v>
      </c>
      <c r="M1509" s="6" t="n">
        <v>120</v>
      </c>
      <c r="N1509" s="3" t="inlineStr">
        <is>
          <t>Sí</t>
        </is>
      </c>
      <c r="O1509" s="6">
        <f>IF(K1509="","",IF(N1509="Sí",ROUND(K1509/1.18,2),K1509))</f>
        <v/>
      </c>
      <c r="P1509" s="3" t="inlineStr">
        <is>
          <t>2026-09-10</t>
        </is>
      </c>
      <c r="Q1509" s="4" t="inlineStr">
        <is>
          <t>Bellón</t>
        </is>
      </c>
      <c r="AF1509" s="4" t="inlineStr">
        <is>
          <t>tipo: codo-45 · material: HG · medida: 1 1/2"</t>
        </is>
      </c>
    </row>
    <row r="1510">
      <c r="A1510" s="3" t="inlineStr">
        <is>
          <t>MAT-32-153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Codo de 45° de HG 1/2"</t>
        </is>
      </c>
      <c r="E1510" s="4" t="inlineStr"/>
      <c r="F1510" s="3" t="inlineStr">
        <is>
          <t>unidad</t>
        </is>
      </c>
      <c r="G1510" s="3" t="inlineStr">
        <is>
          <t>Instalaciones</t>
        </is>
      </c>
      <c r="H1510" s="3" t="inlineStr">
        <is>
          <t>estandar</t>
        </is>
      </c>
      <c r="I1510" s="3" t="inlineStr">
        <is>
          <t>importado</t>
        </is>
      </c>
      <c r="J1510" s="5" t="n">
        <v>1</v>
      </c>
      <c r="K1510" s="6" t="n">
        <v>25.82</v>
      </c>
      <c r="L1510" s="6" t="n">
        <v>25.82</v>
      </c>
      <c r="M1510" s="6" t="n">
        <v>25.82</v>
      </c>
      <c r="N1510" s="3" t="inlineStr">
        <is>
          <t>Sí</t>
        </is>
      </c>
      <c r="O1510" s="6">
        <f>IF(K1510="","",IF(N1510="Sí",ROUND(K1510/1.18,2),K1510))</f>
        <v/>
      </c>
      <c r="P1510" s="3" t="inlineStr">
        <is>
          <t>2026-09-10</t>
        </is>
      </c>
      <c r="Q1510" s="4" t="inlineStr">
        <is>
          <t>Bellón</t>
        </is>
      </c>
      <c r="AF1510" s="4" t="inlineStr">
        <is>
          <t>tipo: codo-45 · material: HG · medida: 1/2"</t>
        </is>
      </c>
    </row>
    <row r="1511">
      <c r="A1511" s="3" t="inlineStr">
        <is>
          <t>MAT-32-154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Codo de 45° de HG 1/4"</t>
        </is>
      </c>
      <c r="E1511" s="4" t="inlineStr"/>
      <c r="F1511" s="3" t="inlineStr">
        <is>
          <t>unidad</t>
        </is>
      </c>
      <c r="G1511" s="3" t="inlineStr">
        <is>
          <t>Instalaciones</t>
        </is>
      </c>
      <c r="H1511" s="3" t="inlineStr">
        <is>
          <t>estandar</t>
        </is>
      </c>
      <c r="I1511" s="3" t="inlineStr">
        <is>
          <t>importado</t>
        </is>
      </c>
      <c r="J1511" s="5" t="n">
        <v>1</v>
      </c>
      <c r="K1511" s="6" t="n">
        <v>35.9</v>
      </c>
      <c r="L1511" s="6" t="n">
        <v>35.9</v>
      </c>
      <c r="M1511" s="6" t="n">
        <v>35.9</v>
      </c>
      <c r="N1511" s="3" t="inlineStr">
        <is>
          <t>Sí</t>
        </is>
      </c>
      <c r="O1511" s="6">
        <f>IF(K1511="","",IF(N1511="Sí",ROUND(K1511/1.18,2),K1511))</f>
        <v/>
      </c>
      <c r="P1511" s="3" t="inlineStr">
        <is>
          <t>2026-09-10</t>
        </is>
      </c>
      <c r="Q1511" s="4" t="inlineStr">
        <is>
          <t>Bellón</t>
        </is>
      </c>
      <c r="AF1511" s="4" t="inlineStr">
        <is>
          <t>tipo: codo-45 · material: HG · medida: 1/4"</t>
        </is>
      </c>
    </row>
    <row r="1512">
      <c r="A1512" s="3" t="inlineStr">
        <is>
          <t>MAT-32-155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Codo de 45° de HG 1"</t>
        </is>
      </c>
      <c r="E1512" s="4" t="inlineStr"/>
      <c r="F1512" s="3" t="inlineStr">
        <is>
          <t>unidad</t>
        </is>
      </c>
      <c r="G1512" s="3" t="inlineStr">
        <is>
          <t>Instalaciones</t>
        </is>
      </c>
      <c r="H1512" s="3" t="inlineStr">
        <is>
          <t>estandar</t>
        </is>
      </c>
      <c r="I1512" s="3" t="inlineStr">
        <is>
          <t>importado</t>
        </is>
      </c>
      <c r="J1512" s="5" t="n">
        <v>1</v>
      </c>
      <c r="K1512" s="6" t="n">
        <v>57</v>
      </c>
      <c r="L1512" s="6" t="n">
        <v>57</v>
      </c>
      <c r="M1512" s="6" t="n">
        <v>57</v>
      </c>
      <c r="N1512" s="3" t="inlineStr">
        <is>
          <t>Sí</t>
        </is>
      </c>
      <c r="O1512" s="6">
        <f>IF(K1512="","",IF(N1512="Sí",ROUND(K1512/1.18,2),K1512))</f>
        <v/>
      </c>
      <c r="P1512" s="3" t="inlineStr">
        <is>
          <t>2026-09-10</t>
        </is>
      </c>
      <c r="Q1512" s="4" t="inlineStr">
        <is>
          <t>Bellón</t>
        </is>
      </c>
      <c r="AF1512" s="4" t="inlineStr">
        <is>
          <t>tipo: codo-45 · material: HG · medida: 1"</t>
        </is>
      </c>
    </row>
    <row r="1513">
      <c r="A1513" s="3" t="inlineStr">
        <is>
          <t>MAT-32-156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Codo de 45° de HG 2"</t>
        </is>
      </c>
      <c r="E1513" s="4" t="inlineStr"/>
      <c r="F1513" s="3" t="inlineStr">
        <is>
          <t>unidad</t>
        </is>
      </c>
      <c r="G1513" s="3" t="inlineStr">
        <is>
          <t>Instalaciones</t>
        </is>
      </c>
      <c r="H1513" s="3" t="inlineStr">
        <is>
          <t>estandar</t>
        </is>
      </c>
      <c r="I1513" s="3" t="inlineStr">
        <is>
          <t>importado</t>
        </is>
      </c>
      <c r="J1513" s="5" t="n">
        <v>1</v>
      </c>
      <c r="K1513" s="6" t="n">
        <v>181</v>
      </c>
      <c r="L1513" s="6" t="n">
        <v>181</v>
      </c>
      <c r="M1513" s="6" t="n">
        <v>181</v>
      </c>
      <c r="N1513" s="3" t="inlineStr">
        <is>
          <t>Sí</t>
        </is>
      </c>
      <c r="O1513" s="6">
        <f>IF(K1513="","",IF(N1513="Sí",ROUND(K1513/1.18,2),K1513))</f>
        <v/>
      </c>
      <c r="P1513" s="3" t="inlineStr">
        <is>
          <t>2026-09-10</t>
        </is>
      </c>
      <c r="Q1513" s="4" t="inlineStr">
        <is>
          <t>Bellón</t>
        </is>
      </c>
      <c r="AF1513" s="4" t="inlineStr">
        <is>
          <t>tipo: codo-45 · material: HG · medida: 2"</t>
        </is>
      </c>
    </row>
    <row r="1514">
      <c r="A1514" s="3" t="inlineStr">
        <is>
          <t>MAT-32-157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Codo de 45° de HG 3/8"</t>
        </is>
      </c>
      <c r="E1514" s="4" t="inlineStr"/>
      <c r="F1514" s="3" t="inlineStr">
        <is>
          <t>unidad</t>
        </is>
      </c>
      <c r="G1514" s="3" t="inlineStr">
        <is>
          <t>Instalaciones</t>
        </is>
      </c>
      <c r="H1514" s="3" t="inlineStr">
        <is>
          <t>estandar</t>
        </is>
      </c>
      <c r="I1514" s="3" t="inlineStr">
        <is>
          <t>importado</t>
        </is>
      </c>
      <c r="J1514" s="5" t="n">
        <v>1</v>
      </c>
      <c r="K1514" s="6" t="n">
        <v>4.27</v>
      </c>
      <c r="L1514" s="6" t="n">
        <v>4.27</v>
      </c>
      <c r="M1514" s="6" t="n">
        <v>4.27</v>
      </c>
      <c r="N1514" s="3" t="inlineStr">
        <is>
          <t>Sí</t>
        </is>
      </c>
      <c r="O1514" s="6">
        <f>IF(K1514="","",IF(N1514="Sí",ROUND(K1514/1.18,2),K1514))</f>
        <v/>
      </c>
      <c r="P1514" s="3" t="inlineStr">
        <is>
          <t>2026-09-10</t>
        </is>
      </c>
      <c r="Q1514" s="4" t="inlineStr">
        <is>
          <t>Bellón</t>
        </is>
      </c>
      <c r="AF1514" s="4" t="inlineStr">
        <is>
          <t>tipo: codo-45 · material: HG · medida: 3/8"</t>
        </is>
      </c>
    </row>
    <row r="1515">
      <c r="A1515" s="3" t="inlineStr">
        <is>
          <t>MAT-32-158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Codo de 45° de PPR 20 mm</t>
        </is>
      </c>
      <c r="E1515" s="4" t="inlineStr"/>
      <c r="F1515" s="3" t="inlineStr">
        <is>
          <t>unidad</t>
        </is>
      </c>
      <c r="G1515" s="3" t="inlineStr">
        <is>
          <t>Instalaciones</t>
        </is>
      </c>
      <c r="H1515" s="3" t="inlineStr">
        <is>
          <t>estandar</t>
        </is>
      </c>
      <c r="I1515" s="3" t="inlineStr">
        <is>
          <t>importado</t>
        </is>
      </c>
      <c r="J1515" s="5" t="n">
        <v>1</v>
      </c>
      <c r="K1515" s="6" t="n">
        <v>5.85</v>
      </c>
      <c r="L1515" s="6" t="n">
        <v>5.85</v>
      </c>
      <c r="M1515" s="6" t="n">
        <v>5.85</v>
      </c>
      <c r="N1515" s="3" t="inlineStr">
        <is>
          <t>Sí</t>
        </is>
      </c>
      <c r="O1515" s="6">
        <f>IF(K1515="","",IF(N1515="Sí",ROUND(K1515/1.18,2),K1515))</f>
        <v/>
      </c>
      <c r="P1515" s="3" t="inlineStr">
        <is>
          <t>2026-09-10</t>
        </is>
      </c>
      <c r="Q1515" s="4" t="inlineStr">
        <is>
          <t>Bellón</t>
        </is>
      </c>
      <c r="AF1515" s="4" t="inlineStr">
        <is>
          <t>tipo: codo-45 · material: PPR · medida: 20 mm</t>
        </is>
      </c>
    </row>
    <row r="1516">
      <c r="A1516" s="3" t="inlineStr">
        <is>
          <t>MAT-32-159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Codo de 45° de PPR 25 mm</t>
        </is>
      </c>
      <c r="E1516" s="4" t="inlineStr"/>
      <c r="F1516" s="3" t="inlineStr">
        <is>
          <t>unidad</t>
        </is>
      </c>
      <c r="G1516" s="3" t="inlineStr">
        <is>
          <t>Instalaciones</t>
        </is>
      </c>
      <c r="H1516" s="3" t="inlineStr">
        <is>
          <t>estandar</t>
        </is>
      </c>
      <c r="I1516" s="3" t="inlineStr">
        <is>
          <t>importado</t>
        </is>
      </c>
      <c r="J1516" s="5" t="n">
        <v>2</v>
      </c>
      <c r="K1516" s="6" t="n">
        <v>22.54</v>
      </c>
      <c r="L1516" s="6" t="n">
        <v>8.08</v>
      </c>
      <c r="M1516" s="6" t="n">
        <v>37</v>
      </c>
      <c r="N1516" s="3" t="inlineStr">
        <is>
          <t>Sí</t>
        </is>
      </c>
      <c r="O1516" s="6">
        <f>IF(K1516="","",IF(N1516="Sí",ROUND(K1516/1.18,2),K1516))</f>
        <v/>
      </c>
      <c r="P1516" s="3" t="inlineStr">
        <is>
          <t>2026-09-10</t>
        </is>
      </c>
      <c r="Q1516" s="4" t="inlineStr">
        <is>
          <t>Bellón · Ferretería Cima</t>
        </is>
      </c>
      <c r="AF1516" s="4" t="inlineStr">
        <is>
          <t>tipo: codo-45 · material: PPR · medida: 25 mm</t>
        </is>
      </c>
    </row>
    <row r="1517">
      <c r="A1517" s="3" t="inlineStr">
        <is>
          <t>MAT-32-160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Codo de 45° de PPR 32 mm</t>
        </is>
      </c>
      <c r="E1517" s="4" t="inlineStr"/>
      <c r="F1517" s="3" t="inlineStr">
        <is>
          <t>unidad</t>
        </is>
      </c>
      <c r="G1517" s="3" t="inlineStr">
        <is>
          <t>Instalaciones</t>
        </is>
      </c>
      <c r="H1517" s="3" t="inlineStr">
        <is>
          <t>estandar</t>
        </is>
      </c>
      <c r="I1517" s="3" t="inlineStr">
        <is>
          <t>importado</t>
        </is>
      </c>
      <c r="J1517" s="5" t="n">
        <v>1</v>
      </c>
      <c r="K1517" s="6" t="n">
        <v>14.42</v>
      </c>
      <c r="L1517" s="6" t="n">
        <v>14.42</v>
      </c>
      <c r="M1517" s="6" t="n">
        <v>14.42</v>
      </c>
      <c r="N1517" s="3" t="inlineStr">
        <is>
          <t>Sí</t>
        </is>
      </c>
      <c r="O1517" s="6">
        <f>IF(K1517="","",IF(N1517="Sí",ROUND(K1517/1.18,2),K1517))</f>
        <v/>
      </c>
      <c r="P1517" s="3" t="inlineStr">
        <is>
          <t>2026-09-10</t>
        </is>
      </c>
      <c r="Q1517" s="4" t="inlineStr">
        <is>
          <t>Bellón</t>
        </is>
      </c>
      <c r="AF1517" s="4" t="inlineStr">
        <is>
          <t>tipo: codo-45 · material: PPR · medida: 32 mm</t>
        </is>
      </c>
    </row>
    <row r="1518">
      <c r="A1518" s="3" t="inlineStr">
        <is>
          <t>MAT-32-161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Codo de 45° de PPR 50 mm</t>
        </is>
      </c>
      <c r="E1518" s="4" t="inlineStr"/>
      <c r="F1518" s="3" t="inlineStr">
        <is>
          <t>unidad</t>
        </is>
      </c>
      <c r="G1518" s="3" t="inlineStr">
        <is>
          <t>Instalaciones</t>
        </is>
      </c>
      <c r="H1518" s="3" t="inlineStr">
        <is>
          <t>estandar</t>
        </is>
      </c>
      <c r="I1518" s="3" t="inlineStr">
        <is>
          <t>importado</t>
        </is>
      </c>
      <c r="J1518" s="5" t="n">
        <v>1</v>
      </c>
      <c r="K1518" s="6" t="n">
        <v>46.63</v>
      </c>
      <c r="L1518" s="6" t="n">
        <v>46.63</v>
      </c>
      <c r="M1518" s="6" t="n">
        <v>46.63</v>
      </c>
      <c r="N1518" s="3" t="inlineStr">
        <is>
          <t>Sí</t>
        </is>
      </c>
      <c r="O1518" s="6">
        <f>IF(K1518="","",IF(N1518="Sí",ROUND(K1518/1.18,2),K1518))</f>
        <v/>
      </c>
      <c r="P1518" s="3" t="inlineStr">
        <is>
          <t>2026-09-10</t>
        </is>
      </c>
      <c r="Q1518" s="4" t="inlineStr">
        <is>
          <t>Bellón</t>
        </is>
      </c>
      <c r="AF1518" s="4" t="inlineStr">
        <is>
          <t>tipo: codo-45 · material: PPR · medida: 50 mm</t>
        </is>
      </c>
    </row>
    <row r="1519">
      <c r="A1519" s="3" t="inlineStr">
        <is>
          <t>MAT-32-162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Codo de 45° de PVC drenaje 1 1/2"</t>
        </is>
      </c>
      <c r="E1519" s="4" t="inlineStr"/>
      <c r="F1519" s="3" t="inlineStr">
        <is>
          <t>unidad</t>
        </is>
      </c>
      <c r="G1519" s="3" t="inlineStr">
        <is>
          <t>Instalaciones</t>
        </is>
      </c>
      <c r="H1519" s="3" t="inlineStr">
        <is>
          <t>estandar</t>
        </is>
      </c>
      <c r="I1519" s="3" t="inlineStr">
        <is>
          <t>importado</t>
        </is>
      </c>
      <c r="J1519" s="5" t="n">
        <v>2</v>
      </c>
      <c r="K1519" s="6" t="n">
        <v>14.84</v>
      </c>
      <c r="L1519" s="6" t="n">
        <v>11</v>
      </c>
      <c r="M1519" s="6" t="n">
        <v>45</v>
      </c>
      <c r="N1519" s="3" t="inlineStr">
        <is>
          <t>Sí</t>
        </is>
      </c>
      <c r="O1519" s="6">
        <f>IF(K1519="","",IF(N1519="Sí",ROUND(K1519/1.18,2),K1519))</f>
        <v/>
      </c>
      <c r="P1519" s="3" t="inlineStr">
        <is>
          <t>2026-09-10</t>
        </is>
      </c>
      <c r="Q1519" s="4" t="inlineStr">
        <is>
          <t>Bellón · Ferretería Cima</t>
        </is>
      </c>
      <c r="AF1519" s="4" t="inlineStr">
        <is>
          <t>tipo: codo-45 · material: PVC drenaje · medida: 1 1/2"</t>
        </is>
      </c>
    </row>
    <row r="1520">
      <c r="A1520" s="3" t="inlineStr">
        <is>
          <t>MAT-32-163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Codo de 45° de PVC drenaje 2"</t>
        </is>
      </c>
      <c r="E1520" s="4" t="inlineStr"/>
      <c r="F1520" s="3" t="inlineStr">
        <is>
          <t>unidad</t>
        </is>
      </c>
      <c r="G1520" s="3" t="inlineStr">
        <is>
          <t>Instalaciones</t>
        </is>
      </c>
      <c r="H1520" s="3" t="inlineStr">
        <is>
          <t>estandar</t>
        </is>
      </c>
      <c r="I1520" s="3" t="inlineStr">
        <is>
          <t>importado</t>
        </is>
      </c>
      <c r="J1520" s="5" t="n">
        <v>2</v>
      </c>
      <c r="K1520" s="6" t="n">
        <v>20.33</v>
      </c>
      <c r="L1520" s="6" t="n">
        <v>15.6</v>
      </c>
      <c r="M1520" s="6" t="n">
        <v>55</v>
      </c>
      <c r="N1520" s="3" t="inlineStr">
        <is>
          <t>Sí</t>
        </is>
      </c>
      <c r="O1520" s="6">
        <f>IF(K1520="","",IF(N1520="Sí",ROUND(K1520/1.18,2),K1520))</f>
        <v/>
      </c>
      <c r="P1520" s="3" t="inlineStr">
        <is>
          <t>2026-09-10</t>
        </is>
      </c>
      <c r="Q1520" s="4" t="inlineStr">
        <is>
          <t>Bellón · Ferretería Cima</t>
        </is>
      </c>
      <c r="AF1520" s="4" t="inlineStr">
        <is>
          <t>tipo: codo-45 · material: PVC drenaje · medida: 2"</t>
        </is>
      </c>
    </row>
    <row r="1521">
      <c r="A1521" s="3" t="inlineStr">
        <is>
          <t>MAT-32-164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Codo de 45° de PVC drenaje 3"</t>
        </is>
      </c>
      <c r="E1521" s="4" t="inlineStr"/>
      <c r="F1521" s="3" t="inlineStr">
        <is>
          <t>unidad</t>
        </is>
      </c>
      <c r="G1521" s="3" t="inlineStr">
        <is>
          <t>Instalaciones</t>
        </is>
      </c>
      <c r="H1521" s="3" t="inlineStr">
        <is>
          <t>estandar</t>
        </is>
      </c>
      <c r="I1521" s="3" t="inlineStr">
        <is>
          <t>importado</t>
        </is>
      </c>
      <c r="J1521" s="5" t="n">
        <v>2</v>
      </c>
      <c r="K1521" s="6" t="n">
        <v>55.48</v>
      </c>
      <c r="L1521" s="6" t="n">
        <v>41</v>
      </c>
      <c r="M1521" s="6" t="n">
        <v>85</v>
      </c>
      <c r="N1521" s="3" t="inlineStr">
        <is>
          <t>Sí</t>
        </is>
      </c>
      <c r="O1521" s="6">
        <f>IF(K1521="","",IF(N1521="Sí",ROUND(K1521/1.18,2),K1521))</f>
        <v/>
      </c>
      <c r="P1521" s="3" t="inlineStr">
        <is>
          <t>2026-09-10</t>
        </is>
      </c>
      <c r="Q1521" s="4" t="inlineStr">
        <is>
          <t>Bellón · Ferretería Cima</t>
        </is>
      </c>
      <c r="AF1521" s="4" t="inlineStr">
        <is>
          <t>tipo: codo-45 · material: PVC drenaje · medida: 3"</t>
        </is>
      </c>
    </row>
    <row r="1522">
      <c r="A1522" s="3" t="inlineStr">
        <is>
          <t>MAT-32-165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Codo de 45° de PVC drenaje 4"</t>
        </is>
      </c>
      <c r="E1522" s="4" t="inlineStr"/>
      <c r="F1522" s="3" t="inlineStr">
        <is>
          <t>unidad</t>
        </is>
      </c>
      <c r="G1522" s="3" t="inlineStr">
        <is>
          <t>Instalaciones</t>
        </is>
      </c>
      <c r="H1522" s="3" t="inlineStr">
        <is>
          <t>estandar</t>
        </is>
      </c>
      <c r="I1522" s="3" t="inlineStr">
        <is>
          <t>importado</t>
        </is>
      </c>
      <c r="J1522" s="5" t="n">
        <v>2</v>
      </c>
      <c r="K1522" s="6" t="n">
        <v>90.86</v>
      </c>
      <c r="L1522" s="6" t="n">
        <v>66</v>
      </c>
      <c r="M1522" s="6" t="n">
        <v>135</v>
      </c>
      <c r="N1522" s="3" t="inlineStr">
        <is>
          <t>Sí</t>
        </is>
      </c>
      <c r="O1522" s="6">
        <f>IF(K1522="","",IF(N1522="Sí",ROUND(K1522/1.18,2),K1522))</f>
        <v/>
      </c>
      <c r="P1522" s="3" t="inlineStr">
        <is>
          <t>2026-09-10</t>
        </is>
      </c>
      <c r="Q1522" s="4" t="inlineStr">
        <is>
          <t>Bellón · Ferretería Cima</t>
        </is>
      </c>
      <c r="AF1522" s="4" t="inlineStr">
        <is>
          <t>tipo: codo-45 · material: PVC drenaje · medida: 4"</t>
        </is>
      </c>
    </row>
    <row r="1523">
      <c r="A1523" s="3" t="inlineStr">
        <is>
          <t>MAT-32-166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Codo de 45° de PVC drenaje 6"</t>
        </is>
      </c>
      <c r="E1523" s="4" t="inlineStr"/>
      <c r="F1523" s="3" t="inlineStr">
        <is>
          <t>unidad</t>
        </is>
      </c>
      <c r="G1523" s="3" t="inlineStr">
        <is>
          <t>Instalaciones</t>
        </is>
      </c>
      <c r="H1523" s="3" t="inlineStr">
        <is>
          <t>estandar</t>
        </is>
      </c>
      <c r="I1523" s="3" t="inlineStr">
        <is>
          <t>importado</t>
        </is>
      </c>
      <c r="J1523" s="5" t="n">
        <v>2</v>
      </c>
      <c r="K1523" s="6" t="n">
        <v>528.5</v>
      </c>
      <c r="L1523" s="6" t="n">
        <v>445</v>
      </c>
      <c r="M1523" s="6" t="n">
        <v>612</v>
      </c>
      <c r="N1523" s="3" t="inlineStr">
        <is>
          <t>Sí</t>
        </is>
      </c>
      <c r="O1523" s="6">
        <f>IF(K1523="","",IF(N1523="Sí",ROUND(K1523/1.18,2),K1523))</f>
        <v/>
      </c>
      <c r="P1523" s="3" t="inlineStr">
        <is>
          <t>2026-09-10</t>
        </is>
      </c>
      <c r="Q1523" s="4" t="inlineStr">
        <is>
          <t>Bellón · Ferretería Cima</t>
        </is>
      </c>
      <c r="AF1523" s="4" t="inlineStr">
        <is>
          <t>tipo: codo-45 · material: PVC drenaje · medida: 6"</t>
        </is>
      </c>
    </row>
    <row r="1524">
      <c r="A1524" s="3" t="inlineStr">
        <is>
          <t>MAT-32-167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Codo de 45° de PVC 1 1/2"</t>
        </is>
      </c>
      <c r="E1524" s="4" t="inlineStr"/>
      <c r="F1524" s="3" t="inlineStr">
        <is>
          <t>unidad</t>
        </is>
      </c>
      <c r="G1524" s="3" t="inlineStr">
        <is>
          <t>Instalaciones</t>
        </is>
      </c>
      <c r="H1524" s="3" t="inlineStr">
        <is>
          <t>estandar</t>
        </is>
      </c>
      <c r="I1524" s="3" t="inlineStr">
        <is>
          <t>importado</t>
        </is>
      </c>
      <c r="J1524" s="5" t="n">
        <v>1</v>
      </c>
      <c r="K1524" s="6" t="n">
        <v>101</v>
      </c>
      <c r="L1524" s="6" t="n">
        <v>101</v>
      </c>
      <c r="M1524" s="6" t="n">
        <v>101</v>
      </c>
      <c r="N1524" s="3" t="inlineStr">
        <is>
          <t>Sí</t>
        </is>
      </c>
      <c r="O1524" s="6">
        <f>IF(K1524="","",IF(N1524="Sí",ROUND(K1524/1.18,2),K1524))</f>
        <v/>
      </c>
      <c r="P1524" s="3" t="inlineStr">
        <is>
          <t>2026-09-10</t>
        </is>
      </c>
      <c r="Q1524" s="4" t="inlineStr">
        <is>
          <t>Bellón</t>
        </is>
      </c>
      <c r="AF1524" s="4" t="inlineStr">
        <is>
          <t>tipo: codo-45 · material: PVC · medida: 1 1/2"</t>
        </is>
      </c>
    </row>
    <row r="1525">
      <c r="A1525" s="3" t="inlineStr">
        <is>
          <t>MAT-32-168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Codo de 45° de PVC 1/2"</t>
        </is>
      </c>
      <c r="E1525" s="4" t="inlineStr"/>
      <c r="F1525" s="3" t="inlineStr">
        <is>
          <t>unidad</t>
        </is>
      </c>
      <c r="G1525" s="3" t="inlineStr">
        <is>
          <t>Instalaciones</t>
        </is>
      </c>
      <c r="H1525" s="3" t="inlineStr">
        <is>
          <t>estandar</t>
        </is>
      </c>
      <c r="I1525" s="3" t="inlineStr">
        <is>
          <t>importado</t>
        </is>
      </c>
      <c r="J1525" s="5" t="n">
        <v>1</v>
      </c>
      <c r="K1525" s="6" t="n">
        <v>12.69</v>
      </c>
      <c r="L1525" s="6" t="n">
        <v>12.69</v>
      </c>
      <c r="M1525" s="6" t="n">
        <v>12.69</v>
      </c>
      <c r="N1525" s="3" t="inlineStr">
        <is>
          <t>Sí</t>
        </is>
      </c>
      <c r="O1525" s="6">
        <f>IF(K1525="","",IF(N1525="Sí",ROUND(K1525/1.18,2),K1525))</f>
        <v/>
      </c>
      <c r="P1525" s="3" t="inlineStr">
        <is>
          <t>2026-09-10</t>
        </is>
      </c>
      <c r="Q1525" s="4" t="inlineStr">
        <is>
          <t>Bellón</t>
        </is>
      </c>
      <c r="AF1525" s="4" t="inlineStr">
        <is>
          <t>tipo: codo-45 · material: PVC · medida: 1/2"</t>
        </is>
      </c>
    </row>
    <row r="1526">
      <c r="A1526" s="3" t="inlineStr">
        <is>
          <t>MAT-32-169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Codo de 45° de PVC 1"</t>
        </is>
      </c>
      <c r="E1526" s="4" t="inlineStr"/>
      <c r="F1526" s="3" t="inlineStr">
        <is>
          <t>unidad</t>
        </is>
      </c>
      <c r="G1526" s="3" t="inlineStr">
        <is>
          <t>Instalaciones</t>
        </is>
      </c>
      <c r="H1526" s="3" t="inlineStr">
        <is>
          <t>estandar</t>
        </is>
      </c>
      <c r="I1526" s="3" t="inlineStr">
        <is>
          <t>importado</t>
        </is>
      </c>
      <c r="J1526" s="5" t="n">
        <v>1</v>
      </c>
      <c r="K1526" s="6" t="n">
        <v>33.87</v>
      </c>
      <c r="L1526" s="6" t="n">
        <v>33.87</v>
      </c>
      <c r="M1526" s="6" t="n">
        <v>33.87</v>
      </c>
      <c r="N1526" s="3" t="inlineStr">
        <is>
          <t>Sí</t>
        </is>
      </c>
      <c r="O1526" s="6">
        <f>IF(K1526="","",IF(N1526="Sí",ROUND(K1526/1.18,2),K1526))</f>
        <v/>
      </c>
      <c r="P1526" s="3" t="inlineStr">
        <is>
          <t>2026-09-10</t>
        </is>
      </c>
      <c r="Q1526" s="4" t="inlineStr">
        <is>
          <t>Bellón</t>
        </is>
      </c>
      <c r="AF1526" s="4" t="inlineStr">
        <is>
          <t>tipo: codo-45 · material: PVC · medida: 1"</t>
        </is>
      </c>
    </row>
    <row r="1527">
      <c r="A1527" s="3" t="inlineStr">
        <is>
          <t>MAT-32-170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Codo de 45° de PVC 2"</t>
        </is>
      </c>
      <c r="E1527" s="4" t="inlineStr"/>
      <c r="F1527" s="3" t="inlineStr">
        <is>
          <t>unidad</t>
        </is>
      </c>
      <c r="G1527" s="3" t="inlineStr">
        <is>
          <t>Instalaciones</t>
        </is>
      </c>
      <c r="H1527" s="3" t="inlineStr">
        <is>
          <t>estandar</t>
        </is>
      </c>
      <c r="I1527" s="3" t="inlineStr">
        <is>
          <t>importado</t>
        </is>
      </c>
      <c r="J1527" s="5" t="n">
        <v>1</v>
      </c>
      <c r="K1527" s="6" t="n">
        <v>85.05</v>
      </c>
      <c r="L1527" s="6" t="n">
        <v>85.05</v>
      </c>
      <c r="M1527" s="6" t="n">
        <v>85.05</v>
      </c>
      <c r="N1527" s="3" t="inlineStr">
        <is>
          <t>Sí</t>
        </is>
      </c>
      <c r="O1527" s="6">
        <f>IF(K1527="","",IF(N1527="Sí",ROUND(K1527/1.18,2),K1527))</f>
        <v/>
      </c>
      <c r="P1527" s="3" t="inlineStr">
        <is>
          <t>2026-09-10</t>
        </is>
      </c>
      <c r="Q1527" s="4" t="inlineStr">
        <is>
          <t>Bellón</t>
        </is>
      </c>
      <c r="AF1527" s="4" t="inlineStr">
        <is>
          <t>tipo: codo-45 · material: PVC · medida: 2"</t>
        </is>
      </c>
    </row>
    <row r="1528">
      <c r="A1528" s="3" t="inlineStr">
        <is>
          <t>MAT-32-171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Codo de 45° de PVC 3/4"</t>
        </is>
      </c>
      <c r="E1528" s="4" t="inlineStr"/>
      <c r="F1528" s="3" t="inlineStr">
        <is>
          <t>unidad</t>
        </is>
      </c>
      <c r="G1528" s="3" t="inlineStr">
        <is>
          <t>Instalaciones</t>
        </is>
      </c>
      <c r="H1528" s="3" t="inlineStr">
        <is>
          <t>estandar</t>
        </is>
      </c>
      <c r="I1528" s="3" t="inlineStr">
        <is>
          <t>importado</t>
        </is>
      </c>
      <c r="J1528" s="5" t="n">
        <v>1</v>
      </c>
      <c r="K1528" s="6" t="n">
        <v>20.29</v>
      </c>
      <c r="L1528" s="6" t="n">
        <v>20.29</v>
      </c>
      <c r="M1528" s="6" t="n">
        <v>20.29</v>
      </c>
      <c r="N1528" s="3" t="inlineStr">
        <is>
          <t>Sí</t>
        </is>
      </c>
      <c r="O1528" s="6">
        <f>IF(K1528="","",IF(N1528="Sí",ROUND(K1528/1.18,2),K1528))</f>
        <v/>
      </c>
      <c r="P1528" s="3" t="inlineStr">
        <is>
          <t>2026-09-10</t>
        </is>
      </c>
      <c r="Q1528" s="4" t="inlineStr">
        <is>
          <t>Bellón</t>
        </is>
      </c>
      <c r="AF1528" s="4" t="inlineStr">
        <is>
          <t>tipo: codo-45 · material: PVC · medida: 3/4"</t>
        </is>
      </c>
    </row>
    <row r="1529">
      <c r="A1529" s="3" t="inlineStr">
        <is>
          <t>MAT-32-172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Codo de 45° de PVC presión 1 1/2"</t>
        </is>
      </c>
      <c r="E1529" s="4" t="inlineStr"/>
      <c r="F1529" s="3" t="inlineStr">
        <is>
          <t>unidad</t>
        </is>
      </c>
      <c r="G1529" s="3" t="inlineStr">
        <is>
          <t>Instalaciones</t>
        </is>
      </c>
      <c r="H1529" s="3" t="inlineStr">
        <is>
          <t>estandar</t>
        </is>
      </c>
      <c r="I1529" s="3" t="inlineStr">
        <is>
          <t>importado</t>
        </is>
      </c>
      <c r="J1529" s="5" t="n">
        <v>2</v>
      </c>
      <c r="K1529" s="6" t="n">
        <v>47.28</v>
      </c>
      <c r="L1529" s="6" t="n">
        <v>29.55</v>
      </c>
      <c r="M1529" s="6" t="n">
        <v>65</v>
      </c>
      <c r="N1529" s="3" t="inlineStr">
        <is>
          <t>Sí</t>
        </is>
      </c>
      <c r="O1529" s="6">
        <f>IF(K1529="","",IF(N1529="Sí",ROUND(K1529/1.18,2),K1529))</f>
        <v/>
      </c>
      <c r="P1529" s="3" t="inlineStr">
        <is>
          <t>2026-09-10</t>
        </is>
      </c>
      <c r="Q1529" s="4" t="inlineStr">
        <is>
          <t>Bellón · Ferretería Cima</t>
        </is>
      </c>
      <c r="AF1529" s="4" t="inlineStr">
        <is>
          <t>tipo: codo-45 · material: PVC presión · medida: 1 1/2"</t>
        </is>
      </c>
    </row>
    <row r="1530">
      <c r="A1530" s="3" t="inlineStr">
        <is>
          <t>MAT-32-173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Codo de 45° de PVC presión 1/2"</t>
        </is>
      </c>
      <c r="E1530" s="4" t="inlineStr"/>
      <c r="F1530" s="3" t="inlineStr">
        <is>
          <t>unidad</t>
        </is>
      </c>
      <c r="G1530" s="3" t="inlineStr">
        <is>
          <t>Instalaciones</t>
        </is>
      </c>
      <c r="H1530" s="3" t="inlineStr">
        <is>
          <t>estandar</t>
        </is>
      </c>
      <c r="I1530" s="3" t="inlineStr">
        <is>
          <t>importado</t>
        </is>
      </c>
      <c r="J1530" s="5" t="n">
        <v>2</v>
      </c>
      <c r="K1530" s="6" t="n">
        <v>7.08</v>
      </c>
      <c r="L1530" s="6" t="n">
        <v>4.75</v>
      </c>
      <c r="M1530" s="6" t="n">
        <v>35</v>
      </c>
      <c r="N1530" s="3" t="inlineStr">
        <is>
          <t>Sí</t>
        </is>
      </c>
      <c r="O1530" s="6">
        <f>IF(K1530="","",IF(N1530="Sí",ROUND(K1530/1.18,2),K1530))</f>
        <v/>
      </c>
      <c r="P1530" s="3" t="inlineStr">
        <is>
          <t>2026-09-10</t>
        </is>
      </c>
      <c r="Q1530" s="4" t="inlineStr">
        <is>
          <t>Bellón · Ferretería Cima</t>
        </is>
      </c>
      <c r="AF1530" s="4" t="inlineStr">
        <is>
          <t>tipo: codo-45 · material: PVC presión · medida: 1/2"</t>
        </is>
      </c>
    </row>
    <row r="1531">
      <c r="A1531" s="3" t="inlineStr">
        <is>
          <t>MAT-32-174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Codo de 45° de PVC presión 1"</t>
        </is>
      </c>
      <c r="E1531" s="4" t="inlineStr"/>
      <c r="F1531" s="3" t="inlineStr">
        <is>
          <t>unidad</t>
        </is>
      </c>
      <c r="G1531" s="3" t="inlineStr">
        <is>
          <t>Instalaciones</t>
        </is>
      </c>
      <c r="H1531" s="3" t="inlineStr">
        <is>
          <t>estandar</t>
        </is>
      </c>
      <c r="I1531" s="3" t="inlineStr">
        <is>
          <t>importado</t>
        </is>
      </c>
      <c r="J1531" s="5" t="n">
        <v>2</v>
      </c>
      <c r="K1531" s="6" t="n">
        <v>22.03</v>
      </c>
      <c r="L1531" s="6" t="n">
        <v>14.1</v>
      </c>
      <c r="M1531" s="6" t="n">
        <v>90</v>
      </c>
      <c r="N1531" s="3" t="inlineStr">
        <is>
          <t>Sí</t>
        </is>
      </c>
      <c r="O1531" s="6">
        <f>IF(K1531="","",IF(N1531="Sí",ROUND(K1531/1.18,2),K1531))</f>
        <v/>
      </c>
      <c r="P1531" s="3" t="inlineStr">
        <is>
          <t>2026-09-10</t>
        </is>
      </c>
      <c r="Q1531" s="4" t="inlineStr">
        <is>
          <t>Bellón · Ferretería Cima</t>
        </is>
      </c>
      <c r="AF1531" s="4" t="inlineStr">
        <is>
          <t>tipo: codo-45 · material: PVC presión · medida: 1"</t>
        </is>
      </c>
    </row>
    <row r="1532">
      <c r="A1532" s="3" t="inlineStr">
        <is>
          <t>MAT-32-175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45° de PVC presión 2"</t>
        </is>
      </c>
      <c r="E1532" s="4" t="inlineStr"/>
      <c r="F1532" s="3" t="inlineStr">
        <is>
          <t>unidad</t>
        </is>
      </c>
      <c r="G1532" s="3" t="inlineStr">
        <is>
          <t>Instalaciones</t>
        </is>
      </c>
      <c r="H1532" s="3" t="inlineStr">
        <is>
          <t>estandar</t>
        </is>
      </c>
      <c r="I1532" s="3" t="inlineStr">
        <is>
          <t>importado</t>
        </is>
      </c>
      <c r="J1532" s="5" t="n">
        <v>1</v>
      </c>
      <c r="K1532" s="6" t="n">
        <v>40.63</v>
      </c>
      <c r="L1532" s="6" t="n">
        <v>33.12</v>
      </c>
      <c r="M1532" s="6" t="n">
        <v>48.14</v>
      </c>
      <c r="N1532" s="3" t="inlineStr">
        <is>
          <t>Sí</t>
        </is>
      </c>
      <c r="O1532" s="6">
        <f>IF(K1532="","",IF(N1532="Sí",ROUND(K1532/1.18,2),K1532))</f>
        <v/>
      </c>
      <c r="P1532" s="3" t="inlineStr">
        <is>
          <t>2026-09-10</t>
        </is>
      </c>
      <c r="Q1532" s="4" t="inlineStr">
        <is>
          <t>Bellón</t>
        </is>
      </c>
      <c r="AF1532" s="4" t="inlineStr">
        <is>
          <t>tipo: codo-45 · material: PVC presión · medida: 2"</t>
        </is>
      </c>
    </row>
    <row r="1533">
      <c r="A1533" s="3" t="inlineStr">
        <is>
          <t>MAT-32-176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45° de PVC presión 3/4"</t>
        </is>
      </c>
      <c r="E1533" s="4" t="inlineStr"/>
      <c r="F1533" s="3" t="inlineStr">
        <is>
          <t>unidad</t>
        </is>
      </c>
      <c r="G1533" s="3" t="inlineStr">
        <is>
          <t>Instalaciones</t>
        </is>
      </c>
      <c r="H1533" s="3" t="inlineStr">
        <is>
          <t>estandar</t>
        </is>
      </c>
      <c r="I1533" s="3" t="inlineStr">
        <is>
          <t>importado</t>
        </is>
      </c>
      <c r="J1533" s="5" t="n">
        <v>2</v>
      </c>
      <c r="K1533" s="6" t="n">
        <v>12.38</v>
      </c>
      <c r="L1533" s="6" t="n">
        <v>9.050000000000001</v>
      </c>
      <c r="M1533" s="6" t="n">
        <v>25</v>
      </c>
      <c r="N1533" s="3" t="inlineStr">
        <is>
          <t>Sí</t>
        </is>
      </c>
      <c r="O1533" s="6">
        <f>IF(K1533="","",IF(N1533="Sí",ROUND(K1533/1.18,2),K1533))</f>
        <v/>
      </c>
      <c r="P1533" s="3" t="inlineStr">
        <is>
          <t>2026-09-10</t>
        </is>
      </c>
      <c r="Q1533" s="4" t="inlineStr">
        <is>
          <t>Bellón · Ferretería Cima</t>
        </is>
      </c>
      <c r="AF1533" s="4" t="inlineStr">
        <is>
          <t>tipo: codo-45 · material: PVC presión · medida: 3/4"</t>
        </is>
      </c>
    </row>
    <row r="1534">
      <c r="A1534" s="3" t="inlineStr">
        <is>
          <t>MAT-32-177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45° de PVC presión 3"</t>
        </is>
      </c>
      <c r="E1534" s="4" t="inlineStr"/>
      <c r="F1534" s="3" t="inlineStr">
        <is>
          <t>unidad</t>
        </is>
      </c>
      <c r="G1534" s="3" t="inlineStr">
        <is>
          <t>Instalaciones</t>
        </is>
      </c>
      <c r="H1534" s="3" t="inlineStr">
        <is>
          <t>estandar</t>
        </is>
      </c>
      <c r="I1534" s="3" t="inlineStr">
        <is>
          <t>importado</t>
        </is>
      </c>
      <c r="J1534" s="5" t="n">
        <v>1</v>
      </c>
      <c r="K1534" s="6" t="n">
        <v>142.32</v>
      </c>
      <c r="L1534" s="6" t="n">
        <v>142.32</v>
      </c>
      <c r="M1534" s="6" t="n">
        <v>142.32</v>
      </c>
      <c r="N1534" s="3" t="inlineStr">
        <is>
          <t>Sí</t>
        </is>
      </c>
      <c r="O1534" s="6">
        <f>IF(K1534="","",IF(N1534="Sí",ROUND(K1534/1.18,2),K1534))</f>
        <v/>
      </c>
      <c r="P1534" s="3" t="inlineStr">
        <is>
          <t>2026-09-10</t>
        </is>
      </c>
      <c r="Q1534" s="4" t="inlineStr">
        <is>
          <t>Bellón</t>
        </is>
      </c>
      <c r="AF1534" s="4" t="inlineStr">
        <is>
          <t>tipo: codo-45 · material: PVC presión · medida: 3"</t>
        </is>
      </c>
    </row>
    <row r="1535">
      <c r="A1535" s="3" t="inlineStr">
        <is>
          <t>MAT-32-178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45° de PVC presión 4"</t>
        </is>
      </c>
      <c r="E1535" s="4" t="inlineStr"/>
      <c r="F1535" s="3" t="inlineStr">
        <is>
          <t>unidad</t>
        </is>
      </c>
      <c r="G1535" s="3" t="inlineStr">
        <is>
          <t>Instalaciones</t>
        </is>
      </c>
      <c r="H1535" s="3" t="inlineStr">
        <is>
          <t>estandar</t>
        </is>
      </c>
      <c r="I1535" s="3" t="inlineStr">
        <is>
          <t>importado</t>
        </is>
      </c>
      <c r="J1535" s="5" t="n">
        <v>1</v>
      </c>
      <c r="K1535" s="6" t="n">
        <v>273.86</v>
      </c>
      <c r="L1535" s="6" t="n">
        <v>273.86</v>
      </c>
      <c r="M1535" s="6" t="n">
        <v>273.86</v>
      </c>
      <c r="N1535" s="3" t="inlineStr">
        <is>
          <t>Sí</t>
        </is>
      </c>
      <c r="O1535" s="6">
        <f>IF(K1535="","",IF(N1535="Sí",ROUND(K1535/1.18,2),K1535))</f>
        <v/>
      </c>
      <c r="P1535" s="3" t="inlineStr">
        <is>
          <t>2026-09-10</t>
        </is>
      </c>
      <c r="Q1535" s="4" t="inlineStr">
        <is>
          <t>Bellón</t>
        </is>
      </c>
      <c r="AF1535" s="4" t="inlineStr">
        <is>
          <t>tipo: codo-45 · material: PVC presión · medida: 4"</t>
        </is>
      </c>
    </row>
    <row r="1536">
      <c r="A1536" s="3" t="inlineStr">
        <is>
          <t>MAT-32-179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45° de PVC presión 6"</t>
        </is>
      </c>
      <c r="E1536" s="4" t="inlineStr"/>
      <c r="F1536" s="3" t="inlineStr">
        <is>
          <t>unidad</t>
        </is>
      </c>
      <c r="G1536" s="3" t="inlineStr">
        <is>
          <t>Instalaciones</t>
        </is>
      </c>
      <c r="H1536" s="3" t="inlineStr">
        <is>
          <t>estandar</t>
        </is>
      </c>
      <c r="I1536" s="3" t="inlineStr">
        <is>
          <t>importado</t>
        </is>
      </c>
      <c r="J1536" s="5" t="n">
        <v>1</v>
      </c>
      <c r="K1536" s="6" t="n">
        <v>745.5</v>
      </c>
      <c r="L1536" s="6" t="n">
        <v>576</v>
      </c>
      <c r="M1536" s="6" t="n">
        <v>915</v>
      </c>
      <c r="N1536" s="3" t="inlineStr">
        <is>
          <t>Sí</t>
        </is>
      </c>
      <c r="O1536" s="6">
        <f>IF(K1536="","",IF(N1536="Sí",ROUND(K1536/1.18,2),K1536))</f>
        <v/>
      </c>
      <c r="P1536" s="3" t="inlineStr">
        <is>
          <t>2026-09-10</t>
        </is>
      </c>
      <c r="Q1536" s="4" t="inlineStr">
        <is>
          <t>Bellón</t>
        </is>
      </c>
      <c r="AF1536" s="4" t="inlineStr">
        <is>
          <t>tipo: codo-45 · material: PVC presión · medida: 6"</t>
        </is>
      </c>
    </row>
    <row r="1537">
      <c r="A1537" s="3" t="inlineStr">
        <is>
          <t>MAT-32-180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45° de PVC presión 8"</t>
        </is>
      </c>
      <c r="E1537" s="4" t="inlineStr"/>
      <c r="F1537" s="3" t="inlineStr">
        <is>
          <t>unidad</t>
        </is>
      </c>
      <c r="G1537" s="3" t="inlineStr">
        <is>
          <t>Instalaciones</t>
        </is>
      </c>
      <c r="H1537" s="3" t="inlineStr">
        <is>
          <t>estandar</t>
        </is>
      </c>
      <c r="I1537" s="3" t="inlineStr">
        <is>
          <t>importado</t>
        </is>
      </c>
      <c r="J1537" s="5" t="n">
        <v>1</v>
      </c>
      <c r="K1537" s="6" t="n">
        <v>4409</v>
      </c>
      <c r="L1537" s="6" t="n">
        <v>4409</v>
      </c>
      <c r="M1537" s="6" t="n">
        <v>4409</v>
      </c>
      <c r="N1537" s="3" t="inlineStr">
        <is>
          <t>Sí</t>
        </is>
      </c>
      <c r="O1537" s="6">
        <f>IF(K1537="","",IF(N1537="Sí",ROUND(K1537/1.18,2),K1537))</f>
        <v/>
      </c>
      <c r="P1537" s="3" t="inlineStr">
        <is>
          <t>2026-09-10</t>
        </is>
      </c>
      <c r="Q1537" s="4" t="inlineStr">
        <is>
          <t>Bellón</t>
        </is>
      </c>
      <c r="AF1537" s="4" t="inlineStr">
        <is>
          <t>tipo: codo-45 · material: PVC presión · medida: 8"</t>
        </is>
      </c>
    </row>
    <row r="1538">
      <c r="A1538" s="3" t="inlineStr">
        <is>
          <t>MAT-32-181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90° de cobre 1 1/8"</t>
        </is>
      </c>
      <c r="E1538" s="4" t="inlineStr"/>
      <c r="F1538" s="3" t="inlineStr">
        <is>
          <t>unidad</t>
        </is>
      </c>
      <c r="G1538" s="3" t="inlineStr">
        <is>
          <t>Instalaciones</t>
        </is>
      </c>
      <c r="H1538" s="3" t="inlineStr">
        <is>
          <t>estandar</t>
        </is>
      </c>
      <c r="I1538" s="3" t="inlineStr">
        <is>
          <t>importado</t>
        </is>
      </c>
      <c r="J1538" s="5" t="n">
        <v>1</v>
      </c>
      <c r="K1538" s="6" t="n">
        <v>380</v>
      </c>
      <c r="L1538" s="6" t="n">
        <v>380</v>
      </c>
      <c r="M1538" s="6" t="n">
        <v>380</v>
      </c>
      <c r="N1538" s="3" t="inlineStr">
        <is>
          <t>Sí</t>
        </is>
      </c>
      <c r="O1538" s="6">
        <f>IF(K1538="","",IF(N1538="Sí",ROUND(K1538/1.18,2),K1538))</f>
        <v/>
      </c>
      <c r="P1538" s="3" t="inlineStr">
        <is>
          <t>2026-09-10</t>
        </is>
      </c>
      <c r="Q1538" s="4" t="inlineStr">
        <is>
          <t>Bellón</t>
        </is>
      </c>
      <c r="AF1538" s="4" t="inlineStr">
        <is>
          <t>tipo: codo-90 · material: cobre · medida: 1 1/8"</t>
        </is>
      </c>
    </row>
    <row r="1539">
      <c r="A1539" s="3" t="inlineStr">
        <is>
          <t>MAT-32-182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90° de cobre 1/2"</t>
        </is>
      </c>
      <c r="E1539" s="4" t="inlineStr"/>
      <c r="F1539" s="3" t="inlineStr">
        <is>
          <t>unidad</t>
        </is>
      </c>
      <c r="G1539" s="3" t="inlineStr">
        <is>
          <t>Instalaciones</t>
        </is>
      </c>
      <c r="H1539" s="3" t="inlineStr">
        <is>
          <t>estandar</t>
        </is>
      </c>
      <c r="I1539" s="3" t="inlineStr">
        <is>
          <t>importado</t>
        </is>
      </c>
      <c r="J1539" s="5" t="n">
        <v>1</v>
      </c>
      <c r="K1539" s="6" t="n">
        <v>49.82</v>
      </c>
      <c r="L1539" s="6" t="n">
        <v>49.82</v>
      </c>
      <c r="M1539" s="6" t="n">
        <v>49.82</v>
      </c>
      <c r="N1539" s="3" t="inlineStr">
        <is>
          <t>Sí</t>
        </is>
      </c>
      <c r="O1539" s="6">
        <f>IF(K1539="","",IF(N1539="Sí",ROUND(K1539/1.18,2),K1539))</f>
        <v/>
      </c>
      <c r="P1539" s="3" t="inlineStr">
        <is>
          <t>2026-09-10</t>
        </is>
      </c>
      <c r="Q1539" s="4" t="inlineStr">
        <is>
          <t>Bellón</t>
        </is>
      </c>
      <c r="AF1539" s="4" t="inlineStr">
        <is>
          <t>tipo: codo-90 · material: cobre · medida: 1/2"</t>
        </is>
      </c>
    </row>
    <row r="1540">
      <c r="A1540" s="3" t="inlineStr">
        <is>
          <t>MAT-32-183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90° de cobre 3/4"</t>
        </is>
      </c>
      <c r="E1540" s="4" t="inlineStr"/>
      <c r="F1540" s="3" t="inlineStr">
        <is>
          <t>unidad</t>
        </is>
      </c>
      <c r="G1540" s="3" t="inlineStr">
        <is>
          <t>Instalaciones</t>
        </is>
      </c>
      <c r="H1540" s="3" t="inlineStr">
        <is>
          <t>estandar</t>
        </is>
      </c>
      <c r="I1540" s="3" t="inlineStr">
        <is>
          <t>importado</t>
        </is>
      </c>
      <c r="J1540" s="5" t="n">
        <v>1</v>
      </c>
      <c r="K1540" s="6" t="n">
        <v>107</v>
      </c>
      <c r="L1540" s="6" t="n">
        <v>107</v>
      </c>
      <c r="M1540" s="6" t="n">
        <v>107</v>
      </c>
      <c r="N1540" s="3" t="inlineStr">
        <is>
          <t>Sí</t>
        </is>
      </c>
      <c r="O1540" s="6">
        <f>IF(K1540="","",IF(N1540="Sí",ROUND(K1540/1.18,2),K1540))</f>
        <v/>
      </c>
      <c r="P1540" s="3" t="inlineStr">
        <is>
          <t>2026-09-10</t>
        </is>
      </c>
      <c r="Q1540" s="4" t="inlineStr">
        <is>
          <t>Bellón</t>
        </is>
      </c>
      <c r="AF1540" s="4" t="inlineStr">
        <is>
          <t>tipo: codo-90 · material: cobre · medida: 3/4"</t>
        </is>
      </c>
    </row>
    <row r="1541">
      <c r="A1541" s="3" t="inlineStr">
        <is>
          <t>MAT-32-184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90° de cobre 3/8"</t>
        </is>
      </c>
      <c r="E1541" s="4" t="inlineStr"/>
      <c r="F1541" s="3" t="inlineStr">
        <is>
          <t>unidad</t>
        </is>
      </c>
      <c r="G1541" s="3" t="inlineStr">
        <is>
          <t>Instalaciones</t>
        </is>
      </c>
      <c r="H1541" s="3" t="inlineStr">
        <is>
          <t>estandar</t>
        </is>
      </c>
      <c r="I1541" s="3" t="inlineStr">
        <is>
          <t>importado</t>
        </is>
      </c>
      <c r="J1541" s="5" t="n">
        <v>1</v>
      </c>
      <c r="K1541" s="6" t="n">
        <v>46.98</v>
      </c>
      <c r="L1541" s="6" t="n">
        <v>46.98</v>
      </c>
      <c r="M1541" s="6" t="n">
        <v>46.98</v>
      </c>
      <c r="N1541" s="3" t="inlineStr">
        <is>
          <t>Sí</t>
        </is>
      </c>
      <c r="O1541" s="6">
        <f>IF(K1541="","",IF(N1541="Sí",ROUND(K1541/1.18,2),K1541))</f>
        <v/>
      </c>
      <c r="P1541" s="3" t="inlineStr">
        <is>
          <t>2026-09-10</t>
        </is>
      </c>
      <c r="Q1541" s="4" t="inlineStr">
        <is>
          <t>Bellón</t>
        </is>
      </c>
      <c r="AF1541" s="4" t="inlineStr">
        <is>
          <t>tipo: codo-90 · material: cobre · medida: 3/8"</t>
        </is>
      </c>
    </row>
    <row r="1542">
      <c r="A1542" s="3" t="inlineStr">
        <is>
          <t>MAT-32-185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90° de cobre 5/8"</t>
        </is>
      </c>
      <c r="E1542" s="4" t="inlineStr"/>
      <c r="F1542" s="3" t="inlineStr">
        <is>
          <t>unidad</t>
        </is>
      </c>
      <c r="G1542" s="3" t="inlineStr">
        <is>
          <t>Instalaciones</t>
        </is>
      </c>
      <c r="H1542" s="3" t="inlineStr">
        <is>
          <t>estandar</t>
        </is>
      </c>
      <c r="I1542" s="3" t="inlineStr">
        <is>
          <t>importado</t>
        </is>
      </c>
      <c r="J1542" s="5" t="n">
        <v>1</v>
      </c>
      <c r="K1542" s="6" t="n">
        <v>80</v>
      </c>
      <c r="L1542" s="6" t="n">
        <v>80</v>
      </c>
      <c r="M1542" s="6" t="n">
        <v>80</v>
      </c>
      <c r="N1542" s="3" t="inlineStr">
        <is>
          <t>Sí</t>
        </is>
      </c>
      <c r="O1542" s="6">
        <f>IF(K1542="","",IF(N1542="Sí",ROUND(K1542/1.18,2),K1542))</f>
        <v/>
      </c>
      <c r="P1542" s="3" t="inlineStr">
        <is>
          <t>2026-09-10</t>
        </is>
      </c>
      <c r="Q1542" s="4" t="inlineStr">
        <is>
          <t>Bellón</t>
        </is>
      </c>
      <c r="AF1542" s="4" t="inlineStr">
        <is>
          <t>tipo: codo-90 · material: cobre · medida: 5/8"</t>
        </is>
      </c>
    </row>
    <row r="1543">
      <c r="A1543" s="3" t="inlineStr">
        <is>
          <t>MAT-32-186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90° de cobre 7/8"</t>
        </is>
      </c>
      <c r="E1543" s="4" t="inlineStr"/>
      <c r="F1543" s="3" t="inlineStr">
        <is>
          <t>unidad</t>
        </is>
      </c>
      <c r="G1543" s="3" t="inlineStr">
        <is>
          <t>Instalaciones</t>
        </is>
      </c>
      <c r="H1543" s="3" t="inlineStr">
        <is>
          <t>estandar</t>
        </is>
      </c>
      <c r="I1543" s="3" t="inlineStr">
        <is>
          <t>importado</t>
        </is>
      </c>
      <c r="J1543" s="5" t="n">
        <v>1</v>
      </c>
      <c r="K1543" s="6" t="n">
        <v>159</v>
      </c>
      <c r="L1543" s="6" t="n">
        <v>159</v>
      </c>
      <c r="M1543" s="6" t="n">
        <v>159</v>
      </c>
      <c r="N1543" s="3" t="inlineStr">
        <is>
          <t>Sí</t>
        </is>
      </c>
      <c r="O1543" s="6">
        <f>IF(K1543="","",IF(N1543="Sí",ROUND(K1543/1.18,2),K1543))</f>
        <v/>
      </c>
      <c r="P1543" s="3" t="inlineStr">
        <is>
          <t>2026-09-10</t>
        </is>
      </c>
      <c r="Q1543" s="4" t="inlineStr">
        <is>
          <t>Bellón</t>
        </is>
      </c>
      <c r="AF1543" s="4" t="inlineStr">
        <is>
          <t>tipo: codo-90 · material: cobre · medida: 7/8"</t>
        </is>
      </c>
    </row>
    <row r="1544">
      <c r="A1544" s="3" t="inlineStr">
        <is>
          <t>MAT-32-187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90° de CPVC 1/2"</t>
        </is>
      </c>
      <c r="E1544" s="4" t="inlineStr"/>
      <c r="F1544" s="3" t="inlineStr">
        <is>
          <t>unidad</t>
        </is>
      </c>
      <c r="G1544" s="3" t="inlineStr">
        <is>
          <t>Instalaciones</t>
        </is>
      </c>
      <c r="H1544" s="3" t="inlineStr">
        <is>
          <t>estandar</t>
        </is>
      </c>
      <c r="I1544" s="3" t="inlineStr">
        <is>
          <t>importado</t>
        </is>
      </c>
      <c r="J1544" s="5" t="n">
        <v>1</v>
      </c>
      <c r="K1544" s="6" t="n">
        <v>10.61</v>
      </c>
      <c r="L1544" s="6" t="n">
        <v>10.61</v>
      </c>
      <c r="M1544" s="6" t="n">
        <v>10.61</v>
      </c>
      <c r="N1544" s="3" t="inlineStr">
        <is>
          <t>Sí</t>
        </is>
      </c>
      <c r="O1544" s="6">
        <f>IF(K1544="","",IF(N1544="Sí",ROUND(K1544/1.18,2),K1544))</f>
        <v/>
      </c>
      <c r="P1544" s="3" t="inlineStr">
        <is>
          <t>2026-09-10</t>
        </is>
      </c>
      <c r="Q1544" s="4" t="inlineStr">
        <is>
          <t>Bellón</t>
        </is>
      </c>
      <c r="AF1544" s="4" t="inlineStr">
        <is>
          <t>tipo: codo-90 · material: CPVC · medida: 1/2"</t>
        </is>
      </c>
    </row>
    <row r="1545">
      <c r="A1545" s="3" t="inlineStr">
        <is>
          <t>MAT-32-188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90° de CPVC 1"</t>
        </is>
      </c>
      <c r="E1545" s="4" t="inlineStr"/>
      <c r="F1545" s="3" t="inlineStr">
        <is>
          <t>unidad</t>
        </is>
      </c>
      <c r="G1545" s="3" t="inlineStr">
        <is>
          <t>Instalaciones</t>
        </is>
      </c>
      <c r="H1545" s="3" t="inlineStr">
        <is>
          <t>estandar</t>
        </is>
      </c>
      <c r="I1545" s="3" t="inlineStr">
        <is>
          <t>importado</t>
        </is>
      </c>
      <c r="J1545" s="5" t="n">
        <v>1</v>
      </c>
      <c r="K1545" s="6" t="n">
        <v>45.15</v>
      </c>
      <c r="L1545" s="6" t="n">
        <v>45.15</v>
      </c>
      <c r="M1545" s="6" t="n">
        <v>45.15</v>
      </c>
      <c r="N1545" s="3" t="inlineStr">
        <is>
          <t>Sí</t>
        </is>
      </c>
      <c r="O1545" s="6">
        <f>IF(K1545="","",IF(N1545="Sí",ROUND(K1545/1.18,2),K1545))</f>
        <v/>
      </c>
      <c r="P1545" s="3" t="inlineStr">
        <is>
          <t>2026-09-10</t>
        </is>
      </c>
      <c r="Q1545" s="4" t="inlineStr">
        <is>
          <t>Bellón</t>
        </is>
      </c>
      <c r="AF1545" s="4" t="inlineStr">
        <is>
          <t>tipo: codo-90 · material: CPVC · medida: 1"</t>
        </is>
      </c>
    </row>
    <row r="1546">
      <c r="A1546" s="3" t="inlineStr">
        <is>
          <t>MAT-32-189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90° de CPVC 3/4"</t>
        </is>
      </c>
      <c r="E1546" s="4" t="inlineStr"/>
      <c r="F1546" s="3" t="inlineStr">
        <is>
          <t>unidad</t>
        </is>
      </c>
      <c r="G1546" s="3" t="inlineStr">
        <is>
          <t>Instalaciones</t>
        </is>
      </c>
      <c r="H1546" s="3" t="inlineStr">
        <is>
          <t>estandar</t>
        </is>
      </c>
      <c r="I1546" s="3" t="inlineStr">
        <is>
          <t>importado</t>
        </is>
      </c>
      <c r="J1546" s="5" t="n">
        <v>1</v>
      </c>
      <c r="K1546" s="6" t="n">
        <v>15.75</v>
      </c>
      <c r="L1546" s="6" t="n">
        <v>15.75</v>
      </c>
      <c r="M1546" s="6" t="n">
        <v>15.75</v>
      </c>
      <c r="N1546" s="3" t="inlineStr">
        <is>
          <t>Sí</t>
        </is>
      </c>
      <c r="O1546" s="6">
        <f>IF(K1546="","",IF(N1546="Sí",ROUND(K1546/1.18,2),K1546))</f>
        <v/>
      </c>
      <c r="P1546" s="3" t="inlineStr">
        <is>
          <t>2026-09-10</t>
        </is>
      </c>
      <c r="Q1546" s="4" t="inlineStr">
        <is>
          <t>Bellón</t>
        </is>
      </c>
      <c r="AF1546" s="4" t="inlineStr">
        <is>
          <t>tipo: codo-90 · material: CPVC · medida: 3/4"</t>
        </is>
      </c>
    </row>
    <row r="1547">
      <c r="A1547" s="3" t="inlineStr">
        <is>
          <t>MAT-32-190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90° de HG 1 1/2"</t>
        </is>
      </c>
      <c r="E1547" s="4" t="inlineStr"/>
      <c r="F1547" s="3" t="inlineStr">
        <is>
          <t>unidad</t>
        </is>
      </c>
      <c r="G1547" s="3" t="inlineStr">
        <is>
          <t>Instalaciones</t>
        </is>
      </c>
      <c r="H1547" s="3" t="inlineStr">
        <is>
          <t>estandar</t>
        </is>
      </c>
      <c r="I1547" s="3" t="inlineStr">
        <is>
          <t>importado</t>
        </is>
      </c>
      <c r="J1547" s="5" t="n">
        <v>1</v>
      </c>
      <c r="K1547" s="6" t="n">
        <v>106</v>
      </c>
      <c r="L1547" s="6" t="n">
        <v>106</v>
      </c>
      <c r="M1547" s="6" t="n">
        <v>106</v>
      </c>
      <c r="N1547" s="3" t="inlineStr">
        <is>
          <t>Sí</t>
        </is>
      </c>
      <c r="O1547" s="6">
        <f>IF(K1547="","",IF(N1547="Sí",ROUND(K1547/1.18,2),K1547))</f>
        <v/>
      </c>
      <c r="P1547" s="3" t="inlineStr">
        <is>
          <t>2026-09-10</t>
        </is>
      </c>
      <c r="Q1547" s="4" t="inlineStr">
        <is>
          <t>Bellón</t>
        </is>
      </c>
      <c r="AF1547" s="4" t="inlineStr">
        <is>
          <t>tipo: codo-90 · material: HG · medida: 1 1/2"</t>
        </is>
      </c>
    </row>
    <row r="1548">
      <c r="A1548" s="3" t="inlineStr">
        <is>
          <t>MAT-32-191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90° de HG 1 1/4"</t>
        </is>
      </c>
      <c r="E1548" s="4" t="inlineStr"/>
      <c r="F1548" s="3" t="inlineStr">
        <is>
          <t>unidad</t>
        </is>
      </c>
      <c r="G1548" s="3" t="inlineStr">
        <is>
          <t>Instalaciones</t>
        </is>
      </c>
      <c r="H1548" s="3" t="inlineStr">
        <is>
          <t>estandar</t>
        </is>
      </c>
      <c r="I1548" s="3" t="inlineStr">
        <is>
          <t>importado</t>
        </is>
      </c>
      <c r="J1548" s="5" t="n">
        <v>1</v>
      </c>
      <c r="K1548" s="6" t="n">
        <v>87</v>
      </c>
      <c r="L1548" s="6" t="n">
        <v>87</v>
      </c>
      <c r="M1548" s="6" t="n">
        <v>87</v>
      </c>
      <c r="N1548" s="3" t="inlineStr">
        <is>
          <t>Sí</t>
        </is>
      </c>
      <c r="O1548" s="6">
        <f>IF(K1548="","",IF(N1548="Sí",ROUND(K1548/1.18,2),K1548))</f>
        <v/>
      </c>
      <c r="P1548" s="3" t="inlineStr">
        <is>
          <t>2026-09-10</t>
        </is>
      </c>
      <c r="Q1548" s="4" t="inlineStr">
        <is>
          <t>Bellón</t>
        </is>
      </c>
      <c r="AF1548" s="4" t="inlineStr">
        <is>
          <t>tipo: codo-90 · material: HG · medida: 1 1/4"</t>
        </is>
      </c>
    </row>
    <row r="1549">
      <c r="A1549" s="3" t="inlineStr">
        <is>
          <t>MAT-32-192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90° de HG 1/2"</t>
        </is>
      </c>
      <c r="E1549" s="4" t="inlineStr"/>
      <c r="F1549" s="3" t="inlineStr">
        <is>
          <t>unidad</t>
        </is>
      </c>
      <c r="G1549" s="3" t="inlineStr">
        <is>
          <t>Instalaciones</t>
        </is>
      </c>
      <c r="H1549" s="3" t="inlineStr">
        <is>
          <t>estandar</t>
        </is>
      </c>
      <c r="I1549" s="3" t="inlineStr">
        <is>
          <t>importado</t>
        </is>
      </c>
      <c r="J1549" s="5" t="n">
        <v>1</v>
      </c>
      <c r="K1549" s="6" t="n">
        <v>24</v>
      </c>
      <c r="L1549" s="6" t="n">
        <v>24</v>
      </c>
      <c r="M1549" s="6" t="n">
        <v>24</v>
      </c>
      <c r="N1549" s="3" t="inlineStr">
        <is>
          <t>Sí</t>
        </is>
      </c>
      <c r="O1549" s="6">
        <f>IF(K1549="","",IF(N1549="Sí",ROUND(K1549/1.18,2),K1549))</f>
        <v/>
      </c>
      <c r="P1549" s="3" t="inlineStr">
        <is>
          <t>2026-09-10</t>
        </is>
      </c>
      <c r="Q1549" s="4" t="inlineStr">
        <is>
          <t>Bellón</t>
        </is>
      </c>
      <c r="AF1549" s="4" t="inlineStr">
        <is>
          <t>tipo: codo-90 · material: HG · medida: 1/2"</t>
        </is>
      </c>
    </row>
    <row r="1550">
      <c r="A1550" s="3" t="inlineStr">
        <is>
          <t>MAT-32-193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90° de HG 1/4"</t>
        </is>
      </c>
      <c r="E1550" s="4" t="inlineStr"/>
      <c r="F1550" s="3" t="inlineStr">
        <is>
          <t>unidad</t>
        </is>
      </c>
      <c r="G1550" s="3" t="inlineStr">
        <is>
          <t>Instalaciones</t>
        </is>
      </c>
      <c r="H1550" s="3" t="inlineStr">
        <is>
          <t>estandar</t>
        </is>
      </c>
      <c r="I1550" s="3" t="inlineStr">
        <is>
          <t>importado</t>
        </is>
      </c>
      <c r="J1550" s="5" t="n">
        <v>1</v>
      </c>
      <c r="K1550" s="6" t="n">
        <v>38.35</v>
      </c>
      <c r="L1550" s="6" t="n">
        <v>38.35</v>
      </c>
      <c r="M1550" s="6" t="n">
        <v>38.35</v>
      </c>
      <c r="N1550" s="3" t="inlineStr">
        <is>
          <t>Sí</t>
        </is>
      </c>
      <c r="O1550" s="6">
        <f>IF(K1550="","",IF(N1550="Sí",ROUND(K1550/1.18,2),K1550))</f>
        <v/>
      </c>
      <c r="P1550" s="3" t="inlineStr">
        <is>
          <t>2026-09-10</t>
        </is>
      </c>
      <c r="Q1550" s="4" t="inlineStr">
        <is>
          <t>Bellón</t>
        </is>
      </c>
      <c r="AF1550" s="4" t="inlineStr">
        <is>
          <t>tipo: codo-90 · material: HG · medida: 1/4"</t>
        </is>
      </c>
    </row>
    <row r="1551">
      <c r="A1551" s="3" t="inlineStr">
        <is>
          <t>MAT-32-194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90° de HG 1"</t>
        </is>
      </c>
      <c r="E1551" s="4" t="inlineStr"/>
      <c r="F1551" s="3" t="inlineStr">
        <is>
          <t>unidad</t>
        </is>
      </c>
      <c r="G1551" s="3" t="inlineStr">
        <is>
          <t>Instalaciones</t>
        </is>
      </c>
      <c r="H1551" s="3" t="inlineStr">
        <is>
          <t>estandar</t>
        </is>
      </c>
      <c r="I1551" s="3" t="inlineStr">
        <is>
          <t>importado</t>
        </is>
      </c>
      <c r="J1551" s="5" t="n">
        <v>1</v>
      </c>
      <c r="K1551" s="6" t="n">
        <v>51</v>
      </c>
      <c r="L1551" s="6" t="n">
        <v>51</v>
      </c>
      <c r="M1551" s="6" t="n">
        <v>51</v>
      </c>
      <c r="N1551" s="3" t="inlineStr">
        <is>
          <t>Sí</t>
        </is>
      </c>
      <c r="O1551" s="6">
        <f>IF(K1551="","",IF(N1551="Sí",ROUND(K1551/1.18,2),K1551))</f>
        <v/>
      </c>
      <c r="P1551" s="3" t="inlineStr">
        <is>
          <t>2026-09-10</t>
        </is>
      </c>
      <c r="Q1551" s="4" t="inlineStr">
        <is>
          <t>Bellón</t>
        </is>
      </c>
      <c r="AF1551" s="4" t="inlineStr">
        <is>
          <t>tipo: codo-90 · material: HG · medida: 1"</t>
        </is>
      </c>
    </row>
    <row r="1552">
      <c r="A1552" s="3" t="inlineStr">
        <is>
          <t>MAT-32-195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90° de HG 2"</t>
        </is>
      </c>
      <c r="E1552" s="4" t="inlineStr"/>
      <c r="F1552" s="3" t="inlineStr">
        <is>
          <t>unidad</t>
        </is>
      </c>
      <c r="G1552" s="3" t="inlineStr">
        <is>
          <t>Instalaciones</t>
        </is>
      </c>
      <c r="H1552" s="3" t="inlineStr">
        <is>
          <t>estandar</t>
        </is>
      </c>
      <c r="I1552" s="3" t="inlineStr">
        <is>
          <t>importado</t>
        </is>
      </c>
      <c r="J1552" s="5" t="n">
        <v>1</v>
      </c>
      <c r="K1552" s="6" t="n">
        <v>170</v>
      </c>
      <c r="L1552" s="6" t="n">
        <v>170</v>
      </c>
      <c r="M1552" s="6" t="n">
        <v>170</v>
      </c>
      <c r="N1552" s="3" t="inlineStr">
        <is>
          <t>Sí</t>
        </is>
      </c>
      <c r="O1552" s="6">
        <f>IF(K1552="","",IF(N1552="Sí",ROUND(K1552/1.18,2),K1552))</f>
        <v/>
      </c>
      <c r="P1552" s="3" t="inlineStr">
        <is>
          <t>2026-09-10</t>
        </is>
      </c>
      <c r="Q1552" s="4" t="inlineStr">
        <is>
          <t>Bellón</t>
        </is>
      </c>
      <c r="AF1552" s="4" t="inlineStr">
        <is>
          <t>tipo: codo-90 · material: HG · medida: 2"</t>
        </is>
      </c>
    </row>
    <row r="1553">
      <c r="A1553" s="3" t="inlineStr">
        <is>
          <t>MAT-32-196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90° de HG 3/4"</t>
        </is>
      </c>
      <c r="E1553" s="4" t="inlineStr"/>
      <c r="F1553" s="3" t="inlineStr">
        <is>
          <t>unidad</t>
        </is>
      </c>
      <c r="G1553" s="3" t="inlineStr">
        <is>
          <t>Instalaciones</t>
        </is>
      </c>
      <c r="H1553" s="3" t="inlineStr">
        <is>
          <t>estandar</t>
        </is>
      </c>
      <c r="I1553" s="3" t="inlineStr">
        <is>
          <t>importado</t>
        </is>
      </c>
      <c r="J1553" s="5" t="n">
        <v>1</v>
      </c>
      <c r="K1553" s="6" t="n">
        <v>34</v>
      </c>
      <c r="L1553" s="6" t="n">
        <v>34</v>
      </c>
      <c r="M1553" s="6" t="n">
        <v>34</v>
      </c>
      <c r="N1553" s="3" t="inlineStr">
        <is>
          <t>Sí</t>
        </is>
      </c>
      <c r="O1553" s="6">
        <f>IF(K1553="","",IF(N1553="Sí",ROUND(K1553/1.18,2),K1553))</f>
        <v/>
      </c>
      <c r="P1553" s="3" t="inlineStr">
        <is>
          <t>2026-09-10</t>
        </is>
      </c>
      <c r="Q1553" s="4" t="inlineStr">
        <is>
          <t>Bellón</t>
        </is>
      </c>
      <c r="AF1553" s="4" t="inlineStr">
        <is>
          <t>tipo: codo-90 · material: HG · medida: 3/4"</t>
        </is>
      </c>
    </row>
    <row r="1554">
      <c r="A1554" s="3" t="inlineStr">
        <is>
          <t>MAT-32-197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90° de HG 3/8"</t>
        </is>
      </c>
      <c r="E1554" s="4" t="inlineStr"/>
      <c r="F1554" s="3" t="inlineStr">
        <is>
          <t>unidad</t>
        </is>
      </c>
      <c r="G1554" s="3" t="inlineStr">
        <is>
          <t>Instalaciones</t>
        </is>
      </c>
      <c r="H1554" s="3" t="inlineStr">
        <is>
          <t>estandar</t>
        </is>
      </c>
      <c r="I1554" s="3" t="inlineStr">
        <is>
          <t>importado</t>
        </is>
      </c>
      <c r="J1554" s="5" t="n">
        <v>1</v>
      </c>
      <c r="K1554" s="6" t="n">
        <v>51.55</v>
      </c>
      <c r="L1554" s="6" t="n">
        <v>51.55</v>
      </c>
      <c r="M1554" s="6" t="n">
        <v>51.55</v>
      </c>
      <c r="N1554" s="3" t="inlineStr">
        <is>
          <t>Sí</t>
        </is>
      </c>
      <c r="O1554" s="6">
        <f>IF(K1554="","",IF(N1554="Sí",ROUND(K1554/1.18,2),K1554))</f>
        <v/>
      </c>
      <c r="P1554" s="3" t="inlineStr">
        <is>
          <t>2026-09-10</t>
        </is>
      </c>
      <c r="Q1554" s="4" t="inlineStr">
        <is>
          <t>Bellón</t>
        </is>
      </c>
      <c r="AF1554" s="4" t="inlineStr">
        <is>
          <t>tipo: codo-90 · material: HG · medida: 3/8"</t>
        </is>
      </c>
    </row>
    <row r="1555">
      <c r="A1555" s="3" t="inlineStr">
        <is>
          <t>MAT-32-198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90° de HG 3"</t>
        </is>
      </c>
      <c r="E1555" s="4" t="inlineStr"/>
      <c r="F1555" s="3" t="inlineStr">
        <is>
          <t>unidad</t>
        </is>
      </c>
      <c r="G1555" s="3" t="inlineStr">
        <is>
          <t>Instalaciones</t>
        </is>
      </c>
      <c r="H1555" s="3" t="inlineStr">
        <is>
          <t>estandar</t>
        </is>
      </c>
      <c r="I1555" s="3" t="inlineStr">
        <is>
          <t>importado</t>
        </is>
      </c>
      <c r="J1555" s="5" t="n">
        <v>1</v>
      </c>
      <c r="K1555" s="6" t="n">
        <v>464</v>
      </c>
      <c r="L1555" s="6" t="n">
        <v>464</v>
      </c>
      <c r="M1555" s="6" t="n">
        <v>464</v>
      </c>
      <c r="N1555" s="3" t="inlineStr">
        <is>
          <t>Sí</t>
        </is>
      </c>
      <c r="O1555" s="6">
        <f>IF(K1555="","",IF(N1555="Sí",ROUND(K1555/1.18,2),K1555))</f>
        <v/>
      </c>
      <c r="P1555" s="3" t="inlineStr">
        <is>
          <t>2026-09-10</t>
        </is>
      </c>
      <c r="Q1555" s="4" t="inlineStr">
        <is>
          <t>Bellón</t>
        </is>
      </c>
      <c r="AF1555" s="4" t="inlineStr">
        <is>
          <t>tipo: codo-90 · material: HG · medida: 3"</t>
        </is>
      </c>
    </row>
    <row r="1556">
      <c r="A1556" s="3" t="inlineStr">
        <is>
          <t>MAT-32-199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90° de HG 4"</t>
        </is>
      </c>
      <c r="E1556" s="4" t="inlineStr"/>
      <c r="F1556" s="3" t="inlineStr">
        <is>
          <t>unidad</t>
        </is>
      </c>
      <c r="G1556" s="3" t="inlineStr">
        <is>
          <t>Instalaciones</t>
        </is>
      </c>
      <c r="H1556" s="3" t="inlineStr">
        <is>
          <t>estandar</t>
        </is>
      </c>
      <c r="I1556" s="3" t="inlineStr">
        <is>
          <t>importado</t>
        </is>
      </c>
      <c r="J1556" s="5" t="n">
        <v>1</v>
      </c>
      <c r="K1556" s="6" t="n">
        <v>840</v>
      </c>
      <c r="L1556" s="6" t="n">
        <v>840</v>
      </c>
      <c r="M1556" s="6" t="n">
        <v>840</v>
      </c>
      <c r="N1556" s="3" t="inlineStr">
        <is>
          <t>Sí</t>
        </is>
      </c>
      <c r="O1556" s="6">
        <f>IF(K1556="","",IF(N1556="Sí",ROUND(K1556/1.18,2),K1556))</f>
        <v/>
      </c>
      <c r="P1556" s="3" t="inlineStr">
        <is>
          <t>2026-09-10</t>
        </is>
      </c>
      <c r="Q1556" s="4" t="inlineStr">
        <is>
          <t>Bellón</t>
        </is>
      </c>
      <c r="AF1556" s="4" t="inlineStr">
        <is>
          <t>tipo: codo-90 · material: HG · medida: 4"</t>
        </is>
      </c>
    </row>
    <row r="1557">
      <c r="A1557" s="3" t="inlineStr">
        <is>
          <t>MAT-32-200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90° de plástico 50"</t>
        </is>
      </c>
      <c r="E1557" s="4" t="inlineStr"/>
      <c r="F1557" s="3" t="inlineStr">
        <is>
          <t>unidad</t>
        </is>
      </c>
      <c r="G1557" s="3" t="inlineStr">
        <is>
          <t>Instalaciones</t>
        </is>
      </c>
      <c r="H1557" s="3" t="inlineStr">
        <is>
          <t>estandar</t>
        </is>
      </c>
      <c r="I1557" s="3" t="inlineStr">
        <is>
          <t>importado</t>
        </is>
      </c>
      <c r="J1557" s="5" t="n">
        <v>1</v>
      </c>
      <c r="K1557" s="6" t="n">
        <v>315</v>
      </c>
      <c r="L1557" s="6" t="n">
        <v>315</v>
      </c>
      <c r="M1557" s="6" t="n">
        <v>315</v>
      </c>
      <c r="N1557" s="3" t="inlineStr">
        <is>
          <t>Sí</t>
        </is>
      </c>
      <c r="O1557" s="6">
        <f>IF(K1557="","",IF(N1557="Sí",ROUND(K1557/1.18,2),K1557))</f>
        <v/>
      </c>
      <c r="P1557" s="3" t="inlineStr">
        <is>
          <t>2026-09-10</t>
        </is>
      </c>
      <c r="Q1557" s="4" t="inlineStr">
        <is>
          <t>Bellón</t>
        </is>
      </c>
      <c r="AF1557" s="4" t="inlineStr">
        <is>
          <t>tipo: codo-90 · material: plástico · medida: 50"</t>
        </is>
      </c>
    </row>
    <row r="1558">
      <c r="A1558" s="3" t="inlineStr">
        <is>
          <t>MAT-32-201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90° de plástico 63"</t>
        </is>
      </c>
      <c r="E1558" s="4" t="inlineStr"/>
      <c r="F1558" s="3" t="inlineStr">
        <is>
          <t>unidad</t>
        </is>
      </c>
      <c r="G1558" s="3" t="inlineStr">
        <is>
          <t>Instalaciones</t>
        </is>
      </c>
      <c r="H1558" s="3" t="inlineStr">
        <is>
          <t>estandar</t>
        </is>
      </c>
      <c r="I1558" s="3" t="inlineStr">
        <is>
          <t>importado</t>
        </is>
      </c>
      <c r="J1558" s="5" t="n">
        <v>1</v>
      </c>
      <c r="K1558" s="6" t="n">
        <v>415</v>
      </c>
      <c r="L1558" s="6" t="n">
        <v>370</v>
      </c>
      <c r="M1558" s="6" t="n">
        <v>460</v>
      </c>
      <c r="N1558" s="3" t="inlineStr">
        <is>
          <t>Sí</t>
        </is>
      </c>
      <c r="O1558" s="6">
        <f>IF(K1558="","",IF(N1558="Sí",ROUND(K1558/1.18,2),K1558))</f>
        <v/>
      </c>
      <c r="P1558" s="3" t="inlineStr">
        <is>
          <t>2026-09-10</t>
        </is>
      </c>
      <c r="Q1558" s="4" t="inlineStr">
        <is>
          <t>Bellón</t>
        </is>
      </c>
      <c r="AF1558" s="4" t="inlineStr">
        <is>
          <t>tipo: codo-90 · material: plástico · medida: 63"</t>
        </is>
      </c>
    </row>
    <row r="1559">
      <c r="A1559" s="3" t="inlineStr">
        <is>
          <t>MAT-32-202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90° de PPR 20 mm</t>
        </is>
      </c>
      <c r="E1559" s="4" t="inlineStr"/>
      <c r="F1559" s="3" t="inlineStr">
        <is>
          <t>unidad</t>
        </is>
      </c>
      <c r="G1559" s="3" t="inlineStr">
        <is>
          <t>Instalaciones</t>
        </is>
      </c>
      <c r="H1559" s="3" t="inlineStr">
        <is>
          <t>estandar</t>
        </is>
      </c>
      <c r="I1559" s="3" t="inlineStr">
        <is>
          <t>importado</t>
        </is>
      </c>
      <c r="J1559" s="5" t="n">
        <v>2</v>
      </c>
      <c r="K1559" s="6" t="n">
        <v>19.63</v>
      </c>
      <c r="L1559" s="6" t="n">
        <v>6.25</v>
      </c>
      <c r="M1559" s="6" t="n">
        <v>33</v>
      </c>
      <c r="N1559" s="3" t="inlineStr">
        <is>
          <t>Sí</t>
        </is>
      </c>
      <c r="O1559" s="6">
        <f>IF(K1559="","",IF(N1559="Sí",ROUND(K1559/1.18,2),K1559))</f>
        <v/>
      </c>
      <c r="P1559" s="3" t="inlineStr">
        <is>
          <t>2026-09-10</t>
        </is>
      </c>
      <c r="Q1559" s="4" t="inlineStr">
        <is>
          <t>Bellón · Ferretería Cima</t>
        </is>
      </c>
      <c r="AF1559" s="4" t="inlineStr">
        <is>
          <t>tipo: codo-90 · material: PPR · medida: 20 mm</t>
        </is>
      </c>
    </row>
    <row r="1560">
      <c r="A1560" s="3" t="inlineStr">
        <is>
          <t>MAT-32-203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90° de PPR 25 mm</t>
        </is>
      </c>
      <c r="E1560" s="4" t="inlineStr"/>
      <c r="F1560" s="3" t="inlineStr">
        <is>
          <t>unidad</t>
        </is>
      </c>
      <c r="G1560" s="3" t="inlineStr">
        <is>
          <t>Instalaciones</t>
        </is>
      </c>
      <c r="H1560" s="3" t="inlineStr">
        <is>
          <t>estandar</t>
        </is>
      </c>
      <c r="I1560" s="3" t="inlineStr">
        <is>
          <t>importado</t>
        </is>
      </c>
      <c r="J1560" s="5" t="n">
        <v>2</v>
      </c>
      <c r="K1560" s="6" t="n">
        <v>24.96</v>
      </c>
      <c r="L1560" s="6" t="n">
        <v>9.92</v>
      </c>
      <c r="M1560" s="6" t="n">
        <v>40</v>
      </c>
      <c r="N1560" s="3" t="inlineStr">
        <is>
          <t>Sí</t>
        </is>
      </c>
      <c r="O1560" s="6">
        <f>IF(K1560="","",IF(N1560="Sí",ROUND(K1560/1.18,2),K1560))</f>
        <v/>
      </c>
      <c r="P1560" s="3" t="inlineStr">
        <is>
          <t>2026-09-10</t>
        </is>
      </c>
      <c r="Q1560" s="4" t="inlineStr">
        <is>
          <t>Bellón · Ferretería Cima</t>
        </is>
      </c>
      <c r="AF1560" s="4" t="inlineStr">
        <is>
          <t>tipo: codo-90 · material: PPR · medida: 25 mm</t>
        </is>
      </c>
    </row>
    <row r="1561">
      <c r="A1561" s="3" t="inlineStr">
        <is>
          <t>MAT-32-204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90° de PPR 32 mm</t>
        </is>
      </c>
      <c r="E1561" s="4" t="inlineStr"/>
      <c r="F1561" s="3" t="inlineStr">
        <is>
          <t>unidad</t>
        </is>
      </c>
      <c r="G1561" s="3" t="inlineStr">
        <is>
          <t>Instalaciones</t>
        </is>
      </c>
      <c r="H1561" s="3" t="inlineStr">
        <is>
          <t>estandar</t>
        </is>
      </c>
      <c r="I1561" s="3" t="inlineStr">
        <is>
          <t>importado</t>
        </is>
      </c>
      <c r="J1561" s="5" t="n">
        <v>1</v>
      </c>
      <c r="K1561" s="6" t="n">
        <v>17.67</v>
      </c>
      <c r="L1561" s="6" t="n">
        <v>17.67</v>
      </c>
      <c r="M1561" s="6" t="n">
        <v>17.67</v>
      </c>
      <c r="N1561" s="3" t="inlineStr">
        <is>
          <t>Sí</t>
        </is>
      </c>
      <c r="O1561" s="6">
        <f>IF(K1561="","",IF(N1561="Sí",ROUND(K1561/1.18,2),K1561))</f>
        <v/>
      </c>
      <c r="P1561" s="3" t="inlineStr">
        <is>
          <t>2026-09-10</t>
        </is>
      </c>
      <c r="Q1561" s="4" t="inlineStr">
        <is>
          <t>Bellón</t>
        </is>
      </c>
      <c r="AF1561" s="4" t="inlineStr">
        <is>
          <t>tipo: codo-90 · material: PPR · medida: 32 mm</t>
        </is>
      </c>
    </row>
    <row r="1562">
      <c r="A1562" s="3" t="inlineStr">
        <is>
          <t>MAT-32-205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90° de PPR 50 mm</t>
        </is>
      </c>
      <c r="E1562" s="4" t="inlineStr"/>
      <c r="F1562" s="3" t="inlineStr">
        <is>
          <t>unidad</t>
        </is>
      </c>
      <c r="G1562" s="3" t="inlineStr">
        <is>
          <t>Instalaciones</t>
        </is>
      </c>
      <c r="H1562" s="3" t="inlineStr">
        <is>
          <t>estandar</t>
        </is>
      </c>
      <c r="I1562" s="3" t="inlineStr">
        <is>
          <t>importado</t>
        </is>
      </c>
      <c r="J1562" s="5" t="n">
        <v>1</v>
      </c>
      <c r="K1562" s="6" t="n">
        <v>60</v>
      </c>
      <c r="L1562" s="6" t="n">
        <v>60</v>
      </c>
      <c r="M1562" s="6" t="n">
        <v>60</v>
      </c>
      <c r="N1562" s="3" t="inlineStr">
        <is>
          <t>Sí</t>
        </is>
      </c>
      <c r="O1562" s="6">
        <f>IF(K1562="","",IF(N1562="Sí",ROUND(K1562/1.18,2),K1562))</f>
        <v/>
      </c>
      <c r="P1562" s="3" t="inlineStr">
        <is>
          <t>2026-09-10</t>
        </is>
      </c>
      <c r="Q1562" s="4" t="inlineStr">
        <is>
          <t>Bellón</t>
        </is>
      </c>
      <c r="AF1562" s="4" t="inlineStr">
        <is>
          <t>tipo: codo-90 · material: PPR · medida: 50 mm</t>
        </is>
      </c>
    </row>
    <row r="1563">
      <c r="A1563" s="3" t="inlineStr">
        <is>
          <t>MAT-32-206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90° de PVC drenaje 1 1/2"</t>
        </is>
      </c>
      <c r="E1563" s="4" t="inlineStr"/>
      <c r="F1563" s="3" t="inlineStr">
        <is>
          <t>unidad</t>
        </is>
      </c>
      <c r="G1563" s="3" t="inlineStr">
        <is>
          <t>Instalaciones</t>
        </is>
      </c>
      <c r="H1563" s="3" t="inlineStr">
        <is>
          <t>estandar</t>
        </is>
      </c>
      <c r="I1563" s="3" t="inlineStr">
        <is>
          <t>importado</t>
        </is>
      </c>
      <c r="J1563" s="5" t="n">
        <v>2</v>
      </c>
      <c r="K1563" s="6" t="n">
        <v>23.66</v>
      </c>
      <c r="L1563" s="6" t="n">
        <v>17.32</v>
      </c>
      <c r="M1563" s="6" t="n">
        <v>30</v>
      </c>
      <c r="N1563" s="3" t="inlineStr">
        <is>
          <t>Sí</t>
        </is>
      </c>
      <c r="O1563" s="6">
        <f>IF(K1563="","",IF(N1563="Sí",ROUND(K1563/1.18,2),K1563))</f>
        <v/>
      </c>
      <c r="P1563" s="3" t="inlineStr">
        <is>
          <t>2026-09-10</t>
        </is>
      </c>
      <c r="Q1563" s="4" t="inlineStr">
        <is>
          <t>Bellón · Ferretería Cima</t>
        </is>
      </c>
      <c r="AF1563" s="4" t="inlineStr">
        <is>
          <t>tipo: codo-90 · material: PVC drenaje · medida: 1 1/2"</t>
        </is>
      </c>
    </row>
    <row r="1564">
      <c r="A1564" s="3" t="inlineStr">
        <is>
          <t>MAT-32-207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90° de PVC drenaje 2"</t>
        </is>
      </c>
      <c r="E1564" s="4" t="inlineStr"/>
      <c r="F1564" s="3" t="inlineStr">
        <is>
          <t>unidad</t>
        </is>
      </c>
      <c r="G1564" s="3" t="inlineStr">
        <is>
          <t>Instalaciones</t>
        </is>
      </c>
      <c r="H1564" s="3" t="inlineStr">
        <is>
          <t>estandar</t>
        </is>
      </c>
      <c r="I1564" s="3" t="inlineStr">
        <is>
          <t>importado</t>
        </is>
      </c>
      <c r="J1564" s="5" t="n">
        <v>2</v>
      </c>
      <c r="K1564" s="6" t="n">
        <v>26.8</v>
      </c>
      <c r="L1564" s="6" t="n">
        <v>16.01</v>
      </c>
      <c r="M1564" s="6" t="n">
        <v>35</v>
      </c>
      <c r="N1564" s="3" t="inlineStr">
        <is>
          <t>Sí</t>
        </is>
      </c>
      <c r="O1564" s="6">
        <f>IF(K1564="","",IF(N1564="Sí",ROUND(K1564/1.18,2),K1564))</f>
        <v/>
      </c>
      <c r="P1564" s="3" t="inlineStr">
        <is>
          <t>2026-09-10</t>
        </is>
      </c>
      <c r="Q1564" s="4" t="inlineStr">
        <is>
          <t>Bellón · Ferretería Cima</t>
        </is>
      </c>
      <c r="AF1564" s="4" t="inlineStr">
        <is>
          <t>tipo: codo-90 · material: PVC drenaje · medida: 2"</t>
        </is>
      </c>
    </row>
    <row r="1565">
      <c r="A1565" s="3" t="inlineStr">
        <is>
          <t>MAT-32-208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90° de PVC drenaje 3"</t>
        </is>
      </c>
      <c r="E1565" s="4" t="inlineStr"/>
      <c r="F1565" s="3" t="inlineStr">
        <is>
          <t>unidad</t>
        </is>
      </c>
      <c r="G1565" s="3" t="inlineStr">
        <is>
          <t>Instalaciones</t>
        </is>
      </c>
      <c r="H1565" s="3" t="inlineStr">
        <is>
          <t>estandar</t>
        </is>
      </c>
      <c r="I1565" s="3" t="inlineStr">
        <is>
          <t>importado</t>
        </is>
      </c>
      <c r="J1565" s="5" t="n">
        <v>2</v>
      </c>
      <c r="K1565" s="6" t="n">
        <v>75.16</v>
      </c>
      <c r="L1565" s="6" t="n">
        <v>54.53</v>
      </c>
      <c r="M1565" s="6" t="n">
        <v>95</v>
      </c>
      <c r="N1565" s="3" t="inlineStr">
        <is>
          <t>Sí</t>
        </is>
      </c>
      <c r="O1565" s="6">
        <f>IF(K1565="","",IF(N1565="Sí",ROUND(K1565/1.18,2),K1565))</f>
        <v/>
      </c>
      <c r="P1565" s="3" t="inlineStr">
        <is>
          <t>2026-09-10</t>
        </is>
      </c>
      <c r="Q1565" s="4" t="inlineStr">
        <is>
          <t>Bellón · Ferretería Cima</t>
        </is>
      </c>
      <c r="AF1565" s="4" t="inlineStr">
        <is>
          <t>tipo: codo-90 · material: PVC drenaje · medida: 3"</t>
        </is>
      </c>
    </row>
    <row r="1566">
      <c r="A1566" s="3" t="inlineStr">
        <is>
          <t>MAT-32-209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90° de PVC drenaje 4"</t>
        </is>
      </c>
      <c r="E1566" s="4" t="inlineStr"/>
      <c r="F1566" s="3" t="inlineStr">
        <is>
          <t>unidad</t>
        </is>
      </c>
      <c r="G1566" s="3" t="inlineStr">
        <is>
          <t>Instalaciones</t>
        </is>
      </c>
      <c r="H1566" s="3" t="inlineStr">
        <is>
          <t>estandar</t>
        </is>
      </c>
      <c r="I1566" s="3" t="inlineStr">
        <is>
          <t>importado</t>
        </is>
      </c>
      <c r="J1566" s="5" t="n">
        <v>1</v>
      </c>
      <c r="K1566" s="6" t="n">
        <v>113.88</v>
      </c>
      <c r="L1566" s="6" t="n">
        <v>89.5</v>
      </c>
      <c r="M1566" s="6" t="n">
        <v>138.26</v>
      </c>
      <c r="N1566" s="3" t="inlineStr">
        <is>
          <t>Sí</t>
        </is>
      </c>
      <c r="O1566" s="6">
        <f>IF(K1566="","",IF(N1566="Sí",ROUND(K1566/1.18,2),K1566))</f>
        <v/>
      </c>
      <c r="P1566" s="3" t="inlineStr">
        <is>
          <t>2026-09-10</t>
        </is>
      </c>
      <c r="Q1566" s="4" t="inlineStr">
        <is>
          <t>Bellón</t>
        </is>
      </c>
      <c r="AF1566" s="4" t="inlineStr">
        <is>
          <t>tipo: codo-90 · material: PVC drenaje · medida: 4"</t>
        </is>
      </c>
    </row>
    <row r="1567">
      <c r="A1567" s="3" t="inlineStr">
        <is>
          <t>MAT-32-210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90° de PVC drenaje 6"</t>
        </is>
      </c>
      <c r="E1567" s="4" t="inlineStr"/>
      <c r="F1567" s="3" t="inlineStr">
        <is>
          <t>unidad</t>
        </is>
      </c>
      <c r="G1567" s="3" t="inlineStr">
        <is>
          <t>Instalaciones</t>
        </is>
      </c>
      <c r="H1567" s="3" t="inlineStr">
        <is>
          <t>estandar</t>
        </is>
      </c>
      <c r="I1567" s="3" t="inlineStr">
        <is>
          <t>importado</t>
        </is>
      </c>
      <c r="J1567" s="5" t="n">
        <v>1</v>
      </c>
      <c r="K1567" s="6" t="n">
        <v>360.5</v>
      </c>
      <c r="L1567" s="6" t="n">
        <v>256</v>
      </c>
      <c r="M1567" s="6" t="n">
        <v>465</v>
      </c>
      <c r="N1567" s="3" t="inlineStr">
        <is>
          <t>Sí</t>
        </is>
      </c>
      <c r="O1567" s="6">
        <f>IF(K1567="","",IF(N1567="Sí",ROUND(K1567/1.18,2),K1567))</f>
        <v/>
      </c>
      <c r="P1567" s="3" t="inlineStr">
        <is>
          <t>2026-09-10</t>
        </is>
      </c>
      <c r="Q1567" s="4" t="inlineStr">
        <is>
          <t>Bellón</t>
        </is>
      </c>
      <c r="AF1567" s="4" t="inlineStr">
        <is>
          <t>tipo: codo-90 · material: PVC drenaje · medida: 6"</t>
        </is>
      </c>
    </row>
    <row r="1568">
      <c r="A1568" s="3" t="inlineStr">
        <is>
          <t>MAT-32-211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90° de PVC 1 1/2"</t>
        </is>
      </c>
      <c r="E1568" s="4" t="inlineStr"/>
      <c r="F1568" s="3" t="inlineStr">
        <is>
          <t>unidad</t>
        </is>
      </c>
      <c r="G1568" s="3" t="inlineStr">
        <is>
          <t>Instalaciones</t>
        </is>
      </c>
      <c r="H1568" s="3" t="inlineStr">
        <is>
          <t>estandar</t>
        </is>
      </c>
      <c r="I1568" s="3" t="inlineStr">
        <is>
          <t>importado</t>
        </is>
      </c>
      <c r="J1568" s="5" t="n">
        <v>1</v>
      </c>
      <c r="K1568" s="6" t="n">
        <v>70.2</v>
      </c>
      <c r="L1568" s="6" t="n">
        <v>70.2</v>
      </c>
      <c r="M1568" s="6" t="n">
        <v>70.2</v>
      </c>
      <c r="N1568" s="3" t="inlineStr">
        <is>
          <t>Sí</t>
        </is>
      </c>
      <c r="O1568" s="6">
        <f>IF(K1568="","",IF(N1568="Sí",ROUND(K1568/1.18,2),K1568))</f>
        <v/>
      </c>
      <c r="P1568" s="3" t="inlineStr">
        <is>
          <t>2026-09-10</t>
        </is>
      </c>
      <c r="Q1568" s="4" t="inlineStr">
        <is>
          <t>Bellón</t>
        </is>
      </c>
      <c r="AF1568" s="4" t="inlineStr">
        <is>
          <t>tipo: codo-90 · material: PVC · medida: 1 1/2"</t>
        </is>
      </c>
    </row>
    <row r="1569">
      <c r="A1569" s="3" t="inlineStr">
        <is>
          <t>MAT-32-212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90° de PVC 1"</t>
        </is>
      </c>
      <c r="E1569" s="4" t="inlineStr"/>
      <c r="F1569" s="3" t="inlineStr">
        <is>
          <t>unidad</t>
        </is>
      </c>
      <c r="G1569" s="3" t="inlineStr">
        <is>
          <t>Instalaciones</t>
        </is>
      </c>
      <c r="H1569" s="3" t="inlineStr">
        <is>
          <t>estandar</t>
        </is>
      </c>
      <c r="I1569" s="3" t="inlineStr">
        <is>
          <t>importado</t>
        </is>
      </c>
      <c r="J1569" s="5" t="n">
        <v>1</v>
      </c>
      <c r="K1569" s="6" t="n">
        <v>40.38</v>
      </c>
      <c r="L1569" s="6" t="n">
        <v>40.38</v>
      </c>
      <c r="M1569" s="6" t="n">
        <v>40.38</v>
      </c>
      <c r="N1569" s="3" t="inlineStr">
        <is>
          <t>Sí</t>
        </is>
      </c>
      <c r="O1569" s="6">
        <f>IF(K1569="","",IF(N1569="Sí",ROUND(K1569/1.18,2),K1569))</f>
        <v/>
      </c>
      <c r="P1569" s="3" t="inlineStr">
        <is>
          <t>2026-09-10</t>
        </is>
      </c>
      <c r="Q1569" s="4" t="inlineStr">
        <is>
          <t>Bellón</t>
        </is>
      </c>
      <c r="AF1569" s="4" t="inlineStr">
        <is>
          <t>tipo: codo-90 · material: PVC · medida: 1"</t>
        </is>
      </c>
    </row>
    <row r="1570">
      <c r="A1570" s="3" t="inlineStr">
        <is>
          <t>MAT-32-213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90° de PVC 2"</t>
        </is>
      </c>
      <c r="E1570" s="4" t="inlineStr"/>
      <c r="F1570" s="3" t="inlineStr">
        <is>
          <t>unidad</t>
        </is>
      </c>
      <c r="G1570" s="3" t="inlineStr">
        <is>
          <t>Instalaciones</t>
        </is>
      </c>
      <c r="H1570" s="3" t="inlineStr">
        <is>
          <t>estandar</t>
        </is>
      </c>
      <c r="I1570" s="3" t="inlineStr">
        <is>
          <t>importado</t>
        </is>
      </c>
      <c r="J1570" s="5" t="n">
        <v>1</v>
      </c>
      <c r="K1570" s="6" t="n">
        <v>120</v>
      </c>
      <c r="L1570" s="6" t="n">
        <v>120</v>
      </c>
      <c r="M1570" s="6" t="n">
        <v>120</v>
      </c>
      <c r="N1570" s="3" t="inlineStr">
        <is>
          <t>Sí</t>
        </is>
      </c>
      <c r="O1570" s="6">
        <f>IF(K1570="","",IF(N1570="Sí",ROUND(K1570/1.18,2),K1570))</f>
        <v/>
      </c>
      <c r="P1570" s="3" t="inlineStr">
        <is>
          <t>2026-09-10</t>
        </is>
      </c>
      <c r="Q1570" s="4" t="inlineStr">
        <is>
          <t>Bellón</t>
        </is>
      </c>
      <c r="AF1570" s="4" t="inlineStr">
        <is>
          <t>tipo: codo-90 · material: PVC · medida: 2"</t>
        </is>
      </c>
    </row>
    <row r="1571">
      <c r="A1571" s="3" t="inlineStr">
        <is>
          <t>MAT-32-214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90° de PVC 3/4"</t>
        </is>
      </c>
      <c r="E1571" s="4" t="inlineStr"/>
      <c r="F1571" s="3" t="inlineStr">
        <is>
          <t>unidad</t>
        </is>
      </c>
      <c r="G1571" s="3" t="inlineStr">
        <is>
          <t>Instalaciones</t>
        </is>
      </c>
      <c r="H1571" s="3" t="inlineStr">
        <is>
          <t>estandar</t>
        </is>
      </c>
      <c r="I1571" s="3" t="inlineStr">
        <is>
          <t>importado</t>
        </is>
      </c>
      <c r="J1571" s="5" t="n">
        <v>1</v>
      </c>
      <c r="K1571" s="6" t="n">
        <v>22.22</v>
      </c>
      <c r="L1571" s="6" t="n">
        <v>22.22</v>
      </c>
      <c r="M1571" s="6" t="n">
        <v>22.22</v>
      </c>
      <c r="N1571" s="3" t="inlineStr">
        <is>
          <t>Sí</t>
        </is>
      </c>
      <c r="O1571" s="6">
        <f>IF(K1571="","",IF(N1571="Sí",ROUND(K1571/1.18,2),K1571))</f>
        <v/>
      </c>
      <c r="P1571" s="3" t="inlineStr">
        <is>
          <t>2026-09-10</t>
        </is>
      </c>
      <c r="Q1571" s="4" t="inlineStr">
        <is>
          <t>Bellón</t>
        </is>
      </c>
      <c r="AF1571" s="4" t="inlineStr">
        <is>
          <t>tipo: codo-90 · material: PVC · medida: 3/4"</t>
        </is>
      </c>
    </row>
    <row r="1572">
      <c r="A1572" s="3" t="inlineStr">
        <is>
          <t>MAT-32-215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PVC presión 1 1/2"</t>
        </is>
      </c>
      <c r="E1572" s="4" t="inlineStr"/>
      <c r="F1572" s="3" t="inlineStr">
        <is>
          <t>unidad</t>
        </is>
      </c>
      <c r="G1572" s="3" t="inlineStr">
        <is>
          <t>Instalaciones</t>
        </is>
      </c>
      <c r="H1572" s="3" t="inlineStr">
        <is>
          <t>estandar</t>
        </is>
      </c>
      <c r="I1572" s="3" t="inlineStr">
        <is>
          <t>importado</t>
        </is>
      </c>
      <c r="J1572" s="5" t="n">
        <v>2</v>
      </c>
      <c r="K1572" s="6" t="n">
        <v>44.53</v>
      </c>
      <c r="L1572" s="6" t="n">
        <v>28.52</v>
      </c>
      <c r="M1572" s="6" t="n">
        <v>55</v>
      </c>
      <c r="N1572" s="3" t="inlineStr">
        <is>
          <t>Sí</t>
        </is>
      </c>
      <c r="O1572" s="6">
        <f>IF(K1572="","",IF(N1572="Sí",ROUND(K1572/1.18,2),K1572))</f>
        <v/>
      </c>
      <c r="P1572" s="3" t="inlineStr">
        <is>
          <t>2026-09-10</t>
        </is>
      </c>
      <c r="Q1572" s="4" t="inlineStr">
        <is>
          <t>Bellón · Ferretería Cima</t>
        </is>
      </c>
      <c r="AF1572" s="4" t="inlineStr">
        <is>
          <t>tipo: codo-90 · material: PVC presión · medida: 1 1/2"</t>
        </is>
      </c>
    </row>
    <row r="1573">
      <c r="A1573" s="3" t="inlineStr">
        <is>
          <t>MAT-32-216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PVC presión 1/2"</t>
        </is>
      </c>
      <c r="E1573" s="4" t="inlineStr"/>
      <c r="F1573" s="3" t="inlineStr">
        <is>
          <t>unidad</t>
        </is>
      </c>
      <c r="G1573" s="3" t="inlineStr">
        <is>
          <t>Instalaciones</t>
        </is>
      </c>
      <c r="H1573" s="3" t="inlineStr">
        <is>
          <t>estandar</t>
        </is>
      </c>
      <c r="I1573" s="3" t="inlineStr">
        <is>
          <t>importado</t>
        </is>
      </c>
      <c r="J1573" s="5" t="n">
        <v>2</v>
      </c>
      <c r="K1573" s="6" t="n">
        <v>10</v>
      </c>
      <c r="L1573" s="6" t="n">
        <v>5.75</v>
      </c>
      <c r="M1573" s="6" t="n">
        <v>15</v>
      </c>
      <c r="N1573" s="3" t="inlineStr">
        <is>
          <t>Sí</t>
        </is>
      </c>
      <c r="O1573" s="6">
        <f>IF(K1573="","",IF(N1573="Sí",ROUND(K1573/1.18,2),K1573))</f>
        <v/>
      </c>
      <c r="P1573" s="3" t="inlineStr">
        <is>
          <t>2026-09-10</t>
        </is>
      </c>
      <c r="Q1573" s="4" t="inlineStr">
        <is>
          <t>Bellón · Ferretería Cima</t>
        </is>
      </c>
      <c r="AF1573" s="4" t="inlineStr">
        <is>
          <t>tipo: codo-90 · material: PVC presión · medida: 1/2"</t>
        </is>
      </c>
    </row>
    <row r="1574">
      <c r="A1574" s="3" t="inlineStr">
        <is>
          <t>MAT-32-217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PVC presión 1"</t>
        </is>
      </c>
      <c r="E1574" s="4" t="inlineStr"/>
      <c r="F1574" s="3" t="inlineStr">
        <is>
          <t>unidad</t>
        </is>
      </c>
      <c r="G1574" s="3" t="inlineStr">
        <is>
          <t>Instalaciones</t>
        </is>
      </c>
      <c r="H1574" s="3" t="inlineStr">
        <is>
          <t>estandar</t>
        </is>
      </c>
      <c r="I1574" s="3" t="inlineStr">
        <is>
          <t>importado</t>
        </is>
      </c>
      <c r="J1574" s="5" t="n">
        <v>2</v>
      </c>
      <c r="K1574" s="6" t="n">
        <v>20.05</v>
      </c>
      <c r="L1574" s="6" t="n">
        <v>11.38</v>
      </c>
      <c r="M1574" s="6" t="n">
        <v>27</v>
      </c>
      <c r="N1574" s="3" t="inlineStr">
        <is>
          <t>Sí</t>
        </is>
      </c>
      <c r="O1574" s="6">
        <f>IF(K1574="","",IF(N1574="Sí",ROUND(K1574/1.18,2),K1574))</f>
        <v/>
      </c>
      <c r="P1574" s="3" t="inlineStr">
        <is>
          <t>2026-09-10</t>
        </is>
      </c>
      <c r="Q1574" s="4" t="inlineStr">
        <is>
          <t>Bellón · Ferretería Cima</t>
        </is>
      </c>
      <c r="AF1574" s="4" t="inlineStr">
        <is>
          <t>tipo: codo-90 · material: PVC presión · medida: 1"</t>
        </is>
      </c>
    </row>
    <row r="1575">
      <c r="A1575" s="3" t="inlineStr">
        <is>
          <t>MAT-32-218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PVC presión 2"</t>
        </is>
      </c>
      <c r="E1575" s="4" t="inlineStr"/>
      <c r="F1575" s="3" t="inlineStr">
        <is>
          <t>unidad</t>
        </is>
      </c>
      <c r="G1575" s="3" t="inlineStr">
        <is>
          <t>Instalaciones</t>
        </is>
      </c>
      <c r="H1575" s="3" t="inlineStr">
        <is>
          <t>estandar</t>
        </is>
      </c>
      <c r="I1575" s="3" t="inlineStr">
        <is>
          <t>importado</t>
        </is>
      </c>
      <c r="J1575" s="5" t="n">
        <v>2</v>
      </c>
      <c r="K1575" s="6" t="n">
        <v>67.15000000000001</v>
      </c>
      <c r="L1575" s="6" t="n">
        <v>46.28</v>
      </c>
      <c r="M1575" s="6" t="n">
        <v>145</v>
      </c>
      <c r="N1575" s="3" t="inlineStr">
        <is>
          <t>Sí</t>
        </is>
      </c>
      <c r="O1575" s="6">
        <f>IF(K1575="","",IF(N1575="Sí",ROUND(K1575/1.18,2),K1575))</f>
        <v/>
      </c>
      <c r="P1575" s="3" t="inlineStr">
        <is>
          <t>2026-09-10</t>
        </is>
      </c>
      <c r="Q1575" s="4" t="inlineStr">
        <is>
          <t>Bellón · Ferretería Cima</t>
        </is>
      </c>
      <c r="AF1575" s="4" t="inlineStr">
        <is>
          <t>tipo: codo-90 · material: PVC presión · medida: 2"</t>
        </is>
      </c>
    </row>
    <row r="1576">
      <c r="A1576" s="3" t="inlineStr">
        <is>
          <t>MAT-32-219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PVC presión 3/4"</t>
        </is>
      </c>
      <c r="E1576" s="4" t="inlineStr"/>
      <c r="F1576" s="3" t="inlineStr">
        <is>
          <t>unidad</t>
        </is>
      </c>
      <c r="G1576" s="3" t="inlineStr">
        <is>
          <t>Instalaciones</t>
        </is>
      </c>
      <c r="H1576" s="3" t="inlineStr">
        <is>
          <t>estandar</t>
        </is>
      </c>
      <c r="I1576" s="3" t="inlineStr">
        <is>
          <t>importado</t>
        </is>
      </c>
      <c r="J1576" s="5" t="n">
        <v>2</v>
      </c>
      <c r="K1576" s="6" t="n">
        <v>12.15</v>
      </c>
      <c r="L1576" s="6" t="n">
        <v>8.42</v>
      </c>
      <c r="M1576" s="6" t="n">
        <v>15</v>
      </c>
      <c r="N1576" s="3" t="inlineStr">
        <is>
          <t>Sí</t>
        </is>
      </c>
      <c r="O1576" s="6">
        <f>IF(K1576="","",IF(N1576="Sí",ROUND(K1576/1.18,2),K1576))</f>
        <v/>
      </c>
      <c r="P1576" s="3" t="inlineStr">
        <is>
          <t>2026-09-10</t>
        </is>
      </c>
      <c r="Q1576" s="4" t="inlineStr">
        <is>
          <t>Bellón · Ferretería Cima</t>
        </is>
      </c>
      <c r="AF1576" s="4" t="inlineStr">
        <is>
          <t>tipo: codo-90 · material: PVC presión · medida: 3/4"</t>
        </is>
      </c>
    </row>
    <row r="1577">
      <c r="A1577" s="3" t="inlineStr">
        <is>
          <t>MAT-32-220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PVC presión 3"</t>
        </is>
      </c>
      <c r="E1577" s="4" t="inlineStr"/>
      <c r="F1577" s="3" t="inlineStr">
        <is>
          <t>unidad</t>
        </is>
      </c>
      <c r="G1577" s="3" t="inlineStr">
        <is>
          <t>Instalaciones</t>
        </is>
      </c>
      <c r="H1577" s="3" t="inlineStr">
        <is>
          <t>estandar</t>
        </is>
      </c>
      <c r="I1577" s="3" t="inlineStr">
        <is>
          <t>importado</t>
        </is>
      </c>
      <c r="J1577" s="5" t="n">
        <v>2</v>
      </c>
      <c r="K1577" s="6" t="n">
        <v>187.35</v>
      </c>
      <c r="L1577" s="6" t="n">
        <v>126</v>
      </c>
      <c r="M1577" s="6" t="n">
        <v>233</v>
      </c>
      <c r="N1577" s="3" t="inlineStr">
        <is>
          <t>Sí</t>
        </is>
      </c>
      <c r="O1577" s="6">
        <f>IF(K1577="","",IF(N1577="Sí",ROUND(K1577/1.18,2),K1577))</f>
        <v/>
      </c>
      <c r="P1577" s="3" t="inlineStr">
        <is>
          <t>2026-09-10</t>
        </is>
      </c>
      <c r="Q1577" s="4" t="inlineStr">
        <is>
          <t>Bellón · Ferretería Cima</t>
        </is>
      </c>
      <c r="AF1577" s="4" t="inlineStr">
        <is>
          <t>tipo: codo-90 · material: PVC presión · medida: 3"</t>
        </is>
      </c>
    </row>
    <row r="1578">
      <c r="A1578" s="3" t="inlineStr">
        <is>
          <t>MAT-32-221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PVC presión 4"</t>
        </is>
      </c>
      <c r="E1578" s="4" t="inlineStr"/>
      <c r="F1578" s="3" t="inlineStr">
        <is>
          <t>unidad</t>
        </is>
      </c>
      <c r="G1578" s="3" t="inlineStr">
        <is>
          <t>Instalaciones</t>
        </is>
      </c>
      <c r="H1578" s="3" t="inlineStr">
        <is>
          <t>estandar</t>
        </is>
      </c>
      <c r="I1578" s="3" t="inlineStr">
        <is>
          <t>importado</t>
        </is>
      </c>
      <c r="J1578" s="5" t="n">
        <v>2</v>
      </c>
      <c r="K1578" s="6" t="n">
        <v>309.43</v>
      </c>
      <c r="L1578" s="6" t="n">
        <v>206</v>
      </c>
      <c r="M1578" s="6" t="n">
        <v>370</v>
      </c>
      <c r="N1578" s="3" t="inlineStr">
        <is>
          <t>Sí</t>
        </is>
      </c>
      <c r="O1578" s="6">
        <f>IF(K1578="","",IF(N1578="Sí",ROUND(K1578/1.18,2),K1578))</f>
        <v/>
      </c>
      <c r="P1578" s="3" t="inlineStr">
        <is>
          <t>2026-09-10</t>
        </is>
      </c>
      <c r="Q1578" s="4" t="inlineStr">
        <is>
          <t>Bellón · Ferretería Cima</t>
        </is>
      </c>
      <c r="AF1578" s="4" t="inlineStr">
        <is>
          <t>tipo: codo-90 · material: PVC presión · medida: 4"</t>
        </is>
      </c>
    </row>
    <row r="1579">
      <c r="A1579" s="3" t="inlineStr">
        <is>
          <t>MAT-32-222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PVC presión 6"</t>
        </is>
      </c>
      <c r="E1579" s="4" t="inlineStr"/>
      <c r="F1579" s="3" t="inlineStr">
        <is>
          <t>unidad</t>
        </is>
      </c>
      <c r="G1579" s="3" t="inlineStr">
        <is>
          <t>Instalaciones</t>
        </is>
      </c>
      <c r="H1579" s="3" t="inlineStr">
        <is>
          <t>estandar</t>
        </is>
      </c>
      <c r="I1579" s="3" t="inlineStr">
        <is>
          <t>importado</t>
        </is>
      </c>
      <c r="J1579" s="5" t="n">
        <v>1</v>
      </c>
      <c r="K1579" s="6" t="n">
        <v>787.5</v>
      </c>
      <c r="L1579" s="6" t="n">
        <v>710</v>
      </c>
      <c r="M1579" s="6" t="n">
        <v>865</v>
      </c>
      <c r="N1579" s="3" t="inlineStr">
        <is>
          <t>Sí</t>
        </is>
      </c>
      <c r="O1579" s="6">
        <f>IF(K1579="","",IF(N1579="Sí",ROUND(K1579/1.18,2),K1579))</f>
        <v/>
      </c>
      <c r="P1579" s="3" t="inlineStr">
        <is>
          <t>2026-09-10</t>
        </is>
      </c>
      <c r="Q1579" s="4" t="inlineStr">
        <is>
          <t>Bellón</t>
        </is>
      </c>
      <c r="AF1579" s="4" t="inlineStr">
        <is>
          <t>tipo: codo-90 · material: PVC presión · medida: 6"</t>
        </is>
      </c>
    </row>
    <row r="1580">
      <c r="A1580" s="3" t="inlineStr">
        <is>
          <t>MAT-32-223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PVC presión 8"</t>
        </is>
      </c>
      <c r="E1580" s="4" t="inlineStr"/>
      <c r="F1580" s="3" t="inlineStr">
        <is>
          <t>unidad</t>
        </is>
      </c>
      <c r="G1580" s="3" t="inlineStr">
        <is>
          <t>Instalaciones</t>
        </is>
      </c>
      <c r="H1580" s="3" t="inlineStr">
        <is>
          <t>estandar</t>
        </is>
      </c>
      <c r="I1580" s="3" t="inlineStr">
        <is>
          <t>importado</t>
        </is>
      </c>
      <c r="J1580" s="5" t="n">
        <v>1</v>
      </c>
      <c r="K1580" s="6" t="n">
        <v>4205</v>
      </c>
      <c r="L1580" s="6" t="n">
        <v>4205</v>
      </c>
      <c r="M1580" s="6" t="n">
        <v>4205</v>
      </c>
      <c r="N1580" s="3" t="inlineStr">
        <is>
          <t>Sí</t>
        </is>
      </c>
      <c r="O1580" s="6">
        <f>IF(K1580="","",IF(N1580="Sí",ROUND(K1580/1.18,2),K1580))</f>
        <v/>
      </c>
      <c r="P1580" s="3" t="inlineStr">
        <is>
          <t>2026-09-10</t>
        </is>
      </c>
      <c r="Q1580" s="4" t="inlineStr">
        <is>
          <t>Bellón</t>
        </is>
      </c>
      <c r="AF1580" s="4" t="inlineStr">
        <is>
          <t>tipo: codo-90 · material: PVC presión · medida: 8"</t>
        </is>
      </c>
    </row>
    <row r="1581">
      <c r="A1581" s="3" t="inlineStr">
        <is>
          <t>MAT-32-224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bronce 1/2"</t>
        </is>
      </c>
      <c r="E1581" s="4" t="inlineStr"/>
      <c r="F1581" s="3" t="inlineStr">
        <is>
          <t>unidad</t>
        </is>
      </c>
      <c r="G1581" s="3" t="inlineStr">
        <is>
          <t>Instalaciones</t>
        </is>
      </c>
      <c r="H1581" s="3" t="inlineStr">
        <is>
          <t>estandar</t>
        </is>
      </c>
      <c r="I1581" s="3" t="inlineStr">
        <is>
          <t>importado</t>
        </is>
      </c>
      <c r="J1581" s="5" t="n">
        <v>1</v>
      </c>
      <c r="K1581" s="6" t="n">
        <v>195</v>
      </c>
      <c r="L1581" s="6" t="n">
        <v>195</v>
      </c>
      <c r="M1581" s="6" t="n">
        <v>195</v>
      </c>
      <c r="N1581" s="3" t="inlineStr">
        <is>
          <t>Sí</t>
        </is>
      </c>
      <c r="O1581" s="6">
        <f>IF(K1581="","",IF(N1581="Sí",ROUND(K1581/1.18,2),K1581))</f>
        <v/>
      </c>
      <c r="P1581" s="3" t="inlineStr">
        <is>
          <t>2026-09-10</t>
        </is>
      </c>
      <c r="Q1581" s="4" t="inlineStr">
        <is>
          <t>Bellón</t>
        </is>
      </c>
      <c r="AF1581" s="4" t="inlineStr">
        <is>
          <t>tipo: codo · material: bronce · medida: 1/2"</t>
        </is>
      </c>
    </row>
    <row r="1582">
      <c r="A1582" s="3" t="inlineStr">
        <is>
          <t>MAT-32-225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bronce 1/4"</t>
        </is>
      </c>
      <c r="E1582" s="4" t="inlineStr"/>
      <c r="F1582" s="3" t="inlineStr">
        <is>
          <t>unidad</t>
        </is>
      </c>
      <c r="G1582" s="3" t="inlineStr">
        <is>
          <t>Instalaciones</t>
        </is>
      </c>
      <c r="H1582" s="3" t="inlineStr">
        <is>
          <t>estandar</t>
        </is>
      </c>
      <c r="I1582" s="3" t="inlineStr">
        <is>
          <t>importado</t>
        </is>
      </c>
      <c r="J1582" s="5" t="n">
        <v>1</v>
      </c>
      <c r="K1582" s="6" t="n">
        <v>65</v>
      </c>
      <c r="L1582" s="6" t="n">
        <v>60</v>
      </c>
      <c r="M1582" s="6" t="n">
        <v>70</v>
      </c>
      <c r="N1582" s="3" t="inlineStr">
        <is>
          <t>Sí</t>
        </is>
      </c>
      <c r="O1582" s="6">
        <f>IF(K1582="","",IF(N1582="Sí",ROUND(K1582/1.18,2),K1582))</f>
        <v/>
      </c>
      <c r="P1582" s="3" t="inlineStr">
        <is>
          <t>2026-09-10</t>
        </is>
      </c>
      <c r="Q1582" s="4" t="inlineStr">
        <is>
          <t>Bellón</t>
        </is>
      </c>
      <c r="AF1582" s="4" t="inlineStr">
        <is>
          <t>tipo: codo · material: bronce · medida: 1/4"</t>
        </is>
      </c>
    </row>
    <row r="1583">
      <c r="A1583" s="3" t="inlineStr">
        <is>
          <t>MAT-32-226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bronce 12"</t>
        </is>
      </c>
      <c r="E1583" s="4" t="inlineStr"/>
      <c r="F1583" s="3" t="inlineStr">
        <is>
          <t>unidad</t>
        </is>
      </c>
      <c r="G1583" s="3" t="inlineStr">
        <is>
          <t>Instalaciones</t>
        </is>
      </c>
      <c r="H1583" s="3" t="inlineStr">
        <is>
          <t>estandar</t>
        </is>
      </c>
      <c r="I1583" s="3" t="inlineStr">
        <is>
          <t>importado</t>
        </is>
      </c>
      <c r="J1583" s="5" t="n">
        <v>1</v>
      </c>
      <c r="K1583" s="6" t="n">
        <v>407</v>
      </c>
      <c r="L1583" s="6" t="n">
        <v>407</v>
      </c>
      <c r="M1583" s="6" t="n">
        <v>407</v>
      </c>
      <c r="N1583" s="3" t="inlineStr">
        <is>
          <t>Sí</t>
        </is>
      </c>
      <c r="O1583" s="6">
        <f>IF(K1583="","",IF(N1583="Sí",ROUND(K1583/1.18,2),K1583))</f>
        <v/>
      </c>
      <c r="P1583" s="3" t="inlineStr">
        <is>
          <t>2026-09-10</t>
        </is>
      </c>
      <c r="Q1583" s="4" t="inlineStr">
        <is>
          <t>Bellón</t>
        </is>
      </c>
      <c r="AF1583" s="4" t="inlineStr">
        <is>
          <t>tipo: codo · material: bronce · medida: 12"</t>
        </is>
      </c>
    </row>
    <row r="1584">
      <c r="A1584" s="3" t="inlineStr">
        <is>
          <t>MAT-32-227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bronce 12" x 1/2"</t>
        </is>
      </c>
      <c r="E1584" s="4" t="inlineStr"/>
      <c r="F1584" s="3" t="inlineStr">
        <is>
          <t>unidad</t>
        </is>
      </c>
      <c r="G1584" s="3" t="inlineStr">
        <is>
          <t>Instalaciones</t>
        </is>
      </c>
      <c r="H1584" s="3" t="inlineStr">
        <is>
          <t>estandar</t>
        </is>
      </c>
      <c r="I1584" s="3" t="inlineStr">
        <is>
          <t>importado</t>
        </is>
      </c>
      <c r="J1584" s="5" t="n">
        <v>1</v>
      </c>
      <c r="K1584" s="6" t="n">
        <v>287</v>
      </c>
      <c r="L1584" s="6" t="n">
        <v>279</v>
      </c>
      <c r="M1584" s="6" t="n">
        <v>295</v>
      </c>
      <c r="N1584" s="3" t="inlineStr">
        <is>
          <t>Sí</t>
        </is>
      </c>
      <c r="O1584" s="6">
        <f>IF(K1584="","",IF(N1584="Sí",ROUND(K1584/1.18,2),K1584))</f>
        <v/>
      </c>
      <c r="P1584" s="3" t="inlineStr">
        <is>
          <t>2026-09-10</t>
        </is>
      </c>
      <c r="Q1584" s="4" t="inlineStr">
        <is>
          <t>Bellón</t>
        </is>
      </c>
      <c r="AF1584" s="4" t="inlineStr">
        <is>
          <t>tipo: codo · material: bronce · medida: 12" x 1/2"</t>
        </is>
      </c>
    </row>
    <row r="1585">
      <c r="A1585" s="3" t="inlineStr">
        <is>
          <t>MAT-32-228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bronce 15"</t>
        </is>
      </c>
      <c r="E1585" s="4" t="inlineStr"/>
      <c r="F1585" s="3" t="inlineStr">
        <is>
          <t>unidad</t>
        </is>
      </c>
      <c r="G1585" s="3" t="inlineStr">
        <is>
          <t>Instalaciones</t>
        </is>
      </c>
      <c r="H1585" s="3" t="inlineStr">
        <is>
          <t>estandar</t>
        </is>
      </c>
      <c r="I1585" s="3" t="inlineStr">
        <is>
          <t>importado</t>
        </is>
      </c>
      <c r="J1585" s="5" t="n">
        <v>1</v>
      </c>
      <c r="K1585" s="6" t="n">
        <v>432</v>
      </c>
      <c r="L1585" s="6" t="n">
        <v>422</v>
      </c>
      <c r="M1585" s="6" t="n">
        <v>442</v>
      </c>
      <c r="N1585" s="3" t="inlineStr">
        <is>
          <t>Sí</t>
        </is>
      </c>
      <c r="O1585" s="6">
        <f>IF(K1585="","",IF(N1585="Sí",ROUND(K1585/1.18,2),K1585))</f>
        <v/>
      </c>
      <c r="P1585" s="3" t="inlineStr">
        <is>
          <t>2026-09-10</t>
        </is>
      </c>
      <c r="Q1585" s="4" t="inlineStr">
        <is>
          <t>Bellón</t>
        </is>
      </c>
      <c r="AF1585" s="4" t="inlineStr">
        <is>
          <t>tipo: codo · material: bronce · medida: 15"</t>
        </is>
      </c>
    </row>
    <row r="1586">
      <c r="A1586" s="3" t="inlineStr">
        <is>
          <t>MAT-32-229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bronce 15" x 1/2"</t>
        </is>
      </c>
      <c r="E1586" s="4" t="inlineStr"/>
      <c r="F1586" s="3" t="inlineStr">
        <is>
          <t>unidad</t>
        </is>
      </c>
      <c r="G1586" s="3" t="inlineStr">
        <is>
          <t>Instalaciones</t>
        </is>
      </c>
      <c r="H1586" s="3" t="inlineStr">
        <is>
          <t>estandar</t>
        </is>
      </c>
      <c r="I1586" s="3" t="inlineStr">
        <is>
          <t>importado</t>
        </is>
      </c>
      <c r="J1586" s="5" t="n">
        <v>1</v>
      </c>
      <c r="K1586" s="6" t="n">
        <v>294.5</v>
      </c>
      <c r="L1586" s="6" t="n">
        <v>269</v>
      </c>
      <c r="M1586" s="6" t="n">
        <v>320</v>
      </c>
      <c r="N1586" s="3" t="inlineStr">
        <is>
          <t>Sí</t>
        </is>
      </c>
      <c r="O1586" s="6">
        <f>IF(K1586="","",IF(N1586="Sí",ROUND(K1586/1.18,2),K1586))</f>
        <v/>
      </c>
      <c r="P1586" s="3" t="inlineStr">
        <is>
          <t>2026-09-10</t>
        </is>
      </c>
      <c r="Q1586" s="4" t="inlineStr">
        <is>
          <t>Bellón</t>
        </is>
      </c>
      <c r="AF1586" s="4" t="inlineStr">
        <is>
          <t>tipo: codo · material: bronce · medida: 15" x 1/2"</t>
        </is>
      </c>
    </row>
    <row r="1587">
      <c r="A1587" s="3" t="inlineStr">
        <is>
          <t>MAT-32-230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bronce 15" x 3/4"</t>
        </is>
      </c>
      <c r="E1587" s="4" t="inlineStr"/>
      <c r="F1587" s="3" t="inlineStr">
        <is>
          <t>unidad</t>
        </is>
      </c>
      <c r="G1587" s="3" t="inlineStr">
        <is>
          <t>Instalaciones</t>
        </is>
      </c>
      <c r="H1587" s="3" t="inlineStr">
        <is>
          <t>estandar</t>
        </is>
      </c>
      <c r="I1587" s="3" t="inlineStr">
        <is>
          <t>importado</t>
        </is>
      </c>
      <c r="J1587" s="5" t="n">
        <v>1</v>
      </c>
      <c r="K1587" s="6" t="n">
        <v>430</v>
      </c>
      <c r="L1587" s="6" t="n">
        <v>430</v>
      </c>
      <c r="M1587" s="6" t="n">
        <v>430</v>
      </c>
      <c r="N1587" s="3" t="inlineStr">
        <is>
          <t>Sí</t>
        </is>
      </c>
      <c r="O1587" s="6">
        <f>IF(K1587="","",IF(N1587="Sí",ROUND(K1587/1.18,2),K1587))</f>
        <v/>
      </c>
      <c r="P1587" s="3" t="inlineStr">
        <is>
          <t>2026-09-10</t>
        </is>
      </c>
      <c r="Q1587" s="4" t="inlineStr">
        <is>
          <t>Bellón</t>
        </is>
      </c>
      <c r="AF1587" s="4" t="inlineStr">
        <is>
          <t>tipo: codo · material: bronce · medida: 15" x 3/4"</t>
        </is>
      </c>
    </row>
    <row r="1588">
      <c r="A1588" s="3" t="inlineStr">
        <is>
          <t>MAT-32-231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bronce 18"</t>
        </is>
      </c>
      <c r="E1588" s="4" t="inlineStr"/>
      <c r="F1588" s="3" t="inlineStr">
        <is>
          <t>unidad</t>
        </is>
      </c>
      <c r="G1588" s="3" t="inlineStr">
        <is>
          <t>Instalaciones</t>
        </is>
      </c>
      <c r="H1588" s="3" t="inlineStr">
        <is>
          <t>estandar</t>
        </is>
      </c>
      <c r="I1588" s="3" t="inlineStr">
        <is>
          <t>importado</t>
        </is>
      </c>
      <c r="J1588" s="5" t="n">
        <v>1</v>
      </c>
      <c r="K1588" s="6" t="n">
        <v>592</v>
      </c>
      <c r="L1588" s="6" t="n">
        <v>592</v>
      </c>
      <c r="M1588" s="6" t="n">
        <v>592</v>
      </c>
      <c r="N1588" s="3" t="inlineStr">
        <is>
          <t>Sí</t>
        </is>
      </c>
      <c r="O1588" s="6">
        <f>IF(K1588="","",IF(N1588="Sí",ROUND(K1588/1.18,2),K1588))</f>
        <v/>
      </c>
      <c r="P1588" s="3" t="inlineStr">
        <is>
          <t>2026-09-10</t>
        </is>
      </c>
      <c r="Q1588" s="4" t="inlineStr">
        <is>
          <t>Bellón</t>
        </is>
      </c>
      <c r="AF1588" s="4" t="inlineStr">
        <is>
          <t>tipo: codo · material: bronce · medida: 18"</t>
        </is>
      </c>
    </row>
    <row r="1589">
      <c r="A1589" s="3" t="inlineStr">
        <is>
          <t>MAT-32-232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bronce 18" x 1/2"</t>
        </is>
      </c>
      <c r="E1589" s="4" t="inlineStr"/>
      <c r="F1589" s="3" t="inlineStr">
        <is>
          <t>unidad</t>
        </is>
      </c>
      <c r="G1589" s="3" t="inlineStr">
        <is>
          <t>Instalaciones</t>
        </is>
      </c>
      <c r="H1589" s="3" t="inlineStr">
        <is>
          <t>estandar</t>
        </is>
      </c>
      <c r="I1589" s="3" t="inlineStr">
        <is>
          <t>importado</t>
        </is>
      </c>
      <c r="J1589" s="5" t="n">
        <v>1</v>
      </c>
      <c r="K1589" s="6" t="n">
        <v>421</v>
      </c>
      <c r="L1589" s="6" t="n">
        <v>370</v>
      </c>
      <c r="M1589" s="6" t="n">
        <v>472</v>
      </c>
      <c r="N1589" s="3" t="inlineStr">
        <is>
          <t>Sí</t>
        </is>
      </c>
      <c r="O1589" s="6">
        <f>IF(K1589="","",IF(N1589="Sí",ROUND(K1589/1.18,2),K1589))</f>
        <v/>
      </c>
      <c r="P1589" s="3" t="inlineStr">
        <is>
          <t>2026-09-10</t>
        </is>
      </c>
      <c r="Q1589" s="4" t="inlineStr">
        <is>
          <t>Bellón</t>
        </is>
      </c>
      <c r="AF1589" s="4" t="inlineStr">
        <is>
          <t>tipo: codo · material: bronce · medida: 18" x 1/2"</t>
        </is>
      </c>
    </row>
    <row r="1590">
      <c r="A1590" s="3" t="inlineStr">
        <is>
          <t>MAT-32-233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bronce 18" x 3/4"</t>
        </is>
      </c>
      <c r="E1590" s="4" t="inlineStr"/>
      <c r="F1590" s="3" t="inlineStr">
        <is>
          <t>unidad</t>
        </is>
      </c>
      <c r="G1590" s="3" t="inlineStr">
        <is>
          <t>Instalaciones</t>
        </is>
      </c>
      <c r="H1590" s="3" t="inlineStr">
        <is>
          <t>estandar</t>
        </is>
      </c>
      <c r="I1590" s="3" t="inlineStr">
        <is>
          <t>importado</t>
        </is>
      </c>
      <c r="J1590" s="5" t="n">
        <v>1</v>
      </c>
      <c r="K1590" s="6" t="n">
        <v>499</v>
      </c>
      <c r="L1590" s="6" t="n">
        <v>415</v>
      </c>
      <c r="M1590" s="6" t="n">
        <v>583</v>
      </c>
      <c r="N1590" s="3" t="inlineStr">
        <is>
          <t>Sí</t>
        </is>
      </c>
      <c r="O1590" s="6">
        <f>IF(K1590="","",IF(N1590="Sí",ROUND(K1590/1.18,2),K1590))</f>
        <v/>
      </c>
      <c r="P1590" s="3" t="inlineStr">
        <is>
          <t>2026-09-10</t>
        </is>
      </c>
      <c r="Q1590" s="4" t="inlineStr">
        <is>
          <t>Bellón</t>
        </is>
      </c>
      <c r="AF1590" s="4" t="inlineStr">
        <is>
          <t>tipo: codo · material: bronce · medida: 18" x 3/4"</t>
        </is>
      </c>
    </row>
    <row r="1591">
      <c r="A1591" s="3" t="inlineStr">
        <is>
          <t>MAT-32-234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bronce 25 mm</t>
        </is>
      </c>
      <c r="E1591" s="4" t="inlineStr"/>
      <c r="F1591" s="3" t="inlineStr">
        <is>
          <t>unidad</t>
        </is>
      </c>
      <c r="G1591" s="3" t="inlineStr">
        <is>
          <t>Instalaciones</t>
        </is>
      </c>
      <c r="H1591" s="3" t="inlineStr">
        <is>
          <t>estandar</t>
        </is>
      </c>
      <c r="I1591" s="3" t="inlineStr">
        <is>
          <t>importado</t>
        </is>
      </c>
      <c r="J1591" s="5" t="n">
        <v>1</v>
      </c>
      <c r="K1591" s="6" t="n">
        <v>724</v>
      </c>
      <c r="L1591" s="6" t="n">
        <v>724</v>
      </c>
      <c r="M1591" s="6" t="n">
        <v>724</v>
      </c>
      <c r="N1591" s="3" t="inlineStr">
        <is>
          <t>Sí</t>
        </is>
      </c>
      <c r="O1591" s="6">
        <f>IF(K1591="","",IF(N1591="Sí",ROUND(K1591/1.18,2),K1591))</f>
        <v/>
      </c>
      <c r="P1591" s="3" t="inlineStr">
        <is>
          <t>2026-09-10</t>
        </is>
      </c>
      <c r="Q1591" s="4" t="inlineStr">
        <is>
          <t>Bellón</t>
        </is>
      </c>
      <c r="AF1591" s="4" t="inlineStr">
        <is>
          <t>tipo: codo · material: bronce · medida: 25 mm</t>
        </is>
      </c>
    </row>
    <row r="1592">
      <c r="A1592" s="3" t="inlineStr">
        <is>
          <t>MAT-32-235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bronce 25"</t>
        </is>
      </c>
      <c r="E1592" s="4" t="inlineStr"/>
      <c r="F1592" s="3" t="inlineStr">
        <is>
          <t>unidad</t>
        </is>
      </c>
      <c r="G1592" s="3" t="inlineStr">
        <is>
          <t>Instalaciones</t>
        </is>
      </c>
      <c r="H1592" s="3" t="inlineStr">
        <is>
          <t>estandar</t>
        </is>
      </c>
      <c r="I1592" s="3" t="inlineStr">
        <is>
          <t>importado</t>
        </is>
      </c>
      <c r="J1592" s="5" t="n">
        <v>1</v>
      </c>
      <c r="K1592" s="6" t="n">
        <v>500</v>
      </c>
      <c r="L1592" s="6" t="n">
        <v>500</v>
      </c>
      <c r="M1592" s="6" t="n">
        <v>500</v>
      </c>
      <c r="N1592" s="3" t="inlineStr">
        <is>
          <t>Sí</t>
        </is>
      </c>
      <c r="O1592" s="6">
        <f>IF(K1592="","",IF(N1592="Sí",ROUND(K1592/1.18,2),K1592))</f>
        <v/>
      </c>
      <c r="P1592" s="3" t="inlineStr">
        <is>
          <t>2026-09-10</t>
        </is>
      </c>
      <c r="Q1592" s="4" t="inlineStr">
        <is>
          <t>Bellón</t>
        </is>
      </c>
      <c r="AF1592" s="4" t="inlineStr">
        <is>
          <t>tipo: codo · material: bronce · medida: 25"</t>
        </is>
      </c>
    </row>
    <row r="1593">
      <c r="A1593" s="3" t="inlineStr">
        <is>
          <t>MAT-32-236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bronce 3/8"</t>
        </is>
      </c>
      <c r="E1593" s="4" t="inlineStr"/>
      <c r="F1593" s="3" t="inlineStr">
        <is>
          <t>unidad</t>
        </is>
      </c>
      <c r="G1593" s="3" t="inlineStr">
        <is>
          <t>Instalaciones</t>
        </is>
      </c>
      <c r="H1593" s="3" t="inlineStr">
        <is>
          <t>estandar</t>
        </is>
      </c>
      <c r="I1593" s="3" t="inlineStr">
        <is>
          <t>importado</t>
        </is>
      </c>
      <c r="J1593" s="5" t="n">
        <v>1</v>
      </c>
      <c r="K1593" s="6" t="n">
        <v>147</v>
      </c>
      <c r="L1593" s="6" t="n">
        <v>99</v>
      </c>
      <c r="M1593" s="6" t="n">
        <v>195</v>
      </c>
      <c r="N1593" s="3" t="inlineStr">
        <is>
          <t>Sí</t>
        </is>
      </c>
      <c r="O1593" s="6">
        <f>IF(K1593="","",IF(N1593="Sí",ROUND(K1593/1.18,2),K1593))</f>
        <v/>
      </c>
      <c r="P1593" s="3" t="inlineStr">
        <is>
          <t>2026-09-10</t>
        </is>
      </c>
      <c r="Q1593" s="4" t="inlineStr">
        <is>
          <t>Bellón</t>
        </is>
      </c>
      <c r="AF1593" s="4" t="inlineStr">
        <is>
          <t>tipo: codo · material: bronce · medida: 3/8"</t>
        </is>
      </c>
    </row>
    <row r="1594">
      <c r="A1594" s="3" t="inlineStr">
        <is>
          <t>MAT-32-237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bronce 32 mm</t>
        </is>
      </c>
      <c r="E1594" s="4" t="inlineStr"/>
      <c r="F1594" s="3" t="inlineStr">
        <is>
          <t>unidad</t>
        </is>
      </c>
      <c r="G1594" s="3" t="inlineStr">
        <is>
          <t>Instalaciones</t>
        </is>
      </c>
      <c r="H1594" s="3" t="inlineStr">
        <is>
          <t>estandar</t>
        </is>
      </c>
      <c r="I1594" s="3" t="inlineStr">
        <is>
          <t>importado</t>
        </is>
      </c>
      <c r="J1594" s="5" t="n">
        <v>1</v>
      </c>
      <c r="K1594" s="6" t="n">
        <v>1429</v>
      </c>
      <c r="L1594" s="6" t="n">
        <v>1429</v>
      </c>
      <c r="M1594" s="6" t="n">
        <v>1429</v>
      </c>
      <c r="N1594" s="3" t="inlineStr">
        <is>
          <t>Sí</t>
        </is>
      </c>
      <c r="O1594" s="6">
        <f>IF(K1594="","",IF(N1594="Sí",ROUND(K1594/1.18,2),K1594))</f>
        <v/>
      </c>
      <c r="P1594" s="3" t="inlineStr">
        <is>
          <t>2026-09-10</t>
        </is>
      </c>
      <c r="Q1594" s="4" t="inlineStr">
        <is>
          <t>Bellón</t>
        </is>
      </c>
      <c r="AF1594" s="4" t="inlineStr">
        <is>
          <t>tipo: codo · material: bronce · medida: 32 mm</t>
        </is>
      </c>
    </row>
    <row r="1595">
      <c r="A1595" s="3" t="inlineStr">
        <is>
          <t>MAT-32-238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bronce 32"</t>
        </is>
      </c>
      <c r="E1595" s="4" t="inlineStr"/>
      <c r="F1595" s="3" t="inlineStr">
        <is>
          <t>unidad</t>
        </is>
      </c>
      <c r="G1595" s="3" t="inlineStr">
        <is>
          <t>Instalaciones</t>
        </is>
      </c>
      <c r="H1595" s="3" t="inlineStr">
        <is>
          <t>estandar</t>
        </is>
      </c>
      <c r="I1595" s="3" t="inlineStr">
        <is>
          <t>importado</t>
        </is>
      </c>
      <c r="J1595" s="5" t="n">
        <v>1</v>
      </c>
      <c r="K1595" s="6" t="n">
        <v>882</v>
      </c>
      <c r="L1595" s="6" t="n">
        <v>882</v>
      </c>
      <c r="M1595" s="6" t="n">
        <v>882</v>
      </c>
      <c r="N1595" s="3" t="inlineStr">
        <is>
          <t>Sí</t>
        </is>
      </c>
      <c r="O1595" s="6">
        <f>IF(K1595="","",IF(N1595="Sí",ROUND(K1595/1.18,2),K1595))</f>
        <v/>
      </c>
      <c r="P1595" s="3" t="inlineStr">
        <is>
          <t>2026-09-10</t>
        </is>
      </c>
      <c r="Q1595" s="4" t="inlineStr">
        <is>
          <t>Bellón</t>
        </is>
      </c>
      <c r="AF1595" s="4" t="inlineStr">
        <is>
          <t>tipo: codo · material: bronce · medida: 32"</t>
        </is>
      </c>
    </row>
    <row r="1596">
      <c r="A1596" s="3" t="inlineStr">
        <is>
          <t>MAT-32-239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HG 1 1/2"</t>
        </is>
      </c>
      <c r="E1596" s="4" t="inlineStr"/>
      <c r="F1596" s="3" t="inlineStr">
        <is>
          <t>unidad</t>
        </is>
      </c>
      <c r="G1596" s="3" t="inlineStr">
        <is>
          <t>Instalaciones</t>
        </is>
      </c>
      <c r="H1596" s="3" t="inlineStr">
        <is>
          <t>estandar</t>
        </is>
      </c>
      <c r="I1596" s="3" t="inlineStr">
        <is>
          <t>importado</t>
        </is>
      </c>
      <c r="J1596" s="5" t="n">
        <v>2</v>
      </c>
      <c r="K1596" s="6" t="n">
        <v>184</v>
      </c>
      <c r="L1596" s="6" t="n">
        <v>134</v>
      </c>
      <c r="M1596" s="6" t="n">
        <v>234</v>
      </c>
      <c r="N1596" s="3" t="inlineStr">
        <is>
          <t>Sí</t>
        </is>
      </c>
      <c r="O1596" s="6">
        <f>IF(K1596="","",IF(N1596="Sí",ROUND(K1596/1.18,2),K1596))</f>
        <v/>
      </c>
      <c r="P1596" s="3" t="inlineStr">
        <is>
          <t>2026-09-10</t>
        </is>
      </c>
      <c r="Q1596" s="4" t="inlineStr">
        <is>
          <t>Bellón · Ferretería Cima</t>
        </is>
      </c>
      <c r="AF1596" s="4" t="inlineStr">
        <is>
          <t>tipo: codo · material: HG · medida: 1 1/2"</t>
        </is>
      </c>
    </row>
    <row r="1597">
      <c r="A1597" s="3" t="inlineStr">
        <is>
          <t>MAT-32-240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HG 1 1/4"</t>
        </is>
      </c>
      <c r="E1597" s="4" t="inlineStr"/>
      <c r="F1597" s="3" t="inlineStr">
        <is>
          <t>unidad</t>
        </is>
      </c>
      <c r="G1597" s="3" t="inlineStr">
        <is>
          <t>Instalaciones</t>
        </is>
      </c>
      <c r="H1597" s="3" t="inlineStr">
        <is>
          <t>estandar</t>
        </is>
      </c>
      <c r="I1597" s="3" t="inlineStr">
        <is>
          <t>importado</t>
        </is>
      </c>
      <c r="J1597" s="5" t="n">
        <v>1</v>
      </c>
      <c r="K1597" s="6" t="n">
        <v>130</v>
      </c>
      <c r="L1597" s="6" t="n">
        <v>130</v>
      </c>
      <c r="M1597" s="6" t="n">
        <v>130</v>
      </c>
      <c r="N1597" s="3" t="inlineStr">
        <is>
          <t>Sí</t>
        </is>
      </c>
      <c r="O1597" s="6">
        <f>IF(K1597="","",IF(N1597="Sí",ROUND(K1597/1.18,2),K1597))</f>
        <v/>
      </c>
      <c r="P1597" s="3" t="inlineStr">
        <is>
          <t>2026-09-09</t>
        </is>
      </c>
      <c r="Q1597" s="4" t="inlineStr">
        <is>
          <t>Ferretería Cima</t>
        </is>
      </c>
      <c r="AF1597" s="4" t="inlineStr">
        <is>
          <t>tipo: codo · material: HG · medida: 1 1/4"</t>
        </is>
      </c>
    </row>
    <row r="1598">
      <c r="A1598" s="3" t="inlineStr">
        <is>
          <t>MAT-32-241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HG 1/2"</t>
        </is>
      </c>
      <c r="E1598" s="4" t="inlineStr"/>
      <c r="F1598" s="3" t="inlineStr">
        <is>
          <t>unidad</t>
        </is>
      </c>
      <c r="G1598" s="3" t="inlineStr">
        <is>
          <t>Instalaciones</t>
        </is>
      </c>
      <c r="H1598" s="3" t="inlineStr">
        <is>
          <t>estandar</t>
        </is>
      </c>
      <c r="I1598" s="3" t="inlineStr">
        <is>
          <t>importado</t>
        </is>
      </c>
      <c r="J1598" s="5" t="n">
        <v>2</v>
      </c>
      <c r="K1598" s="6" t="n">
        <v>28</v>
      </c>
      <c r="L1598" s="6" t="n">
        <v>26</v>
      </c>
      <c r="M1598" s="6" t="n">
        <v>30</v>
      </c>
      <c r="N1598" s="3" t="inlineStr">
        <is>
          <t>Sí</t>
        </is>
      </c>
      <c r="O1598" s="6">
        <f>IF(K1598="","",IF(N1598="Sí",ROUND(K1598/1.18,2),K1598))</f>
        <v/>
      </c>
      <c r="P1598" s="3" t="inlineStr">
        <is>
          <t>2026-09-10</t>
        </is>
      </c>
      <c r="Q1598" s="4" t="inlineStr">
        <is>
          <t>Bellón · Ferretería Cima</t>
        </is>
      </c>
      <c r="AF1598" s="4" t="inlineStr">
        <is>
          <t>tipo: codo · material: HG · medida: 1/2"</t>
        </is>
      </c>
    </row>
    <row r="1599">
      <c r="A1599" s="3" t="inlineStr">
        <is>
          <t>MAT-32-242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HG 1/4"</t>
        </is>
      </c>
      <c r="E1599" s="4" t="inlineStr"/>
      <c r="F1599" s="3" t="inlineStr">
        <is>
          <t>unidad</t>
        </is>
      </c>
      <c r="G1599" s="3" t="inlineStr">
        <is>
          <t>Instalaciones</t>
        </is>
      </c>
      <c r="H1599" s="3" t="inlineStr">
        <is>
          <t>estandar</t>
        </is>
      </c>
      <c r="I1599" s="3" t="inlineStr">
        <is>
          <t>importado</t>
        </is>
      </c>
      <c r="J1599" s="5" t="n">
        <v>1</v>
      </c>
      <c r="K1599" s="6" t="n">
        <v>75</v>
      </c>
      <c r="L1599" s="6" t="n">
        <v>75</v>
      </c>
      <c r="M1599" s="6" t="n">
        <v>75</v>
      </c>
      <c r="N1599" s="3" t="inlineStr">
        <is>
          <t>Sí</t>
        </is>
      </c>
      <c r="O1599" s="6">
        <f>IF(K1599="","",IF(N1599="Sí",ROUND(K1599/1.18,2),K1599))</f>
        <v/>
      </c>
      <c r="P1599" s="3" t="inlineStr">
        <is>
          <t>2026-09-09</t>
        </is>
      </c>
      <c r="Q1599" s="4" t="inlineStr">
        <is>
          <t>Ferretería Cima</t>
        </is>
      </c>
      <c r="AF1599" s="4" t="inlineStr">
        <is>
          <t>tipo: codo · material: HG · medida: 1/4"</t>
        </is>
      </c>
    </row>
    <row r="1600">
      <c r="A1600" s="3" t="inlineStr">
        <is>
          <t>MAT-32-243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HG 1"</t>
        </is>
      </c>
      <c r="E1600" s="4" t="inlineStr"/>
      <c r="F1600" s="3" t="inlineStr">
        <is>
          <t>unidad</t>
        </is>
      </c>
      <c r="G1600" s="3" t="inlineStr">
        <is>
          <t>Instalaciones</t>
        </is>
      </c>
      <c r="H1600" s="3" t="inlineStr">
        <is>
          <t>estandar</t>
        </is>
      </c>
      <c r="I1600" s="3" t="inlineStr">
        <is>
          <t>importado</t>
        </is>
      </c>
      <c r="J1600" s="5" t="n">
        <v>1</v>
      </c>
      <c r="K1600" s="6" t="n">
        <v>65</v>
      </c>
      <c r="L1600" s="6" t="n">
        <v>65</v>
      </c>
      <c r="M1600" s="6" t="n">
        <v>65</v>
      </c>
      <c r="N1600" s="3" t="inlineStr">
        <is>
          <t>Sí</t>
        </is>
      </c>
      <c r="O1600" s="6">
        <f>IF(K1600="","",IF(N1600="Sí",ROUND(K1600/1.18,2),K1600))</f>
        <v/>
      </c>
      <c r="P1600" s="3" t="inlineStr">
        <is>
          <t>2026-09-09</t>
        </is>
      </c>
      <c r="Q1600" s="4" t="inlineStr">
        <is>
          <t>Ferretería Cima</t>
        </is>
      </c>
      <c r="AF1600" s="4" t="inlineStr">
        <is>
          <t>tipo: codo · material: HG · medida: 1"</t>
        </is>
      </c>
    </row>
    <row r="1601">
      <c r="A1601" s="3" t="inlineStr">
        <is>
          <t>MAT-32-244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HG 2"</t>
        </is>
      </c>
      <c r="E1601" s="4" t="inlineStr"/>
      <c r="F1601" s="3" t="inlineStr">
        <is>
          <t>unidad</t>
        </is>
      </c>
      <c r="G1601" s="3" t="inlineStr">
        <is>
          <t>Instalaciones</t>
        </is>
      </c>
      <c r="H1601" s="3" t="inlineStr">
        <is>
          <t>estandar</t>
        </is>
      </c>
      <c r="I1601" s="3" t="inlineStr">
        <is>
          <t>importado</t>
        </is>
      </c>
      <c r="J1601" s="5" t="n">
        <v>2</v>
      </c>
      <c r="K1601" s="6" t="n">
        <v>241</v>
      </c>
      <c r="L1601" s="6" t="n">
        <v>191</v>
      </c>
      <c r="M1601" s="6" t="n">
        <v>291</v>
      </c>
      <c r="N1601" s="3" t="inlineStr">
        <is>
          <t>Sí</t>
        </is>
      </c>
      <c r="O1601" s="6">
        <f>IF(K1601="","",IF(N1601="Sí",ROUND(K1601/1.18,2),K1601))</f>
        <v/>
      </c>
      <c r="P1601" s="3" t="inlineStr">
        <is>
          <t>2026-09-10</t>
        </is>
      </c>
      <c r="Q1601" s="4" t="inlineStr">
        <is>
          <t>Bellón · Ferretería Cima</t>
        </is>
      </c>
      <c r="AF1601" s="4" t="inlineStr">
        <is>
          <t>tipo: codo · material: HG · medida: 2"</t>
        </is>
      </c>
    </row>
    <row r="1602">
      <c r="A1602" s="3" t="inlineStr">
        <is>
          <t>MAT-32-245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HG 3/4"</t>
        </is>
      </c>
      <c r="E1602" s="4" t="inlineStr"/>
      <c r="F1602" s="3" t="inlineStr">
        <is>
          <t>unidad</t>
        </is>
      </c>
      <c r="G1602" s="3" t="inlineStr">
        <is>
          <t>Instalaciones</t>
        </is>
      </c>
      <c r="H1602" s="3" t="inlineStr">
        <is>
          <t>estandar</t>
        </is>
      </c>
      <c r="I1602" s="3" t="inlineStr">
        <is>
          <t>importado</t>
        </is>
      </c>
      <c r="J1602" s="5" t="n">
        <v>1</v>
      </c>
      <c r="K1602" s="6" t="n">
        <v>51</v>
      </c>
      <c r="L1602" s="6" t="n">
        <v>51</v>
      </c>
      <c r="M1602" s="6" t="n">
        <v>51</v>
      </c>
      <c r="N1602" s="3" t="inlineStr">
        <is>
          <t>Sí</t>
        </is>
      </c>
      <c r="O1602" s="6">
        <f>IF(K1602="","",IF(N1602="Sí",ROUND(K1602/1.18,2),K1602))</f>
        <v/>
      </c>
      <c r="P1602" s="3" t="inlineStr">
        <is>
          <t>2026-09-09</t>
        </is>
      </c>
      <c r="Q1602" s="4" t="inlineStr">
        <is>
          <t>Ferretería Cima</t>
        </is>
      </c>
      <c r="AF1602" s="4" t="inlineStr">
        <is>
          <t>tipo: codo · material: HG · medida: 3/4"</t>
        </is>
      </c>
    </row>
    <row r="1603">
      <c r="A1603" s="3" t="inlineStr">
        <is>
          <t>MAT-32-246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HG 3/8"</t>
        </is>
      </c>
      <c r="E1603" s="4" t="inlineStr"/>
      <c r="F1603" s="3" t="inlineStr">
        <is>
          <t>unidad</t>
        </is>
      </c>
      <c r="G1603" s="3" t="inlineStr">
        <is>
          <t>Instalaciones</t>
        </is>
      </c>
      <c r="H1603" s="3" t="inlineStr">
        <is>
          <t>estandar</t>
        </is>
      </c>
      <c r="I1603" s="3" t="inlineStr">
        <is>
          <t>importado</t>
        </is>
      </c>
      <c r="J1603" s="5" t="n">
        <v>1</v>
      </c>
      <c r="K1603" s="6" t="n">
        <v>50</v>
      </c>
      <c r="L1603" s="6" t="n">
        <v>50</v>
      </c>
      <c r="M1603" s="6" t="n">
        <v>50</v>
      </c>
      <c r="N1603" s="3" t="inlineStr">
        <is>
          <t>Sí</t>
        </is>
      </c>
      <c r="O1603" s="6">
        <f>IF(K1603="","",IF(N1603="Sí",ROUND(K1603/1.18,2),K1603))</f>
        <v/>
      </c>
      <c r="P1603" s="3" t="inlineStr">
        <is>
          <t>2026-09-09</t>
        </is>
      </c>
      <c r="Q1603" s="4" t="inlineStr">
        <is>
          <t>Ferretería Cima</t>
        </is>
      </c>
      <c r="AF1603" s="4" t="inlineStr">
        <is>
          <t>tipo: codo · material: HG · medida: 3/8"</t>
        </is>
      </c>
    </row>
    <row r="1604">
      <c r="A1604" s="3" t="inlineStr">
        <is>
          <t>MAT-32-247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niquelado 1/2"</t>
        </is>
      </c>
      <c r="E1604" s="4" t="inlineStr"/>
      <c r="F1604" s="3" t="inlineStr">
        <is>
          <t>unidad</t>
        </is>
      </c>
      <c r="G1604" s="3" t="inlineStr">
        <is>
          <t>Instalaciones</t>
        </is>
      </c>
      <c r="H1604" s="3" t="inlineStr">
        <is>
          <t>estandar</t>
        </is>
      </c>
      <c r="I1604" s="3" t="inlineStr">
        <is>
          <t>importado</t>
        </is>
      </c>
      <c r="J1604" s="5" t="n">
        <v>1</v>
      </c>
      <c r="K1604" s="6" t="n">
        <v>363</v>
      </c>
      <c r="L1604" s="6" t="n">
        <v>363</v>
      </c>
      <c r="M1604" s="6" t="n">
        <v>363</v>
      </c>
      <c r="N1604" s="3" t="inlineStr">
        <is>
          <t>Sí</t>
        </is>
      </c>
      <c r="O1604" s="6">
        <f>IF(K1604="","",IF(N1604="Sí",ROUND(K1604/1.18,2),K1604))</f>
        <v/>
      </c>
      <c r="P1604" s="3" t="inlineStr">
        <is>
          <t>2026-09-09</t>
        </is>
      </c>
      <c r="Q1604" s="4" t="inlineStr">
        <is>
          <t>Ferretería Cima</t>
        </is>
      </c>
      <c r="AF1604" s="4" t="inlineStr">
        <is>
          <t>tipo: codo · material: niquelado · medida: 1/2"</t>
        </is>
      </c>
    </row>
    <row r="1605">
      <c r="A1605" s="3" t="inlineStr">
        <is>
          <t>MAT-32-248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plástico 16 mm</t>
        </is>
      </c>
      <c r="E1605" s="4" t="inlineStr"/>
      <c r="F1605" s="3" t="inlineStr">
        <is>
          <t>unidad</t>
        </is>
      </c>
      <c r="G1605" s="3" t="inlineStr">
        <is>
          <t>Instalaciones</t>
        </is>
      </c>
      <c r="H1605" s="3" t="inlineStr">
        <is>
          <t>estandar</t>
        </is>
      </c>
      <c r="I1605" s="3" t="inlineStr">
        <is>
          <t>importado</t>
        </is>
      </c>
      <c r="J1605" s="5" t="n">
        <v>1</v>
      </c>
      <c r="K1605" s="6" t="n">
        <v>28.58</v>
      </c>
      <c r="L1605" s="6" t="n">
        <v>28.58</v>
      </c>
      <c r="M1605" s="6" t="n">
        <v>28.58</v>
      </c>
      <c r="N1605" s="3" t="inlineStr">
        <is>
          <t>Sí</t>
        </is>
      </c>
      <c r="O1605" s="6">
        <f>IF(K1605="","",IF(N1605="Sí",ROUND(K1605/1.18,2),K1605))</f>
        <v/>
      </c>
      <c r="P1605" s="3" t="inlineStr">
        <is>
          <t>2026-09-10</t>
        </is>
      </c>
      <c r="Q1605" s="4" t="inlineStr">
        <is>
          <t>Bellón</t>
        </is>
      </c>
      <c r="AF1605" s="4" t="inlineStr">
        <is>
          <t>tipo: codo · material: plástico · medida: 16 mm</t>
        </is>
      </c>
    </row>
    <row r="1606">
      <c r="A1606" s="3" t="inlineStr">
        <is>
          <t>MAT-32-249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PPR 20 mm</t>
        </is>
      </c>
      <c r="E1606" s="4" t="inlineStr"/>
      <c r="F1606" s="3" t="inlineStr">
        <is>
          <t>unidad</t>
        </is>
      </c>
      <c r="G1606" s="3" t="inlineStr">
        <is>
          <t>Instalaciones</t>
        </is>
      </c>
      <c r="H1606" s="3" t="inlineStr">
        <is>
          <t>estandar</t>
        </is>
      </c>
      <c r="I1606" s="3" t="inlineStr">
        <is>
          <t>importado</t>
        </is>
      </c>
      <c r="J1606" s="5" t="n">
        <v>1</v>
      </c>
      <c r="K1606" s="6" t="n">
        <v>65.56999999999999</v>
      </c>
      <c r="L1606" s="6" t="n">
        <v>8.59</v>
      </c>
      <c r="M1606" s="6" t="n">
        <v>78.45</v>
      </c>
      <c r="N1606" s="3" t="inlineStr">
        <is>
          <t>Sí</t>
        </is>
      </c>
      <c r="O1606" s="6">
        <f>IF(K1606="","",IF(N1606="Sí",ROUND(K1606/1.18,2),K1606))</f>
        <v/>
      </c>
      <c r="P1606" s="3" t="inlineStr">
        <is>
          <t>2026-09-10</t>
        </is>
      </c>
      <c r="Q1606" s="4" t="inlineStr">
        <is>
          <t>Bellón</t>
        </is>
      </c>
      <c r="AF1606" s="4" t="inlineStr">
        <is>
          <t>tipo: codo · material: PPR · medida: 20 mm</t>
        </is>
      </c>
    </row>
    <row r="1607">
      <c r="A1607" s="3" t="inlineStr">
        <is>
          <t>MAT-32-250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PPR 25 mm</t>
        </is>
      </c>
      <c r="E1607" s="4" t="inlineStr"/>
      <c r="F1607" s="3" t="inlineStr">
        <is>
          <t>unidad</t>
        </is>
      </c>
      <c r="G1607" s="3" t="inlineStr">
        <is>
          <t>Instalaciones</t>
        </is>
      </c>
      <c r="H1607" s="3" t="inlineStr">
        <is>
          <t>estandar</t>
        </is>
      </c>
      <c r="I1607" s="3" t="inlineStr">
        <is>
          <t>importado</t>
        </is>
      </c>
      <c r="J1607" s="5" t="n">
        <v>1</v>
      </c>
      <c r="K1607" s="6" t="n">
        <v>80</v>
      </c>
      <c r="L1607" s="6" t="n">
        <v>15.37</v>
      </c>
      <c r="M1607" s="6" t="n">
        <v>128</v>
      </c>
      <c r="N1607" s="3" t="inlineStr">
        <is>
          <t>Sí</t>
        </is>
      </c>
      <c r="O1607" s="6">
        <f>IF(K1607="","",IF(N1607="Sí",ROUND(K1607/1.18,2),K1607))</f>
        <v/>
      </c>
      <c r="P1607" s="3" t="inlineStr">
        <is>
          <t>2026-09-10</t>
        </is>
      </c>
      <c r="Q1607" s="4" t="inlineStr">
        <is>
          <t>Bellón</t>
        </is>
      </c>
      <c r="AF1607" s="4" t="inlineStr">
        <is>
          <t>tipo: codo · material: PPR · medida: 25 mm</t>
        </is>
      </c>
    </row>
    <row r="1608">
      <c r="A1608" s="3" t="inlineStr">
        <is>
          <t>MAT-32-251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PPR 32 mm</t>
        </is>
      </c>
      <c r="E1608" s="4" t="inlineStr"/>
      <c r="F1608" s="3" t="inlineStr">
        <is>
          <t>unidad</t>
        </is>
      </c>
      <c r="G1608" s="3" t="inlineStr">
        <is>
          <t>Instalaciones</t>
        </is>
      </c>
      <c r="H1608" s="3" t="inlineStr">
        <is>
          <t>estandar</t>
        </is>
      </c>
      <c r="I1608" s="3" t="inlineStr">
        <is>
          <t>importado</t>
        </is>
      </c>
      <c r="J1608" s="5" t="n">
        <v>1</v>
      </c>
      <c r="K1608" s="6" t="n">
        <v>92.89</v>
      </c>
      <c r="L1608" s="6" t="n">
        <v>87.15000000000001</v>
      </c>
      <c r="M1608" s="6" t="n">
        <v>228</v>
      </c>
      <c r="N1608" s="3" t="inlineStr">
        <is>
          <t>Sí</t>
        </is>
      </c>
      <c r="O1608" s="6">
        <f>IF(K1608="","",IF(N1608="Sí",ROUND(K1608/1.18,2),K1608))</f>
        <v/>
      </c>
      <c r="P1608" s="3" t="inlineStr">
        <is>
          <t>2026-09-10</t>
        </is>
      </c>
      <c r="Q1608" s="4" t="inlineStr">
        <is>
          <t>Bellón</t>
        </is>
      </c>
      <c r="AF1608" s="4" t="inlineStr">
        <is>
          <t>tipo: codo · material: PPR · medida: 32 mm</t>
        </is>
      </c>
    </row>
    <row r="1609">
      <c r="A1609" s="3" t="inlineStr">
        <is>
          <t>MAT-32-252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PVC 1" x 1"</t>
        </is>
      </c>
      <c r="E1609" s="4" t="inlineStr"/>
      <c r="F1609" s="3" t="inlineStr">
        <is>
          <t>unidad</t>
        </is>
      </c>
      <c r="G1609" s="3" t="inlineStr">
        <is>
          <t>Instalaciones</t>
        </is>
      </c>
      <c r="H1609" s="3" t="inlineStr">
        <is>
          <t>estandar</t>
        </is>
      </c>
      <c r="I1609" s="3" t="inlineStr">
        <is>
          <t>importado</t>
        </is>
      </c>
      <c r="J1609" s="5" t="n">
        <v>1</v>
      </c>
      <c r="K1609" s="6" t="n">
        <v>47.12</v>
      </c>
      <c r="L1609" s="6" t="n">
        <v>47.12</v>
      </c>
      <c r="M1609" s="6" t="n">
        <v>47.12</v>
      </c>
      <c r="N1609" s="3" t="inlineStr">
        <is>
          <t>Sí</t>
        </is>
      </c>
      <c r="O1609" s="6">
        <f>IF(K1609="","",IF(N1609="Sí",ROUND(K1609/1.18,2),K1609))</f>
        <v/>
      </c>
      <c r="P1609" s="3" t="inlineStr">
        <is>
          <t>2026-09-10</t>
        </is>
      </c>
      <c r="Q1609" s="4" t="inlineStr">
        <is>
          <t>Bellón</t>
        </is>
      </c>
      <c r="AF1609" s="4" t="inlineStr">
        <is>
          <t>tipo: codo · material: PVC · medida: 1" x 1"</t>
        </is>
      </c>
    </row>
    <row r="1610">
      <c r="A1610" s="3" t="inlineStr">
        <is>
          <t>MAT-32-253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PVC 3/4"</t>
        </is>
      </c>
      <c r="E1610" s="4" t="inlineStr"/>
      <c r="F1610" s="3" t="inlineStr">
        <is>
          <t>unidad</t>
        </is>
      </c>
      <c r="G1610" s="3" t="inlineStr">
        <is>
          <t>Instalaciones</t>
        </is>
      </c>
      <c r="H1610" s="3" t="inlineStr">
        <is>
          <t>estandar</t>
        </is>
      </c>
      <c r="I1610" s="3" t="inlineStr">
        <is>
          <t>importado</t>
        </is>
      </c>
      <c r="J1610" s="5" t="n">
        <v>1</v>
      </c>
      <c r="K1610" s="6" t="n">
        <v>40</v>
      </c>
      <c r="L1610" s="6" t="n">
        <v>40</v>
      </c>
      <c r="M1610" s="6" t="n">
        <v>40</v>
      </c>
      <c r="N1610" s="3" t="inlineStr">
        <is>
          <t>Sí</t>
        </is>
      </c>
      <c r="O1610" s="6">
        <f>IF(K1610="","",IF(N1610="Sí",ROUND(K1610/1.18,2),K1610))</f>
        <v/>
      </c>
      <c r="P1610" s="3" t="inlineStr">
        <is>
          <t>2026-09-10</t>
        </is>
      </c>
      <c r="Q1610" s="4" t="inlineStr">
        <is>
          <t>Bellón</t>
        </is>
      </c>
      <c r="AF1610" s="4" t="inlineStr">
        <is>
          <t>tipo: codo · material: PVC · medida: 3/4"</t>
        </is>
      </c>
    </row>
    <row r="1611">
      <c r="A1611" s="3" t="inlineStr">
        <is>
          <t>MAT-32-254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niple de bronce 3/8"</t>
        </is>
      </c>
      <c r="E1611" s="4" t="inlineStr"/>
      <c r="F1611" s="3" t="inlineStr">
        <is>
          <t>unidad</t>
        </is>
      </c>
      <c r="G1611" s="3" t="inlineStr">
        <is>
          <t>Instalaciones</t>
        </is>
      </c>
      <c r="H1611" s="3" t="inlineStr">
        <is>
          <t>estandar</t>
        </is>
      </c>
      <c r="I1611" s="3" t="inlineStr">
        <is>
          <t>importado</t>
        </is>
      </c>
      <c r="J1611" s="5" t="n">
        <v>1</v>
      </c>
      <c r="K1611" s="6" t="n">
        <v>179</v>
      </c>
      <c r="L1611" s="6" t="n">
        <v>179</v>
      </c>
      <c r="M1611" s="6" t="n">
        <v>179</v>
      </c>
      <c r="N1611" s="3" t="inlineStr">
        <is>
          <t>Sí</t>
        </is>
      </c>
      <c r="O1611" s="6">
        <f>IF(K1611="","",IF(N1611="Sí",ROUND(K1611/1.18,2),K1611))</f>
        <v/>
      </c>
      <c r="P1611" s="3" t="inlineStr">
        <is>
          <t>2026-09-09</t>
        </is>
      </c>
      <c r="Q1611" s="4" t="inlineStr">
        <is>
          <t>Ferretería Cima</t>
        </is>
      </c>
      <c r="AF1611" s="4" t="inlineStr">
        <is>
          <t>tipo: codoniple · material: bronce · medida: 3/8"</t>
        </is>
      </c>
    </row>
    <row r="1612">
      <c r="A1612" s="3" t="inlineStr">
        <is>
          <t>MAT-32-255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niple de HG 1 1/2"</t>
        </is>
      </c>
      <c r="E1612" s="4" t="inlineStr"/>
      <c r="F1612" s="3" t="inlineStr">
        <is>
          <t>unidad</t>
        </is>
      </c>
      <c r="G1612" s="3" t="inlineStr">
        <is>
          <t>Instalaciones</t>
        </is>
      </c>
      <c r="H1612" s="3" t="inlineStr">
        <is>
          <t>estandar</t>
        </is>
      </c>
      <c r="I1612" s="3" t="inlineStr">
        <is>
          <t>importado</t>
        </is>
      </c>
      <c r="J1612" s="5" t="n">
        <v>1</v>
      </c>
      <c r="K1612" s="6" t="n">
        <v>215</v>
      </c>
      <c r="L1612" s="6" t="n">
        <v>215</v>
      </c>
      <c r="M1612" s="6" t="n">
        <v>215</v>
      </c>
      <c r="N1612" s="3" t="inlineStr">
        <is>
          <t>Sí</t>
        </is>
      </c>
      <c r="O1612" s="6">
        <f>IF(K1612="","",IF(N1612="Sí",ROUND(K1612/1.18,2),K1612))</f>
        <v/>
      </c>
      <c r="P1612" s="3" t="inlineStr">
        <is>
          <t>2026-09-09</t>
        </is>
      </c>
      <c r="Q1612" s="4" t="inlineStr">
        <is>
          <t>Ferretería Cima</t>
        </is>
      </c>
      <c r="AF1612" s="4" t="inlineStr">
        <is>
          <t>tipo: codoniple · material: HG · medida: 1 1/2"</t>
        </is>
      </c>
    </row>
    <row r="1613">
      <c r="A1613" s="3" t="inlineStr">
        <is>
          <t>MAT-32-256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niple de HG 1 1/4"</t>
        </is>
      </c>
      <c r="E1613" s="4" t="inlineStr"/>
      <c r="F1613" s="3" t="inlineStr">
        <is>
          <t>unidad</t>
        </is>
      </c>
      <c r="G1613" s="3" t="inlineStr">
        <is>
          <t>Instalaciones</t>
        </is>
      </c>
      <c r="H1613" s="3" t="inlineStr">
        <is>
          <t>estandar</t>
        </is>
      </c>
      <c r="I1613" s="3" t="inlineStr">
        <is>
          <t>importado</t>
        </is>
      </c>
      <c r="J1613" s="5" t="n">
        <v>1</v>
      </c>
      <c r="K1613" s="6" t="n">
        <v>160</v>
      </c>
      <c r="L1613" s="6" t="n">
        <v>160</v>
      </c>
      <c r="M1613" s="6" t="n">
        <v>160</v>
      </c>
      <c r="N1613" s="3" t="inlineStr">
        <is>
          <t>Sí</t>
        </is>
      </c>
      <c r="O1613" s="6">
        <f>IF(K1613="","",IF(N1613="Sí",ROUND(K1613/1.18,2),K1613))</f>
        <v/>
      </c>
      <c r="P1613" s="3" t="inlineStr">
        <is>
          <t>2026-09-09</t>
        </is>
      </c>
      <c r="Q1613" s="4" t="inlineStr">
        <is>
          <t>Ferretería Cima</t>
        </is>
      </c>
      <c r="AF1613" s="4" t="inlineStr">
        <is>
          <t>tipo: codoniple · material: HG · medida: 1 1/4"</t>
        </is>
      </c>
    </row>
    <row r="1614">
      <c r="A1614" s="3" t="inlineStr">
        <is>
          <t>MAT-32-257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niple de HG 1/2"</t>
        </is>
      </c>
      <c r="E1614" s="4" t="inlineStr"/>
      <c r="F1614" s="3" t="inlineStr">
        <is>
          <t>unidad</t>
        </is>
      </c>
      <c r="G1614" s="3" t="inlineStr">
        <is>
          <t>Instalaciones</t>
        </is>
      </c>
      <c r="H1614" s="3" t="inlineStr">
        <is>
          <t>estandar</t>
        </is>
      </c>
      <c r="I1614" s="3" t="inlineStr">
        <is>
          <t>importado</t>
        </is>
      </c>
      <c r="J1614" s="5" t="n">
        <v>1</v>
      </c>
      <c r="K1614" s="6" t="n">
        <v>45</v>
      </c>
      <c r="L1614" s="6" t="n">
        <v>45</v>
      </c>
      <c r="M1614" s="6" t="n">
        <v>45</v>
      </c>
      <c r="N1614" s="3" t="inlineStr">
        <is>
          <t>Sí</t>
        </is>
      </c>
      <c r="O1614" s="6">
        <f>IF(K1614="","",IF(N1614="Sí",ROUND(K1614/1.18,2),K1614))</f>
        <v/>
      </c>
      <c r="P1614" s="3" t="inlineStr">
        <is>
          <t>2026-09-09</t>
        </is>
      </c>
      <c r="Q1614" s="4" t="inlineStr">
        <is>
          <t>Ferretería Cima</t>
        </is>
      </c>
      <c r="AF1614" s="4" t="inlineStr">
        <is>
          <t>tipo: codoniple · material: HG · medida: 1/2"</t>
        </is>
      </c>
    </row>
    <row r="1615">
      <c r="A1615" s="3" t="inlineStr">
        <is>
          <t>MAT-32-258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niple de HG 1/4"</t>
        </is>
      </c>
      <c r="E1615" s="4" t="inlineStr"/>
      <c r="F1615" s="3" t="inlineStr">
        <is>
          <t>unidad</t>
        </is>
      </c>
      <c r="G1615" s="3" t="inlineStr">
        <is>
          <t>Instalaciones</t>
        </is>
      </c>
      <c r="H1615" s="3" t="inlineStr">
        <is>
          <t>estandar</t>
        </is>
      </c>
      <c r="I1615" s="3" t="inlineStr">
        <is>
          <t>importado</t>
        </is>
      </c>
      <c r="J1615" s="5" t="n">
        <v>1</v>
      </c>
      <c r="K1615" s="6" t="n">
        <v>39</v>
      </c>
      <c r="L1615" s="6" t="n">
        <v>39</v>
      </c>
      <c r="M1615" s="6" t="n">
        <v>39</v>
      </c>
      <c r="N1615" s="3" t="inlineStr">
        <is>
          <t>Sí</t>
        </is>
      </c>
      <c r="O1615" s="6">
        <f>IF(K1615="","",IF(N1615="Sí",ROUND(K1615/1.18,2),K1615))</f>
        <v/>
      </c>
      <c r="P1615" s="3" t="inlineStr">
        <is>
          <t>2026-09-09</t>
        </is>
      </c>
      <c r="Q1615" s="4" t="inlineStr">
        <is>
          <t>Ferretería Cima</t>
        </is>
      </c>
      <c r="AF1615" s="4" t="inlineStr">
        <is>
          <t>tipo: codoniple · material: HG · medida: 1/4"</t>
        </is>
      </c>
    </row>
    <row r="1616">
      <c r="A1616" s="3" t="inlineStr">
        <is>
          <t>MAT-32-259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niple de HG 1"</t>
        </is>
      </c>
      <c r="E1616" s="4" t="inlineStr"/>
      <c r="F1616" s="3" t="inlineStr">
        <is>
          <t>unidad</t>
        </is>
      </c>
      <c r="G1616" s="3" t="inlineStr">
        <is>
          <t>Instalaciones</t>
        </is>
      </c>
      <c r="H1616" s="3" t="inlineStr">
        <is>
          <t>estandar</t>
        </is>
      </c>
      <c r="I1616" s="3" t="inlineStr">
        <is>
          <t>importado</t>
        </is>
      </c>
      <c r="J1616" s="5" t="n">
        <v>1</v>
      </c>
      <c r="K1616" s="6" t="n">
        <v>149</v>
      </c>
      <c r="L1616" s="6" t="n">
        <v>149</v>
      </c>
      <c r="M1616" s="6" t="n">
        <v>149</v>
      </c>
      <c r="N1616" s="3" t="inlineStr">
        <is>
          <t>Sí</t>
        </is>
      </c>
      <c r="O1616" s="6">
        <f>IF(K1616="","",IF(N1616="Sí",ROUND(K1616/1.18,2),K1616))</f>
        <v/>
      </c>
      <c r="P1616" s="3" t="inlineStr">
        <is>
          <t>2026-09-09</t>
        </is>
      </c>
      <c r="Q1616" s="4" t="inlineStr">
        <is>
          <t>Ferretería Cima</t>
        </is>
      </c>
      <c r="AF1616" s="4" t="inlineStr">
        <is>
          <t>tipo: codoniple · material: HG · medida: 1"</t>
        </is>
      </c>
    </row>
    <row r="1617">
      <c r="A1617" s="3" t="inlineStr">
        <is>
          <t>MAT-32-260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niple de HG 2"</t>
        </is>
      </c>
      <c r="E1617" s="4" t="inlineStr"/>
      <c r="F1617" s="3" t="inlineStr">
        <is>
          <t>unidad</t>
        </is>
      </c>
      <c r="G1617" s="3" t="inlineStr">
        <is>
          <t>Instalaciones</t>
        </is>
      </c>
      <c r="H1617" s="3" t="inlineStr">
        <is>
          <t>estandar</t>
        </is>
      </c>
      <c r="I1617" s="3" t="inlineStr">
        <is>
          <t>importado</t>
        </is>
      </c>
      <c r="J1617" s="5" t="n">
        <v>1</v>
      </c>
      <c r="K1617" s="6" t="n">
        <v>266</v>
      </c>
      <c r="L1617" s="6" t="n">
        <v>266</v>
      </c>
      <c r="M1617" s="6" t="n">
        <v>266</v>
      </c>
      <c r="N1617" s="3" t="inlineStr">
        <is>
          <t>Sí</t>
        </is>
      </c>
      <c r="O1617" s="6">
        <f>IF(K1617="","",IF(N1617="Sí",ROUND(K1617/1.18,2),K1617))</f>
        <v/>
      </c>
      <c r="P1617" s="3" t="inlineStr">
        <is>
          <t>2026-09-09</t>
        </is>
      </c>
      <c r="Q1617" s="4" t="inlineStr">
        <is>
          <t>Ferretería Cima</t>
        </is>
      </c>
      <c r="AF1617" s="4" t="inlineStr">
        <is>
          <t>tipo: codoniple · material: HG · medida: 2"</t>
        </is>
      </c>
    </row>
    <row r="1618">
      <c r="A1618" s="3" t="inlineStr">
        <is>
          <t>MAT-32-261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niple de HG 3/4"</t>
        </is>
      </c>
      <c r="E1618" s="4" t="inlineStr"/>
      <c r="F1618" s="3" t="inlineStr">
        <is>
          <t>unidad</t>
        </is>
      </c>
      <c r="G1618" s="3" t="inlineStr">
        <is>
          <t>Instalaciones</t>
        </is>
      </c>
      <c r="H1618" s="3" t="inlineStr">
        <is>
          <t>estandar</t>
        </is>
      </c>
      <c r="I1618" s="3" t="inlineStr">
        <is>
          <t>importado</t>
        </is>
      </c>
      <c r="J1618" s="5" t="n">
        <v>1</v>
      </c>
      <c r="K1618" s="6" t="n">
        <v>92</v>
      </c>
      <c r="L1618" s="6" t="n">
        <v>92</v>
      </c>
      <c r="M1618" s="6" t="n">
        <v>92</v>
      </c>
      <c r="N1618" s="3" t="inlineStr">
        <is>
          <t>Sí</t>
        </is>
      </c>
      <c r="O1618" s="6">
        <f>IF(K1618="","",IF(N1618="Sí",ROUND(K1618/1.18,2),K1618))</f>
        <v/>
      </c>
      <c r="P1618" s="3" t="inlineStr">
        <is>
          <t>2026-09-09</t>
        </is>
      </c>
      <c r="Q1618" s="4" t="inlineStr">
        <is>
          <t>Ferretería Cima</t>
        </is>
      </c>
      <c r="AF1618" s="4" t="inlineStr">
        <is>
          <t>tipo: codoniple · material: HG · medida: 3/4"</t>
        </is>
      </c>
    </row>
    <row r="1619">
      <c r="A1619" s="3" t="inlineStr">
        <is>
          <t>MAT-32-262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niple de niquelado 1/2"</t>
        </is>
      </c>
      <c r="E1619" s="4" t="inlineStr"/>
      <c r="F1619" s="3" t="inlineStr">
        <is>
          <t>unidad</t>
        </is>
      </c>
      <c r="G1619" s="3" t="inlineStr">
        <is>
          <t>Instalaciones</t>
        </is>
      </c>
      <c r="H1619" s="3" t="inlineStr">
        <is>
          <t>estandar</t>
        </is>
      </c>
      <c r="I1619" s="3" t="inlineStr">
        <is>
          <t>importado</t>
        </is>
      </c>
      <c r="J1619" s="5" t="n">
        <v>1</v>
      </c>
      <c r="K1619" s="6" t="n">
        <v>333</v>
      </c>
      <c r="L1619" s="6" t="n">
        <v>333</v>
      </c>
      <c r="M1619" s="6" t="n">
        <v>333</v>
      </c>
      <c r="N1619" s="3" t="inlineStr">
        <is>
          <t>Sí</t>
        </is>
      </c>
      <c r="O1619" s="6">
        <f>IF(K1619="","",IF(N1619="Sí",ROUND(K1619/1.18,2),K1619))</f>
        <v/>
      </c>
      <c r="P1619" s="3" t="inlineStr">
        <is>
          <t>2026-09-09</t>
        </is>
      </c>
      <c r="Q1619" s="4" t="inlineStr">
        <is>
          <t>Ferretería Cima</t>
        </is>
      </c>
      <c r="AF1619" s="4" t="inlineStr">
        <is>
          <t>tipo: codoniple · material: niquelado · medida: 1/2"</t>
        </is>
      </c>
    </row>
    <row r="1620">
      <c r="A1620" s="3" t="inlineStr">
        <is>
          <t>MAT-32-263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Coupling de HG 1 1/2"</t>
        </is>
      </c>
      <c r="E1620" s="4" t="inlineStr"/>
      <c r="F1620" s="3" t="inlineStr">
        <is>
          <t>unidad</t>
        </is>
      </c>
      <c r="G1620" s="3" t="inlineStr">
        <is>
          <t>Instalaciones</t>
        </is>
      </c>
      <c r="H1620" s="3" t="inlineStr">
        <is>
          <t>estandar</t>
        </is>
      </c>
      <c r="I1620" s="3" t="inlineStr">
        <is>
          <t>importado</t>
        </is>
      </c>
      <c r="J1620" s="5" t="n">
        <v>1</v>
      </c>
      <c r="K1620" s="6" t="n">
        <v>199</v>
      </c>
      <c r="L1620" s="6" t="n">
        <v>199</v>
      </c>
      <c r="M1620" s="6" t="n">
        <v>199</v>
      </c>
      <c r="N1620" s="3" t="inlineStr">
        <is>
          <t>Sí</t>
        </is>
      </c>
      <c r="O1620" s="6">
        <f>IF(K1620="","",IF(N1620="Sí",ROUND(K1620/1.18,2),K1620))</f>
        <v/>
      </c>
      <c r="P1620" s="3" t="inlineStr">
        <is>
          <t>2026-09-09</t>
        </is>
      </c>
      <c r="Q1620" s="4" t="inlineStr">
        <is>
          <t>Ferretería Cima</t>
        </is>
      </c>
      <c r="AF1620" s="4" t="inlineStr">
        <is>
          <t>tipo: coupling · material: HG · medida: 1 1/2"</t>
        </is>
      </c>
    </row>
    <row r="1621">
      <c r="A1621" s="3" t="inlineStr">
        <is>
          <t>MAT-32-264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Coupling de HG 1 1/4"</t>
        </is>
      </c>
      <c r="E1621" s="4" t="inlineStr"/>
      <c r="F1621" s="3" t="inlineStr">
        <is>
          <t>unidad</t>
        </is>
      </c>
      <c r="G1621" s="3" t="inlineStr">
        <is>
          <t>Instalaciones</t>
        </is>
      </c>
      <c r="H1621" s="3" t="inlineStr">
        <is>
          <t>estandar</t>
        </is>
      </c>
      <c r="I1621" s="3" t="inlineStr">
        <is>
          <t>importado</t>
        </is>
      </c>
      <c r="J1621" s="5" t="n">
        <v>1</v>
      </c>
      <c r="K1621" s="6" t="n">
        <v>141</v>
      </c>
      <c r="L1621" s="6" t="n">
        <v>141</v>
      </c>
      <c r="M1621" s="6" t="n">
        <v>141</v>
      </c>
      <c r="N1621" s="3" t="inlineStr">
        <is>
          <t>Sí</t>
        </is>
      </c>
      <c r="O1621" s="6">
        <f>IF(K1621="","",IF(N1621="Sí",ROUND(K1621/1.18,2),K1621))</f>
        <v/>
      </c>
      <c r="P1621" s="3" t="inlineStr">
        <is>
          <t>2026-09-09</t>
        </is>
      </c>
      <c r="Q1621" s="4" t="inlineStr">
        <is>
          <t>Ferretería Cima</t>
        </is>
      </c>
      <c r="AF1621" s="4" t="inlineStr">
        <is>
          <t>tipo: coupling · material: HG · medida: 1 1/4"</t>
        </is>
      </c>
    </row>
    <row r="1622">
      <c r="A1622" s="3" t="inlineStr">
        <is>
          <t>MAT-32-265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Coupling de HG 1/2"</t>
        </is>
      </c>
      <c r="E1622" s="4" t="inlineStr"/>
      <c r="F1622" s="3" t="inlineStr">
        <is>
          <t>unidad</t>
        </is>
      </c>
      <c r="G1622" s="3" t="inlineStr">
        <is>
          <t>Instalaciones</t>
        </is>
      </c>
      <c r="H1622" s="3" t="inlineStr">
        <is>
          <t>estandar</t>
        </is>
      </c>
      <c r="I1622" s="3" t="inlineStr">
        <is>
          <t>importado</t>
        </is>
      </c>
      <c r="J1622" s="5" t="n">
        <v>1</v>
      </c>
      <c r="K1622" s="6" t="n">
        <v>25</v>
      </c>
      <c r="L1622" s="6" t="n">
        <v>25</v>
      </c>
      <c r="M1622" s="6" t="n">
        <v>25</v>
      </c>
      <c r="N1622" s="3" t="inlineStr">
        <is>
          <t>Sí</t>
        </is>
      </c>
      <c r="O1622" s="6">
        <f>IF(K1622="","",IF(N1622="Sí",ROUND(K1622/1.18,2),K1622))</f>
        <v/>
      </c>
      <c r="P1622" s="3" t="inlineStr">
        <is>
          <t>2026-09-09</t>
        </is>
      </c>
      <c r="Q1622" s="4" t="inlineStr">
        <is>
          <t>Ferretería Cima</t>
        </is>
      </c>
      <c r="AF1622" s="4" t="inlineStr">
        <is>
          <t>tipo: coupling · material: HG · medida: 1/2"</t>
        </is>
      </c>
    </row>
    <row r="1623">
      <c r="A1623" s="3" t="inlineStr">
        <is>
          <t>MAT-32-266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Coupling de HG 1"</t>
        </is>
      </c>
      <c r="E1623" s="4" t="inlineStr"/>
      <c r="F1623" s="3" t="inlineStr">
        <is>
          <t>unidad</t>
        </is>
      </c>
      <c r="G1623" s="3" t="inlineStr">
        <is>
          <t>Instalaciones</t>
        </is>
      </c>
      <c r="H1623" s="3" t="inlineStr">
        <is>
          <t>estandar</t>
        </is>
      </c>
      <c r="I1623" s="3" t="inlineStr">
        <is>
          <t>importado</t>
        </is>
      </c>
      <c r="J1623" s="5" t="n">
        <v>1</v>
      </c>
      <c r="K1623" s="6" t="n">
        <v>65</v>
      </c>
      <c r="L1623" s="6" t="n">
        <v>65</v>
      </c>
      <c r="M1623" s="6" t="n">
        <v>65</v>
      </c>
      <c r="N1623" s="3" t="inlineStr">
        <is>
          <t>Sí</t>
        </is>
      </c>
      <c r="O1623" s="6">
        <f>IF(K1623="","",IF(N1623="Sí",ROUND(K1623/1.18,2),K1623))</f>
        <v/>
      </c>
      <c r="P1623" s="3" t="inlineStr">
        <is>
          <t>2026-09-09</t>
        </is>
      </c>
      <c r="Q1623" s="4" t="inlineStr">
        <is>
          <t>Ferretería Cima</t>
        </is>
      </c>
      <c r="AF1623" s="4" t="inlineStr">
        <is>
          <t>tipo: coupling · material: HG · medida: 1"</t>
        </is>
      </c>
    </row>
    <row r="1624">
      <c r="A1624" s="3" t="inlineStr">
        <is>
          <t>MAT-32-267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Coupling de HG 2"</t>
        </is>
      </c>
      <c r="E1624" s="4" t="inlineStr"/>
      <c r="F1624" s="3" t="inlineStr">
        <is>
          <t>unidad</t>
        </is>
      </c>
      <c r="G1624" s="3" t="inlineStr">
        <is>
          <t>Instalaciones</t>
        </is>
      </c>
      <c r="H1624" s="3" t="inlineStr">
        <is>
          <t>estandar</t>
        </is>
      </c>
      <c r="I1624" s="3" t="inlineStr">
        <is>
          <t>importado</t>
        </is>
      </c>
      <c r="J1624" s="5" t="n">
        <v>1</v>
      </c>
      <c r="K1624" s="6" t="n">
        <v>237</v>
      </c>
      <c r="L1624" s="6" t="n">
        <v>237</v>
      </c>
      <c r="M1624" s="6" t="n">
        <v>237</v>
      </c>
      <c r="N1624" s="3" t="inlineStr">
        <is>
          <t>Sí</t>
        </is>
      </c>
      <c r="O1624" s="6">
        <f>IF(K1624="","",IF(N1624="Sí",ROUND(K1624/1.18,2),K1624))</f>
        <v/>
      </c>
      <c r="P1624" s="3" t="inlineStr">
        <is>
          <t>2026-09-09</t>
        </is>
      </c>
      <c r="Q1624" s="4" t="inlineStr">
        <is>
          <t>Ferretería Cima</t>
        </is>
      </c>
      <c r="AF1624" s="4" t="inlineStr">
        <is>
          <t>tipo: coupling · material: HG · medida: 2"</t>
        </is>
      </c>
    </row>
    <row r="1625">
      <c r="A1625" s="3" t="inlineStr">
        <is>
          <t>MAT-32-268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Coupling de HG 3/4"</t>
        </is>
      </c>
      <c r="E1625" s="4" t="inlineStr"/>
      <c r="F1625" s="3" t="inlineStr">
        <is>
          <t>unidad</t>
        </is>
      </c>
      <c r="G1625" s="3" t="inlineStr">
        <is>
          <t>Instalaciones</t>
        </is>
      </c>
      <c r="H1625" s="3" t="inlineStr">
        <is>
          <t>estandar</t>
        </is>
      </c>
      <c r="I1625" s="3" t="inlineStr">
        <is>
          <t>importado</t>
        </is>
      </c>
      <c r="J1625" s="5" t="n">
        <v>1</v>
      </c>
      <c r="K1625" s="6" t="n">
        <v>35</v>
      </c>
      <c r="L1625" s="6" t="n">
        <v>35</v>
      </c>
      <c r="M1625" s="6" t="n">
        <v>35</v>
      </c>
      <c r="N1625" s="3" t="inlineStr">
        <is>
          <t>Sí</t>
        </is>
      </c>
      <c r="O1625" s="6">
        <f>IF(K1625="","",IF(N1625="Sí",ROUND(K1625/1.18,2),K1625))</f>
        <v/>
      </c>
      <c r="P1625" s="3" t="inlineStr">
        <is>
          <t>2026-09-09</t>
        </is>
      </c>
      <c r="Q1625" s="4" t="inlineStr">
        <is>
          <t>Ferretería Cima</t>
        </is>
      </c>
      <c r="AF1625" s="4" t="inlineStr">
        <is>
          <t>tipo: coupling · material: HG · medida: 3/4"</t>
        </is>
      </c>
    </row>
    <row r="1626">
      <c r="A1626" s="3" t="inlineStr">
        <is>
          <t>MAT-32-269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Coupling de HG 3/8"</t>
        </is>
      </c>
      <c r="E1626" s="4" t="inlineStr"/>
      <c r="F1626" s="3" t="inlineStr">
        <is>
          <t>unidad</t>
        </is>
      </c>
      <c r="G1626" s="3" t="inlineStr">
        <is>
          <t>Instalaciones</t>
        </is>
      </c>
      <c r="H1626" s="3" t="inlineStr">
        <is>
          <t>estandar</t>
        </is>
      </c>
      <c r="I1626" s="3" t="inlineStr">
        <is>
          <t>importado</t>
        </is>
      </c>
      <c r="J1626" s="5" t="n">
        <v>1</v>
      </c>
      <c r="K1626" s="6" t="n">
        <v>42</v>
      </c>
      <c r="L1626" s="6" t="n">
        <v>42</v>
      </c>
      <c r="M1626" s="6" t="n">
        <v>42</v>
      </c>
      <c r="N1626" s="3" t="inlineStr">
        <is>
          <t>Sí</t>
        </is>
      </c>
      <c r="O1626" s="6">
        <f>IF(K1626="","",IF(N1626="Sí",ROUND(K1626/1.18,2),K1626))</f>
        <v/>
      </c>
      <c r="P1626" s="3" t="inlineStr">
        <is>
          <t>2026-09-09</t>
        </is>
      </c>
      <c r="Q1626" s="4" t="inlineStr">
        <is>
          <t>Ferretería Cima</t>
        </is>
      </c>
      <c r="AF1626" s="4" t="inlineStr">
        <is>
          <t>tipo: coupling · material: HG · medida: 3/8"</t>
        </is>
      </c>
    </row>
    <row r="1627">
      <c r="A1627" s="3" t="inlineStr">
        <is>
          <t>MAT-32-270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Coupling de niquelado 1/2"</t>
        </is>
      </c>
      <c r="E1627" s="4" t="inlineStr"/>
      <c r="F1627" s="3" t="inlineStr">
        <is>
          <t>unidad</t>
        </is>
      </c>
      <c r="G1627" s="3" t="inlineStr">
        <is>
          <t>Instalaciones</t>
        </is>
      </c>
      <c r="H1627" s="3" t="inlineStr">
        <is>
          <t>estandar</t>
        </is>
      </c>
      <c r="I1627" s="3" t="inlineStr">
        <is>
          <t>importado</t>
        </is>
      </c>
      <c r="J1627" s="5" t="n">
        <v>1</v>
      </c>
      <c r="K1627" s="6" t="n">
        <v>247</v>
      </c>
      <c r="L1627" s="6" t="n">
        <v>247</v>
      </c>
      <c r="M1627" s="6" t="n">
        <v>247</v>
      </c>
      <c r="N1627" s="3" t="inlineStr">
        <is>
          <t>Sí</t>
        </is>
      </c>
      <c r="O1627" s="6">
        <f>IF(K1627="","",IF(N1627="Sí",ROUND(K1627/1.18,2),K1627))</f>
        <v/>
      </c>
      <c r="P1627" s="3" t="inlineStr">
        <is>
          <t>2026-09-09</t>
        </is>
      </c>
      <c r="Q1627" s="4" t="inlineStr">
        <is>
          <t>Ferretería Cima</t>
        </is>
      </c>
      <c r="AF1627" s="4" t="inlineStr">
        <is>
          <t>tipo: coupling · material: niquelado · medida: 1/2"</t>
        </is>
      </c>
    </row>
    <row r="1628">
      <c r="A1628" s="3" t="inlineStr">
        <is>
          <t>MAT-32-271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Coupling de PPR 25 mm</t>
        </is>
      </c>
      <c r="E1628" s="4" t="inlineStr"/>
      <c r="F1628" s="3" t="inlineStr">
        <is>
          <t>unidad</t>
        </is>
      </c>
      <c r="G1628" s="3" t="inlineStr">
        <is>
          <t>Instalaciones</t>
        </is>
      </c>
      <c r="H1628" s="3" t="inlineStr">
        <is>
          <t>estandar</t>
        </is>
      </c>
      <c r="I1628" s="3" t="inlineStr">
        <is>
          <t>importado</t>
        </is>
      </c>
      <c r="J1628" s="5" t="n">
        <v>1</v>
      </c>
      <c r="K1628" s="6" t="n">
        <v>40</v>
      </c>
      <c r="L1628" s="6" t="n">
        <v>40</v>
      </c>
      <c r="M1628" s="6" t="n">
        <v>40</v>
      </c>
      <c r="N1628" s="3" t="inlineStr">
        <is>
          <t>Sí</t>
        </is>
      </c>
      <c r="O1628" s="6">
        <f>IF(K1628="","",IF(N1628="Sí",ROUND(K1628/1.18,2),K1628))</f>
        <v/>
      </c>
      <c r="P1628" s="3" t="inlineStr">
        <is>
          <t>2026-09-09</t>
        </is>
      </c>
      <c r="Q1628" s="4" t="inlineStr">
        <is>
          <t>Ferretería Cima</t>
        </is>
      </c>
      <c r="AF1628" s="4" t="inlineStr">
        <is>
          <t>tipo: coupling · material: PPR · medida: 25 mm</t>
        </is>
      </c>
    </row>
    <row r="1629">
      <c r="A1629" s="3" t="inlineStr">
        <is>
          <t>MAT-32-272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Coupling de PPR 32 mm</t>
        </is>
      </c>
      <c r="E1629" s="4" t="inlineStr"/>
      <c r="F1629" s="3" t="inlineStr">
        <is>
          <t>unidad</t>
        </is>
      </c>
      <c r="G1629" s="3" t="inlineStr">
        <is>
          <t>Instalaciones</t>
        </is>
      </c>
      <c r="H1629" s="3" t="inlineStr">
        <is>
          <t>estandar</t>
        </is>
      </c>
      <c r="I1629" s="3" t="inlineStr">
        <is>
          <t>importado</t>
        </is>
      </c>
      <c r="J1629" s="5" t="n">
        <v>1</v>
      </c>
      <c r="K1629" s="6" t="n">
        <v>35</v>
      </c>
      <c r="L1629" s="6" t="n">
        <v>35</v>
      </c>
      <c r="M1629" s="6" t="n">
        <v>35</v>
      </c>
      <c r="N1629" s="3" t="inlineStr">
        <is>
          <t>Sí</t>
        </is>
      </c>
      <c r="O1629" s="6">
        <f>IF(K1629="","",IF(N1629="Sí",ROUND(K1629/1.18,2),K1629))</f>
        <v/>
      </c>
      <c r="P1629" s="3" t="inlineStr">
        <is>
          <t>2026-09-09</t>
        </is>
      </c>
      <c r="Q1629" s="4" t="inlineStr">
        <is>
          <t>Ferretería Cima</t>
        </is>
      </c>
      <c r="AF1629" s="4" t="inlineStr">
        <is>
          <t>tipo: coupling · material: PPR · medida: 32 mm</t>
        </is>
      </c>
    </row>
    <row r="1630">
      <c r="A1630" s="3" t="inlineStr">
        <is>
          <t>MAT-32-273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Coupling de PVC presión 1 1/2"</t>
        </is>
      </c>
      <c r="E1630" s="4" t="inlineStr"/>
      <c r="F1630" s="3" t="inlineStr">
        <is>
          <t>unidad</t>
        </is>
      </c>
      <c r="G1630" s="3" t="inlineStr">
        <is>
          <t>Instalaciones</t>
        </is>
      </c>
      <c r="H1630" s="3" t="inlineStr">
        <is>
          <t>estandar</t>
        </is>
      </c>
      <c r="I1630" s="3" t="inlineStr">
        <is>
          <t>importado</t>
        </is>
      </c>
      <c r="J1630" s="5" t="n">
        <v>1</v>
      </c>
      <c r="K1630" s="6" t="n">
        <v>65</v>
      </c>
      <c r="L1630" s="6" t="n">
        <v>65</v>
      </c>
      <c r="M1630" s="6" t="n">
        <v>65</v>
      </c>
      <c r="N1630" s="3" t="inlineStr">
        <is>
          <t>Sí</t>
        </is>
      </c>
      <c r="O1630" s="6">
        <f>IF(K1630="","",IF(N1630="Sí",ROUND(K1630/1.18,2),K1630))</f>
        <v/>
      </c>
      <c r="P1630" s="3" t="inlineStr">
        <is>
          <t>2026-09-09</t>
        </is>
      </c>
      <c r="Q1630" s="4" t="inlineStr">
        <is>
          <t>Ferretería Cima</t>
        </is>
      </c>
      <c r="AF1630" s="4" t="inlineStr">
        <is>
          <t>tipo: coupling · material: PVC presión · medida: 1 1/2"</t>
        </is>
      </c>
    </row>
    <row r="1631">
      <c r="A1631" s="3" t="inlineStr">
        <is>
          <t>MAT-32-274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Coupling de PVC presión 1/2"</t>
        </is>
      </c>
      <c r="E1631" s="4" t="inlineStr"/>
      <c r="F1631" s="3" t="inlineStr">
        <is>
          <t>unidad</t>
        </is>
      </c>
      <c r="G1631" s="3" t="inlineStr">
        <is>
          <t>Instalaciones</t>
        </is>
      </c>
      <c r="H1631" s="3" t="inlineStr">
        <is>
          <t>estandar</t>
        </is>
      </c>
      <c r="I1631" s="3" t="inlineStr">
        <is>
          <t>importado</t>
        </is>
      </c>
      <c r="J1631" s="5" t="n">
        <v>1</v>
      </c>
      <c r="K1631" s="6" t="n">
        <v>27</v>
      </c>
      <c r="L1631" s="6" t="n">
        <v>27</v>
      </c>
      <c r="M1631" s="6" t="n">
        <v>27</v>
      </c>
      <c r="N1631" s="3" t="inlineStr">
        <is>
          <t>Sí</t>
        </is>
      </c>
      <c r="O1631" s="6">
        <f>IF(K1631="","",IF(N1631="Sí",ROUND(K1631/1.18,2),K1631))</f>
        <v/>
      </c>
      <c r="P1631" s="3" t="inlineStr">
        <is>
          <t>2026-09-09</t>
        </is>
      </c>
      <c r="Q1631" s="4" t="inlineStr">
        <is>
          <t>Ferretería Cima</t>
        </is>
      </c>
      <c r="AF1631" s="4" t="inlineStr">
        <is>
          <t>tipo: coupling · material: PVC presión · medida: 1/2"</t>
        </is>
      </c>
    </row>
    <row r="1632">
      <c r="A1632" s="3" t="inlineStr">
        <is>
          <t>MAT-32-275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Coupling de PVC presión 1"</t>
        </is>
      </c>
      <c r="E1632" s="4" t="inlineStr"/>
      <c r="F1632" s="3" t="inlineStr">
        <is>
          <t>unidad</t>
        </is>
      </c>
      <c r="G1632" s="3" t="inlineStr">
        <is>
          <t>Instalaciones</t>
        </is>
      </c>
      <c r="H1632" s="3" t="inlineStr">
        <is>
          <t>estandar</t>
        </is>
      </c>
      <c r="I1632" s="3" t="inlineStr">
        <is>
          <t>importado</t>
        </is>
      </c>
      <c r="J1632" s="5" t="n">
        <v>1</v>
      </c>
      <c r="K1632" s="6" t="n">
        <v>41</v>
      </c>
      <c r="L1632" s="6" t="n">
        <v>41</v>
      </c>
      <c r="M1632" s="6" t="n">
        <v>41</v>
      </c>
      <c r="N1632" s="3" t="inlineStr">
        <is>
          <t>Sí</t>
        </is>
      </c>
      <c r="O1632" s="6">
        <f>IF(K1632="","",IF(N1632="Sí",ROUND(K1632/1.18,2),K1632))</f>
        <v/>
      </c>
      <c r="P1632" s="3" t="inlineStr">
        <is>
          <t>2026-09-09</t>
        </is>
      </c>
      <c r="Q1632" s="4" t="inlineStr">
        <is>
          <t>Ferretería Cima</t>
        </is>
      </c>
      <c r="AF1632" s="4" t="inlineStr">
        <is>
          <t>tipo: coupling · material: PVC presión · medida: 1"</t>
        </is>
      </c>
    </row>
    <row r="1633">
      <c r="A1633" s="3" t="inlineStr">
        <is>
          <t>MAT-32-276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Coupling de PVC presión 2"</t>
        </is>
      </c>
      <c r="E1633" s="4" t="inlineStr"/>
      <c r="F1633" s="3" t="inlineStr">
        <is>
          <t>unidad</t>
        </is>
      </c>
      <c r="G1633" s="3" t="inlineStr">
        <is>
          <t>Instalaciones</t>
        </is>
      </c>
      <c r="H1633" s="3" t="inlineStr">
        <is>
          <t>estandar</t>
        </is>
      </c>
      <c r="I1633" s="3" t="inlineStr">
        <is>
          <t>importado</t>
        </is>
      </c>
      <c r="J1633" s="5" t="n">
        <v>1</v>
      </c>
      <c r="K1633" s="6" t="n">
        <v>95</v>
      </c>
      <c r="L1633" s="6" t="n">
        <v>95</v>
      </c>
      <c r="M1633" s="6" t="n">
        <v>95</v>
      </c>
      <c r="N1633" s="3" t="inlineStr">
        <is>
          <t>Sí</t>
        </is>
      </c>
      <c r="O1633" s="6">
        <f>IF(K1633="","",IF(N1633="Sí",ROUND(K1633/1.18,2),K1633))</f>
        <v/>
      </c>
      <c r="P1633" s="3" t="inlineStr">
        <is>
          <t>2026-09-09</t>
        </is>
      </c>
      <c r="Q1633" s="4" t="inlineStr">
        <is>
          <t>Ferretería Cima</t>
        </is>
      </c>
      <c r="AF1633" s="4" t="inlineStr">
        <is>
          <t>tipo: coupling · material: PVC presión · medida: 2"</t>
        </is>
      </c>
    </row>
    <row r="1634">
      <c r="A1634" s="3" t="inlineStr">
        <is>
          <t>MAT-32-277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Coupling de PVC presión 3/4"</t>
        </is>
      </c>
      <c r="E1634" s="4" t="inlineStr"/>
      <c r="F1634" s="3" t="inlineStr">
        <is>
          <t>unidad</t>
        </is>
      </c>
      <c r="G1634" s="3" t="inlineStr">
        <is>
          <t>Instalaciones</t>
        </is>
      </c>
      <c r="H1634" s="3" t="inlineStr">
        <is>
          <t>estandar</t>
        </is>
      </c>
      <c r="I1634" s="3" t="inlineStr">
        <is>
          <t>importado</t>
        </is>
      </c>
      <c r="J1634" s="5" t="n">
        <v>1</v>
      </c>
      <c r="K1634" s="6" t="n">
        <v>26</v>
      </c>
      <c r="L1634" s="6" t="n">
        <v>26</v>
      </c>
      <c r="M1634" s="6" t="n">
        <v>26</v>
      </c>
      <c r="N1634" s="3" t="inlineStr">
        <is>
          <t>Sí</t>
        </is>
      </c>
      <c r="O1634" s="6">
        <f>IF(K1634="","",IF(N1634="Sí",ROUND(K1634/1.18,2),K1634))</f>
        <v/>
      </c>
      <c r="P1634" s="3" t="inlineStr">
        <is>
          <t>2026-09-09</t>
        </is>
      </c>
      <c r="Q1634" s="4" t="inlineStr">
        <is>
          <t>Ferretería Cima</t>
        </is>
      </c>
      <c r="AF1634" s="4" t="inlineStr">
        <is>
          <t>tipo: coupling · material: PVC presión · medida: 3/4"</t>
        </is>
      </c>
    </row>
    <row r="1635">
      <c r="A1635" s="3" t="inlineStr">
        <is>
          <t>MAT-32-278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Coupling de PVC presión 3"</t>
        </is>
      </c>
      <c r="E1635" s="4" t="inlineStr"/>
      <c r="F1635" s="3" t="inlineStr">
        <is>
          <t>unidad</t>
        </is>
      </c>
      <c r="G1635" s="3" t="inlineStr">
        <is>
          <t>Instalaciones</t>
        </is>
      </c>
      <c r="H1635" s="3" t="inlineStr">
        <is>
          <t>estandar</t>
        </is>
      </c>
      <c r="I1635" s="3" t="inlineStr">
        <is>
          <t>importado</t>
        </is>
      </c>
      <c r="J1635" s="5" t="n">
        <v>1</v>
      </c>
      <c r="K1635" s="6" t="n">
        <v>215</v>
      </c>
      <c r="L1635" s="6" t="n">
        <v>215</v>
      </c>
      <c r="M1635" s="6" t="n">
        <v>215</v>
      </c>
      <c r="N1635" s="3" t="inlineStr">
        <is>
          <t>Sí</t>
        </is>
      </c>
      <c r="O1635" s="6">
        <f>IF(K1635="","",IF(N1635="Sí",ROUND(K1635/1.18,2),K1635))</f>
        <v/>
      </c>
      <c r="P1635" s="3" t="inlineStr">
        <is>
          <t>2026-09-09</t>
        </is>
      </c>
      <c r="Q1635" s="4" t="inlineStr">
        <is>
          <t>Ferretería Cima</t>
        </is>
      </c>
      <c r="AF1635" s="4" t="inlineStr">
        <is>
          <t>tipo: coupling · material: PVC presión · medida: 3"</t>
        </is>
      </c>
    </row>
    <row r="1636">
      <c r="A1636" s="3" t="inlineStr">
        <is>
          <t>MAT-32-279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Coupling de PVC presión 4"</t>
        </is>
      </c>
      <c r="E1636" s="4" t="inlineStr"/>
      <c r="F1636" s="3" t="inlineStr">
        <is>
          <t>unidad</t>
        </is>
      </c>
      <c r="G1636" s="3" t="inlineStr">
        <is>
          <t>Instalaciones</t>
        </is>
      </c>
      <c r="H1636" s="3" t="inlineStr">
        <is>
          <t>estandar</t>
        </is>
      </c>
      <c r="I1636" s="3" t="inlineStr">
        <is>
          <t>importado</t>
        </is>
      </c>
      <c r="J1636" s="5" t="n">
        <v>1</v>
      </c>
      <c r="K1636" s="6" t="n">
        <v>335</v>
      </c>
      <c r="L1636" s="6" t="n">
        <v>335</v>
      </c>
      <c r="M1636" s="6" t="n">
        <v>335</v>
      </c>
      <c r="N1636" s="3" t="inlineStr">
        <is>
          <t>Sí</t>
        </is>
      </c>
      <c r="O1636" s="6">
        <f>IF(K1636="","",IF(N1636="Sí",ROUND(K1636/1.18,2),K1636))</f>
        <v/>
      </c>
      <c r="P1636" s="3" t="inlineStr">
        <is>
          <t>2026-09-09</t>
        </is>
      </c>
      <c r="Q1636" s="4" t="inlineStr">
        <is>
          <t>Ferretería Cima</t>
        </is>
      </c>
      <c r="AF1636" s="4" t="inlineStr">
        <is>
          <t>tipo: coupling · material: PVC presión · medida: 4"</t>
        </is>
      </c>
    </row>
    <row r="1637">
      <c r="A1637" s="3" t="inlineStr">
        <is>
          <t>MAT-32-280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Cruz de PVC presión 1"</t>
        </is>
      </c>
      <c r="E1637" s="4" t="inlineStr"/>
      <c r="F1637" s="3" t="inlineStr">
        <is>
          <t>unidad</t>
        </is>
      </c>
      <c r="G1637" s="3" t="inlineStr">
        <is>
          <t>Instalaciones</t>
        </is>
      </c>
      <c r="H1637" s="3" t="inlineStr">
        <is>
          <t>estandar</t>
        </is>
      </c>
      <c r="I1637" s="3" t="inlineStr">
        <is>
          <t>importado</t>
        </is>
      </c>
      <c r="J1637" s="5" t="n">
        <v>1</v>
      </c>
      <c r="K1637" s="6" t="n">
        <v>136</v>
      </c>
      <c r="L1637" s="6" t="n">
        <v>136</v>
      </c>
      <c r="M1637" s="6" t="n">
        <v>136</v>
      </c>
      <c r="N1637" s="3" t="inlineStr">
        <is>
          <t>Sí</t>
        </is>
      </c>
      <c r="O1637" s="6">
        <f>IF(K1637="","",IF(N1637="Sí",ROUND(K1637/1.18,2),K1637))</f>
        <v/>
      </c>
      <c r="P1637" s="3" t="inlineStr">
        <is>
          <t>2026-09-09</t>
        </is>
      </c>
      <c r="Q1637" s="4" t="inlineStr">
        <is>
          <t>Ferretería Cima</t>
        </is>
      </c>
      <c r="AF1637" s="4" t="inlineStr">
        <is>
          <t>tipo: cruz · material: PVC presión · medida: 1"</t>
        </is>
      </c>
    </row>
    <row r="1638">
      <c r="A1638" s="3" t="inlineStr">
        <is>
          <t>MAT-32-281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Fitting de manguera 1/2" x 1/4"</t>
        </is>
      </c>
      <c r="E1638" s="4" t="inlineStr"/>
      <c r="F1638" s="3" t="inlineStr">
        <is>
          <t>unidad</t>
        </is>
      </c>
      <c r="G1638" s="3" t="inlineStr">
        <is>
          <t>Instalaciones</t>
        </is>
      </c>
      <c r="H1638" s="3" t="inlineStr">
        <is>
          <t>estandar</t>
        </is>
      </c>
      <c r="I1638" s="3" t="inlineStr">
        <is>
          <t>importado</t>
        </is>
      </c>
      <c r="J1638" s="5" t="n">
        <v>1</v>
      </c>
      <c r="K1638" s="6" t="n">
        <v>165</v>
      </c>
      <c r="L1638" s="6" t="n">
        <v>165</v>
      </c>
      <c r="M1638" s="6" t="n">
        <v>165</v>
      </c>
      <c r="N1638" s="3" t="inlineStr">
        <is>
          <t>Sí</t>
        </is>
      </c>
      <c r="O1638" s="6">
        <f>IF(K1638="","",IF(N1638="Sí",ROUND(K1638/1.18,2),K1638))</f>
        <v/>
      </c>
      <c r="P1638" s="3" t="inlineStr">
        <is>
          <t>2026-09-09</t>
        </is>
      </c>
      <c r="Q1638" s="4" t="inlineStr">
        <is>
          <t>Ferretería Cima</t>
        </is>
      </c>
      <c r="AF1638" s="4" t="inlineStr">
        <is>
          <t>tipo: fitting · material: manguera · medida: 1/2" x 1/4"</t>
        </is>
      </c>
    </row>
    <row r="1639">
      <c r="A1639" s="3" t="inlineStr">
        <is>
          <t>MAT-32-282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Fitting de manguera 1/2" x 3/8"</t>
        </is>
      </c>
      <c r="E1639" s="4" t="inlineStr"/>
      <c r="F1639" s="3" t="inlineStr">
        <is>
          <t>unidad</t>
        </is>
      </c>
      <c r="G1639" s="3" t="inlineStr">
        <is>
          <t>Instalaciones</t>
        </is>
      </c>
      <c r="H1639" s="3" t="inlineStr">
        <is>
          <t>estandar</t>
        </is>
      </c>
      <c r="I1639" s="3" t="inlineStr">
        <is>
          <t>importado</t>
        </is>
      </c>
      <c r="J1639" s="5" t="n">
        <v>1</v>
      </c>
      <c r="K1639" s="6" t="n">
        <v>205</v>
      </c>
      <c r="L1639" s="6" t="n">
        <v>205</v>
      </c>
      <c r="M1639" s="6" t="n">
        <v>205</v>
      </c>
      <c r="N1639" s="3" t="inlineStr">
        <is>
          <t>Sí</t>
        </is>
      </c>
      <c r="O1639" s="6">
        <f>IF(K1639="","",IF(N1639="Sí",ROUND(K1639/1.18,2),K1639))</f>
        <v/>
      </c>
      <c r="P1639" s="3" t="inlineStr">
        <is>
          <t>2026-09-09</t>
        </is>
      </c>
      <c r="Q1639" s="4" t="inlineStr">
        <is>
          <t>Ferretería Cima</t>
        </is>
      </c>
      <c r="AF1639" s="4" t="inlineStr">
        <is>
          <t>tipo: fitting · material: manguera · medida: 1/2" x 3/8"</t>
        </is>
      </c>
    </row>
    <row r="1640">
      <c r="A1640" s="3" t="inlineStr">
        <is>
          <t>MAT-32-283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Fitting de manguera 1/4" x 3/8"</t>
        </is>
      </c>
      <c r="E1640" s="4" t="inlineStr"/>
      <c r="F1640" s="3" t="inlineStr">
        <is>
          <t>unidad</t>
        </is>
      </c>
      <c r="G1640" s="3" t="inlineStr">
        <is>
          <t>Instalaciones</t>
        </is>
      </c>
      <c r="H1640" s="3" t="inlineStr">
        <is>
          <t>estandar</t>
        </is>
      </c>
      <c r="I1640" s="3" t="inlineStr">
        <is>
          <t>importado</t>
        </is>
      </c>
      <c r="J1640" s="5" t="n">
        <v>1</v>
      </c>
      <c r="K1640" s="6" t="n">
        <v>122</v>
      </c>
      <c r="L1640" s="6" t="n">
        <v>122</v>
      </c>
      <c r="M1640" s="6" t="n">
        <v>122</v>
      </c>
      <c r="N1640" s="3" t="inlineStr">
        <is>
          <t>Sí</t>
        </is>
      </c>
      <c r="O1640" s="6">
        <f>IF(K1640="","",IF(N1640="Sí",ROUND(K1640/1.18,2),K1640))</f>
        <v/>
      </c>
      <c r="P1640" s="3" t="inlineStr">
        <is>
          <t>2026-09-09</t>
        </is>
      </c>
      <c r="Q1640" s="4" t="inlineStr">
        <is>
          <t>Ferretería Cima</t>
        </is>
      </c>
      <c r="AF1640" s="4" t="inlineStr">
        <is>
          <t>tipo: fitting · material: manguera · medida: 1/4" x 3/8"</t>
        </is>
      </c>
    </row>
    <row r="1641">
      <c r="A1641" s="3" t="inlineStr">
        <is>
          <t>MAT-32-284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Fitting de manguera 3/8" x 1/4"</t>
        </is>
      </c>
      <c r="E1641" s="4" t="inlineStr"/>
      <c r="F1641" s="3" t="inlineStr">
        <is>
          <t>unidad</t>
        </is>
      </c>
      <c r="G1641" s="3" t="inlineStr">
        <is>
          <t>Instalaciones</t>
        </is>
      </c>
      <c r="H1641" s="3" t="inlineStr">
        <is>
          <t>estandar</t>
        </is>
      </c>
      <c r="I1641" s="3" t="inlineStr">
        <is>
          <t>importado</t>
        </is>
      </c>
      <c r="J1641" s="5" t="n">
        <v>1</v>
      </c>
      <c r="K1641" s="6" t="n">
        <v>102</v>
      </c>
      <c r="L1641" s="6" t="n">
        <v>102</v>
      </c>
      <c r="M1641" s="6" t="n">
        <v>102</v>
      </c>
      <c r="N1641" s="3" t="inlineStr">
        <is>
          <t>Sí</t>
        </is>
      </c>
      <c r="O1641" s="6">
        <f>IF(K1641="","",IF(N1641="Sí",ROUND(K1641/1.18,2),K1641))</f>
        <v/>
      </c>
      <c r="P1641" s="3" t="inlineStr">
        <is>
          <t>2026-09-09</t>
        </is>
      </c>
      <c r="Q1641" s="4" t="inlineStr">
        <is>
          <t>Ferretería Cima</t>
        </is>
      </c>
      <c r="AF1641" s="4" t="inlineStr">
        <is>
          <t>tipo: fitting · material: manguera · medida: 3/8" x 1/4"</t>
        </is>
      </c>
    </row>
    <row r="1642">
      <c r="A1642" s="3" t="inlineStr">
        <is>
          <t>MAT-32-285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Junta de PVC 1 1/2"</t>
        </is>
      </c>
      <c r="E1642" s="4" t="inlineStr"/>
      <c r="F1642" s="3" t="inlineStr">
        <is>
          <t>unidad</t>
        </is>
      </c>
      <c r="G1642" s="3" t="inlineStr">
        <is>
          <t>Instalaciones</t>
        </is>
      </c>
      <c r="H1642" s="3" t="inlineStr">
        <is>
          <t>estandar</t>
        </is>
      </c>
      <c r="I1642" s="3" t="inlineStr">
        <is>
          <t>importado</t>
        </is>
      </c>
      <c r="J1642" s="5" t="n">
        <v>1</v>
      </c>
      <c r="K1642" s="6" t="n">
        <v>308</v>
      </c>
      <c r="L1642" s="6" t="n">
        <v>308</v>
      </c>
      <c r="M1642" s="6" t="n">
        <v>308</v>
      </c>
      <c r="N1642" s="3" t="inlineStr">
        <is>
          <t>Sí</t>
        </is>
      </c>
      <c r="O1642" s="6">
        <f>IF(K1642="","",IF(N1642="Sí",ROUND(K1642/1.18,2),K1642))</f>
        <v/>
      </c>
      <c r="P1642" s="3" t="inlineStr">
        <is>
          <t>2026-09-09</t>
        </is>
      </c>
      <c r="Q1642" s="4" t="inlineStr">
        <is>
          <t>Ferretería Cima</t>
        </is>
      </c>
      <c r="AF1642" s="4" t="inlineStr">
        <is>
          <t>tipo: junta · material: PVC · medida: 1 1/2"</t>
        </is>
      </c>
    </row>
    <row r="1643">
      <c r="A1643" s="3" t="inlineStr">
        <is>
          <t>MAT-32-286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Junta de PVC 1/2"</t>
        </is>
      </c>
      <c r="E1643" s="4" t="inlineStr"/>
      <c r="F1643" s="3" t="inlineStr">
        <is>
          <t>unidad</t>
        </is>
      </c>
      <c r="G1643" s="3" t="inlineStr">
        <is>
          <t>Instalaciones</t>
        </is>
      </c>
      <c r="H1643" s="3" t="inlineStr">
        <is>
          <t>estandar</t>
        </is>
      </c>
      <c r="I1643" s="3" t="inlineStr">
        <is>
          <t>importado</t>
        </is>
      </c>
      <c r="J1643" s="5" t="n">
        <v>1</v>
      </c>
      <c r="K1643" s="6" t="n">
        <v>86</v>
      </c>
      <c r="L1643" s="6" t="n">
        <v>86</v>
      </c>
      <c r="M1643" s="6" t="n">
        <v>86</v>
      </c>
      <c r="N1643" s="3" t="inlineStr">
        <is>
          <t>Sí</t>
        </is>
      </c>
      <c r="O1643" s="6">
        <f>IF(K1643="","",IF(N1643="Sí",ROUND(K1643/1.18,2),K1643))</f>
        <v/>
      </c>
      <c r="P1643" s="3" t="inlineStr">
        <is>
          <t>2026-09-09</t>
        </is>
      </c>
      <c r="Q1643" s="4" t="inlineStr">
        <is>
          <t>Ferretería Cima</t>
        </is>
      </c>
      <c r="AF1643" s="4" t="inlineStr">
        <is>
          <t>tipo: junta · material: PVC · medida: 1/2"</t>
        </is>
      </c>
    </row>
    <row r="1644">
      <c r="A1644" s="3" t="inlineStr">
        <is>
          <t>MAT-32-287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Junta de PVC 1"</t>
        </is>
      </c>
      <c r="E1644" s="4" t="inlineStr"/>
      <c r="F1644" s="3" t="inlineStr">
        <is>
          <t>unidad</t>
        </is>
      </c>
      <c r="G1644" s="3" t="inlineStr">
        <is>
          <t>Instalaciones</t>
        </is>
      </c>
      <c r="H1644" s="3" t="inlineStr">
        <is>
          <t>estandar</t>
        </is>
      </c>
      <c r="I1644" s="3" t="inlineStr">
        <is>
          <t>importado</t>
        </is>
      </c>
      <c r="J1644" s="5" t="n">
        <v>1</v>
      </c>
      <c r="K1644" s="6" t="n">
        <v>160</v>
      </c>
      <c r="L1644" s="6" t="n">
        <v>160</v>
      </c>
      <c r="M1644" s="6" t="n">
        <v>160</v>
      </c>
      <c r="N1644" s="3" t="inlineStr">
        <is>
          <t>Sí</t>
        </is>
      </c>
      <c r="O1644" s="6">
        <f>IF(K1644="","",IF(N1644="Sí",ROUND(K1644/1.18,2),K1644))</f>
        <v/>
      </c>
      <c r="P1644" s="3" t="inlineStr">
        <is>
          <t>2026-09-09</t>
        </is>
      </c>
      <c r="Q1644" s="4" t="inlineStr">
        <is>
          <t>Ferretería Cima</t>
        </is>
      </c>
      <c r="AF1644" s="4" t="inlineStr">
        <is>
          <t>tipo: junta · material: PVC · medida: 1"</t>
        </is>
      </c>
    </row>
    <row r="1645">
      <c r="A1645" s="3" t="inlineStr">
        <is>
          <t>MAT-32-288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Junta de PVC 3/4"</t>
        </is>
      </c>
      <c r="E1645" s="4" t="inlineStr"/>
      <c r="F1645" s="3" t="inlineStr">
        <is>
          <t>unidad</t>
        </is>
      </c>
      <c r="G1645" s="3" t="inlineStr">
        <is>
          <t>Instalaciones</t>
        </is>
      </c>
      <c r="H1645" s="3" t="inlineStr">
        <is>
          <t>estandar</t>
        </is>
      </c>
      <c r="I1645" s="3" t="inlineStr">
        <is>
          <t>importado</t>
        </is>
      </c>
      <c r="J1645" s="5" t="n">
        <v>1</v>
      </c>
      <c r="K1645" s="6" t="n">
        <v>135</v>
      </c>
      <c r="L1645" s="6" t="n">
        <v>135</v>
      </c>
      <c r="M1645" s="6" t="n">
        <v>135</v>
      </c>
      <c r="N1645" s="3" t="inlineStr">
        <is>
          <t>Sí</t>
        </is>
      </c>
      <c r="O1645" s="6">
        <f>IF(K1645="","",IF(N1645="Sí",ROUND(K1645/1.18,2),K1645))</f>
        <v/>
      </c>
      <c r="P1645" s="3" t="inlineStr">
        <is>
          <t>2026-09-09</t>
        </is>
      </c>
      <c r="Q1645" s="4" t="inlineStr">
        <is>
          <t>Ferretería Cima</t>
        </is>
      </c>
      <c r="AF1645" s="4" t="inlineStr">
        <is>
          <t>tipo: junta · material: PVC · medida: 3/4"</t>
        </is>
      </c>
    </row>
    <row r="1646">
      <c r="A1646" s="3" t="inlineStr">
        <is>
          <t>MAT-32-289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Niple de bronce 1/2" x 2"</t>
        </is>
      </c>
      <c r="E1646" s="4" t="inlineStr"/>
      <c r="F1646" s="3" t="inlineStr">
        <is>
          <t>unidad</t>
        </is>
      </c>
      <c r="G1646" s="3" t="inlineStr">
        <is>
          <t>Instalaciones</t>
        </is>
      </c>
      <c r="H1646" s="3" t="inlineStr">
        <is>
          <t>estandar</t>
        </is>
      </c>
      <c r="I1646" s="3" t="inlineStr">
        <is>
          <t>importado</t>
        </is>
      </c>
      <c r="J1646" s="5" t="n">
        <v>1</v>
      </c>
      <c r="K1646" s="6" t="n">
        <v>133</v>
      </c>
      <c r="L1646" s="6" t="n">
        <v>133</v>
      </c>
      <c r="M1646" s="6" t="n">
        <v>133</v>
      </c>
      <c r="N1646" s="3" t="inlineStr">
        <is>
          <t>Sí</t>
        </is>
      </c>
      <c r="O1646" s="6">
        <f>IF(K1646="","",IF(N1646="Sí",ROUND(K1646/1.18,2),K1646))</f>
        <v/>
      </c>
      <c r="P1646" s="3" t="inlineStr">
        <is>
          <t>2026-09-10</t>
        </is>
      </c>
      <c r="Q1646" s="4" t="inlineStr">
        <is>
          <t>Bellón</t>
        </is>
      </c>
      <c r="AF1646" s="4" t="inlineStr">
        <is>
          <t>tipo: niple · material: bronce · medida: 1/2" x 2"</t>
        </is>
      </c>
    </row>
    <row r="1647">
      <c r="A1647" s="3" t="inlineStr">
        <is>
          <t>MAT-32-290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Niple de bronce 1/2" x 3"</t>
        </is>
      </c>
      <c r="E1647" s="4" t="inlineStr"/>
      <c r="F1647" s="3" t="inlineStr">
        <is>
          <t>unidad</t>
        </is>
      </c>
      <c r="G1647" s="3" t="inlineStr">
        <is>
          <t>Instalaciones</t>
        </is>
      </c>
      <c r="H1647" s="3" t="inlineStr">
        <is>
          <t>estandar</t>
        </is>
      </c>
      <c r="I1647" s="3" t="inlineStr">
        <is>
          <t>importado</t>
        </is>
      </c>
      <c r="J1647" s="5" t="n">
        <v>1</v>
      </c>
      <c r="K1647" s="6" t="n">
        <v>192</v>
      </c>
      <c r="L1647" s="6" t="n">
        <v>192</v>
      </c>
      <c r="M1647" s="6" t="n">
        <v>192</v>
      </c>
      <c r="N1647" s="3" t="inlineStr">
        <is>
          <t>Sí</t>
        </is>
      </c>
      <c r="O1647" s="6">
        <f>IF(K1647="","",IF(N1647="Sí",ROUND(K1647/1.18,2),K1647))</f>
        <v/>
      </c>
      <c r="P1647" s="3" t="inlineStr">
        <is>
          <t>2026-09-10</t>
        </is>
      </c>
      <c r="Q1647" s="4" t="inlineStr">
        <is>
          <t>Bellón</t>
        </is>
      </c>
      <c r="AF1647" s="4" t="inlineStr">
        <is>
          <t>tipo: niple · material: bronce · medida: 1/2" x 3"</t>
        </is>
      </c>
    </row>
    <row r="1648">
      <c r="A1648" s="3" t="inlineStr">
        <is>
          <t>MAT-32-291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Niple de bronce 1/4" x 1 1/2"</t>
        </is>
      </c>
      <c r="E1648" s="4" t="inlineStr"/>
      <c r="F1648" s="3" t="inlineStr">
        <is>
          <t>unidad</t>
        </is>
      </c>
      <c r="G1648" s="3" t="inlineStr">
        <is>
          <t>Instalaciones</t>
        </is>
      </c>
      <c r="H1648" s="3" t="inlineStr">
        <is>
          <t>estandar</t>
        </is>
      </c>
      <c r="I1648" s="3" t="inlineStr">
        <is>
          <t>importado</t>
        </is>
      </c>
      <c r="J1648" s="5" t="n">
        <v>1</v>
      </c>
      <c r="K1648" s="6" t="n">
        <v>66</v>
      </c>
      <c r="L1648" s="6" t="n">
        <v>66</v>
      </c>
      <c r="M1648" s="6" t="n">
        <v>66</v>
      </c>
      <c r="N1648" s="3" t="inlineStr">
        <is>
          <t>Sí</t>
        </is>
      </c>
      <c r="O1648" s="6">
        <f>IF(K1648="","",IF(N1648="Sí",ROUND(K1648/1.18,2),K1648))</f>
        <v/>
      </c>
      <c r="P1648" s="3" t="inlineStr">
        <is>
          <t>2026-09-10</t>
        </is>
      </c>
      <c r="Q1648" s="4" t="inlineStr">
        <is>
          <t>Bellón</t>
        </is>
      </c>
      <c r="AF1648" s="4" t="inlineStr">
        <is>
          <t>tipo: niple · material: bronce · medida: 1/4" x 1 1/2"</t>
        </is>
      </c>
    </row>
    <row r="1649">
      <c r="A1649" s="3" t="inlineStr">
        <is>
          <t>MAT-32-292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Niple de bronce 1/4" x 3"</t>
        </is>
      </c>
      <c r="E1649" s="4" t="inlineStr"/>
      <c r="F1649" s="3" t="inlineStr">
        <is>
          <t>unidad</t>
        </is>
      </c>
      <c r="G1649" s="3" t="inlineStr">
        <is>
          <t>Instalaciones</t>
        </is>
      </c>
      <c r="H1649" s="3" t="inlineStr">
        <is>
          <t>estandar</t>
        </is>
      </c>
      <c r="I1649" s="3" t="inlineStr">
        <is>
          <t>importado</t>
        </is>
      </c>
      <c r="J1649" s="5" t="n">
        <v>1</v>
      </c>
      <c r="K1649" s="6" t="n">
        <v>165</v>
      </c>
      <c r="L1649" s="6" t="n">
        <v>165</v>
      </c>
      <c r="M1649" s="6" t="n">
        <v>165</v>
      </c>
      <c r="N1649" s="3" t="inlineStr">
        <is>
          <t>Sí</t>
        </is>
      </c>
      <c r="O1649" s="6">
        <f>IF(K1649="","",IF(N1649="Sí",ROUND(K1649/1.18,2),K1649))</f>
        <v/>
      </c>
      <c r="P1649" s="3" t="inlineStr">
        <is>
          <t>2026-09-10</t>
        </is>
      </c>
      <c r="Q1649" s="4" t="inlineStr">
        <is>
          <t>Bellón</t>
        </is>
      </c>
      <c r="AF1649" s="4" t="inlineStr">
        <is>
          <t>tipo: niple · material: bronce · medida: 1/4" x 3"</t>
        </is>
      </c>
    </row>
    <row r="1650">
      <c r="A1650" s="3" t="inlineStr">
        <is>
          <t>MAT-32-293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Niple de bronce 1/8" x 1 1/2"</t>
        </is>
      </c>
      <c r="E1650" s="4" t="inlineStr"/>
      <c r="F1650" s="3" t="inlineStr">
        <is>
          <t>unidad</t>
        </is>
      </c>
      <c r="G1650" s="3" t="inlineStr">
        <is>
          <t>Instalaciones</t>
        </is>
      </c>
      <c r="H1650" s="3" t="inlineStr">
        <is>
          <t>estandar</t>
        </is>
      </c>
      <c r="I1650" s="3" t="inlineStr">
        <is>
          <t>importado</t>
        </is>
      </c>
      <c r="J1650" s="5" t="n">
        <v>1</v>
      </c>
      <c r="K1650" s="6" t="n">
        <v>51</v>
      </c>
      <c r="L1650" s="6" t="n">
        <v>51</v>
      </c>
      <c r="M1650" s="6" t="n">
        <v>51</v>
      </c>
      <c r="N1650" s="3" t="inlineStr">
        <is>
          <t>Sí</t>
        </is>
      </c>
      <c r="O1650" s="6">
        <f>IF(K1650="","",IF(N1650="Sí",ROUND(K1650/1.18,2),K1650))</f>
        <v/>
      </c>
      <c r="P1650" s="3" t="inlineStr">
        <is>
          <t>2026-09-10</t>
        </is>
      </c>
      <c r="Q1650" s="4" t="inlineStr">
        <is>
          <t>Bellón</t>
        </is>
      </c>
      <c r="AF1650" s="4" t="inlineStr">
        <is>
          <t>tipo: niple · material: bronce · medida: 1/8" x 1 1/2"</t>
        </is>
      </c>
    </row>
    <row r="1651">
      <c r="A1651" s="3" t="inlineStr">
        <is>
          <t>MAT-32-294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Niple de bronce 3/8" x 1 1/2"</t>
        </is>
      </c>
      <c r="E1651" s="4" t="inlineStr"/>
      <c r="F1651" s="3" t="inlineStr">
        <is>
          <t>unidad</t>
        </is>
      </c>
      <c r="G1651" s="3" t="inlineStr">
        <is>
          <t>Instalaciones</t>
        </is>
      </c>
      <c r="H1651" s="3" t="inlineStr">
        <is>
          <t>estandar</t>
        </is>
      </c>
      <c r="I1651" s="3" t="inlineStr">
        <is>
          <t>importado</t>
        </is>
      </c>
      <c r="J1651" s="5" t="n">
        <v>1</v>
      </c>
      <c r="K1651" s="6" t="n">
        <v>87</v>
      </c>
      <c r="L1651" s="6" t="n">
        <v>87</v>
      </c>
      <c r="M1651" s="6" t="n">
        <v>87</v>
      </c>
      <c r="N1651" s="3" t="inlineStr">
        <is>
          <t>Sí</t>
        </is>
      </c>
      <c r="O1651" s="6">
        <f>IF(K1651="","",IF(N1651="Sí",ROUND(K1651/1.18,2),K1651))</f>
        <v/>
      </c>
      <c r="P1651" s="3" t="inlineStr">
        <is>
          <t>2026-09-10</t>
        </is>
      </c>
      <c r="Q1651" s="4" t="inlineStr">
        <is>
          <t>Bellón</t>
        </is>
      </c>
      <c r="AF1651" s="4" t="inlineStr">
        <is>
          <t>tipo: niple · material: bronce · medida: 3/8" x 1 1/2"</t>
        </is>
      </c>
    </row>
    <row r="1652">
      <c r="A1652" s="3" t="inlineStr">
        <is>
          <t>MAT-32-295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Niple de bronce 3/8" x 2"</t>
        </is>
      </c>
      <c r="E1652" s="4" t="inlineStr"/>
      <c r="F1652" s="3" t="inlineStr">
        <is>
          <t>unidad</t>
        </is>
      </c>
      <c r="G1652" s="3" t="inlineStr">
        <is>
          <t>Instalaciones</t>
        </is>
      </c>
      <c r="H1652" s="3" t="inlineStr">
        <is>
          <t>estandar</t>
        </is>
      </c>
      <c r="I1652" s="3" t="inlineStr">
        <is>
          <t>importado</t>
        </is>
      </c>
      <c r="J1652" s="5" t="n">
        <v>1</v>
      </c>
      <c r="K1652" s="6" t="n">
        <v>90</v>
      </c>
      <c r="L1652" s="6" t="n">
        <v>90</v>
      </c>
      <c r="M1652" s="6" t="n">
        <v>90</v>
      </c>
      <c r="N1652" s="3" t="inlineStr">
        <is>
          <t>Sí</t>
        </is>
      </c>
      <c r="O1652" s="6">
        <f>IF(K1652="","",IF(N1652="Sí",ROUND(K1652/1.18,2),K1652))</f>
        <v/>
      </c>
      <c r="P1652" s="3" t="inlineStr">
        <is>
          <t>2026-09-10</t>
        </is>
      </c>
      <c r="Q1652" s="4" t="inlineStr">
        <is>
          <t>Bellón</t>
        </is>
      </c>
      <c r="AF1652" s="4" t="inlineStr">
        <is>
          <t>tipo: niple · material: bronce · medida: 3/8" x 2"</t>
        </is>
      </c>
    </row>
    <row r="1653">
      <c r="A1653" s="3" t="inlineStr">
        <is>
          <t>MAT-32-296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Niple de cobre 1/4" x 1 1/2"</t>
        </is>
      </c>
      <c r="E1653" s="4" t="inlineStr"/>
      <c r="F1653" s="3" t="inlineStr">
        <is>
          <t>unidad</t>
        </is>
      </c>
      <c r="G1653" s="3" t="inlineStr">
        <is>
          <t>Instalaciones</t>
        </is>
      </c>
      <c r="H1653" s="3" t="inlineStr">
        <is>
          <t>estandar</t>
        </is>
      </c>
      <c r="I1653" s="3" t="inlineStr">
        <is>
          <t>importado</t>
        </is>
      </c>
      <c r="J1653" s="5" t="n">
        <v>1</v>
      </c>
      <c r="K1653" s="6" t="n">
        <v>121</v>
      </c>
      <c r="L1653" s="6" t="n">
        <v>121</v>
      </c>
      <c r="M1653" s="6" t="n">
        <v>121</v>
      </c>
      <c r="N1653" s="3" t="inlineStr">
        <is>
          <t>Sí</t>
        </is>
      </c>
      <c r="O1653" s="6">
        <f>IF(K1653="","",IF(N1653="Sí",ROUND(K1653/1.18,2),K1653))</f>
        <v/>
      </c>
      <c r="P1653" s="3" t="inlineStr">
        <is>
          <t>2026-09-09</t>
        </is>
      </c>
      <c r="Q1653" s="4" t="inlineStr">
        <is>
          <t>Ferretería Cima</t>
        </is>
      </c>
      <c r="AF1653" s="4" t="inlineStr">
        <is>
          <t>tipo: niple · material: cobre · medida: 1/4" x 1 1/2"</t>
        </is>
      </c>
    </row>
    <row r="1654">
      <c r="A1654" s="3" t="inlineStr">
        <is>
          <t>MAT-32-297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Niple de cobre 3/4" x 3"</t>
        </is>
      </c>
      <c r="E1654" s="4" t="inlineStr"/>
      <c r="F1654" s="3" t="inlineStr">
        <is>
          <t>unidad</t>
        </is>
      </c>
      <c r="G1654" s="3" t="inlineStr">
        <is>
          <t>Instalaciones</t>
        </is>
      </c>
      <c r="H1654" s="3" t="inlineStr">
        <is>
          <t>estandar</t>
        </is>
      </c>
      <c r="I1654" s="3" t="inlineStr">
        <is>
          <t>importado</t>
        </is>
      </c>
      <c r="J1654" s="5" t="n">
        <v>1</v>
      </c>
      <c r="K1654" s="6" t="n">
        <v>230</v>
      </c>
      <c r="L1654" s="6" t="n">
        <v>230</v>
      </c>
      <c r="M1654" s="6" t="n">
        <v>230</v>
      </c>
      <c r="N1654" s="3" t="inlineStr">
        <is>
          <t>Sí</t>
        </is>
      </c>
      <c r="O1654" s="6">
        <f>IF(K1654="","",IF(N1654="Sí",ROUND(K1654/1.18,2),K1654))</f>
        <v/>
      </c>
      <c r="P1654" s="3" t="inlineStr">
        <is>
          <t>2026-09-09</t>
        </is>
      </c>
      <c r="Q1654" s="4" t="inlineStr">
        <is>
          <t>Ferretería Cima</t>
        </is>
      </c>
      <c r="AF1654" s="4" t="inlineStr">
        <is>
          <t>tipo: niple · material: cobre · medida: 3/4" x 3"</t>
        </is>
      </c>
    </row>
    <row r="1655">
      <c r="A1655" s="3" t="inlineStr">
        <is>
          <t>MAT-32-298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Niple de cobre 3/8" x 1 1/2"</t>
        </is>
      </c>
      <c r="E1655" s="4" t="inlineStr"/>
      <c r="F1655" s="3" t="inlineStr">
        <is>
          <t>unidad</t>
        </is>
      </c>
      <c r="G1655" s="3" t="inlineStr">
        <is>
          <t>Instalaciones</t>
        </is>
      </c>
      <c r="H1655" s="3" t="inlineStr">
        <is>
          <t>estandar</t>
        </is>
      </c>
      <c r="I1655" s="3" t="inlineStr">
        <is>
          <t>importado</t>
        </is>
      </c>
      <c r="J1655" s="5" t="n">
        <v>1</v>
      </c>
      <c r="K1655" s="6" t="n">
        <v>193</v>
      </c>
      <c r="L1655" s="6" t="n">
        <v>193</v>
      </c>
      <c r="M1655" s="6" t="n">
        <v>193</v>
      </c>
      <c r="N1655" s="3" t="inlineStr">
        <is>
          <t>Sí</t>
        </is>
      </c>
      <c r="O1655" s="6">
        <f>IF(K1655="","",IF(N1655="Sí",ROUND(K1655/1.18,2),K1655))</f>
        <v/>
      </c>
      <c r="P1655" s="3" t="inlineStr">
        <is>
          <t>2026-09-09</t>
        </is>
      </c>
      <c r="Q1655" s="4" t="inlineStr">
        <is>
          <t>Ferretería Cima</t>
        </is>
      </c>
      <c r="AF1655" s="4" t="inlineStr">
        <is>
          <t>tipo: niple · material: cobre · medida: 3/8" x 1 1/2"</t>
        </is>
      </c>
    </row>
    <row r="1656">
      <c r="A1656" s="3" t="inlineStr">
        <is>
          <t>MAT-32-299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Niple de cobre 3/8" x 1"</t>
        </is>
      </c>
      <c r="E1656" s="4" t="inlineStr"/>
      <c r="F1656" s="3" t="inlineStr">
        <is>
          <t>unidad</t>
        </is>
      </c>
      <c r="G1656" s="3" t="inlineStr">
        <is>
          <t>Instalaciones</t>
        </is>
      </c>
      <c r="H1656" s="3" t="inlineStr">
        <is>
          <t>estandar</t>
        </is>
      </c>
      <c r="I1656" s="3" t="inlineStr">
        <is>
          <t>importado</t>
        </is>
      </c>
      <c r="J1656" s="5" t="n">
        <v>1</v>
      </c>
      <c r="K1656" s="6" t="n">
        <v>177</v>
      </c>
      <c r="L1656" s="6" t="n">
        <v>177</v>
      </c>
      <c r="M1656" s="6" t="n">
        <v>177</v>
      </c>
      <c r="N1656" s="3" t="inlineStr">
        <is>
          <t>Sí</t>
        </is>
      </c>
      <c r="O1656" s="6">
        <f>IF(K1656="","",IF(N1656="Sí",ROUND(K1656/1.18,2),K1656))</f>
        <v/>
      </c>
      <c r="P1656" s="3" t="inlineStr">
        <is>
          <t>2026-09-09</t>
        </is>
      </c>
      <c r="Q1656" s="4" t="inlineStr">
        <is>
          <t>Ferretería Cima</t>
        </is>
      </c>
      <c r="AF1656" s="4" t="inlineStr">
        <is>
          <t>tipo: niple · material: cobre · medida: 3/8" x 1"</t>
        </is>
      </c>
    </row>
    <row r="1657">
      <c r="A1657" s="3" t="inlineStr">
        <is>
          <t>MAT-32-300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Niple de cobre 3/8" x 2"</t>
        </is>
      </c>
      <c r="E1657" s="4" t="inlineStr"/>
      <c r="F1657" s="3" t="inlineStr">
        <is>
          <t>unidad</t>
        </is>
      </c>
      <c r="G1657" s="3" t="inlineStr">
        <is>
          <t>Instalaciones</t>
        </is>
      </c>
      <c r="H1657" s="3" t="inlineStr">
        <is>
          <t>estandar</t>
        </is>
      </c>
      <c r="I1657" s="3" t="inlineStr">
        <is>
          <t>importado</t>
        </is>
      </c>
      <c r="J1657" s="5" t="n">
        <v>1</v>
      </c>
      <c r="K1657" s="6" t="n">
        <v>189</v>
      </c>
      <c r="L1657" s="6" t="n">
        <v>189</v>
      </c>
      <c r="M1657" s="6" t="n">
        <v>189</v>
      </c>
      <c r="N1657" s="3" t="inlineStr">
        <is>
          <t>Sí</t>
        </is>
      </c>
      <c r="O1657" s="6">
        <f>IF(K1657="","",IF(N1657="Sí",ROUND(K1657/1.18,2),K1657))</f>
        <v/>
      </c>
      <c r="P1657" s="3" t="inlineStr">
        <is>
          <t>2026-09-09</t>
        </is>
      </c>
      <c r="Q1657" s="4" t="inlineStr">
        <is>
          <t>Ferretería Cima</t>
        </is>
      </c>
      <c r="AF1657" s="4" t="inlineStr">
        <is>
          <t>tipo: niple · material: cobre · medida: 3/8" x 2"</t>
        </is>
      </c>
    </row>
    <row r="1658">
      <c r="A1658" s="3" t="inlineStr">
        <is>
          <t>MAT-32-301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Niple de HG 1 1/2" x 10"</t>
        </is>
      </c>
      <c r="E1658" s="4" t="inlineStr"/>
      <c r="F1658" s="3" t="inlineStr">
        <is>
          <t>unidad</t>
        </is>
      </c>
      <c r="G1658" s="3" t="inlineStr">
        <is>
          <t>Instalaciones</t>
        </is>
      </c>
      <c r="H1658" s="3" t="inlineStr">
        <is>
          <t>estandar</t>
        </is>
      </c>
      <c r="I1658" s="3" t="inlineStr">
        <is>
          <t>importado</t>
        </is>
      </c>
      <c r="J1658" s="5" t="n">
        <v>1</v>
      </c>
      <c r="K1658" s="6" t="n">
        <v>372</v>
      </c>
      <c r="L1658" s="6" t="n">
        <v>372</v>
      </c>
      <c r="M1658" s="6" t="n">
        <v>372</v>
      </c>
      <c r="N1658" s="3" t="inlineStr">
        <is>
          <t>Sí</t>
        </is>
      </c>
      <c r="O1658" s="6">
        <f>IF(K1658="","",IF(N1658="Sí",ROUND(K1658/1.18,2),K1658))</f>
        <v/>
      </c>
      <c r="P1658" s="3" t="inlineStr">
        <is>
          <t>2026-09-09</t>
        </is>
      </c>
      <c r="Q1658" s="4" t="inlineStr">
        <is>
          <t>Ferretería Cima</t>
        </is>
      </c>
      <c r="AF1658" s="4" t="inlineStr">
        <is>
          <t>tipo: niple · material: HG · medida: 1 1/2" x 10"</t>
        </is>
      </c>
    </row>
    <row r="1659">
      <c r="A1659" s="3" t="inlineStr">
        <is>
          <t>MAT-32-302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Niple de HG 1 1/2" x 2 1/2"</t>
        </is>
      </c>
      <c r="E1659" s="4" t="inlineStr"/>
      <c r="F1659" s="3" t="inlineStr">
        <is>
          <t>unidad</t>
        </is>
      </c>
      <c r="G1659" s="3" t="inlineStr">
        <is>
          <t>Instalaciones</t>
        </is>
      </c>
      <c r="H1659" s="3" t="inlineStr">
        <is>
          <t>estandar</t>
        </is>
      </c>
      <c r="I1659" s="3" t="inlineStr">
        <is>
          <t>importado</t>
        </is>
      </c>
      <c r="J1659" s="5" t="n">
        <v>1</v>
      </c>
      <c r="K1659" s="6" t="n">
        <v>82</v>
      </c>
      <c r="L1659" s="6" t="n">
        <v>82</v>
      </c>
      <c r="M1659" s="6" t="n">
        <v>82</v>
      </c>
      <c r="N1659" s="3" t="inlineStr">
        <is>
          <t>Sí</t>
        </is>
      </c>
      <c r="O1659" s="6">
        <f>IF(K1659="","",IF(N1659="Sí",ROUND(K1659/1.18,2),K1659))</f>
        <v/>
      </c>
      <c r="P1659" s="3" t="inlineStr">
        <is>
          <t>2026-09-10</t>
        </is>
      </c>
      <c r="Q1659" s="4" t="inlineStr">
        <is>
          <t>Bellón</t>
        </is>
      </c>
      <c r="AF1659" s="4" t="inlineStr">
        <is>
          <t>tipo: niple · material: HG · medida: 1 1/2" x 2 1/2"</t>
        </is>
      </c>
    </row>
    <row r="1660">
      <c r="A1660" s="3" t="inlineStr">
        <is>
          <t>MAT-32-303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Niple de HG 1 1/2" x 2"</t>
        </is>
      </c>
      <c r="E1660" s="4" t="inlineStr"/>
      <c r="F1660" s="3" t="inlineStr">
        <is>
          <t>unidad</t>
        </is>
      </c>
      <c r="G1660" s="3" t="inlineStr">
        <is>
          <t>Instalaciones</t>
        </is>
      </c>
      <c r="H1660" s="3" t="inlineStr">
        <is>
          <t>estandar</t>
        </is>
      </c>
      <c r="I1660" s="3" t="inlineStr">
        <is>
          <t>importado</t>
        </is>
      </c>
      <c r="J1660" s="5" t="n">
        <v>1</v>
      </c>
      <c r="K1660" s="6" t="n">
        <v>85</v>
      </c>
      <c r="L1660" s="6" t="n">
        <v>85</v>
      </c>
      <c r="M1660" s="6" t="n">
        <v>85</v>
      </c>
      <c r="N1660" s="3" t="inlineStr">
        <is>
          <t>Sí</t>
        </is>
      </c>
      <c r="O1660" s="6">
        <f>IF(K1660="","",IF(N1660="Sí",ROUND(K1660/1.18,2),K1660))</f>
        <v/>
      </c>
      <c r="P1660" s="3" t="inlineStr">
        <is>
          <t>2026-09-10</t>
        </is>
      </c>
      <c r="Q1660" s="4" t="inlineStr">
        <is>
          <t>Bellón</t>
        </is>
      </c>
      <c r="AF1660" s="4" t="inlineStr">
        <is>
          <t>tipo: niple · material: HG · medida: 1 1/2" x 2"</t>
        </is>
      </c>
    </row>
    <row r="1661">
      <c r="A1661" s="3" t="inlineStr">
        <is>
          <t>MAT-32-304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Niple de HG 1 1/2" x 3"</t>
        </is>
      </c>
      <c r="E1661" s="4" t="inlineStr"/>
      <c r="F1661" s="3" t="inlineStr">
        <is>
          <t>unidad</t>
        </is>
      </c>
      <c r="G1661" s="3" t="inlineStr">
        <is>
          <t>Instalaciones</t>
        </is>
      </c>
      <c r="H1661" s="3" t="inlineStr">
        <is>
          <t>estandar</t>
        </is>
      </c>
      <c r="I1661" s="3" t="inlineStr">
        <is>
          <t>importado</t>
        </is>
      </c>
      <c r="J1661" s="5" t="n">
        <v>2</v>
      </c>
      <c r="K1661" s="6" t="n">
        <v>144.5</v>
      </c>
      <c r="L1661" s="6" t="n">
        <v>102</v>
      </c>
      <c r="M1661" s="6" t="n">
        <v>187</v>
      </c>
      <c r="N1661" s="3" t="inlineStr">
        <is>
          <t>Sí</t>
        </is>
      </c>
      <c r="O1661" s="6">
        <f>IF(K1661="","",IF(N1661="Sí",ROUND(K1661/1.18,2),K1661))</f>
        <v/>
      </c>
      <c r="P1661" s="3" t="inlineStr">
        <is>
          <t>2026-09-10</t>
        </is>
      </c>
      <c r="Q1661" s="4" t="inlineStr">
        <is>
          <t>Bellón · Ferretería Cima</t>
        </is>
      </c>
      <c r="AF1661" s="4" t="inlineStr">
        <is>
          <t>tipo: niple · material: HG · medida: 1 1/2" x 3"</t>
        </is>
      </c>
    </row>
    <row r="1662">
      <c r="A1662" s="3" t="inlineStr">
        <is>
          <t>MAT-32-305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Niple de HG 1 1/2" x 4"</t>
        </is>
      </c>
      <c r="E1662" s="4" t="inlineStr"/>
      <c r="F1662" s="3" t="inlineStr">
        <is>
          <t>unidad</t>
        </is>
      </c>
      <c r="G1662" s="3" t="inlineStr">
        <is>
          <t>Instalaciones</t>
        </is>
      </c>
      <c r="H1662" s="3" t="inlineStr">
        <is>
          <t>estandar</t>
        </is>
      </c>
      <c r="I1662" s="3" t="inlineStr">
        <is>
          <t>importado</t>
        </is>
      </c>
      <c r="J1662" s="5" t="n">
        <v>2</v>
      </c>
      <c r="K1662" s="6" t="n">
        <v>180.5</v>
      </c>
      <c r="L1662" s="6" t="n">
        <v>104</v>
      </c>
      <c r="M1662" s="6" t="n">
        <v>257</v>
      </c>
      <c r="N1662" s="3" t="inlineStr">
        <is>
          <t>Sí</t>
        </is>
      </c>
      <c r="O1662" s="6">
        <f>IF(K1662="","",IF(N1662="Sí",ROUND(K1662/1.18,2),K1662))</f>
        <v/>
      </c>
      <c r="P1662" s="3" t="inlineStr">
        <is>
          <t>2026-09-10</t>
        </is>
      </c>
      <c r="Q1662" s="4" t="inlineStr">
        <is>
          <t>Bellón · Ferretería Cima</t>
        </is>
      </c>
      <c r="AF1662" s="4" t="inlineStr">
        <is>
          <t>tipo: niple · material: HG · medida: 1 1/2" x 4"</t>
        </is>
      </c>
    </row>
    <row r="1663">
      <c r="A1663" s="3" t="inlineStr">
        <is>
          <t>MAT-32-306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Niple de HG 1 1/2" x 5"</t>
        </is>
      </c>
      <c r="E1663" s="4" t="inlineStr"/>
      <c r="F1663" s="3" t="inlineStr">
        <is>
          <t>unidad</t>
        </is>
      </c>
      <c r="G1663" s="3" t="inlineStr">
        <is>
          <t>Instalaciones</t>
        </is>
      </c>
      <c r="H1663" s="3" t="inlineStr">
        <is>
          <t>estandar</t>
        </is>
      </c>
      <c r="I1663" s="3" t="inlineStr">
        <is>
          <t>importado</t>
        </is>
      </c>
      <c r="J1663" s="5" t="n">
        <v>1</v>
      </c>
      <c r="K1663" s="6" t="n">
        <v>150</v>
      </c>
      <c r="L1663" s="6" t="n">
        <v>150</v>
      </c>
      <c r="M1663" s="6" t="n">
        <v>150</v>
      </c>
      <c r="N1663" s="3" t="inlineStr">
        <is>
          <t>Sí</t>
        </is>
      </c>
      <c r="O1663" s="6">
        <f>IF(K1663="","",IF(N1663="Sí",ROUND(K1663/1.18,2),K1663))</f>
        <v/>
      </c>
      <c r="P1663" s="3" t="inlineStr">
        <is>
          <t>2026-09-10</t>
        </is>
      </c>
      <c r="Q1663" s="4" t="inlineStr">
        <is>
          <t>Bellón</t>
        </is>
      </c>
      <c r="AF1663" s="4" t="inlineStr">
        <is>
          <t>tipo: niple · material: HG · medida: 1 1/2" x 5"</t>
        </is>
      </c>
    </row>
    <row r="1664">
      <c r="A1664" s="3" t="inlineStr">
        <is>
          <t>MAT-32-307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Niple de HG 1 1/2" x 6"</t>
        </is>
      </c>
      <c r="E1664" s="4" t="inlineStr"/>
      <c r="F1664" s="3" t="inlineStr">
        <is>
          <t>unidad</t>
        </is>
      </c>
      <c r="G1664" s="3" t="inlineStr">
        <is>
          <t>Instalaciones</t>
        </is>
      </c>
      <c r="H1664" s="3" t="inlineStr">
        <is>
          <t>estandar</t>
        </is>
      </c>
      <c r="I1664" s="3" t="inlineStr">
        <is>
          <t>importado</t>
        </is>
      </c>
      <c r="J1664" s="5" t="n">
        <v>2</v>
      </c>
      <c r="K1664" s="6" t="n">
        <v>260</v>
      </c>
      <c r="L1664" s="6" t="n">
        <v>141</v>
      </c>
      <c r="M1664" s="6" t="n">
        <v>379</v>
      </c>
      <c r="N1664" s="3" t="inlineStr">
        <is>
          <t>Sí</t>
        </is>
      </c>
      <c r="O1664" s="6">
        <f>IF(K1664="","",IF(N1664="Sí",ROUND(K1664/1.18,2),K1664))</f>
        <v/>
      </c>
      <c r="P1664" s="3" t="inlineStr">
        <is>
          <t>2026-09-10</t>
        </is>
      </c>
      <c r="Q1664" s="4" t="inlineStr">
        <is>
          <t>Bellón · Ferretería Cima</t>
        </is>
      </c>
      <c r="AF1664" s="4" t="inlineStr">
        <is>
          <t>tipo: niple · material: HG · medida: 1 1/2" x 6"</t>
        </is>
      </c>
    </row>
    <row r="1665">
      <c r="A1665" s="3" t="inlineStr">
        <is>
          <t>MAT-32-308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Niple de HG 1 1/4" x 2"</t>
        </is>
      </c>
      <c r="E1665" s="4" t="inlineStr"/>
      <c r="F1665" s="3" t="inlineStr">
        <is>
          <t>unidad</t>
        </is>
      </c>
      <c r="G1665" s="3" t="inlineStr">
        <is>
          <t>Instalaciones</t>
        </is>
      </c>
      <c r="H1665" s="3" t="inlineStr">
        <is>
          <t>estandar</t>
        </is>
      </c>
      <c r="I1665" s="3" t="inlineStr">
        <is>
          <t>importado</t>
        </is>
      </c>
      <c r="J1665" s="5" t="n">
        <v>1</v>
      </c>
      <c r="K1665" s="6" t="n">
        <v>170</v>
      </c>
      <c r="L1665" s="6" t="n">
        <v>170</v>
      </c>
      <c r="M1665" s="6" t="n">
        <v>170</v>
      </c>
      <c r="N1665" s="3" t="inlineStr">
        <is>
          <t>Sí</t>
        </is>
      </c>
      <c r="O1665" s="6">
        <f>IF(K1665="","",IF(N1665="Sí",ROUND(K1665/1.18,2),K1665))</f>
        <v/>
      </c>
      <c r="P1665" s="3" t="inlineStr">
        <is>
          <t>2026-09-09</t>
        </is>
      </c>
      <c r="Q1665" s="4" t="inlineStr">
        <is>
          <t>Ferretería Cima</t>
        </is>
      </c>
      <c r="AF1665" s="4" t="inlineStr">
        <is>
          <t>tipo: niple · material: HG · medida: 1 1/4" x 2"</t>
        </is>
      </c>
    </row>
    <row r="1666">
      <c r="A1666" s="3" t="inlineStr">
        <is>
          <t>MAT-32-309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Niple de HG 1 1/4" x 3"</t>
        </is>
      </c>
      <c r="E1666" s="4" t="inlineStr"/>
      <c r="F1666" s="3" t="inlineStr">
        <is>
          <t>unidad</t>
        </is>
      </c>
      <c r="G1666" s="3" t="inlineStr">
        <is>
          <t>Instalaciones</t>
        </is>
      </c>
      <c r="H1666" s="3" t="inlineStr">
        <is>
          <t>estandar</t>
        </is>
      </c>
      <c r="I1666" s="3" t="inlineStr">
        <is>
          <t>importado</t>
        </is>
      </c>
      <c r="J1666" s="5" t="n">
        <v>2</v>
      </c>
      <c r="K1666" s="6" t="n">
        <v>126</v>
      </c>
      <c r="L1666" s="6" t="n">
        <v>78</v>
      </c>
      <c r="M1666" s="6" t="n">
        <v>174</v>
      </c>
      <c r="N1666" s="3" t="inlineStr">
        <is>
          <t>Sí</t>
        </is>
      </c>
      <c r="O1666" s="6">
        <f>IF(K1666="","",IF(N1666="Sí",ROUND(K1666/1.18,2),K1666))</f>
        <v/>
      </c>
      <c r="P1666" s="3" t="inlineStr">
        <is>
          <t>2026-09-10</t>
        </is>
      </c>
      <c r="Q1666" s="4" t="inlineStr">
        <is>
          <t>Bellón · Ferretería Cima</t>
        </is>
      </c>
      <c r="AF1666" s="4" t="inlineStr">
        <is>
          <t>tipo: niple · material: HG · medida: 1 1/4" x 3"</t>
        </is>
      </c>
    </row>
    <row r="1667">
      <c r="A1667" s="3" t="inlineStr">
        <is>
          <t>MAT-32-310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Niple de HG 1 1/4" x 4"</t>
        </is>
      </c>
      <c r="E1667" s="4" t="inlineStr"/>
      <c r="F1667" s="3" t="inlineStr">
        <is>
          <t>unidad</t>
        </is>
      </c>
      <c r="G1667" s="3" t="inlineStr">
        <is>
          <t>Instalaciones</t>
        </is>
      </c>
      <c r="H1667" s="3" t="inlineStr">
        <is>
          <t>estandar</t>
        </is>
      </c>
      <c r="I1667" s="3" t="inlineStr">
        <is>
          <t>importado</t>
        </is>
      </c>
      <c r="J1667" s="5" t="n">
        <v>2</v>
      </c>
      <c r="K1667" s="6" t="n">
        <v>146</v>
      </c>
      <c r="L1667" s="6" t="n">
        <v>101</v>
      </c>
      <c r="M1667" s="6" t="n">
        <v>191</v>
      </c>
      <c r="N1667" s="3" t="inlineStr">
        <is>
          <t>Sí</t>
        </is>
      </c>
      <c r="O1667" s="6">
        <f>IF(K1667="","",IF(N1667="Sí",ROUND(K1667/1.18,2),K1667))</f>
        <v/>
      </c>
      <c r="P1667" s="3" t="inlineStr">
        <is>
          <t>2026-09-10</t>
        </is>
      </c>
      <c r="Q1667" s="4" t="inlineStr">
        <is>
          <t>Bellón · Ferretería Cima</t>
        </is>
      </c>
      <c r="AF1667" s="4" t="inlineStr">
        <is>
          <t>tipo: niple · material: HG · medida: 1 1/4" x 4"</t>
        </is>
      </c>
    </row>
    <row r="1668">
      <c r="A1668" s="3" t="inlineStr">
        <is>
          <t>MAT-32-311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Niple de HG 1 1/4" x 5"</t>
        </is>
      </c>
      <c r="E1668" s="4" t="inlineStr"/>
      <c r="F1668" s="3" t="inlineStr">
        <is>
          <t>unidad</t>
        </is>
      </c>
      <c r="G1668" s="3" t="inlineStr">
        <is>
          <t>Instalaciones</t>
        </is>
      </c>
      <c r="H1668" s="3" t="inlineStr">
        <is>
          <t>estandar</t>
        </is>
      </c>
      <c r="I1668" s="3" t="inlineStr">
        <is>
          <t>importado</t>
        </is>
      </c>
      <c r="J1668" s="5" t="n">
        <v>1</v>
      </c>
      <c r="K1668" s="6" t="n">
        <v>98</v>
      </c>
      <c r="L1668" s="6" t="n">
        <v>98</v>
      </c>
      <c r="M1668" s="6" t="n">
        <v>98</v>
      </c>
      <c r="N1668" s="3" t="inlineStr">
        <is>
          <t>Sí</t>
        </is>
      </c>
      <c r="O1668" s="6">
        <f>IF(K1668="","",IF(N1668="Sí",ROUND(K1668/1.18,2),K1668))</f>
        <v/>
      </c>
      <c r="P1668" s="3" t="inlineStr">
        <is>
          <t>2026-09-10</t>
        </is>
      </c>
      <c r="Q1668" s="4" t="inlineStr">
        <is>
          <t>Bellón</t>
        </is>
      </c>
      <c r="AF1668" s="4" t="inlineStr">
        <is>
          <t>tipo: niple · material: HG · medida: 1 1/4" x 5"</t>
        </is>
      </c>
    </row>
    <row r="1669">
      <c r="A1669" s="3" t="inlineStr">
        <is>
          <t>MAT-32-312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Niple de HG 1 1/4" x 6"</t>
        </is>
      </c>
      <c r="E1669" s="4" t="inlineStr"/>
      <c r="F1669" s="3" t="inlineStr">
        <is>
          <t>unidad</t>
        </is>
      </c>
      <c r="G1669" s="3" t="inlineStr">
        <is>
          <t>Instalaciones</t>
        </is>
      </c>
      <c r="H1669" s="3" t="inlineStr">
        <is>
          <t>estandar</t>
        </is>
      </c>
      <c r="I1669" s="3" t="inlineStr">
        <is>
          <t>importado</t>
        </is>
      </c>
      <c r="J1669" s="5" t="n">
        <v>2</v>
      </c>
      <c r="K1669" s="6" t="n">
        <v>177</v>
      </c>
      <c r="L1669" s="6" t="n">
        <v>118</v>
      </c>
      <c r="M1669" s="6" t="n">
        <v>236</v>
      </c>
      <c r="N1669" s="3" t="inlineStr">
        <is>
          <t>Sí</t>
        </is>
      </c>
      <c r="O1669" s="6">
        <f>IF(K1669="","",IF(N1669="Sí",ROUND(K1669/1.18,2),K1669))</f>
        <v/>
      </c>
      <c r="P1669" s="3" t="inlineStr">
        <is>
          <t>2026-09-10</t>
        </is>
      </c>
      <c r="Q1669" s="4" t="inlineStr">
        <is>
          <t>Bellón · Ferretería Cima</t>
        </is>
      </c>
      <c r="AF1669" s="4" t="inlineStr">
        <is>
          <t>tipo: niple · material: HG · medida: 1 1/4" x 6"</t>
        </is>
      </c>
    </row>
    <row r="1670">
      <c r="A1670" s="3" t="inlineStr">
        <is>
          <t>MAT-32-313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Niple de HG 1/2" x 1 1/2"</t>
        </is>
      </c>
      <c r="E1670" s="4" t="inlineStr"/>
      <c r="F1670" s="3" t="inlineStr">
        <is>
          <t>unidad</t>
        </is>
      </c>
      <c r="G1670" s="3" t="inlineStr">
        <is>
          <t>Instalaciones</t>
        </is>
      </c>
      <c r="H1670" s="3" t="inlineStr">
        <is>
          <t>estandar</t>
        </is>
      </c>
      <c r="I1670" s="3" t="inlineStr">
        <is>
          <t>importado</t>
        </is>
      </c>
      <c r="J1670" s="5" t="n">
        <v>2</v>
      </c>
      <c r="K1670" s="6" t="n">
        <v>46.24</v>
      </c>
      <c r="L1670" s="6" t="n">
        <v>17.47</v>
      </c>
      <c r="M1670" s="6" t="n">
        <v>75</v>
      </c>
      <c r="N1670" s="3" t="inlineStr">
        <is>
          <t>Sí</t>
        </is>
      </c>
      <c r="O1670" s="6">
        <f>IF(K1670="","",IF(N1670="Sí",ROUND(K1670/1.18,2),K1670))</f>
        <v/>
      </c>
      <c r="P1670" s="3" t="inlineStr">
        <is>
          <t>2026-09-10</t>
        </is>
      </c>
      <c r="Q1670" s="4" t="inlineStr">
        <is>
          <t>Bellón · Ferretería Cima</t>
        </is>
      </c>
      <c r="AF1670" s="4" t="inlineStr">
        <is>
          <t>tipo: niple · material: HG · medida: 1/2" x 1 1/2"</t>
        </is>
      </c>
    </row>
    <row r="1671">
      <c r="A1671" s="3" t="inlineStr">
        <is>
          <t>MAT-32-314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Niple de HG 1/2" x 10"</t>
        </is>
      </c>
      <c r="E1671" s="4" t="inlineStr"/>
      <c r="F1671" s="3" t="inlineStr">
        <is>
          <t>unidad</t>
        </is>
      </c>
      <c r="G1671" s="3" t="inlineStr">
        <is>
          <t>Instalaciones</t>
        </is>
      </c>
      <c r="H1671" s="3" t="inlineStr">
        <is>
          <t>estandar</t>
        </is>
      </c>
      <c r="I1671" s="3" t="inlineStr">
        <is>
          <t>importado</t>
        </is>
      </c>
      <c r="J1671" s="5" t="n">
        <v>2</v>
      </c>
      <c r="K1671" s="6" t="n">
        <v>157</v>
      </c>
      <c r="L1671" s="6" t="n">
        <v>115</v>
      </c>
      <c r="M1671" s="6" t="n">
        <v>199</v>
      </c>
      <c r="N1671" s="3" t="inlineStr">
        <is>
          <t>Sí</t>
        </is>
      </c>
      <c r="O1671" s="6">
        <f>IF(K1671="","",IF(N1671="Sí",ROUND(K1671/1.18,2),K1671))</f>
        <v/>
      </c>
      <c r="P1671" s="3" t="inlineStr">
        <is>
          <t>2026-09-10</t>
        </is>
      </c>
      <c r="Q1671" s="4" t="inlineStr">
        <is>
          <t>Bellón · Ferretería Cima</t>
        </is>
      </c>
      <c r="AF1671" s="4" t="inlineStr">
        <is>
          <t>tipo: niple · material: HG · medida: 1/2" x 10"</t>
        </is>
      </c>
    </row>
    <row r="1672">
      <c r="A1672" s="3" t="inlineStr">
        <is>
          <t>MAT-32-315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HG 1/2" x 12"</t>
        </is>
      </c>
      <c r="E1672" s="4" t="inlineStr"/>
      <c r="F1672" s="3" t="inlineStr">
        <is>
          <t>unidad</t>
        </is>
      </c>
      <c r="G1672" s="3" t="inlineStr">
        <is>
          <t>Instalaciones</t>
        </is>
      </c>
      <c r="H1672" s="3" t="inlineStr">
        <is>
          <t>estandar</t>
        </is>
      </c>
      <c r="I1672" s="3" t="inlineStr">
        <is>
          <t>importado</t>
        </is>
      </c>
      <c r="J1672" s="5" t="n">
        <v>2</v>
      </c>
      <c r="K1672" s="6" t="n">
        <v>189</v>
      </c>
      <c r="L1672" s="6" t="n">
        <v>119</v>
      </c>
      <c r="M1672" s="6" t="n">
        <v>259</v>
      </c>
      <c r="N1672" s="3" t="inlineStr">
        <is>
          <t>Sí</t>
        </is>
      </c>
      <c r="O1672" s="6">
        <f>IF(K1672="","",IF(N1672="Sí",ROUND(K1672/1.18,2),K1672))</f>
        <v/>
      </c>
      <c r="P1672" s="3" t="inlineStr">
        <is>
          <t>2026-09-10</t>
        </is>
      </c>
      <c r="Q1672" s="4" t="inlineStr">
        <is>
          <t>Bellón · Ferretería Cima</t>
        </is>
      </c>
      <c r="AF1672" s="4" t="inlineStr">
        <is>
          <t>tipo: niple · material: HG · medida: 1/2" x 12"</t>
        </is>
      </c>
    </row>
    <row r="1673">
      <c r="A1673" s="3" t="inlineStr">
        <is>
          <t>MAT-32-316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HG 1/2" x 1"</t>
        </is>
      </c>
      <c r="E1673" s="4" t="inlineStr"/>
      <c r="F1673" s="3" t="inlineStr">
        <is>
          <t>unidad</t>
        </is>
      </c>
      <c r="G1673" s="3" t="inlineStr">
        <is>
          <t>Instalaciones</t>
        </is>
      </c>
      <c r="H1673" s="3" t="inlineStr">
        <is>
          <t>estandar</t>
        </is>
      </c>
      <c r="I1673" s="3" t="inlineStr">
        <is>
          <t>importado</t>
        </is>
      </c>
      <c r="J1673" s="5" t="n">
        <v>2</v>
      </c>
      <c r="K1673" s="6" t="n">
        <v>41.69</v>
      </c>
      <c r="L1673" s="6" t="n">
        <v>16.38</v>
      </c>
      <c r="M1673" s="6" t="n">
        <v>67</v>
      </c>
      <c r="N1673" s="3" t="inlineStr">
        <is>
          <t>Sí</t>
        </is>
      </c>
      <c r="O1673" s="6">
        <f>IF(K1673="","",IF(N1673="Sí",ROUND(K1673/1.18,2),K1673))</f>
        <v/>
      </c>
      <c r="P1673" s="3" t="inlineStr">
        <is>
          <t>2026-09-10</t>
        </is>
      </c>
      <c r="Q1673" s="4" t="inlineStr">
        <is>
          <t>Bellón · Ferretería Cima</t>
        </is>
      </c>
      <c r="AF1673" s="4" t="inlineStr">
        <is>
          <t>tipo: niple · material: HG · medida: 1/2" x 1"</t>
        </is>
      </c>
    </row>
    <row r="1674">
      <c r="A1674" s="3" t="inlineStr">
        <is>
          <t>MAT-32-317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HG 1/2" x 2 1/2"</t>
        </is>
      </c>
      <c r="E1674" s="4" t="inlineStr"/>
      <c r="F1674" s="3" t="inlineStr">
        <is>
          <t>unidad</t>
        </is>
      </c>
      <c r="G1674" s="3" t="inlineStr">
        <is>
          <t>Instalaciones</t>
        </is>
      </c>
      <c r="H1674" s="3" t="inlineStr">
        <is>
          <t>estandar</t>
        </is>
      </c>
      <c r="I1674" s="3" t="inlineStr">
        <is>
          <t>importado</t>
        </is>
      </c>
      <c r="J1674" s="5" t="n">
        <v>2</v>
      </c>
      <c r="K1674" s="6" t="n">
        <v>44.51</v>
      </c>
      <c r="L1674" s="6" t="n">
        <v>24.02</v>
      </c>
      <c r="M1674" s="6" t="n">
        <v>65</v>
      </c>
      <c r="N1674" s="3" t="inlineStr">
        <is>
          <t>Sí</t>
        </is>
      </c>
      <c r="O1674" s="6">
        <f>IF(K1674="","",IF(N1674="Sí",ROUND(K1674/1.18,2),K1674))</f>
        <v/>
      </c>
      <c r="P1674" s="3" t="inlineStr">
        <is>
          <t>2026-09-10</t>
        </is>
      </c>
      <c r="Q1674" s="4" t="inlineStr">
        <is>
          <t>Bellón · Ferretería Cima</t>
        </is>
      </c>
      <c r="AF1674" s="4" t="inlineStr">
        <is>
          <t>tipo: niple · material: HG · medida: 1/2" x 2 1/2"</t>
        </is>
      </c>
    </row>
    <row r="1675">
      <c r="A1675" s="3" t="inlineStr">
        <is>
          <t>MAT-32-318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HG 1/2" x 2"</t>
        </is>
      </c>
      <c r="E1675" s="4" t="inlineStr"/>
      <c r="F1675" s="3" t="inlineStr">
        <is>
          <t>unidad</t>
        </is>
      </c>
      <c r="G1675" s="3" t="inlineStr">
        <is>
          <t>Instalaciones</t>
        </is>
      </c>
      <c r="H1675" s="3" t="inlineStr">
        <is>
          <t>estandar</t>
        </is>
      </c>
      <c r="I1675" s="3" t="inlineStr">
        <is>
          <t>importado</t>
        </is>
      </c>
      <c r="J1675" s="5" t="n">
        <v>2</v>
      </c>
      <c r="K1675" s="6" t="n">
        <v>42.33</v>
      </c>
      <c r="L1675" s="6" t="n">
        <v>19.66</v>
      </c>
      <c r="M1675" s="6" t="n">
        <v>65</v>
      </c>
      <c r="N1675" s="3" t="inlineStr">
        <is>
          <t>Sí</t>
        </is>
      </c>
      <c r="O1675" s="6">
        <f>IF(K1675="","",IF(N1675="Sí",ROUND(K1675/1.18,2),K1675))</f>
        <v/>
      </c>
      <c r="P1675" s="3" t="inlineStr">
        <is>
          <t>2026-09-10</t>
        </is>
      </c>
      <c r="Q1675" s="4" t="inlineStr">
        <is>
          <t>Bellón · Ferretería Cima</t>
        </is>
      </c>
      <c r="AF1675" s="4" t="inlineStr">
        <is>
          <t>tipo: niple · material: HG · medida: 1/2" x 2"</t>
        </is>
      </c>
    </row>
    <row r="1676">
      <c r="A1676" s="3" t="inlineStr">
        <is>
          <t>MAT-32-319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HG 1/2" x 3"</t>
        </is>
      </c>
      <c r="E1676" s="4" t="inlineStr"/>
      <c r="F1676" s="3" t="inlineStr">
        <is>
          <t>unidad</t>
        </is>
      </c>
      <c r="G1676" s="3" t="inlineStr">
        <is>
          <t>Instalaciones</t>
        </is>
      </c>
      <c r="H1676" s="3" t="inlineStr">
        <is>
          <t>estandar</t>
        </is>
      </c>
      <c r="I1676" s="3" t="inlineStr">
        <is>
          <t>importado</t>
        </is>
      </c>
      <c r="J1676" s="5" t="n">
        <v>2</v>
      </c>
      <c r="K1676" s="6" t="n">
        <v>46.15</v>
      </c>
      <c r="L1676" s="6" t="n">
        <v>27.3</v>
      </c>
      <c r="M1676" s="6" t="n">
        <v>65</v>
      </c>
      <c r="N1676" s="3" t="inlineStr">
        <is>
          <t>Sí</t>
        </is>
      </c>
      <c r="O1676" s="6">
        <f>IF(K1676="","",IF(N1676="Sí",ROUND(K1676/1.18,2),K1676))</f>
        <v/>
      </c>
      <c r="P1676" s="3" t="inlineStr">
        <is>
          <t>2026-09-10</t>
        </is>
      </c>
      <c r="Q1676" s="4" t="inlineStr">
        <is>
          <t>Bellón · Ferretería Cima</t>
        </is>
      </c>
      <c r="AF1676" s="4" t="inlineStr">
        <is>
          <t>tipo: niple · material: HG · medida: 1/2" x 3"</t>
        </is>
      </c>
    </row>
    <row r="1677">
      <c r="A1677" s="3" t="inlineStr">
        <is>
          <t>MAT-32-320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HG 1/2" x 4"</t>
        </is>
      </c>
      <c r="E1677" s="4" t="inlineStr"/>
      <c r="F1677" s="3" t="inlineStr">
        <is>
          <t>unidad</t>
        </is>
      </c>
      <c r="G1677" s="3" t="inlineStr">
        <is>
          <t>Instalaciones</t>
        </is>
      </c>
      <c r="H1677" s="3" t="inlineStr">
        <is>
          <t>estandar</t>
        </is>
      </c>
      <c r="I1677" s="3" t="inlineStr">
        <is>
          <t>importado</t>
        </is>
      </c>
      <c r="J1677" s="5" t="n">
        <v>2</v>
      </c>
      <c r="K1677" s="6" t="n">
        <v>94.75</v>
      </c>
      <c r="L1677" s="6" t="n">
        <v>34.5</v>
      </c>
      <c r="M1677" s="6" t="n">
        <v>155</v>
      </c>
      <c r="N1677" s="3" t="inlineStr">
        <is>
          <t>Sí</t>
        </is>
      </c>
      <c r="O1677" s="6">
        <f>IF(K1677="","",IF(N1677="Sí",ROUND(K1677/1.18,2),K1677))</f>
        <v/>
      </c>
      <c r="P1677" s="3" t="inlineStr">
        <is>
          <t>2026-09-10</t>
        </is>
      </c>
      <c r="Q1677" s="4" t="inlineStr">
        <is>
          <t>Bellón · Ferretería Cima</t>
        </is>
      </c>
      <c r="AF1677" s="4" t="inlineStr">
        <is>
          <t>tipo: niple · material: HG · medida: 1/2" x 4"</t>
        </is>
      </c>
    </row>
    <row r="1678">
      <c r="A1678" s="3" t="inlineStr">
        <is>
          <t>MAT-32-321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HG 1/2" x 5"</t>
        </is>
      </c>
      <c r="E1678" s="4" t="inlineStr"/>
      <c r="F1678" s="3" t="inlineStr">
        <is>
          <t>unidad</t>
        </is>
      </c>
      <c r="G1678" s="3" t="inlineStr">
        <is>
          <t>Instalaciones</t>
        </is>
      </c>
      <c r="H1678" s="3" t="inlineStr">
        <is>
          <t>estandar</t>
        </is>
      </c>
      <c r="I1678" s="3" t="inlineStr">
        <is>
          <t>importado</t>
        </is>
      </c>
      <c r="J1678" s="5" t="n">
        <v>2</v>
      </c>
      <c r="K1678" s="6" t="n">
        <v>111.75</v>
      </c>
      <c r="L1678" s="6" t="n">
        <v>41.5</v>
      </c>
      <c r="M1678" s="6" t="n">
        <v>182</v>
      </c>
      <c r="N1678" s="3" t="inlineStr">
        <is>
          <t>Sí</t>
        </is>
      </c>
      <c r="O1678" s="6">
        <f>IF(K1678="","",IF(N1678="Sí",ROUND(K1678/1.18,2),K1678))</f>
        <v/>
      </c>
      <c r="P1678" s="3" t="inlineStr">
        <is>
          <t>2026-09-10</t>
        </is>
      </c>
      <c r="Q1678" s="4" t="inlineStr">
        <is>
          <t>Bellón · Ferretería Cima</t>
        </is>
      </c>
      <c r="AF1678" s="4" t="inlineStr">
        <is>
          <t>tipo: niple · material: HG · medida: 1/2" x 5"</t>
        </is>
      </c>
    </row>
    <row r="1679">
      <c r="A1679" s="3" t="inlineStr">
        <is>
          <t>MAT-32-322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HG 1/2" x 6"</t>
        </is>
      </c>
      <c r="E1679" s="4" t="inlineStr"/>
      <c r="F1679" s="3" t="inlineStr">
        <is>
          <t>unidad</t>
        </is>
      </c>
      <c r="G1679" s="3" t="inlineStr">
        <is>
          <t>Instalaciones</t>
        </is>
      </c>
      <c r="H1679" s="3" t="inlineStr">
        <is>
          <t>estandar</t>
        </is>
      </c>
      <c r="I1679" s="3" t="inlineStr">
        <is>
          <t>importado</t>
        </is>
      </c>
      <c r="J1679" s="5" t="n">
        <v>2</v>
      </c>
      <c r="K1679" s="6" t="n">
        <v>59.5</v>
      </c>
      <c r="L1679" s="6" t="n">
        <v>49</v>
      </c>
      <c r="M1679" s="6" t="n">
        <v>70</v>
      </c>
      <c r="N1679" s="3" t="inlineStr">
        <is>
          <t>Sí</t>
        </is>
      </c>
      <c r="O1679" s="6">
        <f>IF(K1679="","",IF(N1679="Sí",ROUND(K1679/1.18,2),K1679))</f>
        <v/>
      </c>
      <c r="P1679" s="3" t="inlineStr">
        <is>
          <t>2026-09-10</t>
        </is>
      </c>
      <c r="Q1679" s="4" t="inlineStr">
        <is>
          <t>Bellón · Ferretería Cima</t>
        </is>
      </c>
      <c r="AF1679" s="4" t="inlineStr">
        <is>
          <t>tipo: niple · material: HG · medida: 1/2" x 6"</t>
        </is>
      </c>
    </row>
    <row r="1680">
      <c r="A1680" s="3" t="inlineStr">
        <is>
          <t>MAT-32-323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HG 1/2" x 8"</t>
        </is>
      </c>
      <c r="E1680" s="4" t="inlineStr"/>
      <c r="F1680" s="3" t="inlineStr">
        <is>
          <t>unidad</t>
        </is>
      </c>
      <c r="G1680" s="3" t="inlineStr">
        <is>
          <t>Instalaciones</t>
        </is>
      </c>
      <c r="H1680" s="3" t="inlineStr">
        <is>
          <t>estandar</t>
        </is>
      </c>
      <c r="I1680" s="3" t="inlineStr">
        <is>
          <t>importado</t>
        </is>
      </c>
      <c r="J1680" s="5" t="n">
        <v>2</v>
      </c>
      <c r="K1680" s="6" t="n">
        <v>132</v>
      </c>
      <c r="L1680" s="6" t="n">
        <v>77</v>
      </c>
      <c r="M1680" s="6" t="n">
        <v>187</v>
      </c>
      <c r="N1680" s="3" t="inlineStr">
        <is>
          <t>Sí</t>
        </is>
      </c>
      <c r="O1680" s="6">
        <f>IF(K1680="","",IF(N1680="Sí",ROUND(K1680/1.18,2),K1680))</f>
        <v/>
      </c>
      <c r="P1680" s="3" t="inlineStr">
        <is>
          <t>2026-09-10</t>
        </is>
      </c>
      <c r="Q1680" s="4" t="inlineStr">
        <is>
          <t>Bellón · Ferretería Cima</t>
        </is>
      </c>
      <c r="AF1680" s="4" t="inlineStr">
        <is>
          <t>tipo: niple · material: HG · medida: 1/2" x 8"</t>
        </is>
      </c>
    </row>
    <row r="1681">
      <c r="A1681" s="3" t="inlineStr">
        <is>
          <t>MAT-32-324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HG 1/4" x 1 1/2"</t>
        </is>
      </c>
      <c r="E1681" s="4" t="inlineStr"/>
      <c r="F1681" s="3" t="inlineStr">
        <is>
          <t>unidad</t>
        </is>
      </c>
      <c r="G1681" s="3" t="inlineStr">
        <is>
          <t>Instalaciones</t>
        </is>
      </c>
      <c r="H1681" s="3" t="inlineStr">
        <is>
          <t>estandar</t>
        </is>
      </c>
      <c r="I1681" s="3" t="inlineStr">
        <is>
          <t>importado</t>
        </is>
      </c>
      <c r="J1681" s="5" t="n">
        <v>1</v>
      </c>
      <c r="K1681" s="6" t="n">
        <v>27.3</v>
      </c>
      <c r="L1681" s="6" t="n">
        <v>27.3</v>
      </c>
      <c r="M1681" s="6" t="n">
        <v>27.3</v>
      </c>
      <c r="N1681" s="3" t="inlineStr">
        <is>
          <t>Sí</t>
        </is>
      </c>
      <c r="O1681" s="6">
        <f>IF(K1681="","",IF(N1681="Sí",ROUND(K1681/1.18,2),K1681))</f>
        <v/>
      </c>
      <c r="P1681" s="3" t="inlineStr">
        <is>
          <t>2026-09-10</t>
        </is>
      </c>
      <c r="Q1681" s="4" t="inlineStr">
        <is>
          <t>Bellón</t>
        </is>
      </c>
      <c r="AF1681" s="4" t="inlineStr">
        <is>
          <t>tipo: niple · material: HG · medida: 1/4" x 1 1/2"</t>
        </is>
      </c>
    </row>
    <row r="1682">
      <c r="A1682" s="3" t="inlineStr">
        <is>
          <t>MAT-32-325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HG 1/4" x 2"</t>
        </is>
      </c>
      <c r="E1682" s="4" t="inlineStr"/>
      <c r="F1682" s="3" t="inlineStr">
        <is>
          <t>unidad</t>
        </is>
      </c>
      <c r="G1682" s="3" t="inlineStr">
        <is>
          <t>Instalaciones</t>
        </is>
      </c>
      <c r="H1682" s="3" t="inlineStr">
        <is>
          <t>estandar</t>
        </is>
      </c>
      <c r="I1682" s="3" t="inlineStr">
        <is>
          <t>importado</t>
        </is>
      </c>
      <c r="J1682" s="5" t="n">
        <v>2</v>
      </c>
      <c r="K1682" s="6" t="n">
        <v>99.73</v>
      </c>
      <c r="L1682" s="6" t="n">
        <v>29.45</v>
      </c>
      <c r="M1682" s="6" t="n">
        <v>170</v>
      </c>
      <c r="N1682" s="3" t="inlineStr">
        <is>
          <t>Sí</t>
        </is>
      </c>
      <c r="O1682" s="6">
        <f>IF(K1682="","",IF(N1682="Sí",ROUND(K1682/1.18,2),K1682))</f>
        <v/>
      </c>
      <c r="P1682" s="3" t="inlineStr">
        <is>
          <t>2026-09-10</t>
        </is>
      </c>
      <c r="Q1682" s="4" t="inlineStr">
        <is>
          <t>Bellón · Ferretería Cima</t>
        </is>
      </c>
      <c r="AF1682" s="4" t="inlineStr">
        <is>
          <t>tipo: niple · material: HG · medida: 1/4" x 2"</t>
        </is>
      </c>
    </row>
    <row r="1683">
      <c r="A1683" s="3" t="inlineStr">
        <is>
          <t>MAT-32-326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HG 1/4" x 3"</t>
        </is>
      </c>
      <c r="E1683" s="4" t="inlineStr"/>
      <c r="F1683" s="3" t="inlineStr">
        <is>
          <t>unidad</t>
        </is>
      </c>
      <c r="G1683" s="3" t="inlineStr">
        <is>
          <t>Instalaciones</t>
        </is>
      </c>
      <c r="H1683" s="3" t="inlineStr">
        <is>
          <t>estandar</t>
        </is>
      </c>
      <c r="I1683" s="3" t="inlineStr">
        <is>
          <t>importado</t>
        </is>
      </c>
      <c r="J1683" s="5" t="n">
        <v>1</v>
      </c>
      <c r="K1683" s="6" t="n">
        <v>26.76</v>
      </c>
      <c r="L1683" s="6" t="n">
        <v>26.76</v>
      </c>
      <c r="M1683" s="6" t="n">
        <v>26.76</v>
      </c>
      <c r="N1683" s="3" t="inlineStr">
        <is>
          <t>Sí</t>
        </is>
      </c>
      <c r="O1683" s="6">
        <f>IF(K1683="","",IF(N1683="Sí",ROUND(K1683/1.18,2),K1683))</f>
        <v/>
      </c>
      <c r="P1683" s="3" t="inlineStr">
        <is>
          <t>2026-09-10</t>
        </is>
      </c>
      <c r="Q1683" s="4" t="inlineStr">
        <is>
          <t>Bellón</t>
        </is>
      </c>
      <c r="AF1683" s="4" t="inlineStr">
        <is>
          <t>tipo: niple · material: HG · medida: 1/4" x 3"</t>
        </is>
      </c>
    </row>
    <row r="1684">
      <c r="A1684" s="3" t="inlineStr">
        <is>
          <t>MAT-32-327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1/4" x 4"</t>
        </is>
      </c>
      <c r="E1684" s="4" t="inlineStr"/>
      <c r="F1684" s="3" t="inlineStr">
        <is>
          <t>unidad</t>
        </is>
      </c>
      <c r="G1684" s="3" t="inlineStr">
        <is>
          <t>Instalaciones</t>
        </is>
      </c>
      <c r="H1684" s="3" t="inlineStr">
        <is>
          <t>estandar</t>
        </is>
      </c>
      <c r="I1684" s="3" t="inlineStr">
        <is>
          <t>importado</t>
        </is>
      </c>
      <c r="J1684" s="5" t="n">
        <v>2</v>
      </c>
      <c r="K1684" s="6" t="n">
        <v>119.94</v>
      </c>
      <c r="L1684" s="6" t="n">
        <v>35.88</v>
      </c>
      <c r="M1684" s="6" t="n">
        <v>204</v>
      </c>
      <c r="N1684" s="3" t="inlineStr">
        <is>
          <t>Sí</t>
        </is>
      </c>
      <c r="O1684" s="6">
        <f>IF(K1684="","",IF(N1684="Sí",ROUND(K1684/1.18,2),K1684))</f>
        <v/>
      </c>
      <c r="P1684" s="3" t="inlineStr">
        <is>
          <t>2026-09-10</t>
        </is>
      </c>
      <c r="Q1684" s="4" t="inlineStr">
        <is>
          <t>Bellón · Ferretería Cima</t>
        </is>
      </c>
      <c r="AF1684" s="4" t="inlineStr">
        <is>
          <t>tipo: niple · material: HG · medida: 1/4" x 4"</t>
        </is>
      </c>
    </row>
    <row r="1685">
      <c r="A1685" s="3" t="inlineStr">
        <is>
          <t>MAT-32-328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1" x 1 1/2"</t>
        </is>
      </c>
      <c r="E1685" s="4" t="inlineStr"/>
      <c r="F1685" s="3" t="inlineStr">
        <is>
          <t>unidad</t>
        </is>
      </c>
      <c r="G1685" s="3" t="inlineStr">
        <is>
          <t>Instalaciones</t>
        </is>
      </c>
      <c r="H1685" s="3" t="inlineStr">
        <is>
          <t>estandar</t>
        </is>
      </c>
      <c r="I1685" s="3" t="inlineStr">
        <is>
          <t>importado</t>
        </is>
      </c>
      <c r="J1685" s="5" t="n">
        <v>1</v>
      </c>
      <c r="K1685" s="6" t="n">
        <v>38.22</v>
      </c>
      <c r="L1685" s="6" t="n">
        <v>38.22</v>
      </c>
      <c r="M1685" s="6" t="n">
        <v>38.22</v>
      </c>
      <c r="N1685" s="3" t="inlineStr">
        <is>
          <t>Sí</t>
        </is>
      </c>
      <c r="O1685" s="6">
        <f>IF(K1685="","",IF(N1685="Sí",ROUND(K1685/1.18,2),K1685))</f>
        <v/>
      </c>
      <c r="P1685" s="3" t="inlineStr">
        <is>
          <t>2026-09-10</t>
        </is>
      </c>
      <c r="Q1685" s="4" t="inlineStr">
        <is>
          <t>Bellón</t>
        </is>
      </c>
      <c r="AF1685" s="4" t="inlineStr">
        <is>
          <t>tipo: niple · material: HG · medida: 1" x 1 1/2"</t>
        </is>
      </c>
    </row>
    <row r="1686">
      <c r="A1686" s="3" t="inlineStr">
        <is>
          <t>MAT-32-329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1" x 10"</t>
        </is>
      </c>
      <c r="E1686" s="4" t="inlineStr"/>
      <c r="F1686" s="3" t="inlineStr">
        <is>
          <t>unidad</t>
        </is>
      </c>
      <c r="G1686" s="3" t="inlineStr">
        <is>
          <t>Instalaciones</t>
        </is>
      </c>
      <c r="H1686" s="3" t="inlineStr">
        <is>
          <t>estandar</t>
        </is>
      </c>
      <c r="I1686" s="3" t="inlineStr">
        <is>
          <t>importado</t>
        </is>
      </c>
      <c r="J1686" s="5" t="n">
        <v>1</v>
      </c>
      <c r="K1686" s="6" t="n">
        <v>344</v>
      </c>
      <c r="L1686" s="6" t="n">
        <v>344</v>
      </c>
      <c r="M1686" s="6" t="n">
        <v>344</v>
      </c>
      <c r="N1686" s="3" t="inlineStr">
        <is>
          <t>Sí</t>
        </is>
      </c>
      <c r="O1686" s="6">
        <f>IF(K1686="","",IF(N1686="Sí",ROUND(K1686/1.18,2),K1686))</f>
        <v/>
      </c>
      <c r="P1686" s="3" t="inlineStr">
        <is>
          <t>2026-09-09</t>
        </is>
      </c>
      <c r="Q1686" s="4" t="inlineStr">
        <is>
          <t>Ferretería Cima</t>
        </is>
      </c>
      <c r="AF1686" s="4" t="inlineStr">
        <is>
          <t>tipo: niple · material: HG · medida: 1" x 10"</t>
        </is>
      </c>
    </row>
    <row r="1687">
      <c r="A1687" s="3" t="inlineStr">
        <is>
          <t>MAT-32-330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1" x 2 1/2"</t>
        </is>
      </c>
      <c r="E1687" s="4" t="inlineStr"/>
      <c r="F1687" s="3" t="inlineStr">
        <is>
          <t>unidad</t>
        </is>
      </c>
      <c r="G1687" s="3" t="inlineStr">
        <is>
          <t>Instalaciones</t>
        </is>
      </c>
      <c r="H1687" s="3" t="inlineStr">
        <is>
          <t>estandar</t>
        </is>
      </c>
      <c r="I1687" s="3" t="inlineStr">
        <is>
          <t>importado</t>
        </is>
      </c>
      <c r="J1687" s="5" t="n">
        <v>2</v>
      </c>
      <c r="K1687" s="6" t="n">
        <v>87.93000000000001</v>
      </c>
      <c r="L1687" s="6" t="n">
        <v>45.86</v>
      </c>
      <c r="M1687" s="6" t="n">
        <v>130</v>
      </c>
      <c r="N1687" s="3" t="inlineStr">
        <is>
          <t>Sí</t>
        </is>
      </c>
      <c r="O1687" s="6">
        <f>IF(K1687="","",IF(N1687="Sí",ROUND(K1687/1.18,2),K1687))</f>
        <v/>
      </c>
      <c r="P1687" s="3" t="inlineStr">
        <is>
          <t>2026-09-10</t>
        </is>
      </c>
      <c r="Q1687" s="4" t="inlineStr">
        <is>
          <t>Bellón · Ferretería Cima</t>
        </is>
      </c>
      <c r="AF1687" s="4" t="inlineStr">
        <is>
          <t>tipo: niple · material: HG · medida: 1" x 2 1/2"</t>
        </is>
      </c>
    </row>
    <row r="1688">
      <c r="A1688" s="3" t="inlineStr">
        <is>
          <t>MAT-32-331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1" x 2"</t>
        </is>
      </c>
      <c r="E1688" s="4" t="inlineStr"/>
      <c r="F1688" s="3" t="inlineStr">
        <is>
          <t>unidad</t>
        </is>
      </c>
      <c r="G1688" s="3" t="inlineStr">
        <is>
          <t>Instalaciones</t>
        </is>
      </c>
      <c r="H1688" s="3" t="inlineStr">
        <is>
          <t>estandar</t>
        </is>
      </c>
      <c r="I1688" s="3" t="inlineStr">
        <is>
          <t>importado</t>
        </is>
      </c>
      <c r="J1688" s="5" t="n">
        <v>2</v>
      </c>
      <c r="K1688" s="6" t="n">
        <v>50.81</v>
      </c>
      <c r="L1688" s="6" t="n">
        <v>48.61</v>
      </c>
      <c r="M1688" s="6" t="n">
        <v>53</v>
      </c>
      <c r="N1688" s="3" t="inlineStr">
        <is>
          <t>Sí</t>
        </is>
      </c>
      <c r="O1688" s="6">
        <f>IF(K1688="","",IF(N1688="Sí",ROUND(K1688/1.18,2),K1688))</f>
        <v/>
      </c>
      <c r="P1688" s="3" t="inlineStr">
        <is>
          <t>2026-09-10</t>
        </is>
      </c>
      <c r="Q1688" s="4" t="inlineStr">
        <is>
          <t>Bellón · Ferretería Cima</t>
        </is>
      </c>
      <c r="AF1688" s="4" t="inlineStr">
        <is>
          <t>tipo: niple · material: HG · medida: 1" x 2"</t>
        </is>
      </c>
    </row>
    <row r="1689">
      <c r="A1689" s="3" t="inlineStr">
        <is>
          <t>MAT-32-332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HG 1" x 3"</t>
        </is>
      </c>
      <c r="E1689" s="4" t="inlineStr"/>
      <c r="F1689" s="3" t="inlineStr">
        <is>
          <t>unidad</t>
        </is>
      </c>
      <c r="G1689" s="3" t="inlineStr">
        <is>
          <t>Instalaciones</t>
        </is>
      </c>
      <c r="H1689" s="3" t="inlineStr">
        <is>
          <t>estandar</t>
        </is>
      </c>
      <c r="I1689" s="3" t="inlineStr">
        <is>
          <t>importado</t>
        </is>
      </c>
      <c r="J1689" s="5" t="n">
        <v>1</v>
      </c>
      <c r="K1689" s="6" t="n">
        <v>63</v>
      </c>
      <c r="L1689" s="6" t="n">
        <v>63</v>
      </c>
      <c r="M1689" s="6" t="n">
        <v>63</v>
      </c>
      <c r="N1689" s="3" t="inlineStr">
        <is>
          <t>Sí</t>
        </is>
      </c>
      <c r="O1689" s="6">
        <f>IF(K1689="","",IF(N1689="Sí",ROUND(K1689/1.18,2),K1689))</f>
        <v/>
      </c>
      <c r="P1689" s="3" t="inlineStr">
        <is>
          <t>2026-09-09</t>
        </is>
      </c>
      <c r="Q1689" s="4" t="inlineStr">
        <is>
          <t>Ferretería Cima</t>
        </is>
      </c>
      <c r="AF1689" s="4" t="inlineStr">
        <is>
          <t>tipo: niple · material: HG · medida: 1" x 3"</t>
        </is>
      </c>
    </row>
    <row r="1690">
      <c r="A1690" s="3" t="inlineStr">
        <is>
          <t>MAT-32-333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HG 1" x 4"</t>
        </is>
      </c>
      <c r="E1690" s="4" t="inlineStr"/>
      <c r="F1690" s="3" t="inlineStr">
        <is>
          <t>unidad</t>
        </is>
      </c>
      <c r="G1690" s="3" t="inlineStr">
        <is>
          <t>Instalaciones</t>
        </is>
      </c>
      <c r="H1690" s="3" t="inlineStr">
        <is>
          <t>estandar</t>
        </is>
      </c>
      <c r="I1690" s="3" t="inlineStr">
        <is>
          <t>importado</t>
        </is>
      </c>
      <c r="J1690" s="5" t="n">
        <v>2</v>
      </c>
      <c r="K1690" s="6" t="n">
        <v>76.5</v>
      </c>
      <c r="L1690" s="6" t="n">
        <v>65</v>
      </c>
      <c r="M1690" s="6" t="n">
        <v>88</v>
      </c>
      <c r="N1690" s="3" t="inlineStr">
        <is>
          <t>Sí</t>
        </is>
      </c>
      <c r="O1690" s="6">
        <f>IF(K1690="","",IF(N1690="Sí",ROUND(K1690/1.18,2),K1690))</f>
        <v/>
      </c>
      <c r="P1690" s="3" t="inlineStr">
        <is>
          <t>2026-09-10</t>
        </is>
      </c>
      <c r="Q1690" s="4" t="inlineStr">
        <is>
          <t>Bellón · Ferretería Cima</t>
        </is>
      </c>
      <c r="AF1690" s="4" t="inlineStr">
        <is>
          <t>tipo: niple · material: HG · medida: 1" x 4"</t>
        </is>
      </c>
    </row>
    <row r="1691">
      <c r="A1691" s="3" t="inlineStr">
        <is>
          <t>MAT-32-334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HG 1" x 5"</t>
        </is>
      </c>
      <c r="E1691" s="4" t="inlineStr"/>
      <c r="F1691" s="3" t="inlineStr">
        <is>
          <t>unidad</t>
        </is>
      </c>
      <c r="G1691" s="3" t="inlineStr">
        <is>
          <t>Instalaciones</t>
        </is>
      </c>
      <c r="H1691" s="3" t="inlineStr">
        <is>
          <t>estandar</t>
        </is>
      </c>
      <c r="I1691" s="3" t="inlineStr">
        <is>
          <t>importado</t>
        </is>
      </c>
      <c r="J1691" s="5" t="n">
        <v>2</v>
      </c>
      <c r="K1691" s="6" t="n">
        <v>69.5</v>
      </c>
      <c r="L1691" s="6" t="n">
        <v>31</v>
      </c>
      <c r="M1691" s="6" t="n">
        <v>108</v>
      </c>
      <c r="N1691" s="3" t="inlineStr">
        <is>
          <t>Sí</t>
        </is>
      </c>
      <c r="O1691" s="6">
        <f>IF(K1691="","",IF(N1691="Sí",ROUND(K1691/1.18,2),K1691))</f>
        <v/>
      </c>
      <c r="P1691" s="3" t="inlineStr">
        <is>
          <t>2026-09-10</t>
        </is>
      </c>
      <c r="Q1691" s="4" t="inlineStr">
        <is>
          <t>Bellón · Ferretería Cima</t>
        </is>
      </c>
      <c r="AF1691" s="4" t="inlineStr">
        <is>
          <t>tipo: niple · material: HG · medida: 1" x 5"</t>
        </is>
      </c>
    </row>
    <row r="1692">
      <c r="A1692" s="3" t="inlineStr">
        <is>
          <t>MAT-32-335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1" x 6"</t>
        </is>
      </c>
      <c r="E1692" s="4" t="inlineStr"/>
      <c r="F1692" s="3" t="inlineStr">
        <is>
          <t>unidad</t>
        </is>
      </c>
      <c r="G1692" s="3" t="inlineStr">
        <is>
          <t>Instalaciones</t>
        </is>
      </c>
      <c r="H1692" s="3" t="inlineStr">
        <is>
          <t>estandar</t>
        </is>
      </c>
      <c r="I1692" s="3" t="inlineStr">
        <is>
          <t>importado</t>
        </is>
      </c>
      <c r="J1692" s="5" t="n">
        <v>2</v>
      </c>
      <c r="K1692" s="6" t="n">
        <v>88.5</v>
      </c>
      <c r="L1692" s="6" t="n">
        <v>86</v>
      </c>
      <c r="M1692" s="6" t="n">
        <v>91</v>
      </c>
      <c r="N1692" s="3" t="inlineStr">
        <is>
          <t>Sí</t>
        </is>
      </c>
      <c r="O1692" s="6">
        <f>IF(K1692="","",IF(N1692="Sí",ROUND(K1692/1.18,2),K1692))</f>
        <v/>
      </c>
      <c r="P1692" s="3" t="inlineStr">
        <is>
          <t>2026-09-10</t>
        </is>
      </c>
      <c r="Q1692" s="4" t="inlineStr">
        <is>
          <t>Bellón · Ferretería Cima</t>
        </is>
      </c>
      <c r="AF1692" s="4" t="inlineStr">
        <is>
          <t>tipo: niple · material: HG · medida: 1" x 6"</t>
        </is>
      </c>
    </row>
    <row r="1693">
      <c r="A1693" s="3" t="inlineStr">
        <is>
          <t>MAT-32-336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2" x 2"</t>
        </is>
      </c>
      <c r="E1693" s="4" t="inlineStr"/>
      <c r="F1693" s="3" t="inlineStr">
        <is>
          <t>unidad</t>
        </is>
      </c>
      <c r="G1693" s="3" t="inlineStr">
        <is>
          <t>Instalaciones</t>
        </is>
      </c>
      <c r="H1693" s="3" t="inlineStr">
        <is>
          <t>estandar</t>
        </is>
      </c>
      <c r="I1693" s="3" t="inlineStr">
        <is>
          <t>importado</t>
        </is>
      </c>
      <c r="J1693" s="5" t="n">
        <v>1</v>
      </c>
      <c r="K1693" s="6" t="n">
        <v>78</v>
      </c>
      <c r="L1693" s="6" t="n">
        <v>78</v>
      </c>
      <c r="M1693" s="6" t="n">
        <v>78</v>
      </c>
      <c r="N1693" s="3" t="inlineStr">
        <is>
          <t>Sí</t>
        </is>
      </c>
      <c r="O1693" s="6">
        <f>IF(K1693="","",IF(N1693="Sí",ROUND(K1693/1.18,2),K1693))</f>
        <v/>
      </c>
      <c r="P1693" s="3" t="inlineStr">
        <is>
          <t>2026-09-10</t>
        </is>
      </c>
      <c r="Q1693" s="4" t="inlineStr">
        <is>
          <t>Bellón</t>
        </is>
      </c>
      <c r="AF1693" s="4" t="inlineStr">
        <is>
          <t>tipo: niple · material: HG · medida: 2" x 2"</t>
        </is>
      </c>
    </row>
    <row r="1694">
      <c r="A1694" s="3" t="inlineStr">
        <is>
          <t>MAT-32-337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2" x 3"</t>
        </is>
      </c>
      <c r="E1694" s="4" t="inlineStr"/>
      <c r="F1694" s="3" t="inlineStr">
        <is>
          <t>unidad</t>
        </is>
      </c>
      <c r="G1694" s="3" t="inlineStr">
        <is>
          <t>Instalaciones</t>
        </is>
      </c>
      <c r="H1694" s="3" t="inlineStr">
        <is>
          <t>estandar</t>
        </is>
      </c>
      <c r="I1694" s="3" t="inlineStr">
        <is>
          <t>importado</t>
        </is>
      </c>
      <c r="J1694" s="5" t="n">
        <v>2</v>
      </c>
      <c r="K1694" s="6" t="n">
        <v>218.5</v>
      </c>
      <c r="L1694" s="6" t="n">
        <v>99</v>
      </c>
      <c r="M1694" s="6" t="n">
        <v>338</v>
      </c>
      <c r="N1694" s="3" t="inlineStr">
        <is>
          <t>Sí</t>
        </is>
      </c>
      <c r="O1694" s="6">
        <f>IF(K1694="","",IF(N1694="Sí",ROUND(K1694/1.18,2),K1694))</f>
        <v/>
      </c>
      <c r="P1694" s="3" t="inlineStr">
        <is>
          <t>2026-09-10</t>
        </is>
      </c>
      <c r="Q1694" s="4" t="inlineStr">
        <is>
          <t>Bellón · Ferretería Cima</t>
        </is>
      </c>
      <c r="AF1694" s="4" t="inlineStr">
        <is>
          <t>tipo: niple · material: HG · medida: 2" x 3"</t>
        </is>
      </c>
    </row>
    <row r="1695">
      <c r="A1695" s="3" t="inlineStr">
        <is>
          <t>MAT-32-338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2" x 4"</t>
        </is>
      </c>
      <c r="E1695" s="4" t="inlineStr"/>
      <c r="F1695" s="3" t="inlineStr">
        <is>
          <t>unidad</t>
        </is>
      </c>
      <c r="G1695" s="3" t="inlineStr">
        <is>
          <t>Instalaciones</t>
        </is>
      </c>
      <c r="H1695" s="3" t="inlineStr">
        <is>
          <t>estandar</t>
        </is>
      </c>
      <c r="I1695" s="3" t="inlineStr">
        <is>
          <t>importado</t>
        </is>
      </c>
      <c r="J1695" s="5" t="n">
        <v>2</v>
      </c>
      <c r="K1695" s="6" t="n">
        <v>245.5</v>
      </c>
      <c r="L1695" s="6" t="n">
        <v>123</v>
      </c>
      <c r="M1695" s="6" t="n">
        <v>368</v>
      </c>
      <c r="N1695" s="3" t="inlineStr">
        <is>
          <t>Sí</t>
        </is>
      </c>
      <c r="O1695" s="6">
        <f>IF(K1695="","",IF(N1695="Sí",ROUND(K1695/1.18,2),K1695))</f>
        <v/>
      </c>
      <c r="P1695" s="3" t="inlineStr">
        <is>
          <t>2026-09-10</t>
        </is>
      </c>
      <c r="Q1695" s="4" t="inlineStr">
        <is>
          <t>Bellón · Ferretería Cima</t>
        </is>
      </c>
      <c r="AF1695" s="4" t="inlineStr">
        <is>
          <t>tipo: niple · material: HG · medida: 2" x 4"</t>
        </is>
      </c>
    </row>
    <row r="1696">
      <c r="A1696" s="3" t="inlineStr">
        <is>
          <t>MAT-32-339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2" x 5"</t>
        </is>
      </c>
      <c r="E1696" s="4" t="inlineStr"/>
      <c r="F1696" s="3" t="inlineStr">
        <is>
          <t>unidad</t>
        </is>
      </c>
      <c r="G1696" s="3" t="inlineStr">
        <is>
          <t>Instalaciones</t>
        </is>
      </c>
      <c r="H1696" s="3" t="inlineStr">
        <is>
          <t>estandar</t>
        </is>
      </c>
      <c r="I1696" s="3" t="inlineStr">
        <is>
          <t>importado</t>
        </is>
      </c>
      <c r="J1696" s="5" t="n">
        <v>2</v>
      </c>
      <c r="K1696" s="6" t="n">
        <v>222.5</v>
      </c>
      <c r="L1696" s="6" t="n">
        <v>188</v>
      </c>
      <c r="M1696" s="6" t="n">
        <v>257</v>
      </c>
      <c r="N1696" s="3" t="inlineStr">
        <is>
          <t>Sí</t>
        </is>
      </c>
      <c r="O1696" s="6">
        <f>IF(K1696="","",IF(N1696="Sí",ROUND(K1696/1.18,2),K1696))</f>
        <v/>
      </c>
      <c r="P1696" s="3" t="inlineStr">
        <is>
          <t>2026-09-10</t>
        </is>
      </c>
      <c r="Q1696" s="4" t="inlineStr">
        <is>
          <t>Bellón · Ferretería Cima</t>
        </is>
      </c>
      <c r="AF1696" s="4" t="inlineStr">
        <is>
          <t>tipo: niple · material: HG · medida: 2" x 5"</t>
        </is>
      </c>
    </row>
    <row r="1697">
      <c r="A1697" s="3" t="inlineStr">
        <is>
          <t>MAT-32-340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2" x 6"</t>
        </is>
      </c>
      <c r="E1697" s="4" t="inlineStr"/>
      <c r="F1697" s="3" t="inlineStr">
        <is>
          <t>unidad</t>
        </is>
      </c>
      <c r="G1697" s="3" t="inlineStr">
        <is>
          <t>Instalaciones</t>
        </is>
      </c>
      <c r="H1697" s="3" t="inlineStr">
        <is>
          <t>estandar</t>
        </is>
      </c>
      <c r="I1697" s="3" t="inlineStr">
        <is>
          <t>importado</t>
        </is>
      </c>
      <c r="J1697" s="5" t="n">
        <v>1</v>
      </c>
      <c r="K1697" s="6" t="n">
        <v>234</v>
      </c>
      <c r="L1697" s="6" t="n">
        <v>234</v>
      </c>
      <c r="M1697" s="6" t="n">
        <v>234</v>
      </c>
      <c r="N1697" s="3" t="inlineStr">
        <is>
          <t>Sí</t>
        </is>
      </c>
      <c r="O1697" s="6">
        <f>IF(K1697="","",IF(N1697="Sí",ROUND(K1697/1.18,2),K1697))</f>
        <v/>
      </c>
      <c r="P1697" s="3" t="inlineStr">
        <is>
          <t>2026-09-10</t>
        </is>
      </c>
      <c r="Q1697" s="4" t="inlineStr">
        <is>
          <t>Bellón</t>
        </is>
      </c>
      <c r="AF1697" s="4" t="inlineStr">
        <is>
          <t>tipo: niple · material: HG · medida: 2" x 6"</t>
        </is>
      </c>
    </row>
    <row r="1698">
      <c r="A1698" s="3" t="inlineStr">
        <is>
          <t>MAT-32-341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3/4" x 1 1/2"</t>
        </is>
      </c>
      <c r="E1698" s="4" t="inlineStr"/>
      <c r="F1698" s="3" t="inlineStr">
        <is>
          <t>unidad</t>
        </is>
      </c>
      <c r="G1698" s="3" t="inlineStr">
        <is>
          <t>Instalaciones</t>
        </is>
      </c>
      <c r="H1698" s="3" t="inlineStr">
        <is>
          <t>estandar</t>
        </is>
      </c>
      <c r="I1698" s="3" t="inlineStr">
        <is>
          <t>importado</t>
        </is>
      </c>
      <c r="J1698" s="5" t="n">
        <v>2</v>
      </c>
      <c r="K1698" s="6" t="n">
        <v>51.06</v>
      </c>
      <c r="L1698" s="6" t="n">
        <v>25.12</v>
      </c>
      <c r="M1698" s="6" t="n">
        <v>77</v>
      </c>
      <c r="N1698" s="3" t="inlineStr">
        <is>
          <t>Sí</t>
        </is>
      </c>
      <c r="O1698" s="6">
        <f>IF(K1698="","",IF(N1698="Sí",ROUND(K1698/1.18,2),K1698))</f>
        <v/>
      </c>
      <c r="P1698" s="3" t="inlineStr">
        <is>
          <t>2026-09-10</t>
        </is>
      </c>
      <c r="Q1698" s="4" t="inlineStr">
        <is>
          <t>Bellón · Ferretería Cima</t>
        </is>
      </c>
      <c r="AF1698" s="4" t="inlineStr">
        <is>
          <t>tipo: niple · material: HG · medida: 3/4" x 1 1/2"</t>
        </is>
      </c>
    </row>
    <row r="1699">
      <c r="A1699" s="3" t="inlineStr">
        <is>
          <t>MAT-32-342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3/4" x 10"</t>
        </is>
      </c>
      <c r="E1699" s="4" t="inlineStr"/>
      <c r="F1699" s="3" t="inlineStr">
        <is>
          <t>unidad</t>
        </is>
      </c>
      <c r="G1699" s="3" t="inlineStr">
        <is>
          <t>Instalaciones</t>
        </is>
      </c>
      <c r="H1699" s="3" t="inlineStr">
        <is>
          <t>estandar</t>
        </is>
      </c>
      <c r="I1699" s="3" t="inlineStr">
        <is>
          <t>importado</t>
        </is>
      </c>
      <c r="J1699" s="5" t="n">
        <v>1</v>
      </c>
      <c r="K1699" s="6" t="n">
        <v>88</v>
      </c>
      <c r="L1699" s="6" t="n">
        <v>88</v>
      </c>
      <c r="M1699" s="6" t="n">
        <v>88</v>
      </c>
      <c r="N1699" s="3" t="inlineStr">
        <is>
          <t>Sí</t>
        </is>
      </c>
      <c r="O1699" s="6">
        <f>IF(K1699="","",IF(N1699="Sí",ROUND(K1699/1.18,2),K1699))</f>
        <v/>
      </c>
      <c r="P1699" s="3" t="inlineStr">
        <is>
          <t>2026-09-10</t>
        </is>
      </c>
      <c r="Q1699" s="4" t="inlineStr">
        <is>
          <t>Bellón</t>
        </is>
      </c>
      <c r="AF1699" s="4" t="inlineStr">
        <is>
          <t>tipo: niple · material: HG · medida: 3/4" x 10"</t>
        </is>
      </c>
    </row>
    <row r="1700">
      <c r="A1700" s="3" t="inlineStr">
        <is>
          <t>MAT-32-343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3/4" x 12"</t>
        </is>
      </c>
      <c r="E1700" s="4" t="inlineStr"/>
      <c r="F1700" s="3" t="inlineStr">
        <is>
          <t>unidad</t>
        </is>
      </c>
      <c r="G1700" s="3" t="inlineStr">
        <is>
          <t>Instalaciones</t>
        </is>
      </c>
      <c r="H1700" s="3" t="inlineStr">
        <is>
          <t>estandar</t>
        </is>
      </c>
      <c r="I1700" s="3" t="inlineStr">
        <is>
          <t>importado</t>
        </is>
      </c>
      <c r="J1700" s="5" t="n">
        <v>1</v>
      </c>
      <c r="K1700" s="6" t="n">
        <v>109</v>
      </c>
      <c r="L1700" s="6" t="n">
        <v>109</v>
      </c>
      <c r="M1700" s="6" t="n">
        <v>109</v>
      </c>
      <c r="N1700" s="3" t="inlineStr">
        <is>
          <t>Sí</t>
        </is>
      </c>
      <c r="O1700" s="6">
        <f>IF(K1700="","",IF(N1700="Sí",ROUND(K1700/1.18,2),K1700))</f>
        <v/>
      </c>
      <c r="P1700" s="3" t="inlineStr">
        <is>
          <t>2026-09-10</t>
        </is>
      </c>
      <c r="Q1700" s="4" t="inlineStr">
        <is>
          <t>Bellón</t>
        </is>
      </c>
      <c r="AF1700" s="4" t="inlineStr">
        <is>
          <t>tipo: niple · material: HG · medida: 3/4" x 12"</t>
        </is>
      </c>
    </row>
    <row r="1701">
      <c r="A1701" s="3" t="inlineStr">
        <is>
          <t>MAT-32-344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3/4" x 1"</t>
        </is>
      </c>
      <c r="E1701" s="4" t="inlineStr"/>
      <c r="F1701" s="3" t="inlineStr">
        <is>
          <t>unidad</t>
        </is>
      </c>
      <c r="G1701" s="3" t="inlineStr">
        <is>
          <t>Instalaciones</t>
        </is>
      </c>
      <c r="H1701" s="3" t="inlineStr">
        <is>
          <t>estandar</t>
        </is>
      </c>
      <c r="I1701" s="3" t="inlineStr">
        <is>
          <t>importado</t>
        </is>
      </c>
      <c r="J1701" s="5" t="n">
        <v>2</v>
      </c>
      <c r="K1701" s="6" t="n">
        <v>41.77</v>
      </c>
      <c r="L1701" s="6" t="n">
        <v>21.54</v>
      </c>
      <c r="M1701" s="6" t="n">
        <v>62</v>
      </c>
      <c r="N1701" s="3" t="inlineStr">
        <is>
          <t>Sí</t>
        </is>
      </c>
      <c r="O1701" s="6">
        <f>IF(K1701="","",IF(N1701="Sí",ROUND(K1701/1.18,2),K1701))</f>
        <v/>
      </c>
      <c r="P1701" s="3" t="inlineStr">
        <is>
          <t>2026-09-10</t>
        </is>
      </c>
      <c r="Q1701" s="4" t="inlineStr">
        <is>
          <t>Bellón · Ferretería Cima</t>
        </is>
      </c>
      <c r="AF1701" s="4" t="inlineStr">
        <is>
          <t>tipo: niple · material: HG · medida: 3/4" x 1"</t>
        </is>
      </c>
    </row>
    <row r="1702">
      <c r="A1702" s="3" t="inlineStr">
        <is>
          <t>MAT-32-345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3/4" x 2 1/2"</t>
        </is>
      </c>
      <c r="E1702" s="4" t="inlineStr"/>
      <c r="F1702" s="3" t="inlineStr">
        <is>
          <t>unidad</t>
        </is>
      </c>
      <c r="G1702" s="3" t="inlineStr">
        <is>
          <t>Instalaciones</t>
        </is>
      </c>
      <c r="H1702" s="3" t="inlineStr">
        <is>
          <t>estandar</t>
        </is>
      </c>
      <c r="I1702" s="3" t="inlineStr">
        <is>
          <t>importado</t>
        </is>
      </c>
      <c r="J1702" s="5" t="n">
        <v>2</v>
      </c>
      <c r="K1702" s="6" t="n">
        <v>79.15000000000001</v>
      </c>
      <c r="L1702" s="6" t="n">
        <v>27.3</v>
      </c>
      <c r="M1702" s="6" t="n">
        <v>131</v>
      </c>
      <c r="N1702" s="3" t="inlineStr">
        <is>
          <t>Sí</t>
        </is>
      </c>
      <c r="O1702" s="6">
        <f>IF(K1702="","",IF(N1702="Sí",ROUND(K1702/1.18,2),K1702))</f>
        <v/>
      </c>
      <c r="P1702" s="3" t="inlineStr">
        <is>
          <t>2026-09-10</t>
        </is>
      </c>
      <c r="Q1702" s="4" t="inlineStr">
        <is>
          <t>Bellón · Ferretería Cima</t>
        </is>
      </c>
      <c r="AF1702" s="4" t="inlineStr">
        <is>
          <t>tipo: niple · material: HG · medida: 3/4" x 2 1/2"</t>
        </is>
      </c>
    </row>
    <row r="1703">
      <c r="A1703" s="3" t="inlineStr">
        <is>
          <t>MAT-32-346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3/4" x 2"</t>
        </is>
      </c>
      <c r="E1703" s="4" t="inlineStr"/>
      <c r="F1703" s="3" t="inlineStr">
        <is>
          <t>unidad</t>
        </is>
      </c>
      <c r="G1703" s="3" t="inlineStr">
        <is>
          <t>Instalaciones</t>
        </is>
      </c>
      <c r="H1703" s="3" t="inlineStr">
        <is>
          <t>estandar</t>
        </is>
      </c>
      <c r="I1703" s="3" t="inlineStr">
        <is>
          <t>importado</t>
        </is>
      </c>
      <c r="J1703" s="5" t="n">
        <v>2</v>
      </c>
      <c r="K1703" s="6" t="n">
        <v>70.92</v>
      </c>
      <c r="L1703" s="6" t="n">
        <v>21.84</v>
      </c>
      <c r="M1703" s="6" t="n">
        <v>120</v>
      </c>
      <c r="N1703" s="3" t="inlineStr">
        <is>
          <t>Sí</t>
        </is>
      </c>
      <c r="O1703" s="6">
        <f>IF(K1703="","",IF(N1703="Sí",ROUND(K1703/1.18,2),K1703))</f>
        <v/>
      </c>
      <c r="P1703" s="3" t="inlineStr">
        <is>
          <t>2026-09-10</t>
        </is>
      </c>
      <c r="Q1703" s="4" t="inlineStr">
        <is>
          <t>Bellón · Ferretería Cima</t>
        </is>
      </c>
      <c r="AF1703" s="4" t="inlineStr">
        <is>
          <t>tipo: niple · material: HG · medida: 3/4" x 2"</t>
        </is>
      </c>
    </row>
    <row r="1704">
      <c r="A1704" s="3" t="inlineStr">
        <is>
          <t>MAT-32-347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3/4" x 3 1/2"</t>
        </is>
      </c>
      <c r="E1704" s="4" t="inlineStr"/>
      <c r="F1704" s="3" t="inlineStr">
        <is>
          <t>unidad</t>
        </is>
      </c>
      <c r="G1704" s="3" t="inlineStr">
        <is>
          <t>Instalaciones</t>
        </is>
      </c>
      <c r="H1704" s="3" t="inlineStr">
        <is>
          <t>estandar</t>
        </is>
      </c>
      <c r="I1704" s="3" t="inlineStr">
        <is>
          <t>importado</t>
        </is>
      </c>
      <c r="J1704" s="5" t="n">
        <v>1</v>
      </c>
      <c r="K1704" s="6" t="n">
        <v>35.35</v>
      </c>
      <c r="L1704" s="6" t="n">
        <v>35.35</v>
      </c>
      <c r="M1704" s="6" t="n">
        <v>35.35</v>
      </c>
      <c r="N1704" s="3" t="inlineStr">
        <is>
          <t>Sí</t>
        </is>
      </c>
      <c r="O1704" s="6">
        <f>IF(K1704="","",IF(N1704="Sí",ROUND(K1704/1.18,2),K1704))</f>
        <v/>
      </c>
      <c r="P1704" s="3" t="inlineStr">
        <is>
          <t>2026-09-10</t>
        </is>
      </c>
      <c r="Q1704" s="4" t="inlineStr">
        <is>
          <t>Bellón</t>
        </is>
      </c>
      <c r="AF1704" s="4" t="inlineStr">
        <is>
          <t>tipo: niple · material: HG · medida: 3/4" x 3 1/2"</t>
        </is>
      </c>
    </row>
    <row r="1705">
      <c r="A1705" s="3" t="inlineStr">
        <is>
          <t>MAT-32-348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3/4" x 3"</t>
        </is>
      </c>
      <c r="E1705" s="4" t="inlineStr"/>
      <c r="F1705" s="3" t="inlineStr">
        <is>
          <t>unidad</t>
        </is>
      </c>
      <c r="G1705" s="3" t="inlineStr">
        <is>
          <t>Instalaciones</t>
        </is>
      </c>
      <c r="H1705" s="3" t="inlineStr">
        <is>
          <t>estandar</t>
        </is>
      </c>
      <c r="I1705" s="3" t="inlineStr">
        <is>
          <t>importado</t>
        </is>
      </c>
      <c r="J1705" s="5" t="n">
        <v>2</v>
      </c>
      <c r="K1705" s="6" t="n">
        <v>91.39</v>
      </c>
      <c r="L1705" s="6" t="n">
        <v>33.77</v>
      </c>
      <c r="M1705" s="6" t="n">
        <v>149</v>
      </c>
      <c r="N1705" s="3" t="inlineStr">
        <is>
          <t>Sí</t>
        </is>
      </c>
      <c r="O1705" s="6">
        <f>IF(K1705="","",IF(N1705="Sí",ROUND(K1705/1.18,2),K1705))</f>
        <v/>
      </c>
      <c r="P1705" s="3" t="inlineStr">
        <is>
          <t>2026-09-10</t>
        </is>
      </c>
      <c r="Q1705" s="4" t="inlineStr">
        <is>
          <t>Bellón · Ferretería Cima</t>
        </is>
      </c>
      <c r="AF1705" s="4" t="inlineStr">
        <is>
          <t>tipo: niple · material: HG · medida: 3/4" x 3"</t>
        </is>
      </c>
    </row>
    <row r="1706">
      <c r="A1706" s="3" t="inlineStr">
        <is>
          <t>MAT-32-349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3/4" x 4"</t>
        </is>
      </c>
      <c r="E1706" s="4" t="inlineStr"/>
      <c r="F1706" s="3" t="inlineStr">
        <is>
          <t>unidad</t>
        </is>
      </c>
      <c r="G1706" s="3" t="inlineStr">
        <is>
          <t>Instalaciones</t>
        </is>
      </c>
      <c r="H1706" s="3" t="inlineStr">
        <is>
          <t>estandar</t>
        </is>
      </c>
      <c r="I1706" s="3" t="inlineStr">
        <is>
          <t>importado</t>
        </is>
      </c>
      <c r="J1706" s="5" t="n">
        <v>2</v>
      </c>
      <c r="K1706" s="6" t="n">
        <v>105.5</v>
      </c>
      <c r="L1706" s="6" t="n">
        <v>51</v>
      </c>
      <c r="M1706" s="6" t="n">
        <v>160</v>
      </c>
      <c r="N1706" s="3" t="inlineStr">
        <is>
          <t>Sí</t>
        </is>
      </c>
      <c r="O1706" s="6">
        <f>IF(K1706="","",IF(N1706="Sí",ROUND(K1706/1.18,2),K1706))</f>
        <v/>
      </c>
      <c r="P1706" s="3" t="inlineStr">
        <is>
          <t>2026-09-10</t>
        </is>
      </c>
      <c r="Q1706" s="4" t="inlineStr">
        <is>
          <t>Bellón · Ferretería Cima</t>
        </is>
      </c>
      <c r="AF1706" s="4" t="inlineStr">
        <is>
          <t>tipo: niple · material: HG · medida: 3/4" x 4"</t>
        </is>
      </c>
    </row>
    <row r="1707">
      <c r="A1707" s="3" t="inlineStr">
        <is>
          <t>MAT-32-350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3/4" x 5"</t>
        </is>
      </c>
      <c r="E1707" s="4" t="inlineStr"/>
      <c r="F1707" s="3" t="inlineStr">
        <is>
          <t>unidad</t>
        </is>
      </c>
      <c r="G1707" s="3" t="inlineStr">
        <is>
          <t>Instalaciones</t>
        </is>
      </c>
      <c r="H1707" s="3" t="inlineStr">
        <is>
          <t>estandar</t>
        </is>
      </c>
      <c r="I1707" s="3" t="inlineStr">
        <is>
          <t>importado</t>
        </is>
      </c>
      <c r="J1707" s="5" t="n">
        <v>2</v>
      </c>
      <c r="K1707" s="6" t="n">
        <v>124</v>
      </c>
      <c r="L1707" s="6" t="n">
        <v>54</v>
      </c>
      <c r="M1707" s="6" t="n">
        <v>194</v>
      </c>
      <c r="N1707" s="3" t="inlineStr">
        <is>
          <t>Sí</t>
        </is>
      </c>
      <c r="O1707" s="6">
        <f>IF(K1707="","",IF(N1707="Sí",ROUND(K1707/1.18,2),K1707))</f>
        <v/>
      </c>
      <c r="P1707" s="3" t="inlineStr">
        <is>
          <t>2026-09-10</t>
        </is>
      </c>
      <c r="Q1707" s="4" t="inlineStr">
        <is>
          <t>Bellón · Ferretería Cima</t>
        </is>
      </c>
      <c r="AF1707" s="4" t="inlineStr">
        <is>
          <t>tipo: niple · material: HG · medida: 3/4" x 5"</t>
        </is>
      </c>
    </row>
    <row r="1708">
      <c r="A1708" s="3" t="inlineStr">
        <is>
          <t>MAT-32-351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3/4" x 6"</t>
        </is>
      </c>
      <c r="E1708" s="4" t="inlineStr"/>
      <c r="F1708" s="3" t="inlineStr">
        <is>
          <t>unidad</t>
        </is>
      </c>
      <c r="G1708" s="3" t="inlineStr">
        <is>
          <t>Instalaciones</t>
        </is>
      </c>
      <c r="H1708" s="3" t="inlineStr">
        <is>
          <t>estandar</t>
        </is>
      </c>
      <c r="I1708" s="3" t="inlineStr">
        <is>
          <t>importado</t>
        </is>
      </c>
      <c r="J1708" s="5" t="n">
        <v>2</v>
      </c>
      <c r="K1708" s="6" t="n">
        <v>167.5</v>
      </c>
      <c r="L1708" s="6" t="n">
        <v>87</v>
      </c>
      <c r="M1708" s="6" t="n">
        <v>248</v>
      </c>
      <c r="N1708" s="3" t="inlineStr">
        <is>
          <t>Sí</t>
        </is>
      </c>
      <c r="O1708" s="6">
        <f>IF(K1708="","",IF(N1708="Sí",ROUND(K1708/1.18,2),K1708))</f>
        <v/>
      </c>
      <c r="P1708" s="3" t="inlineStr">
        <is>
          <t>2026-09-10</t>
        </is>
      </c>
      <c r="Q1708" s="4" t="inlineStr">
        <is>
          <t>Bellón · Ferretería Cima</t>
        </is>
      </c>
      <c r="AF1708" s="4" t="inlineStr">
        <is>
          <t>tipo: niple · material: HG · medida: 3/4" x 6"</t>
        </is>
      </c>
    </row>
    <row r="1709">
      <c r="A1709" s="3" t="inlineStr">
        <is>
          <t>MAT-32-352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3/4" x 8"</t>
        </is>
      </c>
      <c r="E1709" s="4" t="inlineStr"/>
      <c r="F1709" s="3" t="inlineStr">
        <is>
          <t>unidad</t>
        </is>
      </c>
      <c r="G1709" s="3" t="inlineStr">
        <is>
          <t>Instalaciones</t>
        </is>
      </c>
      <c r="H1709" s="3" t="inlineStr">
        <is>
          <t>estandar</t>
        </is>
      </c>
      <c r="I1709" s="3" t="inlineStr">
        <is>
          <t>importado</t>
        </is>
      </c>
      <c r="J1709" s="5" t="n">
        <v>1</v>
      </c>
      <c r="K1709" s="6" t="n">
        <v>81</v>
      </c>
      <c r="L1709" s="6" t="n">
        <v>81</v>
      </c>
      <c r="M1709" s="6" t="n">
        <v>81</v>
      </c>
      <c r="N1709" s="3" t="inlineStr">
        <is>
          <t>Sí</t>
        </is>
      </c>
      <c r="O1709" s="6">
        <f>IF(K1709="","",IF(N1709="Sí",ROUND(K1709/1.18,2),K1709))</f>
        <v/>
      </c>
      <c r="P1709" s="3" t="inlineStr">
        <is>
          <t>2026-09-10</t>
        </is>
      </c>
      <c r="Q1709" s="4" t="inlineStr">
        <is>
          <t>Bellón</t>
        </is>
      </c>
      <c r="AF1709" s="4" t="inlineStr">
        <is>
          <t>tipo: niple · material: HG · medida: 3/4" x 8"</t>
        </is>
      </c>
    </row>
    <row r="1710">
      <c r="A1710" s="3" t="inlineStr">
        <is>
          <t>MAT-32-353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3/8" x 2 1/2"</t>
        </is>
      </c>
      <c r="E1710" s="4" t="inlineStr"/>
      <c r="F1710" s="3" t="inlineStr">
        <is>
          <t>unidad</t>
        </is>
      </c>
      <c r="G1710" s="3" t="inlineStr">
        <is>
          <t>Instalaciones</t>
        </is>
      </c>
      <c r="H1710" s="3" t="inlineStr">
        <is>
          <t>estandar</t>
        </is>
      </c>
      <c r="I1710" s="3" t="inlineStr">
        <is>
          <t>importado</t>
        </is>
      </c>
      <c r="J1710" s="5" t="n">
        <v>2</v>
      </c>
      <c r="K1710" s="6" t="n">
        <v>89.87</v>
      </c>
      <c r="L1710" s="6" t="n">
        <v>24.74</v>
      </c>
      <c r="M1710" s="6" t="n">
        <v>155</v>
      </c>
      <c r="N1710" s="3" t="inlineStr">
        <is>
          <t>Sí</t>
        </is>
      </c>
      <c r="O1710" s="6">
        <f>IF(K1710="","",IF(N1710="Sí",ROUND(K1710/1.18,2),K1710))</f>
        <v/>
      </c>
      <c r="P1710" s="3" t="inlineStr">
        <is>
          <t>2026-09-10</t>
        </is>
      </c>
      <c r="Q1710" s="4" t="inlineStr">
        <is>
          <t>Bellón · Ferretería Cima</t>
        </is>
      </c>
      <c r="AF1710" s="4" t="inlineStr">
        <is>
          <t>tipo: niple · material: HG · medida: 3/8" x 2 1/2"</t>
        </is>
      </c>
    </row>
    <row r="1711">
      <c r="A1711" s="3" t="inlineStr">
        <is>
          <t>MAT-32-354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3/8" x 2"</t>
        </is>
      </c>
      <c r="E1711" s="4" t="inlineStr"/>
      <c r="F1711" s="3" t="inlineStr">
        <is>
          <t>unidad</t>
        </is>
      </c>
      <c r="G1711" s="3" t="inlineStr">
        <is>
          <t>Instalaciones</t>
        </is>
      </c>
      <c r="H1711" s="3" t="inlineStr">
        <is>
          <t>estandar</t>
        </is>
      </c>
      <c r="I1711" s="3" t="inlineStr">
        <is>
          <t>importado</t>
        </is>
      </c>
      <c r="J1711" s="5" t="n">
        <v>2</v>
      </c>
      <c r="K1711" s="6" t="n">
        <v>110.8</v>
      </c>
      <c r="L1711" s="6" t="n">
        <v>61.6</v>
      </c>
      <c r="M1711" s="6" t="n">
        <v>160</v>
      </c>
      <c r="N1711" s="3" t="inlineStr">
        <is>
          <t>Sí</t>
        </is>
      </c>
      <c r="O1711" s="6">
        <f>IF(K1711="","",IF(N1711="Sí",ROUND(K1711/1.18,2),K1711))</f>
        <v/>
      </c>
      <c r="P1711" s="3" t="inlineStr">
        <is>
          <t>2026-09-10</t>
        </is>
      </c>
      <c r="Q1711" s="4" t="inlineStr">
        <is>
          <t>Bellón · Ferretería Cima</t>
        </is>
      </c>
      <c r="AF1711" s="4" t="inlineStr">
        <is>
          <t>tipo: niple · material: HG · medida: 3/8" x 2"</t>
        </is>
      </c>
    </row>
    <row r="1712">
      <c r="A1712" s="3" t="inlineStr">
        <is>
          <t>MAT-32-355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3/8" x 3 1/2"</t>
        </is>
      </c>
      <c r="E1712" s="4" t="inlineStr"/>
      <c r="F1712" s="3" t="inlineStr">
        <is>
          <t>unidad</t>
        </is>
      </c>
      <c r="G1712" s="3" t="inlineStr">
        <is>
          <t>Instalaciones</t>
        </is>
      </c>
      <c r="H1712" s="3" t="inlineStr">
        <is>
          <t>estandar</t>
        </is>
      </c>
      <c r="I1712" s="3" t="inlineStr">
        <is>
          <t>importado</t>
        </is>
      </c>
      <c r="J1712" s="5" t="n">
        <v>1</v>
      </c>
      <c r="K1712" s="6" t="n">
        <v>194</v>
      </c>
      <c r="L1712" s="6" t="n">
        <v>194</v>
      </c>
      <c r="M1712" s="6" t="n">
        <v>194</v>
      </c>
      <c r="N1712" s="3" t="inlineStr">
        <is>
          <t>Sí</t>
        </is>
      </c>
      <c r="O1712" s="6">
        <f>IF(K1712="","",IF(N1712="Sí",ROUND(K1712/1.18,2),K1712))</f>
        <v/>
      </c>
      <c r="P1712" s="3" t="inlineStr">
        <is>
          <t>2026-09-09</t>
        </is>
      </c>
      <c r="Q1712" s="4" t="inlineStr">
        <is>
          <t>Ferretería Cima</t>
        </is>
      </c>
      <c r="AF1712" s="4" t="inlineStr">
        <is>
          <t>tipo: niple · material: HG · medida: 3/8" x 3 1/2"</t>
        </is>
      </c>
    </row>
    <row r="1713">
      <c r="A1713" s="3" t="inlineStr">
        <is>
          <t>MAT-32-356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3/8" x 3"</t>
        </is>
      </c>
      <c r="E1713" s="4" t="inlineStr"/>
      <c r="F1713" s="3" t="inlineStr">
        <is>
          <t>unidad</t>
        </is>
      </c>
      <c r="G1713" s="3" t="inlineStr">
        <is>
          <t>Instalaciones</t>
        </is>
      </c>
      <c r="H1713" s="3" t="inlineStr">
        <is>
          <t>estandar</t>
        </is>
      </c>
      <c r="I1713" s="3" t="inlineStr">
        <is>
          <t>importado</t>
        </is>
      </c>
      <c r="J1713" s="5" t="n">
        <v>2</v>
      </c>
      <c r="K1713" s="6" t="n">
        <v>106.15</v>
      </c>
      <c r="L1713" s="6" t="n">
        <v>27.3</v>
      </c>
      <c r="M1713" s="6" t="n">
        <v>185</v>
      </c>
      <c r="N1713" s="3" t="inlineStr">
        <is>
          <t>Sí</t>
        </is>
      </c>
      <c r="O1713" s="6">
        <f>IF(K1713="","",IF(N1713="Sí",ROUND(K1713/1.18,2),K1713))</f>
        <v/>
      </c>
      <c r="P1713" s="3" t="inlineStr">
        <is>
          <t>2026-09-10</t>
        </is>
      </c>
      <c r="Q1713" s="4" t="inlineStr">
        <is>
          <t>Bellón · Ferretería Cima</t>
        </is>
      </c>
      <c r="AF1713" s="4" t="inlineStr">
        <is>
          <t>tipo: niple · material: HG · medida: 3/8" x 3"</t>
        </is>
      </c>
    </row>
    <row r="1714">
      <c r="A1714" s="3" t="inlineStr">
        <is>
          <t>MAT-32-357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3/8" x 4 1/2"</t>
        </is>
      </c>
      <c r="E1714" s="4" t="inlineStr"/>
      <c r="F1714" s="3" t="inlineStr">
        <is>
          <t>unidad</t>
        </is>
      </c>
      <c r="G1714" s="3" t="inlineStr">
        <is>
          <t>Instalaciones</t>
        </is>
      </c>
      <c r="H1714" s="3" t="inlineStr">
        <is>
          <t>estandar</t>
        </is>
      </c>
      <c r="I1714" s="3" t="inlineStr">
        <is>
          <t>importado</t>
        </is>
      </c>
      <c r="J1714" s="5" t="n">
        <v>1</v>
      </c>
      <c r="K1714" s="6" t="n">
        <v>194</v>
      </c>
      <c r="L1714" s="6" t="n">
        <v>194</v>
      </c>
      <c r="M1714" s="6" t="n">
        <v>194</v>
      </c>
      <c r="N1714" s="3" t="inlineStr">
        <is>
          <t>Sí</t>
        </is>
      </c>
      <c r="O1714" s="6">
        <f>IF(K1714="","",IF(N1714="Sí",ROUND(K1714/1.18,2),K1714))</f>
        <v/>
      </c>
      <c r="P1714" s="3" t="inlineStr">
        <is>
          <t>2026-09-09</t>
        </is>
      </c>
      <c r="Q1714" s="4" t="inlineStr">
        <is>
          <t>Ferretería Cima</t>
        </is>
      </c>
      <c r="AF1714" s="4" t="inlineStr">
        <is>
          <t>tipo: niple · material: HG · medida: 3/8" x 4 1/2"</t>
        </is>
      </c>
    </row>
    <row r="1715">
      <c r="A1715" s="3" t="inlineStr">
        <is>
          <t>MAT-32-359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3/8" x 5 1/2"</t>
        </is>
      </c>
      <c r="E1715" s="4" t="inlineStr"/>
      <c r="F1715" s="3" t="inlineStr">
        <is>
          <t>unidad</t>
        </is>
      </c>
      <c r="G1715" s="3" t="inlineStr">
        <is>
          <t>Instalaciones</t>
        </is>
      </c>
      <c r="H1715" s="3" t="inlineStr">
        <is>
          <t>estandar</t>
        </is>
      </c>
      <c r="I1715" s="3" t="inlineStr">
        <is>
          <t>importado</t>
        </is>
      </c>
      <c r="J1715" s="5" t="n">
        <v>1</v>
      </c>
      <c r="K1715" s="6" t="n">
        <v>229</v>
      </c>
      <c r="L1715" s="6" t="n">
        <v>229</v>
      </c>
      <c r="M1715" s="6" t="n">
        <v>229</v>
      </c>
      <c r="N1715" s="3" t="inlineStr">
        <is>
          <t>Sí</t>
        </is>
      </c>
      <c r="O1715" s="6">
        <f>IF(K1715="","",IF(N1715="Sí",ROUND(K1715/1.18,2),K1715))</f>
        <v/>
      </c>
      <c r="P1715" s="3" t="inlineStr">
        <is>
          <t>2026-09-09</t>
        </is>
      </c>
      <c r="Q1715" s="4" t="inlineStr">
        <is>
          <t>Ferretería Cima</t>
        </is>
      </c>
      <c r="AF1715" s="4" t="inlineStr">
        <is>
          <t>tipo: niple · material: HG · medida: 3/8" x 5 1/2"</t>
        </is>
      </c>
    </row>
    <row r="1716">
      <c r="A1716" s="3" t="inlineStr">
        <is>
          <t>MAT-32-360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3/8" x 5"</t>
        </is>
      </c>
      <c r="E1716" s="4" t="inlineStr"/>
      <c r="F1716" s="3" t="inlineStr">
        <is>
          <t>unidad</t>
        </is>
      </c>
      <c r="G1716" s="3" t="inlineStr">
        <is>
          <t>Instalaciones</t>
        </is>
      </c>
      <c r="H1716" s="3" t="inlineStr">
        <is>
          <t>estandar</t>
        </is>
      </c>
      <c r="I1716" s="3" t="inlineStr">
        <is>
          <t>importado</t>
        </is>
      </c>
      <c r="J1716" s="5" t="n">
        <v>1</v>
      </c>
      <c r="K1716" s="6" t="n">
        <v>255</v>
      </c>
      <c r="L1716" s="6" t="n">
        <v>255</v>
      </c>
      <c r="M1716" s="6" t="n">
        <v>255</v>
      </c>
      <c r="N1716" s="3" t="inlineStr">
        <is>
          <t>Sí</t>
        </is>
      </c>
      <c r="O1716" s="6">
        <f>IF(K1716="","",IF(N1716="Sí",ROUND(K1716/1.18,2),K1716))</f>
        <v/>
      </c>
      <c r="P1716" s="3" t="inlineStr">
        <is>
          <t>2026-09-09</t>
        </is>
      </c>
      <c r="Q1716" s="4" t="inlineStr">
        <is>
          <t>Ferretería Cima</t>
        </is>
      </c>
      <c r="AF1716" s="4" t="inlineStr">
        <is>
          <t>tipo: niple · material: HG · medida: 3/8" x 5"</t>
        </is>
      </c>
    </row>
    <row r="1717">
      <c r="A1717" s="3" t="inlineStr">
        <is>
          <t>MAT-32-361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3/8" x 6"</t>
        </is>
      </c>
      <c r="E1717" s="4" t="inlineStr"/>
      <c r="F1717" s="3" t="inlineStr">
        <is>
          <t>unidad</t>
        </is>
      </c>
      <c r="G1717" s="3" t="inlineStr">
        <is>
          <t>Instalaciones</t>
        </is>
      </c>
      <c r="H1717" s="3" t="inlineStr">
        <is>
          <t>estandar</t>
        </is>
      </c>
      <c r="I1717" s="3" t="inlineStr">
        <is>
          <t>importado</t>
        </is>
      </c>
      <c r="J1717" s="5" t="n">
        <v>1</v>
      </c>
      <c r="K1717" s="6" t="n">
        <v>327</v>
      </c>
      <c r="L1717" s="6" t="n">
        <v>327</v>
      </c>
      <c r="M1717" s="6" t="n">
        <v>327</v>
      </c>
      <c r="N1717" s="3" t="inlineStr">
        <is>
          <t>Sí</t>
        </is>
      </c>
      <c r="O1717" s="6">
        <f>IF(K1717="","",IF(N1717="Sí",ROUND(K1717/1.18,2),K1717))</f>
        <v/>
      </c>
      <c r="P1717" s="3" t="inlineStr">
        <is>
          <t>2026-09-09</t>
        </is>
      </c>
      <c r="Q1717" s="4" t="inlineStr">
        <is>
          <t>Ferretería Cima</t>
        </is>
      </c>
      <c r="AF1717" s="4" t="inlineStr">
        <is>
          <t>tipo: niple · material: HG · medida: 3/8" x 6"</t>
        </is>
      </c>
    </row>
    <row r="1718">
      <c r="A1718" s="3" t="inlineStr">
        <is>
          <t>MAT-32-362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3" x 4"</t>
        </is>
      </c>
      <c r="E1718" s="4" t="inlineStr"/>
      <c r="F1718" s="3" t="inlineStr">
        <is>
          <t>unidad</t>
        </is>
      </c>
      <c r="G1718" s="3" t="inlineStr">
        <is>
          <t>Instalaciones</t>
        </is>
      </c>
      <c r="H1718" s="3" t="inlineStr">
        <is>
          <t>estandar</t>
        </is>
      </c>
      <c r="I1718" s="3" t="inlineStr">
        <is>
          <t>importado</t>
        </is>
      </c>
      <c r="J1718" s="5" t="n">
        <v>1</v>
      </c>
      <c r="K1718" s="6" t="n">
        <v>277</v>
      </c>
      <c r="L1718" s="6" t="n">
        <v>277</v>
      </c>
      <c r="M1718" s="6" t="n">
        <v>277</v>
      </c>
      <c r="N1718" s="3" t="inlineStr">
        <is>
          <t>Sí</t>
        </is>
      </c>
      <c r="O1718" s="6">
        <f>IF(K1718="","",IF(N1718="Sí",ROUND(K1718/1.18,2),K1718))</f>
        <v/>
      </c>
      <c r="P1718" s="3" t="inlineStr">
        <is>
          <t>2026-09-10</t>
        </is>
      </c>
      <c r="Q1718" s="4" t="inlineStr">
        <is>
          <t>Bellón</t>
        </is>
      </c>
      <c r="AF1718" s="4" t="inlineStr">
        <is>
          <t>tipo: niple · material: HG · medida: 3" x 4"</t>
        </is>
      </c>
    </row>
    <row r="1719">
      <c r="A1719" s="3" t="inlineStr">
        <is>
          <t>MAT-32-363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niquelado 1/2" x 1 1/2"</t>
        </is>
      </c>
      <c r="E1719" s="4" t="inlineStr"/>
      <c r="F1719" s="3" t="inlineStr">
        <is>
          <t>unidad</t>
        </is>
      </c>
      <c r="G1719" s="3" t="inlineStr">
        <is>
          <t>Instalaciones</t>
        </is>
      </c>
      <c r="H1719" s="3" t="inlineStr">
        <is>
          <t>estandar</t>
        </is>
      </c>
      <c r="I1719" s="3" t="inlineStr">
        <is>
          <t>importado</t>
        </is>
      </c>
      <c r="J1719" s="5" t="n">
        <v>1</v>
      </c>
      <c r="K1719" s="6" t="n">
        <v>17</v>
      </c>
      <c r="L1719" s="6" t="n">
        <v>17</v>
      </c>
      <c r="M1719" s="6" t="n">
        <v>17</v>
      </c>
      <c r="N1719" s="3" t="inlineStr">
        <is>
          <t>Sí</t>
        </is>
      </c>
      <c r="O1719" s="6">
        <f>IF(K1719="","",IF(N1719="Sí",ROUND(K1719/1.18,2),K1719))</f>
        <v/>
      </c>
      <c r="P1719" s="3" t="inlineStr">
        <is>
          <t>2026-09-10</t>
        </is>
      </c>
      <c r="Q1719" s="4" t="inlineStr">
        <is>
          <t>Bellón</t>
        </is>
      </c>
      <c r="AF1719" s="4" t="inlineStr">
        <is>
          <t>tipo: niple · material: niquelado · medida: 1/2" x 1 1/2"</t>
        </is>
      </c>
    </row>
    <row r="1720">
      <c r="A1720" s="3" t="inlineStr">
        <is>
          <t>MAT-32-364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niquelado 1/2" x 2 1/2"</t>
        </is>
      </c>
      <c r="E1720" s="4" t="inlineStr"/>
      <c r="F1720" s="3" t="inlineStr">
        <is>
          <t>unidad</t>
        </is>
      </c>
      <c r="G1720" s="3" t="inlineStr">
        <is>
          <t>Instalaciones</t>
        </is>
      </c>
      <c r="H1720" s="3" t="inlineStr">
        <is>
          <t>estandar</t>
        </is>
      </c>
      <c r="I1720" s="3" t="inlineStr">
        <is>
          <t>importado</t>
        </is>
      </c>
      <c r="J1720" s="5" t="n">
        <v>2</v>
      </c>
      <c r="K1720" s="6" t="n">
        <v>144.5</v>
      </c>
      <c r="L1720" s="6" t="n">
        <v>24</v>
      </c>
      <c r="M1720" s="6" t="n">
        <v>326</v>
      </c>
      <c r="N1720" s="3" t="inlineStr">
        <is>
          <t>Sí</t>
        </is>
      </c>
      <c r="O1720" s="6">
        <f>IF(K1720="","",IF(N1720="Sí",ROUND(K1720/1.18,2),K1720))</f>
        <v/>
      </c>
      <c r="P1720" s="3" t="inlineStr">
        <is>
          <t>2026-09-10</t>
        </is>
      </c>
      <c r="Q1720" s="4" t="inlineStr">
        <is>
          <t>Bellón · Ferretería Cima</t>
        </is>
      </c>
      <c r="AF1720" s="4" t="inlineStr">
        <is>
          <t>tipo: niple · material: niquelado · medida: 1/2" x 2 1/2"</t>
        </is>
      </c>
    </row>
    <row r="1721">
      <c r="A1721" s="3" t="inlineStr">
        <is>
          <t>MAT-32-365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niquelado 1/2" x 2"</t>
        </is>
      </c>
      <c r="E1721" s="4" t="inlineStr"/>
      <c r="F1721" s="3" t="inlineStr">
        <is>
          <t>unidad</t>
        </is>
      </c>
      <c r="G1721" s="3" t="inlineStr">
        <is>
          <t>Instalaciones</t>
        </is>
      </c>
      <c r="H1721" s="3" t="inlineStr">
        <is>
          <t>estandar</t>
        </is>
      </c>
      <c r="I1721" s="3" t="inlineStr">
        <is>
          <t>importado</t>
        </is>
      </c>
      <c r="J1721" s="5" t="n">
        <v>2</v>
      </c>
      <c r="K1721" s="6" t="n">
        <v>101</v>
      </c>
      <c r="L1721" s="6" t="n">
        <v>15.75</v>
      </c>
      <c r="M1721" s="6" t="n">
        <v>224</v>
      </c>
      <c r="N1721" s="3" t="inlineStr">
        <is>
          <t>Sí</t>
        </is>
      </c>
      <c r="O1721" s="6">
        <f>IF(K1721="","",IF(N1721="Sí",ROUND(K1721/1.18,2),K1721))</f>
        <v/>
      </c>
      <c r="P1721" s="3" t="inlineStr">
        <is>
          <t>2026-09-10</t>
        </is>
      </c>
      <c r="Q1721" s="4" t="inlineStr">
        <is>
          <t>Bellón · Ferretería Cima</t>
        </is>
      </c>
      <c r="AF1721" s="4" t="inlineStr">
        <is>
          <t>tipo: niple · material: niquelado · medida: 1/2" x 2"</t>
        </is>
      </c>
    </row>
    <row r="1722">
      <c r="A1722" s="3" t="inlineStr">
        <is>
          <t>MAT-32-368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niquelado 3/8" x 2 1/2"</t>
        </is>
      </c>
      <c r="E1722" s="4" t="inlineStr"/>
      <c r="F1722" s="3" t="inlineStr">
        <is>
          <t>unidad</t>
        </is>
      </c>
      <c r="G1722" s="3" t="inlineStr">
        <is>
          <t>Instalaciones</t>
        </is>
      </c>
      <c r="H1722" s="3" t="inlineStr">
        <is>
          <t>estandar</t>
        </is>
      </c>
      <c r="I1722" s="3" t="inlineStr">
        <is>
          <t>importado</t>
        </is>
      </c>
      <c r="J1722" s="5" t="n">
        <v>1</v>
      </c>
      <c r="K1722" s="6" t="n">
        <v>24.04</v>
      </c>
      <c r="L1722" s="6" t="n">
        <v>24.04</v>
      </c>
      <c r="M1722" s="6" t="n">
        <v>24.04</v>
      </c>
      <c r="N1722" s="3" t="inlineStr">
        <is>
          <t>Sí</t>
        </is>
      </c>
      <c r="O1722" s="6">
        <f>IF(K1722="","",IF(N1722="Sí",ROUND(K1722/1.18,2),K1722))</f>
        <v/>
      </c>
      <c r="P1722" s="3" t="inlineStr">
        <is>
          <t>2026-09-10</t>
        </is>
      </c>
      <c r="Q1722" s="4" t="inlineStr">
        <is>
          <t>Bellón</t>
        </is>
      </c>
      <c r="AF1722" s="4" t="inlineStr">
        <is>
          <t>tipo: niple · material: niquelado · medida: 3/8" x 2 1/2"</t>
        </is>
      </c>
    </row>
    <row r="1723">
      <c r="A1723" s="3" t="inlineStr">
        <is>
          <t>MAT-32-369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niquelado 3/8" x 2"</t>
        </is>
      </c>
      <c r="E1723" s="4" t="inlineStr"/>
      <c r="F1723" s="3" t="inlineStr">
        <is>
          <t>unidad</t>
        </is>
      </c>
      <c r="G1723" s="3" t="inlineStr">
        <is>
          <t>Instalaciones</t>
        </is>
      </c>
      <c r="H1723" s="3" t="inlineStr">
        <is>
          <t>estandar</t>
        </is>
      </c>
      <c r="I1723" s="3" t="inlineStr">
        <is>
          <t>importado</t>
        </is>
      </c>
      <c r="J1723" s="5" t="n">
        <v>1</v>
      </c>
      <c r="K1723" s="6" t="n">
        <v>47</v>
      </c>
      <c r="L1723" s="6" t="n">
        <v>47</v>
      </c>
      <c r="M1723" s="6" t="n">
        <v>47</v>
      </c>
      <c r="N1723" s="3" t="inlineStr">
        <is>
          <t>Sí</t>
        </is>
      </c>
      <c r="O1723" s="6">
        <f>IF(K1723="","",IF(N1723="Sí",ROUND(K1723/1.18,2),K1723))</f>
        <v/>
      </c>
      <c r="P1723" s="3" t="inlineStr">
        <is>
          <t>2026-09-09</t>
        </is>
      </c>
      <c r="Q1723" s="4" t="inlineStr">
        <is>
          <t>Ferretería Cima</t>
        </is>
      </c>
      <c r="AF1723" s="4" t="inlineStr">
        <is>
          <t>tipo: niple · material: niquelado · medida: 3/8" x 2"</t>
        </is>
      </c>
    </row>
    <row r="1724">
      <c r="A1724" s="3" t="inlineStr">
        <is>
          <t>MAT-32-370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niquelado 3/8" x 3"</t>
        </is>
      </c>
      <c r="E1724" s="4" t="inlineStr"/>
      <c r="F1724" s="3" t="inlineStr">
        <is>
          <t>unidad</t>
        </is>
      </c>
      <c r="G1724" s="3" t="inlineStr">
        <is>
          <t>Instalaciones</t>
        </is>
      </c>
      <c r="H1724" s="3" t="inlineStr">
        <is>
          <t>estandar</t>
        </is>
      </c>
      <c r="I1724" s="3" t="inlineStr">
        <is>
          <t>importado</t>
        </is>
      </c>
      <c r="J1724" s="5" t="n">
        <v>2</v>
      </c>
      <c r="K1724" s="6" t="n">
        <v>42.63</v>
      </c>
      <c r="L1724" s="6" t="n">
        <v>26.25</v>
      </c>
      <c r="M1724" s="6" t="n">
        <v>59</v>
      </c>
      <c r="N1724" s="3" t="inlineStr">
        <is>
          <t>Sí</t>
        </is>
      </c>
      <c r="O1724" s="6">
        <f>IF(K1724="","",IF(N1724="Sí",ROUND(K1724/1.18,2),K1724))</f>
        <v/>
      </c>
      <c r="P1724" s="3" t="inlineStr">
        <is>
          <t>2026-09-10</t>
        </is>
      </c>
      <c r="Q1724" s="4" t="inlineStr">
        <is>
          <t>Bellón · Ferretería Cima</t>
        </is>
      </c>
      <c r="AF1724" s="4" t="inlineStr">
        <is>
          <t>tipo: niple · material: niquelado · medida: 3/8" x 3"</t>
        </is>
      </c>
    </row>
    <row r="1725">
      <c r="A1725" s="3" t="inlineStr">
        <is>
          <t>MAT-32-371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Reducción bushing de bronce 1/2" x 1/4"</t>
        </is>
      </c>
      <c r="E1725" s="4" t="inlineStr"/>
      <c r="F1725" s="3" t="inlineStr">
        <is>
          <t>unidad</t>
        </is>
      </c>
      <c r="G1725" s="3" t="inlineStr">
        <is>
          <t>Instalaciones</t>
        </is>
      </c>
      <c r="H1725" s="3" t="inlineStr">
        <is>
          <t>estandar</t>
        </is>
      </c>
      <c r="I1725" s="3" t="inlineStr">
        <is>
          <t>importado</t>
        </is>
      </c>
      <c r="J1725" s="5" t="n">
        <v>1</v>
      </c>
      <c r="K1725" s="6" t="n">
        <v>90</v>
      </c>
      <c r="L1725" s="6" t="n">
        <v>90</v>
      </c>
      <c r="M1725" s="6" t="n">
        <v>90</v>
      </c>
      <c r="N1725" s="3" t="inlineStr">
        <is>
          <t>Sí</t>
        </is>
      </c>
      <c r="O1725" s="6">
        <f>IF(K1725="","",IF(N1725="Sí",ROUND(K1725/1.18,2),K1725))</f>
        <v/>
      </c>
      <c r="P1725" s="3" t="inlineStr">
        <is>
          <t>2026-09-10</t>
        </is>
      </c>
      <c r="Q1725" s="4" t="inlineStr">
        <is>
          <t>Bellón</t>
        </is>
      </c>
      <c r="AF1725" s="4" t="inlineStr">
        <is>
          <t>tipo: reduccion-bushing · material: bronce · medida: 1/2" x 1/4"</t>
        </is>
      </c>
    </row>
    <row r="1726">
      <c r="A1726" s="3" t="inlineStr">
        <is>
          <t>MAT-32-372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Reducción bushing de bronce 1/2" x 1/8"</t>
        </is>
      </c>
      <c r="E1726" s="4" t="inlineStr"/>
      <c r="F1726" s="3" t="inlineStr">
        <is>
          <t>unidad</t>
        </is>
      </c>
      <c r="G1726" s="3" t="inlineStr">
        <is>
          <t>Instalaciones</t>
        </is>
      </c>
      <c r="H1726" s="3" t="inlineStr">
        <is>
          <t>estandar</t>
        </is>
      </c>
      <c r="I1726" s="3" t="inlineStr">
        <is>
          <t>importado</t>
        </is>
      </c>
      <c r="J1726" s="5" t="n">
        <v>1</v>
      </c>
      <c r="K1726" s="6" t="n">
        <v>102</v>
      </c>
      <c r="L1726" s="6" t="n">
        <v>102</v>
      </c>
      <c r="M1726" s="6" t="n">
        <v>102</v>
      </c>
      <c r="N1726" s="3" t="inlineStr">
        <is>
          <t>Sí</t>
        </is>
      </c>
      <c r="O1726" s="6">
        <f>IF(K1726="","",IF(N1726="Sí",ROUND(K1726/1.18,2),K1726))</f>
        <v/>
      </c>
      <c r="P1726" s="3" t="inlineStr">
        <is>
          <t>2026-09-10</t>
        </is>
      </c>
      <c r="Q1726" s="4" t="inlineStr">
        <is>
          <t>Bellón</t>
        </is>
      </c>
      <c r="AF1726" s="4" t="inlineStr">
        <is>
          <t>tipo: reduccion-bushing · material: bronce · medida: 1/2" x 1/8"</t>
        </is>
      </c>
    </row>
    <row r="1727">
      <c r="A1727" s="3" t="inlineStr">
        <is>
          <t>MAT-32-373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Reducción bushing de bronce 1/2" x 3/8"</t>
        </is>
      </c>
      <c r="E1727" s="4" t="inlineStr"/>
      <c r="F1727" s="3" t="inlineStr">
        <is>
          <t>unidad</t>
        </is>
      </c>
      <c r="G1727" s="3" t="inlineStr">
        <is>
          <t>Instalaciones</t>
        </is>
      </c>
      <c r="H1727" s="3" t="inlineStr">
        <is>
          <t>estandar</t>
        </is>
      </c>
      <c r="I1727" s="3" t="inlineStr">
        <is>
          <t>importado</t>
        </is>
      </c>
      <c r="J1727" s="5" t="n">
        <v>1</v>
      </c>
      <c r="K1727" s="6" t="n">
        <v>81</v>
      </c>
      <c r="L1727" s="6" t="n">
        <v>81</v>
      </c>
      <c r="M1727" s="6" t="n">
        <v>81</v>
      </c>
      <c r="N1727" s="3" t="inlineStr">
        <is>
          <t>Sí</t>
        </is>
      </c>
      <c r="O1727" s="6">
        <f>IF(K1727="","",IF(N1727="Sí",ROUND(K1727/1.18,2),K1727))</f>
        <v/>
      </c>
      <c r="P1727" s="3" t="inlineStr">
        <is>
          <t>2026-09-10</t>
        </is>
      </c>
      <c r="Q1727" s="4" t="inlineStr">
        <is>
          <t>Bellón</t>
        </is>
      </c>
      <c r="AF1727" s="4" t="inlineStr">
        <is>
          <t>tipo: reduccion-bushing · material: bronce · medida: 1/2" x 3/8"</t>
        </is>
      </c>
    </row>
    <row r="1728">
      <c r="A1728" s="3" t="inlineStr">
        <is>
          <t>MAT-32-374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Reducción bushing de bronce 1/4" x 1/8"</t>
        </is>
      </c>
      <c r="E1728" s="4" t="inlineStr"/>
      <c r="F1728" s="3" t="inlineStr">
        <is>
          <t>unidad</t>
        </is>
      </c>
      <c r="G1728" s="3" t="inlineStr">
        <is>
          <t>Instalaciones</t>
        </is>
      </c>
      <c r="H1728" s="3" t="inlineStr">
        <is>
          <t>estandar</t>
        </is>
      </c>
      <c r="I1728" s="3" t="inlineStr">
        <is>
          <t>importado</t>
        </is>
      </c>
      <c r="J1728" s="5" t="n">
        <v>1</v>
      </c>
      <c r="K1728" s="6" t="n">
        <v>27.47</v>
      </c>
      <c r="L1728" s="6" t="n">
        <v>27.47</v>
      </c>
      <c r="M1728" s="6" t="n">
        <v>27.47</v>
      </c>
      <c r="N1728" s="3" t="inlineStr">
        <is>
          <t>Sí</t>
        </is>
      </c>
      <c r="O1728" s="6">
        <f>IF(K1728="","",IF(N1728="Sí",ROUND(K1728/1.18,2),K1728))</f>
        <v/>
      </c>
      <c r="P1728" s="3" t="inlineStr">
        <is>
          <t>2026-09-10</t>
        </is>
      </c>
      <c r="Q1728" s="4" t="inlineStr">
        <is>
          <t>Bellón</t>
        </is>
      </c>
      <c r="AF1728" s="4" t="inlineStr">
        <is>
          <t>tipo: reduccion-bushing · material: bronce · medida: 1/4" x 1/8"</t>
        </is>
      </c>
    </row>
    <row r="1729">
      <c r="A1729" s="3" t="inlineStr">
        <is>
          <t>MAT-32-375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Reducción bushing de bronce 1/4" x 3/8"</t>
        </is>
      </c>
      <c r="E1729" s="4" t="inlineStr"/>
      <c r="F1729" s="3" t="inlineStr">
        <is>
          <t>unidad</t>
        </is>
      </c>
      <c r="G1729" s="3" t="inlineStr">
        <is>
          <t>Instalaciones</t>
        </is>
      </c>
      <c r="H1729" s="3" t="inlineStr">
        <is>
          <t>estandar</t>
        </is>
      </c>
      <c r="I1729" s="3" t="inlineStr">
        <is>
          <t>importado</t>
        </is>
      </c>
      <c r="J1729" s="5" t="n">
        <v>1</v>
      </c>
      <c r="K1729" s="6" t="n">
        <v>132</v>
      </c>
      <c r="L1729" s="6" t="n">
        <v>132</v>
      </c>
      <c r="M1729" s="6" t="n">
        <v>132</v>
      </c>
      <c r="N1729" s="3" t="inlineStr">
        <is>
          <t>Sí</t>
        </is>
      </c>
      <c r="O1729" s="6">
        <f>IF(K1729="","",IF(N1729="Sí",ROUND(K1729/1.18,2),K1729))</f>
        <v/>
      </c>
      <c r="P1729" s="3" t="inlineStr">
        <is>
          <t>2026-09-09</t>
        </is>
      </c>
      <c r="Q1729" s="4" t="inlineStr">
        <is>
          <t>Ferretería Cima</t>
        </is>
      </c>
      <c r="AF1729" s="4" t="inlineStr">
        <is>
          <t>tipo: reduccion-bushing · material: bronce · medida: 1/4" x 3/8"</t>
        </is>
      </c>
    </row>
    <row r="1730">
      <c r="A1730" s="3" t="inlineStr">
        <is>
          <t>MAT-32-376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Reducción bushing de bronce 1/8" x 1/4"</t>
        </is>
      </c>
      <c r="E1730" s="4" t="inlineStr"/>
      <c r="F1730" s="3" t="inlineStr">
        <is>
          <t>unidad</t>
        </is>
      </c>
      <c r="G1730" s="3" t="inlineStr">
        <is>
          <t>Instalaciones</t>
        </is>
      </c>
      <c r="H1730" s="3" t="inlineStr">
        <is>
          <t>estandar</t>
        </is>
      </c>
      <c r="I1730" s="3" t="inlineStr">
        <is>
          <t>importado</t>
        </is>
      </c>
      <c r="J1730" s="5" t="n">
        <v>1</v>
      </c>
      <c r="K1730" s="6" t="n">
        <v>101</v>
      </c>
      <c r="L1730" s="6" t="n">
        <v>101</v>
      </c>
      <c r="M1730" s="6" t="n">
        <v>101</v>
      </c>
      <c r="N1730" s="3" t="inlineStr">
        <is>
          <t>Sí</t>
        </is>
      </c>
      <c r="O1730" s="6">
        <f>IF(K1730="","",IF(N1730="Sí",ROUND(K1730/1.18,2),K1730))</f>
        <v/>
      </c>
      <c r="P1730" s="3" t="inlineStr">
        <is>
          <t>2026-09-09</t>
        </is>
      </c>
      <c r="Q1730" s="4" t="inlineStr">
        <is>
          <t>Ferretería Cima</t>
        </is>
      </c>
      <c r="AF1730" s="4" t="inlineStr">
        <is>
          <t>tipo: reduccion-bushing · material: bronce · medida: 1/8" x 1/4"</t>
        </is>
      </c>
    </row>
    <row r="1731">
      <c r="A1731" s="3" t="inlineStr">
        <is>
          <t>MAT-32-377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Reducción bushing de bronce 1/8" x 3/8"</t>
        </is>
      </c>
      <c r="E1731" s="4" t="inlineStr"/>
      <c r="F1731" s="3" t="inlineStr">
        <is>
          <t>unidad</t>
        </is>
      </c>
      <c r="G1731" s="3" t="inlineStr">
        <is>
          <t>Instalaciones</t>
        </is>
      </c>
      <c r="H1731" s="3" t="inlineStr">
        <is>
          <t>estandar</t>
        </is>
      </c>
      <c r="I1731" s="3" t="inlineStr">
        <is>
          <t>importado</t>
        </is>
      </c>
      <c r="J1731" s="5" t="n">
        <v>1</v>
      </c>
      <c r="K1731" s="6" t="n">
        <v>77</v>
      </c>
      <c r="L1731" s="6" t="n">
        <v>77</v>
      </c>
      <c r="M1731" s="6" t="n">
        <v>77</v>
      </c>
      <c r="N1731" s="3" t="inlineStr">
        <is>
          <t>Sí</t>
        </is>
      </c>
      <c r="O1731" s="6">
        <f>IF(K1731="","",IF(N1731="Sí",ROUND(K1731/1.18,2),K1731))</f>
        <v/>
      </c>
      <c r="P1731" s="3" t="inlineStr">
        <is>
          <t>2026-09-09</t>
        </is>
      </c>
      <c r="Q1731" s="4" t="inlineStr">
        <is>
          <t>Ferretería Cima</t>
        </is>
      </c>
      <c r="AF1731" s="4" t="inlineStr">
        <is>
          <t>tipo: reduccion-bushing · material: bronce · medida: 1/8" x 3/8"</t>
        </is>
      </c>
    </row>
    <row r="1732">
      <c r="A1732" s="3" t="inlineStr">
        <is>
          <t>MAT-32-378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Reducción bushing de bronce 1" x 3/4"</t>
        </is>
      </c>
      <c r="E1732" s="4" t="inlineStr"/>
      <c r="F1732" s="3" t="inlineStr">
        <is>
          <t>unidad</t>
        </is>
      </c>
      <c r="G1732" s="3" t="inlineStr">
        <is>
          <t>Instalaciones</t>
        </is>
      </c>
      <c r="H1732" s="3" t="inlineStr">
        <is>
          <t>estandar</t>
        </is>
      </c>
      <c r="I1732" s="3" t="inlineStr">
        <is>
          <t>importado</t>
        </is>
      </c>
      <c r="J1732" s="5" t="n">
        <v>1</v>
      </c>
      <c r="K1732" s="6" t="n">
        <v>202</v>
      </c>
      <c r="L1732" s="6" t="n">
        <v>202</v>
      </c>
      <c r="M1732" s="6" t="n">
        <v>202</v>
      </c>
      <c r="N1732" s="3" t="inlineStr">
        <is>
          <t>Sí</t>
        </is>
      </c>
      <c r="O1732" s="6">
        <f>IF(K1732="","",IF(N1732="Sí",ROUND(K1732/1.18,2),K1732))</f>
        <v/>
      </c>
      <c r="P1732" s="3" t="inlineStr">
        <is>
          <t>2026-09-10</t>
        </is>
      </c>
      <c r="Q1732" s="4" t="inlineStr">
        <is>
          <t>Bellón</t>
        </is>
      </c>
      <c r="AF1732" s="4" t="inlineStr">
        <is>
          <t>tipo: reduccion-bushing · material: bronce · medida: 1" x 3/4"</t>
        </is>
      </c>
    </row>
    <row r="1733">
      <c r="A1733" s="3" t="inlineStr">
        <is>
          <t>MAT-32-379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Reducción bushing de bronce 3/4" x 1/2"</t>
        </is>
      </c>
      <c r="E1733" s="4" t="inlineStr"/>
      <c r="F1733" s="3" t="inlineStr">
        <is>
          <t>unidad</t>
        </is>
      </c>
      <c r="G1733" s="3" t="inlineStr">
        <is>
          <t>Instalaciones</t>
        </is>
      </c>
      <c r="H1733" s="3" t="inlineStr">
        <is>
          <t>estandar</t>
        </is>
      </c>
      <c r="I1733" s="3" t="inlineStr">
        <is>
          <t>importado</t>
        </is>
      </c>
      <c r="J1733" s="5" t="n">
        <v>1</v>
      </c>
      <c r="K1733" s="6" t="n">
        <v>97.88</v>
      </c>
      <c r="L1733" s="6" t="n">
        <v>97.88</v>
      </c>
      <c r="M1733" s="6" t="n">
        <v>97.88</v>
      </c>
      <c r="N1733" s="3" t="inlineStr">
        <is>
          <t>Sí</t>
        </is>
      </c>
      <c r="O1733" s="6">
        <f>IF(K1733="","",IF(N1733="Sí",ROUND(K1733/1.18,2),K1733))</f>
        <v/>
      </c>
      <c r="P1733" s="3" t="inlineStr">
        <is>
          <t>2026-09-10</t>
        </is>
      </c>
      <c r="Q1733" s="4" t="inlineStr">
        <is>
          <t>Bellón</t>
        </is>
      </c>
      <c r="AF1733" s="4" t="inlineStr">
        <is>
          <t>tipo: reduccion-bushing · material: bronce · medida: 3/4" x 1/2"</t>
        </is>
      </c>
    </row>
    <row r="1734">
      <c r="A1734" s="3" t="inlineStr">
        <is>
          <t>MAT-32-380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Reducción bushing de bronce 3/4" x 3/8"</t>
        </is>
      </c>
      <c r="E1734" s="4" t="inlineStr"/>
      <c r="F1734" s="3" t="inlineStr">
        <is>
          <t>unidad</t>
        </is>
      </c>
      <c r="G1734" s="3" t="inlineStr">
        <is>
          <t>Instalaciones</t>
        </is>
      </c>
      <c r="H1734" s="3" t="inlineStr">
        <is>
          <t>estandar</t>
        </is>
      </c>
      <c r="I1734" s="3" t="inlineStr">
        <is>
          <t>importado</t>
        </is>
      </c>
      <c r="J1734" s="5" t="n">
        <v>1</v>
      </c>
      <c r="K1734" s="6" t="n">
        <v>137</v>
      </c>
      <c r="L1734" s="6" t="n">
        <v>137</v>
      </c>
      <c r="M1734" s="6" t="n">
        <v>137</v>
      </c>
      <c r="N1734" s="3" t="inlineStr">
        <is>
          <t>Sí</t>
        </is>
      </c>
      <c r="O1734" s="6">
        <f>IF(K1734="","",IF(N1734="Sí",ROUND(K1734/1.18,2),K1734))</f>
        <v/>
      </c>
      <c r="P1734" s="3" t="inlineStr">
        <is>
          <t>2026-09-10</t>
        </is>
      </c>
      <c r="Q1734" s="4" t="inlineStr">
        <is>
          <t>Bellón</t>
        </is>
      </c>
      <c r="AF1734" s="4" t="inlineStr">
        <is>
          <t>tipo: reduccion-bushing · material: bronce · medida: 3/4" x 3/8"</t>
        </is>
      </c>
    </row>
    <row r="1735">
      <c r="A1735" s="3" t="inlineStr">
        <is>
          <t>MAT-32-381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Reducción bushing de bronce 3/8"</t>
        </is>
      </c>
      <c r="E1735" s="4" t="inlineStr"/>
      <c r="F1735" s="3" t="inlineStr">
        <is>
          <t>unidad</t>
        </is>
      </c>
      <c r="G1735" s="3" t="inlineStr">
        <is>
          <t>Instalaciones</t>
        </is>
      </c>
      <c r="H1735" s="3" t="inlineStr">
        <is>
          <t>estandar</t>
        </is>
      </c>
      <c r="I1735" s="3" t="inlineStr">
        <is>
          <t>importado</t>
        </is>
      </c>
      <c r="J1735" s="5" t="n">
        <v>1</v>
      </c>
      <c r="K1735" s="6" t="n">
        <v>78.73999999999999</v>
      </c>
      <c r="L1735" s="6" t="n">
        <v>78.73999999999999</v>
      </c>
      <c r="M1735" s="6" t="n">
        <v>78.73999999999999</v>
      </c>
      <c r="N1735" s="3" t="inlineStr">
        <is>
          <t>Sí</t>
        </is>
      </c>
      <c r="O1735" s="6">
        <f>IF(K1735="","",IF(N1735="Sí",ROUND(K1735/1.18,2),K1735))</f>
        <v/>
      </c>
      <c r="P1735" s="3" t="inlineStr">
        <is>
          <t>2026-09-10</t>
        </is>
      </c>
      <c r="Q1735" s="4" t="inlineStr">
        <is>
          <t>Bellón</t>
        </is>
      </c>
      <c r="AF1735" s="4" t="inlineStr">
        <is>
          <t>tipo: reduccion-bushing · material: bronce · medida: 3/8"</t>
        </is>
      </c>
    </row>
    <row r="1736">
      <c r="A1736" s="3" t="inlineStr">
        <is>
          <t>MAT-32-382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Reducción bushing de bronce 3/8" x 1/8"</t>
        </is>
      </c>
      <c r="E1736" s="4" t="inlineStr"/>
      <c r="F1736" s="3" t="inlineStr">
        <is>
          <t>unidad</t>
        </is>
      </c>
      <c r="G1736" s="3" t="inlineStr">
        <is>
          <t>Instalaciones</t>
        </is>
      </c>
      <c r="H1736" s="3" t="inlineStr">
        <is>
          <t>estandar</t>
        </is>
      </c>
      <c r="I1736" s="3" t="inlineStr">
        <is>
          <t>importado</t>
        </is>
      </c>
      <c r="J1736" s="5" t="n">
        <v>1</v>
      </c>
      <c r="K1736" s="6" t="n">
        <v>57</v>
      </c>
      <c r="L1736" s="6" t="n">
        <v>57</v>
      </c>
      <c r="M1736" s="6" t="n">
        <v>57</v>
      </c>
      <c r="N1736" s="3" t="inlineStr">
        <is>
          <t>Sí</t>
        </is>
      </c>
      <c r="O1736" s="6">
        <f>IF(K1736="","",IF(N1736="Sí",ROUND(K1736/1.18,2),K1736))</f>
        <v/>
      </c>
      <c r="P1736" s="3" t="inlineStr">
        <is>
          <t>2026-09-10</t>
        </is>
      </c>
      <c r="Q1736" s="4" t="inlineStr">
        <is>
          <t>Bellón</t>
        </is>
      </c>
      <c r="AF1736" s="4" t="inlineStr">
        <is>
          <t>tipo: reduccion-bushing · material: bronce · medida: 3/8" x 1/8"</t>
        </is>
      </c>
    </row>
    <row r="1737">
      <c r="A1737" s="3" t="inlineStr">
        <is>
          <t>MAT-32-383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Reducción bushing de CPVC 1" x 1/2"</t>
        </is>
      </c>
      <c r="E1737" s="4" t="inlineStr"/>
      <c r="F1737" s="3" t="inlineStr">
        <is>
          <t>unidad</t>
        </is>
      </c>
      <c r="G1737" s="3" t="inlineStr">
        <is>
          <t>Instalaciones</t>
        </is>
      </c>
      <c r="H1737" s="3" t="inlineStr">
        <is>
          <t>estandar</t>
        </is>
      </c>
      <c r="I1737" s="3" t="inlineStr">
        <is>
          <t>importado</t>
        </is>
      </c>
      <c r="J1737" s="5" t="n">
        <v>1</v>
      </c>
      <c r="K1737" s="6" t="n">
        <v>45.68</v>
      </c>
      <c r="L1737" s="6" t="n">
        <v>45.68</v>
      </c>
      <c r="M1737" s="6" t="n">
        <v>45.68</v>
      </c>
      <c r="N1737" s="3" t="inlineStr">
        <is>
          <t>Sí</t>
        </is>
      </c>
      <c r="O1737" s="6">
        <f>IF(K1737="","",IF(N1737="Sí",ROUND(K1737/1.18,2),K1737))</f>
        <v/>
      </c>
      <c r="P1737" s="3" t="inlineStr">
        <is>
          <t>2026-09-10</t>
        </is>
      </c>
      <c r="Q1737" s="4" t="inlineStr">
        <is>
          <t>Bellón</t>
        </is>
      </c>
      <c r="AF1737" s="4" t="inlineStr">
        <is>
          <t>tipo: reduccion-bushing · material: CPVC · medida: 1" x 1/2"</t>
        </is>
      </c>
    </row>
    <row r="1738">
      <c r="A1738" s="3" t="inlineStr">
        <is>
          <t>MAT-32-384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Reducción bushing de CPVC 1" x 3/4"</t>
        </is>
      </c>
      <c r="E1738" s="4" t="inlineStr"/>
      <c r="F1738" s="3" t="inlineStr">
        <is>
          <t>unidad</t>
        </is>
      </c>
      <c r="G1738" s="3" t="inlineStr">
        <is>
          <t>Instalaciones</t>
        </is>
      </c>
      <c r="H1738" s="3" t="inlineStr">
        <is>
          <t>estandar</t>
        </is>
      </c>
      <c r="I1738" s="3" t="inlineStr">
        <is>
          <t>importado</t>
        </is>
      </c>
      <c r="J1738" s="5" t="n">
        <v>1</v>
      </c>
      <c r="K1738" s="6" t="n">
        <v>13.97</v>
      </c>
      <c r="L1738" s="6" t="n">
        <v>13.97</v>
      </c>
      <c r="M1738" s="6" t="n">
        <v>13.97</v>
      </c>
      <c r="N1738" s="3" t="inlineStr">
        <is>
          <t>Sí</t>
        </is>
      </c>
      <c r="O1738" s="6">
        <f>IF(K1738="","",IF(N1738="Sí",ROUND(K1738/1.18,2),K1738))</f>
        <v/>
      </c>
      <c r="P1738" s="3" t="inlineStr">
        <is>
          <t>2026-09-10</t>
        </is>
      </c>
      <c r="Q1738" s="4" t="inlineStr">
        <is>
          <t>Bellón</t>
        </is>
      </c>
      <c r="AF1738" s="4" t="inlineStr">
        <is>
          <t>tipo: reduccion-bushing · material: CPVC · medida: 1" x 3/4"</t>
        </is>
      </c>
    </row>
    <row r="1739">
      <c r="A1739" s="3" t="inlineStr">
        <is>
          <t>MAT-32-385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Reducción bushing de CPVC 2" x 1"</t>
        </is>
      </c>
      <c r="E1739" s="4" t="inlineStr"/>
      <c r="F1739" s="3" t="inlineStr">
        <is>
          <t>unidad</t>
        </is>
      </c>
      <c r="G1739" s="3" t="inlineStr">
        <is>
          <t>Instalaciones</t>
        </is>
      </c>
      <c r="H1739" s="3" t="inlineStr">
        <is>
          <t>estandar</t>
        </is>
      </c>
      <c r="I1739" s="3" t="inlineStr">
        <is>
          <t>importado</t>
        </is>
      </c>
      <c r="J1739" s="5" t="n">
        <v>1</v>
      </c>
      <c r="K1739" s="6" t="n">
        <v>322</v>
      </c>
      <c r="L1739" s="6" t="n">
        <v>322</v>
      </c>
      <c r="M1739" s="6" t="n">
        <v>322</v>
      </c>
      <c r="N1739" s="3" t="inlineStr">
        <is>
          <t>Sí</t>
        </is>
      </c>
      <c r="O1739" s="6">
        <f>IF(K1739="","",IF(N1739="Sí",ROUND(K1739/1.18,2),K1739))</f>
        <v/>
      </c>
      <c r="P1739" s="3" t="inlineStr">
        <is>
          <t>2026-09-10</t>
        </is>
      </c>
      <c r="Q1739" s="4" t="inlineStr">
        <is>
          <t>Bellón</t>
        </is>
      </c>
      <c r="AF1739" s="4" t="inlineStr">
        <is>
          <t>tipo: reduccion-bushing · material: CPVC · medida: 2" x 1"</t>
        </is>
      </c>
    </row>
    <row r="1740">
      <c r="A1740" s="3" t="inlineStr">
        <is>
          <t>MAT-32-386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Reducción bushing de CPVC 3/4" x 1/2"</t>
        </is>
      </c>
      <c r="E1740" s="4" t="inlineStr"/>
      <c r="F1740" s="3" t="inlineStr">
        <is>
          <t>unidad</t>
        </is>
      </c>
      <c r="G1740" s="3" t="inlineStr">
        <is>
          <t>Instalaciones</t>
        </is>
      </c>
      <c r="H1740" s="3" t="inlineStr">
        <is>
          <t>estandar</t>
        </is>
      </c>
      <c r="I1740" s="3" t="inlineStr">
        <is>
          <t>importado</t>
        </is>
      </c>
      <c r="J1740" s="5" t="n">
        <v>1</v>
      </c>
      <c r="K1740" s="6" t="n">
        <v>10.62</v>
      </c>
      <c r="L1740" s="6" t="n">
        <v>10.62</v>
      </c>
      <c r="M1740" s="6" t="n">
        <v>10.62</v>
      </c>
      <c r="N1740" s="3" t="inlineStr">
        <is>
          <t>Sí</t>
        </is>
      </c>
      <c r="O1740" s="6">
        <f>IF(K1740="","",IF(N1740="Sí",ROUND(K1740/1.18,2),K1740))</f>
        <v/>
      </c>
      <c r="P1740" s="3" t="inlineStr">
        <is>
          <t>2026-09-10</t>
        </is>
      </c>
      <c r="Q1740" s="4" t="inlineStr">
        <is>
          <t>Bellón</t>
        </is>
      </c>
      <c r="AF1740" s="4" t="inlineStr">
        <is>
          <t>tipo: reduccion-bushing · material: CPVC · medida: 3/4" x 1/2"</t>
        </is>
      </c>
    </row>
    <row r="1741">
      <c r="A1741" s="3" t="inlineStr">
        <is>
          <t>MAT-32-387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Reducción bushing de HG 1 1/2" x 1 1/4"</t>
        </is>
      </c>
      <c r="E1741" s="4" t="inlineStr"/>
      <c r="F1741" s="3" t="inlineStr">
        <is>
          <t>unidad</t>
        </is>
      </c>
      <c r="G1741" s="3" t="inlineStr">
        <is>
          <t>Instalaciones</t>
        </is>
      </c>
      <c r="H1741" s="3" t="inlineStr">
        <is>
          <t>estandar</t>
        </is>
      </c>
      <c r="I1741" s="3" t="inlineStr">
        <is>
          <t>importado</t>
        </is>
      </c>
      <c r="J1741" s="5" t="n">
        <v>2</v>
      </c>
      <c r="K1741" s="6" t="n">
        <v>186</v>
      </c>
      <c r="L1741" s="6" t="n">
        <v>125</v>
      </c>
      <c r="M1741" s="6" t="n">
        <v>247</v>
      </c>
      <c r="N1741" s="3" t="inlineStr">
        <is>
          <t>Sí</t>
        </is>
      </c>
      <c r="O1741" s="6">
        <f>IF(K1741="","",IF(N1741="Sí",ROUND(K1741/1.18,2),K1741))</f>
        <v/>
      </c>
      <c r="P1741" s="3" t="inlineStr">
        <is>
          <t>2026-09-10</t>
        </is>
      </c>
      <c r="Q1741" s="4" t="inlineStr">
        <is>
          <t>Bellón · Ferretería Cima</t>
        </is>
      </c>
      <c r="AF1741" s="4" t="inlineStr">
        <is>
          <t>tipo: reduccion-bushing · material: HG · medida: 1 1/2" x 1 1/4"</t>
        </is>
      </c>
    </row>
    <row r="1742">
      <c r="A1742" s="3" t="inlineStr">
        <is>
          <t>MAT-32-388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Reducción bushing de HG 1 1/2" x 1/2"</t>
        </is>
      </c>
      <c r="E1742" s="4" t="inlineStr"/>
      <c r="F1742" s="3" t="inlineStr">
        <is>
          <t>unidad</t>
        </is>
      </c>
      <c r="G1742" s="3" t="inlineStr">
        <is>
          <t>Instalaciones</t>
        </is>
      </c>
      <c r="H1742" s="3" t="inlineStr">
        <is>
          <t>estandar</t>
        </is>
      </c>
      <c r="I1742" s="3" t="inlineStr">
        <is>
          <t>importado</t>
        </is>
      </c>
      <c r="J1742" s="5" t="n">
        <v>2</v>
      </c>
      <c r="K1742" s="6" t="n">
        <v>89.5</v>
      </c>
      <c r="L1742" s="6" t="n">
        <v>76</v>
      </c>
      <c r="M1742" s="6" t="n">
        <v>103</v>
      </c>
      <c r="N1742" s="3" t="inlineStr">
        <is>
          <t>Sí</t>
        </is>
      </c>
      <c r="O1742" s="6">
        <f>IF(K1742="","",IF(N1742="Sí",ROUND(K1742/1.18,2),K1742))</f>
        <v/>
      </c>
      <c r="P1742" s="3" t="inlineStr">
        <is>
          <t>2026-09-10</t>
        </is>
      </c>
      <c r="Q1742" s="4" t="inlineStr">
        <is>
          <t>Bellón · Ferretería Cima</t>
        </is>
      </c>
      <c r="AF1742" s="4" t="inlineStr">
        <is>
          <t>tipo: reduccion-bushing · material: HG · medida: 1 1/2" x 1/2"</t>
        </is>
      </c>
    </row>
    <row r="1743">
      <c r="A1743" s="3" t="inlineStr">
        <is>
          <t>MAT-32-389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Reducción bushing de HG 1 1/2" x 1"</t>
        </is>
      </c>
      <c r="E1743" s="4" t="inlineStr"/>
      <c r="F1743" s="3" t="inlineStr">
        <is>
          <t>unidad</t>
        </is>
      </c>
      <c r="G1743" s="3" t="inlineStr">
        <is>
          <t>Instalaciones</t>
        </is>
      </c>
      <c r="H1743" s="3" t="inlineStr">
        <is>
          <t>estandar</t>
        </is>
      </c>
      <c r="I1743" s="3" t="inlineStr">
        <is>
          <t>importado</t>
        </is>
      </c>
      <c r="J1743" s="5" t="n">
        <v>2</v>
      </c>
      <c r="K1743" s="6" t="n">
        <v>140.5</v>
      </c>
      <c r="L1743" s="6" t="n">
        <v>67</v>
      </c>
      <c r="M1743" s="6" t="n">
        <v>214</v>
      </c>
      <c r="N1743" s="3" t="inlineStr">
        <is>
          <t>Sí</t>
        </is>
      </c>
      <c r="O1743" s="6">
        <f>IF(K1743="","",IF(N1743="Sí",ROUND(K1743/1.18,2),K1743))</f>
        <v/>
      </c>
      <c r="P1743" s="3" t="inlineStr">
        <is>
          <t>2026-09-10</t>
        </is>
      </c>
      <c r="Q1743" s="4" t="inlineStr">
        <is>
          <t>Bellón · Ferretería Cima</t>
        </is>
      </c>
      <c r="AF1743" s="4" t="inlineStr">
        <is>
          <t>tipo: reduccion-bushing · material: HG · medida: 1 1/2" x 1"</t>
        </is>
      </c>
    </row>
    <row r="1744">
      <c r="A1744" s="3" t="inlineStr">
        <is>
          <t>MAT-32-390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Reducción bushing de HG 1 1/2" x 3/4"</t>
        </is>
      </c>
      <c r="E1744" s="4" t="inlineStr"/>
      <c r="F1744" s="3" t="inlineStr">
        <is>
          <t>unidad</t>
        </is>
      </c>
      <c r="G1744" s="3" t="inlineStr">
        <is>
          <t>Instalaciones</t>
        </is>
      </c>
      <c r="H1744" s="3" t="inlineStr">
        <is>
          <t>estandar</t>
        </is>
      </c>
      <c r="I1744" s="3" t="inlineStr">
        <is>
          <t>importado</t>
        </is>
      </c>
      <c r="J1744" s="5" t="n">
        <v>2</v>
      </c>
      <c r="K1744" s="6" t="n">
        <v>98.5</v>
      </c>
      <c r="L1744" s="6" t="n">
        <v>87</v>
      </c>
      <c r="M1744" s="6" t="n">
        <v>110</v>
      </c>
      <c r="N1744" s="3" t="inlineStr">
        <is>
          <t>Sí</t>
        </is>
      </c>
      <c r="O1744" s="6">
        <f>IF(K1744="","",IF(N1744="Sí",ROUND(K1744/1.18,2),K1744))</f>
        <v/>
      </c>
      <c r="P1744" s="3" t="inlineStr">
        <is>
          <t>2026-09-10</t>
        </is>
      </c>
      <c r="Q1744" s="4" t="inlineStr">
        <is>
          <t>Bellón · Ferretería Cima</t>
        </is>
      </c>
      <c r="AF1744" s="4" t="inlineStr">
        <is>
          <t>tipo: reduccion-bushing · material: HG · medida: 1 1/2" x 3/4"</t>
        </is>
      </c>
    </row>
    <row r="1745">
      <c r="A1745" s="3" t="inlineStr">
        <is>
          <t>MAT-32-391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Reducción bushing de HG 1 1/4" x 1/2"</t>
        </is>
      </c>
      <c r="E1745" s="4" t="inlineStr"/>
      <c r="F1745" s="3" t="inlineStr">
        <is>
          <t>unidad</t>
        </is>
      </c>
      <c r="G1745" s="3" t="inlineStr">
        <is>
          <t>Instalaciones</t>
        </is>
      </c>
      <c r="H1745" s="3" t="inlineStr">
        <is>
          <t>estandar</t>
        </is>
      </c>
      <c r="I1745" s="3" t="inlineStr">
        <is>
          <t>importado</t>
        </is>
      </c>
      <c r="J1745" s="5" t="n">
        <v>2</v>
      </c>
      <c r="K1745" s="6" t="n">
        <v>74</v>
      </c>
      <c r="L1745" s="6" t="n">
        <v>61</v>
      </c>
      <c r="M1745" s="6" t="n">
        <v>87</v>
      </c>
      <c r="N1745" s="3" t="inlineStr">
        <is>
          <t>Sí</t>
        </is>
      </c>
      <c r="O1745" s="6">
        <f>IF(K1745="","",IF(N1745="Sí",ROUND(K1745/1.18,2),K1745))</f>
        <v/>
      </c>
      <c r="P1745" s="3" t="inlineStr">
        <is>
          <t>2026-09-10</t>
        </is>
      </c>
      <c r="Q1745" s="4" t="inlineStr">
        <is>
          <t>Bellón · Ferretería Cima</t>
        </is>
      </c>
      <c r="AF1745" s="4" t="inlineStr">
        <is>
          <t>tipo: reduccion-bushing · material: HG · medida: 1 1/4" x 1/2"</t>
        </is>
      </c>
    </row>
    <row r="1746">
      <c r="A1746" s="3" t="inlineStr">
        <is>
          <t>MAT-32-392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Reducción bushing de HG 1 1/4" x 1"</t>
        </is>
      </c>
      <c r="E1746" s="4" t="inlineStr"/>
      <c r="F1746" s="3" t="inlineStr">
        <is>
          <t>unidad</t>
        </is>
      </c>
      <c r="G1746" s="3" t="inlineStr">
        <is>
          <t>Instalaciones</t>
        </is>
      </c>
      <c r="H1746" s="3" t="inlineStr">
        <is>
          <t>estandar</t>
        </is>
      </c>
      <c r="I1746" s="3" t="inlineStr">
        <is>
          <t>importado</t>
        </is>
      </c>
      <c r="J1746" s="5" t="n">
        <v>2</v>
      </c>
      <c r="K1746" s="6" t="n">
        <v>124.5</v>
      </c>
      <c r="L1746" s="6" t="n">
        <v>51</v>
      </c>
      <c r="M1746" s="6" t="n">
        <v>198</v>
      </c>
      <c r="N1746" s="3" t="inlineStr">
        <is>
          <t>Sí</t>
        </is>
      </c>
      <c r="O1746" s="6">
        <f>IF(K1746="","",IF(N1746="Sí",ROUND(K1746/1.18,2),K1746))</f>
        <v/>
      </c>
      <c r="P1746" s="3" t="inlineStr">
        <is>
          <t>2026-09-10</t>
        </is>
      </c>
      <c r="Q1746" s="4" t="inlineStr">
        <is>
          <t>Bellón · Ferretería Cima</t>
        </is>
      </c>
      <c r="AF1746" s="4" t="inlineStr">
        <is>
          <t>tipo: reduccion-bushing · material: HG · medida: 1 1/4" x 1"</t>
        </is>
      </c>
    </row>
    <row r="1747">
      <c r="A1747" s="3" t="inlineStr">
        <is>
          <t>MAT-32-393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Reducción bushing de HG 1 1/4" x 3/4"</t>
        </is>
      </c>
      <c r="E1747" s="4" t="inlineStr"/>
      <c r="F1747" s="3" t="inlineStr">
        <is>
          <t>unidad</t>
        </is>
      </c>
      <c r="G1747" s="3" t="inlineStr">
        <is>
          <t>Instalaciones</t>
        </is>
      </c>
      <c r="H1747" s="3" t="inlineStr">
        <is>
          <t>estandar</t>
        </is>
      </c>
      <c r="I1747" s="3" t="inlineStr">
        <is>
          <t>importado</t>
        </is>
      </c>
      <c r="J1747" s="5" t="n">
        <v>1</v>
      </c>
      <c r="K1747" s="6" t="n">
        <v>50</v>
      </c>
      <c r="L1747" s="6" t="n">
        <v>50</v>
      </c>
      <c r="M1747" s="6" t="n">
        <v>50</v>
      </c>
      <c r="N1747" s="3" t="inlineStr">
        <is>
          <t>Sí</t>
        </is>
      </c>
      <c r="O1747" s="6">
        <f>IF(K1747="","",IF(N1747="Sí",ROUND(K1747/1.18,2),K1747))</f>
        <v/>
      </c>
      <c r="P1747" s="3" t="inlineStr">
        <is>
          <t>2026-09-10</t>
        </is>
      </c>
      <c r="Q1747" s="4" t="inlineStr">
        <is>
          <t>Bellón</t>
        </is>
      </c>
      <c r="AF1747" s="4" t="inlineStr">
        <is>
          <t>tipo: reduccion-bushing · material: HG · medida: 1 1/4" x 3/4"</t>
        </is>
      </c>
    </row>
    <row r="1748">
      <c r="A1748" s="3" t="inlineStr">
        <is>
          <t>MAT-32-394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Reducción bushing de HG 1/2" x 1/4"</t>
        </is>
      </c>
      <c r="E1748" s="4" t="inlineStr"/>
      <c r="F1748" s="3" t="inlineStr">
        <is>
          <t>unidad</t>
        </is>
      </c>
      <c r="G1748" s="3" t="inlineStr">
        <is>
          <t>Instalaciones</t>
        </is>
      </c>
      <c r="H1748" s="3" t="inlineStr">
        <is>
          <t>estandar</t>
        </is>
      </c>
      <c r="I1748" s="3" t="inlineStr">
        <is>
          <t>importado</t>
        </is>
      </c>
      <c r="J1748" s="5" t="n">
        <v>1</v>
      </c>
      <c r="K1748" s="6" t="n">
        <v>80</v>
      </c>
      <c r="L1748" s="6" t="n">
        <v>80</v>
      </c>
      <c r="M1748" s="6" t="n">
        <v>80</v>
      </c>
      <c r="N1748" s="3" t="inlineStr">
        <is>
          <t>Sí</t>
        </is>
      </c>
      <c r="O1748" s="6">
        <f>IF(K1748="","",IF(N1748="Sí",ROUND(K1748/1.18,2),K1748))</f>
        <v/>
      </c>
      <c r="P1748" s="3" t="inlineStr">
        <is>
          <t>2026-09-09</t>
        </is>
      </c>
      <c r="Q1748" s="4" t="inlineStr">
        <is>
          <t>Ferretería Cima</t>
        </is>
      </c>
      <c r="AF1748" s="4" t="inlineStr">
        <is>
          <t>tipo: reduccion-bushing · material: HG · medida: 1/2" x 1/4"</t>
        </is>
      </c>
    </row>
    <row r="1749">
      <c r="A1749" s="3" t="inlineStr">
        <is>
          <t>MAT-32-395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Reducción bushing de HG 1/2" x 3/8"</t>
        </is>
      </c>
      <c r="E1749" s="4" t="inlineStr"/>
      <c r="F1749" s="3" t="inlineStr">
        <is>
          <t>unidad</t>
        </is>
      </c>
      <c r="G1749" s="3" t="inlineStr">
        <is>
          <t>Instalaciones</t>
        </is>
      </c>
      <c r="H1749" s="3" t="inlineStr">
        <is>
          <t>estandar</t>
        </is>
      </c>
      <c r="I1749" s="3" t="inlineStr">
        <is>
          <t>importado</t>
        </is>
      </c>
      <c r="J1749" s="5" t="n">
        <v>2</v>
      </c>
      <c r="K1749" s="6" t="n">
        <v>45</v>
      </c>
      <c r="L1749" s="6" t="n">
        <v>25</v>
      </c>
      <c r="M1749" s="6" t="n">
        <v>65</v>
      </c>
      <c r="N1749" s="3" t="inlineStr">
        <is>
          <t>Sí</t>
        </is>
      </c>
      <c r="O1749" s="6">
        <f>IF(K1749="","",IF(N1749="Sí",ROUND(K1749/1.18,2),K1749))</f>
        <v/>
      </c>
      <c r="P1749" s="3" t="inlineStr">
        <is>
          <t>2026-09-10</t>
        </is>
      </c>
      <c r="Q1749" s="4" t="inlineStr">
        <is>
          <t>Bellón · Ferretería Cima</t>
        </is>
      </c>
      <c r="AF1749" s="4" t="inlineStr">
        <is>
          <t>tipo: reduccion-bushing · material: HG · medida: 1/2" x 3/8"</t>
        </is>
      </c>
    </row>
    <row r="1750">
      <c r="A1750" s="3" t="inlineStr">
        <is>
          <t>MAT-32-396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Reducción bushing de HG 1" x 1/2"</t>
        </is>
      </c>
      <c r="E1750" s="4" t="inlineStr"/>
      <c r="F1750" s="3" t="inlineStr">
        <is>
          <t>unidad</t>
        </is>
      </c>
      <c r="G1750" s="3" t="inlineStr">
        <is>
          <t>Instalaciones</t>
        </is>
      </c>
      <c r="H1750" s="3" t="inlineStr">
        <is>
          <t>estandar</t>
        </is>
      </c>
      <c r="I1750" s="3" t="inlineStr">
        <is>
          <t>importado</t>
        </is>
      </c>
      <c r="J1750" s="5" t="n">
        <v>2</v>
      </c>
      <c r="K1750" s="6" t="n">
        <v>66</v>
      </c>
      <c r="L1750" s="6" t="n">
        <v>40</v>
      </c>
      <c r="M1750" s="6" t="n">
        <v>92</v>
      </c>
      <c r="N1750" s="3" t="inlineStr">
        <is>
          <t>Sí</t>
        </is>
      </c>
      <c r="O1750" s="6">
        <f>IF(K1750="","",IF(N1750="Sí",ROUND(K1750/1.18,2),K1750))</f>
        <v/>
      </c>
      <c r="P1750" s="3" t="inlineStr">
        <is>
          <t>2026-09-10</t>
        </is>
      </c>
      <c r="Q1750" s="4" t="inlineStr">
        <is>
          <t>Bellón · Ferretería Cima</t>
        </is>
      </c>
      <c r="AF1750" s="4" t="inlineStr">
        <is>
          <t>tipo: reduccion-bushing · material: HG · medida: 1" x 1/2"</t>
        </is>
      </c>
    </row>
    <row r="1751">
      <c r="A1751" s="3" t="inlineStr">
        <is>
          <t>MAT-32-397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HG 1" x 1/4"</t>
        </is>
      </c>
      <c r="E1751" s="4" t="inlineStr"/>
      <c r="F1751" s="3" t="inlineStr">
        <is>
          <t>unidad</t>
        </is>
      </c>
      <c r="G1751" s="3" t="inlineStr">
        <is>
          <t>Instalaciones</t>
        </is>
      </c>
      <c r="H1751" s="3" t="inlineStr">
        <is>
          <t>estandar</t>
        </is>
      </c>
      <c r="I1751" s="3" t="inlineStr">
        <is>
          <t>importado</t>
        </is>
      </c>
      <c r="J1751" s="5" t="n">
        <v>1</v>
      </c>
      <c r="K1751" s="6" t="n">
        <v>58.94</v>
      </c>
      <c r="L1751" s="6" t="n">
        <v>58.94</v>
      </c>
      <c r="M1751" s="6" t="n">
        <v>58.94</v>
      </c>
      <c r="N1751" s="3" t="inlineStr">
        <is>
          <t>Sí</t>
        </is>
      </c>
      <c r="O1751" s="6">
        <f>IF(K1751="","",IF(N1751="Sí",ROUND(K1751/1.18,2),K1751))</f>
        <v/>
      </c>
      <c r="P1751" s="3" t="inlineStr">
        <is>
          <t>2026-09-10</t>
        </is>
      </c>
      <c r="Q1751" s="4" t="inlineStr">
        <is>
          <t>Bellón</t>
        </is>
      </c>
      <c r="AF1751" s="4" t="inlineStr">
        <is>
          <t>tipo: reduccion-bushing · material: HG · medida: 1" x 1/4"</t>
        </is>
      </c>
    </row>
    <row r="1752">
      <c r="A1752" s="3" t="inlineStr">
        <is>
          <t>MAT-32-398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HG 1" x 3/4"</t>
        </is>
      </c>
      <c r="E1752" s="4" t="inlineStr"/>
      <c r="F1752" s="3" t="inlineStr">
        <is>
          <t>unidad</t>
        </is>
      </c>
      <c r="G1752" s="3" t="inlineStr">
        <is>
          <t>Instalaciones</t>
        </is>
      </c>
      <c r="H1752" s="3" t="inlineStr">
        <is>
          <t>estandar</t>
        </is>
      </c>
      <c r="I1752" s="3" t="inlineStr">
        <is>
          <t>importado</t>
        </is>
      </c>
      <c r="J1752" s="5" t="n">
        <v>2</v>
      </c>
      <c r="K1752" s="6" t="n">
        <v>64</v>
      </c>
      <c r="L1752" s="6" t="n">
        <v>31</v>
      </c>
      <c r="M1752" s="6" t="n">
        <v>97</v>
      </c>
      <c r="N1752" s="3" t="inlineStr">
        <is>
          <t>Sí</t>
        </is>
      </c>
      <c r="O1752" s="6">
        <f>IF(K1752="","",IF(N1752="Sí",ROUND(K1752/1.18,2),K1752))</f>
        <v/>
      </c>
      <c r="P1752" s="3" t="inlineStr">
        <is>
          <t>2026-09-10</t>
        </is>
      </c>
      <c r="Q1752" s="4" t="inlineStr">
        <is>
          <t>Bellón · Ferretería Cima</t>
        </is>
      </c>
      <c r="AF1752" s="4" t="inlineStr">
        <is>
          <t>tipo: reduccion-bushing · material: HG · medida: 1" x 3/4"</t>
        </is>
      </c>
    </row>
    <row r="1753">
      <c r="A1753" s="3" t="inlineStr">
        <is>
          <t>MAT-32-399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HG 2 1/2" x 2"</t>
        </is>
      </c>
      <c r="E1753" s="4" t="inlineStr"/>
      <c r="F1753" s="3" t="inlineStr">
        <is>
          <t>unidad</t>
        </is>
      </c>
      <c r="G1753" s="3" t="inlineStr">
        <is>
          <t>Instalaciones</t>
        </is>
      </c>
      <c r="H1753" s="3" t="inlineStr">
        <is>
          <t>estandar</t>
        </is>
      </c>
      <c r="I1753" s="3" t="inlineStr">
        <is>
          <t>importado</t>
        </is>
      </c>
      <c r="J1753" s="5" t="n">
        <v>1</v>
      </c>
      <c r="K1753" s="6" t="n">
        <v>52.64</v>
      </c>
      <c r="L1753" s="6" t="n">
        <v>52.64</v>
      </c>
      <c r="M1753" s="6" t="n">
        <v>52.64</v>
      </c>
      <c r="N1753" s="3" t="inlineStr">
        <is>
          <t>Sí</t>
        </is>
      </c>
      <c r="O1753" s="6">
        <f>IF(K1753="","",IF(N1753="Sí",ROUND(K1753/1.18,2),K1753))</f>
        <v/>
      </c>
      <c r="P1753" s="3" t="inlineStr">
        <is>
          <t>2026-09-10</t>
        </is>
      </c>
      <c r="Q1753" s="4" t="inlineStr">
        <is>
          <t>Bellón</t>
        </is>
      </c>
      <c r="AF1753" s="4" t="inlineStr">
        <is>
          <t>tipo: reduccion-bushing · material: HG · medida: 2 1/2" x 2"</t>
        </is>
      </c>
    </row>
    <row r="1754">
      <c r="A1754" s="3" t="inlineStr">
        <is>
          <t>MAT-32-400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HG 2" x 1 1/2"</t>
        </is>
      </c>
      <c r="E1754" s="4" t="inlineStr"/>
      <c r="F1754" s="3" t="inlineStr">
        <is>
          <t>unidad</t>
        </is>
      </c>
      <c r="G1754" s="3" t="inlineStr">
        <is>
          <t>Instalaciones</t>
        </is>
      </c>
      <c r="H1754" s="3" t="inlineStr">
        <is>
          <t>estandar</t>
        </is>
      </c>
      <c r="I1754" s="3" t="inlineStr">
        <is>
          <t>importado</t>
        </is>
      </c>
      <c r="J1754" s="5" t="n">
        <v>2</v>
      </c>
      <c r="K1754" s="6" t="n">
        <v>141.5</v>
      </c>
      <c r="L1754" s="6" t="n">
        <v>94</v>
      </c>
      <c r="M1754" s="6" t="n">
        <v>189</v>
      </c>
      <c r="N1754" s="3" t="inlineStr">
        <is>
          <t>Sí</t>
        </is>
      </c>
      <c r="O1754" s="6">
        <f>IF(K1754="","",IF(N1754="Sí",ROUND(K1754/1.18,2),K1754))</f>
        <v/>
      </c>
      <c r="P1754" s="3" t="inlineStr">
        <is>
          <t>2026-09-10</t>
        </is>
      </c>
      <c r="Q1754" s="4" t="inlineStr">
        <is>
          <t>Bellón · Ferretería Cima</t>
        </is>
      </c>
      <c r="AF1754" s="4" t="inlineStr">
        <is>
          <t>tipo: reduccion-bushing · material: HG · medida: 2" x 1 1/2"</t>
        </is>
      </c>
    </row>
    <row r="1755">
      <c r="A1755" s="3" t="inlineStr">
        <is>
          <t>MAT-32-401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HG 2" x 1 1/4"</t>
        </is>
      </c>
      <c r="E1755" s="4" t="inlineStr"/>
      <c r="F1755" s="3" t="inlineStr">
        <is>
          <t>unidad</t>
        </is>
      </c>
      <c r="G1755" s="3" t="inlineStr">
        <is>
          <t>Instalaciones</t>
        </is>
      </c>
      <c r="H1755" s="3" t="inlineStr">
        <is>
          <t>estandar</t>
        </is>
      </c>
      <c r="I1755" s="3" t="inlineStr">
        <is>
          <t>importado</t>
        </is>
      </c>
      <c r="J1755" s="5" t="n">
        <v>1</v>
      </c>
      <c r="K1755" s="6" t="n">
        <v>95</v>
      </c>
      <c r="L1755" s="6" t="n">
        <v>95</v>
      </c>
      <c r="M1755" s="6" t="n">
        <v>95</v>
      </c>
      <c r="N1755" s="3" t="inlineStr">
        <is>
          <t>Sí</t>
        </is>
      </c>
      <c r="O1755" s="6">
        <f>IF(K1755="","",IF(N1755="Sí",ROUND(K1755/1.18,2),K1755))</f>
        <v/>
      </c>
      <c r="P1755" s="3" t="inlineStr">
        <is>
          <t>2026-09-10</t>
        </is>
      </c>
      <c r="Q1755" s="4" t="inlineStr">
        <is>
          <t>Bellón</t>
        </is>
      </c>
      <c r="AF1755" s="4" t="inlineStr">
        <is>
          <t>tipo: reduccion-bushing · material: HG · medida: 2" x 1 1/4"</t>
        </is>
      </c>
    </row>
    <row r="1756">
      <c r="A1756" s="3" t="inlineStr">
        <is>
          <t>MAT-32-402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HG 2" x 1/2"</t>
        </is>
      </c>
      <c r="E1756" s="4" t="inlineStr"/>
      <c r="F1756" s="3" t="inlineStr">
        <is>
          <t>unidad</t>
        </is>
      </c>
      <c r="G1756" s="3" t="inlineStr">
        <is>
          <t>Instalaciones</t>
        </is>
      </c>
      <c r="H1756" s="3" t="inlineStr">
        <is>
          <t>estandar</t>
        </is>
      </c>
      <c r="I1756" s="3" t="inlineStr">
        <is>
          <t>importado</t>
        </is>
      </c>
      <c r="J1756" s="5" t="n">
        <v>1</v>
      </c>
      <c r="K1756" s="6" t="n">
        <v>140</v>
      </c>
      <c r="L1756" s="6" t="n">
        <v>140</v>
      </c>
      <c r="M1756" s="6" t="n">
        <v>140</v>
      </c>
      <c r="N1756" s="3" t="inlineStr">
        <is>
          <t>Sí</t>
        </is>
      </c>
      <c r="O1756" s="6">
        <f>IF(K1756="","",IF(N1756="Sí",ROUND(K1756/1.18,2),K1756))</f>
        <v/>
      </c>
      <c r="P1756" s="3" t="inlineStr">
        <is>
          <t>2026-09-10</t>
        </is>
      </c>
      <c r="Q1756" s="4" t="inlineStr">
        <is>
          <t>Bellón</t>
        </is>
      </c>
      <c r="AF1756" s="4" t="inlineStr">
        <is>
          <t>tipo: reduccion-bushing · material: HG · medida: 2" x 1/2"</t>
        </is>
      </c>
    </row>
    <row r="1757">
      <c r="A1757" s="3" t="inlineStr">
        <is>
          <t>MAT-32-403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HG 2" x 1"</t>
        </is>
      </c>
      <c r="E1757" s="4" t="inlineStr"/>
      <c r="F1757" s="3" t="inlineStr">
        <is>
          <t>unidad</t>
        </is>
      </c>
      <c r="G1757" s="3" t="inlineStr">
        <is>
          <t>Instalaciones</t>
        </is>
      </c>
      <c r="H1757" s="3" t="inlineStr">
        <is>
          <t>estandar</t>
        </is>
      </c>
      <c r="I1757" s="3" t="inlineStr">
        <is>
          <t>importado</t>
        </is>
      </c>
      <c r="J1757" s="5" t="n">
        <v>1</v>
      </c>
      <c r="K1757" s="6" t="n">
        <v>95</v>
      </c>
      <c r="L1757" s="6" t="n">
        <v>95</v>
      </c>
      <c r="M1757" s="6" t="n">
        <v>95</v>
      </c>
      <c r="N1757" s="3" t="inlineStr">
        <is>
          <t>Sí</t>
        </is>
      </c>
      <c r="O1757" s="6">
        <f>IF(K1757="","",IF(N1757="Sí",ROUND(K1757/1.18,2),K1757))</f>
        <v/>
      </c>
      <c r="P1757" s="3" t="inlineStr">
        <is>
          <t>2026-09-10</t>
        </is>
      </c>
      <c r="Q1757" s="4" t="inlineStr">
        <is>
          <t>Bellón</t>
        </is>
      </c>
      <c r="AF1757" s="4" t="inlineStr">
        <is>
          <t>tipo: reduccion-bushing · material: HG · medida: 2" x 1"</t>
        </is>
      </c>
    </row>
    <row r="1758">
      <c r="A1758" s="3" t="inlineStr">
        <is>
          <t>MAT-32-404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HG 3/4" x 1/2"</t>
        </is>
      </c>
      <c r="E1758" s="4" t="inlineStr"/>
      <c r="F1758" s="3" t="inlineStr">
        <is>
          <t>unidad</t>
        </is>
      </c>
      <c r="G1758" s="3" t="inlineStr">
        <is>
          <t>Instalaciones</t>
        </is>
      </c>
      <c r="H1758" s="3" t="inlineStr">
        <is>
          <t>estandar</t>
        </is>
      </c>
      <c r="I1758" s="3" t="inlineStr">
        <is>
          <t>importado</t>
        </is>
      </c>
      <c r="J1758" s="5" t="n">
        <v>2</v>
      </c>
      <c r="K1758" s="6" t="n">
        <v>50</v>
      </c>
      <c r="L1758" s="6" t="n">
        <v>25</v>
      </c>
      <c r="M1758" s="6" t="n">
        <v>75</v>
      </c>
      <c r="N1758" s="3" t="inlineStr">
        <is>
          <t>Sí</t>
        </is>
      </c>
      <c r="O1758" s="6">
        <f>IF(K1758="","",IF(N1758="Sí",ROUND(K1758/1.18,2),K1758))</f>
        <v/>
      </c>
      <c r="P1758" s="3" t="inlineStr">
        <is>
          <t>2026-09-10</t>
        </is>
      </c>
      <c r="Q1758" s="4" t="inlineStr">
        <is>
          <t>Bellón · Ferretería Cima</t>
        </is>
      </c>
      <c r="AF1758" s="4" t="inlineStr">
        <is>
          <t>tipo: reduccion-bushing · material: HG · medida: 3/4" x 1/2"</t>
        </is>
      </c>
    </row>
    <row r="1759">
      <c r="A1759" s="3" t="inlineStr">
        <is>
          <t>MAT-32-405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HG 3/4" x 1/4"</t>
        </is>
      </c>
      <c r="E1759" s="4" t="inlineStr"/>
      <c r="F1759" s="3" t="inlineStr">
        <is>
          <t>unidad</t>
        </is>
      </c>
      <c r="G1759" s="3" t="inlineStr">
        <is>
          <t>Instalaciones</t>
        </is>
      </c>
      <c r="H1759" s="3" t="inlineStr">
        <is>
          <t>estandar</t>
        </is>
      </c>
      <c r="I1759" s="3" t="inlineStr">
        <is>
          <t>importado</t>
        </is>
      </c>
      <c r="J1759" s="5" t="n">
        <v>1</v>
      </c>
      <c r="K1759" s="6" t="n">
        <v>25</v>
      </c>
      <c r="L1759" s="6" t="n">
        <v>25</v>
      </c>
      <c r="M1759" s="6" t="n">
        <v>25</v>
      </c>
      <c r="N1759" s="3" t="inlineStr">
        <is>
          <t>Sí</t>
        </is>
      </c>
      <c r="O1759" s="6">
        <f>IF(K1759="","",IF(N1759="Sí",ROUND(K1759/1.18,2),K1759))</f>
        <v/>
      </c>
      <c r="P1759" s="3" t="inlineStr">
        <is>
          <t>2026-09-10</t>
        </is>
      </c>
      <c r="Q1759" s="4" t="inlineStr">
        <is>
          <t>Bellón</t>
        </is>
      </c>
      <c r="AF1759" s="4" t="inlineStr">
        <is>
          <t>tipo: reduccion-bushing · material: HG · medida: 3/4" x 1/4"</t>
        </is>
      </c>
    </row>
    <row r="1760">
      <c r="A1760" s="3" t="inlineStr">
        <is>
          <t>MAT-32-406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HG 3/4" x 3/8"</t>
        </is>
      </c>
      <c r="E1760" s="4" t="inlineStr"/>
      <c r="F1760" s="3" t="inlineStr">
        <is>
          <t>unidad</t>
        </is>
      </c>
      <c r="G1760" s="3" t="inlineStr">
        <is>
          <t>Instalaciones</t>
        </is>
      </c>
      <c r="H1760" s="3" t="inlineStr">
        <is>
          <t>estandar</t>
        </is>
      </c>
      <c r="I1760" s="3" t="inlineStr">
        <is>
          <t>importado</t>
        </is>
      </c>
      <c r="J1760" s="5" t="n">
        <v>1</v>
      </c>
      <c r="K1760" s="6" t="n">
        <v>67</v>
      </c>
      <c r="L1760" s="6" t="n">
        <v>67</v>
      </c>
      <c r="M1760" s="6" t="n">
        <v>67</v>
      </c>
      <c r="N1760" s="3" t="inlineStr">
        <is>
          <t>Sí</t>
        </is>
      </c>
      <c r="O1760" s="6">
        <f>IF(K1760="","",IF(N1760="Sí",ROUND(K1760/1.18,2),K1760))</f>
        <v/>
      </c>
      <c r="P1760" s="3" t="inlineStr">
        <is>
          <t>2026-09-10</t>
        </is>
      </c>
      <c r="Q1760" s="4" t="inlineStr">
        <is>
          <t>Bellón</t>
        </is>
      </c>
      <c r="AF1760" s="4" t="inlineStr">
        <is>
          <t>tipo: reduccion-bushing · material: HG · medida: 3/4" x 3/8"</t>
        </is>
      </c>
    </row>
    <row r="1761">
      <c r="A1761" s="3" t="inlineStr">
        <is>
          <t>MAT-32-407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HG 3/8" x 1/4"</t>
        </is>
      </c>
      <c r="E1761" s="4" t="inlineStr"/>
      <c r="F1761" s="3" t="inlineStr">
        <is>
          <t>unidad</t>
        </is>
      </c>
      <c r="G1761" s="3" t="inlineStr">
        <is>
          <t>Instalaciones</t>
        </is>
      </c>
      <c r="H1761" s="3" t="inlineStr">
        <is>
          <t>estandar</t>
        </is>
      </c>
      <c r="I1761" s="3" t="inlineStr">
        <is>
          <t>importado</t>
        </is>
      </c>
      <c r="J1761" s="5" t="n">
        <v>1</v>
      </c>
      <c r="K1761" s="6" t="n">
        <v>34</v>
      </c>
      <c r="L1761" s="6" t="n">
        <v>34</v>
      </c>
      <c r="M1761" s="6" t="n">
        <v>34</v>
      </c>
      <c r="N1761" s="3" t="inlineStr">
        <is>
          <t>Sí</t>
        </is>
      </c>
      <c r="O1761" s="6">
        <f>IF(K1761="","",IF(N1761="Sí",ROUND(K1761/1.18,2),K1761))</f>
        <v/>
      </c>
      <c r="P1761" s="3" t="inlineStr">
        <is>
          <t>2026-09-10</t>
        </is>
      </c>
      <c r="Q1761" s="4" t="inlineStr">
        <is>
          <t>Bellón</t>
        </is>
      </c>
      <c r="AF1761" s="4" t="inlineStr">
        <is>
          <t>tipo: reduccion-bushing · material: HG · medida: 3/8" x 1/4"</t>
        </is>
      </c>
    </row>
    <row r="1762">
      <c r="A1762" s="3" t="inlineStr">
        <is>
          <t>MAT-32-408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HG 3" x 2"</t>
        </is>
      </c>
      <c r="E1762" s="4" t="inlineStr"/>
      <c r="F1762" s="3" t="inlineStr">
        <is>
          <t>unidad</t>
        </is>
      </c>
      <c r="G1762" s="3" t="inlineStr">
        <is>
          <t>Instalaciones</t>
        </is>
      </c>
      <c r="H1762" s="3" t="inlineStr">
        <is>
          <t>estandar</t>
        </is>
      </c>
      <c r="I1762" s="3" t="inlineStr">
        <is>
          <t>importado</t>
        </is>
      </c>
      <c r="J1762" s="5" t="n">
        <v>1</v>
      </c>
      <c r="K1762" s="6" t="n">
        <v>261</v>
      </c>
      <c r="L1762" s="6" t="n">
        <v>261</v>
      </c>
      <c r="M1762" s="6" t="n">
        <v>261</v>
      </c>
      <c r="N1762" s="3" t="inlineStr">
        <is>
          <t>Sí</t>
        </is>
      </c>
      <c r="O1762" s="6">
        <f>IF(K1762="","",IF(N1762="Sí",ROUND(K1762/1.18,2),K1762))</f>
        <v/>
      </c>
      <c r="P1762" s="3" t="inlineStr">
        <is>
          <t>2026-09-10</t>
        </is>
      </c>
      <c r="Q1762" s="4" t="inlineStr">
        <is>
          <t>Bellón</t>
        </is>
      </c>
      <c r="AF1762" s="4" t="inlineStr">
        <is>
          <t>tipo: reduccion-bushing · material: HG · medida: 3" x 2"</t>
        </is>
      </c>
    </row>
    <row r="1763">
      <c r="A1763" s="3" t="inlineStr">
        <is>
          <t>MAT-32-409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HG 4" x 3"</t>
        </is>
      </c>
      <c r="E1763" s="4" t="inlineStr"/>
      <c r="F1763" s="3" t="inlineStr">
        <is>
          <t>unidad</t>
        </is>
      </c>
      <c r="G1763" s="3" t="inlineStr">
        <is>
          <t>Instalaciones</t>
        </is>
      </c>
      <c r="H1763" s="3" t="inlineStr">
        <is>
          <t>estandar</t>
        </is>
      </c>
      <c r="I1763" s="3" t="inlineStr">
        <is>
          <t>importado</t>
        </is>
      </c>
      <c r="J1763" s="5" t="n">
        <v>1</v>
      </c>
      <c r="K1763" s="6" t="n">
        <v>454</v>
      </c>
      <c r="L1763" s="6" t="n">
        <v>454</v>
      </c>
      <c r="M1763" s="6" t="n">
        <v>454</v>
      </c>
      <c r="N1763" s="3" t="inlineStr">
        <is>
          <t>Sí</t>
        </is>
      </c>
      <c r="O1763" s="6">
        <f>IF(K1763="","",IF(N1763="Sí",ROUND(K1763/1.18,2),K1763))</f>
        <v/>
      </c>
      <c r="P1763" s="3" t="inlineStr">
        <is>
          <t>2026-09-10</t>
        </is>
      </c>
      <c r="Q1763" s="4" t="inlineStr">
        <is>
          <t>Bellón</t>
        </is>
      </c>
      <c r="AF1763" s="4" t="inlineStr">
        <is>
          <t>tipo: reduccion-bushing · material: HG · medida: 4" x 3"</t>
        </is>
      </c>
    </row>
    <row r="1764">
      <c r="A1764" s="3" t="inlineStr">
        <is>
          <t>MAT-32-410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PVC drenaje 2" x 1/2"</t>
        </is>
      </c>
      <c r="E1764" s="4" t="inlineStr"/>
      <c r="F1764" s="3" t="inlineStr">
        <is>
          <t>unidad</t>
        </is>
      </c>
      <c r="G1764" s="3" t="inlineStr">
        <is>
          <t>Instalaciones</t>
        </is>
      </c>
      <c r="H1764" s="3" t="inlineStr">
        <is>
          <t>estandar</t>
        </is>
      </c>
      <c r="I1764" s="3" t="inlineStr">
        <is>
          <t>importado</t>
        </is>
      </c>
      <c r="J1764" s="5" t="n">
        <v>2</v>
      </c>
      <c r="K1764" s="6" t="n">
        <v>39.23</v>
      </c>
      <c r="L1764" s="6" t="n">
        <v>14.47</v>
      </c>
      <c r="M1764" s="6" t="n">
        <v>64</v>
      </c>
      <c r="N1764" s="3" t="inlineStr">
        <is>
          <t>Sí</t>
        </is>
      </c>
      <c r="O1764" s="6">
        <f>IF(K1764="","",IF(N1764="Sí",ROUND(K1764/1.18,2),K1764))</f>
        <v/>
      </c>
      <c r="P1764" s="3" t="inlineStr">
        <is>
          <t>2026-09-09</t>
        </is>
      </c>
      <c r="Q1764" s="4" t="inlineStr">
        <is>
          <t>Ferretería Cima · Ferretería MC</t>
        </is>
      </c>
      <c r="AF1764" s="4" t="inlineStr">
        <is>
          <t>tipo: reduccion-bushing · material: PVC drenaje · medida: 2" x 1/2"</t>
        </is>
      </c>
    </row>
    <row r="1765">
      <c r="A1765" s="3" t="inlineStr">
        <is>
          <t>MAT-32-411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PVC drenaje 2" x 1"</t>
        </is>
      </c>
      <c r="E1765" s="4" t="inlineStr"/>
      <c r="F1765" s="3" t="inlineStr">
        <is>
          <t>unidad</t>
        </is>
      </c>
      <c r="G1765" s="3" t="inlineStr">
        <is>
          <t>Instalaciones</t>
        </is>
      </c>
      <c r="H1765" s="3" t="inlineStr">
        <is>
          <t>estandar</t>
        </is>
      </c>
      <c r="I1765" s="3" t="inlineStr">
        <is>
          <t>importado</t>
        </is>
      </c>
      <c r="J1765" s="5" t="n">
        <v>1</v>
      </c>
      <c r="K1765" s="6" t="n">
        <v>16.8</v>
      </c>
      <c r="L1765" s="6" t="n">
        <v>16.8</v>
      </c>
      <c r="M1765" s="6" t="n">
        <v>16.8</v>
      </c>
      <c r="N1765" s="3" t="inlineStr">
        <is>
          <t>Sí</t>
        </is>
      </c>
      <c r="O1765" s="6">
        <f>IF(K1765="","",IF(N1765="Sí",ROUND(K1765/1.18,2),K1765))</f>
        <v/>
      </c>
      <c r="P1765" s="3" t="inlineStr">
        <is>
          <t>2026-09-09</t>
        </is>
      </c>
      <c r="Q1765" s="4" t="inlineStr">
        <is>
          <t>Ferretería MC</t>
        </is>
      </c>
      <c r="AF1765" s="4" t="inlineStr">
        <is>
          <t>tipo: reduccion-bushing · material: PVC drenaje · medida: 2" x 1"</t>
        </is>
      </c>
    </row>
    <row r="1766">
      <c r="A1766" s="3" t="inlineStr">
        <is>
          <t>MAT-32-412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PVC drenaje 2" x 3/4"</t>
        </is>
      </c>
      <c r="E1766" s="4" t="inlineStr"/>
      <c r="F1766" s="3" t="inlineStr">
        <is>
          <t>unidad</t>
        </is>
      </c>
      <c r="G1766" s="3" t="inlineStr">
        <is>
          <t>Instalaciones</t>
        </is>
      </c>
      <c r="H1766" s="3" t="inlineStr">
        <is>
          <t>estandar</t>
        </is>
      </c>
      <c r="I1766" s="3" t="inlineStr">
        <is>
          <t>importado</t>
        </is>
      </c>
      <c r="J1766" s="5" t="n">
        <v>1</v>
      </c>
      <c r="K1766" s="6" t="n">
        <v>16.32</v>
      </c>
      <c r="L1766" s="6" t="n">
        <v>16.32</v>
      </c>
      <c r="M1766" s="6" t="n">
        <v>16.32</v>
      </c>
      <c r="N1766" s="3" t="inlineStr">
        <is>
          <t>Sí</t>
        </is>
      </c>
      <c r="O1766" s="6">
        <f>IF(K1766="","",IF(N1766="Sí",ROUND(K1766/1.18,2),K1766))</f>
        <v/>
      </c>
      <c r="P1766" s="3" t="inlineStr">
        <is>
          <t>2026-09-09</t>
        </is>
      </c>
      <c r="Q1766" s="4" t="inlineStr">
        <is>
          <t>Ferretería MC</t>
        </is>
      </c>
      <c r="AF1766" s="4" t="inlineStr">
        <is>
          <t>tipo: reduccion-bushing · material: PVC drenaje · medida: 2" x 3/4"</t>
        </is>
      </c>
    </row>
    <row r="1767">
      <c r="A1767" s="3" t="inlineStr">
        <is>
          <t>MAT-32-413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PVC drenaje 3" x 2"</t>
        </is>
      </c>
      <c r="E1767" s="4" t="inlineStr"/>
      <c r="F1767" s="3" t="inlineStr">
        <is>
          <t>unidad</t>
        </is>
      </c>
      <c r="G1767" s="3" t="inlineStr">
        <is>
          <t>Instalaciones</t>
        </is>
      </c>
      <c r="H1767" s="3" t="inlineStr">
        <is>
          <t>estandar</t>
        </is>
      </c>
      <c r="I1767" s="3" t="inlineStr">
        <is>
          <t>importado</t>
        </is>
      </c>
      <c r="J1767" s="5" t="n">
        <v>1</v>
      </c>
      <c r="K1767" s="6" t="n">
        <v>39.19</v>
      </c>
      <c r="L1767" s="6" t="n">
        <v>39.19</v>
      </c>
      <c r="M1767" s="6" t="n">
        <v>39.19</v>
      </c>
      <c r="N1767" s="3" t="inlineStr">
        <is>
          <t>Sí</t>
        </is>
      </c>
      <c r="O1767" s="6">
        <f>IF(K1767="","",IF(N1767="Sí",ROUND(K1767/1.18,2),K1767))</f>
        <v/>
      </c>
      <c r="P1767" s="3" t="inlineStr">
        <is>
          <t>2026-09-09</t>
        </is>
      </c>
      <c r="Q1767" s="4" t="inlineStr">
        <is>
          <t>Ferretería MC</t>
        </is>
      </c>
      <c r="AF1767" s="4" t="inlineStr">
        <is>
          <t>tipo: reduccion-bushing · material: PVC drenaje · medida: 3" x 2"</t>
        </is>
      </c>
    </row>
    <row r="1768">
      <c r="A1768" s="3" t="inlineStr">
        <is>
          <t>MAT-32-414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PVC drenaje 4" x 2"</t>
        </is>
      </c>
      <c r="E1768" s="4" t="inlineStr"/>
      <c r="F1768" s="3" t="inlineStr">
        <is>
          <t>unidad</t>
        </is>
      </c>
      <c r="G1768" s="3" t="inlineStr">
        <is>
          <t>Instalaciones</t>
        </is>
      </c>
      <c r="H1768" s="3" t="inlineStr">
        <is>
          <t>estandar</t>
        </is>
      </c>
      <c r="I1768" s="3" t="inlineStr">
        <is>
          <t>importado</t>
        </is>
      </c>
      <c r="J1768" s="5" t="n">
        <v>1</v>
      </c>
      <c r="K1768" s="6" t="n">
        <v>75.87</v>
      </c>
      <c r="L1768" s="6" t="n">
        <v>75.87</v>
      </c>
      <c r="M1768" s="6" t="n">
        <v>75.87</v>
      </c>
      <c r="N1768" s="3" t="inlineStr">
        <is>
          <t>Sí</t>
        </is>
      </c>
      <c r="O1768" s="6">
        <f>IF(K1768="","",IF(N1768="Sí",ROUND(K1768/1.18,2),K1768))</f>
        <v/>
      </c>
      <c r="P1768" s="3" t="inlineStr">
        <is>
          <t>2026-09-09</t>
        </is>
      </c>
      <c r="Q1768" s="4" t="inlineStr">
        <is>
          <t>Ferretería MC</t>
        </is>
      </c>
      <c r="AF1768" s="4" t="inlineStr">
        <is>
          <t>tipo: reduccion-bushing · material: PVC drenaje · medida: 4" x 2"</t>
        </is>
      </c>
    </row>
    <row r="1769">
      <c r="A1769" s="3" t="inlineStr">
        <is>
          <t>MAT-32-415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PVC drenaje 4" x 3"</t>
        </is>
      </c>
      <c r="E1769" s="4" t="inlineStr"/>
      <c r="F1769" s="3" t="inlineStr">
        <is>
          <t>unidad</t>
        </is>
      </c>
      <c r="G1769" s="3" t="inlineStr">
        <is>
          <t>Instalaciones</t>
        </is>
      </c>
      <c r="H1769" s="3" t="inlineStr">
        <is>
          <t>estandar</t>
        </is>
      </c>
      <c r="I1769" s="3" t="inlineStr">
        <is>
          <t>importado</t>
        </is>
      </c>
      <c r="J1769" s="5" t="n">
        <v>1</v>
      </c>
      <c r="K1769" s="6" t="n">
        <v>75.40000000000001</v>
      </c>
      <c r="L1769" s="6" t="n">
        <v>75.40000000000001</v>
      </c>
      <c r="M1769" s="6" t="n">
        <v>75.40000000000001</v>
      </c>
      <c r="N1769" s="3" t="inlineStr">
        <is>
          <t>Sí</t>
        </is>
      </c>
      <c r="O1769" s="6">
        <f>IF(K1769="","",IF(N1769="Sí",ROUND(K1769/1.18,2),K1769))</f>
        <v/>
      </c>
      <c r="P1769" s="3" t="inlineStr">
        <is>
          <t>2026-09-09</t>
        </is>
      </c>
      <c r="Q1769" s="4" t="inlineStr">
        <is>
          <t>Ferretería MC</t>
        </is>
      </c>
      <c r="AF1769" s="4" t="inlineStr">
        <is>
          <t>tipo: reduccion-bushing · material: PVC drenaje · medida: 4" x 3"</t>
        </is>
      </c>
    </row>
    <row r="1770">
      <c r="A1770" s="3" t="inlineStr">
        <is>
          <t>MAT-32-416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PVC drenaje 6" x 4"</t>
        </is>
      </c>
      <c r="E1770" s="4" t="inlineStr"/>
      <c r="F1770" s="3" t="inlineStr">
        <is>
          <t>unidad</t>
        </is>
      </c>
      <c r="G1770" s="3" t="inlineStr">
        <is>
          <t>Instalaciones</t>
        </is>
      </c>
      <c r="H1770" s="3" t="inlineStr">
        <is>
          <t>estandar</t>
        </is>
      </c>
      <c r="I1770" s="3" t="inlineStr">
        <is>
          <t>importado</t>
        </is>
      </c>
      <c r="J1770" s="5" t="n">
        <v>2</v>
      </c>
      <c r="K1770" s="6" t="n">
        <v>280.01</v>
      </c>
      <c r="L1770" s="6" t="n">
        <v>132</v>
      </c>
      <c r="M1770" s="6" t="n">
        <v>370</v>
      </c>
      <c r="N1770" s="3" t="inlineStr">
        <is>
          <t>Sí</t>
        </is>
      </c>
      <c r="O1770" s="6">
        <f>IF(K1770="","",IF(N1770="Sí",ROUND(K1770/1.18,2),K1770))</f>
        <v/>
      </c>
      <c r="P1770" s="3" t="inlineStr">
        <is>
          <t>2026-09-10</t>
        </is>
      </c>
      <c r="Q1770" s="4" t="inlineStr">
        <is>
          <t>Bellón · Ferretería MC</t>
        </is>
      </c>
      <c r="AF1770" s="4" t="inlineStr">
        <is>
          <t>tipo: reduccion-bushing · material: PVC drenaje · medida: 6" x 4"</t>
        </is>
      </c>
    </row>
    <row r="1771">
      <c r="A1771" s="3" t="inlineStr">
        <is>
          <t>MAT-32-417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PVC drenaje 8" x 4"</t>
        </is>
      </c>
      <c r="E1771" s="4" t="inlineStr"/>
      <c r="F1771" s="3" t="inlineStr">
        <is>
          <t>unidad</t>
        </is>
      </c>
      <c r="G1771" s="3" t="inlineStr">
        <is>
          <t>Instalaciones</t>
        </is>
      </c>
      <c r="H1771" s="3" t="inlineStr">
        <is>
          <t>estandar</t>
        </is>
      </c>
      <c r="I1771" s="3" t="inlineStr">
        <is>
          <t>importado</t>
        </is>
      </c>
      <c r="J1771" s="5" t="n">
        <v>1</v>
      </c>
      <c r="K1771" s="6" t="n">
        <v>2509.51</v>
      </c>
      <c r="L1771" s="6" t="n">
        <v>2509.51</v>
      </c>
      <c r="M1771" s="6" t="n">
        <v>2509.51</v>
      </c>
      <c r="N1771" s="3" t="inlineStr">
        <is>
          <t>Sí</t>
        </is>
      </c>
      <c r="O1771" s="6">
        <f>IF(K1771="","",IF(N1771="Sí",ROUND(K1771/1.18,2),K1771))</f>
        <v/>
      </c>
      <c r="P1771" s="3" t="inlineStr">
        <is>
          <t>2026-09-09</t>
        </is>
      </c>
      <c r="Q1771" s="4" t="inlineStr">
        <is>
          <t>Ferretería MC</t>
        </is>
      </c>
      <c r="AF1771" s="4" t="inlineStr">
        <is>
          <t>tipo: reduccion-bushing · material: PVC drenaje · medida: 8" x 4"</t>
        </is>
      </c>
    </row>
    <row r="1772">
      <c r="A1772" s="3" t="inlineStr">
        <is>
          <t>MAT-32-418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PVC drenaje 8" x 6"</t>
        </is>
      </c>
      <c r="E1772" s="4" t="inlineStr"/>
      <c r="F1772" s="3" t="inlineStr">
        <is>
          <t>unidad</t>
        </is>
      </c>
      <c r="G1772" s="3" t="inlineStr">
        <is>
          <t>Instalaciones</t>
        </is>
      </c>
      <c r="H1772" s="3" t="inlineStr">
        <is>
          <t>estandar</t>
        </is>
      </c>
      <c r="I1772" s="3" t="inlineStr">
        <is>
          <t>importado</t>
        </is>
      </c>
      <c r="J1772" s="5" t="n">
        <v>1</v>
      </c>
      <c r="K1772" s="6" t="n">
        <v>1918.68</v>
      </c>
      <c r="L1772" s="6" t="n">
        <v>1918.68</v>
      </c>
      <c r="M1772" s="6" t="n">
        <v>1918.68</v>
      </c>
      <c r="N1772" s="3" t="inlineStr">
        <is>
          <t>Sí</t>
        </is>
      </c>
      <c r="O1772" s="6">
        <f>IF(K1772="","",IF(N1772="Sí",ROUND(K1772/1.18,2),K1772))</f>
        <v/>
      </c>
      <c r="P1772" s="3" t="inlineStr">
        <is>
          <t>2026-09-09</t>
        </is>
      </c>
      <c r="Q1772" s="4" t="inlineStr">
        <is>
          <t>Ferretería MC</t>
        </is>
      </c>
      <c r="AF1772" s="4" t="inlineStr">
        <is>
          <t>tipo: reduccion-bushing · material: PVC drenaje · medida: 8" x 6"</t>
        </is>
      </c>
    </row>
    <row r="1773">
      <c r="A1773" s="3" t="inlineStr">
        <is>
          <t>MAT-32-419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PVC 1 1/2" x 1"</t>
        </is>
      </c>
      <c r="E1773" s="4" t="inlineStr"/>
      <c r="F1773" s="3" t="inlineStr">
        <is>
          <t>unidad</t>
        </is>
      </c>
      <c r="G1773" s="3" t="inlineStr">
        <is>
          <t>Instalaciones</t>
        </is>
      </c>
      <c r="H1773" s="3" t="inlineStr">
        <is>
          <t>estandar</t>
        </is>
      </c>
      <c r="I1773" s="3" t="inlineStr">
        <is>
          <t>importado</t>
        </is>
      </c>
      <c r="J1773" s="5" t="n">
        <v>1</v>
      </c>
      <c r="K1773" s="6" t="n">
        <v>87</v>
      </c>
      <c r="L1773" s="6" t="n">
        <v>87</v>
      </c>
      <c r="M1773" s="6" t="n">
        <v>87</v>
      </c>
      <c r="N1773" s="3" t="inlineStr">
        <is>
          <t>Sí</t>
        </is>
      </c>
      <c r="O1773" s="6">
        <f>IF(K1773="","",IF(N1773="Sí",ROUND(K1773/1.18,2),K1773))</f>
        <v/>
      </c>
      <c r="P1773" s="3" t="inlineStr">
        <is>
          <t>2026-09-09</t>
        </is>
      </c>
      <c r="Q1773" s="4" t="inlineStr">
        <is>
          <t>Ferretería Cima</t>
        </is>
      </c>
      <c r="AF1773" s="4" t="inlineStr">
        <is>
          <t>tipo: reduccion-bushing · material: PVC · medida: 1 1/2" x 1"</t>
        </is>
      </c>
    </row>
    <row r="1774">
      <c r="A1774" s="3" t="inlineStr">
        <is>
          <t>MAT-32-420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PVC 1 1/2" x 3/4"</t>
        </is>
      </c>
      <c r="E1774" s="4" t="inlineStr"/>
      <c r="F1774" s="3" t="inlineStr">
        <is>
          <t>unidad</t>
        </is>
      </c>
      <c r="G1774" s="3" t="inlineStr">
        <is>
          <t>Instalaciones</t>
        </is>
      </c>
      <c r="H1774" s="3" t="inlineStr">
        <is>
          <t>estandar</t>
        </is>
      </c>
      <c r="I1774" s="3" t="inlineStr">
        <is>
          <t>importado</t>
        </is>
      </c>
      <c r="J1774" s="5" t="n">
        <v>2</v>
      </c>
      <c r="K1774" s="6" t="n">
        <v>57.5</v>
      </c>
      <c r="L1774" s="6" t="n">
        <v>30</v>
      </c>
      <c r="M1774" s="6" t="n">
        <v>85</v>
      </c>
      <c r="N1774" s="3" t="inlineStr">
        <is>
          <t>Sí</t>
        </is>
      </c>
      <c r="O1774" s="6">
        <f>IF(K1774="","",IF(N1774="Sí",ROUND(K1774/1.18,2),K1774))</f>
        <v/>
      </c>
      <c r="P1774" s="3" t="inlineStr">
        <is>
          <t>2026-09-10</t>
        </is>
      </c>
      <c r="Q1774" s="4" t="inlineStr">
        <is>
          <t>Bellón · Ferretería Cima</t>
        </is>
      </c>
      <c r="AF1774" s="4" t="inlineStr">
        <is>
          <t>tipo: reduccion-bushing · material: PVC · medida: 1 1/2" x 3/4"</t>
        </is>
      </c>
    </row>
    <row r="1775">
      <c r="A1775" s="3" t="inlineStr">
        <is>
          <t>MAT-32-421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PVC 1" x 1/2"</t>
        </is>
      </c>
      <c r="E1775" s="4" t="inlineStr"/>
      <c r="F1775" s="3" t="inlineStr">
        <is>
          <t>unidad</t>
        </is>
      </c>
      <c r="G1775" s="3" t="inlineStr">
        <is>
          <t>Instalaciones</t>
        </is>
      </c>
      <c r="H1775" s="3" t="inlineStr">
        <is>
          <t>estandar</t>
        </is>
      </c>
      <c r="I1775" s="3" t="inlineStr">
        <is>
          <t>importado</t>
        </is>
      </c>
      <c r="J1775" s="5" t="n">
        <v>1</v>
      </c>
      <c r="K1775" s="6" t="n">
        <v>35</v>
      </c>
      <c r="L1775" s="6" t="n">
        <v>35</v>
      </c>
      <c r="M1775" s="6" t="n">
        <v>35</v>
      </c>
      <c r="N1775" s="3" t="inlineStr">
        <is>
          <t>Sí</t>
        </is>
      </c>
      <c r="O1775" s="6">
        <f>IF(K1775="","",IF(N1775="Sí",ROUND(K1775/1.18,2),K1775))</f>
        <v/>
      </c>
      <c r="P1775" s="3" t="inlineStr">
        <is>
          <t>2026-09-09</t>
        </is>
      </c>
      <c r="Q1775" s="4" t="inlineStr">
        <is>
          <t>Ferretería Cima</t>
        </is>
      </c>
      <c r="AF1775" s="4" t="inlineStr">
        <is>
          <t>tipo: reduccion-bushing · material: PVC · medida: 1" x 1/2"</t>
        </is>
      </c>
    </row>
    <row r="1776">
      <c r="A1776" s="3" t="inlineStr">
        <is>
          <t>MAT-32-422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PVC 1" x 3/4"</t>
        </is>
      </c>
      <c r="E1776" s="4" t="inlineStr"/>
      <c r="F1776" s="3" t="inlineStr">
        <is>
          <t>unidad</t>
        </is>
      </c>
      <c r="G1776" s="3" t="inlineStr">
        <is>
          <t>Instalaciones</t>
        </is>
      </c>
      <c r="H1776" s="3" t="inlineStr">
        <is>
          <t>estandar</t>
        </is>
      </c>
      <c r="I1776" s="3" t="inlineStr">
        <is>
          <t>importado</t>
        </is>
      </c>
      <c r="J1776" s="5" t="n">
        <v>2</v>
      </c>
      <c r="K1776" s="6" t="n">
        <v>19.44</v>
      </c>
      <c r="L1776" s="6" t="n">
        <v>12.88</v>
      </c>
      <c r="M1776" s="6" t="n">
        <v>26</v>
      </c>
      <c r="N1776" s="3" t="inlineStr">
        <is>
          <t>Sí</t>
        </is>
      </c>
      <c r="O1776" s="6">
        <f>IF(K1776="","",IF(N1776="Sí",ROUND(K1776/1.18,2),K1776))</f>
        <v/>
      </c>
      <c r="P1776" s="3" t="inlineStr">
        <is>
          <t>2026-09-10</t>
        </is>
      </c>
      <c r="Q1776" s="4" t="inlineStr">
        <is>
          <t>Bellón · Ferretería Cima</t>
        </is>
      </c>
      <c r="AF1776" s="4" t="inlineStr">
        <is>
          <t>tipo: reduccion-bushing · material: PVC · medida: 1" x 3/4"</t>
        </is>
      </c>
    </row>
    <row r="1777">
      <c r="A1777" s="3" t="inlineStr">
        <is>
          <t>MAT-32-423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PVC 2" x 1 1/2"</t>
        </is>
      </c>
      <c r="E1777" s="4" t="inlineStr"/>
      <c r="F1777" s="3" t="inlineStr">
        <is>
          <t>unidad</t>
        </is>
      </c>
      <c r="G1777" s="3" t="inlineStr">
        <is>
          <t>Instalaciones</t>
        </is>
      </c>
      <c r="H1777" s="3" t="inlineStr">
        <is>
          <t>estandar</t>
        </is>
      </c>
      <c r="I1777" s="3" t="inlineStr">
        <is>
          <t>importado</t>
        </is>
      </c>
      <c r="J1777" s="5" t="n">
        <v>2</v>
      </c>
      <c r="K1777" s="6" t="n">
        <v>59</v>
      </c>
      <c r="L1777" s="6" t="n">
        <v>53</v>
      </c>
      <c r="M1777" s="6" t="n">
        <v>65</v>
      </c>
      <c r="N1777" s="3" t="inlineStr">
        <is>
          <t>Sí</t>
        </is>
      </c>
      <c r="O1777" s="6">
        <f>IF(K1777="","",IF(N1777="Sí",ROUND(K1777/1.18,2),K1777))</f>
        <v/>
      </c>
      <c r="P1777" s="3" t="inlineStr">
        <is>
          <t>2026-09-10</t>
        </is>
      </c>
      <c r="Q1777" s="4" t="inlineStr">
        <is>
          <t>Bellón · Ferretería Cima</t>
        </is>
      </c>
      <c r="AF1777" s="4" t="inlineStr">
        <is>
          <t>tipo: reduccion-bushing · material: PVC · medida: 2" x 1 1/2"</t>
        </is>
      </c>
    </row>
    <row r="1778">
      <c r="A1778" s="3" t="inlineStr">
        <is>
          <t>MAT-32-424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PVC 2" x 1"</t>
        </is>
      </c>
      <c r="E1778" s="4" t="inlineStr"/>
      <c r="F1778" s="3" t="inlineStr">
        <is>
          <t>unidad</t>
        </is>
      </c>
      <c r="G1778" s="3" t="inlineStr">
        <is>
          <t>Instalaciones</t>
        </is>
      </c>
      <c r="H1778" s="3" t="inlineStr">
        <is>
          <t>estandar</t>
        </is>
      </c>
      <c r="I1778" s="3" t="inlineStr">
        <is>
          <t>importado</t>
        </is>
      </c>
      <c r="J1778" s="5" t="n">
        <v>1</v>
      </c>
      <c r="K1778" s="6" t="n">
        <v>64</v>
      </c>
      <c r="L1778" s="6" t="n">
        <v>64</v>
      </c>
      <c r="M1778" s="6" t="n">
        <v>64</v>
      </c>
      <c r="N1778" s="3" t="inlineStr">
        <is>
          <t>Sí</t>
        </is>
      </c>
      <c r="O1778" s="6">
        <f>IF(K1778="","",IF(N1778="Sí",ROUND(K1778/1.18,2),K1778))</f>
        <v/>
      </c>
      <c r="P1778" s="3" t="inlineStr">
        <is>
          <t>2026-09-09</t>
        </is>
      </c>
      <c r="Q1778" s="4" t="inlineStr">
        <is>
          <t>Ferretería Cima</t>
        </is>
      </c>
      <c r="AF1778" s="4" t="inlineStr">
        <is>
          <t>tipo: reduccion-bushing · material: PVC · medida: 2" x 1"</t>
        </is>
      </c>
    </row>
    <row r="1779">
      <c r="A1779" s="3" t="inlineStr">
        <is>
          <t>MAT-32-425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PVC 2" x 3/4"</t>
        </is>
      </c>
      <c r="E1779" s="4" t="inlineStr"/>
      <c r="F1779" s="3" t="inlineStr">
        <is>
          <t>unidad</t>
        </is>
      </c>
      <c r="G1779" s="3" t="inlineStr">
        <is>
          <t>Instalaciones</t>
        </is>
      </c>
      <c r="H1779" s="3" t="inlineStr">
        <is>
          <t>estandar</t>
        </is>
      </c>
      <c r="I1779" s="3" t="inlineStr">
        <is>
          <t>importado</t>
        </is>
      </c>
      <c r="J1779" s="5" t="n">
        <v>1</v>
      </c>
      <c r="K1779" s="6" t="n">
        <v>41</v>
      </c>
      <c r="L1779" s="6" t="n">
        <v>41</v>
      </c>
      <c r="M1779" s="6" t="n">
        <v>41</v>
      </c>
      <c r="N1779" s="3" t="inlineStr">
        <is>
          <t>Sí</t>
        </is>
      </c>
      <c r="O1779" s="6">
        <f>IF(K1779="","",IF(N1779="Sí",ROUND(K1779/1.18,2),K1779))</f>
        <v/>
      </c>
      <c r="P1779" s="3" t="inlineStr">
        <is>
          <t>2026-09-09</t>
        </is>
      </c>
      <c r="Q1779" s="4" t="inlineStr">
        <is>
          <t>Ferretería Cima</t>
        </is>
      </c>
      <c r="AF1779" s="4" t="inlineStr">
        <is>
          <t>tipo: reduccion-bushing · material: PVC · medida: 2" x 3/4"</t>
        </is>
      </c>
    </row>
    <row r="1780">
      <c r="A1780" s="3" t="inlineStr">
        <is>
          <t>MAT-32-426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PVC 3/4" x 1/2"</t>
        </is>
      </c>
      <c r="E1780" s="4" t="inlineStr"/>
      <c r="F1780" s="3" t="inlineStr">
        <is>
          <t>unidad</t>
        </is>
      </c>
      <c r="G1780" s="3" t="inlineStr">
        <is>
          <t>Instalaciones</t>
        </is>
      </c>
      <c r="H1780" s="3" t="inlineStr">
        <is>
          <t>estandar</t>
        </is>
      </c>
      <c r="I1780" s="3" t="inlineStr">
        <is>
          <t>importado</t>
        </is>
      </c>
      <c r="J1780" s="5" t="n">
        <v>1</v>
      </c>
      <c r="K1780" s="6" t="n">
        <v>20</v>
      </c>
      <c r="L1780" s="6" t="n">
        <v>20</v>
      </c>
      <c r="M1780" s="6" t="n">
        <v>20</v>
      </c>
      <c r="N1780" s="3" t="inlineStr">
        <is>
          <t>Sí</t>
        </is>
      </c>
      <c r="O1780" s="6">
        <f>IF(K1780="","",IF(N1780="Sí",ROUND(K1780/1.18,2),K1780))</f>
        <v/>
      </c>
      <c r="P1780" s="3" t="inlineStr">
        <is>
          <t>2026-09-09</t>
        </is>
      </c>
      <c r="Q1780" s="4" t="inlineStr">
        <is>
          <t>Ferretería Cima</t>
        </is>
      </c>
      <c r="AF1780" s="4" t="inlineStr">
        <is>
          <t>tipo: reduccion-bushing · material: PVC · medida: 3/4" x 1/2"</t>
        </is>
      </c>
    </row>
    <row r="1781">
      <c r="A1781" s="3" t="inlineStr">
        <is>
          <t>MAT-32-427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PVC 3" x 2"</t>
        </is>
      </c>
      <c r="E1781" s="4" t="inlineStr"/>
      <c r="F1781" s="3" t="inlineStr">
        <is>
          <t>unidad</t>
        </is>
      </c>
      <c r="G1781" s="3" t="inlineStr">
        <is>
          <t>Instalaciones</t>
        </is>
      </c>
      <c r="H1781" s="3" t="inlineStr">
        <is>
          <t>estandar</t>
        </is>
      </c>
      <c r="I1781" s="3" t="inlineStr">
        <is>
          <t>importado</t>
        </is>
      </c>
      <c r="J1781" s="5" t="n">
        <v>1</v>
      </c>
      <c r="K1781" s="6" t="n">
        <v>210</v>
      </c>
      <c r="L1781" s="6" t="n">
        <v>210</v>
      </c>
      <c r="M1781" s="6" t="n">
        <v>210</v>
      </c>
      <c r="N1781" s="3" t="inlineStr">
        <is>
          <t>Sí</t>
        </is>
      </c>
      <c r="O1781" s="6">
        <f>IF(K1781="","",IF(N1781="Sí",ROUND(K1781/1.18,2),K1781))</f>
        <v/>
      </c>
      <c r="P1781" s="3" t="inlineStr">
        <is>
          <t>2026-09-09</t>
        </is>
      </c>
      <c r="Q1781" s="4" t="inlineStr">
        <is>
          <t>Ferretería Cima</t>
        </is>
      </c>
      <c r="AF1781" s="4" t="inlineStr">
        <is>
          <t>tipo: reduccion-bushing · material: PVC · medida: 3" x 2"</t>
        </is>
      </c>
    </row>
    <row r="1782">
      <c r="A1782" s="3" t="inlineStr">
        <is>
          <t>MAT-32-428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PVC 4" x 2"</t>
        </is>
      </c>
      <c r="E1782" s="4" t="inlineStr"/>
      <c r="F1782" s="3" t="inlineStr">
        <is>
          <t>unidad</t>
        </is>
      </c>
      <c r="G1782" s="3" t="inlineStr">
        <is>
          <t>Instalaciones</t>
        </is>
      </c>
      <c r="H1782" s="3" t="inlineStr">
        <is>
          <t>estandar</t>
        </is>
      </c>
      <c r="I1782" s="3" t="inlineStr">
        <is>
          <t>importado</t>
        </is>
      </c>
      <c r="J1782" s="5" t="n">
        <v>1</v>
      </c>
      <c r="K1782" s="6" t="n">
        <v>175</v>
      </c>
      <c r="L1782" s="6" t="n">
        <v>175</v>
      </c>
      <c r="M1782" s="6" t="n">
        <v>175</v>
      </c>
      <c r="N1782" s="3" t="inlineStr">
        <is>
          <t>Sí</t>
        </is>
      </c>
      <c r="O1782" s="6">
        <f>IF(K1782="","",IF(N1782="Sí",ROUND(K1782/1.18,2),K1782))</f>
        <v/>
      </c>
      <c r="P1782" s="3" t="inlineStr">
        <is>
          <t>2026-09-09</t>
        </is>
      </c>
      <c r="Q1782" s="4" t="inlineStr">
        <is>
          <t>Ferretería Cima</t>
        </is>
      </c>
      <c r="AF1782" s="4" t="inlineStr">
        <is>
          <t>tipo: reduccion-bushing · material: PVC · medida: 4" x 2"</t>
        </is>
      </c>
    </row>
    <row r="1783">
      <c r="A1783" s="3" t="inlineStr">
        <is>
          <t>MAT-32-429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PVC 4" x 3"</t>
        </is>
      </c>
      <c r="E1783" s="4" t="inlineStr"/>
      <c r="F1783" s="3" t="inlineStr">
        <is>
          <t>unidad</t>
        </is>
      </c>
      <c r="G1783" s="3" t="inlineStr">
        <is>
          <t>Instalaciones</t>
        </is>
      </c>
      <c r="H1783" s="3" t="inlineStr">
        <is>
          <t>estandar</t>
        </is>
      </c>
      <c r="I1783" s="3" t="inlineStr">
        <is>
          <t>importado</t>
        </is>
      </c>
      <c r="J1783" s="5" t="n">
        <v>1</v>
      </c>
      <c r="K1783" s="6" t="n">
        <v>195</v>
      </c>
      <c r="L1783" s="6" t="n">
        <v>195</v>
      </c>
      <c r="M1783" s="6" t="n">
        <v>195</v>
      </c>
      <c r="N1783" s="3" t="inlineStr">
        <is>
          <t>Sí</t>
        </is>
      </c>
      <c r="O1783" s="6">
        <f>IF(K1783="","",IF(N1783="Sí",ROUND(K1783/1.18,2),K1783))</f>
        <v/>
      </c>
      <c r="P1783" s="3" t="inlineStr">
        <is>
          <t>2026-09-09</t>
        </is>
      </c>
      <c r="Q1783" s="4" t="inlineStr">
        <is>
          <t>Ferretería Cima</t>
        </is>
      </c>
      <c r="AF1783" s="4" t="inlineStr">
        <is>
          <t>tipo: reduccion-bushing · material: PVC · medida: 4" x 3"</t>
        </is>
      </c>
    </row>
    <row r="1784">
      <c r="A1784" s="3" t="inlineStr">
        <is>
          <t>MAT-32-430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PVC 6" x 3"</t>
        </is>
      </c>
      <c r="E1784" s="4" t="inlineStr"/>
      <c r="F1784" s="3" t="inlineStr">
        <is>
          <t>unidad</t>
        </is>
      </c>
      <c r="G1784" s="3" t="inlineStr">
        <is>
          <t>Instalaciones</t>
        </is>
      </c>
      <c r="H1784" s="3" t="inlineStr">
        <is>
          <t>estandar</t>
        </is>
      </c>
      <c r="I1784" s="3" t="inlineStr">
        <is>
          <t>importado</t>
        </is>
      </c>
      <c r="J1784" s="5" t="n">
        <v>1</v>
      </c>
      <c r="K1784" s="6" t="n">
        <v>1430</v>
      </c>
      <c r="L1784" s="6" t="n">
        <v>1430</v>
      </c>
      <c r="M1784" s="6" t="n">
        <v>1430</v>
      </c>
      <c r="N1784" s="3" t="inlineStr">
        <is>
          <t>Sí</t>
        </is>
      </c>
      <c r="O1784" s="6">
        <f>IF(K1784="","",IF(N1784="Sí",ROUND(K1784/1.18,2),K1784))</f>
        <v/>
      </c>
      <c r="P1784" s="3" t="inlineStr">
        <is>
          <t>2026-09-10</t>
        </is>
      </c>
      <c r="Q1784" s="4" t="inlineStr">
        <is>
          <t>Bellón</t>
        </is>
      </c>
      <c r="AF1784" s="4" t="inlineStr">
        <is>
          <t>tipo: reduccion-bushing · material: PVC · medida: 6" x 3"</t>
        </is>
      </c>
    </row>
    <row r="1785">
      <c r="A1785" s="3" t="inlineStr">
        <is>
          <t>MAT-32-431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PVC 6" x 4"</t>
        </is>
      </c>
      <c r="E1785" s="4" t="inlineStr"/>
      <c r="F1785" s="3" t="inlineStr">
        <is>
          <t>unidad</t>
        </is>
      </c>
      <c r="G1785" s="3" t="inlineStr">
        <is>
          <t>Instalaciones</t>
        </is>
      </c>
      <c r="H1785" s="3" t="inlineStr">
        <is>
          <t>estandar</t>
        </is>
      </c>
      <c r="I1785" s="3" t="inlineStr">
        <is>
          <t>importado</t>
        </is>
      </c>
      <c r="J1785" s="5" t="n">
        <v>1</v>
      </c>
      <c r="K1785" s="6" t="n">
        <v>702</v>
      </c>
      <c r="L1785" s="6" t="n">
        <v>702</v>
      </c>
      <c r="M1785" s="6" t="n">
        <v>702</v>
      </c>
      <c r="N1785" s="3" t="inlineStr">
        <is>
          <t>Sí</t>
        </is>
      </c>
      <c r="O1785" s="6">
        <f>IF(K1785="","",IF(N1785="Sí",ROUND(K1785/1.18,2),K1785))</f>
        <v/>
      </c>
      <c r="P1785" s="3" t="inlineStr">
        <is>
          <t>2026-09-09</t>
        </is>
      </c>
      <c r="Q1785" s="4" t="inlineStr">
        <is>
          <t>Ferretería Cima</t>
        </is>
      </c>
      <c r="AF1785" s="4" t="inlineStr">
        <is>
          <t>tipo: reduccion-bushing · material: PVC · medida: 6" x 4"</t>
        </is>
      </c>
    </row>
    <row r="1786">
      <c r="A1786" s="3" t="inlineStr">
        <is>
          <t>MAT-32-432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PVC presión 1 1/2" x 1/2"</t>
        </is>
      </c>
      <c r="E1786" s="4" t="inlineStr"/>
      <c r="F1786" s="3" t="inlineStr">
        <is>
          <t>unidad</t>
        </is>
      </c>
      <c r="G1786" s="3" t="inlineStr">
        <is>
          <t>Instalaciones</t>
        </is>
      </c>
      <c r="H1786" s="3" t="inlineStr">
        <is>
          <t>estandar</t>
        </is>
      </c>
      <c r="I1786" s="3" t="inlineStr">
        <is>
          <t>importado</t>
        </is>
      </c>
      <c r="J1786" s="5" t="n">
        <v>1</v>
      </c>
      <c r="K1786" s="6" t="n">
        <v>26.85</v>
      </c>
      <c r="L1786" s="6" t="n">
        <v>26.85</v>
      </c>
      <c r="M1786" s="6" t="n">
        <v>26.85</v>
      </c>
      <c r="N1786" s="3" t="inlineStr">
        <is>
          <t>Sí</t>
        </is>
      </c>
      <c r="O1786" s="6">
        <f>IF(K1786="","",IF(N1786="Sí",ROUND(K1786/1.18,2),K1786))</f>
        <v/>
      </c>
      <c r="P1786" s="3" t="inlineStr">
        <is>
          <t>2026-09-09</t>
        </is>
      </c>
      <c r="Q1786" s="4" t="inlineStr">
        <is>
          <t>Ferretería MC</t>
        </is>
      </c>
      <c r="AF1786" s="4" t="inlineStr">
        <is>
          <t>tipo: reduccion-bushing · material: PVC presión · medida: 1 1/2" x 1/2"</t>
        </is>
      </c>
    </row>
    <row r="1787">
      <c r="A1787" s="3" t="inlineStr">
        <is>
          <t>MAT-32-433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PVC presión 1 1/2" x 1"</t>
        </is>
      </c>
      <c r="E1787" s="4" t="inlineStr"/>
      <c r="F1787" s="3" t="inlineStr">
        <is>
          <t>unidad</t>
        </is>
      </c>
      <c r="G1787" s="3" t="inlineStr">
        <is>
          <t>Instalaciones</t>
        </is>
      </c>
      <c r="H1787" s="3" t="inlineStr">
        <is>
          <t>estandar</t>
        </is>
      </c>
      <c r="I1787" s="3" t="inlineStr">
        <is>
          <t>importado</t>
        </is>
      </c>
      <c r="J1787" s="5" t="n">
        <v>1</v>
      </c>
      <c r="K1787" s="6" t="n">
        <v>26.41</v>
      </c>
      <c r="L1787" s="6" t="n">
        <v>26.41</v>
      </c>
      <c r="M1787" s="6" t="n">
        <v>26.41</v>
      </c>
      <c r="N1787" s="3" t="inlineStr">
        <is>
          <t>Sí</t>
        </is>
      </c>
      <c r="O1787" s="6">
        <f>IF(K1787="","",IF(N1787="Sí",ROUND(K1787/1.18,2),K1787))</f>
        <v/>
      </c>
      <c r="P1787" s="3" t="inlineStr">
        <is>
          <t>2026-09-09</t>
        </is>
      </c>
      <c r="Q1787" s="4" t="inlineStr">
        <is>
          <t>Ferretería MC</t>
        </is>
      </c>
      <c r="AF1787" s="4" t="inlineStr">
        <is>
          <t>tipo: reduccion-bushing · material: PVC presión · medida: 1 1/2" x 1"</t>
        </is>
      </c>
    </row>
    <row r="1788">
      <c r="A1788" s="3" t="inlineStr">
        <is>
          <t>MAT-32-434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PVC presión 1 1/2" x 3/4"</t>
        </is>
      </c>
      <c r="E1788" s="4" t="inlineStr"/>
      <c r="F1788" s="3" t="inlineStr">
        <is>
          <t>unidad</t>
        </is>
      </c>
      <c r="G1788" s="3" t="inlineStr">
        <is>
          <t>Instalaciones</t>
        </is>
      </c>
      <c r="H1788" s="3" t="inlineStr">
        <is>
          <t>estandar</t>
        </is>
      </c>
      <c r="I1788" s="3" t="inlineStr">
        <is>
          <t>importado</t>
        </is>
      </c>
      <c r="J1788" s="5" t="n">
        <v>2</v>
      </c>
      <c r="K1788" s="6" t="n">
        <v>21.36</v>
      </c>
      <c r="L1788" s="6" t="n">
        <v>10.48</v>
      </c>
      <c r="M1788" s="6" t="n">
        <v>35</v>
      </c>
      <c r="N1788" s="3" t="inlineStr">
        <is>
          <t>Sí</t>
        </is>
      </c>
      <c r="O1788" s="6">
        <f>IF(K1788="","",IF(N1788="Sí",ROUND(K1788/1.18,2),K1788))</f>
        <v/>
      </c>
      <c r="P1788" s="3" t="inlineStr">
        <is>
          <t>2026-09-10</t>
        </is>
      </c>
      <c r="Q1788" s="4" t="inlineStr">
        <is>
          <t>Bellón · Ferretería MC</t>
        </is>
      </c>
      <c r="AF1788" s="4" t="inlineStr">
        <is>
          <t>tipo: reduccion-bushing · material: PVC presión · medida: 1 1/2" x 3/4"</t>
        </is>
      </c>
    </row>
    <row r="1789">
      <c r="A1789" s="3" t="inlineStr">
        <is>
          <t>MAT-32-435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PVC presión 12" x 8"</t>
        </is>
      </c>
      <c r="E1789" s="4" t="inlineStr"/>
      <c r="F1789" s="3" t="inlineStr">
        <is>
          <t>unidad</t>
        </is>
      </c>
      <c r="G1789" s="3" t="inlineStr">
        <is>
          <t>Instalaciones</t>
        </is>
      </c>
      <c r="H1789" s="3" t="inlineStr">
        <is>
          <t>estandar</t>
        </is>
      </c>
      <c r="I1789" s="3" t="inlineStr">
        <is>
          <t>importado</t>
        </is>
      </c>
      <c r="J1789" s="5" t="n">
        <v>1</v>
      </c>
      <c r="K1789" s="6" t="n">
        <v>15891.21</v>
      </c>
      <c r="L1789" s="6" t="n">
        <v>15891.21</v>
      </c>
      <c r="M1789" s="6" t="n">
        <v>15891.21</v>
      </c>
      <c r="N1789" s="3" t="inlineStr">
        <is>
          <t>Sí</t>
        </is>
      </c>
      <c r="O1789" s="6">
        <f>IF(K1789="","",IF(N1789="Sí",ROUND(K1789/1.18,2),K1789))</f>
        <v/>
      </c>
      <c r="P1789" s="3" t="inlineStr">
        <is>
          <t>2026-09-10</t>
        </is>
      </c>
      <c r="Q1789" s="4" t="inlineStr">
        <is>
          <t>Bellón</t>
        </is>
      </c>
      <c r="AF1789" s="4" t="inlineStr">
        <is>
          <t>tipo: reduccion-bushing · material: PVC presión · medida: 12" x 8"</t>
        </is>
      </c>
    </row>
    <row r="1790">
      <c r="A1790" s="3" t="inlineStr">
        <is>
          <t>MAT-32-436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PVC presión 1" x 1/2"</t>
        </is>
      </c>
      <c r="E1790" s="4" t="inlineStr"/>
      <c r="F1790" s="3" t="inlineStr">
        <is>
          <t>unidad</t>
        </is>
      </c>
      <c r="G1790" s="3" t="inlineStr">
        <is>
          <t>Instalaciones</t>
        </is>
      </c>
      <c r="H1790" s="3" t="inlineStr">
        <is>
          <t>estandar</t>
        </is>
      </c>
      <c r="I1790" s="3" t="inlineStr">
        <is>
          <t>importado</t>
        </is>
      </c>
      <c r="J1790" s="5" t="n">
        <v>1</v>
      </c>
      <c r="K1790" s="6" t="n">
        <v>10.56</v>
      </c>
      <c r="L1790" s="6" t="n">
        <v>10.56</v>
      </c>
      <c r="M1790" s="6" t="n">
        <v>10.56</v>
      </c>
      <c r="N1790" s="3" t="inlineStr">
        <is>
          <t>Sí</t>
        </is>
      </c>
      <c r="O1790" s="6">
        <f>IF(K1790="","",IF(N1790="Sí",ROUND(K1790/1.18,2),K1790))</f>
        <v/>
      </c>
      <c r="P1790" s="3" t="inlineStr">
        <is>
          <t>2026-09-09</t>
        </is>
      </c>
      <c r="Q1790" s="4" t="inlineStr">
        <is>
          <t>Ferretería MC</t>
        </is>
      </c>
      <c r="AF1790" s="4" t="inlineStr">
        <is>
          <t>tipo: reduccion-bushing · material: PVC presión · medida: 1" x 1/2"</t>
        </is>
      </c>
    </row>
    <row r="1791">
      <c r="A1791" s="3" t="inlineStr">
        <is>
          <t>MAT-32-437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PVC presión 1" x 3/4"</t>
        </is>
      </c>
      <c r="E1791" s="4" t="inlineStr"/>
      <c r="F1791" s="3" t="inlineStr">
        <is>
          <t>unidad</t>
        </is>
      </c>
      <c r="G1791" s="3" t="inlineStr">
        <is>
          <t>Instalaciones</t>
        </is>
      </c>
      <c r="H1791" s="3" t="inlineStr">
        <is>
          <t>estandar</t>
        </is>
      </c>
      <c r="I1791" s="3" t="inlineStr">
        <is>
          <t>importado</t>
        </is>
      </c>
      <c r="J1791" s="5" t="n">
        <v>1</v>
      </c>
      <c r="K1791" s="6" t="n">
        <v>8.300000000000001</v>
      </c>
      <c r="L1791" s="6" t="n">
        <v>8.300000000000001</v>
      </c>
      <c r="M1791" s="6" t="n">
        <v>8.300000000000001</v>
      </c>
      <c r="N1791" s="3" t="inlineStr">
        <is>
          <t>Sí</t>
        </is>
      </c>
      <c r="O1791" s="6">
        <f>IF(K1791="","",IF(N1791="Sí",ROUND(K1791/1.18,2),K1791))</f>
        <v/>
      </c>
      <c r="P1791" s="3" t="inlineStr">
        <is>
          <t>2026-09-09</t>
        </is>
      </c>
      <c r="Q1791" s="4" t="inlineStr">
        <is>
          <t>Ferretería MC</t>
        </is>
      </c>
      <c r="AF1791" s="4" t="inlineStr">
        <is>
          <t>tipo: reduccion-bushing · material: PVC presión · medida: 1" x 3/4"</t>
        </is>
      </c>
    </row>
    <row r="1792">
      <c r="A1792" s="3" t="inlineStr">
        <is>
          <t>MAT-32-438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PVC presión 2" x 1 1/2"</t>
        </is>
      </c>
      <c r="E1792" s="4" t="inlineStr"/>
      <c r="F1792" s="3" t="inlineStr">
        <is>
          <t>unidad</t>
        </is>
      </c>
      <c r="G1792" s="3" t="inlineStr">
        <is>
          <t>Instalaciones</t>
        </is>
      </c>
      <c r="H1792" s="3" t="inlineStr">
        <is>
          <t>estandar</t>
        </is>
      </c>
      <c r="I1792" s="3" t="inlineStr">
        <is>
          <t>importado</t>
        </is>
      </c>
      <c r="J1792" s="5" t="n">
        <v>1</v>
      </c>
      <c r="K1792" s="6" t="n">
        <v>22.93</v>
      </c>
      <c r="L1792" s="6" t="n">
        <v>22.93</v>
      </c>
      <c r="M1792" s="6" t="n">
        <v>22.93</v>
      </c>
      <c r="N1792" s="3" t="inlineStr">
        <is>
          <t>Sí</t>
        </is>
      </c>
      <c r="O1792" s="6">
        <f>IF(K1792="","",IF(N1792="Sí",ROUND(K1792/1.18,2),K1792))</f>
        <v/>
      </c>
      <c r="P1792" s="3" t="inlineStr">
        <is>
          <t>2026-09-09</t>
        </is>
      </c>
      <c r="Q1792" s="4" t="inlineStr">
        <is>
          <t>Ferretería MC</t>
        </is>
      </c>
      <c r="AF1792" s="4" t="inlineStr">
        <is>
          <t>tipo: reduccion-bushing · material: PVC presión · medida: 2" x 1 1/2"</t>
        </is>
      </c>
    </row>
    <row r="1793">
      <c r="A1793" s="3" t="inlineStr">
        <is>
          <t>MAT-32-439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PVC presión 2" x 1/2"</t>
        </is>
      </c>
      <c r="E1793" s="4" t="inlineStr"/>
      <c r="F1793" s="3" t="inlineStr">
        <is>
          <t>unidad</t>
        </is>
      </c>
      <c r="G1793" s="3" t="inlineStr">
        <is>
          <t>Instalaciones</t>
        </is>
      </c>
      <c r="H1793" s="3" t="inlineStr">
        <is>
          <t>estandar</t>
        </is>
      </c>
      <c r="I1793" s="3" t="inlineStr">
        <is>
          <t>importado</t>
        </is>
      </c>
      <c r="J1793" s="5" t="n">
        <v>1</v>
      </c>
      <c r="K1793" s="6" t="n">
        <v>30.85</v>
      </c>
      <c r="L1793" s="6" t="n">
        <v>30.85</v>
      </c>
      <c r="M1793" s="6" t="n">
        <v>30.85</v>
      </c>
      <c r="N1793" s="3" t="inlineStr">
        <is>
          <t>Sí</t>
        </is>
      </c>
      <c r="O1793" s="6">
        <f>IF(K1793="","",IF(N1793="Sí",ROUND(K1793/1.18,2),K1793))</f>
        <v/>
      </c>
      <c r="P1793" s="3" t="inlineStr">
        <is>
          <t>2026-09-09</t>
        </is>
      </c>
      <c r="Q1793" s="4" t="inlineStr">
        <is>
          <t>Ferretería MC</t>
        </is>
      </c>
      <c r="AF1793" s="4" t="inlineStr">
        <is>
          <t>tipo: reduccion-bushing · material: PVC presión · medida: 2" x 1/2"</t>
        </is>
      </c>
    </row>
    <row r="1794">
      <c r="A1794" s="3" t="inlineStr">
        <is>
          <t>MAT-32-440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PVC presión 2" x 1"</t>
        </is>
      </c>
      <c r="E1794" s="4" t="inlineStr"/>
      <c r="F1794" s="3" t="inlineStr">
        <is>
          <t>unidad</t>
        </is>
      </c>
      <c r="G1794" s="3" t="inlineStr">
        <is>
          <t>Instalaciones</t>
        </is>
      </c>
      <c r="H1794" s="3" t="inlineStr">
        <is>
          <t>estandar</t>
        </is>
      </c>
      <c r="I1794" s="3" t="inlineStr">
        <is>
          <t>importado</t>
        </is>
      </c>
      <c r="J1794" s="5" t="n">
        <v>1</v>
      </c>
      <c r="K1794" s="6" t="n">
        <v>33.22</v>
      </c>
      <c r="L1794" s="6" t="n">
        <v>33.22</v>
      </c>
      <c r="M1794" s="6" t="n">
        <v>33.22</v>
      </c>
      <c r="N1794" s="3" t="inlineStr">
        <is>
          <t>Sí</t>
        </is>
      </c>
      <c r="O1794" s="6">
        <f>IF(K1794="","",IF(N1794="Sí",ROUND(K1794/1.18,2),K1794))</f>
        <v/>
      </c>
      <c r="P1794" s="3" t="inlineStr">
        <is>
          <t>2026-09-09</t>
        </is>
      </c>
      <c r="Q1794" s="4" t="inlineStr">
        <is>
          <t>Ferretería MC</t>
        </is>
      </c>
      <c r="AF1794" s="4" t="inlineStr">
        <is>
          <t>tipo: reduccion-bushing · material: PVC presión · medida: 2" x 1"</t>
        </is>
      </c>
    </row>
    <row r="1795">
      <c r="A1795" s="3" t="inlineStr">
        <is>
          <t>MAT-32-441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PVC presión 2" x 3/4"</t>
        </is>
      </c>
      <c r="E1795" s="4" t="inlineStr"/>
      <c r="F1795" s="3" t="inlineStr">
        <is>
          <t>unidad</t>
        </is>
      </c>
      <c r="G1795" s="3" t="inlineStr">
        <is>
          <t>Instalaciones</t>
        </is>
      </c>
      <c r="H1795" s="3" t="inlineStr">
        <is>
          <t>estandar</t>
        </is>
      </c>
      <c r="I1795" s="3" t="inlineStr">
        <is>
          <t>importado</t>
        </is>
      </c>
      <c r="J1795" s="5" t="n">
        <v>1</v>
      </c>
      <c r="K1795" s="6" t="n">
        <v>40.34</v>
      </c>
      <c r="L1795" s="6" t="n">
        <v>40.34</v>
      </c>
      <c r="M1795" s="6" t="n">
        <v>40.34</v>
      </c>
      <c r="N1795" s="3" t="inlineStr">
        <is>
          <t>Sí</t>
        </is>
      </c>
      <c r="O1795" s="6">
        <f>IF(K1795="","",IF(N1795="Sí",ROUND(K1795/1.18,2),K1795))</f>
        <v/>
      </c>
      <c r="P1795" s="3" t="inlineStr">
        <is>
          <t>2026-09-09</t>
        </is>
      </c>
      <c r="Q1795" s="4" t="inlineStr">
        <is>
          <t>Ferretería MC</t>
        </is>
      </c>
      <c r="AF1795" s="4" t="inlineStr">
        <is>
          <t>tipo: reduccion-bushing · material: PVC presión · medida: 2" x 3/4"</t>
        </is>
      </c>
    </row>
    <row r="1796">
      <c r="A1796" s="3" t="inlineStr">
        <is>
          <t>MAT-32-442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PVC presión 3/4" x 1/2"</t>
        </is>
      </c>
      <c r="E1796" s="4" t="inlineStr"/>
      <c r="F1796" s="3" t="inlineStr">
        <is>
          <t>unidad</t>
        </is>
      </c>
      <c r="G1796" s="3" t="inlineStr">
        <is>
          <t>Instalaciones</t>
        </is>
      </c>
      <c r="H1796" s="3" t="inlineStr">
        <is>
          <t>estandar</t>
        </is>
      </c>
      <c r="I1796" s="3" t="inlineStr">
        <is>
          <t>importado</t>
        </is>
      </c>
      <c r="J1796" s="5" t="n">
        <v>1</v>
      </c>
      <c r="K1796" s="6" t="n">
        <v>4.96</v>
      </c>
      <c r="L1796" s="6" t="n">
        <v>4.96</v>
      </c>
      <c r="M1796" s="6" t="n">
        <v>4.96</v>
      </c>
      <c r="N1796" s="3" t="inlineStr">
        <is>
          <t>Sí</t>
        </is>
      </c>
      <c r="O1796" s="6">
        <f>IF(K1796="","",IF(N1796="Sí",ROUND(K1796/1.18,2),K1796))</f>
        <v/>
      </c>
      <c r="P1796" s="3" t="inlineStr">
        <is>
          <t>2026-09-09</t>
        </is>
      </c>
      <c r="Q1796" s="4" t="inlineStr">
        <is>
          <t>Ferretería MC</t>
        </is>
      </c>
      <c r="AF1796" s="4" t="inlineStr">
        <is>
          <t>tipo: reduccion-bushing · material: PVC presión · medida: 3/4" x 1/2"</t>
        </is>
      </c>
    </row>
    <row r="1797">
      <c r="A1797" s="3" t="inlineStr">
        <is>
          <t>MAT-32-443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PVC presión 3" x 1 1/2"</t>
        </is>
      </c>
      <c r="E1797" s="4" t="inlineStr"/>
      <c r="F1797" s="3" t="inlineStr">
        <is>
          <t>unidad</t>
        </is>
      </c>
      <c r="G1797" s="3" t="inlineStr">
        <is>
          <t>Instalaciones</t>
        </is>
      </c>
      <c r="H1797" s="3" t="inlineStr">
        <is>
          <t>estandar</t>
        </is>
      </c>
      <c r="I1797" s="3" t="inlineStr">
        <is>
          <t>importado</t>
        </is>
      </c>
      <c r="J1797" s="5" t="n">
        <v>1</v>
      </c>
      <c r="K1797" s="6" t="n">
        <v>205.82</v>
      </c>
      <c r="L1797" s="6" t="n">
        <v>61.64</v>
      </c>
      <c r="M1797" s="6" t="n">
        <v>350</v>
      </c>
      <c r="N1797" s="3" t="inlineStr">
        <is>
          <t>Sí</t>
        </is>
      </c>
      <c r="O1797" s="6">
        <f>IF(K1797="","",IF(N1797="Sí",ROUND(K1797/1.18,2),K1797))</f>
        <v/>
      </c>
      <c r="P1797" s="3" t="inlineStr">
        <is>
          <t>2026-09-10</t>
        </is>
      </c>
      <c r="Q1797" s="4" t="inlineStr">
        <is>
          <t>Bellón</t>
        </is>
      </c>
      <c r="AF1797" s="4" t="inlineStr">
        <is>
          <t>tipo: reduccion-bushing · material: PVC presión · medida: 3" x 1 1/2"</t>
        </is>
      </c>
    </row>
    <row r="1798">
      <c r="A1798" s="3" t="inlineStr">
        <is>
          <t>MAT-32-444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presión 3" x 1"</t>
        </is>
      </c>
      <c r="E1798" s="4" t="inlineStr"/>
      <c r="F1798" s="3" t="inlineStr">
        <is>
          <t>unidad</t>
        </is>
      </c>
      <c r="G1798" s="3" t="inlineStr">
        <is>
          <t>Instalaciones</t>
        </is>
      </c>
      <c r="H1798" s="3" t="inlineStr">
        <is>
          <t>estandar</t>
        </is>
      </c>
      <c r="I1798" s="3" t="inlineStr">
        <is>
          <t>importado</t>
        </is>
      </c>
      <c r="J1798" s="5" t="n">
        <v>1</v>
      </c>
      <c r="K1798" s="6" t="n">
        <v>350</v>
      </c>
      <c r="L1798" s="6" t="n">
        <v>350</v>
      </c>
      <c r="M1798" s="6" t="n">
        <v>350</v>
      </c>
      <c r="N1798" s="3" t="inlineStr">
        <is>
          <t>Sí</t>
        </is>
      </c>
      <c r="O1798" s="6">
        <f>IF(K1798="","",IF(N1798="Sí",ROUND(K1798/1.18,2),K1798))</f>
        <v/>
      </c>
      <c r="P1798" s="3" t="inlineStr">
        <is>
          <t>2026-09-10</t>
        </is>
      </c>
      <c r="Q1798" s="4" t="inlineStr">
        <is>
          <t>Bellón</t>
        </is>
      </c>
      <c r="AF1798" s="4" t="inlineStr">
        <is>
          <t>tipo: reduccion-bushing · material: PVC presión · medida: 3" x 1"</t>
        </is>
      </c>
    </row>
    <row r="1799">
      <c r="A1799" s="3" t="inlineStr">
        <is>
          <t>MAT-32-445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presión 4" x 2"</t>
        </is>
      </c>
      <c r="E1799" s="4" t="inlineStr"/>
      <c r="F1799" s="3" t="inlineStr">
        <is>
          <t>unidad</t>
        </is>
      </c>
      <c r="G1799" s="3" t="inlineStr">
        <is>
          <t>Instalaciones</t>
        </is>
      </c>
      <c r="H1799" s="3" t="inlineStr">
        <is>
          <t>estandar</t>
        </is>
      </c>
      <c r="I1799" s="3" t="inlineStr">
        <is>
          <t>importado</t>
        </is>
      </c>
      <c r="J1799" s="5" t="n">
        <v>1</v>
      </c>
      <c r="K1799" s="6" t="n">
        <v>195</v>
      </c>
      <c r="L1799" s="6" t="n">
        <v>195</v>
      </c>
      <c r="M1799" s="6" t="n">
        <v>195</v>
      </c>
      <c r="N1799" s="3" t="inlineStr">
        <is>
          <t>Sí</t>
        </is>
      </c>
      <c r="O1799" s="6">
        <f>IF(K1799="","",IF(N1799="Sí",ROUND(K1799/1.18,2),K1799))</f>
        <v/>
      </c>
      <c r="P1799" s="3" t="inlineStr">
        <is>
          <t>2026-09-10</t>
        </is>
      </c>
      <c r="Q1799" s="4" t="inlineStr">
        <is>
          <t>Bellón</t>
        </is>
      </c>
      <c r="AF1799" s="4" t="inlineStr">
        <is>
          <t>tipo: reduccion-bushing · material: PVC presión · medida: 4" x 2"</t>
        </is>
      </c>
    </row>
    <row r="1800">
      <c r="A1800" s="3" t="inlineStr">
        <is>
          <t>MAT-32-446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presión 6" x 4"</t>
        </is>
      </c>
      <c r="E1800" s="4" t="inlineStr"/>
      <c r="F1800" s="3" t="inlineStr">
        <is>
          <t>unidad</t>
        </is>
      </c>
      <c r="G1800" s="3" t="inlineStr">
        <is>
          <t>Instalaciones</t>
        </is>
      </c>
      <c r="H1800" s="3" t="inlineStr">
        <is>
          <t>estandar</t>
        </is>
      </c>
      <c r="I1800" s="3" t="inlineStr">
        <is>
          <t>importado</t>
        </is>
      </c>
      <c r="J1800" s="5" t="n">
        <v>1</v>
      </c>
      <c r="K1800" s="6" t="n">
        <v>435.5</v>
      </c>
      <c r="L1800" s="6" t="n">
        <v>136</v>
      </c>
      <c r="M1800" s="6" t="n">
        <v>735</v>
      </c>
      <c r="N1800" s="3" t="inlineStr">
        <is>
          <t>Sí</t>
        </is>
      </c>
      <c r="O1800" s="6">
        <f>IF(K1800="","",IF(N1800="Sí",ROUND(K1800/1.18,2),K1800))</f>
        <v/>
      </c>
      <c r="P1800" s="3" t="inlineStr">
        <is>
          <t>2026-09-10</t>
        </is>
      </c>
      <c r="Q1800" s="4" t="inlineStr">
        <is>
          <t>Bellón</t>
        </is>
      </c>
      <c r="AF1800" s="4" t="inlineStr">
        <is>
          <t>tipo: reduccion-bushing · material: PVC presión · medida: 6" x 4"</t>
        </is>
      </c>
    </row>
    <row r="1801">
      <c r="A1801" s="3" t="inlineStr">
        <is>
          <t>MAT-32-447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presión 8" x 6"</t>
        </is>
      </c>
      <c r="E1801" s="4" t="inlineStr"/>
      <c r="F1801" s="3" t="inlineStr">
        <is>
          <t>unidad</t>
        </is>
      </c>
      <c r="G1801" s="3" t="inlineStr">
        <is>
          <t>Instalaciones</t>
        </is>
      </c>
      <c r="H1801" s="3" t="inlineStr">
        <is>
          <t>estandar</t>
        </is>
      </c>
      <c r="I1801" s="3" t="inlineStr">
        <is>
          <t>importado</t>
        </is>
      </c>
      <c r="J1801" s="5" t="n">
        <v>1</v>
      </c>
      <c r="K1801" s="6" t="n">
        <v>3880</v>
      </c>
      <c r="L1801" s="6" t="n">
        <v>3880</v>
      </c>
      <c r="M1801" s="6" t="n">
        <v>3880</v>
      </c>
      <c r="N1801" s="3" t="inlineStr">
        <is>
          <t>Sí</t>
        </is>
      </c>
      <c r="O1801" s="6">
        <f>IF(K1801="","",IF(N1801="Sí",ROUND(K1801/1.18,2),K1801))</f>
        <v/>
      </c>
      <c r="P1801" s="3" t="inlineStr">
        <is>
          <t>2026-09-10</t>
        </is>
      </c>
      <c r="Q1801" s="4" t="inlineStr">
        <is>
          <t>Bellón</t>
        </is>
      </c>
      <c r="AF1801" s="4" t="inlineStr">
        <is>
          <t>tipo: reduccion-bushing · material: PVC presión · medida: 8" x 6"</t>
        </is>
      </c>
    </row>
    <row r="1802">
      <c r="A1802" s="3" t="inlineStr">
        <is>
          <t>MAT-32-448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de cobre 1 3/8" x 5/8"</t>
        </is>
      </c>
      <c r="E1802" s="4" t="inlineStr"/>
      <c r="F1802" s="3" t="inlineStr">
        <is>
          <t>unidad</t>
        </is>
      </c>
      <c r="G1802" s="3" t="inlineStr">
        <is>
          <t>Instalaciones</t>
        </is>
      </c>
      <c r="H1802" s="3" t="inlineStr">
        <is>
          <t>estandar</t>
        </is>
      </c>
      <c r="I1802" s="3" t="inlineStr">
        <is>
          <t>importado</t>
        </is>
      </c>
      <c r="J1802" s="5" t="n">
        <v>1</v>
      </c>
      <c r="K1802" s="6" t="n">
        <v>121</v>
      </c>
      <c r="L1802" s="6" t="n">
        <v>121</v>
      </c>
      <c r="M1802" s="6" t="n">
        <v>121</v>
      </c>
      <c r="N1802" s="3" t="inlineStr">
        <is>
          <t>Sí</t>
        </is>
      </c>
      <c r="O1802" s="6">
        <f>IF(K1802="","",IF(N1802="Sí",ROUND(K1802/1.18,2),K1802))</f>
        <v/>
      </c>
      <c r="P1802" s="3" t="inlineStr">
        <is>
          <t>2026-09-10</t>
        </is>
      </c>
      <c r="Q1802" s="4" t="inlineStr">
        <is>
          <t>Bellón</t>
        </is>
      </c>
      <c r="AF1802" s="4" t="inlineStr">
        <is>
          <t>tipo: reduccion · material: cobre · medida: 1 3/8" x 5/8"</t>
        </is>
      </c>
    </row>
    <row r="1803">
      <c r="A1803" s="3" t="inlineStr">
        <is>
          <t>MAT-32-449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de cobre 1 5/8" x 1 1/8"</t>
        </is>
      </c>
      <c r="E1803" s="4" t="inlineStr"/>
      <c r="F1803" s="3" t="inlineStr">
        <is>
          <t>unidad</t>
        </is>
      </c>
      <c r="G1803" s="3" t="inlineStr">
        <is>
          <t>Instalaciones</t>
        </is>
      </c>
      <c r="H1803" s="3" t="inlineStr">
        <is>
          <t>estandar</t>
        </is>
      </c>
      <c r="I1803" s="3" t="inlineStr">
        <is>
          <t>importado</t>
        </is>
      </c>
      <c r="J1803" s="5" t="n">
        <v>1</v>
      </c>
      <c r="K1803" s="6" t="n">
        <v>159</v>
      </c>
      <c r="L1803" s="6" t="n">
        <v>159</v>
      </c>
      <c r="M1803" s="6" t="n">
        <v>159</v>
      </c>
      <c r="N1803" s="3" t="inlineStr">
        <is>
          <t>Sí</t>
        </is>
      </c>
      <c r="O1803" s="6">
        <f>IF(K1803="","",IF(N1803="Sí",ROUND(K1803/1.18,2),K1803))</f>
        <v/>
      </c>
      <c r="P1803" s="3" t="inlineStr">
        <is>
          <t>2026-09-10</t>
        </is>
      </c>
      <c r="Q1803" s="4" t="inlineStr">
        <is>
          <t>Bellón</t>
        </is>
      </c>
      <c r="AF1803" s="4" t="inlineStr">
        <is>
          <t>tipo: reduccion · material: cobre · medida: 1 5/8" x 1 1/8"</t>
        </is>
      </c>
    </row>
    <row r="1804">
      <c r="A1804" s="3" t="inlineStr">
        <is>
          <t>MAT-32-450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de cobre 7/8" x 5/8"</t>
        </is>
      </c>
      <c r="E1804" s="4" t="inlineStr"/>
      <c r="F1804" s="3" t="inlineStr">
        <is>
          <t>unidad</t>
        </is>
      </c>
      <c r="G1804" s="3" t="inlineStr">
        <is>
          <t>Instalaciones</t>
        </is>
      </c>
      <c r="H1804" s="3" t="inlineStr">
        <is>
          <t>estandar</t>
        </is>
      </c>
      <c r="I1804" s="3" t="inlineStr">
        <is>
          <t>importado</t>
        </is>
      </c>
      <c r="J1804" s="5" t="n">
        <v>1</v>
      </c>
      <c r="K1804" s="6" t="n">
        <v>48.07</v>
      </c>
      <c r="L1804" s="6" t="n">
        <v>48.07</v>
      </c>
      <c r="M1804" s="6" t="n">
        <v>48.07</v>
      </c>
      <c r="N1804" s="3" t="inlineStr">
        <is>
          <t>Sí</t>
        </is>
      </c>
      <c r="O1804" s="6">
        <f>IF(K1804="","",IF(N1804="Sí",ROUND(K1804/1.18,2),K1804))</f>
        <v/>
      </c>
      <c r="P1804" s="3" t="inlineStr">
        <is>
          <t>2026-09-10</t>
        </is>
      </c>
      <c r="Q1804" s="4" t="inlineStr">
        <is>
          <t>Bellón</t>
        </is>
      </c>
      <c r="AF1804" s="4" t="inlineStr">
        <is>
          <t>tipo: reduccion · material: cobre · medida: 7/8" x 5/8"</t>
        </is>
      </c>
    </row>
    <row r="1805">
      <c r="A1805" s="3" t="inlineStr">
        <is>
          <t>MAT-32-451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de HG 1 1/2" x 1 1/4"</t>
        </is>
      </c>
      <c r="E1805" s="4" t="inlineStr"/>
      <c r="F1805" s="3" t="inlineStr">
        <is>
          <t>unidad</t>
        </is>
      </c>
      <c r="G1805" s="3" t="inlineStr">
        <is>
          <t>Instalaciones</t>
        </is>
      </c>
      <c r="H1805" s="3" t="inlineStr">
        <is>
          <t>estandar</t>
        </is>
      </c>
      <c r="I1805" s="3" t="inlineStr">
        <is>
          <t>importado</t>
        </is>
      </c>
      <c r="J1805" s="5" t="n">
        <v>1</v>
      </c>
      <c r="K1805" s="6" t="n">
        <v>120</v>
      </c>
      <c r="L1805" s="6" t="n">
        <v>120</v>
      </c>
      <c r="M1805" s="6" t="n">
        <v>120</v>
      </c>
      <c r="N1805" s="3" t="inlineStr">
        <is>
          <t>Sí</t>
        </is>
      </c>
      <c r="O1805" s="6">
        <f>IF(K1805="","",IF(N1805="Sí",ROUND(K1805/1.18,2),K1805))</f>
        <v/>
      </c>
      <c r="P1805" s="3" t="inlineStr">
        <is>
          <t>2026-09-10</t>
        </is>
      </c>
      <c r="Q1805" s="4" t="inlineStr">
        <is>
          <t>Bellón</t>
        </is>
      </c>
      <c r="AF1805" s="4" t="inlineStr">
        <is>
          <t>tipo: reduccion · material: HG · medida: 1 1/2" x 1 1/4"</t>
        </is>
      </c>
    </row>
    <row r="1806">
      <c r="A1806" s="3" t="inlineStr">
        <is>
          <t>MAT-32-452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de HG 1 1/2" x 1/2"</t>
        </is>
      </c>
      <c r="E1806" s="4" t="inlineStr"/>
      <c r="F1806" s="3" t="inlineStr">
        <is>
          <t>unidad</t>
        </is>
      </c>
      <c r="G1806" s="3" t="inlineStr">
        <is>
          <t>Instalaciones</t>
        </is>
      </c>
      <c r="H1806" s="3" t="inlineStr">
        <is>
          <t>estandar</t>
        </is>
      </c>
      <c r="I1806" s="3" t="inlineStr">
        <is>
          <t>importado</t>
        </is>
      </c>
      <c r="J1806" s="5" t="n">
        <v>1</v>
      </c>
      <c r="K1806" s="6" t="n">
        <v>83</v>
      </c>
      <c r="L1806" s="6" t="n">
        <v>83</v>
      </c>
      <c r="M1806" s="6" t="n">
        <v>83</v>
      </c>
      <c r="N1806" s="3" t="inlineStr">
        <is>
          <t>Sí</t>
        </is>
      </c>
      <c r="O1806" s="6">
        <f>IF(K1806="","",IF(N1806="Sí",ROUND(K1806/1.18,2),K1806))</f>
        <v/>
      </c>
      <c r="P1806" s="3" t="inlineStr">
        <is>
          <t>2026-09-10</t>
        </is>
      </c>
      <c r="Q1806" s="4" t="inlineStr">
        <is>
          <t>Bellón</t>
        </is>
      </c>
      <c r="AF1806" s="4" t="inlineStr">
        <is>
          <t>tipo: reduccion · material: HG · medida: 1 1/2" x 1/2"</t>
        </is>
      </c>
    </row>
    <row r="1807">
      <c r="A1807" s="3" t="inlineStr">
        <is>
          <t>MAT-32-453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de HG 1 1/2" x 1"</t>
        </is>
      </c>
      <c r="E1807" s="4" t="inlineStr"/>
      <c r="F1807" s="3" t="inlineStr">
        <is>
          <t>unidad</t>
        </is>
      </c>
      <c r="G1807" s="3" t="inlineStr">
        <is>
          <t>Instalaciones</t>
        </is>
      </c>
      <c r="H1807" s="3" t="inlineStr">
        <is>
          <t>estandar</t>
        </is>
      </c>
      <c r="I1807" s="3" t="inlineStr">
        <is>
          <t>importado</t>
        </is>
      </c>
      <c r="J1807" s="5" t="n">
        <v>2</v>
      </c>
      <c r="K1807" s="6" t="n">
        <v>175</v>
      </c>
      <c r="L1807" s="6" t="n">
        <v>113</v>
      </c>
      <c r="M1807" s="6" t="n">
        <v>237</v>
      </c>
      <c r="N1807" s="3" t="inlineStr">
        <is>
          <t>Sí</t>
        </is>
      </c>
      <c r="O1807" s="6">
        <f>IF(K1807="","",IF(N1807="Sí",ROUND(K1807/1.18,2),K1807))</f>
        <v/>
      </c>
      <c r="P1807" s="3" t="inlineStr">
        <is>
          <t>2026-09-10</t>
        </is>
      </c>
      <c r="Q1807" s="4" t="inlineStr">
        <is>
          <t>Bellón · Ferretería Cima</t>
        </is>
      </c>
      <c r="AF1807" s="4" t="inlineStr">
        <is>
          <t>tipo: reduccion · material: HG · medida: 1 1/2" x 1"</t>
        </is>
      </c>
    </row>
    <row r="1808">
      <c r="A1808" s="3" t="inlineStr">
        <is>
          <t>MAT-32-454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de HG 1 1/4" x 1"</t>
        </is>
      </c>
      <c r="E1808" s="4" t="inlineStr"/>
      <c r="F1808" s="3" t="inlineStr">
        <is>
          <t>unidad</t>
        </is>
      </c>
      <c r="G1808" s="3" t="inlineStr">
        <is>
          <t>Instalaciones</t>
        </is>
      </c>
      <c r="H1808" s="3" t="inlineStr">
        <is>
          <t>estandar</t>
        </is>
      </c>
      <c r="I1808" s="3" t="inlineStr">
        <is>
          <t>importado</t>
        </is>
      </c>
      <c r="J1808" s="5" t="n">
        <v>1</v>
      </c>
      <c r="K1808" s="6" t="n">
        <v>62</v>
      </c>
      <c r="L1808" s="6" t="n">
        <v>62</v>
      </c>
      <c r="M1808" s="6" t="n">
        <v>62</v>
      </c>
      <c r="N1808" s="3" t="inlineStr">
        <is>
          <t>Sí</t>
        </is>
      </c>
      <c r="O1808" s="6">
        <f>IF(K1808="","",IF(N1808="Sí",ROUND(K1808/1.18,2),K1808))</f>
        <v/>
      </c>
      <c r="P1808" s="3" t="inlineStr">
        <is>
          <t>2026-09-10</t>
        </is>
      </c>
      <c r="Q1808" s="4" t="inlineStr">
        <is>
          <t>Bellón</t>
        </is>
      </c>
      <c r="AF1808" s="4" t="inlineStr">
        <is>
          <t>tipo: reduccion · material: HG · medida: 1 1/4" x 1"</t>
        </is>
      </c>
    </row>
    <row r="1809">
      <c r="A1809" s="3" t="inlineStr">
        <is>
          <t>MAT-32-455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de HG 1/2" x 1/4"</t>
        </is>
      </c>
      <c r="E1809" s="4" t="inlineStr"/>
      <c r="F1809" s="3" t="inlineStr">
        <is>
          <t>unidad</t>
        </is>
      </c>
      <c r="G1809" s="3" t="inlineStr">
        <is>
          <t>Instalaciones</t>
        </is>
      </c>
      <c r="H1809" s="3" t="inlineStr">
        <is>
          <t>estandar</t>
        </is>
      </c>
      <c r="I1809" s="3" t="inlineStr">
        <is>
          <t>importado</t>
        </is>
      </c>
      <c r="J1809" s="5" t="n">
        <v>1</v>
      </c>
      <c r="K1809" s="6" t="n">
        <v>36.34</v>
      </c>
      <c r="L1809" s="6" t="n">
        <v>36.34</v>
      </c>
      <c r="M1809" s="6" t="n">
        <v>36.34</v>
      </c>
      <c r="N1809" s="3" t="inlineStr">
        <is>
          <t>Sí</t>
        </is>
      </c>
      <c r="O1809" s="6">
        <f>IF(K1809="","",IF(N1809="Sí",ROUND(K1809/1.18,2),K1809))</f>
        <v/>
      </c>
      <c r="P1809" s="3" t="inlineStr">
        <is>
          <t>2026-09-10</t>
        </is>
      </c>
      <c r="Q1809" s="4" t="inlineStr">
        <is>
          <t>Bellón</t>
        </is>
      </c>
      <c r="AF1809" s="4" t="inlineStr">
        <is>
          <t>tipo: reduccion · material: HG · medida: 1/2" x 1/4"</t>
        </is>
      </c>
    </row>
    <row r="1810">
      <c r="A1810" s="3" t="inlineStr">
        <is>
          <t>MAT-32-456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de HG 1/2" x 3/8"</t>
        </is>
      </c>
      <c r="E1810" s="4" t="inlineStr"/>
      <c r="F1810" s="3" t="inlineStr">
        <is>
          <t>unidad</t>
        </is>
      </c>
      <c r="G1810" s="3" t="inlineStr">
        <is>
          <t>Instalaciones</t>
        </is>
      </c>
      <c r="H1810" s="3" t="inlineStr">
        <is>
          <t>estandar</t>
        </is>
      </c>
      <c r="I1810" s="3" t="inlineStr">
        <is>
          <t>importado</t>
        </is>
      </c>
      <c r="J1810" s="5" t="n">
        <v>2</v>
      </c>
      <c r="K1810" s="6" t="n">
        <v>53.13</v>
      </c>
      <c r="L1810" s="6" t="n">
        <v>36.25</v>
      </c>
      <c r="M1810" s="6" t="n">
        <v>70</v>
      </c>
      <c r="N1810" s="3" t="inlineStr">
        <is>
          <t>Sí</t>
        </is>
      </c>
      <c r="O1810" s="6">
        <f>IF(K1810="","",IF(N1810="Sí",ROUND(K1810/1.18,2),K1810))</f>
        <v/>
      </c>
      <c r="P1810" s="3" t="inlineStr">
        <is>
          <t>2026-09-10</t>
        </is>
      </c>
      <c r="Q1810" s="4" t="inlineStr">
        <is>
          <t>Bellón · Ferretería Cima</t>
        </is>
      </c>
      <c r="AF1810" s="4" t="inlineStr">
        <is>
          <t>tipo: reduccion · material: HG · medida: 1/2" x 3/8"</t>
        </is>
      </c>
    </row>
    <row r="1811">
      <c r="A1811" s="3" t="inlineStr">
        <is>
          <t>MAT-32-457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de HG 1" x 1/2"</t>
        </is>
      </c>
      <c r="E1811" s="4" t="inlineStr"/>
      <c r="F1811" s="3" t="inlineStr">
        <is>
          <t>unidad</t>
        </is>
      </c>
      <c r="G1811" s="3" t="inlineStr">
        <is>
          <t>Instalaciones</t>
        </is>
      </c>
      <c r="H1811" s="3" t="inlineStr">
        <is>
          <t>estandar</t>
        </is>
      </c>
      <c r="I1811" s="3" t="inlineStr">
        <is>
          <t>importado</t>
        </is>
      </c>
      <c r="J1811" s="5" t="n">
        <v>2</v>
      </c>
      <c r="K1811" s="6" t="n">
        <v>71</v>
      </c>
      <c r="L1811" s="6" t="n">
        <v>47</v>
      </c>
      <c r="M1811" s="6" t="n">
        <v>95</v>
      </c>
      <c r="N1811" s="3" t="inlineStr">
        <is>
          <t>Sí</t>
        </is>
      </c>
      <c r="O1811" s="6">
        <f>IF(K1811="","",IF(N1811="Sí",ROUND(K1811/1.18,2),K1811))</f>
        <v/>
      </c>
      <c r="P1811" s="3" t="inlineStr">
        <is>
          <t>2026-09-10</t>
        </is>
      </c>
      <c r="Q1811" s="4" t="inlineStr">
        <is>
          <t>Bellón · Ferretería Cima</t>
        </is>
      </c>
      <c r="AF1811" s="4" t="inlineStr">
        <is>
          <t>tipo: reduccion · material: HG · medida: 1" x 1/2"</t>
        </is>
      </c>
    </row>
    <row r="1812">
      <c r="A1812" s="3" t="inlineStr">
        <is>
          <t>MAT-32-458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de HG 1" x 3/4"</t>
        </is>
      </c>
      <c r="E1812" s="4" t="inlineStr"/>
      <c r="F1812" s="3" t="inlineStr">
        <is>
          <t>unidad</t>
        </is>
      </c>
      <c r="G1812" s="3" t="inlineStr">
        <is>
          <t>Instalaciones</t>
        </is>
      </c>
      <c r="H1812" s="3" t="inlineStr">
        <is>
          <t>estandar</t>
        </is>
      </c>
      <c r="I1812" s="3" t="inlineStr">
        <is>
          <t>importado</t>
        </is>
      </c>
      <c r="J1812" s="5" t="n">
        <v>2</v>
      </c>
      <c r="K1812" s="6" t="n">
        <v>74.48</v>
      </c>
      <c r="L1812" s="6" t="n">
        <v>47.96</v>
      </c>
      <c r="M1812" s="6" t="n">
        <v>101</v>
      </c>
      <c r="N1812" s="3" t="inlineStr">
        <is>
          <t>Sí</t>
        </is>
      </c>
      <c r="O1812" s="6">
        <f>IF(K1812="","",IF(N1812="Sí",ROUND(K1812/1.18,2),K1812))</f>
        <v/>
      </c>
      <c r="P1812" s="3" t="inlineStr">
        <is>
          <t>2026-09-10</t>
        </is>
      </c>
      <c r="Q1812" s="4" t="inlineStr">
        <is>
          <t>Bellón · Ferretería Cima</t>
        </is>
      </c>
      <c r="AF1812" s="4" t="inlineStr">
        <is>
          <t>tipo: reduccion · material: HG · medida: 1" x 3/4"</t>
        </is>
      </c>
    </row>
    <row r="1813">
      <c r="A1813" s="3" t="inlineStr">
        <is>
          <t>MAT-32-459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de HG 2" x 1 1/2"</t>
        </is>
      </c>
      <c r="E1813" s="4" t="inlineStr"/>
      <c r="F1813" s="3" t="inlineStr">
        <is>
          <t>unidad</t>
        </is>
      </c>
      <c r="G1813" s="3" t="inlineStr">
        <is>
          <t>Instalaciones</t>
        </is>
      </c>
      <c r="H1813" s="3" t="inlineStr">
        <is>
          <t>estandar</t>
        </is>
      </c>
      <c r="I1813" s="3" t="inlineStr">
        <is>
          <t>importado</t>
        </is>
      </c>
      <c r="J1813" s="5" t="n">
        <v>1</v>
      </c>
      <c r="K1813" s="6" t="n">
        <v>135</v>
      </c>
      <c r="L1813" s="6" t="n">
        <v>135</v>
      </c>
      <c r="M1813" s="6" t="n">
        <v>135</v>
      </c>
      <c r="N1813" s="3" t="inlineStr">
        <is>
          <t>Sí</t>
        </is>
      </c>
      <c r="O1813" s="6">
        <f>IF(K1813="","",IF(N1813="Sí",ROUND(K1813/1.18,2),K1813))</f>
        <v/>
      </c>
      <c r="P1813" s="3" t="inlineStr">
        <is>
          <t>2026-09-10</t>
        </is>
      </c>
      <c r="Q1813" s="4" t="inlineStr">
        <is>
          <t>Bellón</t>
        </is>
      </c>
      <c r="AF1813" s="4" t="inlineStr">
        <is>
          <t>tipo: reduccion · material: HG · medida: 2" x 1 1/2"</t>
        </is>
      </c>
    </row>
    <row r="1814">
      <c r="A1814" s="3" t="inlineStr">
        <is>
          <t>MAT-32-460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de HG 2" x 1"</t>
        </is>
      </c>
      <c r="E1814" s="4" t="inlineStr"/>
      <c r="F1814" s="3" t="inlineStr">
        <is>
          <t>unidad</t>
        </is>
      </c>
      <c r="G1814" s="3" t="inlineStr">
        <is>
          <t>Instalaciones</t>
        </is>
      </c>
      <c r="H1814" s="3" t="inlineStr">
        <is>
          <t>estandar</t>
        </is>
      </c>
      <c r="I1814" s="3" t="inlineStr">
        <is>
          <t>importado</t>
        </is>
      </c>
      <c r="J1814" s="5" t="n">
        <v>1</v>
      </c>
      <c r="K1814" s="6" t="n">
        <v>117</v>
      </c>
      <c r="L1814" s="6" t="n">
        <v>117</v>
      </c>
      <c r="M1814" s="6" t="n">
        <v>117</v>
      </c>
      <c r="N1814" s="3" t="inlineStr">
        <is>
          <t>Sí</t>
        </is>
      </c>
      <c r="O1814" s="6">
        <f>IF(K1814="","",IF(N1814="Sí",ROUND(K1814/1.18,2),K1814))</f>
        <v/>
      </c>
      <c r="P1814" s="3" t="inlineStr">
        <is>
          <t>2026-09-10</t>
        </is>
      </c>
      <c r="Q1814" s="4" t="inlineStr">
        <is>
          <t>Bellón</t>
        </is>
      </c>
      <c r="AF1814" s="4" t="inlineStr">
        <is>
          <t>tipo: reduccion · material: HG · medida: 2" x 1"</t>
        </is>
      </c>
    </row>
    <row r="1815">
      <c r="A1815" s="3" t="inlineStr">
        <is>
          <t>MAT-32-461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de HG 3/4" x 1/2"</t>
        </is>
      </c>
      <c r="E1815" s="4" t="inlineStr"/>
      <c r="F1815" s="3" t="inlineStr">
        <is>
          <t>unidad</t>
        </is>
      </c>
      <c r="G1815" s="3" t="inlineStr">
        <is>
          <t>Instalaciones</t>
        </is>
      </c>
      <c r="H1815" s="3" t="inlineStr">
        <is>
          <t>estandar</t>
        </is>
      </c>
      <c r="I1815" s="3" t="inlineStr">
        <is>
          <t>importado</t>
        </is>
      </c>
      <c r="J1815" s="5" t="n">
        <v>1</v>
      </c>
      <c r="K1815" s="6" t="n">
        <v>34</v>
      </c>
      <c r="L1815" s="6" t="n">
        <v>34</v>
      </c>
      <c r="M1815" s="6" t="n">
        <v>34</v>
      </c>
      <c r="N1815" s="3" t="inlineStr">
        <is>
          <t>Sí</t>
        </is>
      </c>
      <c r="O1815" s="6">
        <f>IF(K1815="","",IF(N1815="Sí",ROUND(K1815/1.18,2),K1815))</f>
        <v/>
      </c>
      <c r="P1815" s="3" t="inlineStr">
        <is>
          <t>2026-09-10</t>
        </is>
      </c>
      <c r="Q1815" s="4" t="inlineStr">
        <is>
          <t>Bellón</t>
        </is>
      </c>
      <c r="AF1815" s="4" t="inlineStr">
        <is>
          <t>tipo: reduccion · material: HG · medida: 3/4" x 1/2"</t>
        </is>
      </c>
    </row>
    <row r="1816">
      <c r="A1816" s="3" t="inlineStr">
        <is>
          <t>MAT-32-462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de HG 3/4" x 3/8"</t>
        </is>
      </c>
      <c r="E1816" s="4" t="inlineStr"/>
      <c r="F1816" s="3" t="inlineStr">
        <is>
          <t>unidad</t>
        </is>
      </c>
      <c r="G1816" s="3" t="inlineStr">
        <is>
          <t>Instalaciones</t>
        </is>
      </c>
      <c r="H1816" s="3" t="inlineStr">
        <is>
          <t>estandar</t>
        </is>
      </c>
      <c r="I1816" s="3" t="inlineStr">
        <is>
          <t>importado</t>
        </is>
      </c>
      <c r="J1816" s="5" t="n">
        <v>1</v>
      </c>
      <c r="K1816" s="6" t="n">
        <v>26.32</v>
      </c>
      <c r="L1816" s="6" t="n">
        <v>26.32</v>
      </c>
      <c r="M1816" s="6" t="n">
        <v>26.32</v>
      </c>
      <c r="N1816" s="3" t="inlineStr">
        <is>
          <t>Sí</t>
        </is>
      </c>
      <c r="O1816" s="6">
        <f>IF(K1816="","",IF(N1816="Sí",ROUND(K1816/1.18,2),K1816))</f>
        <v/>
      </c>
      <c r="P1816" s="3" t="inlineStr">
        <is>
          <t>2026-09-10</t>
        </is>
      </c>
      <c r="Q1816" s="4" t="inlineStr">
        <is>
          <t>Bellón</t>
        </is>
      </c>
      <c r="AF1816" s="4" t="inlineStr">
        <is>
          <t>tipo: reduccion · material: HG · medida: 3/4" x 3/8"</t>
        </is>
      </c>
    </row>
    <row r="1817">
      <c r="A1817" s="3" t="inlineStr">
        <is>
          <t>MAT-32-463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de HG 3" x 2"</t>
        </is>
      </c>
      <c r="E1817" s="4" t="inlineStr"/>
      <c r="F1817" s="3" t="inlineStr">
        <is>
          <t>unidad</t>
        </is>
      </c>
      <c r="G1817" s="3" t="inlineStr">
        <is>
          <t>Instalaciones</t>
        </is>
      </c>
      <c r="H1817" s="3" t="inlineStr">
        <is>
          <t>estandar</t>
        </is>
      </c>
      <c r="I1817" s="3" t="inlineStr">
        <is>
          <t>importado</t>
        </is>
      </c>
      <c r="J1817" s="5" t="n">
        <v>1</v>
      </c>
      <c r="K1817" s="6" t="n">
        <v>440</v>
      </c>
      <c r="L1817" s="6" t="n">
        <v>440</v>
      </c>
      <c r="M1817" s="6" t="n">
        <v>440</v>
      </c>
      <c r="N1817" s="3" t="inlineStr">
        <is>
          <t>Sí</t>
        </is>
      </c>
      <c r="O1817" s="6">
        <f>IF(K1817="","",IF(N1817="Sí",ROUND(K1817/1.18,2),K1817))</f>
        <v/>
      </c>
      <c r="P1817" s="3" t="inlineStr">
        <is>
          <t>2026-09-10</t>
        </is>
      </c>
      <c r="Q1817" s="4" t="inlineStr">
        <is>
          <t>Bellón</t>
        </is>
      </c>
      <c r="AF1817" s="4" t="inlineStr">
        <is>
          <t>tipo: reduccion · material: HG · medida: 3" x 2"</t>
        </is>
      </c>
    </row>
    <row r="1818">
      <c r="A1818" s="3" t="inlineStr">
        <is>
          <t>MAT-32-464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de plástico 1 1/2" x 1"</t>
        </is>
      </c>
      <c r="E1818" s="4" t="inlineStr"/>
      <c r="F1818" s="3" t="inlineStr">
        <is>
          <t>unidad</t>
        </is>
      </c>
      <c r="G1818" s="3" t="inlineStr">
        <is>
          <t>Instalaciones</t>
        </is>
      </c>
      <c r="H1818" s="3" t="inlineStr">
        <is>
          <t>estandar</t>
        </is>
      </c>
      <c r="I1818" s="3" t="inlineStr">
        <is>
          <t>importado</t>
        </is>
      </c>
      <c r="J1818" s="5" t="n">
        <v>1</v>
      </c>
      <c r="K1818" s="6" t="n">
        <v>7.36</v>
      </c>
      <c r="L1818" s="6" t="n">
        <v>7.36</v>
      </c>
      <c r="M1818" s="6" t="n">
        <v>7.36</v>
      </c>
      <c r="N1818" s="3" t="inlineStr">
        <is>
          <t>Sí</t>
        </is>
      </c>
      <c r="O1818" s="6">
        <f>IF(K1818="","",IF(N1818="Sí",ROUND(K1818/1.18,2),K1818))</f>
        <v/>
      </c>
      <c r="P1818" s="3" t="inlineStr">
        <is>
          <t>2026-09-10</t>
        </is>
      </c>
      <c r="Q1818" s="4" t="inlineStr">
        <is>
          <t>Bellón</t>
        </is>
      </c>
      <c r="AF1818" s="4" t="inlineStr">
        <is>
          <t>tipo: reduccion · material: plástico · medida: 1 1/2" x 1"</t>
        </is>
      </c>
    </row>
    <row r="1819">
      <c r="A1819" s="3" t="inlineStr">
        <is>
          <t>MAT-32-465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de plástico 1 1/2" x 7/8"</t>
        </is>
      </c>
      <c r="E1819" s="4" t="inlineStr"/>
      <c r="F1819" s="3" t="inlineStr">
        <is>
          <t>unidad</t>
        </is>
      </c>
      <c r="G1819" s="3" t="inlineStr">
        <is>
          <t>Instalaciones</t>
        </is>
      </c>
      <c r="H1819" s="3" t="inlineStr">
        <is>
          <t>estandar</t>
        </is>
      </c>
      <c r="I1819" s="3" t="inlineStr">
        <is>
          <t>importado</t>
        </is>
      </c>
      <c r="J1819" s="5" t="n">
        <v>1</v>
      </c>
      <c r="K1819" s="6" t="n">
        <v>3.5</v>
      </c>
      <c r="L1819" s="6" t="n">
        <v>3.5</v>
      </c>
      <c r="M1819" s="6" t="n">
        <v>3.5</v>
      </c>
      <c r="N1819" s="3" t="inlineStr">
        <is>
          <t>Sí</t>
        </is>
      </c>
      <c r="O1819" s="6">
        <f>IF(K1819="","",IF(N1819="Sí",ROUND(K1819/1.18,2),K1819))</f>
        <v/>
      </c>
      <c r="P1819" s="3" t="inlineStr">
        <is>
          <t>2026-09-10</t>
        </is>
      </c>
      <c r="Q1819" s="4" t="inlineStr">
        <is>
          <t>Bellón</t>
        </is>
      </c>
      <c r="AF1819" s="4" t="inlineStr">
        <is>
          <t>tipo: reduccion · material: plástico · medida: 1 1/2" x 7/8"</t>
        </is>
      </c>
    </row>
    <row r="1820">
      <c r="A1820" s="3" t="inlineStr">
        <is>
          <t>MAT-32-466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de plástico 1 1/4" x 1/2"</t>
        </is>
      </c>
      <c r="E1820" s="4" t="inlineStr"/>
      <c r="F1820" s="3" t="inlineStr">
        <is>
          <t>unidad</t>
        </is>
      </c>
      <c r="G1820" s="3" t="inlineStr">
        <is>
          <t>Instalaciones</t>
        </is>
      </c>
      <c r="H1820" s="3" t="inlineStr">
        <is>
          <t>estandar</t>
        </is>
      </c>
      <c r="I1820" s="3" t="inlineStr">
        <is>
          <t>importado</t>
        </is>
      </c>
      <c r="J1820" s="5" t="n">
        <v>1</v>
      </c>
      <c r="K1820" s="6" t="n">
        <v>10.35</v>
      </c>
      <c r="L1820" s="6" t="n">
        <v>10.35</v>
      </c>
      <c r="M1820" s="6" t="n">
        <v>10.35</v>
      </c>
      <c r="N1820" s="3" t="inlineStr">
        <is>
          <t>Sí</t>
        </is>
      </c>
      <c r="O1820" s="6">
        <f>IF(K1820="","",IF(N1820="Sí",ROUND(K1820/1.18,2),K1820))</f>
        <v/>
      </c>
      <c r="P1820" s="3" t="inlineStr">
        <is>
          <t>2026-09-10</t>
        </is>
      </c>
      <c r="Q1820" s="4" t="inlineStr">
        <is>
          <t>Bellón</t>
        </is>
      </c>
      <c r="AF1820" s="4" t="inlineStr">
        <is>
          <t>tipo: reduccion · material: plástico · medida: 1 1/4" x 1/2"</t>
        </is>
      </c>
    </row>
    <row r="1821">
      <c r="A1821" s="3" t="inlineStr">
        <is>
          <t>MAT-32-467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de plástico 1 1/4" x 3/4"</t>
        </is>
      </c>
      <c r="E1821" s="4" t="inlineStr"/>
      <c r="F1821" s="3" t="inlineStr">
        <is>
          <t>unidad</t>
        </is>
      </c>
      <c r="G1821" s="3" t="inlineStr">
        <is>
          <t>Instalaciones</t>
        </is>
      </c>
      <c r="H1821" s="3" t="inlineStr">
        <is>
          <t>estandar</t>
        </is>
      </c>
      <c r="I1821" s="3" t="inlineStr">
        <is>
          <t>importado</t>
        </is>
      </c>
      <c r="J1821" s="5" t="n">
        <v>1</v>
      </c>
      <c r="K1821" s="6" t="n">
        <v>2.33</v>
      </c>
      <c r="L1821" s="6" t="n">
        <v>2.33</v>
      </c>
      <c r="M1821" s="6" t="n">
        <v>2.33</v>
      </c>
      <c r="N1821" s="3" t="inlineStr">
        <is>
          <t>Sí</t>
        </is>
      </c>
      <c r="O1821" s="6">
        <f>IF(K1821="","",IF(N1821="Sí",ROUND(K1821/1.18,2),K1821))</f>
        <v/>
      </c>
      <c r="P1821" s="3" t="inlineStr">
        <is>
          <t>2026-09-10</t>
        </is>
      </c>
      <c r="Q1821" s="4" t="inlineStr">
        <is>
          <t>Bellón</t>
        </is>
      </c>
      <c r="AF1821" s="4" t="inlineStr">
        <is>
          <t>tipo: reduccion · material: plástico · medida: 1 1/4" x 3/4"</t>
        </is>
      </c>
    </row>
    <row r="1822">
      <c r="A1822" s="3" t="inlineStr">
        <is>
          <t>MAT-32-468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de plástico 1 1/4" x 5/8"</t>
        </is>
      </c>
      <c r="E1822" s="4" t="inlineStr"/>
      <c r="F1822" s="3" t="inlineStr">
        <is>
          <t>unidad</t>
        </is>
      </c>
      <c r="G1822" s="3" t="inlineStr">
        <is>
          <t>Instalaciones</t>
        </is>
      </c>
      <c r="H1822" s="3" t="inlineStr">
        <is>
          <t>estandar</t>
        </is>
      </c>
      <c r="I1822" s="3" t="inlineStr">
        <is>
          <t>importado</t>
        </is>
      </c>
      <c r="J1822" s="5" t="n">
        <v>1</v>
      </c>
      <c r="K1822" s="6" t="n">
        <v>2.44</v>
      </c>
      <c r="L1822" s="6" t="n">
        <v>2.44</v>
      </c>
      <c r="M1822" s="6" t="n">
        <v>2.44</v>
      </c>
      <c r="N1822" s="3" t="inlineStr">
        <is>
          <t>Sí</t>
        </is>
      </c>
      <c r="O1822" s="6">
        <f>IF(K1822="","",IF(N1822="Sí",ROUND(K1822/1.18,2),K1822))</f>
        <v/>
      </c>
      <c r="P1822" s="3" t="inlineStr">
        <is>
          <t>2026-09-10</t>
        </is>
      </c>
      <c r="Q1822" s="4" t="inlineStr">
        <is>
          <t>Bellón</t>
        </is>
      </c>
      <c r="AF1822" s="4" t="inlineStr">
        <is>
          <t>tipo: reduccion · material: plástico · medida: 1 1/4" x 5/8"</t>
        </is>
      </c>
    </row>
    <row r="1823">
      <c r="A1823" s="3" t="inlineStr">
        <is>
          <t>MAT-32-469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de plástico 1 1/4" x 7/8"</t>
        </is>
      </c>
      <c r="E1823" s="4" t="inlineStr"/>
      <c r="F1823" s="3" t="inlineStr">
        <is>
          <t>unidad</t>
        </is>
      </c>
      <c r="G1823" s="3" t="inlineStr">
        <is>
          <t>Instalaciones</t>
        </is>
      </c>
      <c r="H1823" s="3" t="inlineStr">
        <is>
          <t>estandar</t>
        </is>
      </c>
      <c r="I1823" s="3" t="inlineStr">
        <is>
          <t>importado</t>
        </is>
      </c>
      <c r="J1823" s="5" t="n">
        <v>1</v>
      </c>
      <c r="K1823" s="6" t="n">
        <v>8.800000000000001</v>
      </c>
      <c r="L1823" s="6" t="n">
        <v>8.800000000000001</v>
      </c>
      <c r="M1823" s="6" t="n">
        <v>8.800000000000001</v>
      </c>
      <c r="N1823" s="3" t="inlineStr">
        <is>
          <t>Sí</t>
        </is>
      </c>
      <c r="O1823" s="6">
        <f>IF(K1823="","",IF(N1823="Sí",ROUND(K1823/1.18,2),K1823))</f>
        <v/>
      </c>
      <c r="P1823" s="3" t="inlineStr">
        <is>
          <t>2026-09-10</t>
        </is>
      </c>
      <c r="Q1823" s="4" t="inlineStr">
        <is>
          <t>Bellón</t>
        </is>
      </c>
      <c r="AF1823" s="4" t="inlineStr">
        <is>
          <t>tipo: reduccion · material: plástico · medida: 1 1/4" x 7/8"</t>
        </is>
      </c>
    </row>
    <row r="1824">
      <c r="A1824" s="3" t="inlineStr">
        <is>
          <t>MAT-32-470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de PPR 20 mm</t>
        </is>
      </c>
      <c r="E1824" s="4" t="inlineStr"/>
      <c r="F1824" s="3" t="inlineStr">
        <is>
          <t>unidad</t>
        </is>
      </c>
      <c r="G1824" s="3" t="inlineStr">
        <is>
          <t>Instalaciones</t>
        </is>
      </c>
      <c r="H1824" s="3" t="inlineStr">
        <is>
          <t>estandar</t>
        </is>
      </c>
      <c r="I1824" s="3" t="inlineStr">
        <is>
          <t>importado</t>
        </is>
      </c>
      <c r="J1824" s="5" t="n">
        <v>1</v>
      </c>
      <c r="K1824" s="6" t="n">
        <v>6.84</v>
      </c>
      <c r="L1824" s="6" t="n">
        <v>5.59</v>
      </c>
      <c r="M1824" s="6" t="n">
        <v>8.08</v>
      </c>
      <c r="N1824" s="3" t="inlineStr">
        <is>
          <t>Sí</t>
        </is>
      </c>
      <c r="O1824" s="6">
        <f>IF(K1824="","",IF(N1824="Sí",ROUND(K1824/1.18,2),K1824))</f>
        <v/>
      </c>
      <c r="P1824" s="3" t="inlineStr">
        <is>
          <t>2026-09-10</t>
        </is>
      </c>
      <c r="Q1824" s="4" t="inlineStr">
        <is>
          <t>Bellón</t>
        </is>
      </c>
      <c r="AF1824" s="4" t="inlineStr">
        <is>
          <t>tipo: reduccion · material: PPR · medida: 20 mm</t>
        </is>
      </c>
    </row>
    <row r="1825">
      <c r="A1825" s="3" t="inlineStr">
        <is>
          <t>MAT-32-471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de PPR 25 mm</t>
        </is>
      </c>
      <c r="E1825" s="4" t="inlineStr"/>
      <c r="F1825" s="3" t="inlineStr">
        <is>
          <t>unidad</t>
        </is>
      </c>
      <c r="G1825" s="3" t="inlineStr">
        <is>
          <t>Instalaciones</t>
        </is>
      </c>
      <c r="H1825" s="3" t="inlineStr">
        <is>
          <t>estandar</t>
        </is>
      </c>
      <c r="I1825" s="3" t="inlineStr">
        <is>
          <t>importado</t>
        </is>
      </c>
      <c r="J1825" s="5" t="n">
        <v>1</v>
      </c>
      <c r="K1825" s="6" t="n">
        <v>13.91</v>
      </c>
      <c r="L1825" s="6" t="n">
        <v>7.98</v>
      </c>
      <c r="M1825" s="6" t="n">
        <v>19.84</v>
      </c>
      <c r="N1825" s="3" t="inlineStr">
        <is>
          <t>Sí</t>
        </is>
      </c>
      <c r="O1825" s="6">
        <f>IF(K1825="","",IF(N1825="Sí",ROUND(K1825/1.18,2),K1825))</f>
        <v/>
      </c>
      <c r="P1825" s="3" t="inlineStr">
        <is>
          <t>2026-09-10</t>
        </is>
      </c>
      <c r="Q1825" s="4" t="inlineStr">
        <is>
          <t>Bellón</t>
        </is>
      </c>
      <c r="AF1825" s="4" t="inlineStr">
        <is>
          <t>tipo: reduccion · material: PPR · medida: 25 mm</t>
        </is>
      </c>
    </row>
    <row r="1826">
      <c r="A1826" s="3" t="inlineStr">
        <is>
          <t>MAT-32-472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de PPR 25 mm x 20 mm</t>
        </is>
      </c>
      <c r="E1826" s="4" t="inlineStr"/>
      <c r="F1826" s="3" t="inlineStr">
        <is>
          <t>unidad</t>
        </is>
      </c>
      <c r="G1826" s="3" t="inlineStr">
        <is>
          <t>Instalaciones</t>
        </is>
      </c>
      <c r="H1826" s="3" t="inlineStr">
        <is>
          <t>estandar</t>
        </is>
      </c>
      <c r="I1826" s="3" t="inlineStr">
        <is>
          <t>importado</t>
        </is>
      </c>
      <c r="J1826" s="5" t="n">
        <v>1</v>
      </c>
      <c r="K1826" s="6" t="n">
        <v>53</v>
      </c>
      <c r="L1826" s="6" t="n">
        <v>53</v>
      </c>
      <c r="M1826" s="6" t="n">
        <v>53</v>
      </c>
      <c r="N1826" s="3" t="inlineStr">
        <is>
          <t>Sí</t>
        </is>
      </c>
      <c r="O1826" s="6">
        <f>IF(K1826="","",IF(N1826="Sí",ROUND(K1826/1.18,2),K1826))</f>
        <v/>
      </c>
      <c r="P1826" s="3" t="inlineStr">
        <is>
          <t>2026-09-09</t>
        </is>
      </c>
      <c r="Q1826" s="4" t="inlineStr">
        <is>
          <t>Ferretería Cima</t>
        </is>
      </c>
      <c r="AF1826" s="4" t="inlineStr">
        <is>
          <t>tipo: reduccion · material: PPR · medida: 25 mm x 20 mm</t>
        </is>
      </c>
    </row>
    <row r="1827">
      <c r="A1827" s="3" t="inlineStr">
        <is>
          <t>MAT-32-473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de PPR 32 mm</t>
        </is>
      </c>
      <c r="E1827" s="4" t="inlineStr"/>
      <c r="F1827" s="3" t="inlineStr">
        <is>
          <t>unidad</t>
        </is>
      </c>
      <c r="G1827" s="3" t="inlineStr">
        <is>
          <t>Instalaciones</t>
        </is>
      </c>
      <c r="H1827" s="3" t="inlineStr">
        <is>
          <t>estandar</t>
        </is>
      </c>
      <c r="I1827" s="3" t="inlineStr">
        <is>
          <t>importado</t>
        </is>
      </c>
      <c r="J1827" s="5" t="n">
        <v>1</v>
      </c>
      <c r="K1827" s="6" t="n">
        <v>22.53</v>
      </c>
      <c r="L1827" s="6" t="n">
        <v>22.53</v>
      </c>
      <c r="M1827" s="6" t="n">
        <v>22.53</v>
      </c>
      <c r="N1827" s="3" t="inlineStr">
        <is>
          <t>Sí</t>
        </is>
      </c>
      <c r="O1827" s="6">
        <f>IF(K1827="","",IF(N1827="Sí",ROUND(K1827/1.18,2),K1827))</f>
        <v/>
      </c>
      <c r="P1827" s="3" t="inlineStr">
        <is>
          <t>2026-09-10</t>
        </is>
      </c>
      <c r="Q1827" s="4" t="inlineStr">
        <is>
          <t>Bellón</t>
        </is>
      </c>
      <c r="AF1827" s="4" t="inlineStr">
        <is>
          <t>tipo: reduccion · material: PPR · medida: 32 mm</t>
        </is>
      </c>
    </row>
    <row r="1828">
      <c r="A1828" s="3" t="inlineStr">
        <is>
          <t>MAT-32-474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de PVC drenaje 1 1/2" x 1"</t>
        </is>
      </c>
      <c r="E1828" s="4" t="inlineStr"/>
      <c r="F1828" s="3" t="inlineStr">
        <is>
          <t>unidad</t>
        </is>
      </c>
      <c r="G1828" s="3" t="inlineStr">
        <is>
          <t>Instalaciones</t>
        </is>
      </c>
      <c r="H1828" s="3" t="inlineStr">
        <is>
          <t>estandar</t>
        </is>
      </c>
      <c r="I1828" s="3" t="inlineStr">
        <is>
          <t>importado</t>
        </is>
      </c>
      <c r="J1828" s="5" t="n">
        <v>1</v>
      </c>
      <c r="K1828" s="6" t="n">
        <v>15</v>
      </c>
      <c r="L1828" s="6" t="n">
        <v>15</v>
      </c>
      <c r="M1828" s="6" t="n">
        <v>15</v>
      </c>
      <c r="N1828" s="3" t="inlineStr">
        <is>
          <t>Sí</t>
        </is>
      </c>
      <c r="O1828" s="6">
        <f>IF(K1828="","",IF(N1828="Sí",ROUND(K1828/1.18,2),K1828))</f>
        <v/>
      </c>
      <c r="P1828" s="3" t="inlineStr">
        <is>
          <t>2026-09-10</t>
        </is>
      </c>
      <c r="Q1828" s="4" t="inlineStr">
        <is>
          <t>Bellón</t>
        </is>
      </c>
      <c r="AF1828" s="4" t="inlineStr">
        <is>
          <t>tipo: reduccion · material: PVC drenaje · medida: 1 1/2" x 1"</t>
        </is>
      </c>
    </row>
    <row r="1829">
      <c r="A1829" s="3" t="inlineStr">
        <is>
          <t>MAT-32-475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de PVC drenaje 2" x 1/2"</t>
        </is>
      </c>
      <c r="E1829" s="4" t="inlineStr"/>
      <c r="F1829" s="3" t="inlineStr">
        <is>
          <t>unidad</t>
        </is>
      </c>
      <c r="G1829" s="3" t="inlineStr">
        <is>
          <t>Instalaciones</t>
        </is>
      </c>
      <c r="H1829" s="3" t="inlineStr">
        <is>
          <t>estandar</t>
        </is>
      </c>
      <c r="I1829" s="3" t="inlineStr">
        <is>
          <t>importado</t>
        </is>
      </c>
      <c r="J1829" s="5" t="n">
        <v>1</v>
      </c>
      <c r="K1829" s="6" t="n">
        <v>14.69</v>
      </c>
      <c r="L1829" s="6" t="n">
        <v>14.69</v>
      </c>
      <c r="M1829" s="6" t="n">
        <v>14.69</v>
      </c>
      <c r="N1829" s="3" t="inlineStr">
        <is>
          <t>Sí</t>
        </is>
      </c>
      <c r="O1829" s="6">
        <f>IF(K1829="","",IF(N1829="Sí",ROUND(K1829/1.18,2),K1829))</f>
        <v/>
      </c>
      <c r="P1829" s="3" t="inlineStr">
        <is>
          <t>2026-09-10</t>
        </is>
      </c>
      <c r="Q1829" s="4" t="inlineStr">
        <is>
          <t>Bellón</t>
        </is>
      </c>
      <c r="AF1829" s="4" t="inlineStr">
        <is>
          <t>tipo: reduccion · material: PVC drenaje · medida: 2" x 1/2"</t>
        </is>
      </c>
    </row>
    <row r="1830">
      <c r="A1830" s="3" t="inlineStr">
        <is>
          <t>MAT-32-476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de PVC drenaje 2" x 1"</t>
        </is>
      </c>
      <c r="E1830" s="4" t="inlineStr"/>
      <c r="F1830" s="3" t="inlineStr">
        <is>
          <t>unidad</t>
        </is>
      </c>
      <c r="G1830" s="3" t="inlineStr">
        <is>
          <t>Instalaciones</t>
        </is>
      </c>
      <c r="H1830" s="3" t="inlineStr">
        <is>
          <t>estandar</t>
        </is>
      </c>
      <c r="I1830" s="3" t="inlineStr">
        <is>
          <t>importado</t>
        </is>
      </c>
      <c r="J1830" s="5" t="n">
        <v>1</v>
      </c>
      <c r="K1830" s="6" t="n">
        <v>14.96</v>
      </c>
      <c r="L1830" s="6" t="n">
        <v>14.96</v>
      </c>
      <c r="M1830" s="6" t="n">
        <v>14.96</v>
      </c>
      <c r="N1830" s="3" t="inlineStr">
        <is>
          <t>Sí</t>
        </is>
      </c>
      <c r="O1830" s="6">
        <f>IF(K1830="","",IF(N1830="Sí",ROUND(K1830/1.18,2),K1830))</f>
        <v/>
      </c>
      <c r="P1830" s="3" t="inlineStr">
        <is>
          <t>2026-09-10</t>
        </is>
      </c>
      <c r="Q1830" s="4" t="inlineStr">
        <is>
          <t>Bellón</t>
        </is>
      </c>
      <c r="AF1830" s="4" t="inlineStr">
        <is>
          <t>tipo: reduccion · material: PVC drenaje · medida: 2" x 1"</t>
        </is>
      </c>
    </row>
    <row r="1831">
      <c r="A1831" s="3" t="inlineStr">
        <is>
          <t>MAT-32-477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de PVC drenaje 2" x 3/4"</t>
        </is>
      </c>
      <c r="E1831" s="4" t="inlineStr"/>
      <c r="F1831" s="3" t="inlineStr">
        <is>
          <t>unidad</t>
        </is>
      </c>
      <c r="G1831" s="3" t="inlineStr">
        <is>
          <t>Instalaciones</t>
        </is>
      </c>
      <c r="H1831" s="3" t="inlineStr">
        <is>
          <t>estandar</t>
        </is>
      </c>
      <c r="I1831" s="3" t="inlineStr">
        <is>
          <t>importado</t>
        </is>
      </c>
      <c r="J1831" s="5" t="n">
        <v>1</v>
      </c>
      <c r="K1831" s="6" t="n">
        <v>14.52</v>
      </c>
      <c r="L1831" s="6" t="n">
        <v>14.52</v>
      </c>
      <c r="M1831" s="6" t="n">
        <v>14.52</v>
      </c>
      <c r="N1831" s="3" t="inlineStr">
        <is>
          <t>Sí</t>
        </is>
      </c>
      <c r="O1831" s="6">
        <f>IF(K1831="","",IF(N1831="Sí",ROUND(K1831/1.18,2),K1831))</f>
        <v/>
      </c>
      <c r="P1831" s="3" t="inlineStr">
        <is>
          <t>2026-09-10</t>
        </is>
      </c>
      <c r="Q1831" s="4" t="inlineStr">
        <is>
          <t>Bellón</t>
        </is>
      </c>
      <c r="AF1831" s="4" t="inlineStr">
        <is>
          <t>tipo: reduccion · material: PVC drenaje · medida: 2" x 3/4"</t>
        </is>
      </c>
    </row>
    <row r="1832">
      <c r="A1832" s="3" t="inlineStr">
        <is>
          <t>MAT-32-478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de PVC drenaje 3" x 2"</t>
        </is>
      </c>
      <c r="E1832" s="4" t="inlineStr"/>
      <c r="F1832" s="3" t="inlineStr">
        <is>
          <t>unidad</t>
        </is>
      </c>
      <c r="G1832" s="3" t="inlineStr">
        <is>
          <t>Instalaciones</t>
        </is>
      </c>
      <c r="H1832" s="3" t="inlineStr">
        <is>
          <t>estandar</t>
        </is>
      </c>
      <c r="I1832" s="3" t="inlineStr">
        <is>
          <t>importado</t>
        </is>
      </c>
      <c r="J1832" s="5" t="n">
        <v>1</v>
      </c>
      <c r="K1832" s="6" t="n">
        <v>31.93</v>
      </c>
      <c r="L1832" s="6" t="n">
        <v>28.6</v>
      </c>
      <c r="M1832" s="6" t="n">
        <v>35.26</v>
      </c>
      <c r="N1832" s="3" t="inlineStr">
        <is>
          <t>Sí</t>
        </is>
      </c>
      <c r="O1832" s="6">
        <f>IF(K1832="","",IF(N1832="Sí",ROUND(K1832/1.18,2),K1832))</f>
        <v/>
      </c>
      <c r="P1832" s="3" t="inlineStr">
        <is>
          <t>2026-09-10</t>
        </is>
      </c>
      <c r="Q1832" s="4" t="inlineStr">
        <is>
          <t>Bellón</t>
        </is>
      </c>
      <c r="AF1832" s="4" t="inlineStr">
        <is>
          <t>tipo: reduccion · material: PVC drenaje · medida: 3" x 2"</t>
        </is>
      </c>
    </row>
    <row r="1833">
      <c r="A1833" s="3" t="inlineStr">
        <is>
          <t>MAT-32-479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de PVC drenaje 4" x 2"</t>
        </is>
      </c>
      <c r="E1833" s="4" t="inlineStr"/>
      <c r="F1833" s="3" t="inlineStr">
        <is>
          <t>unidad</t>
        </is>
      </c>
      <c r="G1833" s="3" t="inlineStr">
        <is>
          <t>Instalaciones</t>
        </is>
      </c>
      <c r="H1833" s="3" t="inlineStr">
        <is>
          <t>estandar</t>
        </is>
      </c>
      <c r="I1833" s="3" t="inlineStr">
        <is>
          <t>importado</t>
        </is>
      </c>
      <c r="J1833" s="5" t="n">
        <v>1</v>
      </c>
      <c r="K1833" s="6" t="n">
        <v>66.90000000000001</v>
      </c>
      <c r="L1833" s="6" t="n">
        <v>57.06</v>
      </c>
      <c r="M1833" s="6" t="n">
        <v>76.73</v>
      </c>
      <c r="N1833" s="3" t="inlineStr">
        <is>
          <t>Sí</t>
        </is>
      </c>
      <c r="O1833" s="6">
        <f>IF(K1833="","",IF(N1833="Sí",ROUND(K1833/1.18,2),K1833))</f>
        <v/>
      </c>
      <c r="P1833" s="3" t="inlineStr">
        <is>
          <t>2026-09-10</t>
        </is>
      </c>
      <c r="Q1833" s="4" t="inlineStr">
        <is>
          <t>Bellón</t>
        </is>
      </c>
      <c r="AF1833" s="4" t="inlineStr">
        <is>
          <t>tipo: reduccion · material: PVC drenaje · medida: 4" x 2"</t>
        </is>
      </c>
    </row>
    <row r="1834">
      <c r="A1834" s="3" t="inlineStr">
        <is>
          <t>MAT-32-480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de PVC drenaje 4" x 3"</t>
        </is>
      </c>
      <c r="E1834" s="4" t="inlineStr"/>
      <c r="F1834" s="3" t="inlineStr">
        <is>
          <t>unidad</t>
        </is>
      </c>
      <c r="G1834" s="3" t="inlineStr">
        <is>
          <t>Instalaciones</t>
        </is>
      </c>
      <c r="H1834" s="3" t="inlineStr">
        <is>
          <t>estandar</t>
        </is>
      </c>
      <c r="I1834" s="3" t="inlineStr">
        <is>
          <t>importado</t>
        </is>
      </c>
      <c r="J1834" s="5" t="n">
        <v>1</v>
      </c>
      <c r="K1834" s="6" t="n">
        <v>59.26</v>
      </c>
      <c r="L1834" s="6" t="n">
        <v>52</v>
      </c>
      <c r="M1834" s="6" t="n">
        <v>66.51000000000001</v>
      </c>
      <c r="N1834" s="3" t="inlineStr">
        <is>
          <t>Sí</t>
        </is>
      </c>
      <c r="O1834" s="6">
        <f>IF(K1834="","",IF(N1834="Sí",ROUND(K1834/1.18,2),K1834))</f>
        <v/>
      </c>
      <c r="P1834" s="3" t="inlineStr">
        <is>
          <t>2026-09-10</t>
        </is>
      </c>
      <c r="Q1834" s="4" t="inlineStr">
        <is>
          <t>Bellón</t>
        </is>
      </c>
      <c r="AF1834" s="4" t="inlineStr">
        <is>
          <t>tipo: reduccion · material: PVC drenaje · medida: 4" x 3"</t>
        </is>
      </c>
    </row>
    <row r="1835">
      <c r="A1835" s="3" t="inlineStr">
        <is>
          <t>MAT-32-481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de PVC 1 1/2" x 1/2"</t>
        </is>
      </c>
      <c r="E1835" s="4" t="inlineStr"/>
      <c r="F1835" s="3" t="inlineStr">
        <is>
          <t>unidad</t>
        </is>
      </c>
      <c r="G1835" s="3" t="inlineStr">
        <is>
          <t>Instalaciones</t>
        </is>
      </c>
      <c r="H1835" s="3" t="inlineStr">
        <is>
          <t>estandar</t>
        </is>
      </c>
      <c r="I1835" s="3" t="inlineStr">
        <is>
          <t>importado</t>
        </is>
      </c>
      <c r="J1835" s="5" t="n">
        <v>1</v>
      </c>
      <c r="K1835" s="6" t="n">
        <v>63</v>
      </c>
      <c r="L1835" s="6" t="n">
        <v>63</v>
      </c>
      <c r="M1835" s="6" t="n">
        <v>63</v>
      </c>
      <c r="N1835" s="3" t="inlineStr">
        <is>
          <t>Sí</t>
        </is>
      </c>
      <c r="O1835" s="6">
        <f>IF(K1835="","",IF(N1835="Sí",ROUND(K1835/1.18,2),K1835))</f>
        <v/>
      </c>
      <c r="P1835" s="3" t="inlineStr">
        <is>
          <t>2026-09-09</t>
        </is>
      </c>
      <c r="Q1835" s="4" t="inlineStr">
        <is>
          <t>Ferretería Cima</t>
        </is>
      </c>
      <c r="AF1835" s="4" t="inlineStr">
        <is>
          <t>tipo: reduccion · material: PVC · medida: 1 1/2" x 1/2"</t>
        </is>
      </c>
    </row>
    <row r="1836">
      <c r="A1836" s="3" t="inlineStr">
        <is>
          <t>MAT-32-482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PVC 1 1/2" x 1"</t>
        </is>
      </c>
      <c r="E1836" s="4" t="inlineStr"/>
      <c r="F1836" s="3" t="inlineStr">
        <is>
          <t>unidad</t>
        </is>
      </c>
      <c r="G1836" s="3" t="inlineStr">
        <is>
          <t>Instalaciones</t>
        </is>
      </c>
      <c r="H1836" s="3" t="inlineStr">
        <is>
          <t>estandar</t>
        </is>
      </c>
      <c r="I1836" s="3" t="inlineStr">
        <is>
          <t>importado</t>
        </is>
      </c>
      <c r="J1836" s="5" t="n">
        <v>1</v>
      </c>
      <c r="K1836" s="6" t="n">
        <v>111</v>
      </c>
      <c r="L1836" s="6" t="n">
        <v>111</v>
      </c>
      <c r="M1836" s="6" t="n">
        <v>111</v>
      </c>
      <c r="N1836" s="3" t="inlineStr">
        <is>
          <t>Sí</t>
        </is>
      </c>
      <c r="O1836" s="6">
        <f>IF(K1836="","",IF(N1836="Sí",ROUND(K1836/1.18,2),K1836))</f>
        <v/>
      </c>
      <c r="P1836" s="3" t="inlineStr">
        <is>
          <t>2026-09-09</t>
        </is>
      </c>
      <c r="Q1836" s="4" t="inlineStr">
        <is>
          <t>Ferretería Cima</t>
        </is>
      </c>
      <c r="AF1836" s="4" t="inlineStr">
        <is>
          <t>tipo: reduccion · material: PVC · medida: 1 1/2" x 1"</t>
        </is>
      </c>
    </row>
    <row r="1837">
      <c r="A1837" s="3" t="inlineStr">
        <is>
          <t>MAT-32-483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PVC 1 1/2" x 3/4"</t>
        </is>
      </c>
      <c r="E1837" s="4" t="inlineStr"/>
      <c r="F1837" s="3" t="inlineStr">
        <is>
          <t>unidad</t>
        </is>
      </c>
      <c r="G1837" s="3" t="inlineStr">
        <is>
          <t>Instalaciones</t>
        </is>
      </c>
      <c r="H1837" s="3" t="inlineStr">
        <is>
          <t>estandar</t>
        </is>
      </c>
      <c r="I1837" s="3" t="inlineStr">
        <is>
          <t>importado</t>
        </is>
      </c>
      <c r="J1837" s="5" t="n">
        <v>1</v>
      </c>
      <c r="K1837" s="6" t="n">
        <v>85</v>
      </c>
      <c r="L1837" s="6" t="n">
        <v>85</v>
      </c>
      <c r="M1837" s="6" t="n">
        <v>85</v>
      </c>
      <c r="N1837" s="3" t="inlineStr">
        <is>
          <t>Sí</t>
        </is>
      </c>
      <c r="O1837" s="6">
        <f>IF(K1837="","",IF(N1837="Sí",ROUND(K1837/1.18,2),K1837))</f>
        <v/>
      </c>
      <c r="P1837" s="3" t="inlineStr">
        <is>
          <t>2026-09-09</t>
        </is>
      </c>
      <c r="Q1837" s="4" t="inlineStr">
        <is>
          <t>Ferretería Cima</t>
        </is>
      </c>
      <c r="AF1837" s="4" t="inlineStr">
        <is>
          <t>tipo: reduccion · material: PVC · medida: 1 1/2" x 3/4"</t>
        </is>
      </c>
    </row>
    <row r="1838">
      <c r="A1838" s="3" t="inlineStr">
        <is>
          <t>MAT-32-484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PVC 12" x 8"</t>
        </is>
      </c>
      <c r="E1838" s="4" t="inlineStr"/>
      <c r="F1838" s="3" t="inlineStr">
        <is>
          <t>unidad</t>
        </is>
      </c>
      <c r="G1838" s="3" t="inlineStr">
        <is>
          <t>Instalaciones</t>
        </is>
      </c>
      <c r="H1838" s="3" t="inlineStr">
        <is>
          <t>estandar</t>
        </is>
      </c>
      <c r="I1838" s="3" t="inlineStr">
        <is>
          <t>importado</t>
        </is>
      </c>
      <c r="J1838" s="5" t="n">
        <v>1</v>
      </c>
      <c r="K1838" s="6" t="n">
        <v>13614</v>
      </c>
      <c r="L1838" s="6" t="n">
        <v>13614</v>
      </c>
      <c r="M1838" s="6" t="n">
        <v>13614</v>
      </c>
      <c r="N1838" s="3" t="inlineStr">
        <is>
          <t>Sí</t>
        </is>
      </c>
      <c r="O1838" s="6">
        <f>IF(K1838="","",IF(N1838="Sí",ROUND(K1838/1.18,2),K1838))</f>
        <v/>
      </c>
      <c r="P1838" s="3" t="inlineStr">
        <is>
          <t>2026-09-10</t>
        </is>
      </c>
      <c r="Q1838" s="4" t="inlineStr">
        <is>
          <t>Bellón</t>
        </is>
      </c>
      <c r="AF1838" s="4" t="inlineStr">
        <is>
          <t>tipo: reduccion · material: PVC · medida: 12" x 8"</t>
        </is>
      </c>
    </row>
    <row r="1839">
      <c r="A1839" s="3" t="inlineStr">
        <is>
          <t>MAT-32-485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PVC 16" x 12"</t>
        </is>
      </c>
      <c r="E1839" s="4" t="inlineStr"/>
      <c r="F1839" s="3" t="inlineStr">
        <is>
          <t>unidad</t>
        </is>
      </c>
      <c r="G1839" s="3" t="inlineStr">
        <is>
          <t>Instalaciones</t>
        </is>
      </c>
      <c r="H1839" s="3" t="inlineStr">
        <is>
          <t>estandar</t>
        </is>
      </c>
      <c r="I1839" s="3" t="inlineStr">
        <is>
          <t>importado</t>
        </is>
      </c>
      <c r="J1839" s="5" t="n">
        <v>1</v>
      </c>
      <c r="K1839" s="6" t="n">
        <v>9256.889999999999</v>
      </c>
      <c r="L1839" s="6" t="n">
        <v>9256.889999999999</v>
      </c>
      <c r="M1839" s="6" t="n">
        <v>9256.889999999999</v>
      </c>
      <c r="N1839" s="3" t="inlineStr">
        <is>
          <t>Sí</t>
        </is>
      </c>
      <c r="O1839" s="6">
        <f>IF(K1839="","",IF(N1839="Sí",ROUND(K1839/1.18,2),K1839))</f>
        <v/>
      </c>
      <c r="P1839" s="3" t="inlineStr">
        <is>
          <t>2026-09-10</t>
        </is>
      </c>
      <c r="Q1839" s="4" t="inlineStr">
        <is>
          <t>Bellón</t>
        </is>
      </c>
      <c r="AF1839" s="4" t="inlineStr">
        <is>
          <t>tipo: reduccion · material: PVC · medida: 16" x 12"</t>
        </is>
      </c>
    </row>
    <row r="1840">
      <c r="A1840" s="3" t="inlineStr">
        <is>
          <t>MAT-32-486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PVC 2" x 1 1/2"</t>
        </is>
      </c>
      <c r="E1840" s="4" t="inlineStr"/>
      <c r="F1840" s="3" t="inlineStr">
        <is>
          <t>unidad</t>
        </is>
      </c>
      <c r="G1840" s="3" t="inlineStr">
        <is>
          <t>Instalaciones</t>
        </is>
      </c>
      <c r="H1840" s="3" t="inlineStr">
        <is>
          <t>estandar</t>
        </is>
      </c>
      <c r="I1840" s="3" t="inlineStr">
        <is>
          <t>importado</t>
        </is>
      </c>
      <c r="J1840" s="5" t="n">
        <v>1</v>
      </c>
      <c r="K1840" s="6" t="n">
        <v>234</v>
      </c>
      <c r="L1840" s="6" t="n">
        <v>234</v>
      </c>
      <c r="M1840" s="6" t="n">
        <v>234</v>
      </c>
      <c r="N1840" s="3" t="inlineStr">
        <is>
          <t>Sí</t>
        </is>
      </c>
      <c r="O1840" s="6">
        <f>IF(K1840="","",IF(N1840="Sí",ROUND(K1840/1.18,2),K1840))</f>
        <v/>
      </c>
      <c r="P1840" s="3" t="inlineStr">
        <is>
          <t>2026-09-09</t>
        </is>
      </c>
      <c r="Q1840" s="4" t="inlineStr">
        <is>
          <t>Ferretería Cima</t>
        </is>
      </c>
      <c r="AF1840" s="4" t="inlineStr">
        <is>
          <t>tipo: reduccion · material: PVC · medida: 2" x 1 1/2"</t>
        </is>
      </c>
    </row>
    <row r="1841">
      <c r="A1841" s="3" t="inlineStr">
        <is>
          <t>MAT-32-487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PVC 3/4" x 1/2"</t>
        </is>
      </c>
      <c r="E1841" s="4" t="inlineStr"/>
      <c r="F1841" s="3" t="inlineStr">
        <is>
          <t>unidad</t>
        </is>
      </c>
      <c r="G1841" s="3" t="inlineStr">
        <is>
          <t>Instalaciones</t>
        </is>
      </c>
      <c r="H1841" s="3" t="inlineStr">
        <is>
          <t>estandar</t>
        </is>
      </c>
      <c r="I1841" s="3" t="inlineStr">
        <is>
          <t>importado</t>
        </is>
      </c>
      <c r="J1841" s="5" t="n">
        <v>2</v>
      </c>
      <c r="K1841" s="6" t="n">
        <v>21.47</v>
      </c>
      <c r="L1841" s="6" t="n">
        <v>5.77</v>
      </c>
      <c r="M1841" s="6" t="n">
        <v>46</v>
      </c>
      <c r="N1841" s="3" t="inlineStr">
        <is>
          <t>Sí</t>
        </is>
      </c>
      <c r="O1841" s="6">
        <f>IF(K1841="","",IF(N1841="Sí",ROUND(K1841/1.18,2),K1841))</f>
        <v/>
      </c>
      <c r="P1841" s="3" t="inlineStr">
        <is>
          <t>2026-09-10</t>
        </is>
      </c>
      <c r="Q1841" s="4" t="inlineStr">
        <is>
          <t>Bellón · Ferretería Cima</t>
        </is>
      </c>
      <c r="AF1841" s="4" t="inlineStr">
        <is>
          <t>tipo: reduccion · material: PVC · medida: 3/4" x 1/2"</t>
        </is>
      </c>
    </row>
    <row r="1842">
      <c r="A1842" s="3" t="inlineStr">
        <is>
          <t>MAT-32-488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PVC 4" x 2"</t>
        </is>
      </c>
      <c r="E1842" s="4" t="inlineStr"/>
      <c r="F1842" s="3" t="inlineStr">
        <is>
          <t>unidad</t>
        </is>
      </c>
      <c r="G1842" s="3" t="inlineStr">
        <is>
          <t>Instalaciones</t>
        </is>
      </c>
      <c r="H1842" s="3" t="inlineStr">
        <is>
          <t>estandar</t>
        </is>
      </c>
      <c r="I1842" s="3" t="inlineStr">
        <is>
          <t>importado</t>
        </is>
      </c>
      <c r="J1842" s="5" t="n">
        <v>1</v>
      </c>
      <c r="K1842" s="6" t="n">
        <v>348</v>
      </c>
      <c r="L1842" s="6" t="n">
        <v>348</v>
      </c>
      <c r="M1842" s="6" t="n">
        <v>348</v>
      </c>
      <c r="N1842" s="3" t="inlineStr">
        <is>
          <t>Sí</t>
        </is>
      </c>
      <c r="O1842" s="6">
        <f>IF(K1842="","",IF(N1842="Sí",ROUND(K1842/1.18,2),K1842))</f>
        <v/>
      </c>
      <c r="P1842" s="3" t="inlineStr">
        <is>
          <t>2026-09-10</t>
        </is>
      </c>
      <c r="Q1842" s="4" t="inlineStr">
        <is>
          <t>Bellón</t>
        </is>
      </c>
      <c r="AF1842" s="4" t="inlineStr">
        <is>
          <t>tipo: reduccion · material: PVC · medida: 4" x 2"</t>
        </is>
      </c>
    </row>
    <row r="1843">
      <c r="A1843" s="3" t="inlineStr">
        <is>
          <t>MAT-32-489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PVC 4" x 3"</t>
        </is>
      </c>
      <c r="E1843" s="4" t="inlineStr"/>
      <c r="F1843" s="3" t="inlineStr">
        <is>
          <t>unidad</t>
        </is>
      </c>
      <c r="G1843" s="3" t="inlineStr">
        <is>
          <t>Instalaciones</t>
        </is>
      </c>
      <c r="H1843" s="3" t="inlineStr">
        <is>
          <t>estandar</t>
        </is>
      </c>
      <c r="I1843" s="3" t="inlineStr">
        <is>
          <t>importado</t>
        </is>
      </c>
      <c r="J1843" s="5" t="n">
        <v>1</v>
      </c>
      <c r="K1843" s="6" t="n">
        <v>376</v>
      </c>
      <c r="L1843" s="6" t="n">
        <v>122</v>
      </c>
      <c r="M1843" s="6" t="n">
        <v>630</v>
      </c>
      <c r="N1843" s="3" t="inlineStr">
        <is>
          <t>Sí</t>
        </is>
      </c>
      <c r="O1843" s="6">
        <f>IF(K1843="","",IF(N1843="Sí",ROUND(K1843/1.18,2),K1843))</f>
        <v/>
      </c>
      <c r="P1843" s="3" t="inlineStr">
        <is>
          <t>2026-09-10</t>
        </is>
      </c>
      <c r="Q1843" s="4" t="inlineStr">
        <is>
          <t>Bellón</t>
        </is>
      </c>
      <c r="AF1843" s="4" t="inlineStr">
        <is>
          <t>tipo: reduccion · material: PVC · medida: 4" x 3"</t>
        </is>
      </c>
    </row>
    <row r="1844">
      <c r="A1844" s="3" t="inlineStr">
        <is>
          <t>MAT-32-490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PVC presión 1 1/2"</t>
        </is>
      </c>
      <c r="E1844" s="4" t="inlineStr"/>
      <c r="F1844" s="3" t="inlineStr">
        <is>
          <t>unidad</t>
        </is>
      </c>
      <c r="G1844" s="3" t="inlineStr">
        <is>
          <t>Instalaciones</t>
        </is>
      </c>
      <c r="H1844" s="3" t="inlineStr">
        <is>
          <t>estandar</t>
        </is>
      </c>
      <c r="I1844" s="3" t="inlineStr">
        <is>
          <t>importado</t>
        </is>
      </c>
      <c r="J1844" s="5" t="n">
        <v>1</v>
      </c>
      <c r="K1844" s="6" t="n">
        <v>25.53</v>
      </c>
      <c r="L1844" s="6" t="n">
        <v>25.53</v>
      </c>
      <c r="M1844" s="6" t="n">
        <v>25.53</v>
      </c>
      <c r="N1844" s="3" t="inlineStr">
        <is>
          <t>Sí</t>
        </is>
      </c>
      <c r="O1844" s="6">
        <f>IF(K1844="","",IF(N1844="Sí",ROUND(K1844/1.18,2),K1844))</f>
        <v/>
      </c>
      <c r="P1844" s="3" t="inlineStr">
        <is>
          <t>2026-09-10</t>
        </is>
      </c>
      <c r="Q1844" s="4" t="inlineStr">
        <is>
          <t>Bellón</t>
        </is>
      </c>
      <c r="AF1844" s="4" t="inlineStr">
        <is>
          <t>tipo: reduccion · material: PVC presión · medida: 1 1/2"</t>
        </is>
      </c>
    </row>
    <row r="1845">
      <c r="A1845" s="3" t="inlineStr">
        <is>
          <t>MAT-32-491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PVC presión 1 1/2" x 1/2"</t>
        </is>
      </c>
      <c r="E1845" s="4" t="inlineStr"/>
      <c r="F1845" s="3" t="inlineStr">
        <is>
          <t>unidad</t>
        </is>
      </c>
      <c r="G1845" s="3" t="inlineStr">
        <is>
          <t>Instalaciones</t>
        </is>
      </c>
      <c r="H1845" s="3" t="inlineStr">
        <is>
          <t>estandar</t>
        </is>
      </c>
      <c r="I1845" s="3" t="inlineStr">
        <is>
          <t>importado</t>
        </is>
      </c>
      <c r="J1845" s="5" t="n">
        <v>1</v>
      </c>
      <c r="K1845" s="6" t="n">
        <v>26.39</v>
      </c>
      <c r="L1845" s="6" t="n">
        <v>26.39</v>
      </c>
      <c r="M1845" s="6" t="n">
        <v>26.39</v>
      </c>
      <c r="N1845" s="3" t="inlineStr">
        <is>
          <t>Sí</t>
        </is>
      </c>
      <c r="O1845" s="6">
        <f>IF(K1845="","",IF(N1845="Sí",ROUND(K1845/1.18,2),K1845))</f>
        <v/>
      </c>
      <c r="P1845" s="3" t="inlineStr">
        <is>
          <t>2026-09-10</t>
        </is>
      </c>
      <c r="Q1845" s="4" t="inlineStr">
        <is>
          <t>Bellón</t>
        </is>
      </c>
      <c r="AF1845" s="4" t="inlineStr">
        <is>
          <t>tipo: reduccion · material: PVC presión · medida: 1 1/2" x 1/2"</t>
        </is>
      </c>
    </row>
    <row r="1846">
      <c r="A1846" s="3" t="inlineStr">
        <is>
          <t>MAT-32-492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PVC presión 1" x 1/2"</t>
        </is>
      </c>
      <c r="E1846" s="4" t="inlineStr"/>
      <c r="F1846" s="3" t="inlineStr">
        <is>
          <t>unidad</t>
        </is>
      </c>
      <c r="G1846" s="3" t="inlineStr">
        <is>
          <t>Instalaciones</t>
        </is>
      </c>
      <c r="H1846" s="3" t="inlineStr">
        <is>
          <t>estandar</t>
        </is>
      </c>
      <c r="I1846" s="3" t="inlineStr">
        <is>
          <t>importado</t>
        </is>
      </c>
      <c r="J1846" s="5" t="n">
        <v>1</v>
      </c>
      <c r="K1846" s="6" t="n">
        <v>9.130000000000001</v>
      </c>
      <c r="L1846" s="6" t="n">
        <v>7.7</v>
      </c>
      <c r="M1846" s="6" t="n">
        <v>10.56</v>
      </c>
      <c r="N1846" s="3" t="inlineStr">
        <is>
          <t>Sí</t>
        </is>
      </c>
      <c r="O1846" s="6">
        <f>IF(K1846="","",IF(N1846="Sí",ROUND(K1846/1.18,2),K1846))</f>
        <v/>
      </c>
      <c r="P1846" s="3" t="inlineStr">
        <is>
          <t>2026-09-10</t>
        </is>
      </c>
      <c r="Q1846" s="4" t="inlineStr">
        <is>
          <t>Bellón</t>
        </is>
      </c>
      <c r="AF1846" s="4" t="inlineStr">
        <is>
          <t>tipo: reduccion · material: PVC presión · medida: 1" x 1/2"</t>
        </is>
      </c>
    </row>
    <row r="1847">
      <c r="A1847" s="3" t="inlineStr">
        <is>
          <t>MAT-32-493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PVC presión 1" x 3/4"</t>
        </is>
      </c>
      <c r="E1847" s="4" t="inlineStr"/>
      <c r="F1847" s="3" t="inlineStr">
        <is>
          <t>unidad</t>
        </is>
      </c>
      <c r="G1847" s="3" t="inlineStr">
        <is>
          <t>Instalaciones</t>
        </is>
      </c>
      <c r="H1847" s="3" t="inlineStr">
        <is>
          <t>estandar</t>
        </is>
      </c>
      <c r="I1847" s="3" t="inlineStr">
        <is>
          <t>importado</t>
        </is>
      </c>
      <c r="J1847" s="5" t="n">
        <v>1</v>
      </c>
      <c r="K1847" s="6" t="n">
        <v>7.19</v>
      </c>
      <c r="L1847" s="6" t="n">
        <v>6.11</v>
      </c>
      <c r="M1847" s="6" t="n">
        <v>8.27</v>
      </c>
      <c r="N1847" s="3" t="inlineStr">
        <is>
          <t>Sí</t>
        </is>
      </c>
      <c r="O1847" s="6">
        <f>IF(K1847="","",IF(N1847="Sí",ROUND(K1847/1.18,2),K1847))</f>
        <v/>
      </c>
      <c r="P1847" s="3" t="inlineStr">
        <is>
          <t>2026-09-10</t>
        </is>
      </c>
      <c r="Q1847" s="4" t="inlineStr">
        <is>
          <t>Bellón</t>
        </is>
      </c>
      <c r="AF1847" s="4" t="inlineStr">
        <is>
          <t>tipo: reduccion · material: PVC presión · medida: 1" x 3/4"</t>
        </is>
      </c>
    </row>
    <row r="1848">
      <c r="A1848" s="3" t="inlineStr">
        <is>
          <t>MAT-32-494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PVC presión 2" x 1 1/2"</t>
        </is>
      </c>
      <c r="E1848" s="4" t="inlineStr"/>
      <c r="F1848" s="3" t="inlineStr">
        <is>
          <t>unidad</t>
        </is>
      </c>
      <c r="G1848" s="3" t="inlineStr">
        <is>
          <t>Instalaciones</t>
        </is>
      </c>
      <c r="H1848" s="3" t="inlineStr">
        <is>
          <t>estandar</t>
        </is>
      </c>
      <c r="I1848" s="3" t="inlineStr">
        <is>
          <t>importado</t>
        </is>
      </c>
      <c r="J1848" s="5" t="n">
        <v>1</v>
      </c>
      <c r="K1848" s="6" t="n">
        <v>22.64</v>
      </c>
      <c r="L1848" s="6" t="n">
        <v>22.64</v>
      </c>
      <c r="M1848" s="6" t="n">
        <v>22.64</v>
      </c>
      <c r="N1848" s="3" t="inlineStr">
        <is>
          <t>Sí</t>
        </is>
      </c>
      <c r="O1848" s="6">
        <f>IF(K1848="","",IF(N1848="Sí",ROUND(K1848/1.18,2),K1848))</f>
        <v/>
      </c>
      <c r="P1848" s="3" t="inlineStr">
        <is>
          <t>2026-09-10</t>
        </is>
      </c>
      <c r="Q1848" s="4" t="inlineStr">
        <is>
          <t>Bellón</t>
        </is>
      </c>
      <c r="AF1848" s="4" t="inlineStr">
        <is>
          <t>tipo: reduccion · material: PVC presión · medida: 2" x 1 1/2"</t>
        </is>
      </c>
    </row>
    <row r="1849">
      <c r="A1849" s="3" t="inlineStr">
        <is>
          <t>MAT-32-495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PVC presión 2" x 1/2"</t>
        </is>
      </c>
      <c r="E1849" s="4" t="inlineStr"/>
      <c r="F1849" s="3" t="inlineStr">
        <is>
          <t>unidad</t>
        </is>
      </c>
      <c r="G1849" s="3" t="inlineStr">
        <is>
          <t>Instalaciones</t>
        </is>
      </c>
      <c r="H1849" s="3" t="inlineStr">
        <is>
          <t>estandar</t>
        </is>
      </c>
      <c r="I1849" s="3" t="inlineStr">
        <is>
          <t>importado</t>
        </is>
      </c>
      <c r="J1849" s="5" t="n">
        <v>1</v>
      </c>
      <c r="K1849" s="6" t="n">
        <v>36.92</v>
      </c>
      <c r="L1849" s="6" t="n">
        <v>20</v>
      </c>
      <c r="M1849" s="6" t="n">
        <v>53.85</v>
      </c>
      <c r="N1849" s="3" t="inlineStr">
        <is>
          <t>Sí</t>
        </is>
      </c>
      <c r="O1849" s="6">
        <f>IF(K1849="","",IF(N1849="Sí",ROUND(K1849/1.18,2),K1849))</f>
        <v/>
      </c>
      <c r="P1849" s="3" t="inlineStr">
        <is>
          <t>2026-09-10</t>
        </is>
      </c>
      <c r="Q1849" s="4" t="inlineStr">
        <is>
          <t>Bellón</t>
        </is>
      </c>
      <c r="AF1849" s="4" t="inlineStr">
        <is>
          <t>tipo: reduccion · material: PVC presión · medida: 2" x 1/2"</t>
        </is>
      </c>
    </row>
    <row r="1850">
      <c r="A1850" s="3" t="inlineStr">
        <is>
          <t>MAT-32-496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PVC presión 2" x 1"</t>
        </is>
      </c>
      <c r="E1850" s="4" t="inlineStr"/>
      <c r="F1850" s="3" t="inlineStr">
        <is>
          <t>unidad</t>
        </is>
      </c>
      <c r="G1850" s="3" t="inlineStr">
        <is>
          <t>Instalaciones</t>
        </is>
      </c>
      <c r="H1850" s="3" t="inlineStr">
        <is>
          <t>estandar</t>
        </is>
      </c>
      <c r="I1850" s="3" t="inlineStr">
        <is>
          <t>importado</t>
        </is>
      </c>
      <c r="J1850" s="5" t="n">
        <v>1</v>
      </c>
      <c r="K1850" s="6" t="n">
        <v>53.85</v>
      </c>
      <c r="L1850" s="6" t="n">
        <v>53.85</v>
      </c>
      <c r="M1850" s="6" t="n">
        <v>53.85</v>
      </c>
      <c r="N1850" s="3" t="inlineStr">
        <is>
          <t>Sí</t>
        </is>
      </c>
      <c r="O1850" s="6">
        <f>IF(K1850="","",IF(N1850="Sí",ROUND(K1850/1.18,2),K1850))</f>
        <v/>
      </c>
      <c r="P1850" s="3" t="inlineStr">
        <is>
          <t>2026-09-10</t>
        </is>
      </c>
      <c r="Q1850" s="4" t="inlineStr">
        <is>
          <t>Bellón</t>
        </is>
      </c>
      <c r="AF1850" s="4" t="inlineStr">
        <is>
          <t>tipo: reduccion · material: PVC presión · medida: 2" x 1"</t>
        </is>
      </c>
    </row>
    <row r="1851">
      <c r="A1851" s="3" t="inlineStr">
        <is>
          <t>MAT-32-497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PVC presión 2" x 3/4"</t>
        </is>
      </c>
      <c r="E1851" s="4" t="inlineStr"/>
      <c r="F1851" s="3" t="inlineStr">
        <is>
          <t>unidad</t>
        </is>
      </c>
      <c r="G1851" s="3" t="inlineStr">
        <is>
          <t>Instalaciones</t>
        </is>
      </c>
      <c r="H1851" s="3" t="inlineStr">
        <is>
          <t>estandar</t>
        </is>
      </c>
      <c r="I1851" s="3" t="inlineStr">
        <is>
          <t>importado</t>
        </is>
      </c>
      <c r="J1851" s="5" t="n">
        <v>1</v>
      </c>
      <c r="K1851" s="6" t="n">
        <v>53.61</v>
      </c>
      <c r="L1851" s="6" t="n">
        <v>53.61</v>
      </c>
      <c r="M1851" s="6" t="n">
        <v>53.61</v>
      </c>
      <c r="N1851" s="3" t="inlineStr">
        <is>
          <t>Sí</t>
        </is>
      </c>
      <c r="O1851" s="6">
        <f>IF(K1851="","",IF(N1851="Sí",ROUND(K1851/1.18,2),K1851))</f>
        <v/>
      </c>
      <c r="P1851" s="3" t="inlineStr">
        <is>
          <t>2026-09-10</t>
        </is>
      </c>
      <c r="Q1851" s="4" t="inlineStr">
        <is>
          <t>Bellón</t>
        </is>
      </c>
      <c r="AF1851" s="4" t="inlineStr">
        <is>
          <t>tipo: reduccion · material: PVC presión · medida: 2" x 3/4"</t>
        </is>
      </c>
    </row>
    <row r="1852">
      <c r="A1852" s="3" t="inlineStr">
        <is>
          <t>MAT-32-498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PVC presión 3/4" x 1/2"</t>
        </is>
      </c>
      <c r="E1852" s="4" t="inlineStr"/>
      <c r="F1852" s="3" t="inlineStr">
        <is>
          <t>unidad</t>
        </is>
      </c>
      <c r="G1852" s="3" t="inlineStr">
        <is>
          <t>Instalaciones</t>
        </is>
      </c>
      <c r="H1852" s="3" t="inlineStr">
        <is>
          <t>estandar</t>
        </is>
      </c>
      <c r="I1852" s="3" t="inlineStr">
        <is>
          <t>importado</t>
        </is>
      </c>
      <c r="J1852" s="5" t="n">
        <v>1</v>
      </c>
      <c r="K1852" s="6" t="n">
        <v>3.09</v>
      </c>
      <c r="L1852" s="6" t="n">
        <v>2.28</v>
      </c>
      <c r="M1852" s="6" t="n">
        <v>3.9</v>
      </c>
      <c r="N1852" s="3" t="inlineStr">
        <is>
          <t>Sí</t>
        </is>
      </c>
      <c r="O1852" s="6">
        <f>IF(K1852="","",IF(N1852="Sí",ROUND(K1852/1.18,2),K1852))</f>
        <v/>
      </c>
      <c r="P1852" s="3" t="inlineStr">
        <is>
          <t>2026-09-10</t>
        </is>
      </c>
      <c r="Q1852" s="4" t="inlineStr">
        <is>
          <t>Bellón</t>
        </is>
      </c>
      <c r="AF1852" s="4" t="inlineStr">
        <is>
          <t>tipo: reduccion · material: PVC presión · medida: 3/4" x 1/2"</t>
        </is>
      </c>
    </row>
    <row r="1853">
      <c r="A1853" s="3" t="inlineStr">
        <is>
          <t>MAT-32-499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PVC presión 3" x 2"</t>
        </is>
      </c>
      <c r="E1853" s="4" t="inlineStr"/>
      <c r="F1853" s="3" t="inlineStr">
        <is>
          <t>unidad</t>
        </is>
      </c>
      <c r="G1853" s="3" t="inlineStr">
        <is>
          <t>Instalaciones</t>
        </is>
      </c>
      <c r="H1853" s="3" t="inlineStr">
        <is>
          <t>estandar</t>
        </is>
      </c>
      <c r="I1853" s="3" t="inlineStr">
        <is>
          <t>importado</t>
        </is>
      </c>
      <c r="J1853" s="5" t="n">
        <v>1</v>
      </c>
      <c r="K1853" s="6" t="n">
        <v>104.52</v>
      </c>
      <c r="L1853" s="6" t="n">
        <v>104.52</v>
      </c>
      <c r="M1853" s="6" t="n">
        <v>104.52</v>
      </c>
      <c r="N1853" s="3" t="inlineStr">
        <is>
          <t>Sí</t>
        </is>
      </c>
      <c r="O1853" s="6">
        <f>IF(K1853="","",IF(N1853="Sí",ROUND(K1853/1.18,2),K1853))</f>
        <v/>
      </c>
      <c r="P1853" s="3" t="inlineStr">
        <is>
          <t>2026-09-10</t>
        </is>
      </c>
      <c r="Q1853" s="4" t="inlineStr">
        <is>
          <t>Bellón</t>
        </is>
      </c>
      <c r="AF1853" s="4" t="inlineStr">
        <is>
          <t>tipo: reduccion · material: PVC presión · medida: 3" x 2"</t>
        </is>
      </c>
    </row>
    <row r="1854">
      <c r="A1854" s="3" t="inlineStr">
        <is>
          <t>MAT-32-500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PVC presión 4" x 3"</t>
        </is>
      </c>
      <c r="E1854" s="4" t="inlineStr"/>
      <c r="F1854" s="3" t="inlineStr">
        <is>
          <t>unidad</t>
        </is>
      </c>
      <c r="G1854" s="3" t="inlineStr">
        <is>
          <t>Instalaciones</t>
        </is>
      </c>
      <c r="H1854" s="3" t="inlineStr">
        <is>
          <t>estandar</t>
        </is>
      </c>
      <c r="I1854" s="3" t="inlineStr">
        <is>
          <t>importado</t>
        </is>
      </c>
      <c r="J1854" s="5" t="n">
        <v>1</v>
      </c>
      <c r="K1854" s="6" t="n">
        <v>158.69</v>
      </c>
      <c r="L1854" s="6" t="n">
        <v>72.37</v>
      </c>
      <c r="M1854" s="6" t="n">
        <v>245</v>
      </c>
      <c r="N1854" s="3" t="inlineStr">
        <is>
          <t>Sí</t>
        </is>
      </c>
      <c r="O1854" s="6">
        <f>IF(K1854="","",IF(N1854="Sí",ROUND(K1854/1.18,2),K1854))</f>
        <v/>
      </c>
      <c r="P1854" s="3" t="inlineStr">
        <is>
          <t>2026-09-10</t>
        </is>
      </c>
      <c r="Q1854" s="4" t="inlineStr">
        <is>
          <t>Bellón</t>
        </is>
      </c>
      <c r="AF1854" s="4" t="inlineStr">
        <is>
          <t>tipo: reduccion · material: PVC presión · medida: 4" x 3"</t>
        </is>
      </c>
    </row>
    <row r="1855">
      <c r="A1855" s="3" t="inlineStr">
        <is>
          <t>MAT-32-501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Tapón hembra de bronce 1/4"</t>
        </is>
      </c>
      <c r="E1855" s="4" t="inlineStr"/>
      <c r="F1855" s="3" t="inlineStr">
        <is>
          <t>unidad</t>
        </is>
      </c>
      <c r="G1855" s="3" t="inlineStr">
        <is>
          <t>Instalaciones</t>
        </is>
      </c>
      <c r="H1855" s="3" t="inlineStr">
        <is>
          <t>estandar</t>
        </is>
      </c>
      <c r="I1855" s="3" t="inlineStr">
        <is>
          <t>importado</t>
        </is>
      </c>
      <c r="J1855" s="5" t="n">
        <v>1</v>
      </c>
      <c r="K1855" s="6" t="n">
        <v>101</v>
      </c>
      <c r="L1855" s="6" t="n">
        <v>101</v>
      </c>
      <c r="M1855" s="6" t="n">
        <v>101</v>
      </c>
      <c r="N1855" s="3" t="inlineStr">
        <is>
          <t>Sí</t>
        </is>
      </c>
      <c r="O1855" s="6">
        <f>IF(K1855="","",IF(N1855="Sí",ROUND(K1855/1.18,2),K1855))</f>
        <v/>
      </c>
      <c r="P1855" s="3" t="inlineStr">
        <is>
          <t>2026-09-09</t>
        </is>
      </c>
      <c r="Q1855" s="4" t="inlineStr">
        <is>
          <t>Ferretería Cima</t>
        </is>
      </c>
      <c r="AF1855" s="4" t="inlineStr">
        <is>
          <t>tipo: tapon-hembra · material: bronce · medida: 1/4"</t>
        </is>
      </c>
    </row>
    <row r="1856">
      <c r="A1856" s="3" t="inlineStr">
        <is>
          <t>MAT-32-502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Tapón hembra de bronce 3/4"</t>
        </is>
      </c>
      <c r="E1856" s="4" t="inlineStr"/>
      <c r="F1856" s="3" t="inlineStr">
        <is>
          <t>unidad</t>
        </is>
      </c>
      <c r="G1856" s="3" t="inlineStr">
        <is>
          <t>Instalaciones</t>
        </is>
      </c>
      <c r="H1856" s="3" t="inlineStr">
        <is>
          <t>estandar</t>
        </is>
      </c>
      <c r="I1856" s="3" t="inlineStr">
        <is>
          <t>importado</t>
        </is>
      </c>
      <c r="J1856" s="5" t="n">
        <v>1</v>
      </c>
      <c r="K1856" s="6" t="n">
        <v>100</v>
      </c>
      <c r="L1856" s="6" t="n">
        <v>100</v>
      </c>
      <c r="M1856" s="6" t="n">
        <v>100</v>
      </c>
      <c r="N1856" s="3" t="inlineStr">
        <is>
          <t>Sí</t>
        </is>
      </c>
      <c r="O1856" s="6">
        <f>IF(K1856="","",IF(N1856="Sí",ROUND(K1856/1.18,2),K1856))</f>
        <v/>
      </c>
      <c r="P1856" s="3" t="inlineStr">
        <is>
          <t>2026-09-10</t>
        </is>
      </c>
      <c r="Q1856" s="4" t="inlineStr">
        <is>
          <t>Bellón</t>
        </is>
      </c>
      <c r="AF1856" s="4" t="inlineStr">
        <is>
          <t>tipo: tapon-hembra · material: bronce · medida: 3/4"</t>
        </is>
      </c>
    </row>
    <row r="1857">
      <c r="A1857" s="3" t="inlineStr">
        <is>
          <t>MAT-32-503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Tapón hembra de bronce 3/8"</t>
        </is>
      </c>
      <c r="E1857" s="4" t="inlineStr"/>
      <c r="F1857" s="3" t="inlineStr">
        <is>
          <t>unidad</t>
        </is>
      </c>
      <c r="G1857" s="3" t="inlineStr">
        <is>
          <t>Instalaciones</t>
        </is>
      </c>
      <c r="H1857" s="3" t="inlineStr">
        <is>
          <t>estandar</t>
        </is>
      </c>
      <c r="I1857" s="3" t="inlineStr">
        <is>
          <t>importado</t>
        </is>
      </c>
      <c r="J1857" s="5" t="n">
        <v>1</v>
      </c>
      <c r="K1857" s="6" t="n">
        <v>170</v>
      </c>
      <c r="L1857" s="6" t="n">
        <v>170</v>
      </c>
      <c r="M1857" s="6" t="n">
        <v>170</v>
      </c>
      <c r="N1857" s="3" t="inlineStr">
        <is>
          <t>Sí</t>
        </is>
      </c>
      <c r="O1857" s="6">
        <f>IF(K1857="","",IF(N1857="Sí",ROUND(K1857/1.18,2),K1857))</f>
        <v/>
      </c>
      <c r="P1857" s="3" t="inlineStr">
        <is>
          <t>2026-09-09</t>
        </is>
      </c>
      <c r="Q1857" s="4" t="inlineStr">
        <is>
          <t>Ferretería Cima</t>
        </is>
      </c>
      <c r="AF1857" s="4" t="inlineStr">
        <is>
          <t>tipo: tapon-hembra · material: bronce · medida: 3/8"</t>
        </is>
      </c>
    </row>
    <row r="1858">
      <c r="A1858" s="3" t="inlineStr">
        <is>
          <t>MAT-32-504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Tapón hembra de CPVC 1/2"</t>
        </is>
      </c>
      <c r="E1858" s="4" t="inlineStr"/>
      <c r="F1858" s="3" t="inlineStr">
        <is>
          <t>unidad</t>
        </is>
      </c>
      <c r="G1858" s="3" t="inlineStr">
        <is>
          <t>Instalaciones</t>
        </is>
      </c>
      <c r="H1858" s="3" t="inlineStr">
        <is>
          <t>estandar</t>
        </is>
      </c>
      <c r="I1858" s="3" t="inlineStr">
        <is>
          <t>importado</t>
        </is>
      </c>
      <c r="J1858" s="5" t="n">
        <v>1</v>
      </c>
      <c r="K1858" s="6" t="n">
        <v>5.78</v>
      </c>
      <c r="L1858" s="6" t="n">
        <v>5.78</v>
      </c>
      <c r="M1858" s="6" t="n">
        <v>5.78</v>
      </c>
      <c r="N1858" s="3" t="inlineStr">
        <is>
          <t>Sí</t>
        </is>
      </c>
      <c r="O1858" s="6">
        <f>IF(K1858="","",IF(N1858="Sí",ROUND(K1858/1.18,2),K1858))</f>
        <v/>
      </c>
      <c r="P1858" s="3" t="inlineStr">
        <is>
          <t>2026-09-10</t>
        </is>
      </c>
      <c r="Q1858" s="4" t="inlineStr">
        <is>
          <t>Bellón</t>
        </is>
      </c>
      <c r="AF1858" s="4" t="inlineStr">
        <is>
          <t>tipo: tapon-hembra · material: CPVC · medida: 1/2"</t>
        </is>
      </c>
    </row>
    <row r="1859">
      <c r="A1859" s="3" t="inlineStr">
        <is>
          <t>MAT-32-505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Tapón hembra de CPVC 1"</t>
        </is>
      </c>
      <c r="E1859" s="4" t="inlineStr"/>
      <c r="F1859" s="3" t="inlineStr">
        <is>
          <t>unidad</t>
        </is>
      </c>
      <c r="G1859" s="3" t="inlineStr">
        <is>
          <t>Instalaciones</t>
        </is>
      </c>
      <c r="H1859" s="3" t="inlineStr">
        <is>
          <t>estandar</t>
        </is>
      </c>
      <c r="I1859" s="3" t="inlineStr">
        <is>
          <t>importado</t>
        </is>
      </c>
      <c r="J1859" s="5" t="n">
        <v>1</v>
      </c>
      <c r="K1859" s="6" t="n">
        <v>21</v>
      </c>
      <c r="L1859" s="6" t="n">
        <v>21</v>
      </c>
      <c r="M1859" s="6" t="n">
        <v>21</v>
      </c>
      <c r="N1859" s="3" t="inlineStr">
        <is>
          <t>Sí</t>
        </is>
      </c>
      <c r="O1859" s="6">
        <f>IF(K1859="","",IF(N1859="Sí",ROUND(K1859/1.18,2),K1859))</f>
        <v/>
      </c>
      <c r="P1859" s="3" t="inlineStr">
        <is>
          <t>2026-09-10</t>
        </is>
      </c>
      <c r="Q1859" s="4" t="inlineStr">
        <is>
          <t>Bellón</t>
        </is>
      </c>
      <c r="AF1859" s="4" t="inlineStr">
        <is>
          <t>tipo: tapon-hembra · material: CPVC · medida: 1"</t>
        </is>
      </c>
    </row>
    <row r="1860">
      <c r="A1860" s="3" t="inlineStr">
        <is>
          <t>MAT-32-506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Tapón hembra de CPVC 3/4"</t>
        </is>
      </c>
      <c r="E1860" s="4" t="inlineStr"/>
      <c r="F1860" s="3" t="inlineStr">
        <is>
          <t>unidad</t>
        </is>
      </c>
      <c r="G1860" s="3" t="inlineStr">
        <is>
          <t>Instalaciones</t>
        </is>
      </c>
      <c r="H1860" s="3" t="inlineStr">
        <is>
          <t>estandar</t>
        </is>
      </c>
      <c r="I1860" s="3" t="inlineStr">
        <is>
          <t>importado</t>
        </is>
      </c>
      <c r="J1860" s="5" t="n">
        <v>1</v>
      </c>
      <c r="K1860" s="6" t="n">
        <v>8.720000000000001</v>
      </c>
      <c r="L1860" s="6" t="n">
        <v>8.720000000000001</v>
      </c>
      <c r="M1860" s="6" t="n">
        <v>8.720000000000001</v>
      </c>
      <c r="N1860" s="3" t="inlineStr">
        <is>
          <t>Sí</t>
        </is>
      </c>
      <c r="O1860" s="6">
        <f>IF(K1860="","",IF(N1860="Sí",ROUND(K1860/1.18,2),K1860))</f>
        <v/>
      </c>
      <c r="P1860" s="3" t="inlineStr">
        <is>
          <t>2026-09-10</t>
        </is>
      </c>
      <c r="Q1860" s="4" t="inlineStr">
        <is>
          <t>Bellón</t>
        </is>
      </c>
      <c r="AF1860" s="4" t="inlineStr">
        <is>
          <t>tipo: tapon-hembra · material: CPVC · medida: 3/4"</t>
        </is>
      </c>
    </row>
    <row r="1861">
      <c r="A1861" s="3" t="inlineStr">
        <is>
          <t>MAT-32-507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Tapón hembra de HG 1 1/2"</t>
        </is>
      </c>
      <c r="E1861" s="4" t="inlineStr"/>
      <c r="F1861" s="3" t="inlineStr">
        <is>
          <t>unidad</t>
        </is>
      </c>
      <c r="G1861" s="3" t="inlineStr">
        <is>
          <t>Instalaciones</t>
        </is>
      </c>
      <c r="H1861" s="3" t="inlineStr">
        <is>
          <t>estandar</t>
        </is>
      </c>
      <c r="I1861" s="3" t="inlineStr">
        <is>
          <t>importado</t>
        </is>
      </c>
      <c r="J1861" s="5" t="n">
        <v>1</v>
      </c>
      <c r="K1861" s="6" t="n">
        <v>270</v>
      </c>
      <c r="L1861" s="6" t="n">
        <v>270</v>
      </c>
      <c r="M1861" s="6" t="n">
        <v>270</v>
      </c>
      <c r="N1861" s="3" t="inlineStr">
        <is>
          <t>Sí</t>
        </is>
      </c>
      <c r="O1861" s="6">
        <f>IF(K1861="","",IF(N1861="Sí",ROUND(K1861/1.18,2),K1861))</f>
        <v/>
      </c>
      <c r="P1861" s="3" t="inlineStr">
        <is>
          <t>2026-09-09</t>
        </is>
      </c>
      <c r="Q1861" s="4" t="inlineStr">
        <is>
          <t>Ferretería Cima</t>
        </is>
      </c>
      <c r="AF1861" s="4" t="inlineStr">
        <is>
          <t>tipo: tapon-hembra · material: HG · medida: 1 1/2"</t>
        </is>
      </c>
    </row>
    <row r="1862">
      <c r="A1862" s="3" t="inlineStr">
        <is>
          <t>MAT-32-508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Tapón hembra de HG 1/2"</t>
        </is>
      </c>
      <c r="E1862" s="4" t="inlineStr"/>
      <c r="F1862" s="3" t="inlineStr">
        <is>
          <t>unidad</t>
        </is>
      </c>
      <c r="G1862" s="3" t="inlineStr">
        <is>
          <t>Instalaciones</t>
        </is>
      </c>
      <c r="H1862" s="3" t="inlineStr">
        <is>
          <t>estandar</t>
        </is>
      </c>
      <c r="I1862" s="3" t="inlineStr">
        <is>
          <t>importado</t>
        </is>
      </c>
      <c r="J1862" s="5" t="n">
        <v>1</v>
      </c>
      <c r="K1862" s="6" t="n">
        <v>20</v>
      </c>
      <c r="L1862" s="6" t="n">
        <v>20</v>
      </c>
      <c r="M1862" s="6" t="n">
        <v>20</v>
      </c>
      <c r="N1862" s="3" t="inlineStr">
        <is>
          <t>Sí</t>
        </is>
      </c>
      <c r="O1862" s="6">
        <f>IF(K1862="","",IF(N1862="Sí",ROUND(K1862/1.18,2),K1862))</f>
        <v/>
      </c>
      <c r="P1862" s="3" t="inlineStr">
        <is>
          <t>2026-09-09</t>
        </is>
      </c>
      <c r="Q1862" s="4" t="inlineStr">
        <is>
          <t>Ferretería Cima</t>
        </is>
      </c>
      <c r="AF1862" s="4" t="inlineStr">
        <is>
          <t>tipo: tapon-hembra · material: HG · medida: 1/2"</t>
        </is>
      </c>
    </row>
    <row r="1863">
      <c r="A1863" s="3" t="inlineStr">
        <is>
          <t>MAT-32-509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Tapón hembra de HG 1/4"</t>
        </is>
      </c>
      <c r="E1863" s="4" t="inlineStr"/>
      <c r="F1863" s="3" t="inlineStr">
        <is>
          <t>unidad</t>
        </is>
      </c>
      <c r="G1863" s="3" t="inlineStr">
        <is>
          <t>Instalaciones</t>
        </is>
      </c>
      <c r="H1863" s="3" t="inlineStr">
        <is>
          <t>estandar</t>
        </is>
      </c>
      <c r="I1863" s="3" t="inlineStr">
        <is>
          <t>importado</t>
        </is>
      </c>
      <c r="J1863" s="5" t="n">
        <v>1</v>
      </c>
      <c r="K1863" s="6" t="n">
        <v>35</v>
      </c>
      <c r="L1863" s="6" t="n">
        <v>35</v>
      </c>
      <c r="M1863" s="6" t="n">
        <v>35</v>
      </c>
      <c r="N1863" s="3" t="inlineStr">
        <is>
          <t>Sí</t>
        </is>
      </c>
      <c r="O1863" s="6">
        <f>IF(K1863="","",IF(N1863="Sí",ROUND(K1863/1.18,2),K1863))</f>
        <v/>
      </c>
      <c r="P1863" s="3" t="inlineStr">
        <is>
          <t>2026-09-09</t>
        </is>
      </c>
      <c r="Q1863" s="4" t="inlineStr">
        <is>
          <t>Ferretería Cima</t>
        </is>
      </c>
      <c r="AF1863" s="4" t="inlineStr">
        <is>
          <t>tipo: tapon-hembra · material: HG · medida: 1/4"</t>
        </is>
      </c>
    </row>
    <row r="1864">
      <c r="A1864" s="3" t="inlineStr">
        <is>
          <t>MAT-32-510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Tapón hembra de HG 1"</t>
        </is>
      </c>
      <c r="E1864" s="4" t="inlineStr"/>
      <c r="F1864" s="3" t="inlineStr">
        <is>
          <t>unidad</t>
        </is>
      </c>
      <c r="G1864" s="3" t="inlineStr">
        <is>
          <t>Instalaciones</t>
        </is>
      </c>
      <c r="H1864" s="3" t="inlineStr">
        <is>
          <t>estandar</t>
        </is>
      </c>
      <c r="I1864" s="3" t="inlineStr">
        <is>
          <t>importado</t>
        </is>
      </c>
      <c r="J1864" s="5" t="n">
        <v>1</v>
      </c>
      <c r="K1864" s="6" t="n">
        <v>44</v>
      </c>
      <c r="L1864" s="6" t="n">
        <v>44</v>
      </c>
      <c r="M1864" s="6" t="n">
        <v>44</v>
      </c>
      <c r="N1864" s="3" t="inlineStr">
        <is>
          <t>Sí</t>
        </is>
      </c>
      <c r="O1864" s="6">
        <f>IF(K1864="","",IF(N1864="Sí",ROUND(K1864/1.18,2),K1864))</f>
        <v/>
      </c>
      <c r="P1864" s="3" t="inlineStr">
        <is>
          <t>2026-09-09</t>
        </is>
      </c>
      <c r="Q1864" s="4" t="inlineStr">
        <is>
          <t>Ferretería Cima</t>
        </is>
      </c>
      <c r="AF1864" s="4" t="inlineStr">
        <is>
          <t>tipo: tapon-hembra · material: HG · medida: 1"</t>
        </is>
      </c>
    </row>
    <row r="1865">
      <c r="A1865" s="3" t="inlineStr">
        <is>
          <t>MAT-32-511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Tapón hembra de HG 2"</t>
        </is>
      </c>
      <c r="E1865" s="4" t="inlineStr"/>
      <c r="F1865" s="3" t="inlineStr">
        <is>
          <t>unidad</t>
        </is>
      </c>
      <c r="G1865" s="3" t="inlineStr">
        <is>
          <t>Instalaciones</t>
        </is>
      </c>
      <c r="H1865" s="3" t="inlineStr">
        <is>
          <t>estandar</t>
        </is>
      </c>
      <c r="I1865" s="3" t="inlineStr">
        <is>
          <t>importado</t>
        </is>
      </c>
      <c r="J1865" s="5" t="n">
        <v>1</v>
      </c>
      <c r="K1865" s="6" t="n">
        <v>189</v>
      </c>
      <c r="L1865" s="6" t="n">
        <v>189</v>
      </c>
      <c r="M1865" s="6" t="n">
        <v>189</v>
      </c>
      <c r="N1865" s="3" t="inlineStr">
        <is>
          <t>Sí</t>
        </is>
      </c>
      <c r="O1865" s="6">
        <f>IF(K1865="","",IF(N1865="Sí",ROUND(K1865/1.18,2),K1865))</f>
        <v/>
      </c>
      <c r="P1865" s="3" t="inlineStr">
        <is>
          <t>2026-09-09</t>
        </is>
      </c>
      <c r="Q1865" s="4" t="inlineStr">
        <is>
          <t>Ferretería Cima</t>
        </is>
      </c>
      <c r="AF1865" s="4" t="inlineStr">
        <is>
          <t>tipo: tapon-hembra · material: HG · medida: 2"</t>
        </is>
      </c>
    </row>
    <row r="1866">
      <c r="A1866" s="3" t="inlineStr">
        <is>
          <t>MAT-32-513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Tapón hembra de PPR 25 mm</t>
        </is>
      </c>
      <c r="E1866" s="4" t="inlineStr"/>
      <c r="F1866" s="3" t="inlineStr">
        <is>
          <t>unidad</t>
        </is>
      </c>
      <c r="G1866" s="3" t="inlineStr">
        <is>
          <t>Instalaciones</t>
        </is>
      </c>
      <c r="H1866" s="3" t="inlineStr">
        <is>
          <t>estandar</t>
        </is>
      </c>
      <c r="I1866" s="3" t="inlineStr">
        <is>
          <t>importado</t>
        </is>
      </c>
      <c r="J1866" s="5" t="n">
        <v>1</v>
      </c>
      <c r="K1866" s="6" t="n">
        <v>4.16</v>
      </c>
      <c r="L1866" s="6" t="n">
        <v>4.16</v>
      </c>
      <c r="M1866" s="6" t="n">
        <v>4.16</v>
      </c>
      <c r="N1866" s="3" t="inlineStr">
        <is>
          <t>Sí</t>
        </is>
      </c>
      <c r="O1866" s="6">
        <f>IF(K1866="","",IF(N1866="Sí",ROUND(K1866/1.18,2),K1866))</f>
        <v/>
      </c>
      <c r="P1866" s="3" t="inlineStr">
        <is>
          <t>2026-09-10</t>
        </is>
      </c>
      <c r="Q1866" s="4" t="inlineStr">
        <is>
          <t>Bellón</t>
        </is>
      </c>
      <c r="AF1866" s="4" t="inlineStr">
        <is>
          <t>tipo: tapon-hembra · material: PPR · medida: 25 mm</t>
        </is>
      </c>
    </row>
    <row r="1867">
      <c r="A1867" s="3" t="inlineStr">
        <is>
          <t>MAT-32-514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Tapón hembra de PPR 32 mm</t>
        </is>
      </c>
      <c r="E1867" s="4" t="inlineStr"/>
      <c r="F1867" s="3" t="inlineStr">
        <is>
          <t>unidad</t>
        </is>
      </c>
      <c r="G1867" s="3" t="inlineStr">
        <is>
          <t>Instalaciones</t>
        </is>
      </c>
      <c r="H1867" s="3" t="inlineStr">
        <is>
          <t>estandar</t>
        </is>
      </c>
      <c r="I1867" s="3" t="inlineStr">
        <is>
          <t>importado</t>
        </is>
      </c>
      <c r="J1867" s="5" t="n">
        <v>1</v>
      </c>
      <c r="K1867" s="6" t="n">
        <v>7.47</v>
      </c>
      <c r="L1867" s="6" t="n">
        <v>7.47</v>
      </c>
      <c r="M1867" s="6" t="n">
        <v>7.47</v>
      </c>
      <c r="N1867" s="3" t="inlineStr">
        <is>
          <t>Sí</t>
        </is>
      </c>
      <c r="O1867" s="6">
        <f>IF(K1867="","",IF(N1867="Sí",ROUND(K1867/1.18,2),K1867))</f>
        <v/>
      </c>
      <c r="P1867" s="3" t="inlineStr">
        <is>
          <t>2026-09-10</t>
        </is>
      </c>
      <c r="Q1867" s="4" t="inlineStr">
        <is>
          <t>Bellón</t>
        </is>
      </c>
      <c r="AF1867" s="4" t="inlineStr">
        <is>
          <t>tipo: tapon-hembra · material: PPR · medida: 32 mm</t>
        </is>
      </c>
    </row>
    <row r="1868">
      <c r="A1868" s="3" t="inlineStr">
        <is>
          <t>MAT-32-515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Tapón hembra de PVC drenaje 2"</t>
        </is>
      </c>
      <c r="E1868" s="4" t="inlineStr"/>
      <c r="F1868" s="3" t="inlineStr">
        <is>
          <t>unidad</t>
        </is>
      </c>
      <c r="G1868" s="3" t="inlineStr">
        <is>
          <t>Instalaciones</t>
        </is>
      </c>
      <c r="H1868" s="3" t="inlineStr">
        <is>
          <t>estandar</t>
        </is>
      </c>
      <c r="I1868" s="3" t="inlineStr">
        <is>
          <t>importado</t>
        </is>
      </c>
      <c r="J1868" s="5" t="n">
        <v>1</v>
      </c>
      <c r="K1868" s="6" t="n">
        <v>45.68</v>
      </c>
      <c r="L1868" s="6" t="n">
        <v>45.68</v>
      </c>
      <c r="M1868" s="6" t="n">
        <v>45.68</v>
      </c>
      <c r="N1868" s="3" t="inlineStr">
        <is>
          <t>Sí</t>
        </is>
      </c>
      <c r="O1868" s="6">
        <f>IF(K1868="","",IF(N1868="Sí",ROUND(K1868/1.18,2),K1868))</f>
        <v/>
      </c>
      <c r="P1868" s="3" t="inlineStr">
        <is>
          <t>2026-09-10</t>
        </is>
      </c>
      <c r="Q1868" s="4" t="inlineStr">
        <is>
          <t>Bellón</t>
        </is>
      </c>
      <c r="AF1868" s="4" t="inlineStr">
        <is>
          <t>tipo: tapon-hembra · material: PVC drenaje · medida: 2"</t>
        </is>
      </c>
    </row>
    <row r="1869">
      <c r="A1869" s="3" t="inlineStr">
        <is>
          <t>MAT-32-516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Tapón hembra de PVC drenaje 3"</t>
        </is>
      </c>
      <c r="E1869" s="4" t="inlineStr"/>
      <c r="F1869" s="3" t="inlineStr">
        <is>
          <t>unidad</t>
        </is>
      </c>
      <c r="G1869" s="3" t="inlineStr">
        <is>
          <t>Instalaciones</t>
        </is>
      </c>
      <c r="H1869" s="3" t="inlineStr">
        <is>
          <t>estandar</t>
        </is>
      </c>
      <c r="I1869" s="3" t="inlineStr">
        <is>
          <t>importado</t>
        </is>
      </c>
      <c r="J1869" s="5" t="n">
        <v>1</v>
      </c>
      <c r="K1869" s="6" t="n">
        <v>71</v>
      </c>
      <c r="L1869" s="6" t="n">
        <v>71</v>
      </c>
      <c r="M1869" s="6" t="n">
        <v>71</v>
      </c>
      <c r="N1869" s="3" t="inlineStr">
        <is>
          <t>Sí</t>
        </is>
      </c>
      <c r="O1869" s="6">
        <f>IF(K1869="","",IF(N1869="Sí",ROUND(K1869/1.18,2),K1869))</f>
        <v/>
      </c>
      <c r="P1869" s="3" t="inlineStr">
        <is>
          <t>2026-09-10</t>
        </is>
      </c>
      <c r="Q1869" s="4" t="inlineStr">
        <is>
          <t>Bellón</t>
        </is>
      </c>
      <c r="AF1869" s="4" t="inlineStr">
        <is>
          <t>tipo: tapon-hembra · material: PVC drenaje · medida: 3"</t>
        </is>
      </c>
    </row>
    <row r="1870">
      <c r="A1870" s="3" t="inlineStr">
        <is>
          <t>MAT-32-517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Tapón hembra de PVC drenaje 4"</t>
        </is>
      </c>
      <c r="E1870" s="4" t="inlineStr"/>
      <c r="F1870" s="3" t="inlineStr">
        <is>
          <t>unidad</t>
        </is>
      </c>
      <c r="G1870" s="3" t="inlineStr">
        <is>
          <t>Instalaciones</t>
        </is>
      </c>
      <c r="H1870" s="3" t="inlineStr">
        <is>
          <t>estandar</t>
        </is>
      </c>
      <c r="I1870" s="3" t="inlineStr">
        <is>
          <t>importado</t>
        </is>
      </c>
      <c r="J1870" s="5" t="n">
        <v>1</v>
      </c>
      <c r="K1870" s="6" t="n">
        <v>112</v>
      </c>
      <c r="L1870" s="6" t="n">
        <v>112</v>
      </c>
      <c r="M1870" s="6" t="n">
        <v>112</v>
      </c>
      <c r="N1870" s="3" t="inlineStr">
        <is>
          <t>Sí</t>
        </is>
      </c>
      <c r="O1870" s="6">
        <f>IF(K1870="","",IF(N1870="Sí",ROUND(K1870/1.18,2),K1870))</f>
        <v/>
      </c>
      <c r="P1870" s="3" t="inlineStr">
        <is>
          <t>2026-09-10</t>
        </is>
      </c>
      <c r="Q1870" s="4" t="inlineStr">
        <is>
          <t>Bellón</t>
        </is>
      </c>
      <c r="AF1870" s="4" t="inlineStr">
        <is>
          <t>tipo: tapon-hembra · material: PVC drenaje · medida: 4"</t>
        </is>
      </c>
    </row>
    <row r="1871">
      <c r="A1871" s="3" t="inlineStr">
        <is>
          <t>MAT-32-518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Tapón hembra de PVC 1/2"</t>
        </is>
      </c>
      <c r="E1871" s="4" t="inlineStr"/>
      <c r="F1871" s="3" t="inlineStr">
        <is>
          <t>unidad</t>
        </is>
      </c>
      <c r="G1871" s="3" t="inlineStr">
        <is>
          <t>Instalaciones</t>
        </is>
      </c>
      <c r="H1871" s="3" t="inlineStr">
        <is>
          <t>estandar</t>
        </is>
      </c>
      <c r="I1871" s="3" t="inlineStr">
        <is>
          <t>importado</t>
        </is>
      </c>
      <c r="J1871" s="5" t="n">
        <v>1</v>
      </c>
      <c r="K1871" s="6" t="n">
        <v>4.22</v>
      </c>
      <c r="L1871" s="6" t="n">
        <v>4.22</v>
      </c>
      <c r="M1871" s="6" t="n">
        <v>4.22</v>
      </c>
      <c r="N1871" s="3" t="inlineStr">
        <is>
          <t>Sí</t>
        </is>
      </c>
      <c r="O1871" s="6">
        <f>IF(K1871="","",IF(N1871="Sí",ROUND(K1871/1.18,2),K1871))</f>
        <v/>
      </c>
      <c r="P1871" s="3" t="inlineStr">
        <is>
          <t>2026-09-10</t>
        </is>
      </c>
      <c r="Q1871" s="4" t="inlineStr">
        <is>
          <t>Bellón</t>
        </is>
      </c>
      <c r="AF1871" s="4" t="inlineStr">
        <is>
          <t>tipo: tapon-hembra · material: PVC · medida: 1/2"</t>
        </is>
      </c>
    </row>
    <row r="1872">
      <c r="A1872" s="3" t="inlineStr">
        <is>
          <t>MAT-32-519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Tapón hembra de PVC 12"</t>
        </is>
      </c>
      <c r="E1872" s="4" t="inlineStr"/>
      <c r="F1872" s="3" t="inlineStr">
        <is>
          <t>unidad</t>
        </is>
      </c>
      <c r="G1872" s="3" t="inlineStr">
        <is>
          <t>Instalaciones</t>
        </is>
      </c>
      <c r="H1872" s="3" t="inlineStr">
        <is>
          <t>estandar</t>
        </is>
      </c>
      <c r="I1872" s="3" t="inlineStr">
        <is>
          <t>importado</t>
        </is>
      </c>
      <c r="J1872" s="5" t="n">
        <v>1</v>
      </c>
      <c r="K1872" s="6" t="n">
        <v>8495</v>
      </c>
      <c r="L1872" s="6" t="n">
        <v>8495</v>
      </c>
      <c r="M1872" s="6" t="n">
        <v>8495</v>
      </c>
      <c r="N1872" s="3" t="inlineStr">
        <is>
          <t>Sí</t>
        </is>
      </c>
      <c r="O1872" s="6">
        <f>IF(K1872="","",IF(N1872="Sí",ROUND(K1872/1.18,2),K1872))</f>
        <v/>
      </c>
      <c r="P1872" s="3" t="inlineStr">
        <is>
          <t>2026-09-10</t>
        </is>
      </c>
      <c r="Q1872" s="4" t="inlineStr">
        <is>
          <t>Bellón</t>
        </is>
      </c>
      <c r="AF1872" s="4" t="inlineStr">
        <is>
          <t>tipo: tapon-hembra · material: PVC · medida: 12"</t>
        </is>
      </c>
    </row>
    <row r="1873">
      <c r="A1873" s="3" t="inlineStr">
        <is>
          <t>MAT-32-520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Tapón hembra de PVC 8"</t>
        </is>
      </c>
      <c r="E1873" s="4" t="inlineStr"/>
      <c r="F1873" s="3" t="inlineStr">
        <is>
          <t>unidad</t>
        </is>
      </c>
      <c r="G1873" s="3" t="inlineStr">
        <is>
          <t>Instalaciones</t>
        </is>
      </c>
      <c r="H1873" s="3" t="inlineStr">
        <is>
          <t>estandar</t>
        </is>
      </c>
      <c r="I1873" s="3" t="inlineStr">
        <is>
          <t>importado</t>
        </is>
      </c>
      <c r="J1873" s="5" t="n">
        <v>1</v>
      </c>
      <c r="K1873" s="6" t="n">
        <v>840</v>
      </c>
      <c r="L1873" s="6" t="n">
        <v>840</v>
      </c>
      <c r="M1873" s="6" t="n">
        <v>840</v>
      </c>
      <c r="N1873" s="3" t="inlineStr">
        <is>
          <t>Sí</t>
        </is>
      </c>
      <c r="O1873" s="6">
        <f>IF(K1873="","",IF(N1873="Sí",ROUND(K1873/1.18,2),K1873))</f>
        <v/>
      </c>
      <c r="P1873" s="3" t="inlineStr">
        <is>
          <t>2026-09-10</t>
        </is>
      </c>
      <c r="Q1873" s="4" t="inlineStr">
        <is>
          <t>Bellón</t>
        </is>
      </c>
      <c r="AF1873" s="4" t="inlineStr">
        <is>
          <t>tipo: tapon-hembra · material: PVC · medida: 8"</t>
        </is>
      </c>
    </row>
    <row r="1874">
      <c r="A1874" s="3" t="inlineStr">
        <is>
          <t>MAT-32-521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Tapón hembra de PVC presión 1 1/2"</t>
        </is>
      </c>
      <c r="E1874" s="4" t="inlineStr"/>
      <c r="F1874" s="3" t="inlineStr">
        <is>
          <t>unidad</t>
        </is>
      </c>
      <c r="G1874" s="3" t="inlineStr">
        <is>
          <t>Instalaciones</t>
        </is>
      </c>
      <c r="H1874" s="3" t="inlineStr">
        <is>
          <t>estandar</t>
        </is>
      </c>
      <c r="I1874" s="3" t="inlineStr">
        <is>
          <t>importado</t>
        </is>
      </c>
      <c r="J1874" s="5" t="n">
        <v>2</v>
      </c>
      <c r="K1874" s="6" t="n">
        <v>16.56</v>
      </c>
      <c r="L1874" s="6" t="n">
        <v>11.93</v>
      </c>
      <c r="M1874" s="6" t="n">
        <v>50</v>
      </c>
      <c r="N1874" s="3" t="inlineStr">
        <is>
          <t>Sí</t>
        </is>
      </c>
      <c r="O1874" s="6">
        <f>IF(K1874="","",IF(N1874="Sí",ROUND(K1874/1.18,2),K1874))</f>
        <v/>
      </c>
      <c r="P1874" s="3" t="inlineStr">
        <is>
          <t>2026-09-10</t>
        </is>
      </c>
      <c r="Q1874" s="4" t="inlineStr">
        <is>
          <t>Bellón · Ferretería Cima</t>
        </is>
      </c>
      <c r="AF1874" s="4" t="inlineStr">
        <is>
          <t>tipo: tapon-hembra · material: PVC presión · medida: 1 1/2"</t>
        </is>
      </c>
    </row>
    <row r="1875">
      <c r="A1875" s="3" t="inlineStr">
        <is>
          <t>MAT-32-522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Tapón hembra de PVC presión 1/2"</t>
        </is>
      </c>
      <c r="E1875" s="4" t="inlineStr"/>
      <c r="F1875" s="3" t="inlineStr">
        <is>
          <t>unidad</t>
        </is>
      </c>
      <c r="G1875" s="3" t="inlineStr">
        <is>
          <t>Instalaciones</t>
        </is>
      </c>
      <c r="H1875" s="3" t="inlineStr">
        <is>
          <t>estandar</t>
        </is>
      </c>
      <c r="I1875" s="3" t="inlineStr">
        <is>
          <t>importado</t>
        </is>
      </c>
      <c r="J1875" s="5" t="n">
        <v>2</v>
      </c>
      <c r="K1875" s="6" t="n">
        <v>10.85</v>
      </c>
      <c r="L1875" s="6" t="n">
        <v>2.21</v>
      </c>
      <c r="M1875" s="6" t="n">
        <v>31</v>
      </c>
      <c r="N1875" s="3" t="inlineStr">
        <is>
          <t>Sí</t>
        </is>
      </c>
      <c r="O1875" s="6">
        <f>IF(K1875="","",IF(N1875="Sí",ROUND(K1875/1.18,2),K1875))</f>
        <v/>
      </c>
      <c r="P1875" s="3" t="inlineStr">
        <is>
          <t>2026-09-10</t>
        </is>
      </c>
      <c r="Q1875" s="4" t="inlineStr">
        <is>
          <t>Bellón · Ferretería Cima</t>
        </is>
      </c>
      <c r="AF1875" s="4" t="inlineStr">
        <is>
          <t>tipo: tapon-hembra · material: PVC presión · medida: 1/2"</t>
        </is>
      </c>
    </row>
    <row r="1876">
      <c r="A1876" s="3" t="inlineStr">
        <is>
          <t>MAT-32-523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Tapón hembra de PVC presión 1"</t>
        </is>
      </c>
      <c r="E1876" s="4" t="inlineStr"/>
      <c r="F1876" s="3" t="inlineStr">
        <is>
          <t>unidad</t>
        </is>
      </c>
      <c r="G1876" s="3" t="inlineStr">
        <is>
          <t>Instalaciones</t>
        </is>
      </c>
      <c r="H1876" s="3" t="inlineStr">
        <is>
          <t>estandar</t>
        </is>
      </c>
      <c r="I1876" s="3" t="inlineStr">
        <is>
          <t>importado</t>
        </is>
      </c>
      <c r="J1876" s="5" t="n">
        <v>2</v>
      </c>
      <c r="K1876" s="6" t="n">
        <v>21.98</v>
      </c>
      <c r="L1876" s="6" t="n">
        <v>5.41</v>
      </c>
      <c r="M1876" s="6" t="n">
        <v>48</v>
      </c>
      <c r="N1876" s="3" t="inlineStr">
        <is>
          <t>Sí</t>
        </is>
      </c>
      <c r="O1876" s="6">
        <f>IF(K1876="","",IF(N1876="Sí",ROUND(K1876/1.18,2),K1876))</f>
        <v/>
      </c>
      <c r="P1876" s="3" t="inlineStr">
        <is>
          <t>2026-09-10</t>
        </is>
      </c>
      <c r="Q1876" s="4" t="inlineStr">
        <is>
          <t>Bellón · Ferretería Cima</t>
        </is>
      </c>
      <c r="AF1876" s="4" t="inlineStr">
        <is>
          <t>tipo: tapon-hembra · material: PVC presión · medida: 1"</t>
        </is>
      </c>
    </row>
    <row r="1877">
      <c r="A1877" s="3" t="inlineStr">
        <is>
          <t>MAT-32-524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Tapón hembra de PVC presión 2"</t>
        </is>
      </c>
      <c r="E1877" s="4" t="inlineStr"/>
      <c r="F1877" s="3" t="inlineStr">
        <is>
          <t>unidad</t>
        </is>
      </c>
      <c r="G1877" s="3" t="inlineStr">
        <is>
          <t>Instalaciones</t>
        </is>
      </c>
      <c r="H1877" s="3" t="inlineStr">
        <is>
          <t>estandar</t>
        </is>
      </c>
      <c r="I1877" s="3" t="inlineStr">
        <is>
          <t>importado</t>
        </is>
      </c>
      <c r="J1877" s="5" t="n">
        <v>1</v>
      </c>
      <c r="K1877" s="6" t="n">
        <v>22.44</v>
      </c>
      <c r="L1877" s="6" t="n">
        <v>17.57</v>
      </c>
      <c r="M1877" s="6" t="n">
        <v>27.3</v>
      </c>
      <c r="N1877" s="3" t="inlineStr">
        <is>
          <t>Sí</t>
        </is>
      </c>
      <c r="O1877" s="6">
        <f>IF(K1877="","",IF(N1877="Sí",ROUND(K1877/1.18,2),K1877))</f>
        <v/>
      </c>
      <c r="P1877" s="3" t="inlineStr">
        <is>
          <t>2026-09-10</t>
        </is>
      </c>
      <c r="Q1877" s="4" t="inlineStr">
        <is>
          <t>Bellón</t>
        </is>
      </c>
      <c r="AF1877" s="4" t="inlineStr">
        <is>
          <t>tipo: tapon-hembra · material: PVC presión · medida: 2"</t>
        </is>
      </c>
    </row>
    <row r="1878">
      <c r="A1878" s="3" t="inlineStr">
        <is>
          <t>MAT-32-525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Tapón hembra de PVC presión 3/4"</t>
        </is>
      </c>
      <c r="E1878" s="4" t="inlineStr"/>
      <c r="F1878" s="3" t="inlineStr">
        <is>
          <t>unidad</t>
        </is>
      </c>
      <c r="G1878" s="3" t="inlineStr">
        <is>
          <t>Instalaciones</t>
        </is>
      </c>
      <c r="H1878" s="3" t="inlineStr">
        <is>
          <t>estandar</t>
        </is>
      </c>
      <c r="I1878" s="3" t="inlineStr">
        <is>
          <t>importado</t>
        </is>
      </c>
      <c r="J1878" s="5" t="n">
        <v>2</v>
      </c>
      <c r="K1878" s="6" t="n">
        <v>5.17</v>
      </c>
      <c r="L1878" s="6" t="n">
        <v>3.6</v>
      </c>
      <c r="M1878" s="6" t="n">
        <v>20</v>
      </c>
      <c r="N1878" s="3" t="inlineStr">
        <is>
          <t>Sí</t>
        </is>
      </c>
      <c r="O1878" s="6">
        <f>IF(K1878="","",IF(N1878="Sí",ROUND(K1878/1.18,2),K1878))</f>
        <v/>
      </c>
      <c r="P1878" s="3" t="inlineStr">
        <is>
          <t>2026-09-10</t>
        </is>
      </c>
      <c r="Q1878" s="4" t="inlineStr">
        <is>
          <t>Bellón · Ferretería Cima</t>
        </is>
      </c>
      <c r="AF1878" s="4" t="inlineStr">
        <is>
          <t>tipo: tapon-hembra · material: PVC presión · medida: 3/4"</t>
        </is>
      </c>
    </row>
    <row r="1879">
      <c r="A1879" s="3" t="inlineStr">
        <is>
          <t>MAT-32-526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Tapón hembra de PVC presión 3"</t>
        </is>
      </c>
      <c r="E1879" s="4" t="inlineStr"/>
      <c r="F1879" s="3" t="inlineStr">
        <is>
          <t>unidad</t>
        </is>
      </c>
      <c r="G1879" s="3" t="inlineStr">
        <is>
          <t>Instalaciones</t>
        </is>
      </c>
      <c r="H1879" s="3" t="inlineStr">
        <is>
          <t>estandar</t>
        </is>
      </c>
      <c r="I1879" s="3" t="inlineStr">
        <is>
          <t>importado</t>
        </is>
      </c>
      <c r="J1879" s="5" t="n">
        <v>2</v>
      </c>
      <c r="K1879" s="6" t="n">
        <v>74.88</v>
      </c>
      <c r="L1879" s="6" t="n">
        <v>50</v>
      </c>
      <c r="M1879" s="6" t="n">
        <v>205</v>
      </c>
      <c r="N1879" s="3" t="inlineStr">
        <is>
          <t>Sí</t>
        </is>
      </c>
      <c r="O1879" s="6">
        <f>IF(K1879="","",IF(N1879="Sí",ROUND(K1879/1.18,2),K1879))</f>
        <v/>
      </c>
      <c r="P1879" s="3" t="inlineStr">
        <is>
          <t>2026-09-10</t>
        </is>
      </c>
      <c r="Q1879" s="4" t="inlineStr">
        <is>
          <t>Bellón · Ferretería Cima</t>
        </is>
      </c>
      <c r="AF1879" s="4" t="inlineStr">
        <is>
          <t>tipo: tapon-hembra · material: PVC presión · medida: 3"</t>
        </is>
      </c>
    </row>
    <row r="1880">
      <c r="A1880" s="3" t="inlineStr">
        <is>
          <t>MAT-32-527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Tapón hembra de PVC presión 4"</t>
        </is>
      </c>
      <c r="E1880" s="4" t="inlineStr"/>
      <c r="F1880" s="3" t="inlineStr">
        <is>
          <t>unidad</t>
        </is>
      </c>
      <c r="G1880" s="3" t="inlineStr">
        <is>
          <t>Instalaciones</t>
        </is>
      </c>
      <c r="H1880" s="3" t="inlineStr">
        <is>
          <t>estandar</t>
        </is>
      </c>
      <c r="I1880" s="3" t="inlineStr">
        <is>
          <t>importado</t>
        </is>
      </c>
      <c r="J1880" s="5" t="n">
        <v>1</v>
      </c>
      <c r="K1880" s="6" t="n">
        <v>102.64</v>
      </c>
      <c r="L1880" s="6" t="n">
        <v>81.05</v>
      </c>
      <c r="M1880" s="6" t="n">
        <v>124.23</v>
      </c>
      <c r="N1880" s="3" t="inlineStr">
        <is>
          <t>Sí</t>
        </is>
      </c>
      <c r="O1880" s="6">
        <f>IF(K1880="","",IF(N1880="Sí",ROUND(K1880/1.18,2),K1880))</f>
        <v/>
      </c>
      <c r="P1880" s="3" t="inlineStr">
        <is>
          <t>2026-09-10</t>
        </is>
      </c>
      <c r="Q1880" s="4" t="inlineStr">
        <is>
          <t>Bellón</t>
        </is>
      </c>
      <c r="AF1880" s="4" t="inlineStr">
        <is>
          <t>tipo: tapon-hembra · material: PVC presión · medida: 4"</t>
        </is>
      </c>
    </row>
    <row r="1881">
      <c r="A1881" s="3" t="inlineStr">
        <is>
          <t>MAT-32-528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hembra de PVC presión 6"</t>
        </is>
      </c>
      <c r="E1881" s="4" t="inlineStr"/>
      <c r="F1881" s="3" t="inlineStr">
        <is>
          <t>unidad</t>
        </is>
      </c>
      <c r="G1881" s="3" t="inlineStr">
        <is>
          <t>Instalaciones</t>
        </is>
      </c>
      <c r="H1881" s="3" t="inlineStr">
        <is>
          <t>estandar</t>
        </is>
      </c>
      <c r="I1881" s="3" t="inlineStr">
        <is>
          <t>importado</t>
        </is>
      </c>
      <c r="J1881" s="5" t="n">
        <v>1</v>
      </c>
      <c r="K1881" s="6" t="n">
        <v>379.5</v>
      </c>
      <c r="L1881" s="6" t="n">
        <v>309</v>
      </c>
      <c r="M1881" s="6" t="n">
        <v>450</v>
      </c>
      <c r="N1881" s="3" t="inlineStr">
        <is>
          <t>Sí</t>
        </is>
      </c>
      <c r="O1881" s="6">
        <f>IF(K1881="","",IF(N1881="Sí",ROUND(K1881/1.18,2),K1881))</f>
        <v/>
      </c>
      <c r="P1881" s="3" t="inlineStr">
        <is>
          <t>2026-09-10</t>
        </is>
      </c>
      <c r="Q1881" s="4" t="inlineStr">
        <is>
          <t>Bellón</t>
        </is>
      </c>
      <c r="AF1881" s="4" t="inlineStr">
        <is>
          <t>tipo: tapon-hembra · material: PVC presión · medida: 6"</t>
        </is>
      </c>
    </row>
    <row r="1882">
      <c r="A1882" s="3" t="inlineStr">
        <is>
          <t>MAT-32-529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macho de bronce 1/2"</t>
        </is>
      </c>
      <c r="E1882" s="4" t="inlineStr"/>
      <c r="F1882" s="3" t="inlineStr">
        <is>
          <t>unidad</t>
        </is>
      </c>
      <c r="G1882" s="3" t="inlineStr">
        <is>
          <t>Instalaciones</t>
        </is>
      </c>
      <c r="H1882" s="3" t="inlineStr">
        <is>
          <t>estandar</t>
        </is>
      </c>
      <c r="I1882" s="3" t="inlineStr">
        <is>
          <t>importado</t>
        </is>
      </c>
      <c r="J1882" s="5" t="n">
        <v>1</v>
      </c>
      <c r="K1882" s="6" t="n">
        <v>80</v>
      </c>
      <c r="L1882" s="6" t="n">
        <v>80</v>
      </c>
      <c r="M1882" s="6" t="n">
        <v>80</v>
      </c>
      <c r="N1882" s="3" t="inlineStr">
        <is>
          <t>Sí</t>
        </is>
      </c>
      <c r="O1882" s="6">
        <f>IF(K1882="","",IF(N1882="Sí",ROUND(K1882/1.18,2),K1882))</f>
        <v/>
      </c>
      <c r="P1882" s="3" t="inlineStr">
        <is>
          <t>2026-09-10</t>
        </is>
      </c>
      <c r="Q1882" s="4" t="inlineStr">
        <is>
          <t>Bellón</t>
        </is>
      </c>
      <c r="AF1882" s="4" t="inlineStr">
        <is>
          <t>tipo: tapon-macho · material: bronce · medida: 1/2"</t>
        </is>
      </c>
    </row>
    <row r="1883">
      <c r="A1883" s="3" t="inlineStr">
        <is>
          <t>MAT-32-530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macho de bronce 1/4"</t>
        </is>
      </c>
      <c r="E1883" s="4" t="inlineStr"/>
      <c r="F1883" s="3" t="inlineStr">
        <is>
          <t>unidad</t>
        </is>
      </c>
      <c r="G1883" s="3" t="inlineStr">
        <is>
          <t>Instalaciones</t>
        </is>
      </c>
      <c r="H1883" s="3" t="inlineStr">
        <is>
          <t>estandar</t>
        </is>
      </c>
      <c r="I1883" s="3" t="inlineStr">
        <is>
          <t>importado</t>
        </is>
      </c>
      <c r="J1883" s="5" t="n">
        <v>1</v>
      </c>
      <c r="K1883" s="6" t="n">
        <v>29.29</v>
      </c>
      <c r="L1883" s="6" t="n">
        <v>21.58</v>
      </c>
      <c r="M1883" s="6" t="n">
        <v>37</v>
      </c>
      <c r="N1883" s="3" t="inlineStr">
        <is>
          <t>Sí</t>
        </is>
      </c>
      <c r="O1883" s="6">
        <f>IF(K1883="","",IF(N1883="Sí",ROUND(K1883/1.18,2),K1883))</f>
        <v/>
      </c>
      <c r="P1883" s="3" t="inlineStr">
        <is>
          <t>2026-09-10</t>
        </is>
      </c>
      <c r="Q1883" s="4" t="inlineStr">
        <is>
          <t>Bellón</t>
        </is>
      </c>
      <c r="AF1883" s="4" t="inlineStr">
        <is>
          <t>tipo: tapon-macho · material: bronce · medida: 1/4"</t>
        </is>
      </c>
    </row>
    <row r="1884">
      <c r="A1884" s="3" t="inlineStr">
        <is>
          <t>MAT-32-531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macho de bronce 1/8"</t>
        </is>
      </c>
      <c r="E1884" s="4" t="inlineStr"/>
      <c r="F1884" s="3" t="inlineStr">
        <is>
          <t>unidad</t>
        </is>
      </c>
      <c r="G1884" s="3" t="inlineStr">
        <is>
          <t>Instalaciones</t>
        </is>
      </c>
      <c r="H1884" s="3" t="inlineStr">
        <is>
          <t>estandar</t>
        </is>
      </c>
      <c r="I1884" s="3" t="inlineStr">
        <is>
          <t>importado</t>
        </is>
      </c>
      <c r="J1884" s="5" t="n">
        <v>1</v>
      </c>
      <c r="K1884" s="6" t="n">
        <v>40.2</v>
      </c>
      <c r="L1884" s="6" t="n">
        <v>40.2</v>
      </c>
      <c r="M1884" s="6" t="n">
        <v>40.2</v>
      </c>
      <c r="N1884" s="3" t="inlineStr">
        <is>
          <t>Sí</t>
        </is>
      </c>
      <c r="O1884" s="6">
        <f>IF(K1884="","",IF(N1884="Sí",ROUND(K1884/1.18,2),K1884))</f>
        <v/>
      </c>
      <c r="P1884" s="3" t="inlineStr">
        <is>
          <t>2026-09-10</t>
        </is>
      </c>
      <c r="Q1884" s="4" t="inlineStr">
        <is>
          <t>Bellón</t>
        </is>
      </c>
      <c r="AF1884" s="4" t="inlineStr">
        <is>
          <t>tipo: tapon-macho · material: bronce · medida: 1/8"</t>
        </is>
      </c>
    </row>
    <row r="1885">
      <c r="A1885" s="3" t="inlineStr">
        <is>
          <t>MAT-32-532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macho de bronce 3/4"</t>
        </is>
      </c>
      <c r="E1885" s="4" t="inlineStr"/>
      <c r="F1885" s="3" t="inlineStr">
        <is>
          <t>unidad</t>
        </is>
      </c>
      <c r="G1885" s="3" t="inlineStr">
        <is>
          <t>Instalaciones</t>
        </is>
      </c>
      <c r="H1885" s="3" t="inlineStr">
        <is>
          <t>estandar</t>
        </is>
      </c>
      <c r="I1885" s="3" t="inlineStr">
        <is>
          <t>importado</t>
        </is>
      </c>
      <c r="J1885" s="5" t="n">
        <v>1</v>
      </c>
      <c r="K1885" s="6" t="n">
        <v>140</v>
      </c>
      <c r="L1885" s="6" t="n">
        <v>140</v>
      </c>
      <c r="M1885" s="6" t="n">
        <v>140</v>
      </c>
      <c r="N1885" s="3" t="inlineStr">
        <is>
          <t>Sí</t>
        </is>
      </c>
      <c r="O1885" s="6">
        <f>IF(K1885="","",IF(N1885="Sí",ROUND(K1885/1.18,2),K1885))</f>
        <v/>
      </c>
      <c r="P1885" s="3" t="inlineStr">
        <is>
          <t>2026-09-10</t>
        </is>
      </c>
      <c r="Q1885" s="4" t="inlineStr">
        <is>
          <t>Bellón</t>
        </is>
      </c>
      <c r="AF1885" s="4" t="inlineStr">
        <is>
          <t>tipo: tapon-macho · material: bronce · medida: 3/4"</t>
        </is>
      </c>
    </row>
    <row r="1886">
      <c r="A1886" s="3" t="inlineStr">
        <is>
          <t>MAT-32-533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macho de HG 1 1/2"</t>
        </is>
      </c>
      <c r="E1886" s="4" t="inlineStr"/>
      <c r="F1886" s="3" t="inlineStr">
        <is>
          <t>unidad</t>
        </is>
      </c>
      <c r="G1886" s="3" t="inlineStr">
        <is>
          <t>Instalaciones</t>
        </is>
      </c>
      <c r="H1886" s="3" t="inlineStr">
        <is>
          <t>estandar</t>
        </is>
      </c>
      <c r="I1886" s="3" t="inlineStr">
        <is>
          <t>importado</t>
        </is>
      </c>
      <c r="J1886" s="5" t="n">
        <v>2</v>
      </c>
      <c r="K1886" s="6" t="n">
        <v>79</v>
      </c>
      <c r="L1886" s="6" t="n">
        <v>58</v>
      </c>
      <c r="M1886" s="6" t="n">
        <v>100</v>
      </c>
      <c r="N1886" s="3" t="inlineStr">
        <is>
          <t>Sí</t>
        </is>
      </c>
      <c r="O1886" s="6">
        <f>IF(K1886="","",IF(N1886="Sí",ROUND(K1886/1.18,2),K1886))</f>
        <v/>
      </c>
      <c r="P1886" s="3" t="inlineStr">
        <is>
          <t>2026-09-10</t>
        </is>
      </c>
      <c r="Q1886" s="4" t="inlineStr">
        <is>
          <t>Bellón · Ferretería Cima</t>
        </is>
      </c>
      <c r="AF1886" s="4" t="inlineStr">
        <is>
          <t>tipo: tapon-macho · material: HG · medida: 1 1/2"</t>
        </is>
      </c>
    </row>
    <row r="1887">
      <c r="A1887" s="3" t="inlineStr">
        <is>
          <t>MAT-32-534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macho de HG 1 1/4"</t>
        </is>
      </c>
      <c r="E1887" s="4" t="inlineStr"/>
      <c r="F1887" s="3" t="inlineStr">
        <is>
          <t>unidad</t>
        </is>
      </c>
      <c r="G1887" s="3" t="inlineStr">
        <is>
          <t>Instalaciones</t>
        </is>
      </c>
      <c r="H1887" s="3" t="inlineStr">
        <is>
          <t>estandar</t>
        </is>
      </c>
      <c r="I1887" s="3" t="inlineStr">
        <is>
          <t>importado</t>
        </is>
      </c>
      <c r="J1887" s="5" t="n">
        <v>2</v>
      </c>
      <c r="K1887" s="6" t="n">
        <v>91.27</v>
      </c>
      <c r="L1887" s="6" t="n">
        <v>41.54</v>
      </c>
      <c r="M1887" s="6" t="n">
        <v>141</v>
      </c>
      <c r="N1887" s="3" t="inlineStr">
        <is>
          <t>Sí</t>
        </is>
      </c>
      <c r="O1887" s="6">
        <f>IF(K1887="","",IF(N1887="Sí",ROUND(K1887/1.18,2),K1887))</f>
        <v/>
      </c>
      <c r="P1887" s="3" t="inlineStr">
        <is>
          <t>2026-09-10</t>
        </is>
      </c>
      <c r="Q1887" s="4" t="inlineStr">
        <is>
          <t>Bellón · Ferretería Cima</t>
        </is>
      </c>
      <c r="AF1887" s="4" t="inlineStr">
        <is>
          <t>tipo: tapon-macho · material: HG · medida: 1 1/4"</t>
        </is>
      </c>
    </row>
    <row r="1888">
      <c r="A1888" s="3" t="inlineStr">
        <is>
          <t>MAT-32-535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macho de HG 1/2"</t>
        </is>
      </c>
      <c r="E1888" s="4" t="inlineStr"/>
      <c r="F1888" s="3" t="inlineStr">
        <is>
          <t>unidad</t>
        </is>
      </c>
      <c r="G1888" s="3" t="inlineStr">
        <is>
          <t>Instalaciones</t>
        </is>
      </c>
      <c r="H1888" s="3" t="inlineStr">
        <is>
          <t>estandar</t>
        </is>
      </c>
      <c r="I1888" s="3" t="inlineStr">
        <is>
          <t>importado</t>
        </is>
      </c>
      <c r="J1888" s="5" t="n">
        <v>2</v>
      </c>
      <c r="K1888" s="6" t="n">
        <v>18.5</v>
      </c>
      <c r="L1888" s="6" t="n">
        <v>15</v>
      </c>
      <c r="M1888" s="6" t="n">
        <v>22</v>
      </c>
      <c r="N1888" s="3" t="inlineStr">
        <is>
          <t>Sí</t>
        </is>
      </c>
      <c r="O1888" s="6">
        <f>IF(K1888="","",IF(N1888="Sí",ROUND(K1888/1.18,2),K1888))</f>
        <v/>
      </c>
      <c r="P1888" s="3" t="inlineStr">
        <is>
          <t>2026-09-10</t>
        </is>
      </c>
      <c r="Q1888" s="4" t="inlineStr">
        <is>
          <t>Bellón · Ferretería Cima</t>
        </is>
      </c>
      <c r="AF1888" s="4" t="inlineStr">
        <is>
          <t>tipo: tapon-macho · material: HG · medida: 1/2"</t>
        </is>
      </c>
    </row>
    <row r="1889">
      <c r="A1889" s="3" t="inlineStr">
        <is>
          <t>MAT-32-536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macho de HG 1/4"</t>
        </is>
      </c>
      <c r="E1889" s="4" t="inlineStr"/>
      <c r="F1889" s="3" t="inlineStr">
        <is>
          <t>unidad</t>
        </is>
      </c>
      <c r="G1889" s="3" t="inlineStr">
        <is>
          <t>Instalaciones</t>
        </is>
      </c>
      <c r="H1889" s="3" t="inlineStr">
        <is>
          <t>estandar</t>
        </is>
      </c>
      <c r="I1889" s="3" t="inlineStr">
        <is>
          <t>importado</t>
        </is>
      </c>
      <c r="J1889" s="5" t="n">
        <v>2</v>
      </c>
      <c r="K1889" s="6" t="n">
        <v>21.09</v>
      </c>
      <c r="L1889" s="6" t="n">
        <v>19.18</v>
      </c>
      <c r="M1889" s="6" t="n">
        <v>23</v>
      </c>
      <c r="N1889" s="3" t="inlineStr">
        <is>
          <t>Sí</t>
        </is>
      </c>
      <c r="O1889" s="6">
        <f>IF(K1889="","",IF(N1889="Sí",ROUND(K1889/1.18,2),K1889))</f>
        <v/>
      </c>
      <c r="P1889" s="3" t="inlineStr">
        <is>
          <t>2026-09-10</t>
        </is>
      </c>
      <c r="Q1889" s="4" t="inlineStr">
        <is>
          <t>Bellón · Ferretería Cima</t>
        </is>
      </c>
      <c r="AF1889" s="4" t="inlineStr">
        <is>
          <t>tipo: tapon-macho · material: HG · medida: 1/4"</t>
        </is>
      </c>
    </row>
    <row r="1890">
      <c r="A1890" s="3" t="inlineStr">
        <is>
          <t>MAT-32-537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macho de HG 1"</t>
        </is>
      </c>
      <c r="E1890" s="4" t="inlineStr"/>
      <c r="F1890" s="3" t="inlineStr">
        <is>
          <t>unidad</t>
        </is>
      </c>
      <c r="G1890" s="3" t="inlineStr">
        <is>
          <t>Instalaciones</t>
        </is>
      </c>
      <c r="H1890" s="3" t="inlineStr">
        <is>
          <t>estandar</t>
        </is>
      </c>
      <c r="I1890" s="3" t="inlineStr">
        <is>
          <t>importado</t>
        </is>
      </c>
      <c r="J1890" s="5" t="n">
        <v>2</v>
      </c>
      <c r="K1890" s="6" t="n">
        <v>68.06</v>
      </c>
      <c r="L1890" s="6" t="n">
        <v>35.11</v>
      </c>
      <c r="M1890" s="6" t="n">
        <v>101</v>
      </c>
      <c r="N1890" s="3" t="inlineStr">
        <is>
          <t>Sí</t>
        </is>
      </c>
      <c r="O1890" s="6">
        <f>IF(K1890="","",IF(N1890="Sí",ROUND(K1890/1.18,2),K1890))</f>
        <v/>
      </c>
      <c r="P1890" s="3" t="inlineStr">
        <is>
          <t>2026-09-10</t>
        </is>
      </c>
      <c r="Q1890" s="4" t="inlineStr">
        <is>
          <t>Bellón · Ferretería Cima</t>
        </is>
      </c>
      <c r="AF1890" s="4" t="inlineStr">
        <is>
          <t>tipo: tapon-macho · material: HG · medida: 1"</t>
        </is>
      </c>
    </row>
    <row r="1891">
      <c r="A1891" s="3" t="inlineStr">
        <is>
          <t>MAT-32-538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macho de HG 2"</t>
        </is>
      </c>
      <c r="E1891" s="4" t="inlineStr"/>
      <c r="F1891" s="3" t="inlineStr">
        <is>
          <t>unidad</t>
        </is>
      </c>
      <c r="G1891" s="3" t="inlineStr">
        <is>
          <t>Instalaciones</t>
        </is>
      </c>
      <c r="H1891" s="3" t="inlineStr">
        <is>
          <t>estandar</t>
        </is>
      </c>
      <c r="I1891" s="3" t="inlineStr">
        <is>
          <t>importado</t>
        </is>
      </c>
      <c r="J1891" s="5" t="n">
        <v>1</v>
      </c>
      <c r="K1891" s="6" t="n">
        <v>105</v>
      </c>
      <c r="L1891" s="6" t="n">
        <v>105</v>
      </c>
      <c r="M1891" s="6" t="n">
        <v>105</v>
      </c>
      <c r="N1891" s="3" t="inlineStr">
        <is>
          <t>Sí</t>
        </is>
      </c>
      <c r="O1891" s="6">
        <f>IF(K1891="","",IF(N1891="Sí",ROUND(K1891/1.18,2),K1891))</f>
        <v/>
      </c>
      <c r="P1891" s="3" t="inlineStr">
        <is>
          <t>2026-09-10</t>
        </is>
      </c>
      <c r="Q1891" s="4" t="inlineStr">
        <is>
          <t>Bellón</t>
        </is>
      </c>
      <c r="AF1891" s="4" t="inlineStr">
        <is>
          <t>tipo: tapon-macho · material: HG · medida: 2"</t>
        </is>
      </c>
    </row>
    <row r="1892">
      <c r="A1892" s="3" t="inlineStr">
        <is>
          <t>MAT-32-539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macho de HG 3/4"</t>
        </is>
      </c>
      <c r="E1892" s="4" t="inlineStr"/>
      <c r="F1892" s="3" t="inlineStr">
        <is>
          <t>unidad</t>
        </is>
      </c>
      <c r="G1892" s="3" t="inlineStr">
        <is>
          <t>Instalaciones</t>
        </is>
      </c>
      <c r="H1892" s="3" t="inlineStr">
        <is>
          <t>estandar</t>
        </is>
      </c>
      <c r="I1892" s="3" t="inlineStr">
        <is>
          <t>importado</t>
        </is>
      </c>
      <c r="J1892" s="5" t="n">
        <v>2</v>
      </c>
      <c r="K1892" s="6" t="n">
        <v>29.44</v>
      </c>
      <c r="L1892" s="6" t="n">
        <v>25.87</v>
      </c>
      <c r="M1892" s="6" t="n">
        <v>33</v>
      </c>
      <c r="N1892" s="3" t="inlineStr">
        <is>
          <t>Sí</t>
        </is>
      </c>
      <c r="O1892" s="6">
        <f>IF(K1892="","",IF(N1892="Sí",ROUND(K1892/1.18,2),K1892))</f>
        <v/>
      </c>
      <c r="P1892" s="3" t="inlineStr">
        <is>
          <t>2026-09-10</t>
        </is>
      </c>
      <c r="Q1892" s="4" t="inlineStr">
        <is>
          <t>Bellón · Ferretería Cima</t>
        </is>
      </c>
      <c r="AF1892" s="4" t="inlineStr">
        <is>
          <t>tipo: tapon-macho · material: HG · medida: 3/4"</t>
        </is>
      </c>
    </row>
    <row r="1893">
      <c r="A1893" s="3" t="inlineStr">
        <is>
          <t>MAT-32-540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macho de HG 3/8"</t>
        </is>
      </c>
      <c r="E1893" s="4" t="inlineStr"/>
      <c r="F1893" s="3" t="inlineStr">
        <is>
          <t>unidad</t>
        </is>
      </c>
      <c r="G1893" s="3" t="inlineStr">
        <is>
          <t>Instalaciones</t>
        </is>
      </c>
      <c r="H1893" s="3" t="inlineStr">
        <is>
          <t>estandar</t>
        </is>
      </c>
      <c r="I1893" s="3" t="inlineStr">
        <is>
          <t>importado</t>
        </is>
      </c>
      <c r="J1893" s="5" t="n">
        <v>2</v>
      </c>
      <c r="K1893" s="6" t="n">
        <v>21.55</v>
      </c>
      <c r="L1893" s="6" t="n">
        <v>21.1</v>
      </c>
      <c r="M1893" s="6" t="n">
        <v>22</v>
      </c>
      <c r="N1893" s="3" t="inlineStr">
        <is>
          <t>Sí</t>
        </is>
      </c>
      <c r="O1893" s="6">
        <f>IF(K1893="","",IF(N1893="Sí",ROUND(K1893/1.18,2),K1893))</f>
        <v/>
      </c>
      <c r="P1893" s="3" t="inlineStr">
        <is>
          <t>2026-09-10</t>
        </is>
      </c>
      <c r="Q1893" s="4" t="inlineStr">
        <is>
          <t>Bellón · Ferretería Cima</t>
        </is>
      </c>
      <c r="AF1893" s="4" t="inlineStr">
        <is>
          <t>tipo: tapon-macho · material: HG · medida: 3/8"</t>
        </is>
      </c>
    </row>
    <row r="1894">
      <c r="A1894" s="3" t="inlineStr">
        <is>
          <t>MAT-32-541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macho de HG 3"</t>
        </is>
      </c>
      <c r="E1894" s="4" t="inlineStr"/>
      <c r="F1894" s="3" t="inlineStr">
        <is>
          <t>unidad</t>
        </is>
      </c>
      <c r="G1894" s="3" t="inlineStr">
        <is>
          <t>Instalaciones</t>
        </is>
      </c>
      <c r="H1894" s="3" t="inlineStr">
        <is>
          <t>estandar</t>
        </is>
      </c>
      <c r="I1894" s="3" t="inlineStr">
        <is>
          <t>importado</t>
        </is>
      </c>
      <c r="J1894" s="5" t="n">
        <v>2</v>
      </c>
      <c r="K1894" s="6" t="n">
        <v>213</v>
      </c>
      <c r="L1894" s="6" t="n">
        <v>206</v>
      </c>
      <c r="M1894" s="6" t="n">
        <v>220</v>
      </c>
      <c r="N1894" s="3" t="inlineStr">
        <is>
          <t>Sí</t>
        </is>
      </c>
      <c r="O1894" s="6">
        <f>IF(K1894="","",IF(N1894="Sí",ROUND(K1894/1.18,2),K1894))</f>
        <v/>
      </c>
      <c r="P1894" s="3" t="inlineStr">
        <is>
          <t>2026-09-10</t>
        </is>
      </c>
      <c r="Q1894" s="4" t="inlineStr">
        <is>
          <t>Bellón · Ferretería Cima</t>
        </is>
      </c>
      <c r="AF1894" s="4" t="inlineStr">
        <is>
          <t>tipo: tapon-macho · material: HG · medida: 3"</t>
        </is>
      </c>
    </row>
    <row r="1895">
      <c r="A1895" s="3" t="inlineStr">
        <is>
          <t>MAT-32-542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macho de PPR 20 mm</t>
        </is>
      </c>
      <c r="E1895" s="4" t="inlineStr"/>
      <c r="F1895" s="3" t="inlineStr">
        <is>
          <t>unidad</t>
        </is>
      </c>
      <c r="G1895" s="3" t="inlineStr">
        <is>
          <t>Instalaciones</t>
        </is>
      </c>
      <c r="H1895" s="3" t="inlineStr">
        <is>
          <t>estandar</t>
        </is>
      </c>
      <c r="I1895" s="3" t="inlineStr">
        <is>
          <t>importado</t>
        </is>
      </c>
      <c r="J1895" s="5" t="n">
        <v>1</v>
      </c>
      <c r="K1895" s="6" t="n">
        <v>4.66</v>
      </c>
      <c r="L1895" s="6" t="n">
        <v>4.66</v>
      </c>
      <c r="M1895" s="6" t="n">
        <v>4.66</v>
      </c>
      <c r="N1895" s="3" t="inlineStr">
        <is>
          <t>Sí</t>
        </is>
      </c>
      <c r="O1895" s="6">
        <f>IF(K1895="","",IF(N1895="Sí",ROUND(K1895/1.18,2),K1895))</f>
        <v/>
      </c>
      <c r="P1895" s="3" t="inlineStr">
        <is>
          <t>2026-09-10</t>
        </is>
      </c>
      <c r="Q1895" s="4" t="inlineStr">
        <is>
          <t>Bellón</t>
        </is>
      </c>
      <c r="AF1895" s="4" t="inlineStr">
        <is>
          <t>tipo: tapon-macho · material: PPR · medida: 20 mm</t>
        </is>
      </c>
    </row>
    <row r="1896">
      <c r="A1896" s="3" t="inlineStr">
        <is>
          <t>MAT-32-543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macho de PPR 25 mm</t>
        </is>
      </c>
      <c r="E1896" s="4" t="inlineStr"/>
      <c r="F1896" s="3" t="inlineStr">
        <is>
          <t>unidad</t>
        </is>
      </c>
      <c r="G1896" s="3" t="inlineStr">
        <is>
          <t>Instalaciones</t>
        </is>
      </c>
      <c r="H1896" s="3" t="inlineStr">
        <is>
          <t>estandar</t>
        </is>
      </c>
      <c r="I1896" s="3" t="inlineStr">
        <is>
          <t>importado</t>
        </is>
      </c>
      <c r="J1896" s="5" t="n">
        <v>1</v>
      </c>
      <c r="K1896" s="6" t="n">
        <v>8.23</v>
      </c>
      <c r="L1896" s="6" t="n">
        <v>8.23</v>
      </c>
      <c r="M1896" s="6" t="n">
        <v>8.23</v>
      </c>
      <c r="N1896" s="3" t="inlineStr">
        <is>
          <t>Sí</t>
        </is>
      </c>
      <c r="O1896" s="6">
        <f>IF(K1896="","",IF(N1896="Sí",ROUND(K1896/1.18,2),K1896))</f>
        <v/>
      </c>
      <c r="P1896" s="3" t="inlineStr">
        <is>
          <t>2026-09-10</t>
        </is>
      </c>
      <c r="Q1896" s="4" t="inlineStr">
        <is>
          <t>Bellón</t>
        </is>
      </c>
      <c r="AF1896" s="4" t="inlineStr">
        <is>
          <t>tipo: tapon-macho · material: PPR · medida: 25 mm</t>
        </is>
      </c>
    </row>
    <row r="1897">
      <c r="A1897" s="3" t="inlineStr">
        <is>
          <t>MAT-32-544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macho de PPR 32 mm</t>
        </is>
      </c>
      <c r="E1897" s="4" t="inlineStr"/>
      <c r="F1897" s="3" t="inlineStr">
        <is>
          <t>unidad</t>
        </is>
      </c>
      <c r="G1897" s="3" t="inlineStr">
        <is>
          <t>Instalaciones</t>
        </is>
      </c>
      <c r="H1897" s="3" t="inlineStr">
        <is>
          <t>estandar</t>
        </is>
      </c>
      <c r="I1897" s="3" t="inlineStr">
        <is>
          <t>importado</t>
        </is>
      </c>
      <c r="J1897" s="5" t="n">
        <v>1</v>
      </c>
      <c r="K1897" s="6" t="n">
        <v>10.98</v>
      </c>
      <c r="L1897" s="6" t="n">
        <v>10.98</v>
      </c>
      <c r="M1897" s="6" t="n">
        <v>10.98</v>
      </c>
      <c r="N1897" s="3" t="inlineStr">
        <is>
          <t>Sí</t>
        </is>
      </c>
      <c r="O1897" s="6">
        <f>IF(K1897="","",IF(N1897="Sí",ROUND(K1897/1.18,2),K1897))</f>
        <v/>
      </c>
      <c r="P1897" s="3" t="inlineStr">
        <is>
          <t>2026-09-10</t>
        </is>
      </c>
      <c r="Q1897" s="4" t="inlineStr">
        <is>
          <t>Bellón</t>
        </is>
      </c>
      <c r="AF1897" s="4" t="inlineStr">
        <is>
          <t>tipo: tapon-macho · material: PPR · medida: 32 mm</t>
        </is>
      </c>
    </row>
    <row r="1898">
      <c r="A1898" s="3" t="inlineStr">
        <is>
          <t>MAT-32-545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macho de PVC 1 1/2"</t>
        </is>
      </c>
      <c r="E1898" s="4" t="inlineStr"/>
      <c r="F1898" s="3" t="inlineStr">
        <is>
          <t>unidad</t>
        </is>
      </c>
      <c r="G1898" s="3" t="inlineStr">
        <is>
          <t>Instalaciones</t>
        </is>
      </c>
      <c r="H1898" s="3" t="inlineStr">
        <is>
          <t>estandar</t>
        </is>
      </c>
      <c r="I1898" s="3" t="inlineStr">
        <is>
          <t>importado</t>
        </is>
      </c>
      <c r="J1898" s="5" t="n">
        <v>1</v>
      </c>
      <c r="K1898" s="6" t="n">
        <v>30.65</v>
      </c>
      <c r="L1898" s="6" t="n">
        <v>30.65</v>
      </c>
      <c r="M1898" s="6" t="n">
        <v>30.65</v>
      </c>
      <c r="N1898" s="3" t="inlineStr">
        <is>
          <t>Sí</t>
        </is>
      </c>
      <c r="O1898" s="6">
        <f>IF(K1898="","",IF(N1898="Sí",ROUND(K1898/1.18,2),K1898))</f>
        <v/>
      </c>
      <c r="P1898" s="3" t="inlineStr">
        <is>
          <t>2026-09-10</t>
        </is>
      </c>
      <c r="Q1898" s="4" t="inlineStr">
        <is>
          <t>Bellón</t>
        </is>
      </c>
      <c r="AF1898" s="4" t="inlineStr">
        <is>
          <t>tipo: tapon-macho · material: PVC · medida: 1 1/2"</t>
        </is>
      </c>
    </row>
    <row r="1899">
      <c r="A1899" s="3" t="inlineStr">
        <is>
          <t>MAT-32-546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macho de PVC 1"</t>
        </is>
      </c>
      <c r="E1899" s="4" t="inlineStr"/>
      <c r="F1899" s="3" t="inlineStr">
        <is>
          <t>unidad</t>
        </is>
      </c>
      <c r="G1899" s="3" t="inlineStr">
        <is>
          <t>Instalaciones</t>
        </is>
      </c>
      <c r="H1899" s="3" t="inlineStr">
        <is>
          <t>estandar</t>
        </is>
      </c>
      <c r="I1899" s="3" t="inlineStr">
        <is>
          <t>importado</t>
        </is>
      </c>
      <c r="J1899" s="5" t="n">
        <v>2</v>
      </c>
      <c r="K1899" s="6" t="n">
        <v>35.11</v>
      </c>
      <c r="L1899" s="6" t="n">
        <v>5.61</v>
      </c>
      <c r="M1899" s="6" t="n">
        <v>62</v>
      </c>
      <c r="N1899" s="3" t="inlineStr">
        <is>
          <t>Sí</t>
        </is>
      </c>
      <c r="O1899" s="6">
        <f>IF(K1899="","",IF(N1899="Sí",ROUND(K1899/1.18,2),K1899))</f>
        <v/>
      </c>
      <c r="P1899" s="3" t="inlineStr">
        <is>
          <t>2026-09-10</t>
        </is>
      </c>
      <c r="Q1899" s="4" t="inlineStr">
        <is>
          <t>Bellón · Ferretería Cima</t>
        </is>
      </c>
      <c r="AF1899" s="4" t="inlineStr">
        <is>
          <t>tipo: tapon-macho · material: PVC · medida: 1"</t>
        </is>
      </c>
    </row>
    <row r="1900">
      <c r="A1900" s="3" t="inlineStr">
        <is>
          <t>MAT-32-547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macho de PVC 2"</t>
        </is>
      </c>
      <c r="E1900" s="4" t="inlineStr"/>
      <c r="F1900" s="3" t="inlineStr">
        <is>
          <t>unidad</t>
        </is>
      </c>
      <c r="G1900" s="3" t="inlineStr">
        <is>
          <t>Instalaciones</t>
        </is>
      </c>
      <c r="H1900" s="3" t="inlineStr">
        <is>
          <t>estandar</t>
        </is>
      </c>
      <c r="I1900" s="3" t="inlineStr">
        <is>
          <t>importado</t>
        </is>
      </c>
      <c r="J1900" s="5" t="n">
        <v>1</v>
      </c>
      <c r="K1900" s="6" t="n">
        <v>31</v>
      </c>
      <c r="L1900" s="6" t="n">
        <v>31</v>
      </c>
      <c r="M1900" s="6" t="n">
        <v>31</v>
      </c>
      <c r="N1900" s="3" t="inlineStr">
        <is>
          <t>Sí</t>
        </is>
      </c>
      <c r="O1900" s="6">
        <f>IF(K1900="","",IF(N1900="Sí",ROUND(K1900/1.18,2),K1900))</f>
        <v/>
      </c>
      <c r="P1900" s="3" t="inlineStr">
        <is>
          <t>2026-09-10</t>
        </is>
      </c>
      <c r="Q1900" s="4" t="inlineStr">
        <is>
          <t>Bellón</t>
        </is>
      </c>
      <c r="AF1900" s="4" t="inlineStr">
        <is>
          <t>tipo: tapon-macho · material: PVC · medida: 2"</t>
        </is>
      </c>
    </row>
    <row r="1901">
      <c r="A1901" s="3" t="inlineStr">
        <is>
          <t>MAT-32-548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macho de PVC 3/4"</t>
        </is>
      </c>
      <c r="E1901" s="4" t="inlineStr"/>
      <c r="F1901" s="3" t="inlineStr">
        <is>
          <t>unidad</t>
        </is>
      </c>
      <c r="G1901" s="3" t="inlineStr">
        <is>
          <t>Instalaciones</t>
        </is>
      </c>
      <c r="H1901" s="3" t="inlineStr">
        <is>
          <t>estandar</t>
        </is>
      </c>
      <c r="I1901" s="3" t="inlineStr">
        <is>
          <t>importado</t>
        </is>
      </c>
      <c r="J1901" s="5" t="n">
        <v>1</v>
      </c>
      <c r="K1901" s="6" t="n">
        <v>7.04</v>
      </c>
      <c r="L1901" s="6" t="n">
        <v>3.57</v>
      </c>
      <c r="M1901" s="6" t="n">
        <v>10.5</v>
      </c>
      <c r="N1901" s="3" t="inlineStr">
        <is>
          <t>Sí</t>
        </is>
      </c>
      <c r="O1901" s="6">
        <f>IF(K1901="","",IF(N1901="Sí",ROUND(K1901/1.18,2),K1901))</f>
        <v/>
      </c>
      <c r="P1901" s="3" t="inlineStr">
        <is>
          <t>2026-09-10</t>
        </is>
      </c>
      <c r="Q1901" s="4" t="inlineStr">
        <is>
          <t>Bellón</t>
        </is>
      </c>
      <c r="AF1901" s="4" t="inlineStr">
        <is>
          <t>tipo: tapon-macho · material: PVC · medida: 3/4"</t>
        </is>
      </c>
    </row>
    <row r="1902">
      <c r="A1902" s="3" t="inlineStr">
        <is>
          <t>MAT-32-549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de HG 1 1/2"</t>
        </is>
      </c>
      <c r="E1902" s="4" t="inlineStr"/>
      <c r="F1902" s="3" t="inlineStr">
        <is>
          <t>unidad</t>
        </is>
      </c>
      <c r="G1902" s="3" t="inlineStr">
        <is>
          <t>Instalaciones</t>
        </is>
      </c>
      <c r="H1902" s="3" t="inlineStr">
        <is>
          <t>estandar</t>
        </is>
      </c>
      <c r="I1902" s="3" t="inlineStr">
        <is>
          <t>importado</t>
        </is>
      </c>
      <c r="J1902" s="5" t="n">
        <v>1</v>
      </c>
      <c r="K1902" s="6" t="n">
        <v>71</v>
      </c>
      <c r="L1902" s="6" t="n">
        <v>71</v>
      </c>
      <c r="M1902" s="6" t="n">
        <v>71</v>
      </c>
      <c r="N1902" s="3" t="inlineStr">
        <is>
          <t>Sí</t>
        </is>
      </c>
      <c r="O1902" s="6">
        <f>IF(K1902="","",IF(N1902="Sí",ROUND(K1902/1.18,2),K1902))</f>
        <v/>
      </c>
      <c r="P1902" s="3" t="inlineStr">
        <is>
          <t>2026-09-10</t>
        </is>
      </c>
      <c r="Q1902" s="4" t="inlineStr">
        <is>
          <t>Bellón</t>
        </is>
      </c>
      <c r="AF1902" s="4" t="inlineStr">
        <is>
          <t>tipo: tapon · material: HG · medida: 1 1/2"</t>
        </is>
      </c>
    </row>
    <row r="1903">
      <c r="A1903" s="3" t="inlineStr">
        <is>
          <t>MAT-32-550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de HG 1/2"</t>
        </is>
      </c>
      <c r="E1903" s="4" t="inlineStr"/>
      <c r="F1903" s="3" t="inlineStr">
        <is>
          <t>unidad</t>
        </is>
      </c>
      <c r="G1903" s="3" t="inlineStr">
        <is>
          <t>Instalaciones</t>
        </is>
      </c>
      <c r="H1903" s="3" t="inlineStr">
        <is>
          <t>estandar</t>
        </is>
      </c>
      <c r="I1903" s="3" t="inlineStr">
        <is>
          <t>importado</t>
        </is>
      </c>
      <c r="J1903" s="5" t="n">
        <v>1</v>
      </c>
      <c r="K1903" s="6" t="n">
        <v>47.69</v>
      </c>
      <c r="L1903" s="6" t="n">
        <v>47.69</v>
      </c>
      <c r="M1903" s="6" t="n">
        <v>47.69</v>
      </c>
      <c r="N1903" s="3" t="inlineStr">
        <is>
          <t>Sí</t>
        </is>
      </c>
      <c r="O1903" s="6">
        <f>IF(K1903="","",IF(N1903="Sí",ROUND(K1903/1.18,2),K1903))</f>
        <v/>
      </c>
      <c r="P1903" s="3" t="inlineStr">
        <is>
          <t>2026-09-10</t>
        </is>
      </c>
      <c r="Q1903" s="4" t="inlineStr">
        <is>
          <t>Bellón</t>
        </is>
      </c>
      <c r="AF1903" s="4" t="inlineStr">
        <is>
          <t>tipo: tapon · material: HG · medida: 1/2"</t>
        </is>
      </c>
    </row>
    <row r="1904">
      <c r="A1904" s="3" t="inlineStr">
        <is>
          <t>MAT-32-551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de HG 1"</t>
        </is>
      </c>
      <c r="E1904" s="4" t="inlineStr"/>
      <c r="F1904" s="3" t="inlineStr">
        <is>
          <t>unidad</t>
        </is>
      </c>
      <c r="G1904" s="3" t="inlineStr">
        <is>
          <t>Instalaciones</t>
        </is>
      </c>
      <c r="H1904" s="3" t="inlineStr">
        <is>
          <t>estandar</t>
        </is>
      </c>
      <c r="I1904" s="3" t="inlineStr">
        <is>
          <t>importado</t>
        </is>
      </c>
      <c r="J1904" s="5" t="n">
        <v>1</v>
      </c>
      <c r="K1904" s="6" t="n">
        <v>35.13</v>
      </c>
      <c r="L1904" s="6" t="n">
        <v>35.13</v>
      </c>
      <c r="M1904" s="6" t="n">
        <v>35.13</v>
      </c>
      <c r="N1904" s="3" t="inlineStr">
        <is>
          <t>Sí</t>
        </is>
      </c>
      <c r="O1904" s="6">
        <f>IF(K1904="","",IF(N1904="Sí",ROUND(K1904/1.18,2),K1904))</f>
        <v/>
      </c>
      <c r="P1904" s="3" t="inlineStr">
        <is>
          <t>2026-09-10</t>
        </is>
      </c>
      <c r="Q1904" s="4" t="inlineStr">
        <is>
          <t>Bellón</t>
        </is>
      </c>
      <c r="AF1904" s="4" t="inlineStr">
        <is>
          <t>tipo: tapon · material: HG · medida: 1"</t>
        </is>
      </c>
    </row>
    <row r="1905">
      <c r="A1905" s="3" t="inlineStr">
        <is>
          <t>MAT-32-552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de HG 2"</t>
        </is>
      </c>
      <c r="E1905" s="4" t="inlineStr"/>
      <c r="F1905" s="3" t="inlineStr">
        <is>
          <t>unidad</t>
        </is>
      </c>
      <c r="G1905" s="3" t="inlineStr">
        <is>
          <t>Instalaciones</t>
        </is>
      </c>
      <c r="H1905" s="3" t="inlineStr">
        <is>
          <t>estandar</t>
        </is>
      </c>
      <c r="I1905" s="3" t="inlineStr">
        <is>
          <t>importado</t>
        </is>
      </c>
      <c r="J1905" s="5" t="n">
        <v>1</v>
      </c>
      <c r="K1905" s="6" t="n">
        <v>88</v>
      </c>
      <c r="L1905" s="6" t="n">
        <v>88</v>
      </c>
      <c r="M1905" s="6" t="n">
        <v>88</v>
      </c>
      <c r="N1905" s="3" t="inlineStr">
        <is>
          <t>Sí</t>
        </is>
      </c>
      <c r="O1905" s="6">
        <f>IF(K1905="","",IF(N1905="Sí",ROUND(K1905/1.18,2),K1905))</f>
        <v/>
      </c>
      <c r="P1905" s="3" t="inlineStr">
        <is>
          <t>2026-09-10</t>
        </is>
      </c>
      <c r="Q1905" s="4" t="inlineStr">
        <is>
          <t>Bellón</t>
        </is>
      </c>
      <c r="AF1905" s="4" t="inlineStr">
        <is>
          <t>tipo: tapon · material: HG · medida: 2"</t>
        </is>
      </c>
    </row>
    <row r="1906">
      <c r="A1906" s="3" t="inlineStr">
        <is>
          <t>MAT-32-553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de HG 3/4"</t>
        </is>
      </c>
      <c r="E1906" s="4" t="inlineStr"/>
      <c r="F1906" s="3" t="inlineStr">
        <is>
          <t>unidad</t>
        </is>
      </c>
      <c r="G1906" s="3" t="inlineStr">
        <is>
          <t>Instalaciones</t>
        </is>
      </c>
      <c r="H1906" s="3" t="inlineStr">
        <is>
          <t>estandar</t>
        </is>
      </c>
      <c r="I1906" s="3" t="inlineStr">
        <is>
          <t>importado</t>
        </is>
      </c>
      <c r="J1906" s="5" t="n">
        <v>1</v>
      </c>
      <c r="K1906" s="6" t="n">
        <v>25.2</v>
      </c>
      <c r="L1906" s="6" t="n">
        <v>25.2</v>
      </c>
      <c r="M1906" s="6" t="n">
        <v>25.2</v>
      </c>
      <c r="N1906" s="3" t="inlineStr">
        <is>
          <t>Sí</t>
        </is>
      </c>
      <c r="O1906" s="6">
        <f>IF(K1906="","",IF(N1906="Sí",ROUND(K1906/1.18,2),K1906))</f>
        <v/>
      </c>
      <c r="P1906" s="3" t="inlineStr">
        <is>
          <t>2026-09-10</t>
        </is>
      </c>
      <c r="Q1906" s="4" t="inlineStr">
        <is>
          <t>Bellón</t>
        </is>
      </c>
      <c r="AF1906" s="4" t="inlineStr">
        <is>
          <t>tipo: tapon · material: HG · medida: 3/4"</t>
        </is>
      </c>
    </row>
    <row r="1907">
      <c r="A1907" s="3" t="inlineStr">
        <is>
          <t>MAT-32-554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de HG 3/8"</t>
        </is>
      </c>
      <c r="E1907" s="4" t="inlineStr"/>
      <c r="F1907" s="3" t="inlineStr">
        <is>
          <t>unidad</t>
        </is>
      </c>
      <c r="G1907" s="3" t="inlineStr">
        <is>
          <t>Instalaciones</t>
        </is>
      </c>
      <c r="H1907" s="3" t="inlineStr">
        <is>
          <t>estandar</t>
        </is>
      </c>
      <c r="I1907" s="3" t="inlineStr">
        <is>
          <t>importado</t>
        </is>
      </c>
      <c r="J1907" s="5" t="n">
        <v>1</v>
      </c>
      <c r="K1907" s="6" t="n">
        <v>28.78</v>
      </c>
      <c r="L1907" s="6" t="n">
        <v>28.78</v>
      </c>
      <c r="M1907" s="6" t="n">
        <v>28.78</v>
      </c>
      <c r="N1907" s="3" t="inlineStr">
        <is>
          <t>Sí</t>
        </is>
      </c>
      <c r="O1907" s="6">
        <f>IF(K1907="","",IF(N1907="Sí",ROUND(K1907/1.18,2),K1907))</f>
        <v/>
      </c>
      <c r="P1907" s="3" t="inlineStr">
        <is>
          <t>2026-09-10</t>
        </is>
      </c>
      <c r="Q1907" s="4" t="inlineStr">
        <is>
          <t>Bellón</t>
        </is>
      </c>
      <c r="AF1907" s="4" t="inlineStr">
        <is>
          <t>tipo: tapon · material: HG · medida: 3/8"</t>
        </is>
      </c>
    </row>
    <row r="1908">
      <c r="A1908" s="3" t="inlineStr">
        <is>
          <t>MAT-32-555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de HG 3"</t>
        </is>
      </c>
      <c r="E1908" s="4" t="inlineStr"/>
      <c r="F1908" s="3" t="inlineStr">
        <is>
          <t>unidad</t>
        </is>
      </c>
      <c r="G1908" s="3" t="inlineStr">
        <is>
          <t>Instalaciones</t>
        </is>
      </c>
      <c r="H1908" s="3" t="inlineStr">
        <is>
          <t>estandar</t>
        </is>
      </c>
      <c r="I1908" s="3" t="inlineStr">
        <is>
          <t>importado</t>
        </is>
      </c>
      <c r="J1908" s="5" t="n">
        <v>1</v>
      </c>
      <c r="K1908" s="6" t="n">
        <v>281</v>
      </c>
      <c r="L1908" s="6" t="n">
        <v>281</v>
      </c>
      <c r="M1908" s="6" t="n">
        <v>281</v>
      </c>
      <c r="N1908" s="3" t="inlineStr">
        <is>
          <t>Sí</t>
        </is>
      </c>
      <c r="O1908" s="6">
        <f>IF(K1908="","",IF(N1908="Sí",ROUND(K1908/1.18,2),K1908))</f>
        <v/>
      </c>
      <c r="P1908" s="3" t="inlineStr">
        <is>
          <t>2026-09-10</t>
        </is>
      </c>
      <c r="Q1908" s="4" t="inlineStr">
        <is>
          <t>Bellón</t>
        </is>
      </c>
      <c r="AF1908" s="4" t="inlineStr">
        <is>
          <t>tipo: tapon · material: HG · medida: 3"</t>
        </is>
      </c>
    </row>
    <row r="1909">
      <c r="A1909" s="3" t="inlineStr">
        <is>
          <t>MAT-32-556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de HG 4"</t>
        </is>
      </c>
      <c r="E1909" s="4" t="inlineStr"/>
      <c r="F1909" s="3" t="inlineStr">
        <is>
          <t>unidad</t>
        </is>
      </c>
      <c r="G1909" s="3" t="inlineStr">
        <is>
          <t>Instalaciones</t>
        </is>
      </c>
      <c r="H1909" s="3" t="inlineStr">
        <is>
          <t>estandar</t>
        </is>
      </c>
      <c r="I1909" s="3" t="inlineStr">
        <is>
          <t>importado</t>
        </is>
      </c>
      <c r="J1909" s="5" t="n">
        <v>1</v>
      </c>
      <c r="K1909" s="6" t="n">
        <v>454</v>
      </c>
      <c r="L1909" s="6" t="n">
        <v>454</v>
      </c>
      <c r="M1909" s="6" t="n">
        <v>454</v>
      </c>
      <c r="N1909" s="3" t="inlineStr">
        <is>
          <t>Sí</t>
        </is>
      </c>
      <c r="O1909" s="6">
        <f>IF(K1909="","",IF(N1909="Sí",ROUND(K1909/1.18,2),K1909))</f>
        <v/>
      </c>
      <c r="P1909" s="3" t="inlineStr">
        <is>
          <t>2026-09-10</t>
        </is>
      </c>
      <c r="Q1909" s="4" t="inlineStr">
        <is>
          <t>Bellón</t>
        </is>
      </c>
      <c r="AF1909" s="4" t="inlineStr">
        <is>
          <t>tipo: tapon · material: HG · medida: 4"</t>
        </is>
      </c>
    </row>
    <row r="1910">
      <c r="A1910" s="3" t="inlineStr">
        <is>
          <t>MAT-32-557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de plástico 1 1/2"</t>
        </is>
      </c>
      <c r="E1910" s="4" t="inlineStr"/>
      <c r="F1910" s="3" t="inlineStr">
        <is>
          <t>unidad</t>
        </is>
      </c>
      <c r="G1910" s="3" t="inlineStr">
        <is>
          <t>Instalaciones</t>
        </is>
      </c>
      <c r="H1910" s="3" t="inlineStr">
        <is>
          <t>estandar</t>
        </is>
      </c>
      <c r="I1910" s="3" t="inlineStr">
        <is>
          <t>importado</t>
        </is>
      </c>
      <c r="J1910" s="5" t="n">
        <v>1</v>
      </c>
      <c r="K1910" s="6" t="n">
        <v>9.25</v>
      </c>
      <c r="L1910" s="6" t="n">
        <v>8.5</v>
      </c>
      <c r="M1910" s="6" t="n">
        <v>10</v>
      </c>
      <c r="N1910" s="3" t="inlineStr">
        <is>
          <t>Sí</t>
        </is>
      </c>
      <c r="O1910" s="6">
        <f>IF(K1910="","",IF(N1910="Sí",ROUND(K1910/1.18,2),K1910))</f>
        <v/>
      </c>
      <c r="P1910" s="3" t="inlineStr">
        <is>
          <t>2026-09-10</t>
        </is>
      </c>
      <c r="Q1910" s="4" t="inlineStr">
        <is>
          <t>Bellón</t>
        </is>
      </c>
      <c r="AF1910" s="4" t="inlineStr">
        <is>
          <t>tipo: tapon · material: plástico · medida: 1 1/2"</t>
        </is>
      </c>
    </row>
    <row r="1911">
      <c r="A1911" s="3" t="inlineStr">
        <is>
          <t>MAT-32-558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de plástico 16"</t>
        </is>
      </c>
      <c r="E1911" s="4" t="inlineStr"/>
      <c r="F1911" s="3" t="inlineStr">
        <is>
          <t>unidad</t>
        </is>
      </c>
      <c r="G1911" s="3" t="inlineStr">
        <is>
          <t>Instalaciones</t>
        </is>
      </c>
      <c r="H1911" s="3" t="inlineStr">
        <is>
          <t>estandar</t>
        </is>
      </c>
      <c r="I1911" s="3" t="inlineStr">
        <is>
          <t>importado</t>
        </is>
      </c>
      <c r="J1911" s="5" t="n">
        <v>1</v>
      </c>
      <c r="K1911" s="6" t="n">
        <v>211</v>
      </c>
      <c r="L1911" s="6" t="n">
        <v>211</v>
      </c>
      <c r="M1911" s="6" t="n">
        <v>211</v>
      </c>
      <c r="N1911" s="3" t="inlineStr">
        <is>
          <t>Sí</t>
        </is>
      </c>
      <c r="O1911" s="6">
        <f>IF(K1911="","",IF(N1911="Sí",ROUND(K1911/1.18,2),K1911))</f>
        <v/>
      </c>
      <c r="P1911" s="3" t="inlineStr">
        <is>
          <t>2026-09-10</t>
        </is>
      </c>
      <c r="Q1911" s="4" t="inlineStr">
        <is>
          <t>Bellón</t>
        </is>
      </c>
      <c r="AF1911" s="4" t="inlineStr">
        <is>
          <t>tipo: tapon · material: plástico · medida: 16"</t>
        </is>
      </c>
    </row>
    <row r="1912">
      <c r="A1912" s="3" t="inlineStr">
        <is>
          <t>MAT-32-559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de plástico 1"</t>
        </is>
      </c>
      <c r="E1912" s="4" t="inlineStr"/>
      <c r="F1912" s="3" t="inlineStr">
        <is>
          <t>unidad</t>
        </is>
      </c>
      <c r="G1912" s="3" t="inlineStr">
        <is>
          <t>Instalaciones</t>
        </is>
      </c>
      <c r="H1912" s="3" t="inlineStr">
        <is>
          <t>estandar</t>
        </is>
      </c>
      <c r="I1912" s="3" t="inlineStr">
        <is>
          <t>importado</t>
        </is>
      </c>
      <c r="J1912" s="5" t="n">
        <v>1</v>
      </c>
      <c r="K1912" s="6" t="n">
        <v>5.27</v>
      </c>
      <c r="L1912" s="6" t="n">
        <v>3.9</v>
      </c>
      <c r="M1912" s="6" t="n">
        <v>6.63</v>
      </c>
      <c r="N1912" s="3" t="inlineStr">
        <is>
          <t>Sí</t>
        </is>
      </c>
      <c r="O1912" s="6">
        <f>IF(K1912="","",IF(N1912="Sí",ROUND(K1912/1.18,2),K1912))</f>
        <v/>
      </c>
      <c r="P1912" s="3" t="inlineStr">
        <is>
          <t>2026-09-10</t>
        </is>
      </c>
      <c r="Q1912" s="4" t="inlineStr">
        <is>
          <t>Bellón</t>
        </is>
      </c>
      <c r="AF1912" s="4" t="inlineStr">
        <is>
          <t>tipo: tapon · material: plástico · medida: 1"</t>
        </is>
      </c>
    </row>
    <row r="1913">
      <c r="A1913" s="3" t="inlineStr">
        <is>
          <t>MAT-32-560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de plástico 2"</t>
        </is>
      </c>
      <c r="E1913" s="4" t="inlineStr"/>
      <c r="F1913" s="3" t="inlineStr">
        <is>
          <t>unidad</t>
        </is>
      </c>
      <c r="G1913" s="3" t="inlineStr">
        <is>
          <t>Instalaciones</t>
        </is>
      </c>
      <c r="H1913" s="3" t="inlineStr">
        <is>
          <t>estandar</t>
        </is>
      </c>
      <c r="I1913" s="3" t="inlineStr">
        <is>
          <t>importado</t>
        </is>
      </c>
      <c r="J1913" s="5" t="n">
        <v>1</v>
      </c>
      <c r="K1913" s="6" t="n">
        <v>5.25</v>
      </c>
      <c r="L1913" s="6" t="n">
        <v>5.25</v>
      </c>
      <c r="M1913" s="6" t="n">
        <v>5.25</v>
      </c>
      <c r="N1913" s="3" t="inlineStr">
        <is>
          <t>Sí</t>
        </is>
      </c>
      <c r="O1913" s="6">
        <f>IF(K1913="","",IF(N1913="Sí",ROUND(K1913/1.18,2),K1913))</f>
        <v/>
      </c>
      <c r="P1913" s="3" t="inlineStr">
        <is>
          <t>2026-09-10</t>
        </is>
      </c>
      <c r="Q1913" s="4" t="inlineStr">
        <is>
          <t>Bellón</t>
        </is>
      </c>
      <c r="AF1913" s="4" t="inlineStr">
        <is>
          <t>tipo: tapon · material: plástico · medida: 2"</t>
        </is>
      </c>
    </row>
    <row r="1914">
      <c r="A1914" s="3" t="inlineStr">
        <is>
          <t>MAT-32-561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de plástico 3/4"</t>
        </is>
      </c>
      <c r="E1914" s="4" t="inlineStr"/>
      <c r="F1914" s="3" t="inlineStr">
        <is>
          <t>unidad</t>
        </is>
      </c>
      <c r="G1914" s="3" t="inlineStr">
        <is>
          <t>Instalaciones</t>
        </is>
      </c>
      <c r="H1914" s="3" t="inlineStr">
        <is>
          <t>estandar</t>
        </is>
      </c>
      <c r="I1914" s="3" t="inlineStr">
        <is>
          <t>importado</t>
        </is>
      </c>
      <c r="J1914" s="5" t="n">
        <v>1</v>
      </c>
      <c r="K1914" s="6" t="n">
        <v>4.48</v>
      </c>
      <c r="L1914" s="6" t="n">
        <v>4.48</v>
      </c>
      <c r="M1914" s="6" t="n">
        <v>4.48</v>
      </c>
      <c r="N1914" s="3" t="inlineStr">
        <is>
          <t>Sí</t>
        </is>
      </c>
      <c r="O1914" s="6">
        <f>IF(K1914="","",IF(N1914="Sí",ROUND(K1914/1.18,2),K1914))</f>
        <v/>
      </c>
      <c r="P1914" s="3" t="inlineStr">
        <is>
          <t>2026-09-10</t>
        </is>
      </c>
      <c r="Q1914" s="4" t="inlineStr">
        <is>
          <t>Bellón</t>
        </is>
      </c>
      <c r="AF1914" s="4" t="inlineStr">
        <is>
          <t>tipo: tapon · material: plástico · medida: 3/4"</t>
        </is>
      </c>
    </row>
    <row r="1915">
      <c r="A1915" s="3" t="inlineStr">
        <is>
          <t>MAT-32-562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de PVC 1 1/2"</t>
        </is>
      </c>
      <c r="E1915" s="4" t="inlineStr"/>
      <c r="F1915" s="3" t="inlineStr">
        <is>
          <t>unidad</t>
        </is>
      </c>
      <c r="G1915" s="3" t="inlineStr">
        <is>
          <t>Instalaciones</t>
        </is>
      </c>
      <c r="H1915" s="3" t="inlineStr">
        <is>
          <t>estandar</t>
        </is>
      </c>
      <c r="I1915" s="3" t="inlineStr">
        <is>
          <t>importado</t>
        </is>
      </c>
      <c r="J1915" s="5" t="n">
        <v>1</v>
      </c>
      <c r="K1915" s="6" t="n">
        <v>101</v>
      </c>
      <c r="L1915" s="6" t="n">
        <v>101</v>
      </c>
      <c r="M1915" s="6" t="n">
        <v>101</v>
      </c>
      <c r="N1915" s="3" t="inlineStr">
        <is>
          <t>Sí</t>
        </is>
      </c>
      <c r="O1915" s="6">
        <f>IF(K1915="","",IF(N1915="Sí",ROUND(K1915/1.18,2),K1915))</f>
        <v/>
      </c>
      <c r="P1915" s="3" t="inlineStr">
        <is>
          <t>2026-09-09</t>
        </is>
      </c>
      <c r="Q1915" s="4" t="inlineStr">
        <is>
          <t>Ferretería Cima</t>
        </is>
      </c>
      <c r="AF1915" s="4" t="inlineStr">
        <is>
          <t>tipo: tapon · material: PVC · medida: 1 1/2"</t>
        </is>
      </c>
    </row>
    <row r="1916">
      <c r="A1916" s="3" t="inlineStr">
        <is>
          <t>MAT-32-563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de PVC 2"</t>
        </is>
      </c>
      <c r="E1916" s="4" t="inlineStr"/>
      <c r="F1916" s="3" t="inlineStr">
        <is>
          <t>unidad</t>
        </is>
      </c>
      <c r="G1916" s="3" t="inlineStr">
        <is>
          <t>Instalaciones</t>
        </is>
      </c>
      <c r="H1916" s="3" t="inlineStr">
        <is>
          <t>estandar</t>
        </is>
      </c>
      <c r="I1916" s="3" t="inlineStr">
        <is>
          <t>importado</t>
        </is>
      </c>
      <c r="J1916" s="5" t="n">
        <v>1</v>
      </c>
      <c r="K1916" s="6" t="n">
        <v>135</v>
      </c>
      <c r="L1916" s="6" t="n">
        <v>135</v>
      </c>
      <c r="M1916" s="6" t="n">
        <v>135</v>
      </c>
      <c r="N1916" s="3" t="inlineStr">
        <is>
          <t>Sí</t>
        </is>
      </c>
      <c r="O1916" s="6">
        <f>IF(K1916="","",IF(N1916="Sí",ROUND(K1916/1.18,2),K1916))</f>
        <v/>
      </c>
      <c r="P1916" s="3" t="inlineStr">
        <is>
          <t>2026-09-09</t>
        </is>
      </c>
      <c r="Q1916" s="4" t="inlineStr">
        <is>
          <t>Ferretería Cima</t>
        </is>
      </c>
      <c r="AF1916" s="4" t="inlineStr">
        <is>
          <t>tipo: tapon · material: PVC · medida: 2"</t>
        </is>
      </c>
    </row>
    <row r="1917">
      <c r="A1917" s="3" t="inlineStr">
        <is>
          <t>MAT-32-564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de PVC 3"</t>
        </is>
      </c>
      <c r="E1917" s="4" t="inlineStr"/>
      <c r="F1917" s="3" t="inlineStr">
        <is>
          <t>unidad</t>
        </is>
      </c>
      <c r="G1917" s="3" t="inlineStr">
        <is>
          <t>Instalaciones</t>
        </is>
      </c>
      <c r="H1917" s="3" t="inlineStr">
        <is>
          <t>estandar</t>
        </is>
      </c>
      <c r="I1917" s="3" t="inlineStr">
        <is>
          <t>importado</t>
        </is>
      </c>
      <c r="J1917" s="5" t="n">
        <v>1</v>
      </c>
      <c r="K1917" s="6" t="n">
        <v>263</v>
      </c>
      <c r="L1917" s="6" t="n">
        <v>263</v>
      </c>
      <c r="M1917" s="6" t="n">
        <v>263</v>
      </c>
      <c r="N1917" s="3" t="inlineStr">
        <is>
          <t>Sí</t>
        </is>
      </c>
      <c r="O1917" s="6">
        <f>IF(K1917="","",IF(N1917="Sí",ROUND(K1917/1.18,2),K1917))</f>
        <v/>
      </c>
      <c r="P1917" s="3" t="inlineStr">
        <is>
          <t>2026-09-09</t>
        </is>
      </c>
      <c r="Q1917" s="4" t="inlineStr">
        <is>
          <t>Ferretería Cima</t>
        </is>
      </c>
      <c r="AF1917" s="4" t="inlineStr">
        <is>
          <t>tipo: tapon · material: PVC · medida: 3"</t>
        </is>
      </c>
    </row>
    <row r="1918">
      <c r="A1918" s="3" t="inlineStr">
        <is>
          <t>MAT-32-565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de PVC 4"</t>
        </is>
      </c>
      <c r="E1918" s="4" t="inlineStr"/>
      <c r="F1918" s="3" t="inlineStr">
        <is>
          <t>unidad</t>
        </is>
      </c>
      <c r="G1918" s="3" t="inlineStr">
        <is>
          <t>Instalaciones</t>
        </is>
      </c>
      <c r="H1918" s="3" t="inlineStr">
        <is>
          <t>estandar</t>
        </is>
      </c>
      <c r="I1918" s="3" t="inlineStr">
        <is>
          <t>importado</t>
        </is>
      </c>
      <c r="J1918" s="5" t="n">
        <v>1</v>
      </c>
      <c r="K1918" s="6" t="n">
        <v>372</v>
      </c>
      <c r="L1918" s="6" t="n">
        <v>372</v>
      </c>
      <c r="M1918" s="6" t="n">
        <v>372</v>
      </c>
      <c r="N1918" s="3" t="inlineStr">
        <is>
          <t>Sí</t>
        </is>
      </c>
      <c r="O1918" s="6">
        <f>IF(K1918="","",IF(N1918="Sí",ROUND(K1918/1.18,2),K1918))</f>
        <v/>
      </c>
      <c r="P1918" s="3" t="inlineStr">
        <is>
          <t>2026-09-09</t>
        </is>
      </c>
      <c r="Q1918" s="4" t="inlineStr">
        <is>
          <t>Ferretería Cima</t>
        </is>
      </c>
      <c r="AF1918" s="4" t="inlineStr">
        <is>
          <t>tipo: tapon · material: PVC · medida: 4"</t>
        </is>
      </c>
    </row>
    <row r="1919">
      <c r="A1919" s="3" t="inlineStr">
        <is>
          <t>MAT-32-566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de PVC 6"</t>
        </is>
      </c>
      <c r="E1919" s="4" t="inlineStr"/>
      <c r="F1919" s="3" t="inlineStr">
        <is>
          <t>unidad</t>
        </is>
      </c>
      <c r="G1919" s="3" t="inlineStr">
        <is>
          <t>Instalaciones</t>
        </is>
      </c>
      <c r="H1919" s="3" t="inlineStr">
        <is>
          <t>estandar</t>
        </is>
      </c>
      <c r="I1919" s="3" t="inlineStr">
        <is>
          <t>importado</t>
        </is>
      </c>
      <c r="J1919" s="5" t="n">
        <v>1</v>
      </c>
      <c r="K1919" s="6" t="n">
        <v>374.5</v>
      </c>
      <c r="L1919" s="6" t="n">
        <v>279</v>
      </c>
      <c r="M1919" s="6" t="n">
        <v>470</v>
      </c>
      <c r="N1919" s="3" t="inlineStr">
        <is>
          <t>Sí</t>
        </is>
      </c>
      <c r="O1919" s="6">
        <f>IF(K1919="","",IF(N1919="Sí",ROUND(K1919/1.18,2),K1919))</f>
        <v/>
      </c>
      <c r="P1919" s="3" t="inlineStr">
        <is>
          <t>2026-09-10</t>
        </is>
      </c>
      <c r="Q1919" s="4" t="inlineStr">
        <is>
          <t>Bellón</t>
        </is>
      </c>
      <c r="AF1919" s="4" t="inlineStr">
        <is>
          <t>tipo: tapon · material: PVC · medida: 6"</t>
        </is>
      </c>
    </row>
    <row r="1920">
      <c r="A1920" s="3" t="inlineStr">
        <is>
          <t>MAT-32-567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de PVC presión 1 1/2"</t>
        </is>
      </c>
      <c r="E1920" s="4" t="inlineStr"/>
      <c r="F1920" s="3" t="inlineStr">
        <is>
          <t>unidad</t>
        </is>
      </c>
      <c r="G1920" s="3" t="inlineStr">
        <is>
          <t>Instalaciones</t>
        </is>
      </c>
      <c r="H1920" s="3" t="inlineStr">
        <is>
          <t>estandar</t>
        </is>
      </c>
      <c r="I1920" s="3" t="inlineStr">
        <is>
          <t>importado</t>
        </is>
      </c>
      <c r="J1920" s="5" t="n">
        <v>1</v>
      </c>
      <c r="K1920" s="6" t="n">
        <v>24.74</v>
      </c>
      <c r="L1920" s="6" t="n">
        <v>24.74</v>
      </c>
      <c r="M1920" s="6" t="n">
        <v>24.74</v>
      </c>
      <c r="N1920" s="3" t="inlineStr">
        <is>
          <t>Sí</t>
        </is>
      </c>
      <c r="O1920" s="6">
        <f>IF(K1920="","",IF(N1920="Sí",ROUND(K1920/1.18,2),K1920))</f>
        <v/>
      </c>
      <c r="P1920" s="3" t="inlineStr">
        <is>
          <t>2026-09-10</t>
        </is>
      </c>
      <c r="Q1920" s="4" t="inlineStr">
        <is>
          <t>Bellón</t>
        </is>
      </c>
      <c r="AF1920" s="4" t="inlineStr">
        <is>
          <t>tipo: tapon · material: PVC presión · medida: 1 1/2"</t>
        </is>
      </c>
    </row>
    <row r="1921">
      <c r="A1921" s="3" t="inlineStr">
        <is>
          <t>MAT-32-568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de PVC presión 2"</t>
        </is>
      </c>
      <c r="E1921" s="4" t="inlineStr"/>
      <c r="F1921" s="3" t="inlineStr">
        <is>
          <t>unidad</t>
        </is>
      </c>
      <c r="G1921" s="3" t="inlineStr">
        <is>
          <t>Instalaciones</t>
        </is>
      </c>
      <c r="H1921" s="3" t="inlineStr">
        <is>
          <t>estandar</t>
        </is>
      </c>
      <c r="I1921" s="3" t="inlineStr">
        <is>
          <t>importado</t>
        </is>
      </c>
      <c r="J1921" s="5" t="n">
        <v>1</v>
      </c>
      <c r="K1921" s="6" t="n">
        <v>34.88</v>
      </c>
      <c r="L1921" s="6" t="n">
        <v>28.27</v>
      </c>
      <c r="M1921" s="6" t="n">
        <v>41.49</v>
      </c>
      <c r="N1921" s="3" t="inlineStr">
        <is>
          <t>Sí</t>
        </is>
      </c>
      <c r="O1921" s="6">
        <f>IF(K1921="","",IF(N1921="Sí",ROUND(K1921/1.18,2),K1921))</f>
        <v/>
      </c>
      <c r="P1921" s="3" t="inlineStr">
        <is>
          <t>2026-09-10</t>
        </is>
      </c>
      <c r="Q1921" s="4" t="inlineStr">
        <is>
          <t>Bellón</t>
        </is>
      </c>
      <c r="AF1921" s="4" t="inlineStr">
        <is>
          <t>tipo: tapon · material: PVC presión · medida: 2"</t>
        </is>
      </c>
    </row>
    <row r="1922">
      <c r="A1922" s="3" t="inlineStr">
        <is>
          <t>MAT-32-569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de PVC presión 3"</t>
        </is>
      </c>
      <c r="E1922" s="4" t="inlineStr"/>
      <c r="F1922" s="3" t="inlineStr">
        <is>
          <t>unidad</t>
        </is>
      </c>
      <c r="G1922" s="3" t="inlineStr">
        <is>
          <t>Instalaciones</t>
        </is>
      </c>
      <c r="H1922" s="3" t="inlineStr">
        <is>
          <t>estandar</t>
        </is>
      </c>
      <c r="I1922" s="3" t="inlineStr">
        <is>
          <t>importado</t>
        </is>
      </c>
      <c r="J1922" s="5" t="n">
        <v>1</v>
      </c>
      <c r="K1922" s="6" t="n">
        <v>100.24</v>
      </c>
      <c r="L1922" s="6" t="n">
        <v>100.24</v>
      </c>
      <c r="M1922" s="6" t="n">
        <v>100.24</v>
      </c>
      <c r="N1922" s="3" t="inlineStr">
        <is>
          <t>Sí</t>
        </is>
      </c>
      <c r="O1922" s="6">
        <f>IF(K1922="","",IF(N1922="Sí",ROUND(K1922/1.18,2),K1922))</f>
        <v/>
      </c>
      <c r="P1922" s="3" t="inlineStr">
        <is>
          <t>2026-09-10</t>
        </is>
      </c>
      <c r="Q1922" s="4" t="inlineStr">
        <is>
          <t>Bellón</t>
        </is>
      </c>
      <c r="AF1922" s="4" t="inlineStr">
        <is>
          <t>tipo: tapon · material: PVC presión · medida: 3"</t>
        </is>
      </c>
    </row>
    <row r="1923">
      <c r="A1923" s="3" t="inlineStr">
        <is>
          <t>MAT-32-570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de PVC presión 4"</t>
        </is>
      </c>
      <c r="E1923" s="4" t="inlineStr"/>
      <c r="F1923" s="3" t="inlineStr">
        <is>
          <t>unidad</t>
        </is>
      </c>
      <c r="G1923" s="3" t="inlineStr">
        <is>
          <t>Instalaciones</t>
        </is>
      </c>
      <c r="H1923" s="3" t="inlineStr">
        <is>
          <t>estandar</t>
        </is>
      </c>
      <c r="I1923" s="3" t="inlineStr">
        <is>
          <t>importado</t>
        </is>
      </c>
      <c r="J1923" s="5" t="n">
        <v>1</v>
      </c>
      <c r="K1923" s="6" t="n">
        <v>159</v>
      </c>
      <c r="L1923" s="6" t="n">
        <v>159</v>
      </c>
      <c r="M1923" s="6" t="n">
        <v>159</v>
      </c>
      <c r="N1923" s="3" t="inlineStr">
        <is>
          <t>Sí</t>
        </is>
      </c>
      <c r="O1923" s="6">
        <f>IF(K1923="","",IF(N1923="Sí",ROUND(K1923/1.18,2),K1923))</f>
        <v/>
      </c>
      <c r="P1923" s="3" t="inlineStr">
        <is>
          <t>2026-09-10</t>
        </is>
      </c>
      <c r="Q1923" s="4" t="inlineStr">
        <is>
          <t>Bellón</t>
        </is>
      </c>
      <c r="AF1923" s="4" t="inlineStr">
        <is>
          <t>tipo: tapon · material: PVC presión · medida: 4"</t>
        </is>
      </c>
    </row>
    <row r="1924">
      <c r="A1924" s="3" t="inlineStr">
        <is>
          <t>MAT-32-571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Tee de bronce 1/2"</t>
        </is>
      </c>
      <c r="E1924" s="4" t="inlineStr"/>
      <c r="F1924" s="3" t="inlineStr">
        <is>
          <t>unidad</t>
        </is>
      </c>
      <c r="G1924" s="3" t="inlineStr">
        <is>
          <t>Instalaciones</t>
        </is>
      </c>
      <c r="H1924" s="3" t="inlineStr">
        <is>
          <t>estandar</t>
        </is>
      </c>
      <c r="I1924" s="3" t="inlineStr">
        <is>
          <t>importado</t>
        </is>
      </c>
      <c r="J1924" s="5" t="n">
        <v>1</v>
      </c>
      <c r="K1924" s="6" t="n">
        <v>150</v>
      </c>
      <c r="L1924" s="6" t="n">
        <v>150</v>
      </c>
      <c r="M1924" s="6" t="n">
        <v>150</v>
      </c>
      <c r="N1924" s="3" t="inlineStr">
        <is>
          <t>Sí</t>
        </is>
      </c>
      <c r="O1924" s="6">
        <f>IF(K1924="","",IF(N1924="Sí",ROUND(K1924/1.18,2),K1924))</f>
        <v/>
      </c>
      <c r="P1924" s="3" t="inlineStr">
        <is>
          <t>2026-09-10</t>
        </is>
      </c>
      <c r="Q1924" s="4" t="inlineStr">
        <is>
          <t>Bellón</t>
        </is>
      </c>
      <c r="AF1924" s="4" t="inlineStr">
        <is>
          <t>tipo: tee · material: bronce · medida: 1/2"</t>
        </is>
      </c>
    </row>
    <row r="1925">
      <c r="A1925" s="3" t="inlineStr">
        <is>
          <t>MAT-32-572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Tee de bronce 1/4"</t>
        </is>
      </c>
      <c r="E1925" s="4" t="inlineStr"/>
      <c r="F1925" s="3" t="inlineStr">
        <is>
          <t>unidad</t>
        </is>
      </c>
      <c r="G1925" s="3" t="inlineStr">
        <is>
          <t>Instalaciones</t>
        </is>
      </c>
      <c r="H1925" s="3" t="inlineStr">
        <is>
          <t>estandar</t>
        </is>
      </c>
      <c r="I1925" s="3" t="inlineStr">
        <is>
          <t>importado</t>
        </is>
      </c>
      <c r="J1925" s="5" t="n">
        <v>1</v>
      </c>
      <c r="K1925" s="6" t="n">
        <v>85.5</v>
      </c>
      <c r="L1925" s="6" t="n">
        <v>52</v>
      </c>
      <c r="M1925" s="6" t="n">
        <v>119</v>
      </c>
      <c r="N1925" s="3" t="inlineStr">
        <is>
          <t>Sí</t>
        </is>
      </c>
      <c r="O1925" s="6">
        <f>IF(K1925="","",IF(N1925="Sí",ROUND(K1925/1.18,2),K1925))</f>
        <v/>
      </c>
      <c r="P1925" s="3" t="inlineStr">
        <is>
          <t>2026-09-10</t>
        </is>
      </c>
      <c r="Q1925" s="4" t="inlineStr">
        <is>
          <t>Bellón</t>
        </is>
      </c>
      <c r="AF1925" s="4" t="inlineStr">
        <is>
          <t>tipo: tee · material: bronce · medida: 1/4"</t>
        </is>
      </c>
    </row>
    <row r="1926">
      <c r="A1926" s="3" t="inlineStr">
        <is>
          <t>MAT-32-573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Tee de bronce 12"</t>
        </is>
      </c>
      <c r="E1926" s="4" t="inlineStr"/>
      <c r="F1926" s="3" t="inlineStr">
        <is>
          <t>unidad</t>
        </is>
      </c>
      <c r="G1926" s="3" t="inlineStr">
        <is>
          <t>Instalaciones</t>
        </is>
      </c>
      <c r="H1926" s="3" t="inlineStr">
        <is>
          <t>estandar</t>
        </is>
      </c>
      <c r="I1926" s="3" t="inlineStr">
        <is>
          <t>importado</t>
        </is>
      </c>
      <c r="J1926" s="5" t="n">
        <v>1</v>
      </c>
      <c r="K1926" s="6" t="n">
        <v>686</v>
      </c>
      <c r="L1926" s="6" t="n">
        <v>686</v>
      </c>
      <c r="M1926" s="6" t="n">
        <v>686</v>
      </c>
      <c r="N1926" s="3" t="inlineStr">
        <is>
          <t>Sí</t>
        </is>
      </c>
      <c r="O1926" s="6">
        <f>IF(K1926="","",IF(N1926="Sí",ROUND(K1926/1.18,2),K1926))</f>
        <v/>
      </c>
      <c r="P1926" s="3" t="inlineStr">
        <is>
          <t>2026-09-10</t>
        </is>
      </c>
      <c r="Q1926" s="4" t="inlineStr">
        <is>
          <t>Bellón</t>
        </is>
      </c>
      <c r="AF1926" s="4" t="inlineStr">
        <is>
          <t>tipo: tee · material: bronce · medida: 12"</t>
        </is>
      </c>
    </row>
    <row r="1927">
      <c r="A1927" s="3" t="inlineStr">
        <is>
          <t>MAT-32-574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Tee de bronce 15"</t>
        </is>
      </c>
      <c r="E1927" s="4" t="inlineStr"/>
      <c r="F1927" s="3" t="inlineStr">
        <is>
          <t>unidad</t>
        </is>
      </c>
      <c r="G1927" s="3" t="inlineStr">
        <is>
          <t>Instalaciones</t>
        </is>
      </c>
      <c r="H1927" s="3" t="inlineStr">
        <is>
          <t>estandar</t>
        </is>
      </c>
      <c r="I1927" s="3" t="inlineStr">
        <is>
          <t>importado</t>
        </is>
      </c>
      <c r="J1927" s="5" t="n">
        <v>1</v>
      </c>
      <c r="K1927" s="6" t="n">
        <v>605</v>
      </c>
      <c r="L1927" s="6" t="n">
        <v>473</v>
      </c>
      <c r="M1927" s="6" t="n">
        <v>628</v>
      </c>
      <c r="N1927" s="3" t="inlineStr">
        <is>
          <t>Sí</t>
        </is>
      </c>
      <c r="O1927" s="6">
        <f>IF(K1927="","",IF(N1927="Sí",ROUND(K1927/1.18,2),K1927))</f>
        <v/>
      </c>
      <c r="P1927" s="3" t="inlineStr">
        <is>
          <t>2026-09-10</t>
        </is>
      </c>
      <c r="Q1927" s="4" t="inlineStr">
        <is>
          <t>Bellón</t>
        </is>
      </c>
      <c r="AF1927" s="4" t="inlineStr">
        <is>
          <t>tipo: tee · material: bronce · medida: 15"</t>
        </is>
      </c>
    </row>
    <row r="1928">
      <c r="A1928" s="3" t="inlineStr">
        <is>
          <t>MAT-32-575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Tee de bronce 18"</t>
        </is>
      </c>
      <c r="E1928" s="4" t="inlineStr"/>
      <c r="F1928" s="3" t="inlineStr">
        <is>
          <t>unidad</t>
        </is>
      </c>
      <c r="G1928" s="3" t="inlineStr">
        <is>
          <t>Instalaciones</t>
        </is>
      </c>
      <c r="H1928" s="3" t="inlineStr">
        <is>
          <t>estandar</t>
        </is>
      </c>
      <c r="I1928" s="3" t="inlineStr">
        <is>
          <t>importado</t>
        </is>
      </c>
      <c r="J1928" s="5" t="n">
        <v>1</v>
      </c>
      <c r="K1928" s="6" t="n">
        <v>702</v>
      </c>
      <c r="L1928" s="6" t="n">
        <v>207</v>
      </c>
      <c r="M1928" s="6" t="n">
        <v>770</v>
      </c>
      <c r="N1928" s="3" t="inlineStr">
        <is>
          <t>Sí</t>
        </is>
      </c>
      <c r="O1928" s="6">
        <f>IF(K1928="","",IF(N1928="Sí",ROUND(K1928/1.18,2),K1928))</f>
        <v/>
      </c>
      <c r="P1928" s="3" t="inlineStr">
        <is>
          <t>2026-09-10</t>
        </is>
      </c>
      <c r="Q1928" s="4" t="inlineStr">
        <is>
          <t>Bellón</t>
        </is>
      </c>
      <c r="AF1928" s="4" t="inlineStr">
        <is>
          <t>tipo: tee · material: bronce · medida: 18"</t>
        </is>
      </c>
    </row>
    <row r="1929">
      <c r="A1929" s="3" t="inlineStr">
        <is>
          <t>MAT-32-576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Tee de bronce 25"</t>
        </is>
      </c>
      <c r="E1929" s="4" t="inlineStr"/>
      <c r="F1929" s="3" t="inlineStr">
        <is>
          <t>unidad</t>
        </is>
      </c>
      <c r="G1929" s="3" t="inlineStr">
        <is>
          <t>Instalaciones</t>
        </is>
      </c>
      <c r="H1929" s="3" t="inlineStr">
        <is>
          <t>estandar</t>
        </is>
      </c>
      <c r="I1929" s="3" t="inlineStr">
        <is>
          <t>importado</t>
        </is>
      </c>
      <c r="J1929" s="5" t="n">
        <v>1</v>
      </c>
      <c r="K1929" s="6" t="n">
        <v>1255</v>
      </c>
      <c r="L1929" s="6" t="n">
        <v>1255</v>
      </c>
      <c r="M1929" s="6" t="n">
        <v>1255</v>
      </c>
      <c r="N1929" s="3" t="inlineStr">
        <is>
          <t>Sí</t>
        </is>
      </c>
      <c r="O1929" s="6">
        <f>IF(K1929="","",IF(N1929="Sí",ROUND(K1929/1.18,2),K1929))</f>
        <v/>
      </c>
      <c r="P1929" s="3" t="inlineStr">
        <is>
          <t>2026-09-10</t>
        </is>
      </c>
      <c r="Q1929" s="4" t="inlineStr">
        <is>
          <t>Bellón</t>
        </is>
      </c>
      <c r="AF1929" s="4" t="inlineStr">
        <is>
          <t>tipo: tee · material: bronce · medida: 25"</t>
        </is>
      </c>
    </row>
    <row r="1930">
      <c r="A1930" s="3" t="inlineStr">
        <is>
          <t>MAT-32-577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Tee de bronce 3/8"</t>
        </is>
      </c>
      <c r="E1930" s="4" t="inlineStr"/>
      <c r="F1930" s="3" t="inlineStr">
        <is>
          <t>unidad</t>
        </is>
      </c>
      <c r="G1930" s="3" t="inlineStr">
        <is>
          <t>Instalaciones</t>
        </is>
      </c>
      <c r="H1930" s="3" t="inlineStr">
        <is>
          <t>estandar</t>
        </is>
      </c>
      <c r="I1930" s="3" t="inlineStr">
        <is>
          <t>importado</t>
        </is>
      </c>
      <c r="J1930" s="5" t="n">
        <v>2</v>
      </c>
      <c r="K1930" s="6" t="n">
        <v>179</v>
      </c>
      <c r="L1930" s="6" t="n">
        <v>78</v>
      </c>
      <c r="M1930" s="6" t="n">
        <v>186</v>
      </c>
      <c r="N1930" s="3" t="inlineStr">
        <is>
          <t>Sí</t>
        </is>
      </c>
      <c r="O1930" s="6">
        <f>IF(K1930="","",IF(N1930="Sí",ROUND(K1930/1.18,2),K1930))</f>
        <v/>
      </c>
      <c r="P1930" s="3" t="inlineStr">
        <is>
          <t>2026-09-10</t>
        </is>
      </c>
      <c r="Q1930" s="4" t="inlineStr">
        <is>
          <t>Bellón · Ferretería Cima</t>
        </is>
      </c>
      <c r="AF1930" s="4" t="inlineStr">
        <is>
          <t>tipo: tee · material: bronce · medida: 3/8"</t>
        </is>
      </c>
    </row>
    <row r="1931">
      <c r="A1931" s="3" t="inlineStr">
        <is>
          <t>MAT-32-578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Tee de bronce 32"</t>
        </is>
      </c>
      <c r="E1931" s="4" t="inlineStr"/>
      <c r="F1931" s="3" t="inlineStr">
        <is>
          <t>unidad</t>
        </is>
      </c>
      <c r="G1931" s="3" t="inlineStr">
        <is>
          <t>Instalaciones</t>
        </is>
      </c>
      <c r="H1931" s="3" t="inlineStr">
        <is>
          <t>estandar</t>
        </is>
      </c>
      <c r="I1931" s="3" t="inlineStr">
        <is>
          <t>importado</t>
        </is>
      </c>
      <c r="J1931" s="5" t="n">
        <v>1</v>
      </c>
      <c r="K1931" s="6" t="n">
        <v>2108</v>
      </c>
      <c r="L1931" s="6" t="n">
        <v>2108</v>
      </c>
      <c r="M1931" s="6" t="n">
        <v>2108</v>
      </c>
      <c r="N1931" s="3" t="inlineStr">
        <is>
          <t>Sí</t>
        </is>
      </c>
      <c r="O1931" s="6">
        <f>IF(K1931="","",IF(N1931="Sí",ROUND(K1931/1.18,2),K1931))</f>
        <v/>
      </c>
      <c r="P1931" s="3" t="inlineStr">
        <is>
          <t>2026-09-10</t>
        </is>
      </c>
      <c r="Q1931" s="4" t="inlineStr">
        <is>
          <t>Bellón</t>
        </is>
      </c>
      <c r="AF1931" s="4" t="inlineStr">
        <is>
          <t>tipo: tee · material: bronce · medida: 32"</t>
        </is>
      </c>
    </row>
    <row r="1932">
      <c r="A1932" s="3" t="inlineStr">
        <is>
          <t>MAT-32-579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Tee de cobre 1 1/8"</t>
        </is>
      </c>
      <c r="E1932" s="4" t="inlineStr"/>
      <c r="F1932" s="3" t="inlineStr">
        <is>
          <t>unidad</t>
        </is>
      </c>
      <c r="G1932" s="3" t="inlineStr">
        <is>
          <t>Instalaciones</t>
        </is>
      </c>
      <c r="H1932" s="3" t="inlineStr">
        <is>
          <t>estandar</t>
        </is>
      </c>
      <c r="I1932" s="3" t="inlineStr">
        <is>
          <t>importado</t>
        </is>
      </c>
      <c r="J1932" s="5" t="n">
        <v>1</v>
      </c>
      <c r="K1932" s="6" t="n">
        <v>143</v>
      </c>
      <c r="L1932" s="6" t="n">
        <v>143</v>
      </c>
      <c r="M1932" s="6" t="n">
        <v>143</v>
      </c>
      <c r="N1932" s="3" t="inlineStr">
        <is>
          <t>Sí</t>
        </is>
      </c>
      <c r="O1932" s="6">
        <f>IF(K1932="","",IF(N1932="Sí",ROUND(K1932/1.18,2),K1932))</f>
        <v/>
      </c>
      <c r="P1932" s="3" t="inlineStr">
        <is>
          <t>2026-09-10</t>
        </is>
      </c>
      <c r="Q1932" s="4" t="inlineStr">
        <is>
          <t>Bellón</t>
        </is>
      </c>
      <c r="AF1932" s="4" t="inlineStr">
        <is>
          <t>tipo: tee · material: cobre · medida: 1 1/8"</t>
        </is>
      </c>
    </row>
    <row r="1933">
      <c r="A1933" s="3" t="inlineStr">
        <is>
          <t>MAT-32-580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Tee de cobre 1/2"</t>
        </is>
      </c>
      <c r="E1933" s="4" t="inlineStr"/>
      <c r="F1933" s="3" t="inlineStr">
        <is>
          <t>unidad</t>
        </is>
      </c>
      <c r="G1933" s="3" t="inlineStr">
        <is>
          <t>Instalaciones</t>
        </is>
      </c>
      <c r="H1933" s="3" t="inlineStr">
        <is>
          <t>estandar</t>
        </is>
      </c>
      <c r="I1933" s="3" t="inlineStr">
        <is>
          <t>importado</t>
        </is>
      </c>
      <c r="J1933" s="5" t="n">
        <v>1</v>
      </c>
      <c r="K1933" s="6" t="n">
        <v>66</v>
      </c>
      <c r="L1933" s="6" t="n">
        <v>66</v>
      </c>
      <c r="M1933" s="6" t="n">
        <v>66</v>
      </c>
      <c r="N1933" s="3" t="inlineStr">
        <is>
          <t>Sí</t>
        </is>
      </c>
      <c r="O1933" s="6">
        <f>IF(K1933="","",IF(N1933="Sí",ROUND(K1933/1.18,2),K1933))</f>
        <v/>
      </c>
      <c r="P1933" s="3" t="inlineStr">
        <is>
          <t>2026-09-10</t>
        </is>
      </c>
      <c r="Q1933" s="4" t="inlineStr">
        <is>
          <t>Bellón</t>
        </is>
      </c>
      <c r="AF1933" s="4" t="inlineStr">
        <is>
          <t>tipo: tee · material: cobre · medida: 1/2"</t>
        </is>
      </c>
    </row>
    <row r="1934">
      <c r="A1934" s="3" t="inlineStr">
        <is>
          <t>MAT-32-581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Tee de cobre 1 3/8"</t>
        </is>
      </c>
      <c r="E1934" s="4" t="inlineStr"/>
      <c r="F1934" s="3" t="inlineStr">
        <is>
          <t>unidad</t>
        </is>
      </c>
      <c r="G1934" s="3" t="inlineStr">
        <is>
          <t>Instalaciones</t>
        </is>
      </c>
      <c r="H1934" s="3" t="inlineStr">
        <is>
          <t>estandar</t>
        </is>
      </c>
      <c r="I1934" s="3" t="inlineStr">
        <is>
          <t>importado</t>
        </is>
      </c>
      <c r="J1934" s="5" t="n">
        <v>1</v>
      </c>
      <c r="K1934" s="6" t="n">
        <v>293</v>
      </c>
      <c r="L1934" s="6" t="n">
        <v>293</v>
      </c>
      <c r="M1934" s="6" t="n">
        <v>293</v>
      </c>
      <c r="N1934" s="3" t="inlineStr">
        <is>
          <t>Sí</t>
        </is>
      </c>
      <c r="O1934" s="6">
        <f>IF(K1934="","",IF(N1934="Sí",ROUND(K1934/1.18,2),K1934))</f>
        <v/>
      </c>
      <c r="P1934" s="3" t="inlineStr">
        <is>
          <t>2026-09-10</t>
        </is>
      </c>
      <c r="Q1934" s="4" t="inlineStr">
        <is>
          <t>Bellón</t>
        </is>
      </c>
      <c r="AF1934" s="4" t="inlineStr">
        <is>
          <t>tipo: tee · material: cobre · medida: 1 3/8"</t>
        </is>
      </c>
    </row>
    <row r="1935">
      <c r="A1935" s="3" t="inlineStr">
        <is>
          <t>MAT-32-582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Tee de cobre 3/4"</t>
        </is>
      </c>
      <c r="E1935" s="4" t="inlineStr"/>
      <c r="F1935" s="3" t="inlineStr">
        <is>
          <t>unidad</t>
        </is>
      </c>
      <c r="G1935" s="3" t="inlineStr">
        <is>
          <t>Instalaciones</t>
        </is>
      </c>
      <c r="H1935" s="3" t="inlineStr">
        <is>
          <t>estandar</t>
        </is>
      </c>
      <c r="I1935" s="3" t="inlineStr">
        <is>
          <t>importado</t>
        </is>
      </c>
      <c r="J1935" s="5" t="n">
        <v>1</v>
      </c>
      <c r="K1935" s="6" t="n">
        <v>237</v>
      </c>
      <c r="L1935" s="6" t="n">
        <v>237</v>
      </c>
      <c r="M1935" s="6" t="n">
        <v>237</v>
      </c>
      <c r="N1935" s="3" t="inlineStr">
        <is>
          <t>Sí</t>
        </is>
      </c>
      <c r="O1935" s="6">
        <f>IF(K1935="","",IF(N1935="Sí",ROUND(K1935/1.18,2),K1935))</f>
        <v/>
      </c>
      <c r="P1935" s="3" t="inlineStr">
        <is>
          <t>2026-09-10</t>
        </is>
      </c>
      <c r="Q1935" s="4" t="inlineStr">
        <is>
          <t>Bellón</t>
        </is>
      </c>
      <c r="AF1935" s="4" t="inlineStr">
        <is>
          <t>tipo: tee · material: cobre · medida: 3/4"</t>
        </is>
      </c>
    </row>
    <row r="1936">
      <c r="A1936" s="3" t="inlineStr">
        <is>
          <t>MAT-32-583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Tee de cobre 3/8"</t>
        </is>
      </c>
      <c r="E1936" s="4" t="inlineStr"/>
      <c r="F1936" s="3" t="inlineStr">
        <is>
          <t>unidad</t>
        </is>
      </c>
      <c r="G1936" s="3" t="inlineStr">
        <is>
          <t>Instalaciones</t>
        </is>
      </c>
      <c r="H1936" s="3" t="inlineStr">
        <is>
          <t>estandar</t>
        </is>
      </c>
      <c r="I1936" s="3" t="inlineStr">
        <is>
          <t>importado</t>
        </is>
      </c>
      <c r="J1936" s="5" t="n">
        <v>1</v>
      </c>
      <c r="K1936" s="6" t="n">
        <v>256</v>
      </c>
      <c r="L1936" s="6" t="n">
        <v>256</v>
      </c>
      <c r="M1936" s="6" t="n">
        <v>256</v>
      </c>
      <c r="N1936" s="3" t="inlineStr">
        <is>
          <t>Sí</t>
        </is>
      </c>
      <c r="O1936" s="6">
        <f>IF(K1936="","",IF(N1936="Sí",ROUND(K1936/1.18,2),K1936))</f>
        <v/>
      </c>
      <c r="P1936" s="3" t="inlineStr">
        <is>
          <t>2026-09-09</t>
        </is>
      </c>
      <c r="Q1936" s="4" t="inlineStr">
        <is>
          <t>Ferretería Cima</t>
        </is>
      </c>
      <c r="AF1936" s="4" t="inlineStr">
        <is>
          <t>tipo: tee · material: cobre · medida: 3/8"</t>
        </is>
      </c>
    </row>
    <row r="1937">
      <c r="A1937" s="3" t="inlineStr">
        <is>
          <t>MAT-32-584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Tee de cobre 7/8"</t>
        </is>
      </c>
      <c r="E1937" s="4" t="inlineStr"/>
      <c r="F1937" s="3" t="inlineStr">
        <is>
          <t>unidad</t>
        </is>
      </c>
      <c r="G1937" s="3" t="inlineStr">
        <is>
          <t>Instalaciones</t>
        </is>
      </c>
      <c r="H1937" s="3" t="inlineStr">
        <is>
          <t>estandar</t>
        </is>
      </c>
      <c r="I1937" s="3" t="inlineStr">
        <is>
          <t>importado</t>
        </is>
      </c>
      <c r="J1937" s="5" t="n">
        <v>1</v>
      </c>
      <c r="K1937" s="6" t="n">
        <v>257</v>
      </c>
      <c r="L1937" s="6" t="n">
        <v>257</v>
      </c>
      <c r="M1937" s="6" t="n">
        <v>257</v>
      </c>
      <c r="N1937" s="3" t="inlineStr">
        <is>
          <t>Sí</t>
        </is>
      </c>
      <c r="O1937" s="6">
        <f>IF(K1937="","",IF(N1937="Sí",ROUND(K1937/1.18,2),K1937))</f>
        <v/>
      </c>
      <c r="P1937" s="3" t="inlineStr">
        <is>
          <t>2026-09-10</t>
        </is>
      </c>
      <c r="Q1937" s="4" t="inlineStr">
        <is>
          <t>Bellón</t>
        </is>
      </c>
      <c r="AF1937" s="4" t="inlineStr">
        <is>
          <t>tipo: tee · material: cobre · medida: 7/8"</t>
        </is>
      </c>
    </row>
    <row r="1938">
      <c r="A1938" s="3" t="inlineStr">
        <is>
          <t>MAT-32-585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Tee de CPVC 1/2"</t>
        </is>
      </c>
      <c r="E1938" s="4" t="inlineStr"/>
      <c r="F1938" s="3" t="inlineStr">
        <is>
          <t>unidad</t>
        </is>
      </c>
      <c r="G1938" s="3" t="inlineStr">
        <is>
          <t>Instalaciones</t>
        </is>
      </c>
      <c r="H1938" s="3" t="inlineStr">
        <is>
          <t>estandar</t>
        </is>
      </c>
      <c r="I1938" s="3" t="inlineStr">
        <is>
          <t>importado</t>
        </is>
      </c>
      <c r="J1938" s="5" t="n">
        <v>1</v>
      </c>
      <c r="K1938" s="6" t="n">
        <v>10.34</v>
      </c>
      <c r="L1938" s="6" t="n">
        <v>10.34</v>
      </c>
      <c r="M1938" s="6" t="n">
        <v>10.34</v>
      </c>
      <c r="N1938" s="3" t="inlineStr">
        <is>
          <t>Sí</t>
        </is>
      </c>
      <c r="O1938" s="6">
        <f>IF(K1938="","",IF(N1938="Sí",ROUND(K1938/1.18,2),K1938))</f>
        <v/>
      </c>
      <c r="P1938" s="3" t="inlineStr">
        <is>
          <t>2026-09-10</t>
        </is>
      </c>
      <c r="Q1938" s="4" t="inlineStr">
        <is>
          <t>Bellón</t>
        </is>
      </c>
      <c r="AF1938" s="4" t="inlineStr">
        <is>
          <t>tipo: tee · material: CPVC · medida: 1/2"</t>
        </is>
      </c>
    </row>
    <row r="1939">
      <c r="A1939" s="3" t="inlineStr">
        <is>
          <t>MAT-32-586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Tee de CPVC 1"</t>
        </is>
      </c>
      <c r="E1939" s="4" t="inlineStr"/>
      <c r="F1939" s="3" t="inlineStr">
        <is>
          <t>unidad</t>
        </is>
      </c>
      <c r="G1939" s="3" t="inlineStr">
        <is>
          <t>Instalaciones</t>
        </is>
      </c>
      <c r="H1939" s="3" t="inlineStr">
        <is>
          <t>estandar</t>
        </is>
      </c>
      <c r="I1939" s="3" t="inlineStr">
        <is>
          <t>importado</t>
        </is>
      </c>
      <c r="J1939" s="5" t="n">
        <v>1</v>
      </c>
      <c r="K1939" s="6" t="n">
        <v>40.95</v>
      </c>
      <c r="L1939" s="6" t="n">
        <v>40.95</v>
      </c>
      <c r="M1939" s="6" t="n">
        <v>40.95</v>
      </c>
      <c r="N1939" s="3" t="inlineStr">
        <is>
          <t>Sí</t>
        </is>
      </c>
      <c r="O1939" s="6">
        <f>IF(K1939="","",IF(N1939="Sí",ROUND(K1939/1.18,2),K1939))</f>
        <v/>
      </c>
      <c r="P1939" s="3" t="inlineStr">
        <is>
          <t>2026-09-10</t>
        </is>
      </c>
      <c r="Q1939" s="4" t="inlineStr">
        <is>
          <t>Bellón</t>
        </is>
      </c>
      <c r="AF1939" s="4" t="inlineStr">
        <is>
          <t>tipo: tee · material: CPVC · medida: 1"</t>
        </is>
      </c>
    </row>
    <row r="1940">
      <c r="A1940" s="3" t="inlineStr">
        <is>
          <t>MAT-32-587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Tee de CPVC 3/4"</t>
        </is>
      </c>
      <c r="E1940" s="4" t="inlineStr"/>
      <c r="F1940" s="3" t="inlineStr">
        <is>
          <t>unidad</t>
        </is>
      </c>
      <c r="G1940" s="3" t="inlineStr">
        <is>
          <t>Instalaciones</t>
        </is>
      </c>
      <c r="H1940" s="3" t="inlineStr">
        <is>
          <t>estandar</t>
        </is>
      </c>
      <c r="I1940" s="3" t="inlineStr">
        <is>
          <t>importado</t>
        </is>
      </c>
      <c r="J1940" s="5" t="n">
        <v>1</v>
      </c>
      <c r="K1940" s="6" t="n">
        <v>27.04</v>
      </c>
      <c r="L1940" s="6" t="n">
        <v>27.04</v>
      </c>
      <c r="M1940" s="6" t="n">
        <v>27.04</v>
      </c>
      <c r="N1940" s="3" t="inlineStr">
        <is>
          <t>Sí</t>
        </is>
      </c>
      <c r="O1940" s="6">
        <f>IF(K1940="","",IF(N1940="Sí",ROUND(K1940/1.18,2),K1940))</f>
        <v/>
      </c>
      <c r="P1940" s="3" t="inlineStr">
        <is>
          <t>2026-09-10</t>
        </is>
      </c>
      <c r="Q1940" s="4" t="inlineStr">
        <is>
          <t>Bellón</t>
        </is>
      </c>
      <c r="AF1940" s="4" t="inlineStr">
        <is>
          <t>tipo: tee · material: CPVC · medida: 3/4"</t>
        </is>
      </c>
    </row>
    <row r="1941">
      <c r="A1941" s="3" t="inlineStr">
        <is>
          <t>MAT-32-588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Tee de HG 1 1/2"</t>
        </is>
      </c>
      <c r="E1941" s="4" t="inlineStr"/>
      <c r="F1941" s="3" t="inlineStr">
        <is>
          <t>unidad</t>
        </is>
      </c>
      <c r="G1941" s="3" t="inlineStr">
        <is>
          <t>Instalaciones</t>
        </is>
      </c>
      <c r="H1941" s="3" t="inlineStr">
        <is>
          <t>estandar</t>
        </is>
      </c>
      <c r="I1941" s="3" t="inlineStr">
        <is>
          <t>importado</t>
        </is>
      </c>
      <c r="J1941" s="5" t="n">
        <v>2</v>
      </c>
      <c r="K1941" s="6" t="n">
        <v>210</v>
      </c>
      <c r="L1941" s="6" t="n">
        <v>143</v>
      </c>
      <c r="M1941" s="6" t="n">
        <v>277</v>
      </c>
      <c r="N1941" s="3" t="inlineStr">
        <is>
          <t>Sí</t>
        </is>
      </c>
      <c r="O1941" s="6">
        <f>IF(K1941="","",IF(N1941="Sí",ROUND(K1941/1.18,2),K1941))</f>
        <v/>
      </c>
      <c r="P1941" s="3" t="inlineStr">
        <is>
          <t>2026-09-10</t>
        </is>
      </c>
      <c r="Q1941" s="4" t="inlineStr">
        <is>
          <t>Bellón · Ferretería Cima</t>
        </is>
      </c>
      <c r="AF1941" s="4" t="inlineStr">
        <is>
          <t>tipo: tee · material: HG · medida: 1 1/2"</t>
        </is>
      </c>
    </row>
    <row r="1942">
      <c r="A1942" s="3" t="inlineStr">
        <is>
          <t>MAT-32-589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Tee de HG 1 1/4"</t>
        </is>
      </c>
      <c r="E1942" s="4" t="inlineStr"/>
      <c r="F1942" s="3" t="inlineStr">
        <is>
          <t>unidad</t>
        </is>
      </c>
      <c r="G1942" s="3" t="inlineStr">
        <is>
          <t>Instalaciones</t>
        </is>
      </c>
      <c r="H1942" s="3" t="inlineStr">
        <is>
          <t>estandar</t>
        </is>
      </c>
      <c r="I1942" s="3" t="inlineStr">
        <is>
          <t>importado</t>
        </is>
      </c>
      <c r="J1942" s="5" t="n">
        <v>1</v>
      </c>
      <c r="K1942" s="6" t="n">
        <v>119</v>
      </c>
      <c r="L1942" s="6" t="n">
        <v>119</v>
      </c>
      <c r="M1942" s="6" t="n">
        <v>119</v>
      </c>
      <c r="N1942" s="3" t="inlineStr">
        <is>
          <t>Sí</t>
        </is>
      </c>
      <c r="O1942" s="6">
        <f>IF(K1942="","",IF(N1942="Sí",ROUND(K1942/1.18,2),K1942))</f>
        <v/>
      </c>
      <c r="P1942" s="3" t="inlineStr">
        <is>
          <t>2026-09-10</t>
        </is>
      </c>
      <c r="Q1942" s="4" t="inlineStr">
        <is>
          <t>Bellón</t>
        </is>
      </c>
      <c r="AF1942" s="4" t="inlineStr">
        <is>
          <t>tipo: tee · material: HG · medida: 1 1/4"</t>
        </is>
      </c>
    </row>
    <row r="1943">
      <c r="A1943" s="3" t="inlineStr">
        <is>
          <t>MAT-32-590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Tee de HG 1/2"</t>
        </is>
      </c>
      <c r="E1943" s="4" t="inlineStr"/>
      <c r="F1943" s="3" t="inlineStr">
        <is>
          <t>unidad</t>
        </is>
      </c>
      <c r="G1943" s="3" t="inlineStr">
        <is>
          <t>Instalaciones</t>
        </is>
      </c>
      <c r="H1943" s="3" t="inlineStr">
        <is>
          <t>estandar</t>
        </is>
      </c>
      <c r="I1943" s="3" t="inlineStr">
        <is>
          <t>importado</t>
        </is>
      </c>
      <c r="J1943" s="5" t="n">
        <v>2</v>
      </c>
      <c r="K1943" s="6" t="n">
        <v>37</v>
      </c>
      <c r="L1943" s="6" t="n">
        <v>34</v>
      </c>
      <c r="M1943" s="6" t="n">
        <v>40</v>
      </c>
      <c r="N1943" s="3" t="inlineStr">
        <is>
          <t>Sí</t>
        </is>
      </c>
      <c r="O1943" s="6">
        <f>IF(K1943="","",IF(N1943="Sí",ROUND(K1943/1.18,2),K1943))</f>
        <v/>
      </c>
      <c r="P1943" s="3" t="inlineStr">
        <is>
          <t>2026-09-10</t>
        </is>
      </c>
      <c r="Q1943" s="4" t="inlineStr">
        <is>
          <t>Bellón · Ferretería Cima</t>
        </is>
      </c>
      <c r="AF1943" s="4" t="inlineStr">
        <is>
          <t>tipo: tee · material: HG · medida: 1/2"</t>
        </is>
      </c>
    </row>
    <row r="1944">
      <c r="A1944" s="3" t="inlineStr">
        <is>
          <t>MAT-32-591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Tee de HG 1/4"</t>
        </is>
      </c>
      <c r="E1944" s="4" t="inlineStr"/>
      <c r="F1944" s="3" t="inlineStr">
        <is>
          <t>unidad</t>
        </is>
      </c>
      <c r="G1944" s="3" t="inlineStr">
        <is>
          <t>Instalaciones</t>
        </is>
      </c>
      <c r="H1944" s="3" t="inlineStr">
        <is>
          <t>estandar</t>
        </is>
      </c>
      <c r="I1944" s="3" t="inlineStr">
        <is>
          <t>importado</t>
        </is>
      </c>
      <c r="J1944" s="5" t="n">
        <v>2</v>
      </c>
      <c r="K1944" s="6" t="n">
        <v>83.5</v>
      </c>
      <c r="L1944" s="6" t="n">
        <v>37</v>
      </c>
      <c r="M1944" s="6" t="n">
        <v>130</v>
      </c>
      <c r="N1944" s="3" t="inlineStr">
        <is>
          <t>Sí</t>
        </is>
      </c>
      <c r="O1944" s="6">
        <f>IF(K1944="","",IF(N1944="Sí",ROUND(K1944/1.18,2),K1944))</f>
        <v/>
      </c>
      <c r="P1944" s="3" t="inlineStr">
        <is>
          <t>2026-09-10</t>
        </is>
      </c>
      <c r="Q1944" s="4" t="inlineStr">
        <is>
          <t>Bellón · Ferretería Cima</t>
        </is>
      </c>
      <c r="AF1944" s="4" t="inlineStr">
        <is>
          <t>tipo: tee · material: HG · medida: 1/4"</t>
        </is>
      </c>
    </row>
    <row r="1945">
      <c r="A1945" s="3" t="inlineStr">
        <is>
          <t>MAT-32-592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Tee de HG 1"</t>
        </is>
      </c>
      <c r="E1945" s="4" t="inlineStr"/>
      <c r="F1945" s="3" t="inlineStr">
        <is>
          <t>unidad</t>
        </is>
      </c>
      <c r="G1945" s="3" t="inlineStr">
        <is>
          <t>Instalaciones</t>
        </is>
      </c>
      <c r="H1945" s="3" t="inlineStr">
        <is>
          <t>estandar</t>
        </is>
      </c>
      <c r="I1945" s="3" t="inlineStr">
        <is>
          <t>importado</t>
        </is>
      </c>
      <c r="J1945" s="5" t="n">
        <v>2</v>
      </c>
      <c r="K1945" s="6" t="n">
        <v>118.5</v>
      </c>
      <c r="L1945" s="6" t="n">
        <v>77</v>
      </c>
      <c r="M1945" s="6" t="n">
        <v>160</v>
      </c>
      <c r="N1945" s="3" t="inlineStr">
        <is>
          <t>Sí</t>
        </is>
      </c>
      <c r="O1945" s="6">
        <f>IF(K1945="","",IF(N1945="Sí",ROUND(K1945/1.18,2),K1945))</f>
        <v/>
      </c>
      <c r="P1945" s="3" t="inlineStr">
        <is>
          <t>2026-09-10</t>
        </is>
      </c>
      <c r="Q1945" s="4" t="inlineStr">
        <is>
          <t>Bellón · Ferretería Cima</t>
        </is>
      </c>
      <c r="AF1945" s="4" t="inlineStr">
        <is>
          <t>tipo: tee · material: HG · medida: 1"</t>
        </is>
      </c>
    </row>
    <row r="1946">
      <c r="A1946" s="3" t="inlineStr">
        <is>
          <t>MAT-32-593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Tee de HG 2 1/2"</t>
        </is>
      </c>
      <c r="E1946" s="4" t="inlineStr"/>
      <c r="F1946" s="3" t="inlineStr">
        <is>
          <t>unidad</t>
        </is>
      </c>
      <c r="G1946" s="3" t="inlineStr">
        <is>
          <t>Instalaciones</t>
        </is>
      </c>
      <c r="H1946" s="3" t="inlineStr">
        <is>
          <t>estandar</t>
        </is>
      </c>
      <c r="I1946" s="3" t="inlineStr">
        <is>
          <t>importado</t>
        </is>
      </c>
      <c r="J1946" s="5" t="n">
        <v>1</v>
      </c>
      <c r="K1946" s="6" t="n">
        <v>526</v>
      </c>
      <c r="L1946" s="6" t="n">
        <v>526</v>
      </c>
      <c r="M1946" s="6" t="n">
        <v>526</v>
      </c>
      <c r="N1946" s="3" t="inlineStr">
        <is>
          <t>Sí</t>
        </is>
      </c>
      <c r="O1946" s="6">
        <f>IF(K1946="","",IF(N1946="Sí",ROUND(K1946/1.18,2),K1946))</f>
        <v/>
      </c>
      <c r="P1946" s="3" t="inlineStr">
        <is>
          <t>2026-09-10</t>
        </is>
      </c>
      <c r="Q1946" s="4" t="inlineStr">
        <is>
          <t>Bellón</t>
        </is>
      </c>
      <c r="AF1946" s="4" t="inlineStr">
        <is>
          <t>tipo: tee · material: HG · medida: 2 1/2"</t>
        </is>
      </c>
    </row>
    <row r="1947">
      <c r="A1947" s="3" t="inlineStr">
        <is>
          <t>MAT-32-594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Tee de HG 2"</t>
        </is>
      </c>
      <c r="E1947" s="4" t="inlineStr"/>
      <c r="F1947" s="3" t="inlineStr">
        <is>
          <t>unidad</t>
        </is>
      </c>
      <c r="G1947" s="3" t="inlineStr">
        <is>
          <t>Instalaciones</t>
        </is>
      </c>
      <c r="H1947" s="3" t="inlineStr">
        <is>
          <t>estandar</t>
        </is>
      </c>
      <c r="I1947" s="3" t="inlineStr">
        <is>
          <t>importado</t>
        </is>
      </c>
      <c r="J1947" s="5" t="n">
        <v>2</v>
      </c>
      <c r="K1947" s="6" t="n">
        <v>297.5</v>
      </c>
      <c r="L1947" s="6" t="n">
        <v>212</v>
      </c>
      <c r="M1947" s="6" t="n">
        <v>383</v>
      </c>
      <c r="N1947" s="3" t="inlineStr">
        <is>
          <t>Sí</t>
        </is>
      </c>
      <c r="O1947" s="6">
        <f>IF(K1947="","",IF(N1947="Sí",ROUND(K1947/1.18,2),K1947))</f>
        <v/>
      </c>
      <c r="P1947" s="3" t="inlineStr">
        <is>
          <t>2026-09-10</t>
        </is>
      </c>
      <c r="Q1947" s="4" t="inlineStr">
        <is>
          <t>Bellón · Ferretería Cima</t>
        </is>
      </c>
      <c r="AF1947" s="4" t="inlineStr">
        <is>
          <t>tipo: tee · material: HG · medida: 2"</t>
        </is>
      </c>
    </row>
    <row r="1948">
      <c r="A1948" s="3" t="inlineStr">
        <is>
          <t>MAT-32-595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Tee de HG 3/4"</t>
        </is>
      </c>
      <c r="E1948" s="4" t="inlineStr"/>
      <c r="F1948" s="3" t="inlineStr">
        <is>
          <t>unidad</t>
        </is>
      </c>
      <c r="G1948" s="3" t="inlineStr">
        <is>
          <t>Instalaciones</t>
        </is>
      </c>
      <c r="H1948" s="3" t="inlineStr">
        <is>
          <t>estandar</t>
        </is>
      </c>
      <c r="I1948" s="3" t="inlineStr">
        <is>
          <t>importado</t>
        </is>
      </c>
      <c r="J1948" s="5" t="n">
        <v>2</v>
      </c>
      <c r="K1948" s="6" t="n">
        <v>72</v>
      </c>
      <c r="L1948" s="6" t="n">
        <v>49</v>
      </c>
      <c r="M1948" s="6" t="n">
        <v>95</v>
      </c>
      <c r="N1948" s="3" t="inlineStr">
        <is>
          <t>Sí</t>
        </is>
      </c>
      <c r="O1948" s="6">
        <f>IF(K1948="","",IF(N1948="Sí",ROUND(K1948/1.18,2),K1948))</f>
        <v/>
      </c>
      <c r="P1948" s="3" t="inlineStr">
        <is>
          <t>2026-09-10</t>
        </is>
      </c>
      <c r="Q1948" s="4" t="inlineStr">
        <is>
          <t>Bellón · Ferretería Cima</t>
        </is>
      </c>
      <c r="AF1948" s="4" t="inlineStr">
        <is>
          <t>tipo: tee · material: HG · medida: 3/4"</t>
        </is>
      </c>
    </row>
    <row r="1949">
      <c r="A1949" s="3" t="inlineStr">
        <is>
          <t>MAT-32-596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Tee de HG 3/8"</t>
        </is>
      </c>
      <c r="E1949" s="4" t="inlineStr"/>
      <c r="F1949" s="3" t="inlineStr">
        <is>
          <t>unidad</t>
        </is>
      </c>
      <c r="G1949" s="3" t="inlineStr">
        <is>
          <t>Instalaciones</t>
        </is>
      </c>
      <c r="H1949" s="3" t="inlineStr">
        <is>
          <t>estandar</t>
        </is>
      </c>
      <c r="I1949" s="3" t="inlineStr">
        <is>
          <t>importado</t>
        </is>
      </c>
      <c r="J1949" s="5" t="n">
        <v>2</v>
      </c>
      <c r="K1949" s="6" t="n">
        <v>50.11</v>
      </c>
      <c r="L1949" s="6" t="n">
        <v>42.23</v>
      </c>
      <c r="M1949" s="6" t="n">
        <v>58</v>
      </c>
      <c r="N1949" s="3" t="inlineStr">
        <is>
          <t>Sí</t>
        </is>
      </c>
      <c r="O1949" s="6">
        <f>IF(K1949="","",IF(N1949="Sí",ROUND(K1949/1.18,2),K1949))</f>
        <v/>
      </c>
      <c r="P1949" s="3" t="inlineStr">
        <is>
          <t>2026-09-10</t>
        </is>
      </c>
      <c r="Q1949" s="4" t="inlineStr">
        <is>
          <t>Bellón · Ferretería Cima</t>
        </is>
      </c>
      <c r="AF1949" s="4" t="inlineStr">
        <is>
          <t>tipo: tee · material: HG · medida: 3/8"</t>
        </is>
      </c>
    </row>
    <row r="1950">
      <c r="A1950" s="3" t="inlineStr">
        <is>
          <t>MAT-32-597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HG 3"</t>
        </is>
      </c>
      <c r="E1950" s="4" t="inlineStr"/>
      <c r="F1950" s="3" t="inlineStr">
        <is>
          <t>unidad</t>
        </is>
      </c>
      <c r="G1950" s="3" t="inlineStr">
        <is>
          <t>Instalaciones</t>
        </is>
      </c>
      <c r="H1950" s="3" t="inlineStr">
        <is>
          <t>estandar</t>
        </is>
      </c>
      <c r="I1950" s="3" t="inlineStr">
        <is>
          <t>importado</t>
        </is>
      </c>
      <c r="J1950" s="5" t="n">
        <v>1</v>
      </c>
      <c r="K1950" s="6" t="n">
        <v>603</v>
      </c>
      <c r="L1950" s="6" t="n">
        <v>603</v>
      </c>
      <c r="M1950" s="6" t="n">
        <v>603</v>
      </c>
      <c r="N1950" s="3" t="inlineStr">
        <is>
          <t>Sí</t>
        </is>
      </c>
      <c r="O1950" s="6">
        <f>IF(K1950="","",IF(N1950="Sí",ROUND(K1950/1.18,2),K1950))</f>
        <v/>
      </c>
      <c r="P1950" s="3" t="inlineStr">
        <is>
          <t>2026-09-10</t>
        </is>
      </c>
      <c r="Q1950" s="4" t="inlineStr">
        <is>
          <t>Bellón</t>
        </is>
      </c>
      <c r="AF1950" s="4" t="inlineStr">
        <is>
          <t>tipo: tee · material: HG · medida: 3"</t>
        </is>
      </c>
    </row>
    <row r="1951">
      <c r="A1951" s="3" t="inlineStr">
        <is>
          <t>MAT-32-598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HG 4"</t>
        </is>
      </c>
      <c r="E1951" s="4" t="inlineStr"/>
      <c r="F1951" s="3" t="inlineStr">
        <is>
          <t>unidad</t>
        </is>
      </c>
      <c r="G1951" s="3" t="inlineStr">
        <is>
          <t>Instalaciones</t>
        </is>
      </c>
      <c r="H1951" s="3" t="inlineStr">
        <is>
          <t>estandar</t>
        </is>
      </c>
      <c r="I1951" s="3" t="inlineStr">
        <is>
          <t>importado</t>
        </is>
      </c>
      <c r="J1951" s="5" t="n">
        <v>1</v>
      </c>
      <c r="K1951" s="6" t="n">
        <v>1187</v>
      </c>
      <c r="L1951" s="6" t="n">
        <v>1187</v>
      </c>
      <c r="M1951" s="6" t="n">
        <v>1187</v>
      </c>
      <c r="N1951" s="3" t="inlineStr">
        <is>
          <t>Sí</t>
        </is>
      </c>
      <c r="O1951" s="6">
        <f>IF(K1951="","",IF(N1951="Sí",ROUND(K1951/1.18,2),K1951))</f>
        <v/>
      </c>
      <c r="P1951" s="3" t="inlineStr">
        <is>
          <t>2026-09-10</t>
        </is>
      </c>
      <c r="Q1951" s="4" t="inlineStr">
        <is>
          <t>Bellón</t>
        </is>
      </c>
      <c r="AF1951" s="4" t="inlineStr">
        <is>
          <t>tipo: tee · material: HG · medida: 4"</t>
        </is>
      </c>
    </row>
    <row r="1952">
      <c r="A1952" s="3" t="inlineStr">
        <is>
          <t>MAT-32-599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de niquelado 1/2"</t>
        </is>
      </c>
      <c r="E1952" s="4" t="inlineStr"/>
      <c r="F1952" s="3" t="inlineStr">
        <is>
          <t>unidad</t>
        </is>
      </c>
      <c r="G1952" s="3" t="inlineStr">
        <is>
          <t>Instalaciones</t>
        </is>
      </c>
      <c r="H1952" s="3" t="inlineStr">
        <is>
          <t>estandar</t>
        </is>
      </c>
      <c r="I1952" s="3" t="inlineStr">
        <is>
          <t>importado</t>
        </is>
      </c>
      <c r="J1952" s="5" t="n">
        <v>1</v>
      </c>
      <c r="K1952" s="6" t="n">
        <v>444</v>
      </c>
      <c r="L1952" s="6" t="n">
        <v>444</v>
      </c>
      <c r="M1952" s="6" t="n">
        <v>444</v>
      </c>
      <c r="N1952" s="3" t="inlineStr">
        <is>
          <t>Sí</t>
        </is>
      </c>
      <c r="O1952" s="6">
        <f>IF(K1952="","",IF(N1952="Sí",ROUND(K1952/1.18,2),K1952))</f>
        <v/>
      </c>
      <c r="P1952" s="3" t="inlineStr">
        <is>
          <t>2026-09-09</t>
        </is>
      </c>
      <c r="Q1952" s="4" t="inlineStr">
        <is>
          <t>Ferretería Cima</t>
        </is>
      </c>
      <c r="AF1952" s="4" t="inlineStr">
        <is>
          <t>tipo: tee · material: niquelado · medida: 1/2"</t>
        </is>
      </c>
    </row>
    <row r="1953">
      <c r="A1953" s="3" t="inlineStr">
        <is>
          <t>MAT-32-600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de plástico 63"</t>
        </is>
      </c>
      <c r="E1953" s="4" t="inlineStr"/>
      <c r="F1953" s="3" t="inlineStr">
        <is>
          <t>unidad</t>
        </is>
      </c>
      <c r="G1953" s="3" t="inlineStr">
        <is>
          <t>Instalaciones</t>
        </is>
      </c>
      <c r="H1953" s="3" t="inlineStr">
        <is>
          <t>estandar</t>
        </is>
      </c>
      <c r="I1953" s="3" t="inlineStr">
        <is>
          <t>importado</t>
        </is>
      </c>
      <c r="J1953" s="5" t="n">
        <v>1</v>
      </c>
      <c r="K1953" s="6" t="n">
        <v>1020</v>
      </c>
      <c r="L1953" s="6" t="n">
        <v>1020</v>
      </c>
      <c r="M1953" s="6" t="n">
        <v>1020</v>
      </c>
      <c r="N1953" s="3" t="inlineStr">
        <is>
          <t>Sí</t>
        </is>
      </c>
      <c r="O1953" s="6">
        <f>IF(K1953="","",IF(N1953="Sí",ROUND(K1953/1.18,2),K1953))</f>
        <v/>
      </c>
      <c r="P1953" s="3" t="inlineStr">
        <is>
          <t>2026-09-10</t>
        </is>
      </c>
      <c r="Q1953" s="4" t="inlineStr">
        <is>
          <t>Bellón</t>
        </is>
      </c>
      <c r="AF1953" s="4" t="inlineStr">
        <is>
          <t>tipo: tee · material: plástico · medida: 63"</t>
        </is>
      </c>
    </row>
    <row r="1954">
      <c r="A1954" s="3" t="inlineStr">
        <is>
          <t>MAT-32-601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Tee de PPR 20 mm</t>
        </is>
      </c>
      <c r="E1954" s="4" t="inlineStr"/>
      <c r="F1954" s="3" t="inlineStr">
        <is>
          <t>unidad</t>
        </is>
      </c>
      <c r="G1954" s="3" t="inlineStr">
        <is>
          <t>Instalaciones</t>
        </is>
      </c>
      <c r="H1954" s="3" t="inlineStr">
        <is>
          <t>estandar</t>
        </is>
      </c>
      <c r="I1954" s="3" t="inlineStr">
        <is>
          <t>importado</t>
        </is>
      </c>
      <c r="J1954" s="5" t="n">
        <v>2</v>
      </c>
      <c r="K1954" s="6" t="n">
        <v>28.95</v>
      </c>
      <c r="L1954" s="6" t="n">
        <v>7.98</v>
      </c>
      <c r="M1954" s="6" t="n">
        <v>293</v>
      </c>
      <c r="N1954" s="3" t="inlineStr">
        <is>
          <t>Sí</t>
        </is>
      </c>
      <c r="O1954" s="6">
        <f>IF(K1954="","",IF(N1954="Sí",ROUND(K1954/1.18,2),K1954))</f>
        <v/>
      </c>
      <c r="P1954" s="3" t="inlineStr">
        <is>
          <t>2026-09-10</t>
        </is>
      </c>
      <c r="Q1954" s="4" t="inlineStr">
        <is>
          <t>Bellón · Ferretería Cima</t>
        </is>
      </c>
      <c r="AF1954" s="4" t="inlineStr">
        <is>
          <t>tipo: tee · material: PPR · medida: 20 mm</t>
        </is>
      </c>
    </row>
    <row r="1955">
      <c r="A1955" s="3" t="inlineStr">
        <is>
          <t>MAT-32-602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Tee de PPR 25 mm</t>
        </is>
      </c>
      <c r="E1955" s="4" t="inlineStr"/>
      <c r="F1955" s="3" t="inlineStr">
        <is>
          <t>unidad</t>
        </is>
      </c>
      <c r="G1955" s="3" t="inlineStr">
        <is>
          <t>Instalaciones</t>
        </is>
      </c>
      <c r="H1955" s="3" t="inlineStr">
        <is>
          <t>estandar</t>
        </is>
      </c>
      <c r="I1955" s="3" t="inlineStr">
        <is>
          <t>importado</t>
        </is>
      </c>
      <c r="J1955" s="5" t="n">
        <v>2</v>
      </c>
      <c r="K1955" s="6" t="n">
        <v>29.36</v>
      </c>
      <c r="L1955" s="6" t="n">
        <v>12.12</v>
      </c>
      <c r="M1955" s="6" t="n">
        <v>50</v>
      </c>
      <c r="N1955" s="3" t="inlineStr">
        <is>
          <t>Sí</t>
        </is>
      </c>
      <c r="O1955" s="6">
        <f>IF(K1955="","",IF(N1955="Sí",ROUND(K1955/1.18,2),K1955))</f>
        <v/>
      </c>
      <c r="P1955" s="3" t="inlineStr">
        <is>
          <t>2026-09-10</t>
        </is>
      </c>
      <c r="Q1955" s="4" t="inlineStr">
        <is>
          <t>Bellón · Ferretería Cima</t>
        </is>
      </c>
      <c r="AF1955" s="4" t="inlineStr">
        <is>
          <t>tipo: tee · material: PPR · medida: 25 mm</t>
        </is>
      </c>
    </row>
    <row r="1956">
      <c r="A1956" s="3" t="inlineStr">
        <is>
          <t>MAT-32-603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Tee de PPR 32 mm</t>
        </is>
      </c>
      <c r="E1956" s="4" t="inlineStr"/>
      <c r="F1956" s="3" t="inlineStr">
        <is>
          <t>unidad</t>
        </is>
      </c>
      <c r="G1956" s="3" t="inlineStr">
        <is>
          <t>Instalaciones</t>
        </is>
      </c>
      <c r="H1956" s="3" t="inlineStr">
        <is>
          <t>estandar</t>
        </is>
      </c>
      <c r="I1956" s="3" t="inlineStr">
        <is>
          <t>importado</t>
        </is>
      </c>
      <c r="J1956" s="5" t="n">
        <v>2</v>
      </c>
      <c r="K1956" s="6" t="n">
        <v>51.19</v>
      </c>
      <c r="L1956" s="6" t="n">
        <v>19.4</v>
      </c>
      <c r="M1956" s="6" t="n">
        <v>75</v>
      </c>
      <c r="N1956" s="3" t="inlineStr">
        <is>
          <t>Sí</t>
        </is>
      </c>
      <c r="O1956" s="6">
        <f>IF(K1956="","",IF(N1956="Sí",ROUND(K1956/1.18,2),K1956))</f>
        <v/>
      </c>
      <c r="P1956" s="3" t="inlineStr">
        <is>
          <t>2026-09-10</t>
        </is>
      </c>
      <c r="Q1956" s="4" t="inlineStr">
        <is>
          <t>Bellón · Ferretería Cima</t>
        </is>
      </c>
      <c r="AF1956" s="4" t="inlineStr">
        <is>
          <t>tipo: tee · material: PPR · medida: 32 mm</t>
        </is>
      </c>
    </row>
    <row r="1957">
      <c r="A1957" s="3" t="inlineStr">
        <is>
          <t>MAT-32-604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Tee de PPR 50 mm</t>
        </is>
      </c>
      <c r="E1957" s="4" t="inlineStr"/>
      <c r="F1957" s="3" t="inlineStr">
        <is>
          <t>unidad</t>
        </is>
      </c>
      <c r="G1957" s="3" t="inlineStr">
        <is>
          <t>Instalaciones</t>
        </is>
      </c>
      <c r="H1957" s="3" t="inlineStr">
        <is>
          <t>estandar</t>
        </is>
      </c>
      <c r="I1957" s="3" t="inlineStr">
        <is>
          <t>importado</t>
        </is>
      </c>
      <c r="J1957" s="5" t="n">
        <v>1</v>
      </c>
      <c r="K1957" s="6" t="n">
        <v>63.12</v>
      </c>
      <c r="L1957" s="6" t="n">
        <v>63.12</v>
      </c>
      <c r="M1957" s="6" t="n">
        <v>63.12</v>
      </c>
      <c r="N1957" s="3" t="inlineStr">
        <is>
          <t>Sí</t>
        </is>
      </c>
      <c r="O1957" s="6">
        <f>IF(K1957="","",IF(N1957="Sí",ROUND(K1957/1.18,2),K1957))</f>
        <v/>
      </c>
      <c r="P1957" s="3" t="inlineStr">
        <is>
          <t>2026-09-10</t>
        </is>
      </c>
      <c r="Q1957" s="4" t="inlineStr">
        <is>
          <t>Bellón</t>
        </is>
      </c>
      <c r="AF1957" s="4" t="inlineStr">
        <is>
          <t>tipo: tee · material: PPR · medida: 50 mm</t>
        </is>
      </c>
    </row>
    <row r="1958">
      <c r="A1958" s="3" t="inlineStr">
        <is>
          <t>MAT-32-605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PVC drenaje 1 1/2"</t>
        </is>
      </c>
      <c r="E1958" s="4" t="inlineStr"/>
      <c r="F1958" s="3" t="inlineStr">
        <is>
          <t>unidad</t>
        </is>
      </c>
      <c r="G1958" s="3" t="inlineStr">
        <is>
          <t>Instalaciones</t>
        </is>
      </c>
      <c r="H1958" s="3" t="inlineStr">
        <is>
          <t>estandar</t>
        </is>
      </c>
      <c r="I1958" s="3" t="inlineStr">
        <is>
          <t>importado</t>
        </is>
      </c>
      <c r="J1958" s="5" t="n">
        <v>2</v>
      </c>
      <c r="K1958" s="6" t="n">
        <v>31.55</v>
      </c>
      <c r="L1958" s="6" t="n">
        <v>22.5</v>
      </c>
      <c r="M1958" s="6" t="n">
        <v>86</v>
      </c>
      <c r="N1958" s="3" t="inlineStr">
        <is>
          <t>Sí</t>
        </is>
      </c>
      <c r="O1958" s="6">
        <f>IF(K1958="","",IF(N1958="Sí",ROUND(K1958/1.18,2),K1958))</f>
        <v/>
      </c>
      <c r="P1958" s="3" t="inlineStr">
        <is>
          <t>2026-09-10</t>
        </is>
      </c>
      <c r="Q1958" s="4" t="inlineStr">
        <is>
          <t>Bellón · Ferretería Cima</t>
        </is>
      </c>
      <c r="AF1958" s="4" t="inlineStr">
        <is>
          <t>tipo: tee · material: PVC drenaje · medida: 1 1/2"</t>
        </is>
      </c>
    </row>
    <row r="1959">
      <c r="A1959" s="3" t="inlineStr">
        <is>
          <t>MAT-32-606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PVC drenaje 2"</t>
        </is>
      </c>
      <c r="E1959" s="4" t="inlineStr"/>
      <c r="F1959" s="3" t="inlineStr">
        <is>
          <t>unidad</t>
        </is>
      </c>
      <c r="G1959" s="3" t="inlineStr">
        <is>
          <t>Instalaciones</t>
        </is>
      </c>
      <c r="H1959" s="3" t="inlineStr">
        <is>
          <t>estandar</t>
        </is>
      </c>
      <c r="I1959" s="3" t="inlineStr">
        <is>
          <t>importado</t>
        </is>
      </c>
      <c r="J1959" s="5" t="n">
        <v>2</v>
      </c>
      <c r="K1959" s="6" t="n">
        <v>47.64</v>
      </c>
      <c r="L1959" s="6" t="n">
        <v>33.78</v>
      </c>
      <c r="M1959" s="6" t="n">
        <v>135</v>
      </c>
      <c r="N1959" s="3" t="inlineStr">
        <is>
          <t>Sí</t>
        </is>
      </c>
      <c r="O1959" s="6">
        <f>IF(K1959="","",IF(N1959="Sí",ROUND(K1959/1.18,2),K1959))</f>
        <v/>
      </c>
      <c r="P1959" s="3" t="inlineStr">
        <is>
          <t>2026-09-10</t>
        </is>
      </c>
      <c r="Q1959" s="4" t="inlineStr">
        <is>
          <t>Bellón · Ferretería Cima</t>
        </is>
      </c>
      <c r="AF1959" s="4" t="inlineStr">
        <is>
          <t>tipo: tee · material: PVC drenaje · medida: 2"</t>
        </is>
      </c>
    </row>
    <row r="1960">
      <c r="A1960" s="3" t="inlineStr">
        <is>
          <t>MAT-32-607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PVC drenaje 3"</t>
        </is>
      </c>
      <c r="E1960" s="4" t="inlineStr"/>
      <c r="F1960" s="3" t="inlineStr">
        <is>
          <t>unidad</t>
        </is>
      </c>
      <c r="G1960" s="3" t="inlineStr">
        <is>
          <t>Instalaciones</t>
        </is>
      </c>
      <c r="H1960" s="3" t="inlineStr">
        <is>
          <t>estandar</t>
        </is>
      </c>
      <c r="I1960" s="3" t="inlineStr">
        <is>
          <t>importado</t>
        </is>
      </c>
      <c r="J1960" s="5" t="n">
        <v>2</v>
      </c>
      <c r="K1960" s="6" t="n">
        <v>153.5</v>
      </c>
      <c r="L1960" s="6" t="n">
        <v>108</v>
      </c>
      <c r="M1960" s="6" t="n">
        <v>257</v>
      </c>
      <c r="N1960" s="3" t="inlineStr">
        <is>
          <t>Sí</t>
        </is>
      </c>
      <c r="O1960" s="6">
        <f>IF(K1960="","",IF(N1960="Sí",ROUND(K1960/1.18,2),K1960))</f>
        <v/>
      </c>
      <c r="P1960" s="3" t="inlineStr">
        <is>
          <t>2026-09-10</t>
        </is>
      </c>
      <c r="Q1960" s="4" t="inlineStr">
        <is>
          <t>Bellón · Ferretería Cima</t>
        </is>
      </c>
      <c r="AF1960" s="4" t="inlineStr">
        <is>
          <t>tipo: tee · material: PVC drenaje · medida: 3"</t>
        </is>
      </c>
    </row>
    <row r="1961">
      <c r="A1961" s="3" t="inlineStr">
        <is>
          <t>MAT-32-608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PVC drenaje 3" x 2"</t>
        </is>
      </c>
      <c r="E1961" s="4" t="inlineStr"/>
      <c r="F1961" s="3" t="inlineStr">
        <is>
          <t>unidad</t>
        </is>
      </c>
      <c r="G1961" s="3" t="inlineStr">
        <is>
          <t>Instalaciones</t>
        </is>
      </c>
      <c r="H1961" s="3" t="inlineStr">
        <is>
          <t>estandar</t>
        </is>
      </c>
      <c r="I1961" s="3" t="inlineStr">
        <is>
          <t>importado</t>
        </is>
      </c>
      <c r="J1961" s="5" t="n">
        <v>1</v>
      </c>
      <c r="K1961" s="6" t="n">
        <v>84.17</v>
      </c>
      <c r="L1961" s="6" t="n">
        <v>84.17</v>
      </c>
      <c r="M1961" s="6" t="n">
        <v>84.17</v>
      </c>
      <c r="N1961" s="3" t="inlineStr">
        <is>
          <t>Sí</t>
        </is>
      </c>
      <c r="O1961" s="6">
        <f>IF(K1961="","",IF(N1961="Sí",ROUND(K1961/1.18,2),K1961))</f>
        <v/>
      </c>
      <c r="P1961" s="3" t="inlineStr">
        <is>
          <t>2026-09-10</t>
        </is>
      </c>
      <c r="Q1961" s="4" t="inlineStr">
        <is>
          <t>Bellón</t>
        </is>
      </c>
      <c r="AF1961" s="4" t="inlineStr">
        <is>
          <t>tipo: tee · material: PVC drenaje · medida: 3" x 2"</t>
        </is>
      </c>
    </row>
    <row r="1962">
      <c r="A1962" s="3" t="inlineStr">
        <is>
          <t>MAT-32-609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PVC drenaje 4"</t>
        </is>
      </c>
      <c r="E1962" s="4" t="inlineStr"/>
      <c r="F1962" s="3" t="inlineStr">
        <is>
          <t>unidad</t>
        </is>
      </c>
      <c r="G1962" s="3" t="inlineStr">
        <is>
          <t>Instalaciones</t>
        </is>
      </c>
      <c r="H1962" s="3" t="inlineStr">
        <is>
          <t>estandar</t>
        </is>
      </c>
      <c r="I1962" s="3" t="inlineStr">
        <is>
          <t>importado</t>
        </is>
      </c>
      <c r="J1962" s="5" t="n">
        <v>2</v>
      </c>
      <c r="K1962" s="6" t="n">
        <v>227.32</v>
      </c>
      <c r="L1962" s="6" t="n">
        <v>139</v>
      </c>
      <c r="M1962" s="6" t="n">
        <v>429</v>
      </c>
      <c r="N1962" s="3" t="inlineStr">
        <is>
          <t>Sí</t>
        </is>
      </c>
      <c r="O1962" s="6">
        <f>IF(K1962="","",IF(N1962="Sí",ROUND(K1962/1.18,2),K1962))</f>
        <v/>
      </c>
      <c r="P1962" s="3" t="inlineStr">
        <is>
          <t>2026-09-10</t>
        </is>
      </c>
      <c r="Q1962" s="4" t="inlineStr">
        <is>
          <t>Bellón · Ferretería Cima</t>
        </is>
      </c>
      <c r="AF1962" s="4" t="inlineStr">
        <is>
          <t>tipo: tee · material: PVC drenaje · medida: 4"</t>
        </is>
      </c>
    </row>
    <row r="1963">
      <c r="A1963" s="3" t="inlineStr">
        <is>
          <t>MAT-32-610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PVC drenaje 4" x 2"</t>
        </is>
      </c>
      <c r="E1963" s="4" t="inlineStr"/>
      <c r="F1963" s="3" t="inlineStr">
        <is>
          <t>unidad</t>
        </is>
      </c>
      <c r="G1963" s="3" t="inlineStr">
        <is>
          <t>Instalaciones</t>
        </is>
      </c>
      <c r="H1963" s="3" t="inlineStr">
        <is>
          <t>estandar</t>
        </is>
      </c>
      <c r="I1963" s="3" t="inlineStr">
        <is>
          <t>importado</t>
        </is>
      </c>
      <c r="J1963" s="5" t="n">
        <v>1</v>
      </c>
      <c r="K1963" s="6" t="n">
        <v>100.25</v>
      </c>
      <c r="L1963" s="6" t="n">
        <v>88.56</v>
      </c>
      <c r="M1963" s="6" t="n">
        <v>111.93</v>
      </c>
      <c r="N1963" s="3" t="inlineStr">
        <is>
          <t>Sí</t>
        </is>
      </c>
      <c r="O1963" s="6">
        <f>IF(K1963="","",IF(N1963="Sí",ROUND(K1963/1.18,2),K1963))</f>
        <v/>
      </c>
      <c r="P1963" s="3" t="inlineStr">
        <is>
          <t>2026-09-10</t>
        </is>
      </c>
      <c r="Q1963" s="4" t="inlineStr">
        <is>
          <t>Bellón</t>
        </is>
      </c>
      <c r="AF1963" s="4" t="inlineStr">
        <is>
          <t>tipo: tee · material: PVC drenaje · medida: 4" x 2"</t>
        </is>
      </c>
    </row>
    <row r="1964">
      <c r="A1964" s="3" t="inlineStr">
        <is>
          <t>MAT-32-611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PVC drenaje 4" x 3"</t>
        </is>
      </c>
      <c r="E1964" s="4" t="inlineStr"/>
      <c r="F1964" s="3" t="inlineStr">
        <is>
          <t>unidad</t>
        </is>
      </c>
      <c r="G1964" s="3" t="inlineStr">
        <is>
          <t>Instalaciones</t>
        </is>
      </c>
      <c r="H1964" s="3" t="inlineStr">
        <is>
          <t>estandar</t>
        </is>
      </c>
      <c r="I1964" s="3" t="inlineStr">
        <is>
          <t>importado</t>
        </is>
      </c>
      <c r="J1964" s="5" t="n">
        <v>1</v>
      </c>
      <c r="K1964" s="6" t="n">
        <v>153.77</v>
      </c>
      <c r="L1964" s="6" t="n">
        <v>153.77</v>
      </c>
      <c r="M1964" s="6" t="n">
        <v>153.77</v>
      </c>
      <c r="N1964" s="3" t="inlineStr">
        <is>
          <t>Sí</t>
        </is>
      </c>
      <c r="O1964" s="6">
        <f>IF(K1964="","",IF(N1964="Sí",ROUND(K1964/1.18,2),K1964))</f>
        <v/>
      </c>
      <c r="P1964" s="3" t="inlineStr">
        <is>
          <t>2026-09-10</t>
        </is>
      </c>
      <c r="Q1964" s="4" t="inlineStr">
        <is>
          <t>Bellón</t>
        </is>
      </c>
      <c r="AF1964" s="4" t="inlineStr">
        <is>
          <t>tipo: tee · material: PVC drenaje · medida: 4" x 3"</t>
        </is>
      </c>
    </row>
    <row r="1965">
      <c r="A1965" s="3" t="inlineStr">
        <is>
          <t>MAT-32-612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PVC drenaje 6"</t>
        </is>
      </c>
      <c r="E1965" s="4" t="inlineStr"/>
      <c r="F1965" s="3" t="inlineStr">
        <is>
          <t>unidad</t>
        </is>
      </c>
      <c r="G1965" s="3" t="inlineStr">
        <is>
          <t>Instalaciones</t>
        </is>
      </c>
      <c r="H1965" s="3" t="inlineStr">
        <is>
          <t>estandar</t>
        </is>
      </c>
      <c r="I1965" s="3" t="inlineStr">
        <is>
          <t>importado</t>
        </is>
      </c>
      <c r="J1965" s="5" t="n">
        <v>1</v>
      </c>
      <c r="K1965" s="6" t="n">
        <v>458</v>
      </c>
      <c r="L1965" s="6" t="n">
        <v>291</v>
      </c>
      <c r="M1965" s="6" t="n">
        <v>625</v>
      </c>
      <c r="N1965" s="3" t="inlineStr">
        <is>
          <t>Sí</t>
        </is>
      </c>
      <c r="O1965" s="6">
        <f>IF(K1965="","",IF(N1965="Sí",ROUND(K1965/1.18,2),K1965))</f>
        <v/>
      </c>
      <c r="P1965" s="3" t="inlineStr">
        <is>
          <t>2026-09-10</t>
        </is>
      </c>
      <c r="Q1965" s="4" t="inlineStr">
        <is>
          <t>Bellón</t>
        </is>
      </c>
      <c r="AF1965" s="4" t="inlineStr">
        <is>
          <t>tipo: tee · material: PVC drenaje · medida: 6"</t>
        </is>
      </c>
    </row>
    <row r="1966">
      <c r="A1966" s="3" t="inlineStr">
        <is>
          <t>MAT-32-613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PVC 1 1/2"</t>
        </is>
      </c>
      <c r="E1966" s="4" t="inlineStr"/>
      <c r="F1966" s="3" t="inlineStr">
        <is>
          <t>unidad</t>
        </is>
      </c>
      <c r="G1966" s="3" t="inlineStr">
        <is>
          <t>Instalaciones</t>
        </is>
      </c>
      <c r="H1966" s="3" t="inlineStr">
        <is>
          <t>estandar</t>
        </is>
      </c>
      <c r="I1966" s="3" t="inlineStr">
        <is>
          <t>importado</t>
        </is>
      </c>
      <c r="J1966" s="5" t="n">
        <v>1</v>
      </c>
      <c r="K1966" s="6" t="n">
        <v>100</v>
      </c>
      <c r="L1966" s="6" t="n">
        <v>92</v>
      </c>
      <c r="M1966" s="6" t="n">
        <v>108</v>
      </c>
      <c r="N1966" s="3" t="inlineStr">
        <is>
          <t>Sí</t>
        </is>
      </c>
      <c r="O1966" s="6">
        <f>IF(K1966="","",IF(N1966="Sí",ROUND(K1966/1.18,2),K1966))</f>
        <v/>
      </c>
      <c r="P1966" s="3" t="inlineStr">
        <is>
          <t>2026-09-10</t>
        </is>
      </c>
      <c r="Q1966" s="4" t="inlineStr">
        <is>
          <t>Bellón</t>
        </is>
      </c>
      <c r="AF1966" s="4" t="inlineStr">
        <is>
          <t>tipo: tee · material: PVC · medida: 1 1/2"</t>
        </is>
      </c>
    </row>
    <row r="1967">
      <c r="A1967" s="3" t="inlineStr">
        <is>
          <t>MAT-32-614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PVC 1"</t>
        </is>
      </c>
      <c r="E1967" s="4" t="inlineStr"/>
      <c r="F1967" s="3" t="inlineStr">
        <is>
          <t>unidad</t>
        </is>
      </c>
      <c r="G1967" s="3" t="inlineStr">
        <is>
          <t>Instalaciones</t>
        </is>
      </c>
      <c r="H1967" s="3" t="inlineStr">
        <is>
          <t>estandar</t>
        </is>
      </c>
      <c r="I1967" s="3" t="inlineStr">
        <is>
          <t>importado</t>
        </is>
      </c>
      <c r="J1967" s="5" t="n">
        <v>1</v>
      </c>
      <c r="K1967" s="6" t="n">
        <v>48</v>
      </c>
      <c r="L1967" s="6" t="n">
        <v>48</v>
      </c>
      <c r="M1967" s="6" t="n">
        <v>48</v>
      </c>
      <c r="N1967" s="3" t="inlineStr">
        <is>
          <t>Sí</t>
        </is>
      </c>
      <c r="O1967" s="6">
        <f>IF(K1967="","",IF(N1967="Sí",ROUND(K1967/1.18,2),K1967))</f>
        <v/>
      </c>
      <c r="P1967" s="3" t="inlineStr">
        <is>
          <t>2026-09-10</t>
        </is>
      </c>
      <c r="Q1967" s="4" t="inlineStr">
        <is>
          <t>Bellón</t>
        </is>
      </c>
      <c r="AF1967" s="4" t="inlineStr">
        <is>
          <t>tipo: tee · material: PVC · medida: 1"</t>
        </is>
      </c>
    </row>
    <row r="1968">
      <c r="A1968" s="3" t="inlineStr">
        <is>
          <t>MAT-32-615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PVC 1" x 3/4"</t>
        </is>
      </c>
      <c r="E1968" s="4" t="inlineStr"/>
      <c r="F1968" s="3" t="inlineStr">
        <is>
          <t>unidad</t>
        </is>
      </c>
      <c r="G1968" s="3" t="inlineStr">
        <is>
          <t>Instalaciones</t>
        </is>
      </c>
      <c r="H1968" s="3" t="inlineStr">
        <is>
          <t>estandar</t>
        </is>
      </c>
      <c r="I1968" s="3" t="inlineStr">
        <is>
          <t>importado</t>
        </is>
      </c>
      <c r="J1968" s="5" t="n">
        <v>1</v>
      </c>
      <c r="K1968" s="6" t="n">
        <v>37.36</v>
      </c>
      <c r="L1968" s="6" t="n">
        <v>37.36</v>
      </c>
      <c r="M1968" s="6" t="n">
        <v>37.36</v>
      </c>
      <c r="N1968" s="3" t="inlineStr">
        <is>
          <t>Sí</t>
        </is>
      </c>
      <c r="O1968" s="6">
        <f>IF(K1968="","",IF(N1968="Sí",ROUND(K1968/1.18,2),K1968))</f>
        <v/>
      </c>
      <c r="P1968" s="3" t="inlineStr">
        <is>
          <t>2026-09-10</t>
        </is>
      </c>
      <c r="Q1968" s="4" t="inlineStr">
        <is>
          <t>Bellón</t>
        </is>
      </c>
      <c r="AF1968" s="4" t="inlineStr">
        <is>
          <t>tipo: tee · material: PVC · medida: 1" x 3/4"</t>
        </is>
      </c>
    </row>
    <row r="1969">
      <c r="A1969" s="3" t="inlineStr">
        <is>
          <t>MAT-32-616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PVC 2"</t>
        </is>
      </c>
      <c r="E1969" s="4" t="inlineStr"/>
      <c r="F1969" s="3" t="inlineStr">
        <is>
          <t>unidad</t>
        </is>
      </c>
      <c r="G1969" s="3" t="inlineStr">
        <is>
          <t>Instalaciones</t>
        </is>
      </c>
      <c r="H1969" s="3" t="inlineStr">
        <is>
          <t>estandar</t>
        </is>
      </c>
      <c r="I1969" s="3" t="inlineStr">
        <is>
          <t>importado</t>
        </is>
      </c>
      <c r="J1969" s="5" t="n">
        <v>1</v>
      </c>
      <c r="K1969" s="6" t="n">
        <v>165</v>
      </c>
      <c r="L1969" s="6" t="n">
        <v>165</v>
      </c>
      <c r="M1969" s="6" t="n">
        <v>165</v>
      </c>
      <c r="N1969" s="3" t="inlineStr">
        <is>
          <t>Sí</t>
        </is>
      </c>
      <c r="O1969" s="6">
        <f>IF(K1969="","",IF(N1969="Sí",ROUND(K1969/1.18,2),K1969))</f>
        <v/>
      </c>
      <c r="P1969" s="3" t="inlineStr">
        <is>
          <t>2026-09-10</t>
        </is>
      </c>
      <c r="Q1969" s="4" t="inlineStr">
        <is>
          <t>Bellón</t>
        </is>
      </c>
      <c r="AF1969" s="4" t="inlineStr">
        <is>
          <t>tipo: tee · material: PVC · medida: 2"</t>
        </is>
      </c>
    </row>
    <row r="1970">
      <c r="A1970" s="3" t="inlineStr">
        <is>
          <t>MAT-32-617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PVC 3/4"</t>
        </is>
      </c>
      <c r="E1970" s="4" t="inlineStr"/>
      <c r="F1970" s="3" t="inlineStr">
        <is>
          <t>unidad</t>
        </is>
      </c>
      <c r="G1970" s="3" t="inlineStr">
        <is>
          <t>Instalaciones</t>
        </is>
      </c>
      <c r="H1970" s="3" t="inlineStr">
        <is>
          <t>estandar</t>
        </is>
      </c>
      <c r="I1970" s="3" t="inlineStr">
        <is>
          <t>importado</t>
        </is>
      </c>
      <c r="J1970" s="5" t="n">
        <v>1</v>
      </c>
      <c r="K1970" s="6" t="n">
        <v>46.68</v>
      </c>
      <c r="L1970" s="6" t="n">
        <v>33.35</v>
      </c>
      <c r="M1970" s="6" t="n">
        <v>60</v>
      </c>
      <c r="N1970" s="3" t="inlineStr">
        <is>
          <t>Sí</t>
        </is>
      </c>
      <c r="O1970" s="6">
        <f>IF(K1970="","",IF(N1970="Sí",ROUND(K1970/1.18,2),K1970))</f>
        <v/>
      </c>
      <c r="P1970" s="3" t="inlineStr">
        <is>
          <t>2026-09-10</t>
        </is>
      </c>
      <c r="Q1970" s="4" t="inlineStr">
        <is>
          <t>Bellón</t>
        </is>
      </c>
      <c r="AF1970" s="4" t="inlineStr">
        <is>
          <t>tipo: tee · material: PVC · medida: 3/4"</t>
        </is>
      </c>
    </row>
    <row r="1971">
      <c r="A1971" s="3" t="inlineStr">
        <is>
          <t>MAT-32-618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PVC 3"</t>
        </is>
      </c>
      <c r="E1971" s="4" t="inlineStr"/>
      <c r="F1971" s="3" t="inlineStr">
        <is>
          <t>unidad</t>
        </is>
      </c>
      <c r="G1971" s="3" t="inlineStr">
        <is>
          <t>Instalaciones</t>
        </is>
      </c>
      <c r="H1971" s="3" t="inlineStr">
        <is>
          <t>estandar</t>
        </is>
      </c>
      <c r="I1971" s="3" t="inlineStr">
        <is>
          <t>importado</t>
        </is>
      </c>
      <c r="J1971" s="5" t="n">
        <v>1</v>
      </c>
      <c r="K1971" s="6" t="n">
        <v>502</v>
      </c>
      <c r="L1971" s="6" t="n">
        <v>502</v>
      </c>
      <c r="M1971" s="6" t="n">
        <v>502</v>
      </c>
      <c r="N1971" s="3" t="inlineStr">
        <is>
          <t>Sí</t>
        </is>
      </c>
      <c r="O1971" s="6">
        <f>IF(K1971="","",IF(N1971="Sí",ROUND(K1971/1.18,2),K1971))</f>
        <v/>
      </c>
      <c r="P1971" s="3" t="inlineStr">
        <is>
          <t>2026-09-10</t>
        </is>
      </c>
      <c r="Q1971" s="4" t="inlineStr">
        <is>
          <t>Bellón</t>
        </is>
      </c>
      <c r="AF1971" s="4" t="inlineStr">
        <is>
          <t>tipo: tee · material: PVC · medida: 3"</t>
        </is>
      </c>
    </row>
    <row r="1972">
      <c r="A1972" s="3" t="inlineStr">
        <is>
          <t>MAT-32-619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PVC presión 1 1/2"</t>
        </is>
      </c>
      <c r="E1972" s="4" t="inlineStr"/>
      <c r="F1972" s="3" t="inlineStr">
        <is>
          <t>unidad</t>
        </is>
      </c>
      <c r="G1972" s="3" t="inlineStr">
        <is>
          <t>Instalaciones</t>
        </is>
      </c>
      <c r="H1972" s="3" t="inlineStr">
        <is>
          <t>estandar</t>
        </is>
      </c>
      <c r="I1972" s="3" t="inlineStr">
        <is>
          <t>importado</t>
        </is>
      </c>
      <c r="J1972" s="5" t="n">
        <v>2</v>
      </c>
      <c r="K1972" s="6" t="n">
        <v>54.48</v>
      </c>
      <c r="L1972" s="6" t="n">
        <v>45.97</v>
      </c>
      <c r="M1972" s="6" t="n">
        <v>135</v>
      </c>
      <c r="N1972" s="3" t="inlineStr">
        <is>
          <t>Sí</t>
        </is>
      </c>
      <c r="O1972" s="6">
        <f>IF(K1972="","",IF(N1972="Sí",ROUND(K1972/1.18,2),K1972))</f>
        <v/>
      </c>
      <c r="P1972" s="3" t="inlineStr">
        <is>
          <t>2026-09-10</t>
        </is>
      </c>
      <c r="Q1972" s="4" t="inlineStr">
        <is>
          <t>Bellón · Ferretería Cima</t>
        </is>
      </c>
      <c r="AF1972" s="4" t="inlineStr">
        <is>
          <t>tipo: tee · material: PVC presión · medida: 1 1/2"</t>
        </is>
      </c>
    </row>
    <row r="1973">
      <c r="A1973" s="3" t="inlineStr">
        <is>
          <t>MAT-32-620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PVC presión 1/2"</t>
        </is>
      </c>
      <c r="E1973" s="4" t="inlineStr"/>
      <c r="F1973" s="3" t="inlineStr">
        <is>
          <t>unidad</t>
        </is>
      </c>
      <c r="G1973" s="3" t="inlineStr">
        <is>
          <t>Instalaciones</t>
        </is>
      </c>
      <c r="H1973" s="3" t="inlineStr">
        <is>
          <t>estandar</t>
        </is>
      </c>
      <c r="I1973" s="3" t="inlineStr">
        <is>
          <t>importado</t>
        </is>
      </c>
      <c r="J1973" s="5" t="n">
        <v>2</v>
      </c>
      <c r="K1973" s="6" t="n">
        <v>13.68</v>
      </c>
      <c r="L1973" s="6" t="n">
        <v>8.140000000000001</v>
      </c>
      <c r="M1973" s="6" t="n">
        <v>28</v>
      </c>
      <c r="N1973" s="3" t="inlineStr">
        <is>
          <t>Sí</t>
        </is>
      </c>
      <c r="O1973" s="6">
        <f>IF(K1973="","",IF(N1973="Sí",ROUND(K1973/1.18,2),K1973))</f>
        <v/>
      </c>
      <c r="P1973" s="3" t="inlineStr">
        <is>
          <t>2026-09-10</t>
        </is>
      </c>
      <c r="Q1973" s="4" t="inlineStr">
        <is>
          <t>Bellón · Ferretería Cima</t>
        </is>
      </c>
      <c r="AF1973" s="4" t="inlineStr">
        <is>
          <t>tipo: tee · material: PVC presión · medida: 1/2"</t>
        </is>
      </c>
    </row>
    <row r="1974">
      <c r="A1974" s="3" t="inlineStr">
        <is>
          <t>MAT-32-621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PVC presión 1"</t>
        </is>
      </c>
      <c r="E1974" s="4" t="inlineStr"/>
      <c r="F1974" s="3" t="inlineStr">
        <is>
          <t>unidad</t>
        </is>
      </c>
      <c r="G1974" s="3" t="inlineStr">
        <is>
          <t>Instalaciones</t>
        </is>
      </c>
      <c r="H1974" s="3" t="inlineStr">
        <is>
          <t>estandar</t>
        </is>
      </c>
      <c r="I1974" s="3" t="inlineStr">
        <is>
          <t>importado</t>
        </is>
      </c>
      <c r="J1974" s="5" t="n">
        <v>2</v>
      </c>
      <c r="K1974" s="6" t="n">
        <v>27.06</v>
      </c>
      <c r="L1974" s="6" t="n">
        <v>16</v>
      </c>
      <c r="M1974" s="6" t="n">
        <v>56</v>
      </c>
      <c r="N1974" s="3" t="inlineStr">
        <is>
          <t>Sí</t>
        </is>
      </c>
      <c r="O1974" s="6">
        <f>IF(K1974="","",IF(N1974="Sí",ROUND(K1974/1.18,2),K1974))</f>
        <v/>
      </c>
      <c r="P1974" s="3" t="inlineStr">
        <is>
          <t>2026-09-10</t>
        </is>
      </c>
      <c r="Q1974" s="4" t="inlineStr">
        <is>
          <t>Bellón · Ferretería Cima</t>
        </is>
      </c>
      <c r="AF1974" s="4" t="inlineStr">
        <is>
          <t>tipo: tee · material: PVC presión · medida: 1"</t>
        </is>
      </c>
    </row>
    <row r="1975">
      <c r="A1975" s="3" t="inlineStr">
        <is>
          <t>MAT-32-622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PVC presión 2"</t>
        </is>
      </c>
      <c r="E1975" s="4" t="inlineStr"/>
      <c r="F1975" s="3" t="inlineStr">
        <is>
          <t>unidad</t>
        </is>
      </c>
      <c r="G1975" s="3" t="inlineStr">
        <is>
          <t>Instalaciones</t>
        </is>
      </c>
      <c r="H1975" s="3" t="inlineStr">
        <is>
          <t>estandar</t>
        </is>
      </c>
      <c r="I1975" s="3" t="inlineStr">
        <is>
          <t>importado</t>
        </is>
      </c>
      <c r="J1975" s="5" t="n">
        <v>2</v>
      </c>
      <c r="K1975" s="6" t="n">
        <v>82.48999999999999</v>
      </c>
      <c r="L1975" s="6" t="n">
        <v>45.98</v>
      </c>
      <c r="M1975" s="6" t="n">
        <v>195</v>
      </c>
      <c r="N1975" s="3" t="inlineStr">
        <is>
          <t>Sí</t>
        </is>
      </c>
      <c r="O1975" s="6">
        <f>IF(K1975="","",IF(N1975="Sí",ROUND(K1975/1.18,2),K1975))</f>
        <v/>
      </c>
      <c r="P1975" s="3" t="inlineStr">
        <is>
          <t>2026-09-10</t>
        </is>
      </c>
      <c r="Q1975" s="4" t="inlineStr">
        <is>
          <t>Bellón · Ferretería Cima</t>
        </is>
      </c>
      <c r="AF1975" s="4" t="inlineStr">
        <is>
          <t>tipo: tee · material: PVC presión · medida: 2"</t>
        </is>
      </c>
    </row>
    <row r="1976">
      <c r="A1976" s="3" t="inlineStr">
        <is>
          <t>MAT-32-623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PVC presión 3/4"</t>
        </is>
      </c>
      <c r="E1976" s="4" t="inlineStr"/>
      <c r="F1976" s="3" t="inlineStr">
        <is>
          <t>unidad</t>
        </is>
      </c>
      <c r="G1976" s="3" t="inlineStr">
        <is>
          <t>Instalaciones</t>
        </is>
      </c>
      <c r="H1976" s="3" t="inlineStr">
        <is>
          <t>estandar</t>
        </is>
      </c>
      <c r="I1976" s="3" t="inlineStr">
        <is>
          <t>importado</t>
        </is>
      </c>
      <c r="J1976" s="5" t="n">
        <v>2</v>
      </c>
      <c r="K1976" s="6" t="n">
        <v>17.7</v>
      </c>
      <c r="L1976" s="6" t="n">
        <v>8.83</v>
      </c>
      <c r="M1976" s="6" t="n">
        <v>35</v>
      </c>
      <c r="N1976" s="3" t="inlineStr">
        <is>
          <t>Sí</t>
        </is>
      </c>
      <c r="O1976" s="6">
        <f>IF(K1976="","",IF(N1976="Sí",ROUND(K1976/1.18,2),K1976))</f>
        <v/>
      </c>
      <c r="P1976" s="3" t="inlineStr">
        <is>
          <t>2026-09-10</t>
        </is>
      </c>
      <c r="Q1976" s="4" t="inlineStr">
        <is>
          <t>Bellón · Ferretería Cima</t>
        </is>
      </c>
      <c r="AF1976" s="4" t="inlineStr">
        <is>
          <t>tipo: tee · material: PVC presión · medida: 3/4"</t>
        </is>
      </c>
    </row>
    <row r="1977">
      <c r="A1977" s="3" t="inlineStr">
        <is>
          <t>MAT-32-624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PVC presión 3"</t>
        </is>
      </c>
      <c r="E1977" s="4" t="inlineStr"/>
      <c r="F1977" s="3" t="inlineStr">
        <is>
          <t>unidad</t>
        </is>
      </c>
      <c r="G1977" s="3" t="inlineStr">
        <is>
          <t>Instalaciones</t>
        </is>
      </c>
      <c r="H1977" s="3" t="inlineStr">
        <is>
          <t>estandar</t>
        </is>
      </c>
      <c r="I1977" s="3" t="inlineStr">
        <is>
          <t>importado</t>
        </is>
      </c>
      <c r="J1977" s="5" t="n">
        <v>2</v>
      </c>
      <c r="K1977" s="6" t="n">
        <v>235.03</v>
      </c>
      <c r="L1977" s="6" t="n">
        <v>169</v>
      </c>
      <c r="M1977" s="6" t="n">
        <v>453</v>
      </c>
      <c r="N1977" s="3" t="inlineStr">
        <is>
          <t>Sí</t>
        </is>
      </c>
      <c r="O1977" s="6">
        <f>IF(K1977="","",IF(N1977="Sí",ROUND(K1977/1.18,2),K1977))</f>
        <v/>
      </c>
      <c r="P1977" s="3" t="inlineStr">
        <is>
          <t>2026-09-10</t>
        </is>
      </c>
      <c r="Q1977" s="4" t="inlineStr">
        <is>
          <t>Bellón · Ferretería Cima</t>
        </is>
      </c>
      <c r="AF1977" s="4" t="inlineStr">
        <is>
          <t>tipo: tee · material: PVC presión · medida: 3"</t>
        </is>
      </c>
    </row>
    <row r="1978">
      <c r="A1978" s="3" t="inlineStr">
        <is>
          <t>MAT-32-625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PVC presión 4"</t>
        </is>
      </c>
      <c r="E1978" s="4" t="inlineStr"/>
      <c r="F1978" s="3" t="inlineStr">
        <is>
          <t>unidad</t>
        </is>
      </c>
      <c r="G1978" s="3" t="inlineStr">
        <is>
          <t>Instalaciones</t>
        </is>
      </c>
      <c r="H1978" s="3" t="inlineStr">
        <is>
          <t>estandar</t>
        </is>
      </c>
      <c r="I1978" s="3" t="inlineStr">
        <is>
          <t>importado</t>
        </is>
      </c>
      <c r="J1978" s="5" t="n">
        <v>1</v>
      </c>
      <c r="K1978" s="6" t="n">
        <v>336.44</v>
      </c>
      <c r="L1978" s="6" t="n">
        <v>278</v>
      </c>
      <c r="M1978" s="6" t="n">
        <v>394.88</v>
      </c>
      <c r="N1978" s="3" t="inlineStr">
        <is>
          <t>Sí</t>
        </is>
      </c>
      <c r="O1978" s="6">
        <f>IF(K1978="","",IF(N1978="Sí",ROUND(K1978/1.18,2),K1978))</f>
        <v/>
      </c>
      <c r="P1978" s="3" t="inlineStr">
        <is>
          <t>2026-09-10</t>
        </is>
      </c>
      <c r="Q1978" s="4" t="inlineStr">
        <is>
          <t>Bellón</t>
        </is>
      </c>
      <c r="AF1978" s="4" t="inlineStr">
        <is>
          <t>tipo: tee · material: PVC presión · medida: 4"</t>
        </is>
      </c>
    </row>
    <row r="1979">
      <c r="A1979" s="3" t="inlineStr">
        <is>
          <t>MAT-32-626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PVC presión 4" x 3"</t>
        </is>
      </c>
      <c r="E1979" s="4" t="inlineStr"/>
      <c r="F1979" s="3" t="inlineStr">
        <is>
          <t>unidad</t>
        </is>
      </c>
      <c r="G1979" s="3" t="inlineStr">
        <is>
          <t>Instalaciones</t>
        </is>
      </c>
      <c r="H1979" s="3" t="inlineStr">
        <is>
          <t>estandar</t>
        </is>
      </c>
      <c r="I1979" s="3" t="inlineStr">
        <is>
          <t>importado</t>
        </is>
      </c>
      <c r="J1979" s="5" t="n">
        <v>1</v>
      </c>
      <c r="K1979" s="6" t="n">
        <v>687.34</v>
      </c>
      <c r="L1979" s="6" t="n">
        <v>687.34</v>
      </c>
      <c r="M1979" s="6" t="n">
        <v>687.34</v>
      </c>
      <c r="N1979" s="3" t="inlineStr">
        <is>
          <t>Sí</t>
        </is>
      </c>
      <c r="O1979" s="6">
        <f>IF(K1979="","",IF(N1979="Sí",ROUND(K1979/1.18,2),K1979))</f>
        <v/>
      </c>
      <c r="P1979" s="3" t="inlineStr">
        <is>
          <t>2026-09-10</t>
        </is>
      </c>
      <c r="Q1979" s="4" t="inlineStr">
        <is>
          <t>Bellón</t>
        </is>
      </c>
      <c r="AF1979" s="4" t="inlineStr">
        <is>
          <t>tipo: tee · material: PVC presión · medida: 4" x 3"</t>
        </is>
      </c>
    </row>
    <row r="1980">
      <c r="A1980" s="3" t="inlineStr">
        <is>
          <t>MAT-32-627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PVC presión 6"</t>
        </is>
      </c>
      <c r="E1980" s="4" t="inlineStr"/>
      <c r="F1980" s="3" t="inlineStr">
        <is>
          <t>unidad</t>
        </is>
      </c>
      <c r="G1980" s="3" t="inlineStr">
        <is>
          <t>Instalaciones</t>
        </is>
      </c>
      <c r="H1980" s="3" t="inlineStr">
        <is>
          <t>estandar</t>
        </is>
      </c>
      <c r="I1980" s="3" t="inlineStr">
        <is>
          <t>importado</t>
        </is>
      </c>
      <c r="J1980" s="5" t="n">
        <v>1</v>
      </c>
      <c r="K1980" s="6" t="n">
        <v>1002.5</v>
      </c>
      <c r="L1980" s="6" t="n">
        <v>915</v>
      </c>
      <c r="M1980" s="6" t="n">
        <v>1090</v>
      </c>
      <c r="N1980" s="3" t="inlineStr">
        <is>
          <t>Sí</t>
        </is>
      </c>
      <c r="O1980" s="6">
        <f>IF(K1980="","",IF(N1980="Sí",ROUND(K1980/1.18,2),K1980))</f>
        <v/>
      </c>
      <c r="P1980" s="3" t="inlineStr">
        <is>
          <t>2026-09-10</t>
        </is>
      </c>
      <c r="Q1980" s="4" t="inlineStr">
        <is>
          <t>Bellón</t>
        </is>
      </c>
      <c r="AF1980" s="4" t="inlineStr">
        <is>
          <t>tipo: tee · material: PVC presión · medida: 6"</t>
        </is>
      </c>
    </row>
    <row r="1981">
      <c r="A1981" s="3" t="inlineStr">
        <is>
          <t>MAT-32-628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PVC presión 8"</t>
        </is>
      </c>
      <c r="E1981" s="4" t="inlineStr"/>
      <c r="F1981" s="3" t="inlineStr">
        <is>
          <t>unidad</t>
        </is>
      </c>
      <c r="G1981" s="3" t="inlineStr">
        <is>
          <t>Instalaciones</t>
        </is>
      </c>
      <c r="H1981" s="3" t="inlineStr">
        <is>
          <t>estandar</t>
        </is>
      </c>
      <c r="I1981" s="3" t="inlineStr">
        <is>
          <t>importado</t>
        </is>
      </c>
      <c r="J1981" s="5" t="n">
        <v>1</v>
      </c>
      <c r="K1981" s="6" t="n">
        <v>8379</v>
      </c>
      <c r="L1981" s="6" t="n">
        <v>8379</v>
      </c>
      <c r="M1981" s="6" t="n">
        <v>8379</v>
      </c>
      <c r="N1981" s="3" t="inlineStr">
        <is>
          <t>Sí</t>
        </is>
      </c>
      <c r="O1981" s="6">
        <f>IF(K1981="","",IF(N1981="Sí",ROUND(K1981/1.18,2),K1981))</f>
        <v/>
      </c>
      <c r="P1981" s="3" t="inlineStr">
        <is>
          <t>2026-09-10</t>
        </is>
      </c>
      <c r="Q1981" s="4" t="inlineStr">
        <is>
          <t>Bellón</t>
        </is>
      </c>
      <c r="AF1981" s="4" t="inlineStr">
        <is>
          <t>tipo: tee · material: PVC presión · medida: 8"</t>
        </is>
      </c>
    </row>
    <row r="1982">
      <c r="A1982" s="3" t="inlineStr">
        <is>
          <t>MAT-32-629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reducida de PPR 25 mm</t>
        </is>
      </c>
      <c r="E1982" s="4" t="inlineStr"/>
      <c r="F1982" s="3" t="inlineStr">
        <is>
          <t>unidad</t>
        </is>
      </c>
      <c r="G1982" s="3" t="inlineStr">
        <is>
          <t>Instalaciones</t>
        </is>
      </c>
      <c r="H1982" s="3" t="inlineStr">
        <is>
          <t>estandar</t>
        </is>
      </c>
      <c r="I1982" s="3" t="inlineStr">
        <is>
          <t>importado</t>
        </is>
      </c>
      <c r="J1982" s="5" t="n">
        <v>1</v>
      </c>
      <c r="K1982" s="6" t="n">
        <v>45</v>
      </c>
      <c r="L1982" s="6" t="n">
        <v>45</v>
      </c>
      <c r="M1982" s="6" t="n">
        <v>45</v>
      </c>
      <c r="N1982" s="3" t="inlineStr">
        <is>
          <t>Sí</t>
        </is>
      </c>
      <c r="O1982" s="6">
        <f>IF(K1982="","",IF(N1982="Sí",ROUND(K1982/1.18,2),K1982))</f>
        <v/>
      </c>
      <c r="P1982" s="3" t="inlineStr">
        <is>
          <t>2026-09-09</t>
        </is>
      </c>
      <c r="Q1982" s="4" t="inlineStr">
        <is>
          <t>Ferretería Cima</t>
        </is>
      </c>
      <c r="AF1982" s="4" t="inlineStr">
        <is>
          <t>tipo: tee-reducida · material: PPR · medida: 25 mm</t>
        </is>
      </c>
    </row>
    <row r="1983">
      <c r="A1983" s="3" t="inlineStr">
        <is>
          <t>MAT-32-630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reducida de PVC 1" x 3/4"</t>
        </is>
      </c>
      <c r="E1983" s="4" t="inlineStr"/>
      <c r="F1983" s="3" t="inlineStr">
        <is>
          <t>unidad</t>
        </is>
      </c>
      <c r="G1983" s="3" t="inlineStr">
        <is>
          <t>Instalaciones</t>
        </is>
      </c>
      <c r="H1983" s="3" t="inlineStr">
        <is>
          <t>estandar</t>
        </is>
      </c>
      <c r="I1983" s="3" t="inlineStr">
        <is>
          <t>importado</t>
        </is>
      </c>
      <c r="J1983" s="5" t="n">
        <v>1</v>
      </c>
      <c r="K1983" s="6" t="n">
        <v>144</v>
      </c>
      <c r="L1983" s="6" t="n">
        <v>144</v>
      </c>
      <c r="M1983" s="6" t="n">
        <v>144</v>
      </c>
      <c r="N1983" s="3" t="inlineStr">
        <is>
          <t>Sí</t>
        </is>
      </c>
      <c r="O1983" s="6">
        <f>IF(K1983="","",IF(N1983="Sí",ROUND(K1983/1.18,2),K1983))</f>
        <v/>
      </c>
      <c r="P1983" s="3" t="inlineStr">
        <is>
          <t>2026-09-09</t>
        </is>
      </c>
      <c r="Q1983" s="4" t="inlineStr">
        <is>
          <t>Ferretería Cima</t>
        </is>
      </c>
      <c r="AF1983" s="4" t="inlineStr">
        <is>
          <t>tipo: tee-reducida · material: PVC · medida: 1" x 3/4"</t>
        </is>
      </c>
    </row>
    <row r="1984">
      <c r="A1984" s="3" t="inlineStr">
        <is>
          <t>MAT-32-631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Terminal de bronce 1/2"</t>
        </is>
      </c>
      <c r="E1984" s="4" t="inlineStr"/>
      <c r="F1984" s="3" t="inlineStr">
        <is>
          <t>unidad</t>
        </is>
      </c>
      <c r="G1984" s="3" t="inlineStr">
        <is>
          <t>Instalaciones</t>
        </is>
      </c>
      <c r="H1984" s="3" t="inlineStr">
        <is>
          <t>estandar</t>
        </is>
      </c>
      <c r="I1984" s="3" t="inlineStr">
        <is>
          <t>importado</t>
        </is>
      </c>
      <c r="J1984" s="5" t="n">
        <v>1</v>
      </c>
      <c r="K1984" s="6" t="n">
        <v>235</v>
      </c>
      <c r="L1984" s="6" t="n">
        <v>235</v>
      </c>
      <c r="M1984" s="6" t="n">
        <v>235</v>
      </c>
      <c r="N1984" s="3" t="inlineStr">
        <is>
          <t>Sí</t>
        </is>
      </c>
      <c r="O1984" s="6">
        <f>IF(K1984="","",IF(N1984="Sí",ROUND(K1984/1.18,2),K1984))</f>
        <v/>
      </c>
      <c r="P1984" s="3" t="inlineStr">
        <is>
          <t>2026-09-09</t>
        </is>
      </c>
      <c r="Q1984" s="4" t="inlineStr">
        <is>
          <t>Ferretería Cima</t>
        </is>
      </c>
      <c r="AF1984" s="4" t="inlineStr">
        <is>
          <t>tipo: terminal · material: bronce · medida: 1/2"</t>
        </is>
      </c>
    </row>
    <row r="1985">
      <c r="A1985" s="3" t="inlineStr">
        <is>
          <t>MAT-32-632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Terminal de bronce 3/4"</t>
        </is>
      </c>
      <c r="E1985" s="4" t="inlineStr"/>
      <c r="F1985" s="3" t="inlineStr">
        <is>
          <t>unidad</t>
        </is>
      </c>
      <c r="G1985" s="3" t="inlineStr">
        <is>
          <t>Instalaciones</t>
        </is>
      </c>
      <c r="H1985" s="3" t="inlineStr">
        <is>
          <t>estandar</t>
        </is>
      </c>
      <c r="I1985" s="3" t="inlineStr">
        <is>
          <t>importado</t>
        </is>
      </c>
      <c r="J1985" s="5" t="n">
        <v>1</v>
      </c>
      <c r="K1985" s="6" t="n">
        <v>275</v>
      </c>
      <c r="L1985" s="6" t="n">
        <v>275</v>
      </c>
      <c r="M1985" s="6" t="n">
        <v>275</v>
      </c>
      <c r="N1985" s="3" t="inlineStr">
        <is>
          <t>Sí</t>
        </is>
      </c>
      <c r="O1985" s="6">
        <f>IF(K1985="","",IF(N1985="Sí",ROUND(K1985/1.18,2),K1985))</f>
        <v/>
      </c>
      <c r="P1985" s="3" t="inlineStr">
        <is>
          <t>2026-09-09</t>
        </is>
      </c>
      <c r="Q1985" s="4" t="inlineStr">
        <is>
          <t>Ferretería Cima</t>
        </is>
      </c>
      <c r="AF1985" s="4" t="inlineStr">
        <is>
          <t>tipo: terminal · material: bronce · medida: 3/4"</t>
        </is>
      </c>
    </row>
    <row r="1986">
      <c r="A1986" s="3" t="inlineStr">
        <is>
          <t>MAT-32-633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Terminal de bronce 5/8"</t>
        </is>
      </c>
      <c r="E1986" s="4" t="inlineStr"/>
      <c r="F1986" s="3" t="inlineStr">
        <is>
          <t>unidad</t>
        </is>
      </c>
      <c r="G1986" s="3" t="inlineStr">
        <is>
          <t>Instalaciones</t>
        </is>
      </c>
      <c r="H1986" s="3" t="inlineStr">
        <is>
          <t>estandar</t>
        </is>
      </c>
      <c r="I1986" s="3" t="inlineStr">
        <is>
          <t>importado</t>
        </is>
      </c>
      <c r="J1986" s="5" t="n">
        <v>1</v>
      </c>
      <c r="K1986" s="6" t="n">
        <v>335</v>
      </c>
      <c r="L1986" s="6" t="n">
        <v>335</v>
      </c>
      <c r="M1986" s="6" t="n">
        <v>335</v>
      </c>
      <c r="N1986" s="3" t="inlineStr">
        <is>
          <t>Sí</t>
        </is>
      </c>
      <c r="O1986" s="6">
        <f>IF(K1986="","",IF(N1986="Sí",ROUND(K1986/1.18,2),K1986))</f>
        <v/>
      </c>
      <c r="P1986" s="3" t="inlineStr">
        <is>
          <t>2026-09-09</t>
        </is>
      </c>
      <c r="Q1986" s="4" t="inlineStr">
        <is>
          <t>Ferretería Cima</t>
        </is>
      </c>
      <c r="AF1986" s="4" t="inlineStr">
        <is>
          <t>tipo: terminal · material: bronce · medida: 5/8"</t>
        </is>
      </c>
    </row>
    <row r="1987">
      <c r="A1987" s="3" t="inlineStr">
        <is>
          <t>MAT-32-634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Terminal de cobre 1"</t>
        </is>
      </c>
      <c r="E1987" s="4" t="inlineStr"/>
      <c r="F1987" s="3" t="inlineStr">
        <is>
          <t>unidad</t>
        </is>
      </c>
      <c r="G1987" s="3" t="inlineStr">
        <is>
          <t>Instalaciones</t>
        </is>
      </c>
      <c r="H1987" s="3" t="inlineStr">
        <is>
          <t>estandar</t>
        </is>
      </c>
      <c r="I1987" s="3" t="inlineStr">
        <is>
          <t>importado</t>
        </is>
      </c>
      <c r="J1987" s="5" t="n">
        <v>1</v>
      </c>
      <c r="K1987" s="6" t="n">
        <v>319</v>
      </c>
      <c r="L1987" s="6" t="n">
        <v>319</v>
      </c>
      <c r="M1987" s="6" t="n">
        <v>319</v>
      </c>
      <c r="N1987" s="3" t="inlineStr">
        <is>
          <t>Sí</t>
        </is>
      </c>
      <c r="O1987" s="6">
        <f>IF(K1987="","",IF(N1987="Sí",ROUND(K1987/1.18,2),K1987))</f>
        <v/>
      </c>
      <c r="P1987" s="3" t="inlineStr">
        <is>
          <t>2026-09-09</t>
        </is>
      </c>
      <c r="Q1987" s="4" t="inlineStr">
        <is>
          <t>Ferretería Cima</t>
        </is>
      </c>
      <c r="AF1987" s="4" t="inlineStr">
        <is>
          <t>tipo: terminal · material: cobre · medida: 1"</t>
        </is>
      </c>
    </row>
    <row r="1988">
      <c r="A1988" s="3" t="inlineStr">
        <is>
          <t>MAT-32-635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Terminal de manguera 1/2"</t>
        </is>
      </c>
      <c r="E1988" s="4" t="inlineStr"/>
      <c r="F1988" s="3" t="inlineStr">
        <is>
          <t>unidad</t>
        </is>
      </c>
      <c r="G1988" s="3" t="inlineStr">
        <is>
          <t>Instalaciones</t>
        </is>
      </c>
      <c r="H1988" s="3" t="inlineStr">
        <is>
          <t>estandar</t>
        </is>
      </c>
      <c r="I1988" s="3" t="inlineStr">
        <is>
          <t>importado</t>
        </is>
      </c>
      <c r="J1988" s="5" t="n">
        <v>1</v>
      </c>
      <c r="K1988" s="6" t="n">
        <v>165.5</v>
      </c>
      <c r="L1988" s="6" t="n">
        <v>131</v>
      </c>
      <c r="M1988" s="6" t="n">
        <v>210</v>
      </c>
      <c r="N1988" s="3" t="inlineStr">
        <is>
          <t>Sí</t>
        </is>
      </c>
      <c r="O1988" s="6">
        <f>IF(K1988="","",IF(N1988="Sí",ROUND(K1988/1.18,2),K1988))</f>
        <v/>
      </c>
      <c r="P1988" s="3" t="inlineStr">
        <is>
          <t>2026-09-09</t>
        </is>
      </c>
      <c r="Q1988" s="4" t="inlineStr">
        <is>
          <t>Ferretería Cima</t>
        </is>
      </c>
      <c r="AF1988" s="4" t="inlineStr">
        <is>
          <t>tipo: terminal · material: manguera · medida: 1/2"</t>
        </is>
      </c>
    </row>
    <row r="1989">
      <c r="A1989" s="3" t="inlineStr">
        <is>
          <t>MAT-32-636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Terminal de manguera 3/4"</t>
        </is>
      </c>
      <c r="E1989" s="4" t="inlineStr"/>
      <c r="F1989" s="3" t="inlineStr">
        <is>
          <t>unidad</t>
        </is>
      </c>
      <c r="G1989" s="3" t="inlineStr">
        <is>
          <t>Instalaciones</t>
        </is>
      </c>
      <c r="H1989" s="3" t="inlineStr">
        <is>
          <t>estandar</t>
        </is>
      </c>
      <c r="I1989" s="3" t="inlineStr">
        <is>
          <t>importado</t>
        </is>
      </c>
      <c r="J1989" s="5" t="n">
        <v>1</v>
      </c>
      <c r="K1989" s="6" t="n">
        <v>247</v>
      </c>
      <c r="L1989" s="6" t="n">
        <v>247</v>
      </c>
      <c r="M1989" s="6" t="n">
        <v>247</v>
      </c>
      <c r="N1989" s="3" t="inlineStr">
        <is>
          <t>Sí</t>
        </is>
      </c>
      <c r="O1989" s="6">
        <f>IF(K1989="","",IF(N1989="Sí",ROUND(K1989/1.18,2),K1989))</f>
        <v/>
      </c>
      <c r="P1989" s="3" t="inlineStr">
        <is>
          <t>2026-09-09</t>
        </is>
      </c>
      <c r="Q1989" s="4" t="inlineStr">
        <is>
          <t>Ferretería Cima</t>
        </is>
      </c>
      <c r="AF1989" s="4" t="inlineStr">
        <is>
          <t>tipo: terminal · material: manguera · medida: 3/4"</t>
        </is>
      </c>
    </row>
    <row r="1990">
      <c r="A1990" s="3" t="inlineStr">
        <is>
          <t>MAT-32-637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Terminal de manguera 5/8"</t>
        </is>
      </c>
      <c r="E1990" s="4" t="inlineStr"/>
      <c r="F1990" s="3" t="inlineStr">
        <is>
          <t>unidad</t>
        </is>
      </c>
      <c r="G1990" s="3" t="inlineStr">
        <is>
          <t>Instalaciones</t>
        </is>
      </c>
      <c r="H1990" s="3" t="inlineStr">
        <is>
          <t>estandar</t>
        </is>
      </c>
      <c r="I1990" s="3" t="inlineStr">
        <is>
          <t>importado</t>
        </is>
      </c>
      <c r="J1990" s="5" t="n">
        <v>1</v>
      </c>
      <c r="K1990" s="6" t="n">
        <v>233</v>
      </c>
      <c r="L1990" s="6" t="n">
        <v>233</v>
      </c>
      <c r="M1990" s="6" t="n">
        <v>233</v>
      </c>
      <c r="N1990" s="3" t="inlineStr">
        <is>
          <t>Sí</t>
        </is>
      </c>
      <c r="O1990" s="6">
        <f>IF(K1990="","",IF(N1990="Sí",ROUND(K1990/1.18,2),K1990))</f>
        <v/>
      </c>
      <c r="P1990" s="3" t="inlineStr">
        <is>
          <t>2026-09-09</t>
        </is>
      </c>
      <c r="Q1990" s="4" t="inlineStr">
        <is>
          <t>Ferretería Cima</t>
        </is>
      </c>
      <c r="AF1990" s="4" t="inlineStr">
        <is>
          <t>tipo: terminal · material: manguera · medida: 5/8"</t>
        </is>
      </c>
    </row>
    <row r="1991">
      <c r="A1991" s="3" t="inlineStr">
        <is>
          <t>MAT-32-638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Terminal de manguera 5"</t>
        </is>
      </c>
      <c r="E1991" s="4" t="inlineStr"/>
      <c r="F1991" s="3" t="inlineStr">
        <is>
          <t>unidad</t>
        </is>
      </c>
      <c r="G1991" s="3" t="inlineStr">
        <is>
          <t>Instalaciones</t>
        </is>
      </c>
      <c r="H1991" s="3" t="inlineStr">
        <is>
          <t>estandar</t>
        </is>
      </c>
      <c r="I1991" s="3" t="inlineStr">
        <is>
          <t>importado</t>
        </is>
      </c>
      <c r="J1991" s="5" t="n">
        <v>1</v>
      </c>
      <c r="K1991" s="6" t="n">
        <v>295</v>
      </c>
      <c r="L1991" s="6" t="n">
        <v>295</v>
      </c>
      <c r="M1991" s="6" t="n">
        <v>295</v>
      </c>
      <c r="N1991" s="3" t="inlineStr">
        <is>
          <t>Sí</t>
        </is>
      </c>
      <c r="O1991" s="6">
        <f>IF(K1991="","",IF(N1991="Sí",ROUND(K1991/1.18,2),K1991))</f>
        <v/>
      </c>
      <c r="P1991" s="3" t="inlineStr">
        <is>
          <t>2026-09-09</t>
        </is>
      </c>
      <c r="Q1991" s="4" t="inlineStr">
        <is>
          <t>Ferretería Cima</t>
        </is>
      </c>
      <c r="AF1991" s="4" t="inlineStr">
        <is>
          <t>tipo: terminal · material: manguera · medida: 5"</t>
        </is>
      </c>
    </row>
    <row r="1992">
      <c r="A1992" s="3" t="inlineStr">
        <is>
          <t>MAT-32-639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Unión de bronce 0.19"</t>
        </is>
      </c>
      <c r="E1992" s="4" t="inlineStr"/>
      <c r="F1992" s="3" t="inlineStr">
        <is>
          <t>unidad</t>
        </is>
      </c>
      <c r="G1992" s="3" t="inlineStr">
        <is>
          <t>Instalaciones</t>
        </is>
      </c>
      <c r="H1992" s="3" t="inlineStr">
        <is>
          <t>estandar</t>
        </is>
      </c>
      <c r="I1992" s="3" t="inlineStr">
        <is>
          <t>importado</t>
        </is>
      </c>
      <c r="J1992" s="5" t="n">
        <v>1</v>
      </c>
      <c r="K1992" s="6" t="n">
        <v>35.78</v>
      </c>
      <c r="L1992" s="6" t="n">
        <v>35.78</v>
      </c>
      <c r="M1992" s="6" t="n">
        <v>35.78</v>
      </c>
      <c r="N1992" s="3" t="inlineStr">
        <is>
          <t>Sí</t>
        </is>
      </c>
      <c r="O1992" s="6">
        <f>IF(K1992="","",IF(N1992="Sí",ROUND(K1992/1.18,2),K1992))</f>
        <v/>
      </c>
      <c r="P1992" s="3" t="inlineStr">
        <is>
          <t>2026-09-10</t>
        </is>
      </c>
      <c r="Q1992" s="4" t="inlineStr">
        <is>
          <t>Bellón</t>
        </is>
      </c>
      <c r="AF1992" s="4" t="inlineStr">
        <is>
          <t>tipo: union · material: bronce · medida: 0.19"</t>
        </is>
      </c>
    </row>
    <row r="1993">
      <c r="A1993" s="3" t="inlineStr">
        <is>
          <t>MAT-32-640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Unión de bronce 1/2"</t>
        </is>
      </c>
      <c r="E1993" s="4" t="inlineStr"/>
      <c r="F1993" s="3" t="inlineStr">
        <is>
          <t>unidad</t>
        </is>
      </c>
      <c r="G1993" s="3" t="inlineStr">
        <is>
          <t>Instalaciones</t>
        </is>
      </c>
      <c r="H1993" s="3" t="inlineStr">
        <is>
          <t>estandar</t>
        </is>
      </c>
      <c r="I1993" s="3" t="inlineStr">
        <is>
          <t>importado</t>
        </is>
      </c>
      <c r="J1993" s="5" t="n">
        <v>2</v>
      </c>
      <c r="K1993" s="6" t="n">
        <v>115.6</v>
      </c>
      <c r="L1993" s="6" t="n">
        <v>66.19</v>
      </c>
      <c r="M1993" s="6" t="n">
        <v>165</v>
      </c>
      <c r="N1993" s="3" t="inlineStr">
        <is>
          <t>Sí</t>
        </is>
      </c>
      <c r="O1993" s="6">
        <f>IF(K1993="","",IF(N1993="Sí",ROUND(K1993/1.18,2),K1993))</f>
        <v/>
      </c>
      <c r="P1993" s="3" t="inlineStr">
        <is>
          <t>2026-09-10</t>
        </is>
      </c>
      <c r="Q1993" s="4" t="inlineStr">
        <is>
          <t>Bellón · Ferretería Cima</t>
        </is>
      </c>
      <c r="AF1993" s="4" t="inlineStr">
        <is>
          <t>tipo: union · material: bronce · medida: 1/2"</t>
        </is>
      </c>
    </row>
    <row r="1994">
      <c r="A1994" s="3" t="inlineStr">
        <is>
          <t>MAT-32-641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Unión de bronce 1/4"</t>
        </is>
      </c>
      <c r="E1994" s="4" t="inlineStr"/>
      <c r="F1994" s="3" t="inlineStr">
        <is>
          <t>unidad</t>
        </is>
      </c>
      <c r="G1994" s="3" t="inlineStr">
        <is>
          <t>Instalaciones</t>
        </is>
      </c>
      <c r="H1994" s="3" t="inlineStr">
        <is>
          <t>estandar</t>
        </is>
      </c>
      <c r="I1994" s="3" t="inlineStr">
        <is>
          <t>importado</t>
        </is>
      </c>
      <c r="J1994" s="5" t="n">
        <v>1</v>
      </c>
      <c r="K1994" s="6" t="n">
        <v>69</v>
      </c>
      <c r="L1994" s="6" t="n">
        <v>28</v>
      </c>
      <c r="M1994" s="6" t="n">
        <v>110</v>
      </c>
      <c r="N1994" s="3" t="inlineStr">
        <is>
          <t>Sí</t>
        </is>
      </c>
      <c r="O1994" s="6">
        <f>IF(K1994="","",IF(N1994="Sí",ROUND(K1994/1.18,2),K1994))</f>
        <v/>
      </c>
      <c r="P1994" s="3" t="inlineStr">
        <is>
          <t>2026-09-10</t>
        </is>
      </c>
      <c r="Q1994" s="4" t="inlineStr">
        <is>
          <t>Bellón</t>
        </is>
      </c>
      <c r="AF1994" s="4" t="inlineStr">
        <is>
          <t>tipo: union · material: bronce · medida: 1/4"</t>
        </is>
      </c>
    </row>
    <row r="1995">
      <c r="A1995" s="3" t="inlineStr">
        <is>
          <t>MAT-32-642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Unión de bronce 1/8"</t>
        </is>
      </c>
      <c r="E1995" s="4" t="inlineStr"/>
      <c r="F1995" s="3" t="inlineStr">
        <is>
          <t>unidad</t>
        </is>
      </c>
      <c r="G1995" s="3" t="inlineStr">
        <is>
          <t>Instalaciones</t>
        </is>
      </c>
      <c r="H1995" s="3" t="inlineStr">
        <is>
          <t>estandar</t>
        </is>
      </c>
      <c r="I1995" s="3" t="inlineStr">
        <is>
          <t>importado</t>
        </is>
      </c>
      <c r="J1995" s="5" t="n">
        <v>1</v>
      </c>
      <c r="K1995" s="6" t="n">
        <v>16</v>
      </c>
      <c r="L1995" s="6" t="n">
        <v>16</v>
      </c>
      <c r="M1995" s="6" t="n">
        <v>16</v>
      </c>
      <c r="N1995" s="3" t="inlineStr">
        <is>
          <t>Sí</t>
        </is>
      </c>
      <c r="O1995" s="6">
        <f>IF(K1995="","",IF(N1995="Sí",ROUND(K1995/1.18,2),K1995))</f>
        <v/>
      </c>
      <c r="P1995" s="3" t="inlineStr">
        <is>
          <t>2026-09-10</t>
        </is>
      </c>
      <c r="Q1995" s="4" t="inlineStr">
        <is>
          <t>Bellón</t>
        </is>
      </c>
      <c r="AF1995" s="4" t="inlineStr">
        <is>
          <t>tipo: union · material: bronce · medida: 1/8"</t>
        </is>
      </c>
    </row>
    <row r="1996">
      <c r="A1996" s="3" t="inlineStr">
        <is>
          <t>MAT-32-643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Unión de bronce 12"</t>
        </is>
      </c>
      <c r="E1996" s="4" t="inlineStr"/>
      <c r="F1996" s="3" t="inlineStr">
        <is>
          <t>unidad</t>
        </is>
      </c>
      <c r="G1996" s="3" t="inlineStr">
        <is>
          <t>Instalaciones</t>
        </is>
      </c>
      <c r="H1996" s="3" t="inlineStr">
        <is>
          <t>estandar</t>
        </is>
      </c>
      <c r="I1996" s="3" t="inlineStr">
        <is>
          <t>importado</t>
        </is>
      </c>
      <c r="J1996" s="5" t="n">
        <v>1</v>
      </c>
      <c r="K1996" s="6" t="n">
        <v>346</v>
      </c>
      <c r="L1996" s="6" t="n">
        <v>346</v>
      </c>
      <c r="M1996" s="6" t="n">
        <v>346</v>
      </c>
      <c r="N1996" s="3" t="inlineStr">
        <is>
          <t>Sí</t>
        </is>
      </c>
      <c r="O1996" s="6">
        <f>IF(K1996="","",IF(N1996="Sí",ROUND(K1996/1.18,2),K1996))</f>
        <v/>
      </c>
      <c r="P1996" s="3" t="inlineStr">
        <is>
          <t>2026-09-10</t>
        </is>
      </c>
      <c r="Q1996" s="4" t="inlineStr">
        <is>
          <t>Bellón</t>
        </is>
      </c>
      <c r="AF1996" s="4" t="inlineStr">
        <is>
          <t>tipo: union · material: bronce · medida: 12"</t>
        </is>
      </c>
    </row>
    <row r="1997">
      <c r="A1997" s="3" t="inlineStr">
        <is>
          <t>MAT-32-644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Unión de bronce 15"</t>
        </is>
      </c>
      <c r="E1997" s="4" t="inlineStr"/>
      <c r="F1997" s="3" t="inlineStr">
        <is>
          <t>unidad</t>
        </is>
      </c>
      <c r="G1997" s="3" t="inlineStr">
        <is>
          <t>Instalaciones</t>
        </is>
      </c>
      <c r="H1997" s="3" t="inlineStr">
        <is>
          <t>estandar</t>
        </is>
      </c>
      <c r="I1997" s="3" t="inlineStr">
        <is>
          <t>importado</t>
        </is>
      </c>
      <c r="J1997" s="5" t="n">
        <v>1</v>
      </c>
      <c r="K1997" s="6" t="n">
        <v>375</v>
      </c>
      <c r="L1997" s="6" t="n">
        <v>375</v>
      </c>
      <c r="M1997" s="6" t="n">
        <v>375</v>
      </c>
      <c r="N1997" s="3" t="inlineStr">
        <is>
          <t>Sí</t>
        </is>
      </c>
      <c r="O1997" s="6">
        <f>IF(K1997="","",IF(N1997="Sí",ROUND(K1997/1.18,2),K1997))</f>
        <v/>
      </c>
      <c r="P1997" s="3" t="inlineStr">
        <is>
          <t>2026-09-10</t>
        </is>
      </c>
      <c r="Q1997" s="4" t="inlineStr">
        <is>
          <t>Bellón</t>
        </is>
      </c>
      <c r="AF1997" s="4" t="inlineStr">
        <is>
          <t>tipo: union · material: bronce · medida: 15"</t>
        </is>
      </c>
    </row>
    <row r="1998">
      <c r="A1998" s="3" t="inlineStr">
        <is>
          <t>MAT-32-645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Unión de bronce 18"</t>
        </is>
      </c>
      <c r="E1998" s="4" t="inlineStr"/>
      <c r="F1998" s="3" t="inlineStr">
        <is>
          <t>unidad</t>
        </is>
      </c>
      <c r="G1998" s="3" t="inlineStr">
        <is>
          <t>Instalaciones</t>
        </is>
      </c>
      <c r="H1998" s="3" t="inlineStr">
        <is>
          <t>estandar</t>
        </is>
      </c>
      <c r="I1998" s="3" t="inlineStr">
        <is>
          <t>importado</t>
        </is>
      </c>
      <c r="J1998" s="5" t="n">
        <v>1</v>
      </c>
      <c r="K1998" s="6" t="n">
        <v>413</v>
      </c>
      <c r="L1998" s="6" t="n">
        <v>413</v>
      </c>
      <c r="M1998" s="6" t="n">
        <v>413</v>
      </c>
      <c r="N1998" s="3" t="inlineStr">
        <is>
          <t>Sí</t>
        </is>
      </c>
      <c r="O1998" s="6">
        <f>IF(K1998="","",IF(N1998="Sí",ROUND(K1998/1.18,2),K1998))</f>
        <v/>
      </c>
      <c r="P1998" s="3" t="inlineStr">
        <is>
          <t>2026-09-10</t>
        </is>
      </c>
      <c r="Q1998" s="4" t="inlineStr">
        <is>
          <t>Bellón</t>
        </is>
      </c>
      <c r="AF1998" s="4" t="inlineStr">
        <is>
          <t>tipo: union · material: bronce · medida: 18"</t>
        </is>
      </c>
    </row>
    <row r="1999">
      <c r="A1999" s="3" t="inlineStr">
        <is>
          <t>MAT-32-646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Unión de bronce 25"</t>
        </is>
      </c>
      <c r="E1999" s="4" t="inlineStr"/>
      <c r="F1999" s="3" t="inlineStr">
        <is>
          <t>unidad</t>
        </is>
      </c>
      <c r="G1999" s="3" t="inlineStr">
        <is>
          <t>Instalaciones</t>
        </is>
      </c>
      <c r="H1999" s="3" t="inlineStr">
        <is>
          <t>estandar</t>
        </is>
      </c>
      <c r="I1999" s="3" t="inlineStr">
        <is>
          <t>importado</t>
        </is>
      </c>
      <c r="J1999" s="5" t="n">
        <v>1</v>
      </c>
      <c r="K1999" s="6" t="n">
        <v>796</v>
      </c>
      <c r="L1999" s="6" t="n">
        <v>796</v>
      </c>
      <c r="M1999" s="6" t="n">
        <v>796</v>
      </c>
      <c r="N1999" s="3" t="inlineStr">
        <is>
          <t>Sí</t>
        </is>
      </c>
      <c r="O1999" s="6">
        <f>IF(K1999="","",IF(N1999="Sí",ROUND(K1999/1.18,2),K1999))</f>
        <v/>
      </c>
      <c r="P1999" s="3" t="inlineStr">
        <is>
          <t>2026-09-10</t>
        </is>
      </c>
      <c r="Q1999" s="4" t="inlineStr">
        <is>
          <t>Bellón</t>
        </is>
      </c>
      <c r="AF1999" s="4" t="inlineStr">
        <is>
          <t>tipo: union · material: bronce · medida: 25"</t>
        </is>
      </c>
    </row>
    <row r="2000">
      <c r="A2000" s="3" t="inlineStr">
        <is>
          <t>MAT-32-647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Unión de bronce 3/8"</t>
        </is>
      </c>
      <c r="E2000" s="4" t="inlineStr"/>
      <c r="F2000" s="3" t="inlineStr">
        <is>
          <t>unidad</t>
        </is>
      </c>
      <c r="G2000" s="3" t="inlineStr">
        <is>
          <t>Instalaciones</t>
        </is>
      </c>
      <c r="H2000" s="3" t="inlineStr">
        <is>
          <t>estandar</t>
        </is>
      </c>
      <c r="I2000" s="3" t="inlineStr">
        <is>
          <t>importado</t>
        </is>
      </c>
      <c r="J2000" s="5" t="n">
        <v>2</v>
      </c>
      <c r="K2000" s="6" t="n">
        <v>118</v>
      </c>
      <c r="L2000" s="6" t="n">
        <v>44</v>
      </c>
      <c r="M2000" s="6" t="n">
        <v>147</v>
      </c>
      <c r="N2000" s="3" t="inlineStr">
        <is>
          <t>Sí</t>
        </is>
      </c>
      <c r="O2000" s="6">
        <f>IF(K2000="","",IF(N2000="Sí",ROUND(K2000/1.18,2),K2000))</f>
        <v/>
      </c>
      <c r="P2000" s="3" t="inlineStr">
        <is>
          <t>2026-09-10</t>
        </is>
      </c>
      <c r="Q2000" s="4" t="inlineStr">
        <is>
          <t>Bellón · Ferretería Cima</t>
        </is>
      </c>
      <c r="AF2000" s="4" t="inlineStr">
        <is>
          <t>tipo: union · material: bronce · medida: 3/8"</t>
        </is>
      </c>
    </row>
    <row r="2001">
      <c r="A2001" s="3" t="inlineStr">
        <is>
          <t>MAT-32-648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Unión de bronce 32 mm</t>
        </is>
      </c>
      <c r="E2001" s="4" t="inlineStr"/>
      <c r="F2001" s="3" t="inlineStr">
        <is>
          <t>unidad</t>
        </is>
      </c>
      <c r="G2001" s="3" t="inlineStr">
        <is>
          <t>Instalaciones</t>
        </is>
      </c>
      <c r="H2001" s="3" t="inlineStr">
        <is>
          <t>estandar</t>
        </is>
      </c>
      <c r="I2001" s="3" t="inlineStr">
        <is>
          <t>importado</t>
        </is>
      </c>
      <c r="J2001" s="5" t="n">
        <v>1</v>
      </c>
      <c r="K2001" s="6" t="n">
        <v>906</v>
      </c>
      <c r="L2001" s="6" t="n">
        <v>906</v>
      </c>
      <c r="M2001" s="6" t="n">
        <v>906</v>
      </c>
      <c r="N2001" s="3" t="inlineStr">
        <is>
          <t>Sí</t>
        </is>
      </c>
      <c r="O2001" s="6">
        <f>IF(K2001="","",IF(N2001="Sí",ROUND(K2001/1.18,2),K2001))</f>
        <v/>
      </c>
      <c r="P2001" s="3" t="inlineStr">
        <is>
          <t>2026-09-10</t>
        </is>
      </c>
      <c r="Q2001" s="4" t="inlineStr">
        <is>
          <t>Bellón</t>
        </is>
      </c>
      <c r="AF2001" s="4" t="inlineStr">
        <is>
          <t>tipo: union · material: bronce · medida: 32 mm</t>
        </is>
      </c>
    </row>
    <row r="2002">
      <c r="A2002" s="3" t="inlineStr">
        <is>
          <t>MAT-32-649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Unión de plástico 1/2"</t>
        </is>
      </c>
      <c r="E2002" s="4" t="inlineStr"/>
      <c r="F2002" s="3" t="inlineStr">
        <is>
          <t>unidad</t>
        </is>
      </c>
      <c r="G2002" s="3" t="inlineStr">
        <is>
          <t>Instalaciones</t>
        </is>
      </c>
      <c r="H2002" s="3" t="inlineStr">
        <is>
          <t>estandar</t>
        </is>
      </c>
      <c r="I2002" s="3" t="inlineStr">
        <is>
          <t>importado</t>
        </is>
      </c>
      <c r="J2002" s="5" t="n">
        <v>2</v>
      </c>
      <c r="K2002" s="6" t="n">
        <v>145.5</v>
      </c>
      <c r="L2002" s="6" t="n">
        <v>111</v>
      </c>
      <c r="M2002" s="6" t="n">
        <v>180</v>
      </c>
      <c r="N2002" s="3" t="inlineStr">
        <is>
          <t>Sí</t>
        </is>
      </c>
      <c r="O2002" s="6">
        <f>IF(K2002="","",IF(N2002="Sí",ROUND(K2002/1.18,2),K2002))</f>
        <v/>
      </c>
      <c r="P2002" s="3" t="inlineStr">
        <is>
          <t>2026-09-10</t>
        </is>
      </c>
      <c r="Q2002" s="4" t="inlineStr">
        <is>
          <t>Bellón · Ferretería Cima</t>
        </is>
      </c>
      <c r="AF2002" s="4" t="inlineStr">
        <is>
          <t>tipo: union · material: plástico · medida: 1/2"</t>
        </is>
      </c>
    </row>
    <row r="2003">
      <c r="A2003" s="3" t="inlineStr">
        <is>
          <t>MAT-32-650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Unión de plástico 5/8"</t>
        </is>
      </c>
      <c r="E2003" s="4" t="inlineStr"/>
      <c r="F2003" s="3" t="inlineStr">
        <is>
          <t>unidad</t>
        </is>
      </c>
      <c r="G2003" s="3" t="inlineStr">
        <is>
          <t>Instalaciones</t>
        </is>
      </c>
      <c r="H2003" s="3" t="inlineStr">
        <is>
          <t>estandar</t>
        </is>
      </c>
      <c r="I2003" s="3" t="inlineStr">
        <is>
          <t>importado</t>
        </is>
      </c>
      <c r="J2003" s="5" t="n">
        <v>1</v>
      </c>
      <c r="K2003" s="6" t="n">
        <v>131</v>
      </c>
      <c r="L2003" s="6" t="n">
        <v>131</v>
      </c>
      <c r="M2003" s="6" t="n">
        <v>131</v>
      </c>
      <c r="N2003" s="3" t="inlineStr">
        <is>
          <t>Sí</t>
        </is>
      </c>
      <c r="O2003" s="6">
        <f>IF(K2003="","",IF(N2003="Sí",ROUND(K2003/1.18,2),K2003))</f>
        <v/>
      </c>
      <c r="P2003" s="3" t="inlineStr">
        <is>
          <t>2026-09-10</t>
        </is>
      </c>
      <c r="Q2003" s="4" t="inlineStr">
        <is>
          <t>Bellón</t>
        </is>
      </c>
      <c r="AF2003" s="4" t="inlineStr">
        <is>
          <t>tipo: union · material: plástico · medida: 5/8"</t>
        </is>
      </c>
    </row>
    <row r="2004">
      <c r="A2004" s="3" t="inlineStr">
        <is>
          <t>MAT-32-651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Unión universal de CPVC 1/2"</t>
        </is>
      </c>
      <c r="E2004" s="4" t="inlineStr"/>
      <c r="F2004" s="3" t="inlineStr">
        <is>
          <t>unidad</t>
        </is>
      </c>
      <c r="G2004" s="3" t="inlineStr">
        <is>
          <t>Instalaciones</t>
        </is>
      </c>
      <c r="H2004" s="3" t="inlineStr">
        <is>
          <t>estandar</t>
        </is>
      </c>
      <c r="I2004" s="3" t="inlineStr">
        <is>
          <t>importado</t>
        </is>
      </c>
      <c r="J2004" s="5" t="n">
        <v>1</v>
      </c>
      <c r="K2004" s="6" t="n">
        <v>31.5</v>
      </c>
      <c r="L2004" s="6" t="n">
        <v>31.5</v>
      </c>
      <c r="M2004" s="6" t="n">
        <v>31.5</v>
      </c>
      <c r="N2004" s="3" t="inlineStr">
        <is>
          <t>Sí</t>
        </is>
      </c>
      <c r="O2004" s="6">
        <f>IF(K2004="","",IF(N2004="Sí",ROUND(K2004/1.18,2),K2004))</f>
        <v/>
      </c>
      <c r="P2004" s="3" t="inlineStr">
        <is>
          <t>2026-09-10</t>
        </is>
      </c>
      <c r="Q2004" s="4" t="inlineStr">
        <is>
          <t>Bellón</t>
        </is>
      </c>
      <c r="AF2004" s="4" t="inlineStr">
        <is>
          <t>tipo: union-universal · material: CPVC · medida: 1/2"</t>
        </is>
      </c>
    </row>
    <row r="2005">
      <c r="A2005" s="3" t="inlineStr">
        <is>
          <t>MAT-32-652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Unión universal de CPVC 1"</t>
        </is>
      </c>
      <c r="E2005" s="4" t="inlineStr"/>
      <c r="F2005" s="3" t="inlineStr">
        <is>
          <t>unidad</t>
        </is>
      </c>
      <c r="G2005" s="3" t="inlineStr">
        <is>
          <t>Instalaciones</t>
        </is>
      </c>
      <c r="H2005" s="3" t="inlineStr">
        <is>
          <t>estandar</t>
        </is>
      </c>
      <c r="I2005" s="3" t="inlineStr">
        <is>
          <t>importado</t>
        </is>
      </c>
      <c r="J2005" s="5" t="n">
        <v>1</v>
      </c>
      <c r="K2005" s="6" t="n">
        <v>150</v>
      </c>
      <c r="L2005" s="6" t="n">
        <v>150</v>
      </c>
      <c r="M2005" s="6" t="n">
        <v>150</v>
      </c>
      <c r="N2005" s="3" t="inlineStr">
        <is>
          <t>Sí</t>
        </is>
      </c>
      <c r="O2005" s="6">
        <f>IF(K2005="","",IF(N2005="Sí",ROUND(K2005/1.18,2),K2005))</f>
        <v/>
      </c>
      <c r="P2005" s="3" t="inlineStr">
        <is>
          <t>2026-09-10</t>
        </is>
      </c>
      <c r="Q2005" s="4" t="inlineStr">
        <is>
          <t>Bellón</t>
        </is>
      </c>
      <c r="AF2005" s="4" t="inlineStr">
        <is>
          <t>tipo: union-universal · material: CPVC · medida: 1"</t>
        </is>
      </c>
    </row>
    <row r="2006">
      <c r="A2006" s="3" t="inlineStr">
        <is>
          <t>MAT-32-653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Unión universal de CPVC 3/4"</t>
        </is>
      </c>
      <c r="E2006" s="4" t="inlineStr"/>
      <c r="F2006" s="3" t="inlineStr">
        <is>
          <t>unidad</t>
        </is>
      </c>
      <c r="G2006" s="3" t="inlineStr">
        <is>
          <t>Instalaciones</t>
        </is>
      </c>
      <c r="H2006" s="3" t="inlineStr">
        <is>
          <t>estandar</t>
        </is>
      </c>
      <c r="I2006" s="3" t="inlineStr">
        <is>
          <t>importado</t>
        </is>
      </c>
      <c r="J2006" s="5" t="n">
        <v>1</v>
      </c>
      <c r="K2006" s="6" t="n">
        <v>100</v>
      </c>
      <c r="L2006" s="6" t="n">
        <v>100</v>
      </c>
      <c r="M2006" s="6" t="n">
        <v>100</v>
      </c>
      <c r="N2006" s="3" t="inlineStr">
        <is>
          <t>Sí</t>
        </is>
      </c>
      <c r="O2006" s="6">
        <f>IF(K2006="","",IF(N2006="Sí",ROUND(K2006/1.18,2),K2006))</f>
        <v/>
      </c>
      <c r="P2006" s="3" t="inlineStr">
        <is>
          <t>2026-09-10</t>
        </is>
      </c>
      <c r="Q2006" s="4" t="inlineStr">
        <is>
          <t>Bellón</t>
        </is>
      </c>
      <c r="AF2006" s="4" t="inlineStr">
        <is>
          <t>tipo: union-universal · material: CPVC · medida: 3/4"</t>
        </is>
      </c>
    </row>
    <row r="2007">
      <c r="A2007" s="3" t="inlineStr">
        <is>
          <t>MAT-32-654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Unión universal de HG 1 1/2"</t>
        </is>
      </c>
      <c r="E2007" s="4" t="inlineStr"/>
      <c r="F2007" s="3" t="inlineStr">
        <is>
          <t>unidad</t>
        </is>
      </c>
      <c r="G2007" s="3" t="inlineStr">
        <is>
          <t>Instalaciones</t>
        </is>
      </c>
      <c r="H2007" s="3" t="inlineStr">
        <is>
          <t>estandar</t>
        </is>
      </c>
      <c r="I2007" s="3" t="inlineStr">
        <is>
          <t>importado</t>
        </is>
      </c>
      <c r="J2007" s="5" t="n">
        <v>2</v>
      </c>
      <c r="K2007" s="6" t="n">
        <v>437.5</v>
      </c>
      <c r="L2007" s="6" t="n">
        <v>350</v>
      </c>
      <c r="M2007" s="6" t="n">
        <v>525</v>
      </c>
      <c r="N2007" s="3" t="inlineStr">
        <is>
          <t>Sí</t>
        </is>
      </c>
      <c r="O2007" s="6">
        <f>IF(K2007="","",IF(N2007="Sí",ROUND(K2007/1.18,2),K2007))</f>
        <v/>
      </c>
      <c r="P2007" s="3" t="inlineStr">
        <is>
          <t>2026-09-10</t>
        </is>
      </c>
      <c r="Q2007" s="4" t="inlineStr">
        <is>
          <t>Bellón · Ferretería Cima</t>
        </is>
      </c>
      <c r="AF2007" s="4" t="inlineStr">
        <is>
          <t>tipo: union-universal · material: HG · medida: 1 1/2"</t>
        </is>
      </c>
    </row>
    <row r="2008">
      <c r="A2008" s="3" t="inlineStr">
        <is>
          <t>MAT-32-655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Unión universal de HG 1 1/4"</t>
        </is>
      </c>
      <c r="E2008" s="4" t="inlineStr"/>
      <c r="F2008" s="3" t="inlineStr">
        <is>
          <t>unidad</t>
        </is>
      </c>
      <c r="G2008" s="3" t="inlineStr">
        <is>
          <t>Instalaciones</t>
        </is>
      </c>
      <c r="H2008" s="3" t="inlineStr">
        <is>
          <t>estandar</t>
        </is>
      </c>
      <c r="I2008" s="3" t="inlineStr">
        <is>
          <t>importado</t>
        </is>
      </c>
      <c r="J2008" s="5" t="n">
        <v>2</v>
      </c>
      <c r="K2008" s="6" t="n">
        <v>335.5</v>
      </c>
      <c r="L2008" s="6" t="n">
        <v>249</v>
      </c>
      <c r="M2008" s="6" t="n">
        <v>422</v>
      </c>
      <c r="N2008" s="3" t="inlineStr">
        <is>
          <t>Sí</t>
        </is>
      </c>
      <c r="O2008" s="6">
        <f>IF(K2008="","",IF(N2008="Sí",ROUND(K2008/1.18,2),K2008))</f>
        <v/>
      </c>
      <c r="P2008" s="3" t="inlineStr">
        <is>
          <t>2026-09-10</t>
        </is>
      </c>
      <c r="Q2008" s="4" t="inlineStr">
        <is>
          <t>Bellón · Ferretería Cima</t>
        </is>
      </c>
      <c r="AF2008" s="4" t="inlineStr">
        <is>
          <t>tipo: union-universal · material: HG · medida: 1 1/4"</t>
        </is>
      </c>
    </row>
    <row r="2009">
      <c r="A2009" s="3" t="inlineStr">
        <is>
          <t>MAT-32-656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Unión universal de HG 1/2"</t>
        </is>
      </c>
      <c r="E2009" s="4" t="inlineStr"/>
      <c r="F2009" s="3" t="inlineStr">
        <is>
          <t>unidad</t>
        </is>
      </c>
      <c r="G2009" s="3" t="inlineStr">
        <is>
          <t>Instalaciones</t>
        </is>
      </c>
      <c r="H2009" s="3" t="inlineStr">
        <is>
          <t>estandar</t>
        </is>
      </c>
      <c r="I2009" s="3" t="inlineStr">
        <is>
          <t>importado</t>
        </is>
      </c>
      <c r="J2009" s="5" t="n">
        <v>2</v>
      </c>
      <c r="K2009" s="6" t="n">
        <v>142.5</v>
      </c>
      <c r="L2009" s="6" t="n">
        <v>115</v>
      </c>
      <c r="M2009" s="6" t="n">
        <v>170</v>
      </c>
      <c r="N2009" s="3" t="inlineStr">
        <is>
          <t>Sí</t>
        </is>
      </c>
      <c r="O2009" s="6">
        <f>IF(K2009="","",IF(N2009="Sí",ROUND(K2009/1.18,2),K2009))</f>
        <v/>
      </c>
      <c r="P2009" s="3" t="inlineStr">
        <is>
          <t>2026-09-10</t>
        </is>
      </c>
      <c r="Q2009" s="4" t="inlineStr">
        <is>
          <t>Bellón · Ferretería Cima</t>
        </is>
      </c>
      <c r="AF2009" s="4" t="inlineStr">
        <is>
          <t>tipo: union-universal · material: HG · medida: 1/2"</t>
        </is>
      </c>
    </row>
    <row r="2010">
      <c r="A2010" s="3" t="inlineStr">
        <is>
          <t>MAT-32-657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Unión universal de HG 1/4"</t>
        </is>
      </c>
      <c r="E2010" s="4" t="inlineStr"/>
      <c r="F2010" s="3" t="inlineStr">
        <is>
          <t>unidad</t>
        </is>
      </c>
      <c r="G2010" s="3" t="inlineStr">
        <is>
          <t>Instalaciones</t>
        </is>
      </c>
      <c r="H2010" s="3" t="inlineStr">
        <is>
          <t>estandar</t>
        </is>
      </c>
      <c r="I2010" s="3" t="inlineStr">
        <is>
          <t>importado</t>
        </is>
      </c>
      <c r="J2010" s="5" t="n">
        <v>1</v>
      </c>
      <c r="K2010" s="6" t="n">
        <v>44</v>
      </c>
      <c r="L2010" s="6" t="n">
        <v>44</v>
      </c>
      <c r="M2010" s="6" t="n">
        <v>44</v>
      </c>
      <c r="N2010" s="3" t="inlineStr">
        <is>
          <t>Sí</t>
        </is>
      </c>
      <c r="O2010" s="6">
        <f>IF(K2010="","",IF(N2010="Sí",ROUND(K2010/1.18,2),K2010))</f>
        <v/>
      </c>
      <c r="P2010" s="3" t="inlineStr">
        <is>
          <t>2026-09-09</t>
        </is>
      </c>
      <c r="Q2010" s="4" t="inlineStr">
        <is>
          <t>Ferretería Cima</t>
        </is>
      </c>
      <c r="AF2010" s="4" t="inlineStr">
        <is>
          <t>tipo: union-universal · material: HG · medida: 1/4"</t>
        </is>
      </c>
    </row>
    <row r="2011">
      <c r="A2011" s="3" t="inlineStr">
        <is>
          <t>MAT-32-658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Unión universal de HG 1"</t>
        </is>
      </c>
      <c r="E2011" s="4" t="inlineStr"/>
      <c r="F2011" s="3" t="inlineStr">
        <is>
          <t>unidad</t>
        </is>
      </c>
      <c r="G2011" s="3" t="inlineStr">
        <is>
          <t>Instalaciones</t>
        </is>
      </c>
      <c r="H2011" s="3" t="inlineStr">
        <is>
          <t>estandar</t>
        </is>
      </c>
      <c r="I2011" s="3" t="inlineStr">
        <is>
          <t>importado</t>
        </is>
      </c>
      <c r="J2011" s="5" t="n">
        <v>1</v>
      </c>
      <c r="K2011" s="6" t="n">
        <v>174</v>
      </c>
      <c r="L2011" s="6" t="n">
        <v>174</v>
      </c>
      <c r="M2011" s="6" t="n">
        <v>174</v>
      </c>
      <c r="N2011" s="3" t="inlineStr">
        <is>
          <t>Sí</t>
        </is>
      </c>
      <c r="O2011" s="6">
        <f>IF(K2011="","",IF(N2011="Sí",ROUND(K2011/1.18,2),K2011))</f>
        <v/>
      </c>
      <c r="P2011" s="3" t="inlineStr">
        <is>
          <t>2026-09-10</t>
        </is>
      </c>
      <c r="Q2011" s="4" t="inlineStr">
        <is>
          <t>Bellón</t>
        </is>
      </c>
      <c r="AF2011" s="4" t="inlineStr">
        <is>
          <t>tipo: union-universal · material: HG · medida: 1"</t>
        </is>
      </c>
    </row>
    <row r="2012">
      <c r="A2012" s="3" t="inlineStr">
        <is>
          <t>MAT-32-659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Unión universal de HG 2"</t>
        </is>
      </c>
      <c r="E2012" s="4" t="inlineStr"/>
      <c r="F2012" s="3" t="inlineStr">
        <is>
          <t>unidad</t>
        </is>
      </c>
      <c r="G2012" s="3" t="inlineStr">
        <is>
          <t>Instalaciones</t>
        </is>
      </c>
      <c r="H2012" s="3" t="inlineStr">
        <is>
          <t>estandar</t>
        </is>
      </c>
      <c r="I2012" s="3" t="inlineStr">
        <is>
          <t>importado</t>
        </is>
      </c>
      <c r="J2012" s="5" t="n">
        <v>2</v>
      </c>
      <c r="K2012" s="6" t="n">
        <v>638.5</v>
      </c>
      <c r="L2012" s="6" t="n">
        <v>450</v>
      </c>
      <c r="M2012" s="6" t="n">
        <v>827</v>
      </c>
      <c r="N2012" s="3" t="inlineStr">
        <is>
          <t>Sí</t>
        </is>
      </c>
      <c r="O2012" s="6">
        <f>IF(K2012="","",IF(N2012="Sí",ROUND(K2012/1.18,2),K2012))</f>
        <v/>
      </c>
      <c r="P2012" s="3" t="inlineStr">
        <is>
          <t>2026-09-10</t>
        </is>
      </c>
      <c r="Q2012" s="4" t="inlineStr">
        <is>
          <t>Bellón · Ferretería Cima</t>
        </is>
      </c>
      <c r="AF2012" s="4" t="inlineStr">
        <is>
          <t>tipo: union-universal · material: HG · medida: 2"</t>
        </is>
      </c>
    </row>
    <row r="2013">
      <c r="A2013" s="3" t="inlineStr">
        <is>
          <t>MAT-32-660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Unión universal de HG 3/4"</t>
        </is>
      </c>
      <c r="E2013" s="4" t="inlineStr"/>
      <c r="F2013" s="3" t="inlineStr">
        <is>
          <t>unidad</t>
        </is>
      </c>
      <c r="G2013" s="3" t="inlineStr">
        <is>
          <t>Instalaciones</t>
        </is>
      </c>
      <c r="H2013" s="3" t="inlineStr">
        <is>
          <t>estandar</t>
        </is>
      </c>
      <c r="I2013" s="3" t="inlineStr">
        <is>
          <t>importado</t>
        </is>
      </c>
      <c r="J2013" s="5" t="n">
        <v>2</v>
      </c>
      <c r="K2013" s="6" t="n">
        <v>171</v>
      </c>
      <c r="L2013" s="6" t="n">
        <v>162</v>
      </c>
      <c r="M2013" s="6" t="n">
        <v>180</v>
      </c>
      <c r="N2013" s="3" t="inlineStr">
        <is>
          <t>Sí</t>
        </is>
      </c>
      <c r="O2013" s="6">
        <f>IF(K2013="","",IF(N2013="Sí",ROUND(K2013/1.18,2),K2013))</f>
        <v/>
      </c>
      <c r="P2013" s="3" t="inlineStr">
        <is>
          <t>2026-09-10</t>
        </is>
      </c>
      <c r="Q2013" s="4" t="inlineStr">
        <is>
          <t>Bellón · Ferretería Cima</t>
        </is>
      </c>
      <c r="AF2013" s="4" t="inlineStr">
        <is>
          <t>tipo: union-universal · material: HG · medida: 3/4"</t>
        </is>
      </c>
    </row>
    <row r="2014">
      <c r="A2014" s="3" t="inlineStr">
        <is>
          <t>MAT-32-661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Unión universal de HG 3/8"</t>
        </is>
      </c>
      <c r="E2014" s="4" t="inlineStr"/>
      <c r="F2014" s="3" t="inlineStr">
        <is>
          <t>unidad</t>
        </is>
      </c>
      <c r="G2014" s="3" t="inlineStr">
        <is>
          <t>Instalaciones</t>
        </is>
      </c>
      <c r="H2014" s="3" t="inlineStr">
        <is>
          <t>estandar</t>
        </is>
      </c>
      <c r="I2014" s="3" t="inlineStr">
        <is>
          <t>importado</t>
        </is>
      </c>
      <c r="J2014" s="5" t="n">
        <v>1</v>
      </c>
      <c r="K2014" s="6" t="n">
        <v>12</v>
      </c>
      <c r="L2014" s="6" t="n">
        <v>12</v>
      </c>
      <c r="M2014" s="6" t="n">
        <v>12</v>
      </c>
      <c r="N2014" s="3" t="inlineStr">
        <is>
          <t>Sí</t>
        </is>
      </c>
      <c r="O2014" s="6">
        <f>IF(K2014="","",IF(N2014="Sí",ROUND(K2014/1.18,2),K2014))</f>
        <v/>
      </c>
      <c r="P2014" s="3" t="inlineStr">
        <is>
          <t>2026-09-09</t>
        </is>
      </c>
      <c r="Q2014" s="4" t="inlineStr">
        <is>
          <t>Ferretería Cima</t>
        </is>
      </c>
      <c r="AF2014" s="4" t="inlineStr">
        <is>
          <t>tipo: union-universal · material: HG · medida: 3/8"</t>
        </is>
      </c>
    </row>
    <row r="2015">
      <c r="A2015" s="3" t="inlineStr">
        <is>
          <t>MAT-32-662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Unión universal de HG 3"</t>
        </is>
      </c>
      <c r="E2015" s="4" t="inlineStr"/>
      <c r="F2015" s="3" t="inlineStr">
        <is>
          <t>unidad</t>
        </is>
      </c>
      <c r="G2015" s="3" t="inlineStr">
        <is>
          <t>Instalaciones</t>
        </is>
      </c>
      <c r="H2015" s="3" t="inlineStr">
        <is>
          <t>estandar</t>
        </is>
      </c>
      <c r="I2015" s="3" t="inlineStr">
        <is>
          <t>importado</t>
        </is>
      </c>
      <c r="J2015" s="5" t="n">
        <v>1</v>
      </c>
      <c r="K2015" s="6" t="n">
        <v>1376</v>
      </c>
      <c r="L2015" s="6" t="n">
        <v>1376</v>
      </c>
      <c r="M2015" s="6" t="n">
        <v>1376</v>
      </c>
      <c r="N2015" s="3" t="inlineStr">
        <is>
          <t>Sí</t>
        </is>
      </c>
      <c r="O2015" s="6">
        <f>IF(K2015="","",IF(N2015="Sí",ROUND(K2015/1.18,2),K2015))</f>
        <v/>
      </c>
      <c r="P2015" s="3" t="inlineStr">
        <is>
          <t>2026-09-10</t>
        </is>
      </c>
      <c r="Q2015" s="4" t="inlineStr">
        <is>
          <t>Bellón</t>
        </is>
      </c>
      <c r="AF2015" s="4" t="inlineStr">
        <is>
          <t>tipo: union-universal · material: HG · medida: 3"</t>
        </is>
      </c>
    </row>
    <row r="2016">
      <c r="A2016" s="3" t="inlineStr">
        <is>
          <t>MAT-32-663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Unión universal de HG 4"</t>
        </is>
      </c>
      <c r="E2016" s="4" t="inlineStr"/>
      <c r="F2016" s="3" t="inlineStr">
        <is>
          <t>unidad</t>
        </is>
      </c>
      <c r="G2016" s="3" t="inlineStr">
        <is>
          <t>Instalaciones</t>
        </is>
      </c>
      <c r="H2016" s="3" t="inlineStr">
        <is>
          <t>estandar</t>
        </is>
      </c>
      <c r="I2016" s="3" t="inlineStr">
        <is>
          <t>importado</t>
        </is>
      </c>
      <c r="J2016" s="5" t="n">
        <v>1</v>
      </c>
      <c r="K2016" s="6" t="n">
        <v>1835</v>
      </c>
      <c r="L2016" s="6" t="n">
        <v>1835</v>
      </c>
      <c r="M2016" s="6" t="n">
        <v>1835</v>
      </c>
      <c r="N2016" s="3" t="inlineStr">
        <is>
          <t>Sí</t>
        </is>
      </c>
      <c r="O2016" s="6">
        <f>IF(K2016="","",IF(N2016="Sí",ROUND(K2016/1.18,2),K2016))</f>
        <v/>
      </c>
      <c r="P2016" s="3" t="inlineStr">
        <is>
          <t>2026-09-10</t>
        </is>
      </c>
      <c r="Q2016" s="4" t="inlineStr">
        <is>
          <t>Bellón</t>
        </is>
      </c>
      <c r="AF2016" s="4" t="inlineStr">
        <is>
          <t>tipo: union-universal · material: HG · medida: 4"</t>
        </is>
      </c>
    </row>
    <row r="2017">
      <c r="A2017" s="3" t="inlineStr">
        <is>
          <t>MAT-32-664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Unión universal de PPR 20 mm</t>
        </is>
      </c>
      <c r="E2017" s="4" t="inlineStr"/>
      <c r="F2017" s="3" t="inlineStr">
        <is>
          <t>unidad</t>
        </is>
      </c>
      <c r="G2017" s="3" t="inlineStr">
        <is>
          <t>Instalaciones</t>
        </is>
      </c>
      <c r="H2017" s="3" t="inlineStr">
        <is>
          <t>estandar</t>
        </is>
      </c>
      <c r="I2017" s="3" t="inlineStr">
        <is>
          <t>importado</t>
        </is>
      </c>
      <c r="J2017" s="5" t="n">
        <v>1</v>
      </c>
      <c r="K2017" s="6" t="n">
        <v>25.14</v>
      </c>
      <c r="L2017" s="6" t="n">
        <v>25.14</v>
      </c>
      <c r="M2017" s="6" t="n">
        <v>25.14</v>
      </c>
      <c r="N2017" s="3" t="inlineStr">
        <is>
          <t>Sí</t>
        </is>
      </c>
      <c r="O2017" s="6">
        <f>IF(K2017="","",IF(N2017="Sí",ROUND(K2017/1.18,2),K2017))</f>
        <v/>
      </c>
      <c r="P2017" s="3" t="inlineStr">
        <is>
          <t>2026-09-10</t>
        </is>
      </c>
      <c r="Q2017" s="4" t="inlineStr">
        <is>
          <t>Bellón</t>
        </is>
      </c>
      <c r="AF2017" s="4" t="inlineStr">
        <is>
          <t>tipo: union-universal · material: PPR · medida: 20 mm</t>
        </is>
      </c>
    </row>
    <row r="2018">
      <c r="A2018" s="3" t="inlineStr">
        <is>
          <t>MAT-32-665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Unión universal de PPR 25 mm</t>
        </is>
      </c>
      <c r="E2018" s="4" t="inlineStr"/>
      <c r="F2018" s="3" t="inlineStr">
        <is>
          <t>unidad</t>
        </is>
      </c>
      <c r="G2018" s="3" t="inlineStr">
        <is>
          <t>Instalaciones</t>
        </is>
      </c>
      <c r="H2018" s="3" t="inlineStr">
        <is>
          <t>estandar</t>
        </is>
      </c>
      <c r="I2018" s="3" t="inlineStr">
        <is>
          <t>importado</t>
        </is>
      </c>
      <c r="J2018" s="5" t="n">
        <v>2</v>
      </c>
      <c r="K2018" s="6" t="n">
        <v>99.56999999999999</v>
      </c>
      <c r="L2018" s="6" t="n">
        <v>33.14</v>
      </c>
      <c r="M2018" s="6" t="n">
        <v>166</v>
      </c>
      <c r="N2018" s="3" t="inlineStr">
        <is>
          <t>Sí</t>
        </is>
      </c>
      <c r="O2018" s="6">
        <f>IF(K2018="","",IF(N2018="Sí",ROUND(K2018/1.18,2),K2018))</f>
        <v/>
      </c>
      <c r="P2018" s="3" t="inlineStr">
        <is>
          <t>2026-09-10</t>
        </is>
      </c>
      <c r="Q2018" s="4" t="inlineStr">
        <is>
          <t>Bellón · Ferretería Cima</t>
        </is>
      </c>
      <c r="AF2018" s="4" t="inlineStr">
        <is>
          <t>tipo: union-universal · material: PPR · medida: 25 mm</t>
        </is>
      </c>
    </row>
    <row r="2019">
      <c r="A2019" s="3" t="inlineStr">
        <is>
          <t>MAT-32-666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Unión universal de PPR 32 mm</t>
        </is>
      </c>
      <c r="E2019" s="4" t="inlineStr"/>
      <c r="F2019" s="3" t="inlineStr">
        <is>
          <t>unidad</t>
        </is>
      </c>
      <c r="G2019" s="3" t="inlineStr">
        <is>
          <t>Instalaciones</t>
        </is>
      </c>
      <c r="H2019" s="3" t="inlineStr">
        <is>
          <t>estandar</t>
        </is>
      </c>
      <c r="I2019" s="3" t="inlineStr">
        <is>
          <t>importado</t>
        </is>
      </c>
      <c r="J2019" s="5" t="n">
        <v>1</v>
      </c>
      <c r="K2019" s="6" t="n">
        <v>50.46</v>
      </c>
      <c r="L2019" s="6" t="n">
        <v>50.46</v>
      </c>
      <c r="M2019" s="6" t="n">
        <v>50.46</v>
      </c>
      <c r="N2019" s="3" t="inlineStr">
        <is>
          <t>Sí</t>
        </is>
      </c>
      <c r="O2019" s="6">
        <f>IF(K2019="","",IF(N2019="Sí",ROUND(K2019/1.18,2),K2019))</f>
        <v/>
      </c>
      <c r="P2019" s="3" t="inlineStr">
        <is>
          <t>2026-09-10</t>
        </is>
      </c>
      <c r="Q2019" s="4" t="inlineStr">
        <is>
          <t>Bellón</t>
        </is>
      </c>
      <c r="AF2019" s="4" t="inlineStr">
        <is>
          <t>tipo: union-universal · material: PPR · medida: 32 mm</t>
        </is>
      </c>
    </row>
    <row r="2020">
      <c r="A2020" s="3" t="inlineStr">
        <is>
          <t>MAT-32-667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Unión universal de PPR 50 mm</t>
        </is>
      </c>
      <c r="E2020" s="4" t="inlineStr"/>
      <c r="F2020" s="3" t="inlineStr">
        <is>
          <t>unidad</t>
        </is>
      </c>
      <c r="G2020" s="3" t="inlineStr">
        <is>
          <t>Instalaciones</t>
        </is>
      </c>
      <c r="H2020" s="3" t="inlineStr">
        <is>
          <t>estandar</t>
        </is>
      </c>
      <c r="I2020" s="3" t="inlineStr">
        <is>
          <t>importado</t>
        </is>
      </c>
      <c r="J2020" s="5" t="n">
        <v>1</v>
      </c>
      <c r="K2020" s="6" t="n">
        <v>120</v>
      </c>
      <c r="L2020" s="6" t="n">
        <v>120</v>
      </c>
      <c r="M2020" s="6" t="n">
        <v>120</v>
      </c>
      <c r="N2020" s="3" t="inlineStr">
        <is>
          <t>Sí</t>
        </is>
      </c>
      <c r="O2020" s="6">
        <f>IF(K2020="","",IF(N2020="Sí",ROUND(K2020/1.18,2),K2020))</f>
        <v/>
      </c>
      <c r="P2020" s="3" t="inlineStr">
        <is>
          <t>2026-09-10</t>
        </is>
      </c>
      <c r="Q2020" s="4" t="inlineStr">
        <is>
          <t>Bellón</t>
        </is>
      </c>
      <c r="AF2020" s="4" t="inlineStr">
        <is>
          <t>tipo: union-universal · material: PPR · medida: 50 mm</t>
        </is>
      </c>
    </row>
    <row r="2021">
      <c r="A2021" s="3" t="inlineStr">
        <is>
          <t>MAT-32-668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Unión universal de PVC 1 1/2"</t>
        </is>
      </c>
      <c r="E2021" s="4" t="inlineStr"/>
      <c r="F2021" s="3" t="inlineStr">
        <is>
          <t>unidad</t>
        </is>
      </c>
      <c r="G2021" s="3" t="inlineStr">
        <is>
          <t>Instalaciones</t>
        </is>
      </c>
      <c r="H2021" s="3" t="inlineStr">
        <is>
          <t>estandar</t>
        </is>
      </c>
      <c r="I2021" s="3" t="inlineStr">
        <is>
          <t>importado</t>
        </is>
      </c>
      <c r="J2021" s="5" t="n">
        <v>2</v>
      </c>
      <c r="K2021" s="6" t="n">
        <v>104.52</v>
      </c>
      <c r="L2021" s="6" t="n">
        <v>74.06</v>
      </c>
      <c r="M2021" s="6" t="n">
        <v>217</v>
      </c>
      <c r="N2021" s="3" t="inlineStr">
        <is>
          <t>Sí</t>
        </is>
      </c>
      <c r="O2021" s="6">
        <f>IF(K2021="","",IF(N2021="Sí",ROUND(K2021/1.18,2),K2021))</f>
        <v/>
      </c>
      <c r="P2021" s="3" t="inlineStr">
        <is>
          <t>2026-09-10</t>
        </is>
      </c>
      <c r="Q2021" s="4" t="inlineStr">
        <is>
          <t>Bellón · Ferretería MC</t>
        </is>
      </c>
      <c r="AF2021" s="4" t="inlineStr">
        <is>
          <t>tipo: union-universal · material: PVC · medida: 1 1/2"</t>
        </is>
      </c>
    </row>
    <row r="2022">
      <c r="A2022" s="3" t="inlineStr">
        <is>
          <t>MAT-32-669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Unión universal de PVC 1/2"</t>
        </is>
      </c>
      <c r="E2022" s="4" t="inlineStr"/>
      <c r="F2022" s="3" t="inlineStr">
        <is>
          <t>unidad</t>
        </is>
      </c>
      <c r="G2022" s="3" t="inlineStr">
        <is>
          <t>Instalaciones</t>
        </is>
      </c>
      <c r="H2022" s="3" t="inlineStr">
        <is>
          <t>estandar</t>
        </is>
      </c>
      <c r="I2022" s="3" t="inlineStr">
        <is>
          <t>importado</t>
        </is>
      </c>
      <c r="J2022" s="5" t="n">
        <v>3</v>
      </c>
      <c r="K2022" s="6" t="n">
        <v>30.27</v>
      </c>
      <c r="L2022" s="6" t="n">
        <v>17.7</v>
      </c>
      <c r="M2022" s="6" t="n">
        <v>75</v>
      </c>
      <c r="N2022" s="3" t="inlineStr">
        <is>
          <t>Sí</t>
        </is>
      </c>
      <c r="O2022" s="6">
        <f>IF(K2022="","",IF(N2022="Sí",ROUND(K2022/1.18,2),K2022))</f>
        <v/>
      </c>
      <c r="P2022" s="3" t="inlineStr">
        <is>
          <t>2026-09-10</t>
        </is>
      </c>
      <c r="Q2022" s="4" t="inlineStr">
        <is>
          <t>Bellón · Ferretería Cima · Ferretería MC</t>
        </is>
      </c>
      <c r="AF2022" s="4" t="inlineStr">
        <is>
          <t>tipo: union-universal · material: PVC · medida: 1/2"</t>
        </is>
      </c>
    </row>
    <row r="2023">
      <c r="A2023" s="3" t="inlineStr">
        <is>
          <t>MAT-32-670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Unión universal de PVC 1"</t>
        </is>
      </c>
      <c r="E2023" s="4" t="inlineStr"/>
      <c r="F2023" s="3" t="inlineStr">
        <is>
          <t>unidad</t>
        </is>
      </c>
      <c r="G2023" s="3" t="inlineStr">
        <is>
          <t>Instalaciones</t>
        </is>
      </c>
      <c r="H2023" s="3" t="inlineStr">
        <is>
          <t>estandar</t>
        </is>
      </c>
      <c r="I2023" s="3" t="inlineStr">
        <is>
          <t>importado</t>
        </is>
      </c>
      <c r="J2023" s="5" t="n">
        <v>3</v>
      </c>
      <c r="K2023" s="6" t="n">
        <v>49.47</v>
      </c>
      <c r="L2023" s="6" t="n">
        <v>37</v>
      </c>
      <c r="M2023" s="6" t="n">
        <v>147</v>
      </c>
      <c r="N2023" s="3" t="inlineStr">
        <is>
          <t>Sí</t>
        </is>
      </c>
      <c r="O2023" s="6">
        <f>IF(K2023="","",IF(N2023="Sí",ROUND(K2023/1.18,2),K2023))</f>
        <v/>
      </c>
      <c r="P2023" s="3" t="inlineStr">
        <is>
          <t>2026-09-10</t>
        </is>
      </c>
      <c r="Q2023" s="4" t="inlineStr">
        <is>
          <t>Bellón · Ferretería Cima · Ferretería MC</t>
        </is>
      </c>
      <c r="AF2023" s="4" t="inlineStr">
        <is>
          <t>tipo: union-universal · material: PVC · medida: 1"</t>
        </is>
      </c>
    </row>
    <row r="2024">
      <c r="A2024" s="3" t="inlineStr">
        <is>
          <t>MAT-32-671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Unión universal de PVC 2"</t>
        </is>
      </c>
      <c r="E2024" s="4" t="inlineStr"/>
      <c r="F2024" s="3" t="inlineStr">
        <is>
          <t>unidad</t>
        </is>
      </c>
      <c r="G2024" s="3" t="inlineStr">
        <is>
          <t>Instalaciones</t>
        </is>
      </c>
      <c r="H2024" s="3" t="inlineStr">
        <is>
          <t>estandar</t>
        </is>
      </c>
      <c r="I2024" s="3" t="inlineStr">
        <is>
          <t>importado</t>
        </is>
      </c>
      <c r="J2024" s="5" t="n">
        <v>3</v>
      </c>
      <c r="K2024" s="6" t="n">
        <v>161.66</v>
      </c>
      <c r="L2024" s="6" t="n">
        <v>125.07</v>
      </c>
      <c r="M2024" s="6" t="n">
        <v>401</v>
      </c>
      <c r="N2024" s="3" t="inlineStr">
        <is>
          <t>Sí</t>
        </is>
      </c>
      <c r="O2024" s="6">
        <f>IF(K2024="","",IF(N2024="Sí",ROUND(K2024/1.18,2),K2024))</f>
        <v/>
      </c>
      <c r="P2024" s="3" t="inlineStr">
        <is>
          <t>2026-09-10</t>
        </is>
      </c>
      <c r="Q2024" s="4" t="inlineStr">
        <is>
          <t>Bellón · Ferretería Cima · Ferretería MC</t>
        </is>
      </c>
      <c r="AF2024" s="4" t="inlineStr">
        <is>
          <t>tipo: union-universal · material: PVC · medida: 2"</t>
        </is>
      </c>
    </row>
    <row r="2025">
      <c r="A2025" s="3" t="inlineStr">
        <is>
          <t>MAT-32-672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Unión universal de PVC 3/4"</t>
        </is>
      </c>
      <c r="E2025" s="4" t="inlineStr"/>
      <c r="F2025" s="3" t="inlineStr">
        <is>
          <t>unidad</t>
        </is>
      </c>
      <c r="G2025" s="3" t="inlineStr">
        <is>
          <t>Instalaciones</t>
        </is>
      </c>
      <c r="H2025" s="3" t="inlineStr">
        <is>
          <t>estandar</t>
        </is>
      </c>
      <c r="I2025" s="3" t="inlineStr">
        <is>
          <t>importado</t>
        </is>
      </c>
      <c r="J2025" s="5" t="n">
        <v>3</v>
      </c>
      <c r="K2025" s="6" t="n">
        <v>33.24</v>
      </c>
      <c r="L2025" s="6" t="n">
        <v>23.2</v>
      </c>
      <c r="M2025" s="6" t="n">
        <v>105</v>
      </c>
      <c r="N2025" s="3" t="inlineStr">
        <is>
          <t>Sí</t>
        </is>
      </c>
      <c r="O2025" s="6">
        <f>IF(K2025="","",IF(N2025="Sí",ROUND(K2025/1.18,2),K2025))</f>
        <v/>
      </c>
      <c r="P2025" s="3" t="inlineStr">
        <is>
          <t>2026-09-10</t>
        </is>
      </c>
      <c r="Q2025" s="4" t="inlineStr">
        <is>
          <t>Bellón · Ferretería Cima · Ferretería MC</t>
        </is>
      </c>
      <c r="AF2025" s="4" t="inlineStr">
        <is>
          <t>tipo: union-universal · material: PVC · medida: 3/4"</t>
        </is>
      </c>
    </row>
    <row r="2026">
      <c r="A2026" s="3" t="inlineStr">
        <is>
          <t>MAT-32-673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universal de PVC 3"</t>
        </is>
      </c>
      <c r="E2026" s="4" t="inlineStr"/>
      <c r="F2026" s="3" t="inlineStr">
        <is>
          <t>unidad</t>
        </is>
      </c>
      <c r="G2026" s="3" t="inlineStr">
        <is>
          <t>Instalaciones</t>
        </is>
      </c>
      <c r="H2026" s="3" t="inlineStr">
        <is>
          <t>estandar</t>
        </is>
      </c>
      <c r="I2026" s="3" t="inlineStr">
        <is>
          <t>importado</t>
        </is>
      </c>
      <c r="J2026" s="5" t="n">
        <v>2</v>
      </c>
      <c r="K2026" s="6" t="n">
        <v>588</v>
      </c>
      <c r="L2026" s="6" t="n">
        <v>531</v>
      </c>
      <c r="M2026" s="6" t="n">
        <v>645</v>
      </c>
      <c r="N2026" s="3" t="inlineStr">
        <is>
          <t>Sí</t>
        </is>
      </c>
      <c r="O2026" s="6">
        <f>IF(K2026="","",IF(N2026="Sí",ROUND(K2026/1.18,2),K2026))</f>
        <v/>
      </c>
      <c r="P2026" s="3" t="inlineStr">
        <is>
          <t>2026-09-10</t>
        </is>
      </c>
      <c r="Q2026" s="4" t="inlineStr">
        <is>
          <t>Bellón · Ferretería MC</t>
        </is>
      </c>
      <c r="AF2026" s="4" t="inlineStr">
        <is>
          <t>tipo: union-universal · material: PVC · medida: 3"</t>
        </is>
      </c>
    </row>
    <row r="2027">
      <c r="A2027" s="3" t="inlineStr">
        <is>
          <t>MAT-32-674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universal de PVC 4"</t>
        </is>
      </c>
      <c r="E2027" s="4" t="inlineStr"/>
      <c r="F2027" s="3" t="inlineStr">
        <is>
          <t>unidad</t>
        </is>
      </c>
      <c r="G2027" s="3" t="inlineStr">
        <is>
          <t>Instalaciones</t>
        </is>
      </c>
      <c r="H2027" s="3" t="inlineStr">
        <is>
          <t>estandar</t>
        </is>
      </c>
      <c r="I2027" s="3" t="inlineStr">
        <is>
          <t>importado</t>
        </is>
      </c>
      <c r="J2027" s="5" t="n">
        <v>1</v>
      </c>
      <c r="K2027" s="6" t="n">
        <v>1256</v>
      </c>
      <c r="L2027" s="6" t="n">
        <v>895</v>
      </c>
      <c r="M2027" s="6" t="n">
        <v>1617</v>
      </c>
      <c r="N2027" s="3" t="inlineStr">
        <is>
          <t>Sí</t>
        </is>
      </c>
      <c r="O2027" s="6">
        <f>IF(K2027="","",IF(N2027="Sí",ROUND(K2027/1.18,2),K2027))</f>
        <v/>
      </c>
      <c r="P2027" s="3" t="inlineStr">
        <is>
          <t>2026-09-10</t>
        </is>
      </c>
      <c r="Q2027" s="4" t="inlineStr">
        <is>
          <t>Bellón</t>
        </is>
      </c>
      <c r="AF2027" s="4" t="inlineStr">
        <is>
          <t>tipo: union-universal · material: PVC · medida: 4"</t>
        </is>
      </c>
    </row>
    <row r="2028">
      <c r="A2028" s="3" t="inlineStr">
        <is>
          <t>MAT-32-675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universal de PVC SCH-80 1"</t>
        </is>
      </c>
      <c r="E2028" s="4" t="inlineStr"/>
      <c r="F2028" s="3" t="inlineStr">
        <is>
          <t>unidad</t>
        </is>
      </c>
      <c r="G2028" s="3" t="inlineStr">
        <is>
          <t>Instalaciones</t>
        </is>
      </c>
      <c r="H2028" s="3" t="inlineStr">
        <is>
          <t>estandar</t>
        </is>
      </c>
      <c r="I2028" s="3" t="inlineStr">
        <is>
          <t>importado</t>
        </is>
      </c>
      <c r="J2028" s="5" t="n">
        <v>1</v>
      </c>
      <c r="K2028" s="6" t="n">
        <v>98.28</v>
      </c>
      <c r="L2028" s="6" t="n">
        <v>98.28</v>
      </c>
      <c r="M2028" s="6" t="n">
        <v>98.28</v>
      </c>
      <c r="N2028" s="3" t="inlineStr">
        <is>
          <t>Sí</t>
        </is>
      </c>
      <c r="O2028" s="6">
        <f>IF(K2028="","",IF(N2028="Sí",ROUND(K2028/1.18,2),K2028))</f>
        <v/>
      </c>
      <c r="P2028" s="3" t="inlineStr">
        <is>
          <t>2026-09-09</t>
        </is>
      </c>
      <c r="Q2028" s="4" t="inlineStr">
        <is>
          <t>Ferretería MC</t>
        </is>
      </c>
      <c r="AF2028" s="4" t="inlineStr">
        <is>
          <t>tipo: union-universal · material: PVC SCH-80 · medida: 1"</t>
        </is>
      </c>
    </row>
    <row r="2029">
      <c r="A2029" s="3" t="inlineStr">
        <is>
          <t>MAT-32-676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Yee de PVC drenaje 1 1/2"</t>
        </is>
      </c>
      <c r="E2029" s="4" t="inlineStr"/>
      <c r="F2029" s="3" t="inlineStr">
        <is>
          <t>unidad</t>
        </is>
      </c>
      <c r="G2029" s="3" t="inlineStr">
        <is>
          <t>Instalaciones</t>
        </is>
      </c>
      <c r="H2029" s="3" t="inlineStr">
        <is>
          <t>estandar</t>
        </is>
      </c>
      <c r="I2029" s="3" t="inlineStr">
        <is>
          <t>importado</t>
        </is>
      </c>
      <c r="J2029" s="5" t="n">
        <v>2</v>
      </c>
      <c r="K2029" s="6" t="n">
        <v>43.45</v>
      </c>
      <c r="L2029" s="6" t="n">
        <v>39.9</v>
      </c>
      <c r="M2029" s="6" t="n">
        <v>47</v>
      </c>
      <c r="N2029" s="3" t="inlineStr">
        <is>
          <t>Sí</t>
        </is>
      </c>
      <c r="O2029" s="6">
        <f>IF(K2029="","",IF(N2029="Sí",ROUND(K2029/1.18,2),K2029))</f>
        <v/>
      </c>
      <c r="P2029" s="3" t="inlineStr">
        <is>
          <t>2026-09-10</t>
        </is>
      </c>
      <c r="Q2029" s="4" t="inlineStr">
        <is>
          <t>Bellón · Ferretería Cima</t>
        </is>
      </c>
      <c r="AF2029" s="4" t="inlineStr">
        <is>
          <t>tipo: yee · material: PVC drenaje · medida: 1 1/2"</t>
        </is>
      </c>
    </row>
    <row r="2030">
      <c r="A2030" s="3" t="inlineStr">
        <is>
          <t>MAT-32-677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Yee de PVC drenaje 2"</t>
        </is>
      </c>
      <c r="E2030" s="4" t="inlineStr"/>
      <c r="F2030" s="3" t="inlineStr">
        <is>
          <t>unidad</t>
        </is>
      </c>
      <c r="G2030" s="3" t="inlineStr">
        <is>
          <t>Instalaciones</t>
        </is>
      </c>
      <c r="H2030" s="3" t="inlineStr">
        <is>
          <t>estandar</t>
        </is>
      </c>
      <c r="I2030" s="3" t="inlineStr">
        <is>
          <t>importado</t>
        </is>
      </c>
      <c r="J2030" s="5" t="n">
        <v>2</v>
      </c>
      <c r="K2030" s="6" t="n">
        <v>46.1</v>
      </c>
      <c r="L2030" s="6" t="n">
        <v>39.22</v>
      </c>
      <c r="M2030" s="6" t="n">
        <v>145</v>
      </c>
      <c r="N2030" s="3" t="inlineStr">
        <is>
          <t>Sí</t>
        </is>
      </c>
      <c r="O2030" s="6">
        <f>IF(K2030="","",IF(N2030="Sí",ROUND(K2030/1.18,2),K2030))</f>
        <v/>
      </c>
      <c r="P2030" s="3" t="inlineStr">
        <is>
          <t>2026-09-10</t>
        </is>
      </c>
      <c r="Q2030" s="4" t="inlineStr">
        <is>
          <t>Bellón · Ferretería Cima</t>
        </is>
      </c>
      <c r="AF2030" s="4" t="inlineStr">
        <is>
          <t>tipo: yee · material: PVC drenaje · medida: 2"</t>
        </is>
      </c>
    </row>
    <row r="2031">
      <c r="A2031" s="3" t="inlineStr">
        <is>
          <t>MAT-32-678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Yee de PVC drenaje 3"</t>
        </is>
      </c>
      <c r="E2031" s="4" t="inlineStr"/>
      <c r="F2031" s="3" t="inlineStr">
        <is>
          <t>unidad</t>
        </is>
      </c>
      <c r="G2031" s="3" t="inlineStr">
        <is>
          <t>Instalaciones</t>
        </is>
      </c>
      <c r="H2031" s="3" t="inlineStr">
        <is>
          <t>estandar</t>
        </is>
      </c>
      <c r="I2031" s="3" t="inlineStr">
        <is>
          <t>importado</t>
        </is>
      </c>
      <c r="J2031" s="5" t="n">
        <v>1</v>
      </c>
      <c r="K2031" s="6" t="n">
        <v>113.54</v>
      </c>
      <c r="L2031" s="6" t="n">
        <v>76.79000000000001</v>
      </c>
      <c r="M2031" s="6" t="n">
        <v>150.29</v>
      </c>
      <c r="N2031" s="3" t="inlineStr">
        <is>
          <t>Sí</t>
        </is>
      </c>
      <c r="O2031" s="6">
        <f>IF(K2031="","",IF(N2031="Sí",ROUND(K2031/1.18,2),K2031))</f>
        <v/>
      </c>
      <c r="P2031" s="3" t="inlineStr">
        <is>
          <t>2026-09-10</t>
        </is>
      </c>
      <c r="Q2031" s="4" t="inlineStr">
        <is>
          <t>Bellón</t>
        </is>
      </c>
      <c r="AF2031" s="4" t="inlineStr">
        <is>
          <t>tipo: yee · material: PVC drenaje · medida: 3"</t>
        </is>
      </c>
    </row>
    <row r="2032">
      <c r="A2032" s="3" t="inlineStr">
        <is>
          <t>MAT-32-679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Yee de PVC drenaje 3" x 2"</t>
        </is>
      </c>
      <c r="E2032" s="4" t="inlineStr"/>
      <c r="F2032" s="3" t="inlineStr">
        <is>
          <t>unidad</t>
        </is>
      </c>
      <c r="G2032" s="3" t="inlineStr">
        <is>
          <t>Instalaciones</t>
        </is>
      </c>
      <c r="H2032" s="3" t="inlineStr">
        <is>
          <t>estandar</t>
        </is>
      </c>
      <c r="I2032" s="3" t="inlineStr">
        <is>
          <t>importado</t>
        </is>
      </c>
      <c r="J2032" s="5" t="n">
        <v>2</v>
      </c>
      <c r="K2032" s="6" t="n">
        <v>147.29</v>
      </c>
      <c r="L2032" s="6" t="n">
        <v>89.56999999999999</v>
      </c>
      <c r="M2032" s="6" t="n">
        <v>205</v>
      </c>
      <c r="N2032" s="3" t="inlineStr">
        <is>
          <t>Sí</t>
        </is>
      </c>
      <c r="O2032" s="6">
        <f>IF(K2032="","",IF(N2032="Sí",ROUND(K2032/1.18,2),K2032))</f>
        <v/>
      </c>
      <c r="P2032" s="3" t="inlineStr">
        <is>
          <t>2026-09-10</t>
        </is>
      </c>
      <c r="Q2032" s="4" t="inlineStr">
        <is>
          <t>Bellón · Ferretería Cima</t>
        </is>
      </c>
      <c r="AF2032" s="4" t="inlineStr">
        <is>
          <t>tipo: yee · material: PVC drenaje · medida: 3" x 2"</t>
        </is>
      </c>
    </row>
    <row r="2033">
      <c r="A2033" s="3" t="inlineStr">
        <is>
          <t>MAT-32-680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Yee de PVC drenaje 4"</t>
        </is>
      </c>
      <c r="E2033" s="4" t="inlineStr"/>
      <c r="F2033" s="3" t="inlineStr">
        <is>
          <t>unidad</t>
        </is>
      </c>
      <c r="G2033" s="3" t="inlineStr">
        <is>
          <t>Instalaciones</t>
        </is>
      </c>
      <c r="H2033" s="3" t="inlineStr">
        <is>
          <t>estandar</t>
        </is>
      </c>
      <c r="I2033" s="3" t="inlineStr">
        <is>
          <t>importado</t>
        </is>
      </c>
      <c r="J2033" s="5" t="n">
        <v>2</v>
      </c>
      <c r="K2033" s="6" t="n">
        <v>224.26</v>
      </c>
      <c r="L2033" s="6" t="n">
        <v>160</v>
      </c>
      <c r="M2033" s="6" t="n">
        <v>425</v>
      </c>
      <c r="N2033" s="3" t="inlineStr">
        <is>
          <t>Sí</t>
        </is>
      </c>
      <c r="O2033" s="6">
        <f>IF(K2033="","",IF(N2033="Sí",ROUND(K2033/1.18,2),K2033))</f>
        <v/>
      </c>
      <c r="P2033" s="3" t="inlineStr">
        <is>
          <t>2026-09-10</t>
        </is>
      </c>
      <c r="Q2033" s="4" t="inlineStr">
        <is>
          <t>Bellón · Ferretería Cima</t>
        </is>
      </c>
      <c r="AF2033" s="4" t="inlineStr">
        <is>
          <t>tipo: yee · material: PVC drenaje · medida: 4"</t>
        </is>
      </c>
    </row>
    <row r="2034">
      <c r="A2034" s="3" t="inlineStr">
        <is>
          <t>MAT-32-681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Yee de PVC drenaje 4" x 2"</t>
        </is>
      </c>
      <c r="E2034" s="4" t="inlineStr"/>
      <c r="F2034" s="3" t="inlineStr">
        <is>
          <t>unidad</t>
        </is>
      </c>
      <c r="G2034" s="3" t="inlineStr">
        <is>
          <t>Instalaciones</t>
        </is>
      </c>
      <c r="H2034" s="3" t="inlineStr">
        <is>
          <t>estandar</t>
        </is>
      </c>
      <c r="I2034" s="3" t="inlineStr">
        <is>
          <t>importado</t>
        </is>
      </c>
      <c r="J2034" s="5" t="n">
        <v>2</v>
      </c>
      <c r="K2034" s="6" t="n">
        <v>120.22</v>
      </c>
      <c r="L2034" s="6" t="n">
        <v>97</v>
      </c>
      <c r="M2034" s="6" t="n">
        <v>265</v>
      </c>
      <c r="N2034" s="3" t="inlineStr">
        <is>
          <t>Sí</t>
        </is>
      </c>
      <c r="O2034" s="6">
        <f>IF(K2034="","",IF(N2034="Sí",ROUND(K2034/1.18,2),K2034))</f>
        <v/>
      </c>
      <c r="P2034" s="3" t="inlineStr">
        <is>
          <t>2026-09-10</t>
        </is>
      </c>
      <c r="Q2034" s="4" t="inlineStr">
        <is>
          <t>Bellón · Ferretería Cima</t>
        </is>
      </c>
      <c r="AF2034" s="4" t="inlineStr">
        <is>
          <t>tipo: yee · material: PVC drenaje · medida: 4" x 2"</t>
        </is>
      </c>
    </row>
    <row r="2035">
      <c r="A2035" s="3" t="inlineStr">
        <is>
          <t>MAT-32-682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Yee de PVC drenaje 4" x 3"</t>
        </is>
      </c>
      <c r="E2035" s="4" t="inlineStr"/>
      <c r="F2035" s="3" t="inlineStr">
        <is>
          <t>unidad</t>
        </is>
      </c>
      <c r="G2035" s="3" t="inlineStr">
        <is>
          <t>Instalaciones</t>
        </is>
      </c>
      <c r="H2035" s="3" t="inlineStr">
        <is>
          <t>estandar</t>
        </is>
      </c>
      <c r="I2035" s="3" t="inlineStr">
        <is>
          <t>importado</t>
        </is>
      </c>
      <c r="J2035" s="5" t="n">
        <v>1</v>
      </c>
      <c r="K2035" s="6" t="n">
        <v>191.92</v>
      </c>
      <c r="L2035" s="6" t="n">
        <v>191.92</v>
      </c>
      <c r="M2035" s="6" t="n">
        <v>191.92</v>
      </c>
      <c r="N2035" s="3" t="inlineStr">
        <is>
          <t>Sí</t>
        </is>
      </c>
      <c r="O2035" s="6">
        <f>IF(K2035="","",IF(N2035="Sí",ROUND(K2035/1.18,2),K2035))</f>
        <v/>
      </c>
      <c r="P2035" s="3" t="inlineStr">
        <is>
          <t>2026-09-10</t>
        </is>
      </c>
      <c r="Q2035" s="4" t="inlineStr">
        <is>
          <t>Bellón</t>
        </is>
      </c>
      <c r="AF2035" s="4" t="inlineStr">
        <is>
          <t>tipo: yee · material: PVC drenaje · medida: 4" x 3"</t>
        </is>
      </c>
    </row>
    <row r="2036">
      <c r="A2036" s="3" t="inlineStr">
        <is>
          <t>MAT-32-683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Yee de PVC drenaje 6"</t>
        </is>
      </c>
      <c r="E2036" s="4" t="inlineStr"/>
      <c r="F2036" s="3" t="inlineStr">
        <is>
          <t>unidad</t>
        </is>
      </c>
      <c r="G2036" s="3" t="inlineStr">
        <is>
          <t>Instalaciones</t>
        </is>
      </c>
      <c r="H2036" s="3" t="inlineStr">
        <is>
          <t>estandar</t>
        </is>
      </c>
      <c r="I2036" s="3" t="inlineStr">
        <is>
          <t>importado</t>
        </is>
      </c>
      <c r="J2036" s="5" t="n">
        <v>1</v>
      </c>
      <c r="K2036" s="6" t="n">
        <v>923.5</v>
      </c>
      <c r="L2036" s="6" t="n">
        <v>875</v>
      </c>
      <c r="M2036" s="6" t="n">
        <v>972</v>
      </c>
      <c r="N2036" s="3" t="inlineStr">
        <is>
          <t>Sí</t>
        </is>
      </c>
      <c r="O2036" s="6">
        <f>IF(K2036="","",IF(N2036="Sí",ROUND(K2036/1.18,2),K2036))</f>
        <v/>
      </c>
      <c r="P2036" s="3" t="inlineStr">
        <is>
          <t>2026-09-10</t>
        </is>
      </c>
      <c r="Q2036" s="4" t="inlineStr">
        <is>
          <t>Bellón</t>
        </is>
      </c>
      <c r="AF2036" s="4" t="inlineStr">
        <is>
          <t>tipo: yee · material: PVC drenaje · medida: 6"</t>
        </is>
      </c>
    </row>
    <row r="2037">
      <c r="A2037" s="3" t="inlineStr">
        <is>
          <t>MAT-32-684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Yee de PVC drenaje 6" x 4"</t>
        </is>
      </c>
      <c r="E2037" s="4" t="inlineStr"/>
      <c r="F2037" s="3" t="inlineStr">
        <is>
          <t>unidad</t>
        </is>
      </c>
      <c r="G2037" s="3" t="inlineStr">
        <is>
          <t>Instalaciones</t>
        </is>
      </c>
      <c r="H2037" s="3" t="inlineStr">
        <is>
          <t>estandar</t>
        </is>
      </c>
      <c r="I2037" s="3" t="inlineStr">
        <is>
          <t>importado</t>
        </is>
      </c>
      <c r="J2037" s="5" t="n">
        <v>1</v>
      </c>
      <c r="K2037" s="6" t="n">
        <v>855</v>
      </c>
      <c r="L2037" s="6" t="n">
        <v>855</v>
      </c>
      <c r="M2037" s="6" t="n">
        <v>855</v>
      </c>
      <c r="N2037" s="3" t="inlineStr">
        <is>
          <t>Sí</t>
        </is>
      </c>
      <c r="O2037" s="6">
        <f>IF(K2037="","",IF(N2037="Sí",ROUND(K2037/1.18,2),K2037))</f>
        <v/>
      </c>
      <c r="P2037" s="3" t="inlineStr">
        <is>
          <t>2026-09-10</t>
        </is>
      </c>
      <c r="Q2037" s="4" t="inlineStr">
        <is>
          <t>Bellón</t>
        </is>
      </c>
      <c r="AF2037" s="4" t="inlineStr">
        <is>
          <t>tipo: yee · material: PVC drenaje · medida: 6" x 4"</t>
        </is>
      </c>
    </row>
    <row r="2038">
      <c r="A2038" s="3" t="inlineStr">
        <is>
          <t>MAT-32-685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Yee de PVC drenaje 8" x 4"</t>
        </is>
      </c>
      <c r="E2038" s="4" t="inlineStr"/>
      <c r="F2038" s="3" t="inlineStr">
        <is>
          <t>unidad</t>
        </is>
      </c>
      <c r="G2038" s="3" t="inlineStr">
        <is>
          <t>Instalaciones</t>
        </is>
      </c>
      <c r="H2038" s="3" t="inlineStr">
        <is>
          <t>estandar</t>
        </is>
      </c>
      <c r="I2038" s="3" t="inlineStr">
        <is>
          <t>importado</t>
        </is>
      </c>
      <c r="J2038" s="5" t="n">
        <v>1</v>
      </c>
      <c r="K2038" s="6" t="n">
        <v>5151</v>
      </c>
      <c r="L2038" s="6" t="n">
        <v>5151</v>
      </c>
      <c r="M2038" s="6" t="n">
        <v>5151</v>
      </c>
      <c r="N2038" s="3" t="inlineStr">
        <is>
          <t>Sí</t>
        </is>
      </c>
      <c r="O2038" s="6">
        <f>IF(K2038="","",IF(N2038="Sí",ROUND(K2038/1.18,2),K2038))</f>
        <v/>
      </c>
      <c r="P2038" s="3" t="inlineStr">
        <is>
          <t>2026-09-10</t>
        </is>
      </c>
      <c r="Q2038" s="4" t="inlineStr">
        <is>
          <t>Bellón</t>
        </is>
      </c>
      <c r="AF2038" s="4" t="inlineStr">
        <is>
          <t>tipo: yee · material: PVC drenaje · medida: 8" x 4"</t>
        </is>
      </c>
    </row>
    <row r="2039">
      <c r="A2039" s="3" t="inlineStr">
        <is>
          <t>MAT-32-686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Yee de PVC presión 3" x 2"</t>
        </is>
      </c>
      <c r="E2039" s="4" t="inlineStr"/>
      <c r="F2039" s="3" t="inlineStr">
        <is>
          <t>unidad</t>
        </is>
      </c>
      <c r="G2039" s="3" t="inlineStr">
        <is>
          <t>Instalaciones</t>
        </is>
      </c>
      <c r="H2039" s="3" t="inlineStr">
        <is>
          <t>estandar</t>
        </is>
      </c>
      <c r="I2039" s="3" t="inlineStr">
        <is>
          <t>importado</t>
        </is>
      </c>
      <c r="J2039" s="5" t="n">
        <v>1</v>
      </c>
      <c r="K2039" s="6" t="n">
        <v>546</v>
      </c>
      <c r="L2039" s="6" t="n">
        <v>546</v>
      </c>
      <c r="M2039" s="6" t="n">
        <v>546</v>
      </c>
      <c r="N2039" s="3" t="inlineStr">
        <is>
          <t>Sí</t>
        </is>
      </c>
      <c r="O2039" s="6">
        <f>IF(K2039="","",IF(N2039="Sí",ROUND(K2039/1.18,2),K2039))</f>
        <v/>
      </c>
      <c r="P2039" s="3" t="inlineStr">
        <is>
          <t>2026-09-10</t>
        </is>
      </c>
      <c r="Q2039" s="4" t="inlineStr">
        <is>
          <t>Bellón</t>
        </is>
      </c>
      <c r="AF2039" s="4" t="inlineStr">
        <is>
          <t>tipo: yee · material: PVC presión · medida: 3" x 2"</t>
        </is>
      </c>
    </row>
    <row r="2040">
      <c r="A2040" s="3" t="inlineStr">
        <is>
          <t>MAT-32-687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Yee de PVC presión 4" x 2"</t>
        </is>
      </c>
      <c r="E2040" s="4" t="inlineStr"/>
      <c r="F2040" s="3" t="inlineStr">
        <is>
          <t>unidad</t>
        </is>
      </c>
      <c r="G2040" s="3" t="inlineStr">
        <is>
          <t>Instalaciones</t>
        </is>
      </c>
      <c r="H2040" s="3" t="inlineStr">
        <is>
          <t>estandar</t>
        </is>
      </c>
      <c r="I2040" s="3" t="inlineStr">
        <is>
          <t>importado</t>
        </is>
      </c>
      <c r="J2040" s="5" t="n">
        <v>1</v>
      </c>
      <c r="K2040" s="6" t="n">
        <v>429</v>
      </c>
      <c r="L2040" s="6" t="n">
        <v>429</v>
      </c>
      <c r="M2040" s="6" t="n">
        <v>429</v>
      </c>
      <c r="N2040" s="3" t="inlineStr">
        <is>
          <t>Sí</t>
        </is>
      </c>
      <c r="O2040" s="6">
        <f>IF(K2040="","",IF(N2040="Sí",ROUND(K2040/1.18,2),K2040))</f>
        <v/>
      </c>
      <c r="P2040" s="3" t="inlineStr">
        <is>
          <t>2026-09-10</t>
        </is>
      </c>
      <c r="Q2040" s="4" t="inlineStr">
        <is>
          <t>Bellón</t>
        </is>
      </c>
      <c r="AF2040" s="4" t="inlineStr">
        <is>
          <t>tipo: yee · material: PVC presión · medida: 4" x 2"</t>
        </is>
      </c>
    </row>
    <row r="2041">
      <c r="A2041" s="3" t="inlineStr">
        <is>
          <t>MAT-32-688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Llave de paso angular de latón 1/2"</t>
        </is>
      </c>
      <c r="E2041" s="4" t="inlineStr"/>
      <c r="F2041" s="3" t="inlineStr">
        <is>
          <t>unidad</t>
        </is>
      </c>
      <c r="G2041" s="3" t="inlineStr">
        <is>
          <t>Instalaciones</t>
        </is>
      </c>
      <c r="H2041" s="3" t="inlineStr">
        <is>
          <t>estandar</t>
        </is>
      </c>
      <c r="I2041" s="3" t="inlineStr">
        <is>
          <t>importado</t>
        </is>
      </c>
      <c r="J2041" s="5" t="n">
        <v>1</v>
      </c>
      <c r="K2041" s="6" t="n">
        <v>375</v>
      </c>
      <c r="L2041" s="6" t="n">
        <v>355</v>
      </c>
      <c r="M2041" s="6" t="n">
        <v>395</v>
      </c>
      <c r="N2041" s="3" t="inlineStr">
        <is>
          <t>Sí</t>
        </is>
      </c>
      <c r="O2041" s="6">
        <f>IF(K2041="","",IF(N2041="Sí",ROUND(K2041/1.18,2),K2041))</f>
        <v/>
      </c>
      <c r="P2041" s="3" t="inlineStr">
        <is>
          <t>2026-09-10</t>
        </is>
      </c>
      <c r="Q2041" s="4" t="inlineStr">
        <is>
          <t>Ferremix (Grupo Alterra)</t>
        </is>
      </c>
      <c r="AF2041" s="4" t="inlineStr">
        <is>
          <t>tipo: angular · material: latón · medida: 1/2"</t>
        </is>
      </c>
    </row>
    <row r="2042">
      <c r="A2042" s="3" t="inlineStr">
        <is>
          <t>MAT-32-689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Llave de paso angular de metal 1/2"</t>
        </is>
      </c>
      <c r="E2042" s="4" t="inlineStr"/>
      <c r="F2042" s="3" t="inlineStr">
        <is>
          <t>unidad</t>
        </is>
      </c>
      <c r="G2042" s="3" t="inlineStr">
        <is>
          <t>Instalaciones</t>
        </is>
      </c>
      <c r="H2042" s="3" t="inlineStr">
        <is>
          <t>estandar</t>
        </is>
      </c>
      <c r="I2042" s="3" t="inlineStr">
        <is>
          <t>importado</t>
        </is>
      </c>
      <c r="J2042" s="5" t="n">
        <v>2</v>
      </c>
      <c r="K2042" s="6" t="n">
        <v>271</v>
      </c>
      <c r="L2042" s="6" t="n">
        <v>140</v>
      </c>
      <c r="M2042" s="6" t="n">
        <v>565</v>
      </c>
      <c r="N2042" s="3" t="inlineStr">
        <is>
          <t>Sí</t>
        </is>
      </c>
      <c r="O2042" s="6">
        <f>IF(K2042="","",IF(N2042="Sí",ROUND(K2042/1.18,2),K2042))</f>
        <v/>
      </c>
      <c r="P2042" s="3" t="inlineStr">
        <is>
          <t>2026-09-10</t>
        </is>
      </c>
      <c r="Q2042" s="4" t="inlineStr">
        <is>
          <t>Ferremix (Grupo Alterra) · Ferretería Cima</t>
        </is>
      </c>
      <c r="AF2042" s="4" t="inlineStr">
        <is>
          <t>tipo: angular · material: metal · medida: 1/2"</t>
        </is>
      </c>
    </row>
    <row r="2043">
      <c r="A2043" s="3" t="inlineStr">
        <is>
          <t>MAT-32-690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Llave de paso angular de metal 3/8"</t>
        </is>
      </c>
      <c r="E2043" s="4" t="inlineStr"/>
      <c r="F2043" s="3" t="inlineStr">
        <is>
          <t>unidad</t>
        </is>
      </c>
      <c r="G2043" s="3" t="inlineStr">
        <is>
          <t>Instalaciones</t>
        </is>
      </c>
      <c r="H2043" s="3" t="inlineStr">
        <is>
          <t>estandar</t>
        </is>
      </c>
      <c r="I2043" s="3" t="inlineStr">
        <is>
          <t>importado</t>
        </is>
      </c>
      <c r="J2043" s="5" t="n">
        <v>2</v>
      </c>
      <c r="K2043" s="6" t="n">
        <v>285</v>
      </c>
      <c r="L2043" s="6" t="n">
        <v>257</v>
      </c>
      <c r="M2043" s="6" t="n">
        <v>453</v>
      </c>
      <c r="N2043" s="3" t="inlineStr">
        <is>
          <t>Sí</t>
        </is>
      </c>
      <c r="O2043" s="6">
        <f>IF(K2043="","",IF(N2043="Sí",ROUND(K2043/1.18,2),K2043))</f>
        <v/>
      </c>
      <c r="P2043" s="3" t="inlineStr">
        <is>
          <t>2026-09-10</t>
        </is>
      </c>
      <c r="Q2043" s="4" t="inlineStr">
        <is>
          <t>Ferremix (Grupo Alterra) · Ferretería Cima</t>
        </is>
      </c>
      <c r="AF2043" s="4" t="inlineStr">
        <is>
          <t>tipo: angular · material: metal · medida: 3/8"</t>
        </is>
      </c>
    </row>
    <row r="2044">
      <c r="A2044" s="3" t="inlineStr">
        <is>
          <t>MAT-32-691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Llave de paso bola de PPR 1/2"</t>
        </is>
      </c>
      <c r="E2044" s="4" t="inlineStr"/>
      <c r="F2044" s="3" t="inlineStr">
        <is>
          <t>unidad</t>
        </is>
      </c>
      <c r="G2044" s="3" t="inlineStr">
        <is>
          <t>Instalaciones</t>
        </is>
      </c>
      <c r="H2044" s="3" t="inlineStr">
        <is>
          <t>estandar</t>
        </is>
      </c>
      <c r="I2044" s="3" t="inlineStr">
        <is>
          <t>importado</t>
        </is>
      </c>
      <c r="J2044" s="5" t="n">
        <v>1</v>
      </c>
      <c r="K2044" s="6" t="n">
        <v>205</v>
      </c>
      <c r="L2044" s="6" t="n">
        <v>205</v>
      </c>
      <c r="M2044" s="6" t="n">
        <v>205</v>
      </c>
      <c r="N2044" s="3" t="inlineStr">
        <is>
          <t>Sí</t>
        </is>
      </c>
      <c r="O2044" s="6">
        <f>IF(K2044="","",IF(N2044="Sí",ROUND(K2044/1.18,2),K2044))</f>
        <v/>
      </c>
      <c r="P2044" s="3" t="inlineStr">
        <is>
          <t>2026-09-10</t>
        </is>
      </c>
      <c r="Q2044" s="4" t="inlineStr">
        <is>
          <t>Bellón</t>
        </is>
      </c>
      <c r="AF2044" s="4" t="inlineStr">
        <is>
          <t>tipo: bola · material: PPR · medida: 1/2"</t>
        </is>
      </c>
    </row>
    <row r="2045">
      <c r="A2045" s="3" t="inlineStr">
        <is>
          <t>MAT-32-692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Llave de paso bola de PPR 1"</t>
        </is>
      </c>
      <c r="E2045" s="4" t="inlineStr"/>
      <c r="F2045" s="3" t="inlineStr">
        <is>
          <t>unidad</t>
        </is>
      </c>
      <c r="G2045" s="3" t="inlineStr">
        <is>
          <t>Instalaciones</t>
        </is>
      </c>
      <c r="H2045" s="3" t="inlineStr">
        <is>
          <t>estandar</t>
        </is>
      </c>
      <c r="I2045" s="3" t="inlineStr">
        <is>
          <t>importado</t>
        </is>
      </c>
      <c r="J2045" s="5" t="n">
        <v>1</v>
      </c>
      <c r="K2045" s="6" t="n">
        <v>270</v>
      </c>
      <c r="L2045" s="6" t="n">
        <v>270</v>
      </c>
      <c r="M2045" s="6" t="n">
        <v>270</v>
      </c>
      <c r="N2045" s="3" t="inlineStr">
        <is>
          <t>Sí</t>
        </is>
      </c>
      <c r="O2045" s="6">
        <f>IF(K2045="","",IF(N2045="Sí",ROUND(K2045/1.18,2),K2045))</f>
        <v/>
      </c>
      <c r="P2045" s="3" t="inlineStr">
        <is>
          <t>2026-09-10</t>
        </is>
      </c>
      <c r="Q2045" s="4" t="inlineStr">
        <is>
          <t>Bellón</t>
        </is>
      </c>
      <c r="AF2045" s="4" t="inlineStr">
        <is>
          <t>tipo: bola · material: PPR · medida: 1"</t>
        </is>
      </c>
    </row>
    <row r="2046">
      <c r="A2046" s="3" t="inlineStr">
        <is>
          <t>MAT-32-693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Llave de paso bola de PPR 3/4"</t>
        </is>
      </c>
      <c r="E2046" s="4" t="inlineStr"/>
      <c r="F2046" s="3" t="inlineStr">
        <is>
          <t>unidad</t>
        </is>
      </c>
      <c r="G2046" s="3" t="inlineStr">
        <is>
          <t>Instalaciones</t>
        </is>
      </c>
      <c r="H2046" s="3" t="inlineStr">
        <is>
          <t>estandar</t>
        </is>
      </c>
      <c r="I2046" s="3" t="inlineStr">
        <is>
          <t>importado</t>
        </is>
      </c>
      <c r="J2046" s="5" t="n">
        <v>1</v>
      </c>
      <c r="K2046" s="6" t="n">
        <v>255</v>
      </c>
      <c r="L2046" s="6" t="n">
        <v>255</v>
      </c>
      <c r="M2046" s="6" t="n">
        <v>255</v>
      </c>
      <c r="N2046" s="3" t="inlineStr">
        <is>
          <t>Sí</t>
        </is>
      </c>
      <c r="O2046" s="6">
        <f>IF(K2046="","",IF(N2046="Sí",ROUND(K2046/1.18,2),K2046))</f>
        <v/>
      </c>
      <c r="P2046" s="3" t="inlineStr">
        <is>
          <t>2026-09-10</t>
        </is>
      </c>
      <c r="Q2046" s="4" t="inlineStr">
        <is>
          <t>Bellón</t>
        </is>
      </c>
      <c r="AF2046" s="4" t="inlineStr">
        <is>
          <t>tipo: bola · material: PPR · medida: 3/4"</t>
        </is>
      </c>
    </row>
    <row r="2047">
      <c r="A2047" s="3" t="inlineStr">
        <is>
          <t>MAT-32-694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Llave de paso bola de PVC 1"</t>
        </is>
      </c>
      <c r="E2047" s="4" t="inlineStr"/>
      <c r="F2047" s="3" t="inlineStr">
        <is>
          <t>unidad</t>
        </is>
      </c>
      <c r="G2047" s="3" t="inlineStr">
        <is>
          <t>Instalaciones</t>
        </is>
      </c>
      <c r="H2047" s="3" t="inlineStr">
        <is>
          <t>estandar</t>
        </is>
      </c>
      <c r="I2047" s="3" t="inlineStr">
        <is>
          <t>importado</t>
        </is>
      </c>
      <c r="J2047" s="5" t="n">
        <v>1</v>
      </c>
      <c r="K2047" s="6" t="n">
        <v>388</v>
      </c>
      <c r="L2047" s="6" t="n">
        <v>388</v>
      </c>
      <c r="M2047" s="6" t="n">
        <v>388</v>
      </c>
      <c r="N2047" s="3" t="inlineStr">
        <is>
          <t>Sí</t>
        </is>
      </c>
      <c r="O2047" s="6">
        <f>IF(K2047="","",IF(N2047="Sí",ROUND(K2047/1.18,2),K2047))</f>
        <v/>
      </c>
      <c r="P2047" s="3" t="inlineStr">
        <is>
          <t>2026-09-10</t>
        </is>
      </c>
      <c r="Q2047" s="4" t="inlineStr">
        <is>
          <t>Bellón</t>
        </is>
      </c>
      <c r="AF2047" s="4" t="inlineStr">
        <is>
          <t>tipo: bola · material: PVC · medida: 1"</t>
        </is>
      </c>
    </row>
    <row r="2048">
      <c r="A2048" s="3" t="inlineStr">
        <is>
          <t>MAT-32-695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Llave de paso bola de PVC 3/4"</t>
        </is>
      </c>
      <c r="E2048" s="4" t="inlineStr"/>
      <c r="F2048" s="3" t="inlineStr">
        <is>
          <t>unidad</t>
        </is>
      </c>
      <c r="G2048" s="3" t="inlineStr">
        <is>
          <t>Instalaciones</t>
        </is>
      </c>
      <c r="H2048" s="3" t="inlineStr">
        <is>
          <t>estandar</t>
        </is>
      </c>
      <c r="I2048" s="3" t="inlineStr">
        <is>
          <t>importado</t>
        </is>
      </c>
      <c r="J2048" s="5" t="n">
        <v>1</v>
      </c>
      <c r="K2048" s="6" t="n">
        <v>311</v>
      </c>
      <c r="L2048" s="6" t="n">
        <v>311</v>
      </c>
      <c r="M2048" s="6" t="n">
        <v>311</v>
      </c>
      <c r="N2048" s="3" t="inlineStr">
        <is>
          <t>Sí</t>
        </is>
      </c>
      <c r="O2048" s="6">
        <f>IF(K2048="","",IF(N2048="Sí",ROUND(K2048/1.18,2),K2048))</f>
        <v/>
      </c>
      <c r="P2048" s="3" t="inlineStr">
        <is>
          <t>2026-09-10</t>
        </is>
      </c>
      <c r="Q2048" s="4" t="inlineStr">
        <is>
          <t>Bellón</t>
        </is>
      </c>
      <c r="AF2048" s="4" t="inlineStr">
        <is>
          <t>tipo: bola · material: PVC · medida: 3/4"</t>
        </is>
      </c>
    </row>
    <row r="2049">
      <c r="A2049" s="3" t="inlineStr">
        <is>
          <t>MAT-32-696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Llave de paso compuerta de latón 1 1/2"</t>
        </is>
      </c>
      <c r="E2049" s="4" t="inlineStr"/>
      <c r="F2049" s="3" t="inlineStr">
        <is>
          <t>unidad</t>
        </is>
      </c>
      <c r="G2049" s="3" t="inlineStr">
        <is>
          <t>Instalaciones</t>
        </is>
      </c>
      <c r="H2049" s="3" t="inlineStr">
        <is>
          <t>estandar</t>
        </is>
      </c>
      <c r="I2049" s="3" t="inlineStr">
        <is>
          <t>importado</t>
        </is>
      </c>
      <c r="J2049" s="5" t="n">
        <v>1</v>
      </c>
      <c r="K2049" s="6" t="n">
        <v>1299</v>
      </c>
      <c r="L2049" s="6" t="n">
        <v>1299</v>
      </c>
      <c r="M2049" s="6" t="n">
        <v>1299</v>
      </c>
      <c r="N2049" s="3" t="inlineStr">
        <is>
          <t>Sí</t>
        </is>
      </c>
      <c r="O2049" s="6">
        <f>IF(K2049="","",IF(N2049="Sí",ROUND(K2049/1.18,2),K2049))</f>
        <v/>
      </c>
      <c r="P2049" s="3" t="inlineStr">
        <is>
          <t>2026-09-10</t>
        </is>
      </c>
      <c r="Q2049" s="4" t="inlineStr">
        <is>
          <t>Ferremix (Grupo Alterra)</t>
        </is>
      </c>
      <c r="AF2049" s="4" t="inlineStr">
        <is>
          <t>tipo: compuerta · material: latón · medida: 1 1/2"</t>
        </is>
      </c>
    </row>
    <row r="2050">
      <c r="A2050" s="3" t="inlineStr">
        <is>
          <t>MAT-32-697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Llave de paso compuerta de latón 1 1/4"</t>
        </is>
      </c>
      <c r="E2050" s="4" t="inlineStr"/>
      <c r="F2050" s="3" t="inlineStr">
        <is>
          <t>unidad</t>
        </is>
      </c>
      <c r="G2050" s="3" t="inlineStr">
        <is>
          <t>Instalaciones</t>
        </is>
      </c>
      <c r="H2050" s="3" t="inlineStr">
        <is>
          <t>estandar</t>
        </is>
      </c>
      <c r="I2050" s="3" t="inlineStr">
        <is>
          <t>importado</t>
        </is>
      </c>
      <c r="J2050" s="5" t="n">
        <v>1</v>
      </c>
      <c r="K2050" s="6" t="n">
        <v>1075</v>
      </c>
      <c r="L2050" s="6" t="n">
        <v>1075</v>
      </c>
      <c r="M2050" s="6" t="n">
        <v>1075</v>
      </c>
      <c r="N2050" s="3" t="inlineStr">
        <is>
          <t>Sí</t>
        </is>
      </c>
      <c r="O2050" s="6">
        <f>IF(K2050="","",IF(N2050="Sí",ROUND(K2050/1.18,2),K2050))</f>
        <v/>
      </c>
      <c r="P2050" s="3" t="inlineStr">
        <is>
          <t>2026-09-10</t>
        </is>
      </c>
      <c r="Q2050" s="4" t="inlineStr">
        <is>
          <t>Ferremix (Grupo Alterra)</t>
        </is>
      </c>
      <c r="AF2050" s="4" t="inlineStr">
        <is>
          <t>tipo: compuerta · material: latón · medida: 1 1/4"</t>
        </is>
      </c>
    </row>
    <row r="2051">
      <c r="A2051" s="3" t="inlineStr">
        <is>
          <t>MAT-32-698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Llave de paso compuerta de latón 1/2"</t>
        </is>
      </c>
      <c r="E2051" s="4" t="inlineStr"/>
      <c r="F2051" s="3" t="inlineStr">
        <is>
          <t>unidad</t>
        </is>
      </c>
      <c r="G2051" s="3" t="inlineStr">
        <is>
          <t>Instalaciones</t>
        </is>
      </c>
      <c r="H2051" s="3" t="inlineStr">
        <is>
          <t>estandar</t>
        </is>
      </c>
      <c r="I2051" s="3" t="inlineStr">
        <is>
          <t>importado</t>
        </is>
      </c>
      <c r="J2051" s="5" t="n">
        <v>1</v>
      </c>
      <c r="K2051" s="6" t="n">
        <v>355</v>
      </c>
      <c r="L2051" s="6" t="n">
        <v>355</v>
      </c>
      <c r="M2051" s="6" t="n">
        <v>355</v>
      </c>
      <c r="N2051" s="3" t="inlineStr">
        <is>
          <t>Sí</t>
        </is>
      </c>
      <c r="O2051" s="6">
        <f>IF(K2051="","",IF(N2051="Sí",ROUND(K2051/1.18,2),K2051))</f>
        <v/>
      </c>
      <c r="P2051" s="3" t="inlineStr">
        <is>
          <t>2026-09-10</t>
        </is>
      </c>
      <c r="Q2051" s="4" t="inlineStr">
        <is>
          <t>Ferremix (Grupo Alterra)</t>
        </is>
      </c>
      <c r="AF2051" s="4" t="inlineStr">
        <is>
          <t>tipo: compuerta · material: latón · medida: 1/2"</t>
        </is>
      </c>
    </row>
    <row r="2052">
      <c r="A2052" s="3" t="inlineStr">
        <is>
          <t>MAT-32-699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Llave de paso compuerta de latón 1"</t>
        </is>
      </c>
      <c r="E2052" s="4" t="inlineStr"/>
      <c r="F2052" s="3" t="inlineStr">
        <is>
          <t>unidad</t>
        </is>
      </c>
      <c r="G2052" s="3" t="inlineStr">
        <is>
          <t>Instalaciones</t>
        </is>
      </c>
      <c r="H2052" s="3" t="inlineStr">
        <is>
          <t>estandar</t>
        </is>
      </c>
      <c r="I2052" s="3" t="inlineStr">
        <is>
          <t>importado</t>
        </is>
      </c>
      <c r="J2052" s="5" t="n">
        <v>1</v>
      </c>
      <c r="K2052" s="6" t="n">
        <v>655</v>
      </c>
      <c r="L2052" s="6" t="n">
        <v>655</v>
      </c>
      <c r="M2052" s="6" t="n">
        <v>655</v>
      </c>
      <c r="N2052" s="3" t="inlineStr">
        <is>
          <t>Sí</t>
        </is>
      </c>
      <c r="O2052" s="6">
        <f>IF(K2052="","",IF(N2052="Sí",ROUND(K2052/1.18,2),K2052))</f>
        <v/>
      </c>
      <c r="P2052" s="3" t="inlineStr">
        <is>
          <t>2026-09-10</t>
        </is>
      </c>
      <c r="Q2052" s="4" t="inlineStr">
        <is>
          <t>Ferremix (Grupo Alterra)</t>
        </is>
      </c>
      <c r="AF2052" s="4" t="inlineStr">
        <is>
          <t>tipo: compuerta · material: latón · medida: 1"</t>
        </is>
      </c>
    </row>
    <row r="2053">
      <c r="A2053" s="3" t="inlineStr">
        <is>
          <t>MAT-32-700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Llave de paso compuerta de latón 2"</t>
        </is>
      </c>
      <c r="E2053" s="4" t="inlineStr"/>
      <c r="F2053" s="3" t="inlineStr">
        <is>
          <t>unidad</t>
        </is>
      </c>
      <c r="G2053" s="3" t="inlineStr">
        <is>
          <t>Instalaciones</t>
        </is>
      </c>
      <c r="H2053" s="3" t="inlineStr">
        <is>
          <t>estandar</t>
        </is>
      </c>
      <c r="I2053" s="3" t="inlineStr">
        <is>
          <t>importado</t>
        </is>
      </c>
      <c r="J2053" s="5" t="n">
        <v>1</v>
      </c>
      <c r="K2053" s="6" t="n">
        <v>1855</v>
      </c>
      <c r="L2053" s="6" t="n">
        <v>1855</v>
      </c>
      <c r="M2053" s="6" t="n">
        <v>1855</v>
      </c>
      <c r="N2053" s="3" t="inlineStr">
        <is>
          <t>Sí</t>
        </is>
      </c>
      <c r="O2053" s="6">
        <f>IF(K2053="","",IF(N2053="Sí",ROUND(K2053/1.18,2),K2053))</f>
        <v/>
      </c>
      <c r="P2053" s="3" t="inlineStr">
        <is>
          <t>2026-09-10</t>
        </is>
      </c>
      <c r="Q2053" s="4" t="inlineStr">
        <is>
          <t>Ferremix (Grupo Alterra)</t>
        </is>
      </c>
      <c r="AF2053" s="4" t="inlineStr">
        <is>
          <t>tipo: compuerta · material: latón · medida: 2"</t>
        </is>
      </c>
    </row>
    <row r="2054">
      <c r="A2054" s="3" t="inlineStr">
        <is>
          <t>MAT-32-701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Llave de paso compuerta de latón 3/4"</t>
        </is>
      </c>
      <c r="E2054" s="4" t="inlineStr"/>
      <c r="F2054" s="3" t="inlineStr">
        <is>
          <t>unidad</t>
        </is>
      </c>
      <c r="G2054" s="3" t="inlineStr">
        <is>
          <t>Instalaciones</t>
        </is>
      </c>
      <c r="H2054" s="3" t="inlineStr">
        <is>
          <t>estandar</t>
        </is>
      </c>
      <c r="I2054" s="3" t="inlineStr">
        <is>
          <t>importado</t>
        </is>
      </c>
      <c r="J2054" s="5" t="n">
        <v>1</v>
      </c>
      <c r="K2054" s="6" t="n">
        <v>449</v>
      </c>
      <c r="L2054" s="6" t="n">
        <v>449</v>
      </c>
      <c r="M2054" s="6" t="n">
        <v>449</v>
      </c>
      <c r="N2054" s="3" t="inlineStr">
        <is>
          <t>Sí</t>
        </is>
      </c>
      <c r="O2054" s="6">
        <f>IF(K2054="","",IF(N2054="Sí",ROUND(K2054/1.18,2),K2054))</f>
        <v/>
      </c>
      <c r="P2054" s="3" t="inlineStr">
        <is>
          <t>2026-09-10</t>
        </is>
      </c>
      <c r="Q2054" s="4" t="inlineStr">
        <is>
          <t>Ferremix (Grupo Alterra)</t>
        </is>
      </c>
      <c r="AF2054" s="4" t="inlineStr">
        <is>
          <t>tipo: compuerta · material: latón · medida: 3/4"</t>
        </is>
      </c>
    </row>
    <row r="2055">
      <c r="A2055" s="3" t="inlineStr">
        <is>
          <t>MAT-32-702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Llave de paso de bola de CPVC 1/2"</t>
        </is>
      </c>
      <c r="E2055" s="4" t="inlineStr"/>
      <c r="F2055" s="3" t="inlineStr">
        <is>
          <t>unidad</t>
        </is>
      </c>
      <c r="G2055" s="3" t="inlineStr">
        <is>
          <t>Instalaciones</t>
        </is>
      </c>
      <c r="H2055" s="3" t="inlineStr">
        <is>
          <t>estandar</t>
        </is>
      </c>
      <c r="I2055" s="3" t="inlineStr">
        <is>
          <t>importado</t>
        </is>
      </c>
      <c r="J2055" s="5" t="n">
        <v>1</v>
      </c>
      <c r="K2055" s="6" t="n">
        <v>435</v>
      </c>
      <c r="L2055" s="6" t="n">
        <v>435</v>
      </c>
      <c r="M2055" s="6" t="n">
        <v>435</v>
      </c>
      <c r="N2055" s="3" t="inlineStr">
        <is>
          <t>Sí</t>
        </is>
      </c>
      <c r="O2055" s="6">
        <f>IF(K2055="","",IF(N2055="Sí",ROUND(K2055/1.18,2),K2055))</f>
        <v/>
      </c>
      <c r="P2055" s="3" t="inlineStr">
        <is>
          <t>2026-09-09</t>
        </is>
      </c>
      <c r="Q2055" s="4" t="inlineStr">
        <is>
          <t>Ferretería Cima</t>
        </is>
      </c>
      <c r="AF2055" s="4" t="inlineStr">
        <is>
          <t>tipo: de bola · material: CPVC · medida: 1/2"</t>
        </is>
      </c>
    </row>
    <row r="2056">
      <c r="A2056" s="3" t="inlineStr">
        <is>
          <t>MAT-32-703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Llave de paso de bola de metal 1 1/2"</t>
        </is>
      </c>
      <c r="E2056" s="4" t="inlineStr"/>
      <c r="F2056" s="3" t="inlineStr">
        <is>
          <t>unidad</t>
        </is>
      </c>
      <c r="G2056" s="3" t="inlineStr">
        <is>
          <t>Instalaciones</t>
        </is>
      </c>
      <c r="H2056" s="3" t="inlineStr">
        <is>
          <t>estandar</t>
        </is>
      </c>
      <c r="I2056" s="3" t="inlineStr">
        <is>
          <t>importado</t>
        </is>
      </c>
      <c r="J2056" s="5" t="n">
        <v>1</v>
      </c>
      <c r="K2056" s="6" t="n">
        <v>1961</v>
      </c>
      <c r="L2056" s="6" t="n">
        <v>1961</v>
      </c>
      <c r="M2056" s="6" t="n">
        <v>1961</v>
      </c>
      <c r="N2056" s="3" t="inlineStr">
        <is>
          <t>Sí</t>
        </is>
      </c>
      <c r="O2056" s="6">
        <f>IF(K2056="","",IF(N2056="Sí",ROUND(K2056/1.18,2),K2056))</f>
        <v/>
      </c>
      <c r="P2056" s="3" t="inlineStr">
        <is>
          <t>2026-09-09</t>
        </is>
      </c>
      <c r="Q2056" s="4" t="inlineStr">
        <is>
          <t>Ferretería Cima</t>
        </is>
      </c>
      <c r="AF2056" s="4" t="inlineStr">
        <is>
          <t>tipo: de bola · material: metal · medida: 1 1/2"</t>
        </is>
      </c>
    </row>
    <row r="2057">
      <c r="A2057" s="3" t="inlineStr">
        <is>
          <t>MAT-32-704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Llave de paso de bola de metal 1/2"</t>
        </is>
      </c>
      <c r="E2057" s="4" t="inlineStr"/>
      <c r="F2057" s="3" t="inlineStr">
        <is>
          <t>unidad</t>
        </is>
      </c>
      <c r="G2057" s="3" t="inlineStr">
        <is>
          <t>Instalaciones</t>
        </is>
      </c>
      <c r="H2057" s="3" t="inlineStr">
        <is>
          <t>estandar</t>
        </is>
      </c>
      <c r="I2057" s="3" t="inlineStr">
        <is>
          <t>importado</t>
        </is>
      </c>
      <c r="J2057" s="5" t="n">
        <v>1</v>
      </c>
      <c r="K2057" s="6" t="n">
        <v>545</v>
      </c>
      <c r="L2057" s="6" t="n">
        <v>259</v>
      </c>
      <c r="M2057" s="6" t="n">
        <v>635</v>
      </c>
      <c r="N2057" s="3" t="inlineStr">
        <is>
          <t>Sí</t>
        </is>
      </c>
      <c r="O2057" s="6">
        <f>IF(K2057="","",IF(N2057="Sí",ROUND(K2057/1.18,2),K2057))</f>
        <v/>
      </c>
      <c r="P2057" s="3" t="inlineStr">
        <is>
          <t>2026-09-09</t>
        </is>
      </c>
      <c r="Q2057" s="4" t="inlineStr">
        <is>
          <t>Ferretería Cima</t>
        </is>
      </c>
      <c r="AF2057" s="4" t="inlineStr">
        <is>
          <t>tipo: de bola · material: metal · medida: 1/2"</t>
        </is>
      </c>
    </row>
    <row r="2058">
      <c r="A2058" s="3" t="inlineStr">
        <is>
          <t>MAT-32-705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Llave de paso de bola de metal 1/4"</t>
        </is>
      </c>
      <c r="E2058" s="4" t="inlineStr"/>
      <c r="F2058" s="3" t="inlineStr">
        <is>
          <t>unidad</t>
        </is>
      </c>
      <c r="G2058" s="3" t="inlineStr">
        <is>
          <t>Instalaciones</t>
        </is>
      </c>
      <c r="H2058" s="3" t="inlineStr">
        <is>
          <t>estandar</t>
        </is>
      </c>
      <c r="I2058" s="3" t="inlineStr">
        <is>
          <t>importado</t>
        </is>
      </c>
      <c r="J2058" s="5" t="n">
        <v>1</v>
      </c>
      <c r="K2058" s="6" t="n">
        <v>343</v>
      </c>
      <c r="L2058" s="6" t="n">
        <v>343</v>
      </c>
      <c r="M2058" s="6" t="n">
        <v>343</v>
      </c>
      <c r="N2058" s="3" t="inlineStr">
        <is>
          <t>Sí</t>
        </is>
      </c>
      <c r="O2058" s="6">
        <f>IF(K2058="","",IF(N2058="Sí",ROUND(K2058/1.18,2),K2058))</f>
        <v/>
      </c>
      <c r="P2058" s="3" t="inlineStr">
        <is>
          <t>2026-09-09</t>
        </is>
      </c>
      <c r="Q2058" s="4" t="inlineStr">
        <is>
          <t>Ferretería Cima</t>
        </is>
      </c>
      <c r="AF2058" s="4" t="inlineStr">
        <is>
          <t>tipo: de bola · material: metal · medida: 1/4"</t>
        </is>
      </c>
    </row>
    <row r="2059">
      <c r="A2059" s="3" t="inlineStr">
        <is>
          <t>MAT-32-706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Llave de paso de bola de metal 1"</t>
        </is>
      </c>
      <c r="E2059" s="4" t="inlineStr"/>
      <c r="F2059" s="3" t="inlineStr">
        <is>
          <t>unidad</t>
        </is>
      </c>
      <c r="G2059" s="3" t="inlineStr">
        <is>
          <t>Instalaciones</t>
        </is>
      </c>
      <c r="H2059" s="3" t="inlineStr">
        <is>
          <t>estandar</t>
        </is>
      </c>
      <c r="I2059" s="3" t="inlineStr">
        <is>
          <t>importado</t>
        </is>
      </c>
      <c r="J2059" s="5" t="n">
        <v>1</v>
      </c>
      <c r="K2059" s="6" t="n">
        <v>831</v>
      </c>
      <c r="L2059" s="6" t="n">
        <v>831</v>
      </c>
      <c r="M2059" s="6" t="n">
        <v>831</v>
      </c>
      <c r="N2059" s="3" t="inlineStr">
        <is>
          <t>Sí</t>
        </is>
      </c>
      <c r="O2059" s="6">
        <f>IF(K2059="","",IF(N2059="Sí",ROUND(K2059/1.18,2),K2059))</f>
        <v/>
      </c>
      <c r="P2059" s="3" t="inlineStr">
        <is>
          <t>2026-09-09</t>
        </is>
      </c>
      <c r="Q2059" s="4" t="inlineStr">
        <is>
          <t>Ferretería Cima</t>
        </is>
      </c>
      <c r="AF2059" s="4" t="inlineStr">
        <is>
          <t>tipo: de bola · material: metal · medida: 1"</t>
        </is>
      </c>
    </row>
    <row r="2060">
      <c r="A2060" s="3" t="inlineStr">
        <is>
          <t>MAT-32-707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Llave de paso de bola de metal 2"</t>
        </is>
      </c>
      <c r="E2060" s="4" t="inlineStr"/>
      <c r="F2060" s="3" t="inlineStr">
        <is>
          <t>unidad</t>
        </is>
      </c>
      <c r="G2060" s="3" t="inlineStr">
        <is>
          <t>Instalaciones</t>
        </is>
      </c>
      <c r="H2060" s="3" t="inlineStr">
        <is>
          <t>estandar</t>
        </is>
      </c>
      <c r="I2060" s="3" t="inlineStr">
        <is>
          <t>importado</t>
        </is>
      </c>
      <c r="J2060" s="5" t="n">
        <v>1</v>
      </c>
      <c r="K2060" s="6" t="n">
        <v>3227</v>
      </c>
      <c r="L2060" s="6" t="n">
        <v>3227</v>
      </c>
      <c r="M2060" s="6" t="n">
        <v>3227</v>
      </c>
      <c r="N2060" s="3" t="inlineStr">
        <is>
          <t>Sí</t>
        </is>
      </c>
      <c r="O2060" s="6">
        <f>IF(K2060="","",IF(N2060="Sí",ROUND(K2060/1.18,2),K2060))</f>
        <v/>
      </c>
      <c r="P2060" s="3" t="inlineStr">
        <is>
          <t>2026-09-09</t>
        </is>
      </c>
      <c r="Q2060" s="4" t="inlineStr">
        <is>
          <t>Ferretería Cima</t>
        </is>
      </c>
      <c r="AF2060" s="4" t="inlineStr">
        <is>
          <t>tipo: de bola · material: metal · medida: 2"</t>
        </is>
      </c>
    </row>
    <row r="2061">
      <c r="A2061" s="3" t="inlineStr">
        <is>
          <t>MAT-32-708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Llave de paso de bola de metal 3/4"</t>
        </is>
      </c>
      <c r="E2061" s="4" t="inlineStr"/>
      <c r="F2061" s="3" t="inlineStr">
        <is>
          <t>unidad</t>
        </is>
      </c>
      <c r="G2061" s="3" t="inlineStr">
        <is>
          <t>Instalaciones</t>
        </is>
      </c>
      <c r="H2061" s="3" t="inlineStr">
        <is>
          <t>estandar</t>
        </is>
      </c>
      <c r="I2061" s="3" t="inlineStr">
        <is>
          <t>importado</t>
        </is>
      </c>
      <c r="J2061" s="5" t="n">
        <v>1</v>
      </c>
      <c r="K2061" s="6" t="n">
        <v>592.5</v>
      </c>
      <c r="L2061" s="6" t="n">
        <v>555</v>
      </c>
      <c r="M2061" s="6" t="n">
        <v>630</v>
      </c>
      <c r="N2061" s="3" t="inlineStr">
        <is>
          <t>Sí</t>
        </is>
      </c>
      <c r="O2061" s="6">
        <f>IF(K2061="","",IF(N2061="Sí",ROUND(K2061/1.18,2),K2061))</f>
        <v/>
      </c>
      <c r="P2061" s="3" t="inlineStr">
        <is>
          <t>2026-09-09</t>
        </is>
      </c>
      <c r="Q2061" s="4" t="inlineStr">
        <is>
          <t>Ferretería Cima</t>
        </is>
      </c>
      <c r="AF2061" s="4" t="inlineStr">
        <is>
          <t>tipo: de bola · material: metal · medida: 3/4"</t>
        </is>
      </c>
    </row>
    <row r="2062">
      <c r="A2062" s="3" t="inlineStr">
        <is>
          <t>MAT-32-709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Llave de paso de bola de metal 3/8"</t>
        </is>
      </c>
      <c r="E2062" s="4" t="inlineStr"/>
      <c r="F2062" s="3" t="inlineStr">
        <is>
          <t>unidad</t>
        </is>
      </c>
      <c r="G2062" s="3" t="inlineStr">
        <is>
          <t>Instalaciones</t>
        </is>
      </c>
      <c r="H2062" s="3" t="inlineStr">
        <is>
          <t>estandar</t>
        </is>
      </c>
      <c r="I2062" s="3" t="inlineStr">
        <is>
          <t>importado</t>
        </is>
      </c>
      <c r="J2062" s="5" t="n">
        <v>1</v>
      </c>
      <c r="K2062" s="6" t="n">
        <v>336</v>
      </c>
      <c r="L2062" s="6" t="n">
        <v>327</v>
      </c>
      <c r="M2062" s="6" t="n">
        <v>455</v>
      </c>
      <c r="N2062" s="3" t="inlineStr">
        <is>
          <t>Sí</t>
        </is>
      </c>
      <c r="O2062" s="6">
        <f>IF(K2062="","",IF(N2062="Sí",ROUND(K2062/1.18,2),K2062))</f>
        <v/>
      </c>
      <c r="P2062" s="3" t="inlineStr">
        <is>
          <t>2026-09-09</t>
        </is>
      </c>
      <c r="Q2062" s="4" t="inlineStr">
        <is>
          <t>Ferretería Cima</t>
        </is>
      </c>
      <c r="AF2062" s="4" t="inlineStr">
        <is>
          <t>tipo: de bola · material: metal · medida: 3/8"</t>
        </is>
      </c>
    </row>
    <row r="2063">
      <c r="A2063" s="3" t="inlineStr">
        <is>
          <t>MAT-32-710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Llave de paso de bola de PVC 1 1/2"</t>
        </is>
      </c>
      <c r="E2063" s="4" t="inlineStr"/>
      <c r="F2063" s="3" t="inlineStr">
        <is>
          <t>unidad</t>
        </is>
      </c>
      <c r="G2063" s="3" t="inlineStr">
        <is>
          <t>Instalaciones</t>
        </is>
      </c>
      <c r="H2063" s="3" t="inlineStr">
        <is>
          <t>estandar</t>
        </is>
      </c>
      <c r="I2063" s="3" t="inlineStr">
        <is>
          <t>importado</t>
        </is>
      </c>
      <c r="J2063" s="5" t="n">
        <v>1</v>
      </c>
      <c r="K2063" s="6" t="n">
        <v>465</v>
      </c>
      <c r="L2063" s="6" t="n">
        <v>465</v>
      </c>
      <c r="M2063" s="6" t="n">
        <v>465</v>
      </c>
      <c r="N2063" s="3" t="inlineStr">
        <is>
          <t>Sí</t>
        </is>
      </c>
      <c r="O2063" s="6">
        <f>IF(K2063="","",IF(N2063="Sí",ROUND(K2063/1.18,2),K2063))</f>
        <v/>
      </c>
      <c r="P2063" s="3" t="inlineStr">
        <is>
          <t>2026-09-09</t>
        </is>
      </c>
      <c r="Q2063" s="4" t="inlineStr">
        <is>
          <t>Ferretería Cima</t>
        </is>
      </c>
      <c r="AF2063" s="4" t="inlineStr">
        <is>
          <t>tipo: de bola · material: PVC · medida: 1 1/2"</t>
        </is>
      </c>
    </row>
    <row r="2064">
      <c r="A2064" s="3" t="inlineStr">
        <is>
          <t>MAT-32-711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Llave de paso de bola de PVC 1/2"</t>
        </is>
      </c>
      <c r="E2064" s="4" t="inlineStr"/>
      <c r="F2064" s="3" t="inlineStr">
        <is>
          <t>unidad</t>
        </is>
      </c>
      <c r="G2064" s="3" t="inlineStr">
        <is>
          <t>Instalaciones</t>
        </is>
      </c>
      <c r="H2064" s="3" t="inlineStr">
        <is>
          <t>estandar</t>
        </is>
      </c>
      <c r="I2064" s="3" t="inlineStr">
        <is>
          <t>importado</t>
        </is>
      </c>
      <c r="J2064" s="5" t="n">
        <v>1</v>
      </c>
      <c r="K2064" s="6" t="n">
        <v>83</v>
      </c>
      <c r="L2064" s="6" t="n">
        <v>41</v>
      </c>
      <c r="M2064" s="6" t="n">
        <v>125</v>
      </c>
      <c r="N2064" s="3" t="inlineStr">
        <is>
          <t>Sí</t>
        </is>
      </c>
      <c r="O2064" s="6">
        <f>IF(K2064="","",IF(N2064="Sí",ROUND(K2064/1.18,2),K2064))</f>
        <v/>
      </c>
      <c r="P2064" s="3" t="inlineStr">
        <is>
          <t>2026-09-09</t>
        </is>
      </c>
      <c r="Q2064" s="4" t="inlineStr">
        <is>
          <t>Ferretería Cima</t>
        </is>
      </c>
      <c r="AF2064" s="4" t="inlineStr">
        <is>
          <t>tipo: de bola · material: PVC · medida: 1/2"</t>
        </is>
      </c>
    </row>
    <row r="2065">
      <c r="A2065" s="3" t="inlineStr">
        <is>
          <t>MAT-32-712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Llave de paso de bola de PVC 1"</t>
        </is>
      </c>
      <c r="E2065" s="4" t="inlineStr"/>
      <c r="F2065" s="3" t="inlineStr">
        <is>
          <t>unidad</t>
        </is>
      </c>
      <c r="G2065" s="3" t="inlineStr">
        <is>
          <t>Instalaciones</t>
        </is>
      </c>
      <c r="H2065" s="3" t="inlineStr">
        <is>
          <t>estandar</t>
        </is>
      </c>
      <c r="I2065" s="3" t="inlineStr">
        <is>
          <t>importado</t>
        </is>
      </c>
      <c r="J2065" s="5" t="n">
        <v>1</v>
      </c>
      <c r="K2065" s="6" t="n">
        <v>170</v>
      </c>
      <c r="L2065" s="6" t="n">
        <v>170</v>
      </c>
      <c r="M2065" s="6" t="n">
        <v>170</v>
      </c>
      <c r="N2065" s="3" t="inlineStr">
        <is>
          <t>Sí</t>
        </is>
      </c>
      <c r="O2065" s="6">
        <f>IF(K2065="","",IF(N2065="Sí",ROUND(K2065/1.18,2),K2065))</f>
        <v/>
      </c>
      <c r="P2065" s="3" t="inlineStr">
        <is>
          <t>2026-09-09</t>
        </is>
      </c>
      <c r="Q2065" s="4" t="inlineStr">
        <is>
          <t>Ferretería Cima</t>
        </is>
      </c>
      <c r="AF2065" s="4" t="inlineStr">
        <is>
          <t>tipo: de bola · material: PVC · medida: 1"</t>
        </is>
      </c>
    </row>
    <row r="2066">
      <c r="A2066" s="3" t="inlineStr">
        <is>
          <t>MAT-32-713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Llave de paso de bola de PVC 2"</t>
        </is>
      </c>
      <c r="E2066" s="4" t="inlineStr"/>
      <c r="F2066" s="3" t="inlineStr">
        <is>
          <t>unidad</t>
        </is>
      </c>
      <c r="G2066" s="3" t="inlineStr">
        <is>
          <t>Instalaciones</t>
        </is>
      </c>
      <c r="H2066" s="3" t="inlineStr">
        <is>
          <t>estandar</t>
        </is>
      </c>
      <c r="I2066" s="3" t="inlineStr">
        <is>
          <t>importado</t>
        </is>
      </c>
      <c r="J2066" s="5" t="n">
        <v>1</v>
      </c>
      <c r="K2066" s="6" t="n">
        <v>616</v>
      </c>
      <c r="L2066" s="6" t="n">
        <v>616</v>
      </c>
      <c r="M2066" s="6" t="n">
        <v>616</v>
      </c>
      <c r="N2066" s="3" t="inlineStr">
        <is>
          <t>Sí</t>
        </is>
      </c>
      <c r="O2066" s="6">
        <f>IF(K2066="","",IF(N2066="Sí",ROUND(K2066/1.18,2),K2066))</f>
        <v/>
      </c>
      <c r="P2066" s="3" t="inlineStr">
        <is>
          <t>2026-09-09</t>
        </is>
      </c>
      <c r="Q2066" s="4" t="inlineStr">
        <is>
          <t>Ferretería Cima</t>
        </is>
      </c>
      <c r="AF2066" s="4" t="inlineStr">
        <is>
          <t>tipo: de bola · material: PVC · medida: 2"</t>
        </is>
      </c>
    </row>
    <row r="2067">
      <c r="A2067" s="3" t="inlineStr">
        <is>
          <t>MAT-32-714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Llave de paso de bola de PVC 3/4"</t>
        </is>
      </c>
      <c r="E2067" s="4" t="inlineStr"/>
      <c r="F2067" s="3" t="inlineStr">
        <is>
          <t>unidad</t>
        </is>
      </c>
      <c r="G2067" s="3" t="inlineStr">
        <is>
          <t>Instalaciones</t>
        </is>
      </c>
      <c r="H2067" s="3" t="inlineStr">
        <is>
          <t>estandar</t>
        </is>
      </c>
      <c r="I2067" s="3" t="inlineStr">
        <is>
          <t>importado</t>
        </is>
      </c>
      <c r="J2067" s="5" t="n">
        <v>1</v>
      </c>
      <c r="K2067" s="6" t="n">
        <v>116</v>
      </c>
      <c r="L2067" s="6" t="n">
        <v>107</v>
      </c>
      <c r="M2067" s="6" t="n">
        <v>125</v>
      </c>
      <c r="N2067" s="3" t="inlineStr">
        <is>
          <t>Sí</t>
        </is>
      </c>
      <c r="O2067" s="6">
        <f>IF(K2067="","",IF(N2067="Sí",ROUND(K2067/1.18,2),K2067))</f>
        <v/>
      </c>
      <c r="P2067" s="3" t="inlineStr">
        <is>
          <t>2026-09-09</t>
        </is>
      </c>
      <c r="Q2067" s="4" t="inlineStr">
        <is>
          <t>Ferretería Cima</t>
        </is>
      </c>
      <c r="AF2067" s="4" t="inlineStr">
        <is>
          <t>tipo: de bola · material: PVC · medida: 3/4"</t>
        </is>
      </c>
    </row>
    <row r="2068">
      <c r="A2068" s="3" t="inlineStr">
        <is>
          <t>MAT-32-715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Llave de paso de compuerta de metal 1 1/2"</t>
        </is>
      </c>
      <c r="E2068" s="4" t="inlineStr"/>
      <c r="F2068" s="3" t="inlineStr">
        <is>
          <t>unidad</t>
        </is>
      </c>
      <c r="G2068" s="3" t="inlineStr">
        <is>
          <t>Instalaciones</t>
        </is>
      </c>
      <c r="H2068" s="3" t="inlineStr">
        <is>
          <t>estandar</t>
        </is>
      </c>
      <c r="I2068" s="3" t="inlineStr">
        <is>
          <t>importado</t>
        </is>
      </c>
      <c r="J2068" s="5" t="n">
        <v>1</v>
      </c>
      <c r="K2068" s="6" t="n">
        <v>2262</v>
      </c>
      <c r="L2068" s="6" t="n">
        <v>2262</v>
      </c>
      <c r="M2068" s="6" t="n">
        <v>2262</v>
      </c>
      <c r="N2068" s="3" t="inlineStr">
        <is>
          <t>Sí</t>
        </is>
      </c>
      <c r="O2068" s="6">
        <f>IF(K2068="","",IF(N2068="Sí",ROUND(K2068/1.18,2),K2068))</f>
        <v/>
      </c>
      <c r="P2068" s="3" t="inlineStr">
        <is>
          <t>2026-09-09</t>
        </is>
      </c>
      <c r="Q2068" s="4" t="inlineStr">
        <is>
          <t>Ferretería Cima</t>
        </is>
      </c>
      <c r="AF2068" s="4" t="inlineStr">
        <is>
          <t>tipo: de compuerta · material: metal · medida: 1 1/2"</t>
        </is>
      </c>
    </row>
    <row r="2069">
      <c r="A2069" s="3" t="inlineStr">
        <is>
          <t>MAT-32-716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Llave de paso de compuerta de metal 1/2"</t>
        </is>
      </c>
      <c r="E2069" s="4" t="inlineStr"/>
      <c r="F2069" s="3" t="inlineStr">
        <is>
          <t>unidad</t>
        </is>
      </c>
      <c r="G2069" s="3" t="inlineStr">
        <is>
          <t>Instalaciones</t>
        </is>
      </c>
      <c r="H2069" s="3" t="inlineStr">
        <is>
          <t>estandar</t>
        </is>
      </c>
      <c r="I2069" s="3" t="inlineStr">
        <is>
          <t>importado</t>
        </is>
      </c>
      <c r="J2069" s="5" t="n">
        <v>1</v>
      </c>
      <c r="K2069" s="6" t="n">
        <v>858</v>
      </c>
      <c r="L2069" s="6" t="n">
        <v>858</v>
      </c>
      <c r="M2069" s="6" t="n">
        <v>858</v>
      </c>
      <c r="N2069" s="3" t="inlineStr">
        <is>
          <t>Sí</t>
        </is>
      </c>
      <c r="O2069" s="6">
        <f>IF(K2069="","",IF(N2069="Sí",ROUND(K2069/1.18,2),K2069))</f>
        <v/>
      </c>
      <c r="P2069" s="3" t="inlineStr">
        <is>
          <t>2026-09-09</t>
        </is>
      </c>
      <c r="Q2069" s="4" t="inlineStr">
        <is>
          <t>Ferretería Cima</t>
        </is>
      </c>
      <c r="AF2069" s="4" t="inlineStr">
        <is>
          <t>tipo: de compuerta · material: metal · medida: 1/2"</t>
        </is>
      </c>
    </row>
    <row r="2070">
      <c r="A2070" s="3" t="inlineStr">
        <is>
          <t>MAT-32-717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Llave de paso de compuerta de metal 1"</t>
        </is>
      </c>
      <c r="E2070" s="4" t="inlineStr"/>
      <c r="F2070" s="3" t="inlineStr">
        <is>
          <t>unidad</t>
        </is>
      </c>
      <c r="G2070" s="3" t="inlineStr">
        <is>
          <t>Instalaciones</t>
        </is>
      </c>
      <c r="H2070" s="3" t="inlineStr">
        <is>
          <t>estandar</t>
        </is>
      </c>
      <c r="I2070" s="3" t="inlineStr">
        <is>
          <t>importado</t>
        </is>
      </c>
      <c r="J2070" s="5" t="n">
        <v>1</v>
      </c>
      <c r="K2070" s="6" t="n">
        <v>1595</v>
      </c>
      <c r="L2070" s="6" t="n">
        <v>1595</v>
      </c>
      <c r="M2070" s="6" t="n">
        <v>1595</v>
      </c>
      <c r="N2070" s="3" t="inlineStr">
        <is>
          <t>Sí</t>
        </is>
      </c>
      <c r="O2070" s="6">
        <f>IF(K2070="","",IF(N2070="Sí",ROUND(K2070/1.18,2),K2070))</f>
        <v/>
      </c>
      <c r="P2070" s="3" t="inlineStr">
        <is>
          <t>2026-09-09</t>
        </is>
      </c>
      <c r="Q2070" s="4" t="inlineStr">
        <is>
          <t>Ferretería Cima</t>
        </is>
      </c>
      <c r="AF2070" s="4" t="inlineStr">
        <is>
          <t>tipo: de compuerta · material: metal · medida: 1"</t>
        </is>
      </c>
    </row>
    <row r="2071">
      <c r="A2071" s="3" t="inlineStr">
        <is>
          <t>MAT-32-718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Llave de paso de compuerta de metal 3/4"</t>
        </is>
      </c>
      <c r="E2071" s="4" t="inlineStr"/>
      <c r="F2071" s="3" t="inlineStr">
        <is>
          <t>unidad</t>
        </is>
      </c>
      <c r="G2071" s="3" t="inlineStr">
        <is>
          <t>Instalaciones</t>
        </is>
      </c>
      <c r="H2071" s="3" t="inlineStr">
        <is>
          <t>estandar</t>
        </is>
      </c>
      <c r="I2071" s="3" t="inlineStr">
        <is>
          <t>importado</t>
        </is>
      </c>
      <c r="J2071" s="5" t="n">
        <v>1</v>
      </c>
      <c r="K2071" s="6" t="n">
        <v>1248</v>
      </c>
      <c r="L2071" s="6" t="n">
        <v>1248</v>
      </c>
      <c r="M2071" s="6" t="n">
        <v>1248</v>
      </c>
      <c r="N2071" s="3" t="inlineStr">
        <is>
          <t>Sí</t>
        </is>
      </c>
      <c r="O2071" s="6">
        <f>IF(K2071="","",IF(N2071="Sí",ROUND(K2071/1.18,2),K2071))</f>
        <v/>
      </c>
      <c r="P2071" s="3" t="inlineStr">
        <is>
          <t>2026-09-09</t>
        </is>
      </c>
      <c r="Q2071" s="4" t="inlineStr">
        <is>
          <t>Ferretería Cima</t>
        </is>
      </c>
      <c r="AF2071" s="4" t="inlineStr">
        <is>
          <t>tipo: de compuerta · material: metal · medida: 3/4"</t>
        </is>
      </c>
    </row>
    <row r="2072">
      <c r="A2072" s="3" t="inlineStr">
        <is>
          <t>MAT-32-719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Llave de paso de rosca macho de metal 1/2"</t>
        </is>
      </c>
      <c r="E2072" s="4" t="inlineStr"/>
      <c r="F2072" s="3" t="inlineStr">
        <is>
          <t>unidad</t>
        </is>
      </c>
      <c r="G2072" s="3" t="inlineStr">
        <is>
          <t>Instalaciones</t>
        </is>
      </c>
      <c r="H2072" s="3" t="inlineStr">
        <is>
          <t>estandar</t>
        </is>
      </c>
      <c r="I2072" s="3" t="inlineStr">
        <is>
          <t>importado</t>
        </is>
      </c>
      <c r="J2072" s="5" t="n">
        <v>1</v>
      </c>
      <c r="K2072" s="6" t="n">
        <v>875</v>
      </c>
      <c r="L2072" s="6" t="n">
        <v>338</v>
      </c>
      <c r="M2072" s="6" t="n">
        <v>1071</v>
      </c>
      <c r="N2072" s="3" t="inlineStr">
        <is>
          <t>Sí</t>
        </is>
      </c>
      <c r="O2072" s="6">
        <f>IF(K2072="","",IF(N2072="Sí",ROUND(K2072/1.18,2),K2072))</f>
        <v/>
      </c>
      <c r="P2072" s="3" t="inlineStr">
        <is>
          <t>2026-09-09</t>
        </is>
      </c>
      <c r="Q2072" s="4" t="inlineStr">
        <is>
          <t>Ferretería Cima</t>
        </is>
      </c>
      <c r="AF2072" s="4" t="inlineStr">
        <is>
          <t>tipo: de rosca macho · material: metal · medida: 1/2"</t>
        </is>
      </c>
    </row>
    <row r="2073">
      <c r="A2073" s="3" t="inlineStr">
        <is>
          <t>MAT-32-720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Llave de paso de rosca macho de metal 3/4"</t>
        </is>
      </c>
      <c r="E2073" s="4" t="inlineStr"/>
      <c r="F2073" s="3" t="inlineStr">
        <is>
          <t>unidad</t>
        </is>
      </c>
      <c r="G2073" s="3" t="inlineStr">
        <is>
          <t>Instalaciones</t>
        </is>
      </c>
      <c r="H2073" s="3" t="inlineStr">
        <is>
          <t>estandar</t>
        </is>
      </c>
      <c r="I2073" s="3" t="inlineStr">
        <is>
          <t>importado</t>
        </is>
      </c>
      <c r="J2073" s="5" t="n">
        <v>1</v>
      </c>
      <c r="K2073" s="6" t="n">
        <v>816</v>
      </c>
      <c r="L2073" s="6" t="n">
        <v>487</v>
      </c>
      <c r="M2073" s="6" t="n">
        <v>1145</v>
      </c>
      <c r="N2073" s="3" t="inlineStr">
        <is>
          <t>Sí</t>
        </is>
      </c>
      <c r="O2073" s="6">
        <f>IF(K2073="","",IF(N2073="Sí",ROUND(K2073/1.18,2),K2073))</f>
        <v/>
      </c>
      <c r="P2073" s="3" t="inlineStr">
        <is>
          <t>2026-09-09</t>
        </is>
      </c>
      <c r="Q2073" s="4" t="inlineStr">
        <is>
          <t>Ferretería Cima</t>
        </is>
      </c>
      <c r="AF2073" s="4" t="inlineStr">
        <is>
          <t>tipo: de rosca macho · material: metal · medida: 3/4"</t>
        </is>
      </c>
    </row>
    <row r="2074">
      <c r="A2074" s="3" t="inlineStr">
        <is>
          <t>MAT-32-721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Válvula de retención (cheque) 1 1/2"</t>
        </is>
      </c>
      <c r="E2074" s="4" t="inlineStr"/>
      <c r="F2074" s="3" t="inlineStr">
        <is>
          <t>unidad</t>
        </is>
      </c>
      <c r="G2074" s="3" t="inlineStr">
        <is>
          <t>Instalaciones</t>
        </is>
      </c>
      <c r="H2074" s="3" t="inlineStr">
        <is>
          <t>estandar</t>
        </is>
      </c>
      <c r="I2074" s="3" t="inlineStr">
        <is>
          <t>importado</t>
        </is>
      </c>
      <c r="J2074" s="5" t="n">
        <v>2</v>
      </c>
      <c r="K2074" s="6" t="n">
        <v>1858</v>
      </c>
      <c r="L2074" s="6" t="n">
        <v>995</v>
      </c>
      <c r="M2074" s="6" t="n">
        <v>2465</v>
      </c>
      <c r="N2074" s="3" t="inlineStr">
        <is>
          <t>Sí</t>
        </is>
      </c>
      <c r="O2074" s="6">
        <f>IF(K2074="","",IF(N2074="Sí",ROUND(K2074/1.18,2),K2074))</f>
        <v/>
      </c>
      <c r="P2074" s="3" t="inlineStr">
        <is>
          <t>2026-09-10</t>
        </is>
      </c>
      <c r="Q2074" s="4" t="inlineStr">
        <is>
          <t>Bellón · Ferretería Cima</t>
        </is>
      </c>
      <c r="AF2074" s="4" t="inlineStr">
        <is>
          <t>medida: 1 1/2"</t>
        </is>
      </c>
    </row>
    <row r="2075">
      <c r="A2075" s="3" t="inlineStr">
        <is>
          <t>MAT-32-722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Válvula de retención (cheque) 1 1/4"</t>
        </is>
      </c>
      <c r="E2075" s="4" t="inlineStr"/>
      <c r="F2075" s="3" t="inlineStr">
        <is>
          <t>unidad</t>
        </is>
      </c>
      <c r="G2075" s="3" t="inlineStr">
        <is>
          <t>Instalaciones</t>
        </is>
      </c>
      <c r="H2075" s="3" t="inlineStr">
        <is>
          <t>estandar</t>
        </is>
      </c>
      <c r="I2075" s="3" t="inlineStr">
        <is>
          <t>importado</t>
        </is>
      </c>
      <c r="J2075" s="5" t="n">
        <v>1</v>
      </c>
      <c r="K2075" s="6" t="n">
        <v>1444.5</v>
      </c>
      <c r="L2075" s="6" t="n">
        <v>1394</v>
      </c>
      <c r="M2075" s="6" t="n">
        <v>1495</v>
      </c>
      <c r="N2075" s="3" t="inlineStr">
        <is>
          <t>Sí</t>
        </is>
      </c>
      <c r="O2075" s="6">
        <f>IF(K2075="","",IF(N2075="Sí",ROUND(K2075/1.18,2),K2075))</f>
        <v/>
      </c>
      <c r="P2075" s="3" t="inlineStr">
        <is>
          <t>2026-09-10</t>
        </is>
      </c>
      <c r="Q2075" s="4" t="inlineStr">
        <is>
          <t>Bellón</t>
        </is>
      </c>
      <c r="AF2075" s="4" t="inlineStr">
        <is>
          <t>medida: 1 1/4"</t>
        </is>
      </c>
    </row>
    <row r="2076">
      <c r="A2076" s="3" t="inlineStr">
        <is>
          <t>MAT-32-723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Válvula de retención (cheque) 1/2"</t>
        </is>
      </c>
      <c r="E2076" s="4" t="inlineStr"/>
      <c r="F2076" s="3" t="inlineStr">
        <is>
          <t>unidad</t>
        </is>
      </c>
      <c r="G2076" s="3" t="inlineStr">
        <is>
          <t>Instalaciones</t>
        </is>
      </c>
      <c r="H2076" s="3" t="inlineStr">
        <is>
          <t>estandar</t>
        </is>
      </c>
      <c r="I2076" s="3" t="inlineStr">
        <is>
          <t>importado</t>
        </is>
      </c>
      <c r="J2076" s="5" t="n">
        <v>2</v>
      </c>
      <c r="K2076" s="6" t="n">
        <v>535</v>
      </c>
      <c r="L2076" s="6" t="n">
        <v>502</v>
      </c>
      <c r="M2076" s="6" t="n">
        <v>629</v>
      </c>
      <c r="N2076" s="3" t="inlineStr">
        <is>
          <t>Sí</t>
        </is>
      </c>
      <c r="O2076" s="6">
        <f>IF(K2076="","",IF(N2076="Sí",ROUND(K2076/1.18,2),K2076))</f>
        <v/>
      </c>
      <c r="P2076" s="3" t="inlineStr">
        <is>
          <t>2026-09-10</t>
        </is>
      </c>
      <c r="Q2076" s="4" t="inlineStr">
        <is>
          <t>Bellón · Ferretería Cima</t>
        </is>
      </c>
      <c r="AF2076" s="4" t="inlineStr">
        <is>
          <t>medida: 1/2"</t>
        </is>
      </c>
    </row>
    <row r="2077">
      <c r="A2077" s="3" t="inlineStr">
        <is>
          <t>MAT-32-724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Válvula de retención (cheque) 1"</t>
        </is>
      </c>
      <c r="E2077" s="4" t="inlineStr"/>
      <c r="F2077" s="3" t="inlineStr">
        <is>
          <t>unidad</t>
        </is>
      </c>
      <c r="G2077" s="3" t="inlineStr">
        <is>
          <t>Instalaciones</t>
        </is>
      </c>
      <c r="H2077" s="3" t="inlineStr">
        <is>
          <t>estandar</t>
        </is>
      </c>
      <c r="I2077" s="3" t="inlineStr">
        <is>
          <t>importado</t>
        </is>
      </c>
      <c r="J2077" s="5" t="n">
        <v>2</v>
      </c>
      <c r="K2077" s="6" t="n">
        <v>955</v>
      </c>
      <c r="L2077" s="6" t="n">
        <v>399</v>
      </c>
      <c r="M2077" s="6" t="n">
        <v>1073</v>
      </c>
      <c r="N2077" s="3" t="inlineStr">
        <is>
          <t>Sí</t>
        </is>
      </c>
      <c r="O2077" s="6">
        <f>IF(K2077="","",IF(N2077="Sí",ROUND(K2077/1.18,2),K2077))</f>
        <v/>
      </c>
      <c r="P2077" s="3" t="inlineStr">
        <is>
          <t>2026-09-10</t>
        </is>
      </c>
      <c r="Q2077" s="4" t="inlineStr">
        <is>
          <t>Bellón · Ferretería Cima</t>
        </is>
      </c>
      <c r="AF2077" s="4" t="inlineStr">
        <is>
          <t>medida: 1"</t>
        </is>
      </c>
    </row>
    <row r="2078">
      <c r="A2078" s="3" t="inlineStr">
        <is>
          <t>MAT-32-725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Válvula de retención (cheque) 2"</t>
        </is>
      </c>
      <c r="E2078" s="4" t="inlineStr"/>
      <c r="F2078" s="3" t="inlineStr">
        <is>
          <t>unidad</t>
        </is>
      </c>
      <c r="G2078" s="3" t="inlineStr">
        <is>
          <t>Instalaciones</t>
        </is>
      </c>
      <c r="H2078" s="3" t="inlineStr">
        <is>
          <t>estandar</t>
        </is>
      </c>
      <c r="I2078" s="3" t="inlineStr">
        <is>
          <t>importado</t>
        </is>
      </c>
      <c r="J2078" s="5" t="n">
        <v>2</v>
      </c>
      <c r="K2078" s="6" t="n">
        <v>2864</v>
      </c>
      <c r="L2078" s="6" t="n">
        <v>435</v>
      </c>
      <c r="M2078" s="6" t="n">
        <v>3499</v>
      </c>
      <c r="N2078" s="3" t="inlineStr">
        <is>
          <t>Sí</t>
        </is>
      </c>
      <c r="O2078" s="6">
        <f>IF(K2078="","",IF(N2078="Sí",ROUND(K2078/1.18,2),K2078))</f>
        <v/>
      </c>
      <c r="P2078" s="3" t="inlineStr">
        <is>
          <t>2026-09-10</t>
        </is>
      </c>
      <c r="Q2078" s="4" t="inlineStr">
        <is>
          <t>Bellón · Ferretería Cima</t>
        </is>
      </c>
      <c r="AF2078" s="4" t="inlineStr">
        <is>
          <t>medida: 2"</t>
        </is>
      </c>
    </row>
    <row r="2079">
      <c r="A2079" s="3" t="inlineStr">
        <is>
          <t>MAT-32-726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Válvula de retención (cheque) 3/4"</t>
        </is>
      </c>
      <c r="E2079" s="4" t="inlineStr"/>
      <c r="F2079" s="3" t="inlineStr">
        <is>
          <t>unidad</t>
        </is>
      </c>
      <c r="G2079" s="3" t="inlineStr">
        <is>
          <t>Instalaciones</t>
        </is>
      </c>
      <c r="H2079" s="3" t="inlineStr">
        <is>
          <t>estandar</t>
        </is>
      </c>
      <c r="I2079" s="3" t="inlineStr">
        <is>
          <t>importado</t>
        </is>
      </c>
      <c r="J2079" s="5" t="n">
        <v>2</v>
      </c>
      <c r="K2079" s="6" t="n">
        <v>695</v>
      </c>
      <c r="L2079" s="6" t="n">
        <v>586</v>
      </c>
      <c r="M2079" s="6" t="n">
        <v>975</v>
      </c>
      <c r="N2079" s="3" t="inlineStr">
        <is>
          <t>Sí</t>
        </is>
      </c>
      <c r="O2079" s="6">
        <f>IF(K2079="","",IF(N2079="Sí",ROUND(K2079/1.18,2),K2079))</f>
        <v/>
      </c>
      <c r="P2079" s="3" t="inlineStr">
        <is>
          <t>2026-09-10</t>
        </is>
      </c>
      <c r="Q2079" s="4" t="inlineStr">
        <is>
          <t>Bellón · Ferretería Cima</t>
        </is>
      </c>
      <c r="AF2079" s="4" t="inlineStr">
        <is>
          <t>medida: 3/4"</t>
        </is>
      </c>
    </row>
    <row r="2080">
      <c r="A2080" s="3" t="inlineStr">
        <is>
          <t>MAT-32-727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Válvula de retención (cheque) 3"</t>
        </is>
      </c>
      <c r="E2080" s="4" t="inlineStr"/>
      <c r="F2080" s="3" t="inlineStr">
        <is>
          <t>unidad</t>
        </is>
      </c>
      <c r="G2080" s="3" t="inlineStr">
        <is>
          <t>Instalaciones</t>
        </is>
      </c>
      <c r="H2080" s="3" t="inlineStr">
        <is>
          <t>estandar</t>
        </is>
      </c>
      <c r="I2080" s="3" t="inlineStr">
        <is>
          <t>importado</t>
        </is>
      </c>
      <c r="J2080" s="5" t="n">
        <v>1</v>
      </c>
      <c r="K2080" s="6" t="n">
        <v>7885</v>
      </c>
      <c r="L2080" s="6" t="n">
        <v>6059</v>
      </c>
      <c r="M2080" s="6" t="n">
        <v>11058</v>
      </c>
      <c r="N2080" s="3" t="inlineStr">
        <is>
          <t>Sí</t>
        </is>
      </c>
      <c r="O2080" s="6">
        <f>IF(K2080="","",IF(N2080="Sí",ROUND(K2080/1.18,2),K2080))</f>
        <v/>
      </c>
      <c r="P2080" s="3" t="inlineStr">
        <is>
          <t>2026-09-10</t>
        </is>
      </c>
      <c r="Q2080" s="4" t="inlineStr">
        <is>
          <t>Bellón</t>
        </is>
      </c>
      <c r="AF2080" s="4" t="inlineStr">
        <is>
          <t>medida: 3"</t>
        </is>
      </c>
    </row>
    <row r="2081">
      <c r="A2081" s="3" t="inlineStr">
        <is>
          <t>MAT-32-728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Válvula de retención (cheque) 4"</t>
        </is>
      </c>
      <c r="E2081" s="4" t="inlineStr"/>
      <c r="F2081" s="3" t="inlineStr">
        <is>
          <t>unidad</t>
        </is>
      </c>
      <c r="G2081" s="3" t="inlineStr">
        <is>
          <t>Instalaciones</t>
        </is>
      </c>
      <c r="H2081" s="3" t="inlineStr">
        <is>
          <t>estandar</t>
        </is>
      </c>
      <c r="I2081" s="3" t="inlineStr">
        <is>
          <t>importado</t>
        </is>
      </c>
      <c r="J2081" s="5" t="n">
        <v>1</v>
      </c>
      <c r="K2081" s="6" t="n">
        <v>14372</v>
      </c>
      <c r="L2081" s="6" t="n">
        <v>12582</v>
      </c>
      <c r="M2081" s="6" t="n">
        <v>18722</v>
      </c>
      <c r="N2081" s="3" t="inlineStr">
        <is>
          <t>Sí</t>
        </is>
      </c>
      <c r="O2081" s="6">
        <f>IF(K2081="","",IF(N2081="Sí",ROUND(K2081/1.18,2),K2081))</f>
        <v/>
      </c>
      <c r="P2081" s="3" t="inlineStr">
        <is>
          <t>2026-09-10</t>
        </is>
      </c>
      <c r="Q2081" s="4" t="inlineStr">
        <is>
          <t>Bellón</t>
        </is>
      </c>
      <c r="AF2081" s="4" t="inlineStr">
        <is>
          <t>medida: 4"</t>
        </is>
      </c>
    </row>
    <row r="2082">
      <c r="A2082" s="3" t="inlineStr">
        <is>
          <t>MAT-32-729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Válvula de cisterna con flotante 1/2"</t>
        </is>
      </c>
      <c r="E2082" s="4" t="inlineStr"/>
      <c r="F2082" s="3" t="inlineStr">
        <is>
          <t>unidad</t>
        </is>
      </c>
      <c r="G2082" s="3" t="inlineStr">
        <is>
          <t>Instalaciones</t>
        </is>
      </c>
      <c r="H2082" s="3" t="inlineStr">
        <is>
          <t>estandar</t>
        </is>
      </c>
      <c r="I2082" s="3" t="inlineStr">
        <is>
          <t>importado</t>
        </is>
      </c>
      <c r="J2082" s="5" t="n">
        <v>1</v>
      </c>
      <c r="K2082" s="6" t="n">
        <v>734.5</v>
      </c>
      <c r="L2082" s="6" t="n">
        <v>616</v>
      </c>
      <c r="M2082" s="6" t="n">
        <v>853</v>
      </c>
      <c r="N2082" s="3" t="inlineStr">
        <is>
          <t>Sí</t>
        </is>
      </c>
      <c r="O2082" s="6">
        <f>IF(K2082="","",IF(N2082="Sí",ROUND(K2082/1.18,2),K2082))</f>
        <v/>
      </c>
      <c r="P2082" s="3" t="inlineStr">
        <is>
          <t>2026-09-09</t>
        </is>
      </c>
      <c r="Q2082" s="4" t="inlineStr">
        <is>
          <t>Ferretería Cima</t>
        </is>
      </c>
      <c r="AF2082" s="4" t="inlineStr">
        <is>
          <t>medida: 1/2"</t>
        </is>
      </c>
    </row>
    <row r="2083">
      <c r="A2083" s="3" t="inlineStr">
        <is>
          <t>MAT-32-730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Válvula de cisterna con flotante 3/4"</t>
        </is>
      </c>
      <c r="E2083" s="4" t="inlineStr"/>
      <c r="F2083" s="3" t="inlineStr">
        <is>
          <t>unidad</t>
        </is>
      </c>
      <c r="G2083" s="3" t="inlineStr">
        <is>
          <t>Instalaciones</t>
        </is>
      </c>
      <c r="H2083" s="3" t="inlineStr">
        <is>
          <t>estandar</t>
        </is>
      </c>
      <c r="I2083" s="3" t="inlineStr">
        <is>
          <t>importado</t>
        </is>
      </c>
      <c r="J2083" s="5" t="n">
        <v>1</v>
      </c>
      <c r="K2083" s="6" t="n">
        <v>943</v>
      </c>
      <c r="L2083" s="6" t="n">
        <v>615</v>
      </c>
      <c r="M2083" s="6" t="n">
        <v>1271</v>
      </c>
      <c r="N2083" s="3" t="inlineStr">
        <is>
          <t>Sí</t>
        </is>
      </c>
      <c r="O2083" s="6">
        <f>IF(K2083="","",IF(N2083="Sí",ROUND(K2083/1.18,2),K2083))</f>
        <v/>
      </c>
      <c r="P2083" s="3" t="inlineStr">
        <is>
          <t>2026-09-09</t>
        </is>
      </c>
      <c r="Q2083" s="4" t="inlineStr">
        <is>
          <t>Ferretería Cima</t>
        </is>
      </c>
      <c r="AF2083" s="4" t="inlineStr">
        <is>
          <t>medida: 3/4"</t>
        </is>
      </c>
    </row>
    <row r="2084">
      <c r="A2084" s="3" t="inlineStr">
        <is>
          <t>MAT-32-731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Rejilla de piso 10 x 10 cm</t>
        </is>
      </c>
      <c r="E2084" s="4" t="inlineStr"/>
      <c r="F2084" s="3" t="inlineStr">
        <is>
          <t>unidad</t>
        </is>
      </c>
      <c r="G2084" s="3" t="inlineStr">
        <is>
          <t>Instalaciones</t>
        </is>
      </c>
      <c r="H2084" s="3" t="inlineStr">
        <is>
          <t>estandar</t>
        </is>
      </c>
      <c r="I2084" s="3" t="inlineStr">
        <is>
          <t>importado</t>
        </is>
      </c>
      <c r="J2084" s="5" t="n">
        <v>1</v>
      </c>
      <c r="K2084" s="6" t="n">
        <v>310</v>
      </c>
      <c r="L2084" s="6" t="n">
        <v>306</v>
      </c>
      <c r="M2084" s="6" t="n">
        <v>685</v>
      </c>
      <c r="N2084" s="3" t="inlineStr">
        <is>
          <t>Sí</t>
        </is>
      </c>
      <c r="O2084" s="6">
        <f>IF(K2084="","",IF(N2084="Sí",ROUND(K2084/1.18,2),K2084))</f>
        <v/>
      </c>
      <c r="P2084" s="3" t="inlineStr">
        <is>
          <t>2026-09-09</t>
        </is>
      </c>
      <c r="Q2084" s="4" t="inlineStr">
        <is>
          <t>Ferretería Cima</t>
        </is>
      </c>
      <c r="AF2084" s="4" t="inlineStr">
        <is>
          <t>medida: 10 x 10 cm</t>
        </is>
      </c>
    </row>
    <row r="2085">
      <c r="A2085" s="3" t="inlineStr">
        <is>
          <t>MAT-32-732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Rejilla de piso 100 x 100 cm</t>
        </is>
      </c>
      <c r="E2085" s="4" t="inlineStr"/>
      <c r="F2085" s="3" t="inlineStr">
        <is>
          <t>unidad</t>
        </is>
      </c>
      <c r="G2085" s="3" t="inlineStr">
        <is>
          <t>Instalaciones</t>
        </is>
      </c>
      <c r="H2085" s="3" t="inlineStr">
        <is>
          <t>estandar</t>
        </is>
      </c>
      <c r="I2085" s="3" t="inlineStr">
        <is>
          <t>importado</t>
        </is>
      </c>
      <c r="J2085" s="5" t="n">
        <v>1</v>
      </c>
      <c r="K2085" s="6" t="n">
        <v>1173</v>
      </c>
      <c r="L2085" s="6" t="n">
        <v>1173</v>
      </c>
      <c r="M2085" s="6" t="n">
        <v>1173</v>
      </c>
      <c r="N2085" s="3" t="inlineStr">
        <is>
          <t>Sí</t>
        </is>
      </c>
      <c r="O2085" s="6">
        <f>IF(K2085="","",IF(N2085="Sí",ROUND(K2085/1.18,2),K2085))</f>
        <v/>
      </c>
      <c r="P2085" s="3" t="inlineStr">
        <is>
          <t>2026-09-09</t>
        </is>
      </c>
      <c r="Q2085" s="4" t="inlineStr">
        <is>
          <t>Ferretería Cima</t>
        </is>
      </c>
      <c r="AF2085" s="4" t="inlineStr">
        <is>
          <t>medida: 100 x 100 cm</t>
        </is>
      </c>
    </row>
    <row r="2086">
      <c r="A2086" s="3" t="inlineStr">
        <is>
          <t>MAT-32-733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Rejilla de piso 10"</t>
        </is>
      </c>
      <c r="E2086" s="4" t="inlineStr"/>
      <c r="F2086" s="3" t="inlineStr">
        <is>
          <t>unidad</t>
        </is>
      </c>
      <c r="G2086" s="3" t="inlineStr">
        <is>
          <t>Instalaciones</t>
        </is>
      </c>
      <c r="H2086" s="3" t="inlineStr">
        <is>
          <t>estandar</t>
        </is>
      </c>
      <c r="I2086" s="3" t="inlineStr">
        <is>
          <t>importado</t>
        </is>
      </c>
      <c r="J2086" s="5" t="n">
        <v>1</v>
      </c>
      <c r="K2086" s="6" t="n">
        <v>1196</v>
      </c>
      <c r="L2086" s="6" t="n">
        <v>968</v>
      </c>
      <c r="M2086" s="6" t="n">
        <v>1510</v>
      </c>
      <c r="N2086" s="3" t="inlineStr">
        <is>
          <t>Sí</t>
        </is>
      </c>
      <c r="O2086" s="6">
        <f>IF(K2086="","",IF(N2086="Sí",ROUND(K2086/1.18,2),K2086))</f>
        <v/>
      </c>
      <c r="P2086" s="3" t="inlineStr">
        <is>
          <t>2026-09-09</t>
        </is>
      </c>
      <c r="Q2086" s="4" t="inlineStr">
        <is>
          <t>Ferretería Cima</t>
        </is>
      </c>
      <c r="AF2086" s="4" t="inlineStr">
        <is>
          <t>medida: 10" · material: acero inoxidable</t>
        </is>
      </c>
    </row>
    <row r="2087">
      <c r="A2087" s="3" t="inlineStr">
        <is>
          <t>MAT-32-734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Rejilla de piso 15 x 15 cm</t>
        </is>
      </c>
      <c r="E2087" s="4" t="inlineStr"/>
      <c r="F2087" s="3" t="inlineStr">
        <is>
          <t>unidad</t>
        </is>
      </c>
      <c r="G2087" s="3" t="inlineStr">
        <is>
          <t>Instalaciones</t>
        </is>
      </c>
      <c r="H2087" s="3" t="inlineStr">
        <is>
          <t>estandar</t>
        </is>
      </c>
      <c r="I2087" s="3" t="inlineStr">
        <is>
          <t>importado</t>
        </is>
      </c>
      <c r="J2087" s="5" t="n">
        <v>1</v>
      </c>
      <c r="K2087" s="6" t="n">
        <v>1233.5</v>
      </c>
      <c r="L2087" s="6" t="n">
        <v>413</v>
      </c>
      <c r="M2087" s="6" t="n">
        <v>2054</v>
      </c>
      <c r="N2087" s="3" t="inlineStr">
        <is>
          <t>Sí</t>
        </is>
      </c>
      <c r="O2087" s="6">
        <f>IF(K2087="","",IF(N2087="Sí",ROUND(K2087/1.18,2),K2087))</f>
        <v/>
      </c>
      <c r="P2087" s="3" t="inlineStr">
        <is>
          <t>2026-09-09</t>
        </is>
      </c>
      <c r="Q2087" s="4" t="inlineStr">
        <is>
          <t>Ferretería Cima</t>
        </is>
      </c>
      <c r="AF2087" s="4" t="inlineStr">
        <is>
          <t>medida: 15 x 15 cm · material: acero inoxidable</t>
        </is>
      </c>
    </row>
    <row r="2088">
      <c r="A2088" s="3" t="inlineStr">
        <is>
          <t>MAT-32-735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Rejilla de piso 20 x 20 cm</t>
        </is>
      </c>
      <c r="E2088" s="4" t="inlineStr"/>
      <c r="F2088" s="3" t="inlineStr">
        <is>
          <t>unidad</t>
        </is>
      </c>
      <c r="G2088" s="3" t="inlineStr">
        <is>
          <t>Instalaciones</t>
        </is>
      </c>
      <c r="H2088" s="3" t="inlineStr">
        <is>
          <t>estandar</t>
        </is>
      </c>
      <c r="I2088" s="3" t="inlineStr">
        <is>
          <t>importado</t>
        </is>
      </c>
      <c r="J2088" s="5" t="n">
        <v>1</v>
      </c>
      <c r="K2088" s="6" t="n">
        <v>572</v>
      </c>
      <c r="L2088" s="6" t="n">
        <v>572</v>
      </c>
      <c r="M2088" s="6" t="n">
        <v>572</v>
      </c>
      <c r="N2088" s="3" t="inlineStr">
        <is>
          <t>Sí</t>
        </is>
      </c>
      <c r="O2088" s="6">
        <f>IF(K2088="","",IF(N2088="Sí",ROUND(K2088/1.18,2),K2088))</f>
        <v/>
      </c>
      <c r="P2088" s="3" t="inlineStr">
        <is>
          <t>2026-09-09</t>
        </is>
      </c>
      <c r="Q2088" s="4" t="inlineStr">
        <is>
          <t>Ferretería Cima</t>
        </is>
      </c>
      <c r="AF2088" s="4" t="inlineStr">
        <is>
          <t>medida: 20 x 20 cm</t>
        </is>
      </c>
    </row>
    <row r="2089">
      <c r="A2089" s="3" t="inlineStr">
        <is>
          <t>MAT-32-736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Rejilla de piso 2"</t>
        </is>
      </c>
      <c r="E2089" s="4" t="inlineStr"/>
      <c r="F2089" s="3" t="inlineStr">
        <is>
          <t>unidad</t>
        </is>
      </c>
      <c r="G2089" s="3" t="inlineStr">
        <is>
          <t>Instalaciones</t>
        </is>
      </c>
      <c r="H2089" s="3" t="inlineStr">
        <is>
          <t>estandar</t>
        </is>
      </c>
      <c r="I2089" s="3" t="inlineStr">
        <is>
          <t>importado</t>
        </is>
      </c>
      <c r="J2089" s="5" t="n">
        <v>1</v>
      </c>
      <c r="K2089" s="6" t="n">
        <v>648</v>
      </c>
      <c r="L2089" s="6" t="n">
        <v>199</v>
      </c>
      <c r="M2089" s="6" t="n">
        <v>858</v>
      </c>
      <c r="N2089" s="3" t="inlineStr">
        <is>
          <t>Sí</t>
        </is>
      </c>
      <c r="O2089" s="6">
        <f>IF(K2089="","",IF(N2089="Sí",ROUND(K2089/1.18,2),K2089))</f>
        <v/>
      </c>
      <c r="P2089" s="3" t="inlineStr">
        <is>
          <t>2026-09-09</t>
        </is>
      </c>
      <c r="Q2089" s="4" t="inlineStr">
        <is>
          <t>Ferretería Cima</t>
        </is>
      </c>
      <c r="AF2089" s="4" t="inlineStr">
        <is>
          <t>medida: 2" · material: aluminio</t>
        </is>
      </c>
    </row>
    <row r="2090">
      <c r="A2090" s="3" t="inlineStr">
        <is>
          <t>MAT-32-737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Rejilla de piso 3 1/2"</t>
        </is>
      </c>
      <c r="E2090" s="4" t="inlineStr"/>
      <c r="F2090" s="3" t="inlineStr">
        <is>
          <t>unidad</t>
        </is>
      </c>
      <c r="G2090" s="3" t="inlineStr">
        <is>
          <t>Instalaciones</t>
        </is>
      </c>
      <c r="H2090" s="3" t="inlineStr">
        <is>
          <t>estandar</t>
        </is>
      </c>
      <c r="I2090" s="3" t="inlineStr">
        <is>
          <t>importado</t>
        </is>
      </c>
      <c r="J2090" s="5" t="n">
        <v>1</v>
      </c>
      <c r="K2090" s="6" t="n">
        <v>384.5</v>
      </c>
      <c r="L2090" s="6" t="n">
        <v>368</v>
      </c>
      <c r="M2090" s="6" t="n">
        <v>401</v>
      </c>
      <c r="N2090" s="3" t="inlineStr">
        <is>
          <t>Sí</t>
        </is>
      </c>
      <c r="O2090" s="6">
        <f>IF(K2090="","",IF(N2090="Sí",ROUND(K2090/1.18,2),K2090))</f>
        <v/>
      </c>
      <c r="P2090" s="3" t="inlineStr">
        <is>
          <t>2026-09-09</t>
        </is>
      </c>
      <c r="Q2090" s="4" t="inlineStr">
        <is>
          <t>Ferretería Cima</t>
        </is>
      </c>
      <c r="AF2090" s="4" t="inlineStr">
        <is>
          <t>medida: 3 1/2"</t>
        </is>
      </c>
    </row>
    <row r="2091">
      <c r="A2091" s="3" t="inlineStr">
        <is>
          <t>MAT-32-738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Rejilla de piso 3"</t>
        </is>
      </c>
      <c r="E2091" s="4" t="inlineStr"/>
      <c r="F2091" s="3" t="inlineStr">
        <is>
          <t>unidad</t>
        </is>
      </c>
      <c r="G2091" s="3" t="inlineStr">
        <is>
          <t>Instalaciones</t>
        </is>
      </c>
      <c r="H2091" s="3" t="inlineStr">
        <is>
          <t>estandar</t>
        </is>
      </c>
      <c r="I2091" s="3" t="inlineStr">
        <is>
          <t>importado</t>
        </is>
      </c>
      <c r="J2091" s="5" t="n">
        <v>1</v>
      </c>
      <c r="K2091" s="6" t="n">
        <v>460.5</v>
      </c>
      <c r="L2091" s="6" t="n">
        <v>356</v>
      </c>
      <c r="M2091" s="6" t="n">
        <v>565</v>
      </c>
      <c r="N2091" s="3" t="inlineStr">
        <is>
          <t>Sí</t>
        </is>
      </c>
      <c r="O2091" s="6">
        <f>IF(K2091="","",IF(N2091="Sí",ROUND(K2091/1.18,2),K2091))</f>
        <v/>
      </c>
      <c r="P2091" s="3" t="inlineStr">
        <is>
          <t>2026-09-09</t>
        </is>
      </c>
      <c r="Q2091" s="4" t="inlineStr">
        <is>
          <t>Ferretería Cima</t>
        </is>
      </c>
      <c r="AF2091" s="4" t="inlineStr">
        <is>
          <t>medida: 3" · material: aluminio</t>
        </is>
      </c>
    </row>
    <row r="2092">
      <c r="A2092" s="3" t="inlineStr">
        <is>
          <t>MAT-32-739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Rejilla de piso 4"</t>
        </is>
      </c>
      <c r="E2092" s="4" t="inlineStr"/>
      <c r="F2092" s="3" t="inlineStr">
        <is>
          <t>unidad</t>
        </is>
      </c>
      <c r="G2092" s="3" t="inlineStr">
        <is>
          <t>Instalaciones</t>
        </is>
      </c>
      <c r="H2092" s="3" t="inlineStr">
        <is>
          <t>estandar</t>
        </is>
      </c>
      <c r="I2092" s="3" t="inlineStr">
        <is>
          <t>importado</t>
        </is>
      </c>
      <c r="J2092" s="5" t="n">
        <v>1</v>
      </c>
      <c r="K2092" s="6" t="n">
        <v>481.5</v>
      </c>
      <c r="L2092" s="6" t="n">
        <v>453</v>
      </c>
      <c r="M2092" s="6" t="n">
        <v>510</v>
      </c>
      <c r="N2092" s="3" t="inlineStr">
        <is>
          <t>Sí</t>
        </is>
      </c>
      <c r="O2092" s="6">
        <f>IF(K2092="","",IF(N2092="Sí",ROUND(K2092/1.18,2),K2092))</f>
        <v/>
      </c>
      <c r="P2092" s="3" t="inlineStr">
        <is>
          <t>2026-09-09</t>
        </is>
      </c>
      <c r="Q2092" s="4" t="inlineStr">
        <is>
          <t>Ferretería Cima</t>
        </is>
      </c>
      <c r="AF2092" s="4" t="inlineStr">
        <is>
          <t>medida: 4" · material: aluminio</t>
        </is>
      </c>
    </row>
    <row r="2093">
      <c r="A2093" s="3" t="inlineStr">
        <is>
          <t>MAT-32-740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Rejilla de piso 6 x 6"</t>
        </is>
      </c>
      <c r="E2093" s="4" t="inlineStr"/>
      <c r="F2093" s="3" t="inlineStr">
        <is>
          <t>unidad</t>
        </is>
      </c>
      <c r="G2093" s="3" t="inlineStr">
        <is>
          <t>Instalaciones</t>
        </is>
      </c>
      <c r="H2093" s="3" t="inlineStr">
        <is>
          <t>estandar</t>
        </is>
      </c>
      <c r="I2093" s="3" t="inlineStr">
        <is>
          <t>importado</t>
        </is>
      </c>
      <c r="J2093" s="5" t="n">
        <v>1</v>
      </c>
      <c r="K2093" s="6" t="n">
        <v>3129</v>
      </c>
      <c r="L2093" s="6" t="n">
        <v>3129</v>
      </c>
      <c r="M2093" s="6" t="n">
        <v>3129</v>
      </c>
      <c r="N2093" s="3" t="inlineStr">
        <is>
          <t>Sí</t>
        </is>
      </c>
      <c r="O2093" s="6">
        <f>IF(K2093="","",IF(N2093="Sí",ROUND(K2093/1.18,2),K2093))</f>
        <v/>
      </c>
      <c r="P2093" s="3" t="inlineStr">
        <is>
          <t>2026-09-10</t>
        </is>
      </c>
      <c r="Q2093" s="4" t="inlineStr">
        <is>
          <t>Ferremix (Grupo Alterra)</t>
        </is>
      </c>
      <c r="AF2093" s="4" t="inlineStr">
        <is>
          <t>medida: 6 x 6"</t>
        </is>
      </c>
    </row>
    <row r="2094">
      <c r="A2094" s="3" t="inlineStr">
        <is>
          <t>MAT-32-741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Rejilla de piso 6"</t>
        </is>
      </c>
      <c r="E2094" s="4" t="inlineStr"/>
      <c r="F2094" s="3" t="inlineStr">
        <is>
          <t>unidad</t>
        </is>
      </c>
      <c r="G2094" s="3" t="inlineStr">
        <is>
          <t>Instalaciones</t>
        </is>
      </c>
      <c r="H2094" s="3" t="inlineStr">
        <is>
          <t>estandar</t>
        </is>
      </c>
      <c r="I2094" s="3" t="inlineStr">
        <is>
          <t>importado</t>
        </is>
      </c>
      <c r="J2094" s="5" t="n">
        <v>1</v>
      </c>
      <c r="K2094" s="6" t="n">
        <v>2403</v>
      </c>
      <c r="L2094" s="6" t="n">
        <v>2403</v>
      </c>
      <c r="M2094" s="6" t="n">
        <v>2403</v>
      </c>
      <c r="N2094" s="3" t="inlineStr">
        <is>
          <t>Sí</t>
        </is>
      </c>
      <c r="O2094" s="6">
        <f>IF(K2094="","",IF(N2094="Sí",ROUND(K2094/1.18,2),K2094))</f>
        <v/>
      </c>
      <c r="P2094" s="3" t="inlineStr">
        <is>
          <t>2026-09-09</t>
        </is>
      </c>
      <c r="Q2094" s="4" t="inlineStr">
        <is>
          <t>Ferretería Cima</t>
        </is>
      </c>
      <c r="AF2094" s="4" t="inlineStr">
        <is>
          <t>medida: 6" · material: aluminio</t>
        </is>
      </c>
    </row>
    <row r="2095">
      <c r="A2095" s="3" t="inlineStr">
        <is>
          <t>MAT-32-742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Rejilla de piso 80 x 80 cm</t>
        </is>
      </c>
      <c r="E2095" s="4" t="inlineStr"/>
      <c r="F2095" s="3" t="inlineStr">
        <is>
          <t>unidad</t>
        </is>
      </c>
      <c r="G2095" s="3" t="inlineStr">
        <is>
          <t>Instalaciones</t>
        </is>
      </c>
      <c r="H2095" s="3" t="inlineStr">
        <is>
          <t>estandar</t>
        </is>
      </c>
      <c r="I2095" s="3" t="inlineStr">
        <is>
          <t>importado</t>
        </is>
      </c>
      <c r="J2095" s="5" t="n">
        <v>1</v>
      </c>
      <c r="K2095" s="6" t="n">
        <v>865</v>
      </c>
      <c r="L2095" s="6" t="n">
        <v>865</v>
      </c>
      <c r="M2095" s="6" t="n">
        <v>865</v>
      </c>
      <c r="N2095" s="3" t="inlineStr">
        <is>
          <t>Sí</t>
        </is>
      </c>
      <c r="O2095" s="6">
        <f>IF(K2095="","",IF(N2095="Sí",ROUND(K2095/1.18,2),K2095))</f>
        <v/>
      </c>
      <c r="P2095" s="3" t="inlineStr">
        <is>
          <t>2026-09-09</t>
        </is>
      </c>
      <c r="Q2095" s="4" t="inlineStr">
        <is>
          <t>Ferretería Cima</t>
        </is>
      </c>
      <c r="AF2095" s="4" t="inlineStr">
        <is>
          <t>medida: 80 x 80 cm</t>
        </is>
      </c>
    </row>
    <row r="2096">
      <c r="A2096" s="3" t="inlineStr">
        <is>
          <t>MAT-32-743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Sifón de metal cromado para desagüe 1 1/4"</t>
        </is>
      </c>
      <c r="E2096" s="4" t="inlineStr"/>
      <c r="F2096" s="3" t="inlineStr">
        <is>
          <t>unidad</t>
        </is>
      </c>
      <c r="G2096" s="3" t="inlineStr">
        <is>
          <t>Instalaciones</t>
        </is>
      </c>
      <c r="H2096" s="3" t="inlineStr">
        <is>
          <t>estandar</t>
        </is>
      </c>
      <c r="I2096" s="3" t="inlineStr">
        <is>
          <t>importado</t>
        </is>
      </c>
      <c r="J2096" s="5" t="n">
        <v>1</v>
      </c>
      <c r="K2096" s="6" t="n">
        <v>1425</v>
      </c>
      <c r="L2096" s="6" t="n">
        <v>1425</v>
      </c>
      <c r="M2096" s="6" t="n">
        <v>1425</v>
      </c>
      <c r="N2096" s="3" t="inlineStr">
        <is>
          <t>Sí</t>
        </is>
      </c>
      <c r="O2096" s="6">
        <f>IF(K2096="","",IF(N2096="Sí",ROUND(K2096/1.18,2),K2096))</f>
        <v/>
      </c>
      <c r="P2096" s="3" t="inlineStr">
        <is>
          <t>2026-09-09</t>
        </is>
      </c>
      <c r="Q2096" s="4" t="inlineStr">
        <is>
          <t>Ferretería Cima</t>
        </is>
      </c>
      <c r="AE2096" s="7" t="inlineStr">
        <is>
          <t>desagüe</t>
        </is>
      </c>
      <c r="AF2096" s="4" t="inlineStr">
        <is>
          <t>material: metal cromado · medida: 1 1/4"</t>
        </is>
      </c>
    </row>
    <row r="2097">
      <c r="A2097" s="3" t="inlineStr">
        <is>
          <t>MAT-32-744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Sifón de PVC para desagüe 1 1/2"</t>
        </is>
      </c>
      <c r="E2097" s="4" t="inlineStr"/>
      <c r="F2097" s="3" t="inlineStr">
        <is>
          <t>unidad</t>
        </is>
      </c>
      <c r="G2097" s="3" t="inlineStr">
        <is>
          <t>Instalaciones</t>
        </is>
      </c>
      <c r="H2097" s="3" t="inlineStr">
        <is>
          <t>estandar</t>
        </is>
      </c>
      <c r="I2097" s="3" t="inlineStr">
        <is>
          <t>importado</t>
        </is>
      </c>
      <c r="J2097" s="5" t="n">
        <v>1</v>
      </c>
      <c r="K2097" s="6" t="n">
        <v>501.5</v>
      </c>
      <c r="L2097" s="6" t="n">
        <v>356</v>
      </c>
      <c r="M2097" s="6" t="n">
        <v>647</v>
      </c>
      <c r="N2097" s="3" t="inlineStr">
        <is>
          <t>Sí</t>
        </is>
      </c>
      <c r="O2097" s="6">
        <f>IF(K2097="","",IF(N2097="Sí",ROUND(K2097/1.18,2),K2097))</f>
        <v/>
      </c>
      <c r="P2097" s="3" t="inlineStr">
        <is>
          <t>2026-09-09</t>
        </is>
      </c>
      <c r="Q2097" s="4" t="inlineStr">
        <is>
          <t>Ferretería Cima</t>
        </is>
      </c>
      <c r="AE2097" s="7" t="inlineStr">
        <is>
          <t>desagüe</t>
        </is>
      </c>
      <c r="AF2097" s="4" t="inlineStr">
        <is>
          <t>material: PVC · medida: 1 1/2"</t>
        </is>
      </c>
    </row>
    <row r="2098">
      <c r="A2098" s="3" t="inlineStr">
        <is>
          <t>MAT-32-745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Sifón de PVC para desagüe 2"</t>
        </is>
      </c>
      <c r="E2098" s="4" t="inlineStr"/>
      <c r="F2098" s="3" t="inlineStr">
        <is>
          <t>unidad</t>
        </is>
      </c>
      <c r="G2098" s="3" t="inlineStr">
        <is>
          <t>Instalaciones</t>
        </is>
      </c>
      <c r="H2098" s="3" t="inlineStr">
        <is>
          <t>estandar</t>
        </is>
      </c>
      <c r="I2098" s="3" t="inlineStr">
        <is>
          <t>importado</t>
        </is>
      </c>
      <c r="J2098" s="5" t="n">
        <v>1</v>
      </c>
      <c r="K2098" s="6" t="n">
        <v>225</v>
      </c>
      <c r="L2098" s="6" t="n">
        <v>225</v>
      </c>
      <c r="M2098" s="6" t="n">
        <v>225</v>
      </c>
      <c r="N2098" s="3" t="inlineStr">
        <is>
          <t>Sí</t>
        </is>
      </c>
      <c r="O2098" s="6">
        <f>IF(K2098="","",IF(N2098="Sí",ROUND(K2098/1.18,2),K2098))</f>
        <v/>
      </c>
      <c r="P2098" s="3" t="inlineStr">
        <is>
          <t>2026-09-09</t>
        </is>
      </c>
      <c r="Q2098" s="4" t="inlineStr">
        <is>
          <t>Ferretería Cima</t>
        </is>
      </c>
      <c r="AE2098" s="7" t="inlineStr">
        <is>
          <t>desagüe</t>
        </is>
      </c>
      <c r="AF2098" s="4" t="inlineStr">
        <is>
          <t>material: PVC · medida: 2"</t>
        </is>
      </c>
    </row>
    <row r="2099">
      <c r="A2099" s="3" t="inlineStr">
        <is>
          <t>MAT-32-746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Sifón de PVC para fregadero 1 1/2"</t>
        </is>
      </c>
      <c r="E2099" s="4" t="inlineStr"/>
      <c r="F2099" s="3" t="inlineStr">
        <is>
          <t>unidad</t>
        </is>
      </c>
      <c r="G2099" s="3" t="inlineStr">
        <is>
          <t>Instalaciones</t>
        </is>
      </c>
      <c r="H2099" s="3" t="inlineStr">
        <is>
          <t>estandar</t>
        </is>
      </c>
      <c r="I2099" s="3" t="inlineStr">
        <is>
          <t>importado</t>
        </is>
      </c>
      <c r="J2099" s="5" t="n">
        <v>1</v>
      </c>
      <c r="K2099" s="6" t="n">
        <v>475</v>
      </c>
      <c r="L2099" s="6" t="n">
        <v>475</v>
      </c>
      <c r="M2099" s="6" t="n">
        <v>475</v>
      </c>
      <c r="N2099" s="3" t="inlineStr">
        <is>
          <t>Sí</t>
        </is>
      </c>
      <c r="O2099" s="6">
        <f>IF(K2099="","",IF(N2099="Sí",ROUND(K2099/1.18,2),K2099))</f>
        <v/>
      </c>
      <c r="P2099" s="3" t="inlineStr">
        <is>
          <t>2026-09-09</t>
        </is>
      </c>
      <c r="Q2099" s="4" t="inlineStr">
        <is>
          <t>Ferretería Cima</t>
        </is>
      </c>
      <c r="AE2099" s="7" t="inlineStr">
        <is>
          <t>fregadero</t>
        </is>
      </c>
      <c r="AF2099" s="4" t="inlineStr">
        <is>
          <t>material: PVC · medida: 1 1/2"</t>
        </is>
      </c>
    </row>
    <row r="2100">
      <c r="A2100" s="3" t="inlineStr">
        <is>
          <t>MAT-32-747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Sifón de PVC para fregadero 1 1/4"</t>
        </is>
      </c>
      <c r="E2100" s="4" t="inlineStr"/>
      <c r="F2100" s="3" t="inlineStr">
        <is>
          <t>unidad</t>
        </is>
      </c>
      <c r="G2100" s="3" t="inlineStr">
        <is>
          <t>Instalaciones</t>
        </is>
      </c>
      <c r="H2100" s="3" t="inlineStr">
        <is>
          <t>estandar</t>
        </is>
      </c>
      <c r="I2100" s="3" t="inlineStr">
        <is>
          <t>importado</t>
        </is>
      </c>
      <c r="J2100" s="5" t="n">
        <v>1</v>
      </c>
      <c r="K2100" s="6" t="n">
        <v>585</v>
      </c>
      <c r="L2100" s="6" t="n">
        <v>585</v>
      </c>
      <c r="M2100" s="6" t="n">
        <v>585</v>
      </c>
      <c r="N2100" s="3" t="inlineStr">
        <is>
          <t>Sí</t>
        </is>
      </c>
      <c r="O2100" s="6">
        <f>IF(K2100="","",IF(N2100="Sí",ROUND(K2100/1.18,2),K2100))</f>
        <v/>
      </c>
      <c r="P2100" s="3" t="inlineStr">
        <is>
          <t>2026-09-09</t>
        </is>
      </c>
      <c r="Q2100" s="4" t="inlineStr">
        <is>
          <t>Ferretería Cima</t>
        </is>
      </c>
      <c r="AE2100" s="7" t="inlineStr">
        <is>
          <t>fregadero</t>
        </is>
      </c>
      <c r="AF2100" s="4" t="inlineStr">
        <is>
          <t>material: PVC · medida: 1 1/4"</t>
        </is>
      </c>
    </row>
    <row r="2101">
      <c r="A2101" s="3" t="inlineStr">
        <is>
          <t>MAT-32-748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Sifón de metal para lavamanos 1 1/2"</t>
        </is>
      </c>
      <c r="E2101" s="4" t="inlineStr"/>
      <c r="F2101" s="3" t="inlineStr">
        <is>
          <t>unidad</t>
        </is>
      </c>
      <c r="G2101" s="3" t="inlineStr">
        <is>
          <t>Instalaciones</t>
        </is>
      </c>
      <c r="H2101" s="3" t="inlineStr">
        <is>
          <t>estandar</t>
        </is>
      </c>
      <c r="I2101" s="3" t="inlineStr">
        <is>
          <t>importado</t>
        </is>
      </c>
      <c r="J2101" s="5" t="n">
        <v>1</v>
      </c>
      <c r="K2101" s="6" t="n">
        <v>1252</v>
      </c>
      <c r="L2101" s="6" t="n">
        <v>1252</v>
      </c>
      <c r="M2101" s="6" t="n">
        <v>1252</v>
      </c>
      <c r="N2101" s="3" t="inlineStr">
        <is>
          <t>Sí</t>
        </is>
      </c>
      <c r="O2101" s="6">
        <f>IF(K2101="","",IF(N2101="Sí",ROUND(K2101/1.18,2),K2101))</f>
        <v/>
      </c>
      <c r="P2101" s="3" t="inlineStr">
        <is>
          <t>2026-09-10</t>
        </is>
      </c>
      <c r="Q2101" s="4" t="inlineStr">
        <is>
          <t>Bellón</t>
        </is>
      </c>
      <c r="AE2101" s="7" t="inlineStr">
        <is>
          <t>lavamanos</t>
        </is>
      </c>
      <c r="AF2101" s="4" t="inlineStr">
        <is>
          <t>material: metal · medida: 1 1/2"</t>
        </is>
      </c>
    </row>
    <row r="2102">
      <c r="A2102" s="3" t="inlineStr">
        <is>
          <t>MAT-32-749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Sifón de metal para lavamanos 1 1/4"</t>
        </is>
      </c>
      <c r="E2102" s="4" t="inlineStr"/>
      <c r="F2102" s="3" t="inlineStr">
        <is>
          <t>unidad</t>
        </is>
      </c>
      <c r="G2102" s="3" t="inlineStr">
        <is>
          <t>Instalaciones</t>
        </is>
      </c>
      <c r="H2102" s="3" t="inlineStr">
        <is>
          <t>estandar</t>
        </is>
      </c>
      <c r="I2102" s="3" t="inlineStr">
        <is>
          <t>importado</t>
        </is>
      </c>
      <c r="J2102" s="5" t="n">
        <v>1</v>
      </c>
      <c r="K2102" s="6" t="n">
        <v>1274</v>
      </c>
      <c r="L2102" s="6" t="n">
        <v>1274</v>
      </c>
      <c r="M2102" s="6" t="n">
        <v>1274</v>
      </c>
      <c r="N2102" s="3" t="inlineStr">
        <is>
          <t>Sí</t>
        </is>
      </c>
      <c r="O2102" s="6">
        <f>IF(K2102="","",IF(N2102="Sí",ROUND(K2102/1.18,2),K2102))</f>
        <v/>
      </c>
      <c r="P2102" s="3" t="inlineStr">
        <is>
          <t>2026-09-10</t>
        </is>
      </c>
      <c r="Q2102" s="4" t="inlineStr">
        <is>
          <t>Bellón</t>
        </is>
      </c>
      <c r="AE2102" s="7" t="inlineStr">
        <is>
          <t>lavamanos</t>
        </is>
      </c>
      <c r="AF2102" s="4" t="inlineStr">
        <is>
          <t>material: metal · medida: 1 1/4"</t>
        </is>
      </c>
    </row>
    <row r="2103">
      <c r="A2103" s="3" t="inlineStr">
        <is>
          <t>MAT-32-750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Sifón de metal para lavamanos 1/4"</t>
        </is>
      </c>
      <c r="E2103" s="4" t="inlineStr"/>
      <c r="F2103" s="3" t="inlineStr">
        <is>
          <t>unidad</t>
        </is>
      </c>
      <c r="G2103" s="3" t="inlineStr">
        <is>
          <t>Instalaciones</t>
        </is>
      </c>
      <c r="H2103" s="3" t="inlineStr">
        <is>
          <t>estandar</t>
        </is>
      </c>
      <c r="I2103" s="3" t="inlineStr">
        <is>
          <t>importado</t>
        </is>
      </c>
      <c r="J2103" s="5" t="n">
        <v>1</v>
      </c>
      <c r="K2103" s="6" t="n">
        <v>925</v>
      </c>
      <c r="L2103" s="6" t="n">
        <v>925</v>
      </c>
      <c r="M2103" s="6" t="n">
        <v>925</v>
      </c>
      <c r="N2103" s="3" t="inlineStr">
        <is>
          <t>Sí</t>
        </is>
      </c>
      <c r="O2103" s="6">
        <f>IF(K2103="","",IF(N2103="Sí",ROUND(K2103/1.18,2),K2103))</f>
        <v/>
      </c>
      <c r="P2103" s="3" t="inlineStr">
        <is>
          <t>2026-09-10</t>
        </is>
      </c>
      <c r="Q2103" s="4" t="inlineStr">
        <is>
          <t>Ferremix (Grupo Alterra)</t>
        </is>
      </c>
      <c r="AE2103" s="7" t="inlineStr">
        <is>
          <t>lavamanos</t>
        </is>
      </c>
      <c r="AF2103" s="4" t="inlineStr">
        <is>
          <t>material: metal · medida: 1/4"</t>
        </is>
      </c>
    </row>
    <row r="2104">
      <c r="A2104" s="3" t="inlineStr">
        <is>
          <t>MAT-32-751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Sifón de PVC para lavamanos 1 1/2"</t>
        </is>
      </c>
      <c r="E2104" s="4" t="inlineStr"/>
      <c r="F2104" s="3" t="inlineStr">
        <is>
          <t>unidad</t>
        </is>
      </c>
      <c r="G2104" s="3" t="inlineStr">
        <is>
          <t>Instalaciones</t>
        </is>
      </c>
      <c r="H2104" s="3" t="inlineStr">
        <is>
          <t>estandar</t>
        </is>
      </c>
      <c r="I2104" s="3" t="inlineStr">
        <is>
          <t>importado</t>
        </is>
      </c>
      <c r="J2104" s="5" t="n">
        <v>1</v>
      </c>
      <c r="K2104" s="6" t="n">
        <v>150</v>
      </c>
      <c r="L2104" s="6" t="n">
        <v>70.38</v>
      </c>
      <c r="M2104" s="6" t="n">
        <v>912</v>
      </c>
      <c r="N2104" s="3" t="inlineStr">
        <is>
          <t>Sí</t>
        </is>
      </c>
      <c r="O2104" s="6">
        <f>IF(K2104="","",IF(N2104="Sí",ROUND(K2104/1.18,2),K2104))</f>
        <v/>
      </c>
      <c r="P2104" s="3" t="inlineStr">
        <is>
          <t>2026-09-10</t>
        </is>
      </c>
      <c r="Q2104" s="4" t="inlineStr">
        <is>
          <t>Bellón</t>
        </is>
      </c>
      <c r="AE2104" s="7" t="inlineStr">
        <is>
          <t>lavamanos</t>
        </is>
      </c>
      <c r="AF2104" s="4" t="inlineStr">
        <is>
          <t>material: PVC · medida: 1 1/2"</t>
        </is>
      </c>
    </row>
    <row r="2105">
      <c r="A2105" s="3" t="inlineStr">
        <is>
          <t>MAT-32-752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Sifón de PVC para lavamanos 1 1/4"</t>
        </is>
      </c>
      <c r="E2105" s="4" t="inlineStr"/>
      <c r="F2105" s="3" t="inlineStr">
        <is>
          <t>unidad</t>
        </is>
      </c>
      <c r="G2105" s="3" t="inlineStr">
        <is>
          <t>Instalaciones</t>
        </is>
      </c>
      <c r="H2105" s="3" t="inlineStr">
        <is>
          <t>estandar</t>
        </is>
      </c>
      <c r="I2105" s="3" t="inlineStr">
        <is>
          <t>importado</t>
        </is>
      </c>
      <c r="J2105" s="5" t="n">
        <v>2</v>
      </c>
      <c r="K2105" s="6" t="n">
        <v>312.5</v>
      </c>
      <c r="L2105" s="6" t="n">
        <v>93.86</v>
      </c>
      <c r="M2105" s="6" t="n">
        <v>345</v>
      </c>
      <c r="N2105" s="3" t="inlineStr">
        <is>
          <t>Sí</t>
        </is>
      </c>
      <c r="O2105" s="6">
        <f>IF(K2105="","",IF(N2105="Sí",ROUND(K2105/1.18,2),K2105))</f>
        <v/>
      </c>
      <c r="P2105" s="3" t="inlineStr">
        <is>
          <t>2026-09-10</t>
        </is>
      </c>
      <c r="Q2105" s="4" t="inlineStr">
        <is>
          <t>Bellón · Ferremix (Grupo Alterra)</t>
        </is>
      </c>
      <c r="AE2105" s="7" t="inlineStr">
        <is>
          <t>lavamanos</t>
        </is>
      </c>
      <c r="AF2105" s="4" t="inlineStr">
        <is>
          <t>material: PVC · medida: 1 1/4"</t>
        </is>
      </c>
    </row>
    <row r="2106">
      <c r="A2106" s="3" t="inlineStr">
        <is>
          <t>MAT-32-753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Sifón de PVC para lavamanos 2"</t>
        </is>
      </c>
      <c r="E2106" s="4" t="inlineStr"/>
      <c r="F2106" s="3" t="inlineStr">
        <is>
          <t>unidad</t>
        </is>
      </c>
      <c r="G2106" s="3" t="inlineStr">
        <is>
          <t>Instalaciones</t>
        </is>
      </c>
      <c r="H2106" s="3" t="inlineStr">
        <is>
          <t>estandar</t>
        </is>
      </c>
      <c r="I2106" s="3" t="inlineStr">
        <is>
          <t>importado</t>
        </is>
      </c>
      <c r="J2106" s="5" t="n">
        <v>1</v>
      </c>
      <c r="K2106" s="6" t="n">
        <v>96.84999999999999</v>
      </c>
      <c r="L2106" s="6" t="n">
        <v>81.5</v>
      </c>
      <c r="M2106" s="6" t="n">
        <v>112.21</v>
      </c>
      <c r="N2106" s="3" t="inlineStr">
        <is>
          <t>Sí</t>
        </is>
      </c>
      <c r="O2106" s="6">
        <f>IF(K2106="","",IF(N2106="Sí",ROUND(K2106/1.18,2),K2106))</f>
        <v/>
      </c>
      <c r="P2106" s="3" t="inlineStr">
        <is>
          <t>2026-09-10</t>
        </is>
      </c>
      <c r="Q2106" s="4" t="inlineStr">
        <is>
          <t>Bellón</t>
        </is>
      </c>
      <c r="AE2106" s="7" t="inlineStr">
        <is>
          <t>lavamanos</t>
        </is>
      </c>
      <c r="AF2106" s="4" t="inlineStr">
        <is>
          <t>material: PVC · medida: 2"</t>
        </is>
      </c>
    </row>
    <row r="2107">
      <c r="A2107" s="3" t="inlineStr">
        <is>
          <t>MAT-32-754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Boquilla de desagüe de metal para fregadero</t>
        </is>
      </c>
      <c r="E2107" s="4" t="inlineStr"/>
      <c r="F2107" s="3" t="inlineStr">
        <is>
          <t>unidad</t>
        </is>
      </c>
      <c r="G2107" s="3" t="inlineStr">
        <is>
          <t>Instalaciones</t>
        </is>
      </c>
      <c r="H2107" s="3" t="inlineStr">
        <is>
          <t>estandar</t>
        </is>
      </c>
      <c r="I2107" s="3" t="inlineStr">
        <is>
          <t>importado</t>
        </is>
      </c>
      <c r="J2107" s="5" t="n">
        <v>1</v>
      </c>
      <c r="K2107" s="6" t="n">
        <v>470</v>
      </c>
      <c r="L2107" s="6" t="n">
        <v>470</v>
      </c>
      <c r="M2107" s="6" t="n">
        <v>470</v>
      </c>
      <c r="N2107" s="3" t="inlineStr">
        <is>
          <t>Sí</t>
        </is>
      </c>
      <c r="O2107" s="6">
        <f>IF(K2107="","",IF(N2107="Sí",ROUND(K2107/1.18,2),K2107))</f>
        <v/>
      </c>
      <c r="P2107" s="3" t="inlineStr">
        <is>
          <t>2026-09-09</t>
        </is>
      </c>
      <c r="Q2107" s="4" t="inlineStr">
        <is>
          <t>Ferretería Cima</t>
        </is>
      </c>
      <c r="AE2107" s="7" t="inlineStr">
        <is>
          <t>fregadero</t>
        </is>
      </c>
      <c r="AF2107" s="4" t="inlineStr">
        <is>
          <t>material: metal</t>
        </is>
      </c>
    </row>
    <row r="2108">
      <c r="A2108" s="3" t="inlineStr">
        <is>
          <t>MAT-32-755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Boquilla de desagüe de plástico para fregadero</t>
        </is>
      </c>
      <c r="E2108" s="4" t="inlineStr"/>
      <c r="F2108" s="3" t="inlineStr">
        <is>
          <t>unidad</t>
        </is>
      </c>
      <c r="G2108" s="3" t="inlineStr">
        <is>
          <t>Instalaciones</t>
        </is>
      </c>
      <c r="H2108" s="3" t="inlineStr">
        <is>
          <t>estandar</t>
        </is>
      </c>
      <c r="I2108" s="3" t="inlineStr">
        <is>
          <t>importado</t>
        </is>
      </c>
      <c r="J2108" s="5" t="n">
        <v>2</v>
      </c>
      <c r="K2108" s="6" t="n">
        <v>563.55</v>
      </c>
      <c r="L2108" s="6" t="n">
        <v>285</v>
      </c>
      <c r="M2108" s="6" t="n">
        <v>842.11</v>
      </c>
      <c r="N2108" s="3" t="inlineStr">
        <is>
          <t>Sí</t>
        </is>
      </c>
      <c r="O2108" s="6">
        <f>IF(K2108="","",IF(N2108="Sí",ROUND(K2108/1.18,2),K2108))</f>
        <v/>
      </c>
      <c r="P2108" s="3" t="inlineStr">
        <is>
          <t>2026-09-10</t>
        </is>
      </c>
      <c r="Q2108" s="4" t="inlineStr">
        <is>
          <t>CerArte · Ferretería Cima</t>
        </is>
      </c>
      <c r="AE2108" s="7" t="inlineStr">
        <is>
          <t>fregadero</t>
        </is>
      </c>
      <c r="AF2108" s="4" t="inlineStr">
        <is>
          <t>material: plástico</t>
        </is>
      </c>
    </row>
    <row r="2109">
      <c r="A2109" s="3" t="inlineStr">
        <is>
          <t>MAT-32-756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Boquilla de desagüe de metal para lavadero</t>
        </is>
      </c>
      <c r="E2109" s="4" t="inlineStr"/>
      <c r="F2109" s="3" t="inlineStr">
        <is>
          <t>unidad</t>
        </is>
      </c>
      <c r="G2109" s="3" t="inlineStr">
        <is>
          <t>Instalaciones</t>
        </is>
      </c>
      <c r="H2109" s="3" t="inlineStr">
        <is>
          <t>estandar</t>
        </is>
      </c>
      <c r="I2109" s="3" t="inlineStr">
        <is>
          <t>importado</t>
        </is>
      </c>
      <c r="J2109" s="5" t="n">
        <v>1</v>
      </c>
      <c r="K2109" s="6" t="n">
        <v>429</v>
      </c>
      <c r="L2109" s="6" t="n">
        <v>429</v>
      </c>
      <c r="M2109" s="6" t="n">
        <v>429</v>
      </c>
      <c r="N2109" s="3" t="inlineStr">
        <is>
          <t>Sí</t>
        </is>
      </c>
      <c r="O2109" s="6">
        <f>IF(K2109="","",IF(N2109="Sí",ROUND(K2109/1.18,2),K2109))</f>
        <v/>
      </c>
      <c r="P2109" s="3" t="inlineStr">
        <is>
          <t>2026-09-09</t>
        </is>
      </c>
      <c r="Q2109" s="4" t="inlineStr">
        <is>
          <t>Ferretería Cima</t>
        </is>
      </c>
      <c r="AE2109" s="7" t="inlineStr">
        <is>
          <t>lavadero</t>
        </is>
      </c>
      <c r="AF2109" s="4" t="inlineStr">
        <is>
          <t>material: metal</t>
        </is>
      </c>
    </row>
    <row r="2110">
      <c r="A2110" s="3" t="inlineStr">
        <is>
          <t>MAT-32-757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Boquilla de desagüe de metal para lavamanos</t>
        </is>
      </c>
      <c r="E2110" s="4" t="inlineStr"/>
      <c r="F2110" s="3" t="inlineStr">
        <is>
          <t>unidad</t>
        </is>
      </c>
      <c r="G2110" s="3" t="inlineStr">
        <is>
          <t>Instalaciones</t>
        </is>
      </c>
      <c r="H2110" s="3" t="inlineStr">
        <is>
          <t>estandar</t>
        </is>
      </c>
      <c r="I2110" s="3" t="inlineStr">
        <is>
          <t>importado</t>
        </is>
      </c>
      <c r="J2110" s="5" t="n">
        <v>2</v>
      </c>
      <c r="K2110" s="6" t="n">
        <v>1145</v>
      </c>
      <c r="L2110" s="6" t="n">
        <v>255</v>
      </c>
      <c r="M2110" s="6" t="n">
        <v>5990</v>
      </c>
      <c r="N2110" s="3" t="inlineStr">
        <is>
          <t>Sí</t>
        </is>
      </c>
      <c r="O2110" s="6">
        <f>IF(K2110="","",IF(N2110="Sí",ROUND(K2110/1.18,2),K2110))</f>
        <v/>
      </c>
      <c r="P2110" s="3" t="inlineStr">
        <is>
          <t>2026-09-10</t>
        </is>
      </c>
      <c r="Q2110" s="4" t="inlineStr">
        <is>
          <t>Ferretería Cima · La Ibérica</t>
        </is>
      </c>
      <c r="AE2110" s="7" t="inlineStr">
        <is>
          <t>lavamanos</t>
        </is>
      </c>
      <c r="AF2110" s="4" t="inlineStr">
        <is>
          <t>material: metal</t>
        </is>
      </c>
    </row>
    <row r="2111">
      <c r="A2111" s="3" t="inlineStr">
        <is>
          <t>MAT-32-758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Boquilla de desagüe de plástico para lavamanos</t>
        </is>
      </c>
      <c r="E2111" s="4" t="inlineStr"/>
      <c r="F2111" s="3" t="inlineStr">
        <is>
          <t>unidad</t>
        </is>
      </c>
      <c r="G2111" s="3" t="inlineStr">
        <is>
          <t>Instalaciones</t>
        </is>
      </c>
      <c r="H2111" s="3" t="inlineStr">
        <is>
          <t>estandar</t>
        </is>
      </c>
      <c r="I2111" s="3" t="inlineStr">
        <is>
          <t>importado</t>
        </is>
      </c>
      <c r="J2111" s="5" t="n">
        <v>2</v>
      </c>
      <c r="K2111" s="6" t="n">
        <v>955.51</v>
      </c>
      <c r="L2111" s="6" t="n">
        <v>265.5</v>
      </c>
      <c r="M2111" s="6" t="n">
        <v>5590</v>
      </c>
      <c r="N2111" s="3" t="inlineStr">
        <is>
          <t>Sí</t>
        </is>
      </c>
      <c r="O2111" s="6">
        <f>IF(K2111="","",IF(N2111="Sí",ROUND(K2111/1.18,2),K2111))</f>
        <v/>
      </c>
      <c r="P2111" s="3" t="inlineStr">
        <is>
          <t>2026-09-10</t>
        </is>
      </c>
      <c r="Q2111" s="4" t="inlineStr">
        <is>
          <t>CerArte · La Ibérica</t>
        </is>
      </c>
      <c r="AE2111" s="7" t="inlineStr">
        <is>
          <t>lavamanos</t>
        </is>
      </c>
      <c r="AF2111" s="4" t="inlineStr">
        <is>
          <t>material: plástico</t>
        </is>
      </c>
    </row>
    <row r="2112">
      <c r="A2112" s="3" t="inlineStr">
        <is>
          <t>MAT-32-759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Manguera para bomba 24"</t>
        </is>
      </c>
      <c r="E2112" s="4" t="inlineStr"/>
      <c r="F2112" s="3" t="inlineStr">
        <is>
          <t>unidad</t>
        </is>
      </c>
      <c r="G2112" s="3" t="inlineStr">
        <is>
          <t>Instalaciones</t>
        </is>
      </c>
      <c r="H2112" s="3" t="inlineStr">
        <is>
          <t>estandar</t>
        </is>
      </c>
      <c r="I2112" s="3" t="inlineStr">
        <is>
          <t>importado</t>
        </is>
      </c>
      <c r="J2112" s="5" t="n">
        <v>1</v>
      </c>
      <c r="K2112" s="6" t="n">
        <v>970</v>
      </c>
      <c r="L2112" s="6" t="n">
        <v>970</v>
      </c>
      <c r="M2112" s="6" t="n">
        <v>970</v>
      </c>
      <c r="N2112" s="3" t="inlineStr">
        <is>
          <t>Sí</t>
        </is>
      </c>
      <c r="O2112" s="6">
        <f>IF(K2112="","",IF(N2112="Sí",ROUND(K2112/1.18,2),K2112))</f>
        <v/>
      </c>
      <c r="P2112" s="3" t="inlineStr">
        <is>
          <t>2026-09-09</t>
        </is>
      </c>
      <c r="Q2112" s="4" t="inlineStr">
        <is>
          <t>Ferretería Cima</t>
        </is>
      </c>
      <c r="AE2112" s="7" t="inlineStr">
        <is>
          <t>bomba</t>
        </is>
      </c>
      <c r="AF2112" s="4" t="inlineStr">
        <is>
          <t>medida: 24"</t>
        </is>
      </c>
    </row>
    <row r="2113">
      <c r="A2113" s="3" t="inlineStr">
        <is>
          <t>MAT-32-760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Manguera para bomba 36"</t>
        </is>
      </c>
      <c r="E2113" s="4" t="inlineStr"/>
      <c r="F2113" s="3" t="inlineStr">
        <is>
          <t>unidad</t>
        </is>
      </c>
      <c r="G2113" s="3" t="inlineStr">
        <is>
          <t>Instalaciones</t>
        </is>
      </c>
      <c r="H2113" s="3" t="inlineStr">
        <is>
          <t>estandar</t>
        </is>
      </c>
      <c r="I2113" s="3" t="inlineStr">
        <is>
          <t>importado</t>
        </is>
      </c>
      <c r="J2113" s="5" t="n">
        <v>1</v>
      </c>
      <c r="K2113" s="6" t="n">
        <v>475</v>
      </c>
      <c r="L2113" s="6" t="n">
        <v>475</v>
      </c>
      <c r="M2113" s="6" t="n">
        <v>475</v>
      </c>
      <c r="N2113" s="3" t="inlineStr">
        <is>
          <t>Sí</t>
        </is>
      </c>
      <c r="O2113" s="6">
        <f>IF(K2113="","",IF(N2113="Sí",ROUND(K2113/1.18,2),K2113))</f>
        <v/>
      </c>
      <c r="P2113" s="3" t="inlineStr">
        <is>
          <t>2026-09-09</t>
        </is>
      </c>
      <c r="Q2113" s="4" t="inlineStr">
        <is>
          <t>Ferretería Cima</t>
        </is>
      </c>
      <c r="AE2113" s="7" t="inlineStr">
        <is>
          <t>bomba</t>
        </is>
      </c>
      <c r="AF2113" s="4" t="inlineStr">
        <is>
          <t>medida: 36"</t>
        </is>
      </c>
    </row>
    <row r="2114">
      <c r="A2114" s="3" t="inlineStr">
        <is>
          <t>MAT-32-761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Manguera para calentador 24"</t>
        </is>
      </c>
      <c r="E2114" s="4" t="inlineStr"/>
      <c r="F2114" s="3" t="inlineStr">
        <is>
          <t>unidad</t>
        </is>
      </c>
      <c r="G2114" s="3" t="inlineStr">
        <is>
          <t>Instalaciones</t>
        </is>
      </c>
      <c r="H2114" s="3" t="inlineStr">
        <is>
          <t>estandar</t>
        </is>
      </c>
      <c r="I2114" s="3" t="inlineStr">
        <is>
          <t>importado</t>
        </is>
      </c>
      <c r="J2114" s="5" t="n">
        <v>1</v>
      </c>
      <c r="K2114" s="6" t="n">
        <v>895</v>
      </c>
      <c r="L2114" s="6" t="n">
        <v>895</v>
      </c>
      <c r="M2114" s="6" t="n">
        <v>895</v>
      </c>
      <c r="N2114" s="3" t="inlineStr">
        <is>
          <t>Sí</t>
        </is>
      </c>
      <c r="O2114" s="6">
        <f>IF(K2114="","",IF(N2114="Sí",ROUND(K2114/1.18,2),K2114))</f>
        <v/>
      </c>
      <c r="P2114" s="3" t="inlineStr">
        <is>
          <t>2026-09-09</t>
        </is>
      </c>
      <c r="Q2114" s="4" t="inlineStr">
        <is>
          <t>Ferretería Cima</t>
        </is>
      </c>
      <c r="AE2114" s="7" t="inlineStr">
        <is>
          <t>calentador</t>
        </is>
      </c>
      <c r="AF2114" s="4" t="inlineStr">
        <is>
          <t>medida: 24"</t>
        </is>
      </c>
    </row>
    <row r="2115">
      <c r="A2115" s="3" t="inlineStr">
        <is>
          <t>MAT-32-762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Manguera para calentador 3/4" x 1 pulgadas</t>
        </is>
      </c>
      <c r="E2115" s="4" t="inlineStr"/>
      <c r="F2115" s="3" t="inlineStr">
        <is>
          <t>unidad</t>
        </is>
      </c>
      <c r="G2115" s="3" t="inlineStr">
        <is>
          <t>Instalaciones</t>
        </is>
      </c>
      <c r="H2115" s="3" t="inlineStr">
        <is>
          <t>estandar</t>
        </is>
      </c>
      <c r="I2115" s="3" t="inlineStr">
        <is>
          <t>importado</t>
        </is>
      </c>
      <c r="J2115" s="5" t="n">
        <v>1</v>
      </c>
      <c r="K2115" s="6" t="n">
        <v>620</v>
      </c>
      <c r="L2115" s="6" t="n">
        <v>620</v>
      </c>
      <c r="M2115" s="6" t="n">
        <v>620</v>
      </c>
      <c r="N2115" s="3" t="inlineStr">
        <is>
          <t>Sí</t>
        </is>
      </c>
      <c r="O2115" s="6">
        <f>IF(K2115="","",IF(N2115="Sí",ROUND(K2115/1.18,2),K2115))</f>
        <v/>
      </c>
      <c r="P2115" s="3" t="inlineStr">
        <is>
          <t>2026-09-09</t>
        </is>
      </c>
      <c r="Q2115" s="4" t="inlineStr">
        <is>
          <t>Ferretería Cima</t>
        </is>
      </c>
      <c r="AE2115" s="7" t="inlineStr">
        <is>
          <t>calentador</t>
        </is>
      </c>
      <c r="AF2115" s="4" t="inlineStr">
        <is>
          <t>medida: 3/4" x 1 pulgadas</t>
        </is>
      </c>
    </row>
    <row r="2116">
      <c r="A2116" s="3" t="inlineStr">
        <is>
          <t>MAT-32-763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Manguera para calentador 3/4" x 2 pulgadas</t>
        </is>
      </c>
      <c r="E2116" s="4" t="inlineStr"/>
      <c r="F2116" s="3" t="inlineStr">
        <is>
          <t>unidad</t>
        </is>
      </c>
      <c r="G2116" s="3" t="inlineStr">
        <is>
          <t>Instalaciones</t>
        </is>
      </c>
      <c r="H2116" s="3" t="inlineStr">
        <is>
          <t>estandar</t>
        </is>
      </c>
      <c r="I2116" s="3" t="inlineStr">
        <is>
          <t>importado</t>
        </is>
      </c>
      <c r="J2116" s="5" t="n">
        <v>1</v>
      </c>
      <c r="K2116" s="6" t="n">
        <v>878</v>
      </c>
      <c r="L2116" s="6" t="n">
        <v>685</v>
      </c>
      <c r="M2116" s="6" t="n">
        <v>1071</v>
      </c>
      <c r="N2116" s="3" t="inlineStr">
        <is>
          <t>Sí</t>
        </is>
      </c>
      <c r="O2116" s="6">
        <f>IF(K2116="","",IF(N2116="Sí",ROUND(K2116/1.18,2),K2116))</f>
        <v/>
      </c>
      <c r="P2116" s="3" t="inlineStr">
        <is>
          <t>2026-09-09</t>
        </is>
      </c>
      <c r="Q2116" s="4" t="inlineStr">
        <is>
          <t>Ferretería Cima</t>
        </is>
      </c>
      <c r="AE2116" s="7" t="inlineStr">
        <is>
          <t>calentador</t>
        </is>
      </c>
      <c r="AF2116" s="4" t="inlineStr">
        <is>
          <t>medida: 3/4" x 2 pulgadas</t>
        </is>
      </c>
    </row>
    <row r="2117">
      <c r="A2117" s="3" t="inlineStr">
        <is>
          <t>MAT-32-764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Manguera para calentador 60"</t>
        </is>
      </c>
      <c r="E2117" s="4" t="inlineStr"/>
      <c r="F2117" s="3" t="inlineStr">
        <is>
          <t>unidad</t>
        </is>
      </c>
      <c r="G2117" s="3" t="inlineStr">
        <is>
          <t>Instalaciones</t>
        </is>
      </c>
      <c r="H2117" s="3" t="inlineStr">
        <is>
          <t>estandar</t>
        </is>
      </c>
      <c r="I2117" s="3" t="inlineStr">
        <is>
          <t>importado</t>
        </is>
      </c>
      <c r="J2117" s="5" t="n">
        <v>1</v>
      </c>
      <c r="K2117" s="6" t="n">
        <v>1094</v>
      </c>
      <c r="L2117" s="6" t="n">
        <v>1094</v>
      </c>
      <c r="M2117" s="6" t="n">
        <v>1094</v>
      </c>
      <c r="N2117" s="3" t="inlineStr">
        <is>
          <t>Sí</t>
        </is>
      </c>
      <c r="O2117" s="6">
        <f>IF(K2117="","",IF(N2117="Sí",ROUND(K2117/1.18,2),K2117))</f>
        <v/>
      </c>
      <c r="P2117" s="3" t="inlineStr">
        <is>
          <t>2026-09-09</t>
        </is>
      </c>
      <c r="Q2117" s="4" t="inlineStr">
        <is>
          <t>Ferretería Cima</t>
        </is>
      </c>
      <c r="AE2117" s="7" t="inlineStr">
        <is>
          <t>calentador</t>
        </is>
      </c>
      <c r="AF2117" s="4" t="inlineStr">
        <is>
          <t>medida: 60"</t>
        </is>
      </c>
    </row>
    <row r="2118">
      <c r="A2118" s="3" t="inlineStr">
        <is>
          <t>MAT-32-765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Manguera para gas 12"</t>
        </is>
      </c>
      <c r="E2118" s="4" t="inlineStr"/>
      <c r="F2118" s="3" t="inlineStr">
        <is>
          <t>unidad</t>
        </is>
      </c>
      <c r="G2118" s="3" t="inlineStr">
        <is>
          <t>Instalaciones</t>
        </is>
      </c>
      <c r="H2118" s="3" t="inlineStr">
        <is>
          <t>estandar</t>
        </is>
      </c>
      <c r="I2118" s="3" t="inlineStr">
        <is>
          <t>importado</t>
        </is>
      </c>
      <c r="J2118" s="5" t="n">
        <v>1</v>
      </c>
      <c r="K2118" s="6" t="n">
        <v>50</v>
      </c>
      <c r="L2118" s="6" t="n">
        <v>50</v>
      </c>
      <c r="M2118" s="6" t="n">
        <v>50</v>
      </c>
      <c r="N2118" s="3" t="inlineStr">
        <is>
          <t>Sí</t>
        </is>
      </c>
      <c r="O2118" s="6">
        <f>IF(K2118="","",IF(N2118="Sí",ROUND(K2118/1.18,2),K2118))</f>
        <v/>
      </c>
      <c r="P2118" s="3" t="inlineStr">
        <is>
          <t>2026-09-09</t>
        </is>
      </c>
      <c r="Q2118" s="4" t="inlineStr">
        <is>
          <t>Ferretería Cima</t>
        </is>
      </c>
      <c r="AE2118" s="7" t="inlineStr">
        <is>
          <t>gas</t>
        </is>
      </c>
      <c r="AF2118" s="4" t="inlineStr">
        <is>
          <t>medida: 12"</t>
        </is>
      </c>
    </row>
    <row r="2119">
      <c r="A2119" s="3" t="inlineStr">
        <is>
          <t>MAT-32-766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Manguera para gas 18"</t>
        </is>
      </c>
      <c r="E2119" s="4" t="inlineStr"/>
      <c r="F2119" s="3" t="inlineStr">
        <is>
          <t>unidad</t>
        </is>
      </c>
      <c r="G2119" s="3" t="inlineStr">
        <is>
          <t>Instalaciones</t>
        </is>
      </c>
      <c r="H2119" s="3" t="inlineStr">
        <is>
          <t>estandar</t>
        </is>
      </c>
      <c r="I2119" s="3" t="inlineStr">
        <is>
          <t>importado</t>
        </is>
      </c>
      <c r="J2119" s="5" t="n">
        <v>1</v>
      </c>
      <c r="K2119" s="6" t="n">
        <v>65</v>
      </c>
      <c r="L2119" s="6" t="n">
        <v>65</v>
      </c>
      <c r="M2119" s="6" t="n">
        <v>65</v>
      </c>
      <c r="N2119" s="3" t="inlineStr">
        <is>
          <t>Sí</t>
        </is>
      </c>
      <c r="O2119" s="6">
        <f>IF(K2119="","",IF(N2119="Sí",ROUND(K2119/1.18,2),K2119))</f>
        <v/>
      </c>
      <c r="P2119" s="3" t="inlineStr">
        <is>
          <t>2026-09-09</t>
        </is>
      </c>
      <c r="Q2119" s="4" t="inlineStr">
        <is>
          <t>Ferretería Cima</t>
        </is>
      </c>
      <c r="AE2119" s="7" t="inlineStr">
        <is>
          <t>gas</t>
        </is>
      </c>
      <c r="AF2119" s="4" t="inlineStr">
        <is>
          <t>medida: 18"</t>
        </is>
      </c>
    </row>
    <row r="2120">
      <c r="A2120" s="3" t="inlineStr">
        <is>
          <t>MAT-32-767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Manguera para inodoro 16"</t>
        </is>
      </c>
      <c r="E2120" s="4" t="inlineStr"/>
      <c r="F2120" s="3" t="inlineStr">
        <is>
          <t>unidad</t>
        </is>
      </c>
      <c r="G2120" s="3" t="inlineStr">
        <is>
          <t>Instalaciones</t>
        </is>
      </c>
      <c r="H2120" s="3" t="inlineStr">
        <is>
          <t>estandar</t>
        </is>
      </c>
      <c r="I2120" s="3" t="inlineStr">
        <is>
          <t>importado</t>
        </is>
      </c>
      <c r="J2120" s="5" t="n">
        <v>1</v>
      </c>
      <c r="K2120" s="6" t="n">
        <v>250</v>
      </c>
      <c r="L2120" s="6" t="n">
        <v>250</v>
      </c>
      <c r="M2120" s="6" t="n">
        <v>250</v>
      </c>
      <c r="N2120" s="3" t="inlineStr">
        <is>
          <t>Sí</t>
        </is>
      </c>
      <c r="O2120" s="6">
        <f>IF(K2120="","",IF(N2120="Sí",ROUND(K2120/1.18,2),K2120))</f>
        <v/>
      </c>
      <c r="P2120" s="3" t="inlineStr">
        <is>
          <t>2026-09-09</t>
        </is>
      </c>
      <c r="Q2120" s="4" t="inlineStr">
        <is>
          <t>Ferretería Cima</t>
        </is>
      </c>
      <c r="AE2120" s="7" t="inlineStr">
        <is>
          <t>inodoro</t>
        </is>
      </c>
      <c r="AF2120" s="4" t="inlineStr">
        <is>
          <t>medida: 16"</t>
        </is>
      </c>
    </row>
    <row r="2121">
      <c r="A2121" s="3" t="inlineStr">
        <is>
          <t>MAT-32-768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Manguera para jardín 1/2"</t>
        </is>
      </c>
      <c r="E2121" s="4" t="inlineStr"/>
      <c r="F2121" s="3" t="inlineStr">
        <is>
          <t>unidad</t>
        </is>
      </c>
      <c r="G2121" s="3" t="inlineStr">
        <is>
          <t>Instalaciones</t>
        </is>
      </c>
      <c r="H2121" s="3" t="inlineStr">
        <is>
          <t>estandar</t>
        </is>
      </c>
      <c r="I2121" s="3" t="inlineStr">
        <is>
          <t>importado</t>
        </is>
      </c>
      <c r="J2121" s="5" t="n">
        <v>1</v>
      </c>
      <c r="K2121" s="6" t="n">
        <v>1288</v>
      </c>
      <c r="L2121" s="6" t="n">
        <v>535</v>
      </c>
      <c r="M2121" s="6" t="n">
        <v>1940</v>
      </c>
      <c r="N2121" s="3" t="inlineStr">
        <is>
          <t>Sí</t>
        </is>
      </c>
      <c r="O2121" s="6">
        <f>IF(K2121="","",IF(N2121="Sí",ROUND(K2121/1.18,2),K2121))</f>
        <v/>
      </c>
      <c r="P2121" s="3" t="inlineStr">
        <is>
          <t>2026-09-09</t>
        </is>
      </c>
      <c r="Q2121" s="4" t="inlineStr">
        <is>
          <t>Ferretería Cima</t>
        </is>
      </c>
      <c r="AE2121" s="7" t="inlineStr">
        <is>
          <t>jardín</t>
        </is>
      </c>
      <c r="AF2121" s="4" t="inlineStr">
        <is>
          <t>medida: 1/2"</t>
        </is>
      </c>
    </row>
    <row r="2122">
      <c r="A2122" s="3" t="inlineStr">
        <is>
          <t>MAT-32-769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Manguera para jardín 1/2" x 100 pies</t>
        </is>
      </c>
      <c r="E2122" s="4" t="inlineStr"/>
      <c r="F2122" s="3" t="inlineStr">
        <is>
          <t>unidad</t>
        </is>
      </c>
      <c r="G2122" s="3" t="inlineStr">
        <is>
          <t>Instalaciones</t>
        </is>
      </c>
      <c r="H2122" s="3" t="inlineStr">
        <is>
          <t>estandar</t>
        </is>
      </c>
      <c r="I2122" s="3" t="inlineStr">
        <is>
          <t>importado</t>
        </is>
      </c>
      <c r="J2122" s="5" t="n">
        <v>1</v>
      </c>
      <c r="K2122" s="6" t="n">
        <v>1475</v>
      </c>
      <c r="L2122" s="6" t="n">
        <v>1475</v>
      </c>
      <c r="M2122" s="6" t="n">
        <v>1475</v>
      </c>
      <c r="N2122" s="3" t="inlineStr">
        <is>
          <t>Sí</t>
        </is>
      </c>
      <c r="O2122" s="6">
        <f>IF(K2122="","",IF(N2122="Sí",ROUND(K2122/1.18,2),K2122))</f>
        <v/>
      </c>
      <c r="P2122" s="3" t="inlineStr">
        <is>
          <t>2026-09-09</t>
        </is>
      </c>
      <c r="Q2122" s="4" t="inlineStr">
        <is>
          <t>Ferretería Cima</t>
        </is>
      </c>
      <c r="AE2122" s="7" t="inlineStr">
        <is>
          <t>jardín</t>
        </is>
      </c>
      <c r="AF2122" s="4" t="inlineStr">
        <is>
          <t>medida: 1/2" x 100 pies</t>
        </is>
      </c>
    </row>
    <row r="2123">
      <c r="A2123" s="3" t="inlineStr">
        <is>
          <t>MAT-32-770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Manguera para jardín 1/2" x 25 pies</t>
        </is>
      </c>
      <c r="E2123" s="4" t="inlineStr"/>
      <c r="F2123" s="3" t="inlineStr">
        <is>
          <t>unidad</t>
        </is>
      </c>
      <c r="G2123" s="3" t="inlineStr">
        <is>
          <t>Instalaciones</t>
        </is>
      </c>
      <c r="H2123" s="3" t="inlineStr">
        <is>
          <t>estandar</t>
        </is>
      </c>
      <c r="I2123" s="3" t="inlineStr">
        <is>
          <t>importado</t>
        </is>
      </c>
      <c r="J2123" s="5" t="n">
        <v>1</v>
      </c>
      <c r="K2123" s="6" t="n">
        <v>544</v>
      </c>
      <c r="L2123" s="6" t="n">
        <v>544</v>
      </c>
      <c r="M2123" s="6" t="n">
        <v>544</v>
      </c>
      <c r="N2123" s="3" t="inlineStr">
        <is>
          <t>Sí</t>
        </is>
      </c>
      <c r="O2123" s="6">
        <f>IF(K2123="","",IF(N2123="Sí",ROUND(K2123/1.18,2),K2123))</f>
        <v/>
      </c>
      <c r="P2123" s="3" t="inlineStr">
        <is>
          <t>2026-09-09</t>
        </is>
      </c>
      <c r="Q2123" s="4" t="inlineStr">
        <is>
          <t>Ferretería Cima</t>
        </is>
      </c>
      <c r="AE2123" s="7" t="inlineStr">
        <is>
          <t>jardín</t>
        </is>
      </c>
      <c r="AF2123" s="4" t="inlineStr">
        <is>
          <t>medida: 1/2" x 25 pies</t>
        </is>
      </c>
    </row>
    <row r="2124">
      <c r="A2124" s="3" t="inlineStr">
        <is>
          <t>MAT-32-771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Manguera para jardín 1/2" x 50 pies</t>
        </is>
      </c>
      <c r="E2124" s="4" t="inlineStr"/>
      <c r="F2124" s="3" t="inlineStr">
        <is>
          <t>unidad</t>
        </is>
      </c>
      <c r="G2124" s="3" t="inlineStr">
        <is>
          <t>Instalaciones</t>
        </is>
      </c>
      <c r="H2124" s="3" t="inlineStr">
        <is>
          <t>estandar</t>
        </is>
      </c>
      <c r="I2124" s="3" t="inlineStr">
        <is>
          <t>importado</t>
        </is>
      </c>
      <c r="J2124" s="5" t="n">
        <v>1</v>
      </c>
      <c r="K2124" s="6" t="n">
        <v>1042</v>
      </c>
      <c r="L2124" s="6" t="n">
        <v>1042</v>
      </c>
      <c r="M2124" s="6" t="n">
        <v>1042</v>
      </c>
      <c r="N2124" s="3" t="inlineStr">
        <is>
          <t>Sí</t>
        </is>
      </c>
      <c r="O2124" s="6">
        <f>IF(K2124="","",IF(N2124="Sí",ROUND(K2124/1.18,2),K2124))</f>
        <v/>
      </c>
      <c r="P2124" s="3" t="inlineStr">
        <is>
          <t>2026-09-09</t>
        </is>
      </c>
      <c r="Q2124" s="4" t="inlineStr">
        <is>
          <t>Ferretería Cima</t>
        </is>
      </c>
      <c r="AE2124" s="7" t="inlineStr">
        <is>
          <t>jardín</t>
        </is>
      </c>
      <c r="AF2124" s="4" t="inlineStr">
        <is>
          <t>medida: 1/2" x 50 pies</t>
        </is>
      </c>
    </row>
    <row r="2125">
      <c r="A2125" s="3" t="inlineStr">
        <is>
          <t>MAT-32-772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Manguera para jardín 5/8"</t>
        </is>
      </c>
      <c r="E2125" s="4" t="inlineStr"/>
      <c r="F2125" s="3" t="inlineStr">
        <is>
          <t>unidad</t>
        </is>
      </c>
      <c r="G2125" s="3" t="inlineStr">
        <is>
          <t>Instalaciones</t>
        </is>
      </c>
      <c r="H2125" s="3" t="inlineStr">
        <is>
          <t>estandar</t>
        </is>
      </c>
      <c r="I2125" s="3" t="inlineStr">
        <is>
          <t>importado</t>
        </is>
      </c>
      <c r="J2125" s="5" t="n">
        <v>1</v>
      </c>
      <c r="K2125" s="6" t="n">
        <v>2397</v>
      </c>
      <c r="L2125" s="6" t="n">
        <v>2054</v>
      </c>
      <c r="M2125" s="6" t="n">
        <v>2741</v>
      </c>
      <c r="N2125" s="3" t="inlineStr">
        <is>
          <t>Sí</t>
        </is>
      </c>
      <c r="O2125" s="6">
        <f>IF(K2125="","",IF(N2125="Sí",ROUND(K2125/1.18,2),K2125))</f>
        <v/>
      </c>
      <c r="P2125" s="3" t="inlineStr">
        <is>
          <t>2026-09-09</t>
        </is>
      </c>
      <c r="Q2125" s="4" t="inlineStr">
        <is>
          <t>Ferretería Cima</t>
        </is>
      </c>
      <c r="AE2125" s="7" t="inlineStr">
        <is>
          <t>jardín</t>
        </is>
      </c>
      <c r="AF2125" s="4" t="inlineStr">
        <is>
          <t>medida: 5/8"</t>
        </is>
      </c>
    </row>
    <row r="2126">
      <c r="A2126" s="3" t="inlineStr">
        <is>
          <t>MAT-32-773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Manguera para jardín 5/8" x 75 pies</t>
        </is>
      </c>
      <c r="E2126" s="4" t="inlineStr"/>
      <c r="F2126" s="3" t="inlineStr">
        <is>
          <t>unidad</t>
        </is>
      </c>
      <c r="G2126" s="3" t="inlineStr">
        <is>
          <t>Instalaciones</t>
        </is>
      </c>
      <c r="H2126" s="3" t="inlineStr">
        <is>
          <t>estandar</t>
        </is>
      </c>
      <c r="I2126" s="3" t="inlineStr">
        <is>
          <t>importado</t>
        </is>
      </c>
      <c r="J2126" s="5" t="n">
        <v>1</v>
      </c>
      <c r="K2126" s="6" t="n">
        <v>1365</v>
      </c>
      <c r="L2126" s="6" t="n">
        <v>1365</v>
      </c>
      <c r="M2126" s="6" t="n">
        <v>1365</v>
      </c>
      <c r="N2126" s="3" t="inlineStr">
        <is>
          <t>Sí</t>
        </is>
      </c>
      <c r="O2126" s="6">
        <f>IF(K2126="","",IF(N2126="Sí",ROUND(K2126/1.18,2),K2126))</f>
        <v/>
      </c>
      <c r="P2126" s="3" t="inlineStr">
        <is>
          <t>2026-09-09</t>
        </is>
      </c>
      <c r="Q2126" s="4" t="inlineStr">
        <is>
          <t>Ferretería Cima</t>
        </is>
      </c>
      <c r="AE2126" s="7" t="inlineStr">
        <is>
          <t>jardín</t>
        </is>
      </c>
      <c r="AF2126" s="4" t="inlineStr">
        <is>
          <t>medida: 5/8" x 75 pies</t>
        </is>
      </c>
    </row>
    <row r="2127">
      <c r="A2127" s="3" t="inlineStr">
        <is>
          <t>MAT-32-774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Manguera para lavadora 48"</t>
        </is>
      </c>
      <c r="E2127" s="4" t="inlineStr"/>
      <c r="F2127" s="3" t="inlineStr">
        <is>
          <t>unidad</t>
        </is>
      </c>
      <c r="G2127" s="3" t="inlineStr">
        <is>
          <t>Instalaciones</t>
        </is>
      </c>
      <c r="H2127" s="3" t="inlineStr">
        <is>
          <t>estandar</t>
        </is>
      </c>
      <c r="I2127" s="3" t="inlineStr">
        <is>
          <t>importado</t>
        </is>
      </c>
      <c r="J2127" s="5" t="n">
        <v>1</v>
      </c>
      <c r="K2127" s="6" t="n">
        <v>556</v>
      </c>
      <c r="L2127" s="6" t="n">
        <v>556</v>
      </c>
      <c r="M2127" s="6" t="n">
        <v>556</v>
      </c>
      <c r="N2127" s="3" t="inlineStr">
        <is>
          <t>Sí</t>
        </is>
      </c>
      <c r="O2127" s="6">
        <f>IF(K2127="","",IF(N2127="Sí",ROUND(K2127/1.18,2),K2127))</f>
        <v/>
      </c>
      <c r="P2127" s="3" t="inlineStr">
        <is>
          <t>2026-09-09</t>
        </is>
      </c>
      <c r="Q2127" s="4" t="inlineStr">
        <is>
          <t>Ferretería Cima</t>
        </is>
      </c>
      <c r="AE2127" s="7" t="inlineStr">
        <is>
          <t>lavadora</t>
        </is>
      </c>
      <c r="AF2127" s="4" t="inlineStr">
        <is>
          <t>medida: 48"</t>
        </is>
      </c>
    </row>
    <row r="2128">
      <c r="A2128" s="3" t="inlineStr">
        <is>
          <t>MAT-32-775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Manguera para lavadora 60"</t>
        </is>
      </c>
      <c r="E2128" s="4" t="inlineStr"/>
      <c r="F2128" s="3" t="inlineStr">
        <is>
          <t>unidad</t>
        </is>
      </c>
      <c r="G2128" s="3" t="inlineStr">
        <is>
          <t>Instalaciones</t>
        </is>
      </c>
      <c r="H2128" s="3" t="inlineStr">
        <is>
          <t>estandar</t>
        </is>
      </c>
      <c r="I2128" s="3" t="inlineStr">
        <is>
          <t>importado</t>
        </is>
      </c>
      <c r="J2128" s="5" t="n">
        <v>1</v>
      </c>
      <c r="K2128" s="6" t="n">
        <v>410</v>
      </c>
      <c r="L2128" s="6" t="n">
        <v>410</v>
      </c>
      <c r="M2128" s="6" t="n">
        <v>410</v>
      </c>
      <c r="N2128" s="3" t="inlineStr">
        <is>
          <t>Sí</t>
        </is>
      </c>
      <c r="O2128" s="6">
        <f>IF(K2128="","",IF(N2128="Sí",ROUND(K2128/1.18,2),K2128))</f>
        <v/>
      </c>
      <c r="P2128" s="3" t="inlineStr">
        <is>
          <t>2026-09-09</t>
        </is>
      </c>
      <c r="Q2128" s="4" t="inlineStr">
        <is>
          <t>Ferretería Cima</t>
        </is>
      </c>
      <c r="AE2128" s="7" t="inlineStr">
        <is>
          <t>lavadora</t>
        </is>
      </c>
      <c r="AF2128" s="4" t="inlineStr">
        <is>
          <t>medida: 60"</t>
        </is>
      </c>
    </row>
    <row r="2129">
      <c r="A2129" s="3" t="inlineStr">
        <is>
          <t>MAT-32-776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Manguera para lavadora 72"</t>
        </is>
      </c>
      <c r="E2129" s="4" t="inlineStr"/>
      <c r="F2129" s="3" t="inlineStr">
        <is>
          <t>unidad</t>
        </is>
      </c>
      <c r="G2129" s="3" t="inlineStr">
        <is>
          <t>Instalaciones</t>
        </is>
      </c>
      <c r="H2129" s="3" t="inlineStr">
        <is>
          <t>estandar</t>
        </is>
      </c>
      <c r="I2129" s="3" t="inlineStr">
        <is>
          <t>importado</t>
        </is>
      </c>
      <c r="J2129" s="5" t="n">
        <v>1</v>
      </c>
      <c r="K2129" s="6" t="n">
        <v>375</v>
      </c>
      <c r="L2129" s="6" t="n">
        <v>375</v>
      </c>
      <c r="M2129" s="6" t="n">
        <v>375</v>
      </c>
      <c r="N2129" s="3" t="inlineStr">
        <is>
          <t>Sí</t>
        </is>
      </c>
      <c r="O2129" s="6">
        <f>IF(K2129="","",IF(N2129="Sí",ROUND(K2129/1.18,2),K2129))</f>
        <v/>
      </c>
      <c r="P2129" s="3" t="inlineStr">
        <is>
          <t>2026-09-09</t>
        </is>
      </c>
      <c r="Q2129" s="4" t="inlineStr">
        <is>
          <t>Ferretería Cima</t>
        </is>
      </c>
      <c r="AE2129" s="7" t="inlineStr">
        <is>
          <t>lavadora</t>
        </is>
      </c>
      <c r="AF2129" s="4" t="inlineStr">
        <is>
          <t>medida: 72"</t>
        </is>
      </c>
    </row>
    <row r="2130">
      <c r="A2130" s="3" t="inlineStr">
        <is>
          <t>MAT-32-777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Manguera para lavamanos 1/2"</t>
        </is>
      </c>
      <c r="E2130" s="4" t="inlineStr"/>
      <c r="F2130" s="3" t="inlineStr">
        <is>
          <t>unidad</t>
        </is>
      </c>
      <c r="G2130" s="3" t="inlineStr">
        <is>
          <t>Instalaciones</t>
        </is>
      </c>
      <c r="H2130" s="3" t="inlineStr">
        <is>
          <t>estandar</t>
        </is>
      </c>
      <c r="I2130" s="3" t="inlineStr">
        <is>
          <t>importado</t>
        </is>
      </c>
      <c r="J2130" s="5" t="n">
        <v>1</v>
      </c>
      <c r="K2130" s="6" t="n">
        <v>384</v>
      </c>
      <c r="L2130" s="6" t="n">
        <v>295</v>
      </c>
      <c r="M2130" s="6" t="n">
        <v>451</v>
      </c>
      <c r="N2130" s="3" t="inlineStr">
        <is>
          <t>Sí</t>
        </is>
      </c>
      <c r="O2130" s="6">
        <f>IF(K2130="","",IF(N2130="Sí",ROUND(K2130/1.18,2),K2130))</f>
        <v/>
      </c>
      <c r="P2130" s="3" t="inlineStr">
        <is>
          <t>2026-09-09</t>
        </is>
      </c>
      <c r="Q2130" s="4" t="inlineStr">
        <is>
          <t>Ferretería Cima</t>
        </is>
      </c>
      <c r="AE2130" s="7" t="inlineStr">
        <is>
          <t>lavamanos</t>
        </is>
      </c>
      <c r="AF2130" s="4" t="inlineStr">
        <is>
          <t>medida: 1/2"</t>
        </is>
      </c>
    </row>
    <row r="2131">
      <c r="A2131" s="3" t="inlineStr">
        <is>
          <t>MAT-32-778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Manguera para lavamanos 16"</t>
        </is>
      </c>
      <c r="E2131" s="4" t="inlineStr"/>
      <c r="F2131" s="3" t="inlineStr">
        <is>
          <t>unidad</t>
        </is>
      </c>
      <c r="G2131" s="3" t="inlineStr">
        <is>
          <t>Instalaciones</t>
        </is>
      </c>
      <c r="H2131" s="3" t="inlineStr">
        <is>
          <t>estandar</t>
        </is>
      </c>
      <c r="I2131" s="3" t="inlineStr">
        <is>
          <t>importado</t>
        </is>
      </c>
      <c r="J2131" s="5" t="n">
        <v>1</v>
      </c>
      <c r="K2131" s="6" t="n">
        <v>265</v>
      </c>
      <c r="L2131" s="6" t="n">
        <v>265</v>
      </c>
      <c r="M2131" s="6" t="n">
        <v>265</v>
      </c>
      <c r="N2131" s="3" t="inlineStr">
        <is>
          <t>Sí</t>
        </is>
      </c>
      <c r="O2131" s="6">
        <f>IF(K2131="","",IF(N2131="Sí",ROUND(K2131/1.18,2),K2131))</f>
        <v/>
      </c>
      <c r="P2131" s="3" t="inlineStr">
        <is>
          <t>2026-09-09</t>
        </is>
      </c>
      <c r="Q2131" s="4" t="inlineStr">
        <is>
          <t>Ferretería Cima</t>
        </is>
      </c>
      <c r="AE2131" s="7" t="inlineStr">
        <is>
          <t>lavamanos</t>
        </is>
      </c>
      <c r="AF2131" s="4" t="inlineStr">
        <is>
          <t>medida: 16"</t>
        </is>
      </c>
    </row>
    <row r="2132">
      <c r="A2132" s="3" t="inlineStr">
        <is>
          <t>MAT-32-779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Manguera para lavamanos 20"</t>
        </is>
      </c>
      <c r="E2132" s="4" t="inlineStr"/>
      <c r="F2132" s="3" t="inlineStr">
        <is>
          <t>unidad</t>
        </is>
      </c>
      <c r="G2132" s="3" t="inlineStr">
        <is>
          <t>Instalaciones</t>
        </is>
      </c>
      <c r="H2132" s="3" t="inlineStr">
        <is>
          <t>estandar</t>
        </is>
      </c>
      <c r="I2132" s="3" t="inlineStr">
        <is>
          <t>importado</t>
        </is>
      </c>
      <c r="J2132" s="5" t="n">
        <v>1</v>
      </c>
      <c r="K2132" s="6" t="n">
        <v>325</v>
      </c>
      <c r="L2132" s="6" t="n">
        <v>325</v>
      </c>
      <c r="M2132" s="6" t="n">
        <v>325</v>
      </c>
      <c r="N2132" s="3" t="inlineStr">
        <is>
          <t>Sí</t>
        </is>
      </c>
      <c r="O2132" s="6">
        <f>IF(K2132="","",IF(N2132="Sí",ROUND(K2132/1.18,2),K2132))</f>
        <v/>
      </c>
      <c r="P2132" s="3" t="inlineStr">
        <is>
          <t>2026-09-09</t>
        </is>
      </c>
      <c r="Q2132" s="4" t="inlineStr">
        <is>
          <t>Ferretería Cima</t>
        </is>
      </c>
      <c r="AE2132" s="7" t="inlineStr">
        <is>
          <t>lavamanos</t>
        </is>
      </c>
      <c r="AF2132" s="4" t="inlineStr">
        <is>
          <t>medida: 20"</t>
        </is>
      </c>
    </row>
    <row r="2133">
      <c r="A2133" s="3" t="inlineStr">
        <is>
          <t>MAT-32-780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Manguera para lavamanos 22"</t>
        </is>
      </c>
      <c r="E2133" s="4" t="inlineStr"/>
      <c r="F2133" s="3" t="inlineStr">
        <is>
          <t>unidad</t>
        </is>
      </c>
      <c r="G2133" s="3" t="inlineStr">
        <is>
          <t>Instalaciones</t>
        </is>
      </c>
      <c r="H2133" s="3" t="inlineStr">
        <is>
          <t>estandar</t>
        </is>
      </c>
      <c r="I2133" s="3" t="inlineStr">
        <is>
          <t>importado</t>
        </is>
      </c>
      <c r="J2133" s="5" t="n">
        <v>1</v>
      </c>
      <c r="K2133" s="6" t="n">
        <v>425</v>
      </c>
      <c r="L2133" s="6" t="n">
        <v>365</v>
      </c>
      <c r="M2133" s="6" t="n">
        <v>499</v>
      </c>
      <c r="N2133" s="3" t="inlineStr">
        <is>
          <t>Sí</t>
        </is>
      </c>
      <c r="O2133" s="6">
        <f>IF(K2133="","",IF(N2133="Sí",ROUND(K2133/1.18,2),K2133))</f>
        <v/>
      </c>
      <c r="P2133" s="3" t="inlineStr">
        <is>
          <t>2026-09-09</t>
        </is>
      </c>
      <c r="Q2133" s="4" t="inlineStr">
        <is>
          <t>Ferretería Cima</t>
        </is>
      </c>
      <c r="AE2133" s="7" t="inlineStr">
        <is>
          <t>lavamanos</t>
        </is>
      </c>
      <c r="AF2133" s="4" t="inlineStr">
        <is>
          <t>medida: 22"</t>
        </is>
      </c>
    </row>
    <row r="2134">
      <c r="A2134" s="3" t="inlineStr">
        <is>
          <t>MAT-32-781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Manguera para lavamanos 24"</t>
        </is>
      </c>
      <c r="E2134" s="4" t="inlineStr"/>
      <c r="F2134" s="3" t="inlineStr">
        <is>
          <t>unidad</t>
        </is>
      </c>
      <c r="G2134" s="3" t="inlineStr">
        <is>
          <t>Instalaciones</t>
        </is>
      </c>
      <c r="H2134" s="3" t="inlineStr">
        <is>
          <t>estandar</t>
        </is>
      </c>
      <c r="I2134" s="3" t="inlineStr">
        <is>
          <t>importado</t>
        </is>
      </c>
      <c r="J2134" s="5" t="n">
        <v>1</v>
      </c>
      <c r="K2134" s="6" t="n">
        <v>279</v>
      </c>
      <c r="L2134" s="6" t="n">
        <v>265</v>
      </c>
      <c r="M2134" s="6" t="n">
        <v>293</v>
      </c>
      <c r="N2134" s="3" t="inlineStr">
        <is>
          <t>Sí</t>
        </is>
      </c>
      <c r="O2134" s="6">
        <f>IF(K2134="","",IF(N2134="Sí",ROUND(K2134/1.18,2),K2134))</f>
        <v/>
      </c>
      <c r="P2134" s="3" t="inlineStr">
        <is>
          <t>2026-09-09</t>
        </is>
      </c>
      <c r="Q2134" s="4" t="inlineStr">
        <is>
          <t>Ferretería Cima</t>
        </is>
      </c>
      <c r="AE2134" s="7" t="inlineStr">
        <is>
          <t>lavamanos</t>
        </is>
      </c>
      <c r="AF2134" s="4" t="inlineStr">
        <is>
          <t>medida: 24"</t>
        </is>
      </c>
    </row>
    <row r="2135">
      <c r="A2135" s="3" t="inlineStr">
        <is>
          <t>MAT-32-782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Manguera para lavamanos 3/8"</t>
        </is>
      </c>
      <c r="E2135" s="4" t="inlineStr"/>
      <c r="F2135" s="3" t="inlineStr">
        <is>
          <t>unidad</t>
        </is>
      </c>
      <c r="G2135" s="3" t="inlineStr">
        <is>
          <t>Instalaciones</t>
        </is>
      </c>
      <c r="H2135" s="3" t="inlineStr">
        <is>
          <t>estandar</t>
        </is>
      </c>
      <c r="I2135" s="3" t="inlineStr">
        <is>
          <t>importado</t>
        </is>
      </c>
      <c r="J2135" s="5" t="n">
        <v>1</v>
      </c>
      <c r="K2135" s="6" t="n">
        <v>505</v>
      </c>
      <c r="L2135" s="6" t="n">
        <v>505</v>
      </c>
      <c r="M2135" s="6" t="n">
        <v>505</v>
      </c>
      <c r="N2135" s="3" t="inlineStr">
        <is>
          <t>Sí</t>
        </is>
      </c>
      <c r="O2135" s="6">
        <f>IF(K2135="","",IF(N2135="Sí",ROUND(K2135/1.18,2),K2135))</f>
        <v/>
      </c>
      <c r="P2135" s="3" t="inlineStr">
        <is>
          <t>2026-09-09</t>
        </is>
      </c>
      <c r="Q2135" s="4" t="inlineStr">
        <is>
          <t>Ferretería Cima</t>
        </is>
      </c>
      <c r="AE2135" s="7" t="inlineStr">
        <is>
          <t>lavamanos</t>
        </is>
      </c>
      <c r="AF2135" s="4" t="inlineStr">
        <is>
          <t>medida: 3/8"</t>
        </is>
      </c>
    </row>
    <row r="2136">
      <c r="A2136" s="3" t="inlineStr">
        <is>
          <t>MAT-32-783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Manguera para lavamanos 3/8" x 32 pulgadas</t>
        </is>
      </c>
      <c r="E2136" s="4" t="inlineStr"/>
      <c r="F2136" s="3" t="inlineStr">
        <is>
          <t>unidad</t>
        </is>
      </c>
      <c r="G2136" s="3" t="inlineStr">
        <is>
          <t>Instalaciones</t>
        </is>
      </c>
      <c r="H2136" s="3" t="inlineStr">
        <is>
          <t>estandar</t>
        </is>
      </c>
      <c r="I2136" s="3" t="inlineStr">
        <is>
          <t>importado</t>
        </is>
      </c>
      <c r="J2136" s="5" t="n">
        <v>1</v>
      </c>
      <c r="K2136" s="6" t="n">
        <v>198</v>
      </c>
      <c r="L2136" s="6" t="n">
        <v>198</v>
      </c>
      <c r="M2136" s="6" t="n">
        <v>198</v>
      </c>
      <c r="N2136" s="3" t="inlineStr">
        <is>
          <t>Sí</t>
        </is>
      </c>
      <c r="O2136" s="6">
        <f>IF(K2136="","",IF(N2136="Sí",ROUND(K2136/1.18,2),K2136))</f>
        <v/>
      </c>
      <c r="P2136" s="3" t="inlineStr">
        <is>
          <t>2026-09-09</t>
        </is>
      </c>
      <c r="Q2136" s="4" t="inlineStr">
        <is>
          <t>Ferretería Cima</t>
        </is>
      </c>
      <c r="AE2136" s="7" t="inlineStr">
        <is>
          <t>lavamanos</t>
        </is>
      </c>
      <c r="AF2136" s="4" t="inlineStr">
        <is>
          <t>medida: 3/8" x 32 pulgadas</t>
        </is>
      </c>
    </row>
    <row r="2137">
      <c r="A2137" s="3" t="inlineStr">
        <is>
          <t>MAT-32-784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Manguera para lavamanos 30"</t>
        </is>
      </c>
      <c r="E2137" s="4" t="inlineStr"/>
      <c r="F2137" s="3" t="inlineStr">
        <is>
          <t>unidad</t>
        </is>
      </c>
      <c r="G2137" s="3" t="inlineStr">
        <is>
          <t>Instalaciones</t>
        </is>
      </c>
      <c r="H2137" s="3" t="inlineStr">
        <is>
          <t>estandar</t>
        </is>
      </c>
      <c r="I2137" s="3" t="inlineStr">
        <is>
          <t>importado</t>
        </is>
      </c>
      <c r="J2137" s="5" t="n">
        <v>1</v>
      </c>
      <c r="K2137" s="6" t="n">
        <v>330</v>
      </c>
      <c r="L2137" s="6" t="n">
        <v>330</v>
      </c>
      <c r="M2137" s="6" t="n">
        <v>330</v>
      </c>
      <c r="N2137" s="3" t="inlineStr">
        <is>
          <t>Sí</t>
        </is>
      </c>
      <c r="O2137" s="6">
        <f>IF(K2137="","",IF(N2137="Sí",ROUND(K2137/1.18,2),K2137))</f>
        <v/>
      </c>
      <c r="P2137" s="3" t="inlineStr">
        <is>
          <t>2026-09-09</t>
        </is>
      </c>
      <c r="Q2137" s="4" t="inlineStr">
        <is>
          <t>Ferretería Cima</t>
        </is>
      </c>
      <c r="AE2137" s="7" t="inlineStr">
        <is>
          <t>lavamanos</t>
        </is>
      </c>
      <c r="AF2137" s="4" t="inlineStr">
        <is>
          <t>medida: 30"</t>
        </is>
      </c>
    </row>
    <row r="2138">
      <c r="A2138" s="3" t="inlineStr">
        <is>
          <t>MAT-32-785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Manguera para lavamanos 36"</t>
        </is>
      </c>
      <c r="E2138" s="4" t="inlineStr"/>
      <c r="F2138" s="3" t="inlineStr">
        <is>
          <t>unidad</t>
        </is>
      </c>
      <c r="G2138" s="3" t="inlineStr">
        <is>
          <t>Instalaciones</t>
        </is>
      </c>
      <c r="H2138" s="3" t="inlineStr">
        <is>
          <t>estandar</t>
        </is>
      </c>
      <c r="I2138" s="3" t="inlineStr">
        <is>
          <t>importado</t>
        </is>
      </c>
      <c r="J2138" s="5" t="n">
        <v>1</v>
      </c>
      <c r="K2138" s="6" t="n">
        <v>319</v>
      </c>
      <c r="L2138" s="6" t="n">
        <v>319</v>
      </c>
      <c r="M2138" s="6" t="n">
        <v>319</v>
      </c>
      <c r="N2138" s="3" t="inlineStr">
        <is>
          <t>Sí</t>
        </is>
      </c>
      <c r="O2138" s="6">
        <f>IF(K2138="","",IF(N2138="Sí",ROUND(K2138/1.18,2),K2138))</f>
        <v/>
      </c>
      <c r="P2138" s="3" t="inlineStr">
        <is>
          <t>2026-09-09</t>
        </is>
      </c>
      <c r="Q2138" s="4" t="inlineStr">
        <is>
          <t>Ferretería Cima</t>
        </is>
      </c>
      <c r="AE2138" s="7" t="inlineStr">
        <is>
          <t>lavamanos</t>
        </is>
      </c>
      <c r="AF2138" s="4" t="inlineStr">
        <is>
          <t>medida: 36"</t>
        </is>
      </c>
    </row>
    <row r="2139">
      <c r="A2139" s="3" t="inlineStr">
        <is>
          <t>MAT-32-786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Manguera para mezcladora 3/8" x 20 pulgadas</t>
        </is>
      </c>
      <c r="E2139" s="4" t="inlineStr"/>
      <c r="F2139" s="3" t="inlineStr">
        <is>
          <t>unidad</t>
        </is>
      </c>
      <c r="G2139" s="3" t="inlineStr">
        <is>
          <t>Instalaciones</t>
        </is>
      </c>
      <c r="H2139" s="3" t="inlineStr">
        <is>
          <t>estandar</t>
        </is>
      </c>
      <c r="I2139" s="3" t="inlineStr">
        <is>
          <t>importado</t>
        </is>
      </c>
      <c r="J2139" s="5" t="n">
        <v>1</v>
      </c>
      <c r="K2139" s="6" t="n">
        <v>195</v>
      </c>
      <c r="L2139" s="6" t="n">
        <v>195</v>
      </c>
      <c r="M2139" s="6" t="n">
        <v>195</v>
      </c>
      <c r="N2139" s="3" t="inlineStr">
        <is>
          <t>Sí</t>
        </is>
      </c>
      <c r="O2139" s="6">
        <f>IF(K2139="","",IF(N2139="Sí",ROUND(K2139/1.18,2),K2139))</f>
        <v/>
      </c>
      <c r="P2139" s="3" t="inlineStr">
        <is>
          <t>2026-09-09</t>
        </is>
      </c>
      <c r="Q2139" s="4" t="inlineStr">
        <is>
          <t>Ferretería Cima</t>
        </is>
      </c>
      <c r="AE2139" s="7" t="inlineStr">
        <is>
          <t>mezcladora</t>
        </is>
      </c>
      <c r="AF2139" s="4" t="inlineStr">
        <is>
          <t>medida: 3/8" x 20 pulgadas</t>
        </is>
      </c>
    </row>
    <row r="2140">
      <c r="A2140" s="3" t="inlineStr">
        <is>
          <t>MAT-32-787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Manguera para mezcladora 32"</t>
        </is>
      </c>
      <c r="E2140" s="4" t="inlineStr"/>
      <c r="F2140" s="3" t="inlineStr">
        <is>
          <t>unidad</t>
        </is>
      </c>
      <c r="G2140" s="3" t="inlineStr">
        <is>
          <t>Instalaciones</t>
        </is>
      </c>
      <c r="H2140" s="3" t="inlineStr">
        <is>
          <t>estandar</t>
        </is>
      </c>
      <c r="I2140" s="3" t="inlineStr">
        <is>
          <t>importado</t>
        </is>
      </c>
      <c r="J2140" s="5" t="n">
        <v>1</v>
      </c>
      <c r="K2140" s="6" t="n">
        <v>297</v>
      </c>
      <c r="L2140" s="6" t="n">
        <v>297</v>
      </c>
      <c r="M2140" s="6" t="n">
        <v>297</v>
      </c>
      <c r="N2140" s="3" t="inlineStr">
        <is>
          <t>Sí</t>
        </is>
      </c>
      <c r="O2140" s="6">
        <f>IF(K2140="","",IF(N2140="Sí",ROUND(K2140/1.18,2),K2140))</f>
        <v/>
      </c>
      <c r="P2140" s="3" t="inlineStr">
        <is>
          <t>2026-09-09</t>
        </is>
      </c>
      <c r="Q2140" s="4" t="inlineStr">
        <is>
          <t>Ferretería Cima</t>
        </is>
      </c>
      <c r="AE2140" s="7" t="inlineStr">
        <is>
          <t>mezcladora</t>
        </is>
      </c>
      <c r="AF2140" s="4" t="inlineStr">
        <is>
          <t>medida: 32"</t>
        </is>
      </c>
    </row>
    <row r="2141">
      <c r="A2141" s="3" t="inlineStr">
        <is>
          <t>MAT-32-788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Manguera para uso general, transparente 0.31"</t>
        </is>
      </c>
      <c r="E2141" s="4" t="inlineStr"/>
      <c r="F2141" s="3" t="inlineStr">
        <is>
          <t>unidad</t>
        </is>
      </c>
      <c r="G2141" s="3" t="inlineStr">
        <is>
          <t>Instalaciones</t>
        </is>
      </c>
      <c r="H2141" s="3" t="inlineStr">
        <is>
          <t>estandar</t>
        </is>
      </c>
      <c r="I2141" s="3" t="inlineStr">
        <is>
          <t>importado</t>
        </is>
      </c>
      <c r="J2141" s="5" t="n">
        <v>1</v>
      </c>
      <c r="K2141" s="6" t="n">
        <v>25</v>
      </c>
      <c r="L2141" s="6" t="n">
        <v>25</v>
      </c>
      <c r="M2141" s="6" t="n">
        <v>25</v>
      </c>
      <c r="N2141" s="3" t="inlineStr">
        <is>
          <t>Sí</t>
        </is>
      </c>
      <c r="O2141" s="6">
        <f>IF(K2141="","",IF(N2141="Sí",ROUND(K2141/1.18,2),K2141))</f>
        <v/>
      </c>
      <c r="P2141" s="3" t="inlineStr">
        <is>
          <t>2026-09-09</t>
        </is>
      </c>
      <c r="Q2141" s="4" t="inlineStr">
        <is>
          <t>Ferretería Cima</t>
        </is>
      </c>
      <c r="AE2141" s="7" t="inlineStr">
        <is>
          <t>uso general, transparente</t>
        </is>
      </c>
      <c r="AF2141" s="4" t="inlineStr">
        <is>
          <t>medida: 0.31"</t>
        </is>
      </c>
    </row>
    <row r="2142">
      <c r="A2142" s="3" t="inlineStr">
        <is>
          <t>MAT-32-789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Manguera para uso general, transparente 1/2"</t>
        </is>
      </c>
      <c r="E2142" s="4" t="inlineStr"/>
      <c r="F2142" s="3" t="inlineStr">
        <is>
          <t>unidad</t>
        </is>
      </c>
      <c r="G2142" s="3" t="inlineStr">
        <is>
          <t>Instalaciones</t>
        </is>
      </c>
      <c r="H2142" s="3" t="inlineStr">
        <is>
          <t>estandar</t>
        </is>
      </c>
      <c r="I2142" s="3" t="inlineStr">
        <is>
          <t>importado</t>
        </is>
      </c>
      <c r="J2142" s="5" t="n">
        <v>1</v>
      </c>
      <c r="K2142" s="6" t="n">
        <v>43.5</v>
      </c>
      <c r="L2142" s="6" t="n">
        <v>40</v>
      </c>
      <c r="M2142" s="6" t="n">
        <v>47</v>
      </c>
      <c r="N2142" s="3" t="inlineStr">
        <is>
          <t>Sí</t>
        </is>
      </c>
      <c r="O2142" s="6">
        <f>IF(K2142="","",IF(N2142="Sí",ROUND(K2142/1.18,2),K2142))</f>
        <v/>
      </c>
      <c r="P2142" s="3" t="inlineStr">
        <is>
          <t>2026-09-09</t>
        </is>
      </c>
      <c r="Q2142" s="4" t="inlineStr">
        <is>
          <t>Ferretería Cima</t>
        </is>
      </c>
      <c r="AE2142" s="7" t="inlineStr">
        <is>
          <t>uso general, transparente</t>
        </is>
      </c>
      <c r="AF2142" s="4" t="inlineStr">
        <is>
          <t>medida: 1/2"</t>
        </is>
      </c>
    </row>
    <row r="2143">
      <c r="A2143" s="3" t="inlineStr">
        <is>
          <t>MAT-32-790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Manguera para uso general, transparente 1/4"</t>
        </is>
      </c>
      <c r="E2143" s="4" t="inlineStr"/>
      <c r="F2143" s="3" t="inlineStr">
        <is>
          <t>unidad</t>
        </is>
      </c>
      <c r="G2143" s="3" t="inlineStr">
        <is>
          <t>Instalaciones</t>
        </is>
      </c>
      <c r="H2143" s="3" t="inlineStr">
        <is>
          <t>estandar</t>
        </is>
      </c>
      <c r="I2143" s="3" t="inlineStr">
        <is>
          <t>importado</t>
        </is>
      </c>
      <c r="J2143" s="5" t="n">
        <v>1</v>
      </c>
      <c r="K2143" s="6" t="n">
        <v>35</v>
      </c>
      <c r="L2143" s="6" t="n">
        <v>35</v>
      </c>
      <c r="M2143" s="6" t="n">
        <v>35</v>
      </c>
      <c r="N2143" s="3" t="inlineStr">
        <is>
          <t>Sí</t>
        </is>
      </c>
      <c r="O2143" s="6">
        <f>IF(K2143="","",IF(N2143="Sí",ROUND(K2143/1.18,2),K2143))</f>
        <v/>
      </c>
      <c r="P2143" s="3" t="inlineStr">
        <is>
          <t>2026-09-09</t>
        </is>
      </c>
      <c r="Q2143" s="4" t="inlineStr">
        <is>
          <t>Ferretería Cima</t>
        </is>
      </c>
      <c r="AE2143" s="7" t="inlineStr">
        <is>
          <t>uso general, transparente</t>
        </is>
      </c>
      <c r="AF2143" s="4" t="inlineStr">
        <is>
          <t>medida: 1/4"</t>
        </is>
      </c>
    </row>
    <row r="2144">
      <c r="A2144" s="3" t="inlineStr">
        <is>
          <t>MAT-32-791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Manguera para uso general, transparente 1"</t>
        </is>
      </c>
      <c r="E2144" s="4" t="inlineStr"/>
      <c r="F2144" s="3" t="inlineStr">
        <is>
          <t>unidad</t>
        </is>
      </c>
      <c r="G2144" s="3" t="inlineStr">
        <is>
          <t>Instalaciones</t>
        </is>
      </c>
      <c r="H2144" s="3" t="inlineStr">
        <is>
          <t>estandar</t>
        </is>
      </c>
      <c r="I2144" s="3" t="inlineStr">
        <is>
          <t>importado</t>
        </is>
      </c>
      <c r="J2144" s="5" t="n">
        <v>1</v>
      </c>
      <c r="K2144" s="6" t="n">
        <v>100</v>
      </c>
      <c r="L2144" s="6" t="n">
        <v>100</v>
      </c>
      <c r="M2144" s="6" t="n">
        <v>100</v>
      </c>
      <c r="N2144" s="3" t="inlineStr">
        <is>
          <t>Sí</t>
        </is>
      </c>
      <c r="O2144" s="6">
        <f>IF(K2144="","",IF(N2144="Sí",ROUND(K2144/1.18,2),K2144))</f>
        <v/>
      </c>
      <c r="P2144" s="3" t="inlineStr">
        <is>
          <t>2026-09-09</t>
        </is>
      </c>
      <c r="Q2144" s="4" t="inlineStr">
        <is>
          <t>Ferretería Cima</t>
        </is>
      </c>
      <c r="AE2144" s="7" t="inlineStr">
        <is>
          <t>uso general, transparente</t>
        </is>
      </c>
      <c r="AF2144" s="4" t="inlineStr">
        <is>
          <t>medida: 1"</t>
        </is>
      </c>
    </row>
    <row r="2145">
      <c r="A2145" s="3" t="inlineStr">
        <is>
          <t>MAT-32-792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Manguera para uso general, transparente 3/4"</t>
        </is>
      </c>
      <c r="E2145" s="4" t="inlineStr"/>
      <c r="F2145" s="3" t="inlineStr">
        <is>
          <t>unidad</t>
        </is>
      </c>
      <c r="G2145" s="3" t="inlineStr">
        <is>
          <t>Instalaciones</t>
        </is>
      </c>
      <c r="H2145" s="3" t="inlineStr">
        <is>
          <t>estandar</t>
        </is>
      </c>
      <c r="I2145" s="3" t="inlineStr">
        <is>
          <t>importado</t>
        </is>
      </c>
      <c r="J2145" s="5" t="n">
        <v>1</v>
      </c>
      <c r="K2145" s="6" t="n">
        <v>36</v>
      </c>
      <c r="L2145" s="6" t="n">
        <v>36</v>
      </c>
      <c r="M2145" s="6" t="n">
        <v>36</v>
      </c>
      <c r="N2145" s="3" t="inlineStr">
        <is>
          <t>Sí</t>
        </is>
      </c>
      <c r="O2145" s="6">
        <f>IF(K2145="","",IF(N2145="Sí",ROUND(K2145/1.18,2),K2145))</f>
        <v/>
      </c>
      <c r="P2145" s="3" t="inlineStr">
        <is>
          <t>2026-09-09</t>
        </is>
      </c>
      <c r="Q2145" s="4" t="inlineStr">
        <is>
          <t>Ferretería Cima</t>
        </is>
      </c>
      <c r="AE2145" s="7" t="inlineStr">
        <is>
          <t>uso general, transparente</t>
        </is>
      </c>
      <c r="AF2145" s="4" t="inlineStr">
        <is>
          <t>medida: 3/4"</t>
        </is>
      </c>
    </row>
    <row r="2146">
      <c r="A2146" s="3" t="inlineStr">
        <is>
          <t>MAT-32-793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uso general, transparente 3/8"</t>
        </is>
      </c>
      <c r="E2146" s="4" t="inlineStr"/>
      <c r="F2146" s="3" t="inlineStr">
        <is>
          <t>unidad</t>
        </is>
      </c>
      <c r="G2146" s="3" t="inlineStr">
        <is>
          <t>Instalaciones</t>
        </is>
      </c>
      <c r="H2146" s="3" t="inlineStr">
        <is>
          <t>estandar</t>
        </is>
      </c>
      <c r="I2146" s="3" t="inlineStr">
        <is>
          <t>importado</t>
        </is>
      </c>
      <c r="J2146" s="5" t="n">
        <v>1</v>
      </c>
      <c r="K2146" s="6" t="n">
        <v>32</v>
      </c>
      <c r="L2146" s="6" t="n">
        <v>32</v>
      </c>
      <c r="M2146" s="6" t="n">
        <v>32</v>
      </c>
      <c r="N2146" s="3" t="inlineStr">
        <is>
          <t>Sí</t>
        </is>
      </c>
      <c r="O2146" s="6">
        <f>IF(K2146="","",IF(N2146="Sí",ROUND(K2146/1.18,2),K2146))</f>
        <v/>
      </c>
      <c r="P2146" s="3" t="inlineStr">
        <is>
          <t>2026-09-09</t>
        </is>
      </c>
      <c r="Q2146" s="4" t="inlineStr">
        <is>
          <t>Ferretería Cima</t>
        </is>
      </c>
      <c r="AE2146" s="7" t="inlineStr">
        <is>
          <t>uso general, transparente</t>
        </is>
      </c>
      <c r="AF2146" s="4" t="inlineStr">
        <is>
          <t>medida: 3/8"</t>
        </is>
      </c>
    </row>
    <row r="2147">
      <c r="A2147" s="3" t="inlineStr">
        <is>
          <t>MAT-32-794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Cinta de teflón 1"</t>
        </is>
      </c>
      <c r="E2147" s="4" t="inlineStr"/>
      <c r="F2147" s="3" t="inlineStr">
        <is>
          <t>rollo</t>
        </is>
      </c>
      <c r="G2147" s="3" t="inlineStr">
        <is>
          <t>Instalaciones</t>
        </is>
      </c>
      <c r="H2147" s="3" t="inlineStr">
        <is>
          <t>estandar</t>
        </is>
      </c>
      <c r="I2147" s="3" t="inlineStr">
        <is>
          <t>importado</t>
        </is>
      </c>
      <c r="J2147" s="5" t="n">
        <v>1</v>
      </c>
      <c r="K2147" s="6" t="n">
        <v>75</v>
      </c>
      <c r="L2147" s="6" t="n">
        <v>75</v>
      </c>
      <c r="M2147" s="6" t="n">
        <v>75</v>
      </c>
      <c r="N2147" s="3" t="inlineStr">
        <is>
          <t>Sí</t>
        </is>
      </c>
      <c r="O2147" s="6">
        <f>IF(K2147="","",IF(N2147="Sí",ROUND(K2147/1.18,2),K2147))</f>
        <v/>
      </c>
      <c r="P2147" s="3" t="inlineStr">
        <is>
          <t>2026-09-09</t>
        </is>
      </c>
      <c r="Q2147" s="4" t="inlineStr">
        <is>
          <t>Ferretería Cima</t>
        </is>
      </c>
      <c r="AF2147" s="4" t="inlineStr">
        <is>
          <t>medida: 1"</t>
        </is>
      </c>
    </row>
    <row r="2148">
      <c r="A2148" s="3" t="inlineStr">
        <is>
          <t>MAT-32-795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Cinta de teflón 3/4"</t>
        </is>
      </c>
      <c r="E2148" s="4" t="inlineStr"/>
      <c r="F2148" s="3" t="inlineStr">
        <is>
          <t>rollo</t>
        </is>
      </c>
      <c r="G2148" s="3" t="inlineStr">
        <is>
          <t>Instalaciones</t>
        </is>
      </c>
      <c r="H2148" s="3" t="inlineStr">
        <is>
          <t>estandar</t>
        </is>
      </c>
      <c r="I2148" s="3" t="inlineStr">
        <is>
          <t>importado</t>
        </is>
      </c>
      <c r="J2148" s="5" t="n">
        <v>1</v>
      </c>
      <c r="K2148" s="6" t="n">
        <v>117.5</v>
      </c>
      <c r="L2148" s="6" t="n">
        <v>60</v>
      </c>
      <c r="M2148" s="6" t="n">
        <v>175</v>
      </c>
      <c r="N2148" s="3" t="inlineStr">
        <is>
          <t>Sí</t>
        </is>
      </c>
      <c r="O2148" s="6">
        <f>IF(K2148="","",IF(N2148="Sí",ROUND(K2148/1.18,2),K2148))</f>
        <v/>
      </c>
      <c r="P2148" s="3" t="inlineStr">
        <is>
          <t>2026-09-09</t>
        </is>
      </c>
      <c r="Q2148" s="4" t="inlineStr">
        <is>
          <t>Ferretería Cima</t>
        </is>
      </c>
      <c r="AF2148" s="4" t="inlineStr">
        <is>
          <t>medida: 3/4"</t>
        </is>
      </c>
    </row>
    <row r="2149">
      <c r="A2149" s="3" t="inlineStr">
        <is>
          <t>MAT-32-796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Cinta de plomero 0.19" x 15 pies</t>
        </is>
      </c>
      <c r="E2149" s="4" t="inlineStr"/>
      <c r="F2149" s="3" t="inlineStr">
        <is>
          <t>rollo</t>
        </is>
      </c>
      <c r="G2149" s="3" t="inlineStr">
        <is>
          <t>Instalaciones</t>
        </is>
      </c>
      <c r="H2149" s="3" t="inlineStr">
        <is>
          <t>estandar</t>
        </is>
      </c>
      <c r="I2149" s="3" t="inlineStr">
        <is>
          <t>importado</t>
        </is>
      </c>
      <c r="J2149" s="5" t="n">
        <v>1</v>
      </c>
      <c r="K2149" s="6" t="n">
        <v>304</v>
      </c>
      <c r="L2149" s="6" t="n">
        <v>304</v>
      </c>
      <c r="M2149" s="6" t="n">
        <v>304</v>
      </c>
      <c r="N2149" s="3" t="inlineStr">
        <is>
          <t>Sí</t>
        </is>
      </c>
      <c r="O2149" s="6">
        <f>IF(K2149="","",IF(N2149="Sí",ROUND(K2149/1.18,2),K2149))</f>
        <v/>
      </c>
      <c r="P2149" s="3" t="inlineStr">
        <is>
          <t>2026-09-09</t>
        </is>
      </c>
      <c r="Q2149" s="4" t="inlineStr">
        <is>
          <t>Ferretería Cima</t>
        </is>
      </c>
      <c r="AF2149" s="4" t="inlineStr">
        <is>
          <t>medida: 0.19" x 15 pies</t>
        </is>
      </c>
    </row>
    <row r="2150">
      <c r="A2150" s="3" t="inlineStr">
        <is>
          <t>MAT-32-797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Cinta de plomero 1/2" x 50 pies</t>
        </is>
      </c>
      <c r="E2150" s="4" t="inlineStr"/>
      <c r="F2150" s="3" t="inlineStr">
        <is>
          <t>rollo</t>
        </is>
      </c>
      <c r="G2150" s="3" t="inlineStr">
        <is>
          <t>Instalaciones</t>
        </is>
      </c>
      <c r="H2150" s="3" t="inlineStr">
        <is>
          <t>estandar</t>
        </is>
      </c>
      <c r="I2150" s="3" t="inlineStr">
        <is>
          <t>importado</t>
        </is>
      </c>
      <c r="J2150" s="5" t="n">
        <v>1</v>
      </c>
      <c r="K2150" s="6" t="n">
        <v>2525</v>
      </c>
      <c r="L2150" s="6" t="n">
        <v>2525</v>
      </c>
      <c r="M2150" s="6" t="n">
        <v>2525</v>
      </c>
      <c r="N2150" s="3" t="inlineStr">
        <is>
          <t>Sí</t>
        </is>
      </c>
      <c r="O2150" s="6">
        <f>IF(K2150="","",IF(N2150="Sí",ROUND(K2150/1.18,2),K2150))</f>
        <v/>
      </c>
      <c r="P2150" s="3" t="inlineStr">
        <is>
          <t>2026-09-09</t>
        </is>
      </c>
      <c r="Q2150" s="4" t="inlineStr">
        <is>
          <t>Ferretería Cima</t>
        </is>
      </c>
      <c r="AF2150" s="4" t="inlineStr">
        <is>
          <t>medida: 1/2" x 50 pies</t>
        </is>
      </c>
    </row>
    <row r="2151">
      <c r="A2151" s="3" t="inlineStr">
        <is>
          <t>MAT-32-798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Cinta de plomero 1/8" x 25 pies</t>
        </is>
      </c>
      <c r="E2151" s="4" t="inlineStr"/>
      <c r="F2151" s="3" t="inlineStr">
        <is>
          <t>rollo</t>
        </is>
      </c>
      <c r="G2151" s="3" t="inlineStr">
        <is>
          <t>Instalaciones</t>
        </is>
      </c>
      <c r="H2151" s="3" t="inlineStr">
        <is>
          <t>estandar</t>
        </is>
      </c>
      <c r="I2151" s="3" t="inlineStr">
        <is>
          <t>importado</t>
        </is>
      </c>
      <c r="J2151" s="5" t="n">
        <v>1</v>
      </c>
      <c r="K2151" s="6" t="n">
        <v>412</v>
      </c>
      <c r="L2151" s="6" t="n">
        <v>412</v>
      </c>
      <c r="M2151" s="6" t="n">
        <v>412</v>
      </c>
      <c r="N2151" s="3" t="inlineStr">
        <is>
          <t>Sí</t>
        </is>
      </c>
      <c r="O2151" s="6">
        <f>IF(K2151="","",IF(N2151="Sí",ROUND(K2151/1.18,2),K2151))</f>
        <v/>
      </c>
      <c r="P2151" s="3" t="inlineStr">
        <is>
          <t>2026-09-09</t>
        </is>
      </c>
      <c r="Q2151" s="4" t="inlineStr">
        <is>
          <t>Ferretería Cima</t>
        </is>
      </c>
      <c r="AF2151" s="4" t="inlineStr">
        <is>
          <t>medida: 1/8" x 25 pies</t>
        </is>
      </c>
    </row>
    <row r="2152">
      <c r="A2152" s="3" t="inlineStr">
        <is>
          <t>MAT-32-799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Cemento solvente para PVC, 16 oz</t>
        </is>
      </c>
      <c r="E2152" s="4" t="inlineStr"/>
      <c r="F2152" s="3" t="inlineStr">
        <is>
          <t>envase</t>
        </is>
      </c>
      <c r="G2152" s="3" t="inlineStr">
        <is>
          <t>Instalaciones</t>
        </is>
      </c>
      <c r="H2152" s="3" t="inlineStr">
        <is>
          <t>estandar</t>
        </is>
      </c>
      <c r="I2152" s="3" t="inlineStr">
        <is>
          <t>importado</t>
        </is>
      </c>
      <c r="J2152" s="5" t="n">
        <v>1</v>
      </c>
      <c r="K2152" s="6" t="n">
        <v>979</v>
      </c>
      <c r="L2152" s="6" t="n">
        <v>979</v>
      </c>
      <c r="M2152" s="6" t="n">
        <v>979</v>
      </c>
      <c r="N2152" s="3" t="inlineStr">
        <is>
          <t>Sí</t>
        </is>
      </c>
      <c r="O2152" s="6">
        <f>IF(K2152="","",IF(N2152="Sí",ROUND(K2152/1.18,2),K2152))</f>
        <v/>
      </c>
      <c r="P2152" s="3" t="inlineStr">
        <is>
          <t>2026-09-09</t>
        </is>
      </c>
      <c r="Q2152" s="4" t="inlineStr">
        <is>
          <t>Ferretería Cima</t>
        </is>
      </c>
      <c r="AF2152" s="4" t="inlineStr">
        <is>
          <t>presentacion: 16 oz</t>
        </is>
      </c>
    </row>
    <row r="2153">
      <c r="A2153" s="3" t="inlineStr">
        <is>
          <t>MAT-32-800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Cemento solvente para PVC, 32 oz</t>
        </is>
      </c>
      <c r="E2153" s="4" t="inlineStr"/>
      <c r="F2153" s="3" t="inlineStr">
        <is>
          <t>envase</t>
        </is>
      </c>
      <c r="G2153" s="3" t="inlineStr">
        <is>
          <t>Instalaciones</t>
        </is>
      </c>
      <c r="H2153" s="3" t="inlineStr">
        <is>
          <t>estandar</t>
        </is>
      </c>
      <c r="I2153" s="3" t="inlineStr">
        <is>
          <t>importado</t>
        </is>
      </c>
      <c r="J2153" s="5" t="n">
        <v>1</v>
      </c>
      <c r="K2153" s="6" t="n">
        <v>1765</v>
      </c>
      <c r="L2153" s="6" t="n">
        <v>1765</v>
      </c>
      <c r="M2153" s="6" t="n">
        <v>1765</v>
      </c>
      <c r="N2153" s="3" t="inlineStr">
        <is>
          <t>Sí</t>
        </is>
      </c>
      <c r="O2153" s="6">
        <f>IF(K2153="","",IF(N2153="Sí",ROUND(K2153/1.18,2),K2153))</f>
        <v/>
      </c>
      <c r="P2153" s="3" t="inlineStr">
        <is>
          <t>2026-09-09</t>
        </is>
      </c>
      <c r="Q2153" s="4" t="inlineStr">
        <is>
          <t>Ferretería Cima</t>
        </is>
      </c>
      <c r="AF2153" s="4" t="inlineStr">
        <is>
          <t>presentacion: 32 oz</t>
        </is>
      </c>
    </row>
    <row r="2154">
      <c r="A2154" s="3" t="inlineStr">
        <is>
          <t>MAT-32-801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Cemento solvente para PVC, 4 oz</t>
        </is>
      </c>
      <c r="E2154" s="4" t="inlineStr"/>
      <c r="F2154" s="3" t="inlineStr">
        <is>
          <t>envase</t>
        </is>
      </c>
      <c r="G2154" s="3" t="inlineStr">
        <is>
          <t>Instalaciones</t>
        </is>
      </c>
      <c r="H2154" s="3" t="inlineStr">
        <is>
          <t>estandar</t>
        </is>
      </c>
      <c r="I2154" s="3" t="inlineStr">
        <is>
          <t>importado</t>
        </is>
      </c>
      <c r="J2154" s="5" t="n">
        <v>1</v>
      </c>
      <c r="K2154" s="6" t="n">
        <v>391.5</v>
      </c>
      <c r="L2154" s="6" t="n">
        <v>335</v>
      </c>
      <c r="M2154" s="6" t="n">
        <v>522</v>
      </c>
      <c r="N2154" s="3" t="inlineStr">
        <is>
          <t>Sí</t>
        </is>
      </c>
      <c r="O2154" s="6">
        <f>IF(K2154="","",IF(N2154="Sí",ROUND(K2154/1.18,2),K2154))</f>
        <v/>
      </c>
      <c r="P2154" s="3" t="inlineStr">
        <is>
          <t>2026-09-09</t>
        </is>
      </c>
      <c r="Q2154" s="4" t="inlineStr">
        <is>
          <t>Ferretería Cima</t>
        </is>
      </c>
      <c r="AF2154" s="4" t="inlineStr">
        <is>
          <t>presentacion: 4 oz</t>
        </is>
      </c>
    </row>
    <row r="2155">
      <c r="A2155" s="3" t="inlineStr">
        <is>
          <t>MAT-32-802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Cemento solvente para PVC, 50 ml</t>
        </is>
      </c>
      <c r="E2155" s="4" t="inlineStr"/>
      <c r="F2155" s="3" t="inlineStr">
        <is>
          <t>envase</t>
        </is>
      </c>
      <c r="G2155" s="3" t="inlineStr">
        <is>
          <t>Instalaciones</t>
        </is>
      </c>
      <c r="H2155" s="3" t="inlineStr">
        <is>
          <t>estandar</t>
        </is>
      </c>
      <c r="I2155" s="3" t="inlineStr">
        <is>
          <t>importado</t>
        </is>
      </c>
      <c r="J2155" s="5" t="n">
        <v>1</v>
      </c>
      <c r="K2155" s="6" t="n">
        <v>205</v>
      </c>
      <c r="L2155" s="6" t="n">
        <v>205</v>
      </c>
      <c r="M2155" s="6" t="n">
        <v>205</v>
      </c>
      <c r="N2155" s="3" t="inlineStr">
        <is>
          <t>Sí</t>
        </is>
      </c>
      <c r="O2155" s="6">
        <f>IF(K2155="","",IF(N2155="Sí",ROUND(K2155/1.18,2),K2155))</f>
        <v/>
      </c>
      <c r="P2155" s="3" t="inlineStr">
        <is>
          <t>2026-09-09</t>
        </is>
      </c>
      <c r="Q2155" s="4" t="inlineStr">
        <is>
          <t>Ferretería Cima</t>
        </is>
      </c>
      <c r="AF2155" s="4" t="inlineStr">
        <is>
          <t>presentacion: 50 ml</t>
        </is>
      </c>
    </row>
    <row r="2156">
      <c r="A2156" s="3" t="inlineStr">
        <is>
          <t>MAT-32-803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Cemento solvente para PVC, 8 oz</t>
        </is>
      </c>
      <c r="E2156" s="4" t="inlineStr"/>
      <c r="F2156" s="3" t="inlineStr">
        <is>
          <t>envase</t>
        </is>
      </c>
      <c r="G2156" s="3" t="inlineStr">
        <is>
          <t>Instalaciones</t>
        </is>
      </c>
      <c r="H2156" s="3" t="inlineStr">
        <is>
          <t>estandar</t>
        </is>
      </c>
      <c r="I2156" s="3" t="inlineStr">
        <is>
          <t>importado</t>
        </is>
      </c>
      <c r="J2156" s="5" t="n">
        <v>1</v>
      </c>
      <c r="K2156" s="6" t="n">
        <v>520</v>
      </c>
      <c r="L2156" s="6" t="n">
        <v>473</v>
      </c>
      <c r="M2156" s="6" t="n">
        <v>567</v>
      </c>
      <c r="N2156" s="3" t="inlineStr">
        <is>
          <t>Sí</t>
        </is>
      </c>
      <c r="O2156" s="6">
        <f>IF(K2156="","",IF(N2156="Sí",ROUND(K2156/1.18,2),K2156))</f>
        <v/>
      </c>
      <c r="P2156" s="3" t="inlineStr">
        <is>
          <t>2026-09-09</t>
        </is>
      </c>
      <c r="Q2156" s="4" t="inlineStr">
        <is>
          <t>Ferretería Cima</t>
        </is>
      </c>
      <c r="AF2156" s="4" t="inlineStr">
        <is>
          <t>presentacion: 8 oz</t>
        </is>
      </c>
    </row>
    <row r="2157">
      <c r="A2157" s="3" t="inlineStr">
        <is>
          <t>MAT-33-001</t>
        </is>
      </c>
      <c r="B2157" s="3" t="inlineStr">
        <is>
          <t>Materiales</t>
        </is>
      </c>
      <c r="C2157" s="3" t="inlineStr">
        <is>
          <t>Iluminación decorativa</t>
        </is>
      </c>
      <c r="D2157" s="4" t="inlineStr">
        <is>
          <t>Lámpara decorativa de mesa</t>
        </is>
      </c>
      <c r="E2157" s="4" t="inlineStr">
        <is>
          <t>Se presupuesta por rango: la pieza se elige por diseño y el catálogo no la compara modelo a modelo</t>
        </is>
      </c>
      <c r="F2157" s="3" t="inlineStr">
        <is>
          <t>unidad</t>
        </is>
      </c>
      <c r="G2157" s="3" t="inlineStr">
        <is>
          <t>Terminación de superficies</t>
        </is>
      </c>
      <c r="H2157" s="3" t="inlineStr">
        <is>
          <t>estandar</t>
        </is>
      </c>
      <c r="I2157" s="3" t="inlineStr">
        <is>
          <t>importado</t>
        </is>
      </c>
      <c r="J2157" s="5" t="n">
        <v>2</v>
      </c>
      <c r="K2157" s="6" t="n">
        <v>4000</v>
      </c>
      <c r="L2157" s="6" t="n">
        <v>1200</v>
      </c>
      <c r="M2157" s="6" t="n">
        <v>29561.63</v>
      </c>
      <c r="N2157" s="3" t="inlineStr">
        <is>
          <t>Sí</t>
        </is>
      </c>
      <c r="O2157" s="6">
        <f>IF(K2157="","",IF(N2157="Sí",ROUND(K2157/1.18,2),K2157))</f>
        <v/>
      </c>
      <c r="P2157" s="3" t="inlineStr">
        <is>
          <t>2026-09-10</t>
        </is>
      </c>
      <c r="Q2157" s="4" t="inlineStr">
        <is>
          <t>Luminatti · Mundo LED</t>
        </is>
      </c>
      <c r="S2157" s="7" t="inlineStr">
        <is>
          <t>mesa</t>
        </is>
      </c>
    </row>
    <row r="2158">
      <c r="A2158" s="3" t="inlineStr">
        <is>
          <t>MAT-33-002</t>
        </is>
      </c>
      <c r="B2158" s="3" t="inlineStr">
        <is>
          <t>Materiales</t>
        </is>
      </c>
      <c r="C2158" s="3" t="inlineStr">
        <is>
          <t>Iluminación decorativa</t>
        </is>
      </c>
      <c r="D2158" s="4" t="inlineStr">
        <is>
          <t>Lámpara decorativa de pared</t>
        </is>
      </c>
      <c r="E2158" s="4" t="inlineStr">
        <is>
          <t>Se presupuesta por rango: la pieza se elige por diseño y el catálogo no la compara modelo a modelo</t>
        </is>
      </c>
      <c r="F2158" s="3" t="inlineStr">
        <is>
          <t>unidad</t>
        </is>
      </c>
      <c r="G2158" s="3" t="inlineStr">
        <is>
          <t>Terminación de superficies</t>
        </is>
      </c>
      <c r="H2158" s="3" t="inlineStr">
        <is>
          <t>estandar</t>
        </is>
      </c>
      <c r="I2158" s="3" t="inlineStr">
        <is>
          <t>importado</t>
        </is>
      </c>
      <c r="J2158" s="5" t="n">
        <v>2</v>
      </c>
      <c r="K2158" s="6" t="n">
        <v>2850</v>
      </c>
      <c r="L2158" s="6" t="n">
        <v>500</v>
      </c>
      <c r="M2158" s="6" t="n">
        <v>28045.43</v>
      </c>
      <c r="N2158" s="3" t="inlineStr">
        <is>
          <t>Sí</t>
        </is>
      </c>
      <c r="O2158" s="6">
        <f>IF(K2158="","",IF(N2158="Sí",ROUND(K2158/1.18,2),K2158))</f>
        <v/>
      </c>
      <c r="P2158" s="3" t="inlineStr">
        <is>
          <t>2026-09-10</t>
        </is>
      </c>
      <c r="Q2158" s="4" t="inlineStr">
        <is>
          <t>Luminatti · Mundo LED</t>
        </is>
      </c>
      <c r="S2158" s="7" t="inlineStr">
        <is>
          <t>pared</t>
        </is>
      </c>
    </row>
    <row r="2159">
      <c r="A2159" s="3" t="inlineStr">
        <is>
          <t>MAT-33-003</t>
        </is>
      </c>
      <c r="B2159" s="3" t="inlineStr">
        <is>
          <t>Materiales</t>
        </is>
      </c>
      <c r="C2159" s="3" t="inlineStr">
        <is>
          <t>Iluminación decorativa</t>
        </is>
      </c>
      <c r="D2159" s="4" t="inlineStr">
        <is>
          <t>Lámpara decorativa de pie</t>
        </is>
      </c>
      <c r="E2159" s="4" t="inlineStr">
        <is>
          <t>Se presupuesta por rango: la pieza se elige por diseño y el catálogo no la compara modelo a modelo</t>
        </is>
      </c>
      <c r="F2159" s="3" t="inlineStr">
        <is>
          <t>unidad</t>
        </is>
      </c>
      <c r="G2159" s="3" t="inlineStr">
        <is>
          <t>Terminación de superficies</t>
        </is>
      </c>
      <c r="H2159" s="3" t="inlineStr">
        <is>
          <t>estandar</t>
        </is>
      </c>
      <c r="I2159" s="3" t="inlineStr">
        <is>
          <t>importado</t>
        </is>
      </c>
      <c r="J2159" s="5" t="n">
        <v>2</v>
      </c>
      <c r="K2159" s="6" t="n">
        <v>8250</v>
      </c>
      <c r="L2159" s="6" t="n">
        <v>4000</v>
      </c>
      <c r="M2159" s="6" t="n">
        <v>36560.58</v>
      </c>
      <c r="N2159" s="3" t="inlineStr">
        <is>
          <t>Sí</t>
        </is>
      </c>
      <c r="O2159" s="6">
        <f>IF(K2159="","",IF(N2159="Sí",ROUND(K2159/1.18,2),K2159))</f>
        <v/>
      </c>
      <c r="P2159" s="3" t="inlineStr">
        <is>
          <t>2026-09-10</t>
        </is>
      </c>
      <c r="Q2159" s="4" t="inlineStr">
        <is>
          <t>Luminatti · Mundo LED</t>
        </is>
      </c>
      <c r="S2159" s="7" t="inlineStr">
        <is>
          <t>pie</t>
        </is>
      </c>
    </row>
    <row r="2160">
      <c r="A2160" s="3" t="inlineStr">
        <is>
          <t>MAT-33-004</t>
        </is>
      </c>
      <c r="B2160" s="3" t="inlineStr">
        <is>
          <t>Materiales</t>
        </is>
      </c>
      <c r="C2160" s="3" t="inlineStr">
        <is>
          <t>Iluminación decorativa</t>
        </is>
      </c>
      <c r="D2160" s="4" t="inlineStr">
        <is>
          <t>Lámpara decorativa de techo</t>
        </is>
      </c>
      <c r="E2160" s="4" t="inlineStr">
        <is>
          <t>Se presupuesta por rango: la pieza se elige por diseño y el catálogo no la compara modelo a modelo</t>
        </is>
      </c>
      <c r="F2160" s="3" t="inlineStr">
        <is>
          <t>unidad</t>
        </is>
      </c>
      <c r="G2160" s="3" t="inlineStr">
        <is>
          <t>Terminación de superficies</t>
        </is>
      </c>
      <c r="H2160" s="3" t="inlineStr">
        <is>
          <t>estandar</t>
        </is>
      </c>
      <c r="I2160" s="3" t="inlineStr">
        <is>
          <t>importado</t>
        </is>
      </c>
      <c r="J2160" s="5" t="n">
        <v>2</v>
      </c>
      <c r="K2160" s="6" t="n">
        <v>6025</v>
      </c>
      <c r="L2160" s="6" t="n">
        <v>1200</v>
      </c>
      <c r="M2160" s="6" t="n">
        <v>186717.45</v>
      </c>
      <c r="N2160" s="3" t="inlineStr">
        <is>
          <t>Sí</t>
        </is>
      </c>
      <c r="O2160" s="6">
        <f>IF(K2160="","",IF(N2160="Sí",ROUND(K2160/1.18,2),K2160))</f>
        <v/>
      </c>
      <c r="P2160" s="3" t="inlineStr">
        <is>
          <t>2026-09-10</t>
        </is>
      </c>
      <c r="Q2160" s="4" t="inlineStr">
        <is>
          <t>Luminatti · Mundo LED</t>
        </is>
      </c>
      <c r="S2160" s="7" t="inlineStr">
        <is>
          <t>techo</t>
        </is>
      </c>
    </row>
  </sheetData>
  <autoFilter ref="A2:AF2160"/>
  <mergeCells count="1">
    <mergeCell ref="A1:A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3" customWidth="1" min="17" max="17"/>
    <col width="13" customWidth="1" min="18" max="18"/>
    <col width="13" customWidth="1" min="19" max="19"/>
    <col width="11" customWidth="1" min="20" max="20"/>
    <col width="24" customWidth="1" min="21" max="21"/>
    <col width="15" customWidth="1" min="22" max="22"/>
    <col width="11" customWidth="1" min="23" max="23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Ferretería MC</t>
        </is>
      </c>
      <c r="N2" s="2" t="inlineStr">
        <is>
          <t>Tonos y Colores</t>
        </is>
      </c>
      <c r="O2" s="2" t="inlineStr">
        <is>
          <t>Luminatti</t>
        </is>
      </c>
      <c r="P2" s="2" t="inlineStr">
        <is>
          <t>Imper System (Impersystem Tecnologies)</t>
        </is>
      </c>
      <c r="Q2" s="2" t="inlineStr">
        <is>
          <t>Mínimo (RD$)</t>
        </is>
      </c>
      <c r="R2" s="2" t="inlineStr">
        <is>
          <t>Mediana (RD$)</t>
        </is>
      </c>
      <c r="S2" s="2" t="inlineStr">
        <is>
          <t>Máximo (RD$)</t>
        </is>
      </c>
      <c r="T2" s="2" t="inlineStr">
        <is>
          <t>Dispersión</t>
        </is>
      </c>
      <c r="U2" s="2" t="inlineStr">
        <is>
          <t>Más barato</t>
        </is>
      </c>
      <c r="V2" s="2" t="inlineStr">
        <is>
          <t>Referencia del sitio (RD$)</t>
        </is>
      </c>
      <c r="W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>
        <v>26589.51</v>
      </c>
      <c r="Q3" s="8">
        <f>IF(COUNT(D3:P3)=0,"",MIN(D3:P3))</f>
        <v/>
      </c>
      <c r="R3" s="8">
        <f>IF(COUNT(D3:P3)=0,"",MEDIAN(D3:P3))</f>
        <v/>
      </c>
      <c r="S3" s="8">
        <f>IF(COUNT(D3:P3)=0,"",MAX(D3:P3))</f>
        <v/>
      </c>
      <c r="T3" s="9">
        <f>IF(OR(Q3="",Q3=0),"",(S3-Q3)/Q3)</f>
        <v/>
      </c>
      <c r="U3" s="7">
        <f>IF(COUNT(D3:P3)=0,"",INDEX($D$1:$P$1,MATCH(MIN(D3:P3),D3:P3,0)))</f>
        <v/>
      </c>
      <c r="V3" s="8" t="n">
        <v>31375.62</v>
      </c>
      <c r="W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>
        <v>112266.82</v>
      </c>
      <c r="Q4" s="8">
        <f>IF(COUNT(D4:P4)=0,"",MIN(D4:P4))</f>
        <v/>
      </c>
      <c r="R4" s="8">
        <f>IF(COUNT(D4:P4)=0,"",MEDIAN(D4:P4))</f>
        <v/>
      </c>
      <c r="S4" s="8">
        <f>IF(COUNT(D4:P4)=0,"",MAX(D4:P4))</f>
        <v/>
      </c>
      <c r="T4" s="9">
        <f>IF(OR(Q4="",Q4=0),"",(S4-Q4)/Q4)</f>
        <v/>
      </c>
      <c r="U4" s="7">
        <f>IF(COUNT(D4:P4)=0,"",INDEX($D$1:$P$1,MATCH(MIN(D4:P4),D4:P4,0)))</f>
        <v/>
      </c>
      <c r="V4" s="8" t="n">
        <v>132474.85</v>
      </c>
      <c r="W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>
        <v>472702.4</v>
      </c>
      <c r="Q5" s="8">
        <f>IF(COUNT(D5:P5)=0,"",MIN(D5:P5))</f>
        <v/>
      </c>
      <c r="R5" s="8">
        <f>IF(COUNT(D5:P5)=0,"",MEDIAN(D5:P5))</f>
        <v/>
      </c>
      <c r="S5" s="8">
        <f>IF(COUNT(D5:P5)=0,"",MAX(D5:P5))</f>
        <v/>
      </c>
      <c r="T5" s="9">
        <f>IF(OR(Q5="",Q5=0),"",(S5-Q5)/Q5)</f>
        <v/>
      </c>
      <c r="U5" s="7">
        <f>IF(COUNT(D5:P5)=0,"",INDEX($D$1:$P$1,MATCH(MIN(D5:P5),D5:P5,0)))</f>
        <v/>
      </c>
      <c r="V5" s="8" t="n">
        <v>557788.83</v>
      </c>
      <c r="W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>
        <v>20680.73</v>
      </c>
      <c r="Q6" s="8">
        <f>IF(COUNT(D6:P6)=0,"",MIN(D6:P6))</f>
        <v/>
      </c>
      <c r="R6" s="8">
        <f>IF(COUNT(D6:P6)=0,"",MEDIAN(D6:P6))</f>
        <v/>
      </c>
      <c r="S6" s="8">
        <f>IF(COUNT(D6:P6)=0,"",MAX(D6:P6))</f>
        <v/>
      </c>
      <c r="T6" s="9">
        <f>IF(OR(Q6="",Q6=0),"",(S6-Q6)/Q6)</f>
        <v/>
      </c>
      <c r="U6" s="7">
        <f>IF(COUNT(D6:P6)=0,"",INDEX($D$1:$P$1,MATCH(MIN(D6:P6),D6:P6,0)))</f>
        <v/>
      </c>
      <c r="V6" s="8" t="n">
        <v>24403.26</v>
      </c>
      <c r="W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>
        <v>94540.48</v>
      </c>
      <c r="Q7" s="8">
        <f>IF(COUNT(D7:P7)=0,"",MIN(D7:P7))</f>
        <v/>
      </c>
      <c r="R7" s="8">
        <f>IF(COUNT(D7:P7)=0,"",MEDIAN(D7:P7))</f>
        <v/>
      </c>
      <c r="S7" s="8">
        <f>IF(COUNT(D7:P7)=0,"",MAX(D7:P7))</f>
        <v/>
      </c>
      <c r="T7" s="9">
        <f>IF(OR(Q7="",Q7=0),"",(S7-Q7)/Q7)</f>
        <v/>
      </c>
      <c r="U7" s="7">
        <f>IF(COUNT(D7:P7)=0,"",INDEX($D$1:$P$1,MATCH(MIN(D7:P7),D7:P7,0)))</f>
        <v/>
      </c>
      <c r="V7" s="8" t="n">
        <v>111557.77</v>
      </c>
      <c r="W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>
        <v>389979.48</v>
      </c>
      <c r="Q8" s="8">
        <f>IF(COUNT(D8:P8)=0,"",MIN(D8:P8))</f>
        <v/>
      </c>
      <c r="R8" s="8">
        <f>IF(COUNT(D8:P8)=0,"",MEDIAN(D8:P8))</f>
        <v/>
      </c>
      <c r="S8" s="8">
        <f>IF(COUNT(D8:P8)=0,"",MAX(D8:P8))</f>
        <v/>
      </c>
      <c r="T8" s="9">
        <f>IF(OR(Q8="",Q8=0),"",(S8-Q8)/Q8)</f>
        <v/>
      </c>
      <c r="U8" s="7">
        <f>IF(COUNT(D8:P8)=0,"",INDEX($D$1:$P$1,MATCH(MIN(D8:P8),D8:P8,0)))</f>
        <v/>
      </c>
      <c r="V8" s="8" t="n">
        <v>460175.79</v>
      </c>
      <c r="W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>
        <v>47270.24</v>
      </c>
      <c r="Q9" s="8">
        <f>IF(COUNT(D9:P9)=0,"",MIN(D9:P9))</f>
        <v/>
      </c>
      <c r="R9" s="8">
        <f>IF(COUNT(D9:P9)=0,"",MEDIAN(D9:P9))</f>
        <v/>
      </c>
      <c r="S9" s="8">
        <f>IF(COUNT(D9:P9)=0,"",MAX(D9:P9))</f>
        <v/>
      </c>
      <c r="T9" s="9">
        <f>IF(OR(Q9="",Q9=0),"",(S9-Q9)/Q9)</f>
        <v/>
      </c>
      <c r="U9" s="7">
        <f>IF(COUNT(D9:P9)=0,"",INDEX($D$1:$P$1,MATCH(MIN(D9:P9),D9:P9,0)))</f>
        <v/>
      </c>
      <c r="V9" s="8" t="n">
        <v>55778.88</v>
      </c>
      <c r="W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>
        <v>177263.4</v>
      </c>
      <c r="Q10" s="8">
        <f>IF(COUNT(D10:P10)=0,"",MIN(D10:P10))</f>
        <v/>
      </c>
      <c r="R10" s="8">
        <f>IF(COUNT(D10:P10)=0,"",MEDIAN(D10:P10))</f>
        <v/>
      </c>
      <c r="S10" s="8">
        <f>IF(COUNT(D10:P10)=0,"",MAX(D10:P10))</f>
        <v/>
      </c>
      <c r="T10" s="9">
        <f>IF(OR(Q10="",Q10=0),"",(S10-Q10)/Q10)</f>
        <v/>
      </c>
      <c r="U10" s="7">
        <f>IF(COUNT(D10:P10)=0,"",INDEX($D$1:$P$1,MATCH(MIN(D10:P10),D10:P10,0)))</f>
        <v/>
      </c>
      <c r="V10" s="8" t="n">
        <v>209170.81</v>
      </c>
      <c r="W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>
        <v>763709.8199999999</v>
      </c>
      <c r="Q11" s="8">
        <f>IF(COUNT(D11:P11)=0,"",MIN(D11:P11))</f>
        <v/>
      </c>
      <c r="R11" s="8">
        <f>IF(COUNT(D11:P11)=0,"",MEDIAN(D11:P11))</f>
        <v/>
      </c>
      <c r="S11" s="8">
        <f>IF(COUNT(D11:P11)=0,"",MAX(D11:P11))</f>
        <v/>
      </c>
      <c r="T11" s="9">
        <f>IF(OR(Q11="",Q11=0),"",(S11-Q11)/Q11)</f>
        <v/>
      </c>
      <c r="U11" s="7">
        <f>IF(COUNT(D11:P11)=0,"",INDEX($D$1:$P$1,MATCH(MIN(D11:P11),D11:P11,0)))</f>
        <v/>
      </c>
      <c r="V11" s="8" t="n">
        <v>901177.59</v>
      </c>
      <c r="W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>
        <v>15362.83</v>
      </c>
      <c r="Q12" s="8">
        <f>IF(COUNT(D12:P12)=0,"",MIN(D12:P12))</f>
        <v/>
      </c>
      <c r="R12" s="8">
        <f>IF(COUNT(D12:P12)=0,"",MEDIAN(D12:P12))</f>
        <v/>
      </c>
      <c r="S12" s="8">
        <f>IF(COUNT(D12:P12)=0,"",MAX(D12:P12))</f>
        <v/>
      </c>
      <c r="T12" s="9">
        <f>IF(OR(Q12="",Q12=0),"",(S12-Q12)/Q12)</f>
        <v/>
      </c>
      <c r="U12" s="7">
        <f>IF(COUNT(D12:P12)=0,"",INDEX($D$1:$P$1,MATCH(MIN(D12:P12),D12:P12,0)))</f>
        <v/>
      </c>
      <c r="V12" s="8" t="n">
        <v>18128.14</v>
      </c>
      <c r="W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>
        <v>64996.58</v>
      </c>
      <c r="Q13" s="8">
        <f>IF(COUNT(D13:P13)=0,"",MIN(D13:P13))</f>
        <v/>
      </c>
      <c r="R13" s="8">
        <f>IF(COUNT(D13:P13)=0,"",MEDIAN(D13:P13))</f>
        <v/>
      </c>
      <c r="S13" s="8">
        <f>IF(COUNT(D13:P13)=0,"",MAX(D13:P13))</f>
        <v/>
      </c>
      <c r="T13" s="9">
        <f>IF(OR(Q13="",Q13=0),"",(S13-Q13)/Q13)</f>
        <v/>
      </c>
      <c r="U13" s="7">
        <f>IF(COUNT(D13:P13)=0,"",INDEX($D$1:$P$1,MATCH(MIN(D13:P13),D13:P13,0)))</f>
        <v/>
      </c>
      <c r="V13" s="8" t="n">
        <v>76695.96000000001</v>
      </c>
      <c r="W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>
        <v>307256.56</v>
      </c>
      <c r="Q14" s="8">
        <f>IF(COUNT(D14:P14)=0,"",MIN(D14:P14))</f>
        <v/>
      </c>
      <c r="R14" s="8">
        <f>IF(COUNT(D14:P14)=0,"",MEDIAN(D14:P14))</f>
        <v/>
      </c>
      <c r="S14" s="8">
        <f>IF(COUNT(D14:P14)=0,"",MAX(D14:P14))</f>
        <v/>
      </c>
      <c r="T14" s="9">
        <f>IF(OR(Q14="",Q14=0),"",(S14-Q14)/Q14)</f>
        <v/>
      </c>
      <c r="U14" s="7">
        <f>IF(COUNT(D14:P14)=0,"",INDEX($D$1:$P$1,MATCH(MIN(D14:P14),D14:P14,0)))</f>
        <v/>
      </c>
      <c r="V14" s="8" t="n">
        <v>362562.74</v>
      </c>
      <c r="W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>
        <v>11226.68</v>
      </c>
      <c r="Q15" s="8">
        <f>IF(COUNT(D15:P15)=0,"",MIN(D15:P15))</f>
        <v/>
      </c>
      <c r="R15" s="8">
        <f>IF(COUNT(D15:P15)=0,"",MEDIAN(D15:P15))</f>
        <v/>
      </c>
      <c r="S15" s="8">
        <f>IF(COUNT(D15:P15)=0,"",MAX(D15:P15))</f>
        <v/>
      </c>
      <c r="T15" s="9">
        <f>IF(OR(Q15="",Q15=0),"",(S15-Q15)/Q15)</f>
        <v/>
      </c>
      <c r="U15" s="7">
        <f>IF(COUNT(D15:P15)=0,"",INDEX($D$1:$P$1,MATCH(MIN(D15:P15),D15:P15,0)))</f>
        <v/>
      </c>
      <c r="V15" s="8" t="n">
        <v>13247.48</v>
      </c>
      <c r="W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>
        <v>50224.63</v>
      </c>
      <c r="Q16" s="8">
        <f>IF(COUNT(D16:P16)=0,"",MIN(D16:P16))</f>
        <v/>
      </c>
      <c r="R16" s="8">
        <f>IF(COUNT(D16:P16)=0,"",MEDIAN(D16:P16))</f>
        <v/>
      </c>
      <c r="S16" s="8">
        <f>IF(COUNT(D16:P16)=0,"",MAX(D16:P16))</f>
        <v/>
      </c>
      <c r="T16" s="9">
        <f>IF(OR(Q16="",Q16=0),"",(S16-Q16)/Q16)</f>
        <v/>
      </c>
      <c r="U16" s="7">
        <f>IF(COUNT(D16:P16)=0,"",INDEX($D$1:$P$1,MATCH(MIN(D16:P16),D16:P16,0)))</f>
        <v/>
      </c>
      <c r="V16" s="8" t="n">
        <v>59265.06</v>
      </c>
      <c r="W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>
        <v>224533.64</v>
      </c>
      <c r="Q17" s="8">
        <f>IF(COUNT(D17:P17)=0,"",MIN(D17:P17))</f>
        <v/>
      </c>
      <c r="R17" s="8">
        <f>IF(COUNT(D17:P17)=0,"",MEDIAN(D17:P17))</f>
        <v/>
      </c>
      <c r="S17" s="8">
        <f>IF(COUNT(D17:P17)=0,"",MAX(D17:P17))</f>
        <v/>
      </c>
      <c r="T17" s="9">
        <f>IF(OR(Q17="",Q17=0),"",(S17-Q17)/Q17)</f>
        <v/>
      </c>
      <c r="U17" s="7">
        <f>IF(COUNT(D17:P17)=0,"",INDEX($D$1:$P$1,MATCH(MIN(D17:P17),D17:P17,0)))</f>
        <v/>
      </c>
      <c r="V17" s="8" t="n">
        <v>264949.7</v>
      </c>
      <c r="W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>
        <f>IF(COUNT(D18:P18)=0,"",MIN(D18:P18))</f>
        <v/>
      </c>
      <c r="R18" s="8">
        <f>IF(COUNT(D18:P18)=0,"",MEDIAN(D18:P18))</f>
        <v/>
      </c>
      <c r="S18" s="8">
        <f>IF(COUNT(D18:P18)=0,"",MAX(D18:P18))</f>
        <v/>
      </c>
      <c r="T18" s="9">
        <f>IF(OR(Q18="",Q18=0),"",(S18-Q18)/Q18)</f>
        <v/>
      </c>
      <c r="U18" s="7">
        <f>IF(COUNT(D18:P18)=0,"",INDEX($D$1:$P$1,MATCH(MIN(D18:P18),D18:P18,0)))</f>
        <v/>
      </c>
      <c r="V18" s="8" t="n">
        <v>595</v>
      </c>
      <c r="W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>
        <f>IF(COUNT(D19:P19)=0,"",MIN(D19:P19))</f>
        <v/>
      </c>
      <c r="R19" s="8">
        <f>IF(COUNT(D19:P19)=0,"",MEDIAN(D19:P19))</f>
        <v/>
      </c>
      <c r="S19" s="8">
        <f>IF(COUNT(D19:P19)=0,"",MAX(D19:P19))</f>
        <v/>
      </c>
      <c r="T19" s="9">
        <f>IF(OR(Q19="",Q19=0),"",(S19-Q19)/Q19)</f>
        <v/>
      </c>
      <c r="U19" s="7">
        <f>IF(COUNT(D19:P19)=0,"",INDEX($D$1:$P$1,MATCH(MIN(D19:P19),D19:P19,0)))</f>
        <v/>
      </c>
      <c r="V19" s="8" t="n">
        <v>755</v>
      </c>
      <c r="W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>
        <f>IF(COUNT(D20:P20)=0,"",MIN(D20:P20))</f>
        <v/>
      </c>
      <c r="R20" s="8">
        <f>IF(COUNT(D20:P20)=0,"",MEDIAN(D20:P20))</f>
        <v/>
      </c>
      <c r="S20" s="8">
        <f>IF(COUNT(D20:P20)=0,"",MAX(D20:P20))</f>
        <v/>
      </c>
      <c r="T20" s="9">
        <f>IF(OR(Q20="",Q20=0),"",(S20-Q20)/Q20)</f>
        <v/>
      </c>
      <c r="U20" s="7">
        <f>IF(COUNT(D20:P20)=0,"",INDEX($D$1:$P$1,MATCH(MIN(D20:P20),D20:P20,0)))</f>
        <v/>
      </c>
      <c r="V20" s="8" t="n">
        <v>1295</v>
      </c>
      <c r="W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>
        <f>IF(COUNT(D21:P21)=0,"",MIN(D21:P21))</f>
        <v/>
      </c>
      <c r="R21" s="8">
        <f>IF(COUNT(D21:P21)=0,"",MEDIAN(D21:P21))</f>
        <v/>
      </c>
      <c r="S21" s="8">
        <f>IF(COUNT(D21:P21)=0,"",MAX(D21:P21))</f>
        <v/>
      </c>
      <c r="T21" s="9">
        <f>IF(OR(Q21="",Q21=0),"",(S21-Q21)/Q21)</f>
        <v/>
      </c>
      <c r="U21" s="7">
        <f>IF(COUNT(D21:P21)=0,"",INDEX($D$1:$P$1,MATCH(MIN(D21:P21),D21:P21,0)))</f>
        <v/>
      </c>
      <c r="V21" s="8" t="n">
        <v>503.66</v>
      </c>
      <c r="W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>
        <f>IF(COUNT(D22:P22)=0,"",MIN(D22:P22))</f>
        <v/>
      </c>
      <c r="R22" s="8">
        <f>IF(COUNT(D22:P22)=0,"",MEDIAN(D22:P22))</f>
        <v/>
      </c>
      <c r="S22" s="8">
        <f>IF(COUNT(D22:P22)=0,"",MAX(D22:P22))</f>
        <v/>
      </c>
      <c r="T22" s="9">
        <f>IF(OR(Q22="",Q22=0),"",(S22-Q22)/Q22)</f>
        <v/>
      </c>
      <c r="U22" s="7">
        <f>IF(COUNT(D22:P22)=0,"",INDEX($D$1:$P$1,MATCH(MIN(D22:P22),D22:P22,0)))</f>
        <v/>
      </c>
      <c r="V22" s="8" t="n">
        <v>345</v>
      </c>
      <c r="W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>
        <f>IF(COUNT(D23:P23)=0,"",MIN(D23:P23))</f>
        <v/>
      </c>
      <c r="R23" s="8">
        <f>IF(COUNT(D23:P23)=0,"",MEDIAN(D23:P23))</f>
        <v/>
      </c>
      <c r="S23" s="8">
        <f>IF(COUNT(D23:P23)=0,"",MAX(D23:P23))</f>
        <v/>
      </c>
      <c r="T23" s="9">
        <f>IF(OR(Q23="",Q23=0),"",(S23-Q23)/Q23)</f>
        <v/>
      </c>
      <c r="U23" s="7">
        <f>IF(COUNT(D23:P23)=0,"",INDEX($D$1:$P$1,MATCH(MIN(D23:P23),D23:P23,0)))</f>
        <v/>
      </c>
      <c r="V23" s="8" t="n">
        <v>825</v>
      </c>
      <c r="W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>
        <f>IF(COUNT(D24:P24)=0,"",MIN(D24:P24))</f>
        <v/>
      </c>
      <c r="R24" s="8">
        <f>IF(COUNT(D24:P24)=0,"",MEDIAN(D24:P24))</f>
        <v/>
      </c>
      <c r="S24" s="8">
        <f>IF(COUNT(D24:P24)=0,"",MAX(D24:P24))</f>
        <v/>
      </c>
      <c r="T24" s="9">
        <f>IF(OR(Q24="",Q24=0),"",(S24-Q24)/Q24)</f>
        <v/>
      </c>
      <c r="U24" s="7">
        <f>IF(COUNT(D24:P24)=0,"",INDEX($D$1:$P$1,MATCH(MIN(D24:P24),D24:P24,0)))</f>
        <v/>
      </c>
      <c r="V24" s="8" t="n">
        <v>365</v>
      </c>
      <c r="W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>
        <f>IF(COUNT(D25:P25)=0,"",MIN(D25:P25))</f>
        <v/>
      </c>
      <c r="R25" s="8">
        <f>IF(COUNT(D25:P25)=0,"",MEDIAN(D25:P25))</f>
        <v/>
      </c>
      <c r="S25" s="8">
        <f>IF(COUNT(D25:P25)=0,"",MAX(D25:P25))</f>
        <v/>
      </c>
      <c r="T25" s="9">
        <f>IF(OR(Q25="",Q25=0),"",(S25-Q25)/Q25)</f>
        <v/>
      </c>
      <c r="U25" s="7">
        <f>IF(COUNT(D25:P25)=0,"",INDEX($D$1:$P$1,MATCH(MIN(D25:P25),D25:P25,0)))</f>
        <v/>
      </c>
      <c r="V25" s="8" t="n">
        <v>323.12</v>
      </c>
      <c r="W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>
        <v>211.85</v>
      </c>
      <c r="N26" s="8" t="n"/>
      <c r="O26" s="8" t="n"/>
      <c r="P26" s="8" t="n"/>
      <c r="Q26" s="8">
        <f>IF(COUNT(D26:P26)=0,"",MIN(D26:P26))</f>
        <v/>
      </c>
      <c r="R26" s="8">
        <f>IF(COUNT(D26:P26)=0,"",MEDIAN(D26:P26))</f>
        <v/>
      </c>
      <c r="S26" s="8">
        <f>IF(COUNT(D26:P26)=0,"",MAX(D26:P26))</f>
        <v/>
      </c>
      <c r="T26" s="9">
        <f>IF(OR(Q26="",Q26=0),"",(S26-Q26)/Q26)</f>
        <v/>
      </c>
      <c r="U26" s="7">
        <f>IF(COUNT(D26:P26)=0,"",INDEX($D$1:$P$1,MATCH(MIN(D26:P26),D26:P26,0)))</f>
        <v/>
      </c>
      <c r="V26" s="8" t="n">
        <v>249.98</v>
      </c>
      <c r="W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>
        <v>377.76</v>
      </c>
      <c r="N27" s="8" t="n"/>
      <c r="O27" s="8" t="n"/>
      <c r="P27" s="8" t="n"/>
      <c r="Q27" s="8">
        <f>IF(COUNT(D27:P27)=0,"",MIN(D27:P27))</f>
        <v/>
      </c>
      <c r="R27" s="8">
        <f>IF(COUNT(D27:P27)=0,"",MEDIAN(D27:P27))</f>
        <v/>
      </c>
      <c r="S27" s="8">
        <f>IF(COUNT(D27:P27)=0,"",MAX(D27:P27))</f>
        <v/>
      </c>
      <c r="T27" s="9">
        <f>IF(OR(Q27="",Q27=0),"",(S27-Q27)/Q27)</f>
        <v/>
      </c>
      <c r="U27" s="7">
        <f>IF(COUNT(D27:P27)=0,"",INDEX($D$1:$P$1,MATCH(MIN(D27:P27),D27:P27,0)))</f>
        <v/>
      </c>
      <c r="V27" s="8" t="n">
        <v>445.88</v>
      </c>
      <c r="W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>
        <v>858.89</v>
      </c>
      <c r="N28" s="8" t="n"/>
      <c r="O28" s="8" t="n"/>
      <c r="P28" s="8" t="n"/>
      <c r="Q28" s="8">
        <f>IF(COUNT(D28:P28)=0,"",MIN(D28:P28))</f>
        <v/>
      </c>
      <c r="R28" s="8">
        <f>IF(COUNT(D28:P28)=0,"",MEDIAN(D28:P28))</f>
        <v/>
      </c>
      <c r="S28" s="8">
        <f>IF(COUNT(D28:P28)=0,"",MAX(D28:P28))</f>
        <v/>
      </c>
      <c r="T28" s="9">
        <f>IF(OR(Q28="",Q28=0),"",(S28-Q28)/Q28)</f>
        <v/>
      </c>
      <c r="U28" s="7">
        <f>IF(COUNT(D28:P28)=0,"",INDEX($D$1:$P$1,MATCH(MIN(D28:P28),D28:P28,0)))</f>
        <v/>
      </c>
      <c r="V28" s="8" t="n">
        <v>1006.75</v>
      </c>
      <c r="W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>
        <v>1513.28</v>
      </c>
      <c r="N29" s="8" t="n"/>
      <c r="O29" s="8" t="n"/>
      <c r="P29" s="8" t="n"/>
      <c r="Q29" s="8">
        <f>IF(COUNT(D29:P29)=0,"",MIN(D29:P29))</f>
        <v/>
      </c>
      <c r="R29" s="8">
        <f>IF(COUNT(D29:P29)=0,"",MEDIAN(D29:P29))</f>
        <v/>
      </c>
      <c r="S29" s="8">
        <f>IF(COUNT(D29:P29)=0,"",MAX(D29:P29))</f>
        <v/>
      </c>
      <c r="T29" s="9">
        <f>IF(OR(Q29="",Q29=0),"",(S29-Q29)/Q29)</f>
        <v/>
      </c>
      <c r="U29" s="7">
        <f>IF(COUNT(D29:P29)=0,"",INDEX($D$1:$P$1,MATCH(MIN(D29:P29),D29:P29,0)))</f>
        <v/>
      </c>
      <c r="V29" s="8" t="n">
        <v>1773.79</v>
      </c>
      <c r="W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>
        <v>16419.49</v>
      </c>
      <c r="N30" s="8" t="n"/>
      <c r="O30" s="8" t="n"/>
      <c r="P30" s="8" t="n"/>
      <c r="Q30" s="8">
        <f>IF(COUNT(D30:P30)=0,"",MIN(D30:P30))</f>
        <v/>
      </c>
      <c r="R30" s="8">
        <f>IF(COUNT(D30:P30)=0,"",MEDIAN(D30:P30))</f>
        <v/>
      </c>
      <c r="S30" s="8">
        <f>IF(COUNT(D30:P30)=0,"",MAX(D30:P30))</f>
        <v/>
      </c>
      <c r="T30" s="9">
        <f>IF(OR(Q30="",Q30=0),"",(S30-Q30)/Q30)</f>
        <v/>
      </c>
      <c r="U30" s="7">
        <f>IF(COUNT(D30:P30)=0,"",INDEX($D$1:$P$1,MATCH(MIN(D30:P30),D30:P30,0)))</f>
        <v/>
      </c>
      <c r="V30" s="8" t="n">
        <v>18252.92</v>
      </c>
      <c r="W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>
        <v>17688</v>
      </c>
      <c r="N31" s="8" t="n"/>
      <c r="O31" s="8" t="n"/>
      <c r="P31" s="8" t="n"/>
      <c r="Q31" s="8">
        <f>IF(COUNT(D31:P31)=0,"",MIN(D31:P31))</f>
        <v/>
      </c>
      <c r="R31" s="8">
        <f>IF(COUNT(D31:P31)=0,"",MEDIAN(D31:P31))</f>
        <v/>
      </c>
      <c r="S31" s="8">
        <f>IF(COUNT(D31:P31)=0,"",MAX(D31:P31))</f>
        <v/>
      </c>
      <c r="T31" s="9">
        <f>IF(OR(Q31="",Q31=0),"",(S31-Q31)/Q31)</f>
        <v/>
      </c>
      <c r="U31" s="7">
        <f>IF(COUNT(D31:P31)=0,"",INDEX($D$1:$P$1,MATCH(MIN(D31:P31),D31:P31,0)))</f>
        <v/>
      </c>
      <c r="V31" s="8" t="n">
        <v>20871.84</v>
      </c>
      <c r="W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>
        <f>IF(COUNT(D32:P32)=0,"",MIN(D32:P32))</f>
        <v/>
      </c>
      <c r="R32" s="8">
        <f>IF(COUNT(D32:P32)=0,"",MEDIAN(D32:P32))</f>
        <v/>
      </c>
      <c r="S32" s="8">
        <f>IF(COUNT(D32:P32)=0,"",MAX(D32:P32))</f>
        <v/>
      </c>
      <c r="T32" s="9">
        <f>IF(OR(Q32="",Q32=0),"",(S32-Q32)/Q32)</f>
        <v/>
      </c>
      <c r="U32" s="7">
        <f>IF(COUNT(D32:P32)=0,"",INDEX($D$1:$P$1,MATCH(MIN(D32:P32),D32:P32,0)))</f>
        <v/>
      </c>
      <c r="V32" s="8" t="n">
        <v>20629.26</v>
      </c>
      <c r="W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>
        <f>IF(COUNT(D33:P33)=0,"",MIN(D33:P33))</f>
        <v/>
      </c>
      <c r="R33" s="8">
        <f>IF(COUNT(D33:P33)=0,"",MEDIAN(D33:P33))</f>
        <v/>
      </c>
      <c r="S33" s="8">
        <f>IF(COUNT(D33:P33)=0,"",MAX(D33:P33))</f>
        <v/>
      </c>
      <c r="T33" s="9">
        <f>IF(OR(Q33="",Q33=0),"",(S33-Q33)/Q33)</f>
        <v/>
      </c>
      <c r="U33" s="7">
        <f>IF(COUNT(D33:P33)=0,"",INDEX($D$1:$P$1,MATCH(MIN(D33:P33),D33:P33,0)))</f>
        <v/>
      </c>
      <c r="V33" s="8" t="n">
        <v>62.48</v>
      </c>
      <c r="W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>
        <f>IF(COUNT(D34:P34)=0,"",MIN(D34:P34))</f>
        <v/>
      </c>
      <c r="R34" s="8">
        <f>IF(COUNT(D34:P34)=0,"",MEDIAN(D34:P34))</f>
        <v/>
      </c>
      <c r="S34" s="8">
        <f>IF(COUNT(D34:P34)=0,"",MAX(D34:P34))</f>
        <v/>
      </c>
      <c r="T34" s="9">
        <f>IF(OR(Q34="",Q34=0),"",(S34-Q34)/Q34)</f>
        <v/>
      </c>
      <c r="U34" s="7">
        <f>IF(COUNT(D34:P34)=0,"",INDEX($D$1:$P$1,MATCH(MIN(D34:P34),D34:P34,0)))</f>
        <v/>
      </c>
      <c r="V34" s="8" t="n">
        <v>61.12</v>
      </c>
      <c r="W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>
        <f>IF(COUNT(D35:P35)=0,"",MIN(D35:P35))</f>
        <v/>
      </c>
      <c r="R35" s="8">
        <f>IF(COUNT(D35:P35)=0,"",MEDIAN(D35:P35))</f>
        <v/>
      </c>
      <c r="S35" s="8">
        <f>IF(COUNT(D35:P35)=0,"",MAX(D35:P35))</f>
        <v/>
      </c>
      <c r="T35" s="9">
        <f>IF(OR(Q35="",Q35=0),"",(S35-Q35)/Q35)</f>
        <v/>
      </c>
      <c r="U35" s="7">
        <f>IF(COUNT(D35:P35)=0,"",INDEX($D$1:$P$1,MATCH(MIN(D35:P35),D35:P35,0)))</f>
        <v/>
      </c>
      <c r="V35" s="8" t="n">
        <v>861</v>
      </c>
      <c r="W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>
        <f>IF(COUNT(D36:P36)=0,"",MIN(D36:P36))</f>
        <v/>
      </c>
      <c r="R36" s="8">
        <f>IF(COUNT(D36:P36)=0,"",MEDIAN(D36:P36))</f>
        <v/>
      </c>
      <c r="S36" s="8">
        <f>IF(COUNT(D36:P36)=0,"",MAX(D36:P36))</f>
        <v/>
      </c>
      <c r="T36" s="9">
        <f>IF(OR(Q36="",Q36=0),"",(S36-Q36)/Q36)</f>
        <v/>
      </c>
      <c r="U36" s="7">
        <f>IF(COUNT(D36:P36)=0,"",INDEX($D$1:$P$1,MATCH(MIN(D36:P36),D36:P36,0)))</f>
        <v/>
      </c>
      <c r="V36" s="8" t="n">
        <v>860</v>
      </c>
      <c r="W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>
        <f>IF(COUNT(D37:P37)=0,"",MIN(D37:P37))</f>
        <v/>
      </c>
      <c r="R37" s="8">
        <f>IF(COUNT(D37:P37)=0,"",MEDIAN(D37:P37))</f>
        <v/>
      </c>
      <c r="S37" s="8">
        <f>IF(COUNT(D37:P37)=0,"",MAX(D37:P37))</f>
        <v/>
      </c>
      <c r="T37" s="9">
        <f>IF(OR(Q37="",Q37=0),"",(S37-Q37)/Q37)</f>
        <v/>
      </c>
      <c r="U37" s="7">
        <f>IF(COUNT(D37:P37)=0,"",INDEX($D$1:$P$1,MATCH(MIN(D37:P37),D37:P37,0)))</f>
        <v/>
      </c>
      <c r="V37" s="8" t="n">
        <v>1472.5</v>
      </c>
      <c r="W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>
        <f>IF(COUNT(D38:P38)=0,"",MIN(D38:P38))</f>
        <v/>
      </c>
      <c r="R38" s="8">
        <f>IF(COUNT(D38:P38)=0,"",MEDIAN(D38:P38))</f>
        <v/>
      </c>
      <c r="S38" s="8">
        <f>IF(COUNT(D38:P38)=0,"",MAX(D38:P38))</f>
        <v/>
      </c>
      <c r="T38" s="9">
        <f>IF(OR(Q38="",Q38=0),"",(S38-Q38)/Q38)</f>
        <v/>
      </c>
      <c r="U38" s="7">
        <f>IF(COUNT(D38:P38)=0,"",INDEX($D$1:$P$1,MATCH(MIN(D38:P38),D38:P38,0)))</f>
        <v/>
      </c>
      <c r="V38" s="8" t="n">
        <v>1992.5</v>
      </c>
      <c r="W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>
        <f>IF(COUNT(D39:P39)=0,"",MIN(D39:P39))</f>
        <v/>
      </c>
      <c r="R39" s="8">
        <f>IF(COUNT(D39:P39)=0,"",MEDIAN(D39:P39))</f>
        <v/>
      </c>
      <c r="S39" s="8">
        <f>IF(COUNT(D39:P39)=0,"",MAX(D39:P39))</f>
        <v/>
      </c>
      <c r="T39" s="9">
        <f>IF(OR(Q39="",Q39=0),"",(S39-Q39)/Q39)</f>
        <v/>
      </c>
      <c r="U39" s="7">
        <f>IF(COUNT(D39:P39)=0,"",INDEX($D$1:$P$1,MATCH(MIN(D39:P39),D39:P39,0)))</f>
        <v/>
      </c>
      <c r="V39" s="8" t="n">
        <v>764.63</v>
      </c>
      <c r="W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>
        <f>IF(COUNT(D40:P40)=0,"",MIN(D40:P40))</f>
        <v/>
      </c>
      <c r="R40" s="8">
        <f>IF(COUNT(D40:P40)=0,"",MEDIAN(D40:P40))</f>
        <v/>
      </c>
      <c r="S40" s="8">
        <f>IF(COUNT(D40:P40)=0,"",MAX(D40:P40))</f>
        <v/>
      </c>
      <c r="T40" s="9">
        <f>IF(OR(Q40="",Q40=0),"",(S40-Q40)/Q40)</f>
        <v/>
      </c>
      <c r="U40" s="7">
        <f>IF(COUNT(D40:P40)=0,"",INDEX($D$1:$P$1,MATCH(MIN(D40:P40),D40:P40,0)))</f>
        <v/>
      </c>
      <c r="V40" s="8" t="n">
        <v>1266.7</v>
      </c>
      <c r="W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>
        <f>IF(COUNT(D41:P41)=0,"",MIN(D41:P41))</f>
        <v/>
      </c>
      <c r="R41" s="8">
        <f>IF(COUNT(D41:P41)=0,"",MEDIAN(D41:P41))</f>
        <v/>
      </c>
      <c r="S41" s="8">
        <f>IF(COUNT(D41:P41)=0,"",MAX(D41:P41))</f>
        <v/>
      </c>
      <c r="T41" s="9">
        <f>IF(OR(Q41="",Q41=0),"",(S41-Q41)/Q41)</f>
        <v/>
      </c>
      <c r="U41" s="7">
        <f>IF(COUNT(D41:P41)=0,"",INDEX($D$1:$P$1,MATCH(MIN(D41:P41),D41:P41,0)))</f>
        <v/>
      </c>
      <c r="V41" s="8" t="n">
        <v>1101.34</v>
      </c>
      <c r="W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>
        <f>IF(COUNT(D42:P42)=0,"",MIN(D42:P42))</f>
        <v/>
      </c>
      <c r="R42" s="8">
        <f>IF(COUNT(D42:P42)=0,"",MEDIAN(D42:P42))</f>
        <v/>
      </c>
      <c r="S42" s="8">
        <f>IF(COUNT(D42:P42)=0,"",MAX(D42:P42))</f>
        <v/>
      </c>
      <c r="T42" s="9">
        <f>IF(OR(Q42="",Q42=0),"",(S42-Q42)/Q42)</f>
        <v/>
      </c>
      <c r="U42" s="7">
        <f>IF(COUNT(D42:P42)=0,"",INDEX($D$1:$P$1,MATCH(MIN(D42:P42),D42:P42,0)))</f>
        <v/>
      </c>
      <c r="V42" s="8" t="n">
        <v>1494.58</v>
      </c>
      <c r="W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>
        <f>IF(COUNT(D43:P43)=0,"",MIN(D43:P43))</f>
        <v/>
      </c>
      <c r="R43" s="8">
        <f>IF(COUNT(D43:P43)=0,"",MEDIAN(D43:P43))</f>
        <v/>
      </c>
      <c r="S43" s="8">
        <f>IF(COUNT(D43:P43)=0,"",MAX(D43:P43))</f>
        <v/>
      </c>
      <c r="T43" s="9">
        <f>IF(OR(Q43="",Q43=0),"",(S43-Q43)/Q43)</f>
        <v/>
      </c>
      <c r="U43" s="7">
        <f>IF(COUNT(D43:P43)=0,"",INDEX($D$1:$P$1,MATCH(MIN(D43:P43),D43:P43,0)))</f>
        <v/>
      </c>
      <c r="V43" s="8" t="n">
        <v>503.78</v>
      </c>
      <c r="W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>
        <f>IF(COUNT(D44:P44)=0,"",MIN(D44:P44))</f>
        <v/>
      </c>
      <c r="R44" s="8">
        <f>IF(COUNT(D44:P44)=0,"",MEDIAN(D44:P44))</f>
        <v/>
      </c>
      <c r="S44" s="8">
        <f>IF(COUNT(D44:P44)=0,"",MAX(D44:P44))</f>
        <v/>
      </c>
      <c r="T44" s="9">
        <f>IF(OR(Q44="",Q44=0),"",(S44-Q44)/Q44)</f>
        <v/>
      </c>
      <c r="U44" s="7">
        <f>IF(COUNT(D44:P44)=0,"",INDEX($D$1:$P$1,MATCH(MIN(D44:P44),D44:P44,0)))</f>
        <v/>
      </c>
      <c r="V44" s="8" t="n">
        <v>2900</v>
      </c>
      <c r="W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>
        <f>IF(COUNT(D45:P45)=0,"",MIN(D45:P45))</f>
        <v/>
      </c>
      <c r="R45" s="8">
        <f>IF(COUNT(D45:P45)=0,"",MEDIAN(D45:P45))</f>
        <v/>
      </c>
      <c r="S45" s="8">
        <f>IF(COUNT(D45:P45)=0,"",MAX(D45:P45))</f>
        <v/>
      </c>
      <c r="T45" s="9">
        <f>IF(OR(Q45="",Q45=0),"",(S45-Q45)/Q45)</f>
        <v/>
      </c>
      <c r="U45" s="7">
        <f>IF(COUNT(D45:P45)=0,"",INDEX($D$1:$P$1,MATCH(MIN(D45:P45),D45:P45,0)))</f>
        <v/>
      </c>
      <c r="V45" s="8" t="n">
        <v>245.01</v>
      </c>
      <c r="W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>
        <f>IF(COUNT(D46:P46)=0,"",MIN(D46:P46))</f>
        <v/>
      </c>
      <c r="R46" s="8">
        <f>IF(COUNT(D46:P46)=0,"",MEDIAN(D46:P46))</f>
        <v/>
      </c>
      <c r="S46" s="8">
        <f>IF(COUNT(D46:P46)=0,"",MAX(D46:P46))</f>
        <v/>
      </c>
      <c r="T46" s="9">
        <f>IF(OR(Q46="",Q46=0),"",(S46-Q46)/Q46)</f>
        <v/>
      </c>
      <c r="U46" s="7">
        <f>IF(COUNT(D46:P46)=0,"",INDEX($D$1:$P$1,MATCH(MIN(D46:P46),D46:P46,0)))</f>
        <v/>
      </c>
      <c r="V46" s="8" t="n">
        <v>165</v>
      </c>
      <c r="W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>
        <f>IF(COUNT(D47:P47)=0,"",MIN(D47:P47))</f>
        <v/>
      </c>
      <c r="R47" s="8">
        <f>IF(COUNT(D47:P47)=0,"",MEDIAN(D47:P47))</f>
        <v/>
      </c>
      <c r="S47" s="8">
        <f>IF(COUNT(D47:P47)=0,"",MAX(D47:P47))</f>
        <v/>
      </c>
      <c r="T47" s="9">
        <f>IF(OR(Q47="",Q47=0),"",(S47-Q47)/Q47)</f>
        <v/>
      </c>
      <c r="U47" s="7">
        <f>IF(COUNT(D47:P47)=0,"",INDEX($D$1:$P$1,MATCH(MIN(D47:P47),D47:P47,0)))</f>
        <v/>
      </c>
      <c r="V47" s="8" t="n">
        <v>6107.2</v>
      </c>
      <c r="W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>
        <v>1368</v>
      </c>
      <c r="N48" s="8" t="n"/>
      <c r="O48" s="8" t="n"/>
      <c r="P48" s="8" t="n"/>
      <c r="Q48" s="8">
        <f>IF(COUNT(D48:P48)=0,"",MIN(D48:P48))</f>
        <v/>
      </c>
      <c r="R48" s="8">
        <f>IF(COUNT(D48:P48)=0,"",MEDIAN(D48:P48))</f>
        <v/>
      </c>
      <c r="S48" s="8">
        <f>IF(COUNT(D48:P48)=0,"",MAX(D48:P48))</f>
        <v/>
      </c>
      <c r="T48" s="9">
        <f>IF(OR(Q48="",Q48=0),"",(S48-Q48)/Q48)</f>
        <v/>
      </c>
      <c r="U48" s="7">
        <f>IF(COUNT(D48:P48)=0,"",INDEX($D$1:$P$1,MATCH(MIN(D48:P48),D48:P48,0)))</f>
        <v/>
      </c>
      <c r="V48" s="8" t="n">
        <v>1614.24</v>
      </c>
      <c r="W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>
        <v>2170</v>
      </c>
      <c r="N49" s="8" t="n"/>
      <c r="O49" s="8" t="n"/>
      <c r="P49" s="8" t="n"/>
      <c r="Q49" s="8">
        <f>IF(COUNT(D49:P49)=0,"",MIN(D49:P49))</f>
        <v/>
      </c>
      <c r="R49" s="8">
        <f>IF(COUNT(D49:P49)=0,"",MEDIAN(D49:P49))</f>
        <v/>
      </c>
      <c r="S49" s="8">
        <f>IF(COUNT(D49:P49)=0,"",MAX(D49:P49))</f>
        <v/>
      </c>
      <c r="T49" s="9">
        <f>IF(OR(Q49="",Q49=0),"",(S49-Q49)/Q49)</f>
        <v/>
      </c>
      <c r="U49" s="7">
        <f>IF(COUNT(D49:P49)=0,"",INDEX($D$1:$P$1,MATCH(MIN(D49:P49),D49:P49,0)))</f>
        <v/>
      </c>
      <c r="V49" s="8" t="n">
        <v>2560.6</v>
      </c>
      <c r="W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>
        <v>3468</v>
      </c>
      <c r="N50" s="8" t="n"/>
      <c r="O50" s="8" t="n"/>
      <c r="P50" s="8" t="n"/>
      <c r="Q50" s="8">
        <f>IF(COUNT(D50:P50)=0,"",MIN(D50:P50))</f>
        <v/>
      </c>
      <c r="R50" s="8">
        <f>IF(COUNT(D50:P50)=0,"",MEDIAN(D50:P50))</f>
        <v/>
      </c>
      <c r="S50" s="8">
        <f>IF(COUNT(D50:P50)=0,"",MAX(D50:P50))</f>
        <v/>
      </c>
      <c r="T50" s="9">
        <f>IF(OR(Q50="",Q50=0),"",(S50-Q50)/Q50)</f>
        <v/>
      </c>
      <c r="U50" s="7">
        <f>IF(COUNT(D50:P50)=0,"",INDEX($D$1:$P$1,MATCH(MIN(D50:P50),D50:P50,0)))</f>
        <v/>
      </c>
      <c r="V50" s="8" t="n">
        <v>4092.24</v>
      </c>
      <c r="W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>
        <f>IF(COUNT(D51:P51)=0,"",MIN(D51:P51))</f>
        <v/>
      </c>
      <c r="R51" s="8">
        <f>IF(COUNT(D51:P51)=0,"",MEDIAN(D51:P51))</f>
        <v/>
      </c>
      <c r="S51" s="8">
        <f>IF(COUNT(D51:P51)=0,"",MAX(D51:P51))</f>
        <v/>
      </c>
      <c r="T51" s="9">
        <f>IF(OR(Q51="",Q51=0),"",(S51-Q51)/Q51)</f>
        <v/>
      </c>
      <c r="U51" s="7">
        <f>IF(COUNT(D51:P51)=0,"",INDEX($D$1:$P$1,MATCH(MIN(D51:P51),D51:P51,0)))</f>
        <v/>
      </c>
      <c r="V51" s="8" t="n">
        <v>194.99</v>
      </c>
      <c r="W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>
        <f>IF(COUNT(D52:P52)=0,"",MIN(D52:P52))</f>
        <v/>
      </c>
      <c r="R52" s="8">
        <f>IF(COUNT(D52:P52)=0,"",MEDIAN(D52:P52))</f>
        <v/>
      </c>
      <c r="S52" s="8">
        <f>IF(COUNT(D52:P52)=0,"",MAX(D52:P52))</f>
        <v/>
      </c>
      <c r="T52" s="9">
        <f>IF(OR(Q52="",Q52=0),"",(S52-Q52)/Q52)</f>
        <v/>
      </c>
      <c r="U52" s="7">
        <f>IF(COUNT(D52:P52)=0,"",INDEX($D$1:$P$1,MATCH(MIN(D52:P52),D52:P52,0)))</f>
        <v/>
      </c>
      <c r="V52" s="8" t="n">
        <v>194.99</v>
      </c>
      <c r="W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>
        <f>IF(COUNT(D53:P53)=0,"",MIN(D53:P53))</f>
        <v/>
      </c>
      <c r="R53" s="8">
        <f>IF(COUNT(D53:P53)=0,"",MEDIAN(D53:P53))</f>
        <v/>
      </c>
      <c r="S53" s="8">
        <f>IF(COUNT(D53:P53)=0,"",MAX(D53:P53))</f>
        <v/>
      </c>
      <c r="T53" s="9">
        <f>IF(OR(Q53="",Q53=0),"",(S53-Q53)/Q53)</f>
        <v/>
      </c>
      <c r="U53" s="7">
        <f>IF(COUNT(D53:P53)=0,"",INDEX($D$1:$P$1,MATCH(MIN(D53:P53),D53:P53,0)))</f>
        <v/>
      </c>
      <c r="V53" s="8" t="n">
        <v>472.72</v>
      </c>
      <c r="W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>
        <f>IF(COUNT(D54:P54)=0,"",MIN(D54:P54))</f>
        <v/>
      </c>
      <c r="R54" s="8">
        <f>IF(COUNT(D54:P54)=0,"",MEDIAN(D54:P54))</f>
        <v/>
      </c>
      <c r="S54" s="8">
        <f>IF(COUNT(D54:P54)=0,"",MAX(D54:P54))</f>
        <v/>
      </c>
      <c r="T54" s="9">
        <f>IF(OR(Q54="",Q54=0),"",(S54-Q54)/Q54)</f>
        <v/>
      </c>
      <c r="U54" s="7">
        <f>IF(COUNT(D54:P54)=0,"",INDEX($D$1:$P$1,MATCH(MIN(D54:P54),D54:P54,0)))</f>
        <v/>
      </c>
      <c r="V54" s="8" t="n">
        <v>925.59</v>
      </c>
      <c r="W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>
        <f>IF(COUNT(D55:P55)=0,"",MIN(D55:P55))</f>
        <v/>
      </c>
      <c r="R55" s="8">
        <f>IF(COUNT(D55:P55)=0,"",MEDIAN(D55:P55))</f>
        <v/>
      </c>
      <c r="S55" s="8">
        <f>IF(COUNT(D55:P55)=0,"",MAX(D55:P55))</f>
        <v/>
      </c>
      <c r="T55" s="9">
        <f>IF(OR(Q55="",Q55=0),"",(S55-Q55)/Q55)</f>
        <v/>
      </c>
      <c r="U55" s="7">
        <f>IF(COUNT(D55:P55)=0,"",INDEX($D$1:$P$1,MATCH(MIN(D55:P55),D55:P55,0)))</f>
        <v/>
      </c>
      <c r="V55" s="8" t="n">
        <v>595</v>
      </c>
      <c r="W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>
        <v>85.88</v>
      </c>
      <c r="O56" s="8" t="n"/>
      <c r="P56" s="8" t="n"/>
      <c r="Q56" s="8">
        <f>IF(COUNT(D56:P56)=0,"",MIN(D56:P56))</f>
        <v/>
      </c>
      <c r="R56" s="8">
        <f>IF(COUNT(D56:P56)=0,"",MEDIAN(D56:P56))</f>
        <v/>
      </c>
      <c r="S56" s="8">
        <f>IF(COUNT(D56:P56)=0,"",MAX(D56:P56))</f>
        <v/>
      </c>
      <c r="T56" s="9">
        <f>IF(OR(Q56="",Q56=0),"",(S56-Q56)/Q56)</f>
        <v/>
      </c>
      <c r="U56" s="7">
        <f>IF(COUNT(D56:P56)=0,"",INDEX($D$1:$P$1,MATCH(MIN(D56:P56),D56:P56,0)))</f>
        <v/>
      </c>
      <c r="V56" s="8" t="n">
        <v>85.88</v>
      </c>
      <c r="W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>
        <v>75.15000000000001</v>
      </c>
      <c r="O57" s="8" t="n"/>
      <c r="P57" s="8" t="n"/>
      <c r="Q57" s="8">
        <f>IF(COUNT(D57:P57)=0,"",MIN(D57:P57))</f>
        <v/>
      </c>
      <c r="R57" s="8">
        <f>IF(COUNT(D57:P57)=0,"",MEDIAN(D57:P57))</f>
        <v/>
      </c>
      <c r="S57" s="8">
        <f>IF(COUNT(D57:P57)=0,"",MAX(D57:P57))</f>
        <v/>
      </c>
      <c r="T57" s="9">
        <f>IF(OR(Q57="",Q57=0),"",(S57-Q57)/Q57)</f>
        <v/>
      </c>
      <c r="U57" s="7">
        <f>IF(COUNT(D57:P57)=0,"",INDEX($D$1:$P$1,MATCH(MIN(D57:P57),D57:P57,0)))</f>
        <v/>
      </c>
      <c r="V57" s="8" t="n">
        <v>75.15000000000001</v>
      </c>
      <c r="W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>
        <f>IF(COUNT(D58:P58)=0,"",MIN(D58:P58))</f>
        <v/>
      </c>
      <c r="R58" s="8">
        <f>IF(COUNT(D58:P58)=0,"",MEDIAN(D58:P58))</f>
        <v/>
      </c>
      <c r="S58" s="8">
        <f>IF(COUNT(D58:P58)=0,"",MAX(D58:P58))</f>
        <v/>
      </c>
      <c r="T58" s="9">
        <f>IF(OR(Q58="",Q58=0),"",(S58-Q58)/Q58)</f>
        <v/>
      </c>
      <c r="U58" s="7">
        <f>IF(COUNT(D58:P58)=0,"",INDEX($D$1:$P$1,MATCH(MIN(D58:P58),D58:P58,0)))</f>
        <v/>
      </c>
      <c r="V58" s="8" t="n">
        <v>45</v>
      </c>
      <c r="W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>
        <v>101.99</v>
      </c>
      <c r="O59" s="8" t="n"/>
      <c r="P59" s="8" t="n"/>
      <c r="Q59" s="8">
        <f>IF(COUNT(D59:P59)=0,"",MIN(D59:P59))</f>
        <v/>
      </c>
      <c r="R59" s="8">
        <f>IF(COUNT(D59:P59)=0,"",MEDIAN(D59:P59))</f>
        <v/>
      </c>
      <c r="S59" s="8">
        <f>IF(COUNT(D59:P59)=0,"",MAX(D59:P59))</f>
        <v/>
      </c>
      <c r="T59" s="9">
        <f>IF(OR(Q59="",Q59=0),"",(S59-Q59)/Q59)</f>
        <v/>
      </c>
      <c r="U59" s="7">
        <f>IF(COUNT(D59:P59)=0,"",INDEX($D$1:$P$1,MATCH(MIN(D59:P59),D59:P59,0)))</f>
        <v/>
      </c>
      <c r="V59" s="8" t="n">
        <v>101.99</v>
      </c>
      <c r="W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>
        <v>123.46</v>
      </c>
      <c r="O60" s="8" t="n"/>
      <c r="P60" s="8" t="n"/>
      <c r="Q60" s="8">
        <f>IF(COUNT(D60:P60)=0,"",MIN(D60:P60))</f>
        <v/>
      </c>
      <c r="R60" s="8">
        <f>IF(COUNT(D60:P60)=0,"",MEDIAN(D60:P60))</f>
        <v/>
      </c>
      <c r="S60" s="8">
        <f>IF(COUNT(D60:P60)=0,"",MAX(D60:P60))</f>
        <v/>
      </c>
      <c r="T60" s="9">
        <f>IF(OR(Q60="",Q60=0),"",(S60-Q60)/Q60)</f>
        <v/>
      </c>
      <c r="U60" s="7">
        <f>IF(COUNT(D60:P60)=0,"",INDEX($D$1:$P$1,MATCH(MIN(D60:P60),D60:P60,0)))</f>
        <v/>
      </c>
      <c r="V60" s="8" t="n">
        <v>123.46</v>
      </c>
      <c r="W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>
        <v>150.31</v>
      </c>
      <c r="O61" s="8" t="n"/>
      <c r="P61" s="8" t="n"/>
      <c r="Q61" s="8">
        <f>IF(COUNT(D61:P61)=0,"",MIN(D61:P61))</f>
        <v/>
      </c>
      <c r="R61" s="8">
        <f>IF(COUNT(D61:P61)=0,"",MEDIAN(D61:P61))</f>
        <v/>
      </c>
      <c r="S61" s="8">
        <f>IF(COUNT(D61:P61)=0,"",MAX(D61:P61))</f>
        <v/>
      </c>
      <c r="T61" s="9">
        <f>IF(OR(Q61="",Q61=0),"",(S61-Q61)/Q61)</f>
        <v/>
      </c>
      <c r="U61" s="7">
        <f>IF(COUNT(D61:P61)=0,"",INDEX($D$1:$P$1,MATCH(MIN(D61:P61),D61:P61,0)))</f>
        <v/>
      </c>
      <c r="V61" s="8" t="n">
        <v>150.31</v>
      </c>
      <c r="W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>
        <v>203.99</v>
      </c>
      <c r="O62" s="8" t="n"/>
      <c r="P62" s="8" t="n"/>
      <c r="Q62" s="8">
        <f>IF(COUNT(D62:P62)=0,"",MIN(D62:P62))</f>
        <v/>
      </c>
      <c r="R62" s="8">
        <f>IF(COUNT(D62:P62)=0,"",MEDIAN(D62:P62))</f>
        <v/>
      </c>
      <c r="S62" s="8">
        <f>IF(COUNT(D62:P62)=0,"",MAX(D62:P62))</f>
        <v/>
      </c>
      <c r="T62" s="9">
        <f>IF(OR(Q62="",Q62=0),"",(S62-Q62)/Q62)</f>
        <v/>
      </c>
      <c r="U62" s="7">
        <f>IF(COUNT(D62:P62)=0,"",INDEX($D$1:$P$1,MATCH(MIN(D62:P62),D62:P62,0)))</f>
        <v/>
      </c>
      <c r="V62" s="8" t="n">
        <v>203.99</v>
      </c>
      <c r="W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>
        <f>IF(COUNT(D63:P63)=0,"",MIN(D63:P63))</f>
        <v/>
      </c>
      <c r="R63" s="8">
        <f>IF(COUNT(D63:P63)=0,"",MEDIAN(D63:P63))</f>
        <v/>
      </c>
      <c r="S63" s="8">
        <f>IF(COUNT(D63:P63)=0,"",MAX(D63:P63))</f>
        <v/>
      </c>
      <c r="T63" s="9">
        <f>IF(OR(Q63="",Q63=0),"",(S63-Q63)/Q63)</f>
        <v/>
      </c>
      <c r="U63" s="7">
        <f>IF(COUNT(D63:P63)=0,"",INDEX($D$1:$P$1,MATCH(MIN(D63:P63),D63:P63,0)))</f>
        <v/>
      </c>
      <c r="V63" s="8" t="n">
        <v>305</v>
      </c>
      <c r="W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>
        <f>IF(COUNT(D64:P64)=0,"",MIN(D64:P64))</f>
        <v/>
      </c>
      <c r="R64" s="8">
        <f>IF(COUNT(D64:P64)=0,"",MEDIAN(D64:P64))</f>
        <v/>
      </c>
      <c r="S64" s="8">
        <f>IF(COUNT(D64:P64)=0,"",MAX(D64:P64))</f>
        <v/>
      </c>
      <c r="T64" s="9">
        <f>IF(OR(Q64="",Q64=0),"",(S64-Q64)/Q64)</f>
        <v/>
      </c>
      <c r="U64" s="7">
        <f>IF(COUNT(D64:P64)=0,"",INDEX($D$1:$P$1,MATCH(MIN(D64:P64),D64:P64,0)))</f>
        <v/>
      </c>
      <c r="V64" s="8" t="n">
        <v>335</v>
      </c>
      <c r="W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>
        <f>IF(COUNT(D65:P65)=0,"",MIN(D65:P65))</f>
        <v/>
      </c>
      <c r="R65" s="8">
        <f>IF(COUNT(D65:P65)=0,"",MEDIAN(D65:P65))</f>
        <v/>
      </c>
      <c r="S65" s="8">
        <f>IF(COUNT(D65:P65)=0,"",MAX(D65:P65))</f>
        <v/>
      </c>
      <c r="T65" s="9">
        <f>IF(OR(Q65="",Q65=0),"",(S65-Q65)/Q65)</f>
        <v/>
      </c>
      <c r="U65" s="7">
        <f>IF(COUNT(D65:P65)=0,"",INDEX($D$1:$P$1,MATCH(MIN(D65:P65),D65:P65,0)))</f>
        <v/>
      </c>
      <c r="V65" s="8" t="n">
        <v>237.5</v>
      </c>
      <c r="W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>
        <f>IF(COUNT(D66:P66)=0,"",MIN(D66:P66))</f>
        <v/>
      </c>
      <c r="R66" s="8">
        <f>IF(COUNT(D66:P66)=0,"",MEDIAN(D66:P66))</f>
        <v/>
      </c>
      <c r="S66" s="8">
        <f>IF(COUNT(D66:P66)=0,"",MAX(D66:P66))</f>
        <v/>
      </c>
      <c r="T66" s="9">
        <f>IF(OR(Q66="",Q66=0),"",(S66-Q66)/Q66)</f>
        <v/>
      </c>
      <c r="U66" s="7">
        <f>IF(COUNT(D66:P66)=0,"",INDEX($D$1:$P$1,MATCH(MIN(D66:P66),D66:P66,0)))</f>
        <v/>
      </c>
      <c r="V66" s="8" t="n">
        <v>249</v>
      </c>
      <c r="W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>
        <v>128.83</v>
      </c>
      <c r="O67" s="8" t="n"/>
      <c r="P67" s="8" t="n"/>
      <c r="Q67" s="8">
        <f>IF(COUNT(D67:P67)=0,"",MIN(D67:P67))</f>
        <v/>
      </c>
      <c r="R67" s="8">
        <f>IF(COUNT(D67:P67)=0,"",MEDIAN(D67:P67))</f>
        <v/>
      </c>
      <c r="S67" s="8">
        <f>IF(COUNT(D67:P67)=0,"",MAX(D67:P67))</f>
        <v/>
      </c>
      <c r="T67" s="9">
        <f>IF(OR(Q67="",Q67=0),"",(S67-Q67)/Q67)</f>
        <v/>
      </c>
      <c r="U67" s="7">
        <f>IF(COUNT(D67:P67)=0,"",INDEX($D$1:$P$1,MATCH(MIN(D67:P67),D67:P67,0)))</f>
        <v/>
      </c>
      <c r="V67" s="8" t="n">
        <v>128.83</v>
      </c>
      <c r="W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>
        <f>IF(COUNT(D68:P68)=0,"",MIN(D68:P68))</f>
        <v/>
      </c>
      <c r="R68" s="8">
        <f>IF(COUNT(D68:P68)=0,"",MEDIAN(D68:P68))</f>
        <v/>
      </c>
      <c r="S68" s="8">
        <f>IF(COUNT(D68:P68)=0,"",MAX(D68:P68))</f>
        <v/>
      </c>
      <c r="T68" s="9">
        <f>IF(OR(Q68="",Q68=0),"",(S68-Q68)/Q68)</f>
        <v/>
      </c>
      <c r="U68" s="7">
        <f>IF(COUNT(D68:P68)=0,"",INDEX($D$1:$P$1,MATCH(MIN(D68:P68),D68:P68,0)))</f>
        <v/>
      </c>
      <c r="V68" s="8" t="n">
        <v>380</v>
      </c>
      <c r="W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>
        <f>IF(COUNT(D69:P69)=0,"",MIN(D69:P69))</f>
        <v/>
      </c>
      <c r="R69" s="8">
        <f>IF(COUNT(D69:P69)=0,"",MEDIAN(D69:P69))</f>
        <v/>
      </c>
      <c r="S69" s="8">
        <f>IF(COUNT(D69:P69)=0,"",MAX(D69:P69))</f>
        <v/>
      </c>
      <c r="T69" s="9">
        <f>IF(OR(Q69="",Q69=0),"",(S69-Q69)/Q69)</f>
        <v/>
      </c>
      <c r="U69" s="7">
        <f>IF(COUNT(D69:P69)=0,"",INDEX($D$1:$P$1,MATCH(MIN(D69:P69),D69:P69,0)))</f>
        <v/>
      </c>
      <c r="V69" s="8" t="n">
        <v>265</v>
      </c>
      <c r="W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>
        <f>IF(COUNT(D70:P70)=0,"",MIN(D70:P70))</f>
        <v/>
      </c>
      <c r="R70" s="8">
        <f>IF(COUNT(D70:P70)=0,"",MEDIAN(D70:P70))</f>
        <v/>
      </c>
      <c r="S70" s="8">
        <f>IF(COUNT(D70:P70)=0,"",MAX(D70:P70))</f>
        <v/>
      </c>
      <c r="T70" s="9">
        <f>IF(OR(Q70="",Q70=0),"",(S70-Q70)/Q70)</f>
        <v/>
      </c>
      <c r="U70" s="7">
        <f>IF(COUNT(D70:P70)=0,"",INDEX($D$1:$P$1,MATCH(MIN(D70:P70),D70:P70,0)))</f>
        <v/>
      </c>
      <c r="V70" s="8" t="n">
        <v>249</v>
      </c>
      <c r="W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>
        <f>IF(COUNT(D71:P71)=0,"",MIN(D71:P71))</f>
        <v/>
      </c>
      <c r="R71" s="8">
        <f>IF(COUNT(D71:P71)=0,"",MEDIAN(D71:P71))</f>
        <v/>
      </c>
      <c r="S71" s="8">
        <f>IF(COUNT(D71:P71)=0,"",MAX(D71:P71))</f>
        <v/>
      </c>
      <c r="T71" s="9">
        <f>IF(OR(Q71="",Q71=0),"",(S71-Q71)/Q71)</f>
        <v/>
      </c>
      <c r="U71" s="7">
        <f>IF(COUNT(D71:P71)=0,"",INDEX($D$1:$P$1,MATCH(MIN(D71:P71),D71:P71,0)))</f>
        <v/>
      </c>
      <c r="V71" s="8" t="n">
        <v>115</v>
      </c>
      <c r="W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>
        <f>IF(COUNT(D72:P72)=0,"",MIN(D72:P72))</f>
        <v/>
      </c>
      <c r="R72" s="8">
        <f>IF(COUNT(D72:P72)=0,"",MEDIAN(D72:P72))</f>
        <v/>
      </c>
      <c r="S72" s="8">
        <f>IF(COUNT(D72:P72)=0,"",MAX(D72:P72))</f>
        <v/>
      </c>
      <c r="T72" s="9">
        <f>IF(OR(Q72="",Q72=0),"",(S72-Q72)/Q72)</f>
        <v/>
      </c>
      <c r="U72" s="7">
        <f>IF(COUNT(D72:P72)=0,"",INDEX($D$1:$P$1,MATCH(MIN(D72:P72),D72:P72,0)))</f>
        <v/>
      </c>
      <c r="V72" s="8" t="n">
        <v>119</v>
      </c>
      <c r="W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>
        <f>IF(COUNT(D73:P73)=0,"",MIN(D73:P73))</f>
        <v/>
      </c>
      <c r="R73" s="8">
        <f>IF(COUNT(D73:P73)=0,"",MEDIAN(D73:P73))</f>
        <v/>
      </c>
      <c r="S73" s="8">
        <f>IF(COUNT(D73:P73)=0,"",MAX(D73:P73))</f>
        <v/>
      </c>
      <c r="T73" s="9">
        <f>IF(OR(Q73="",Q73=0),"",(S73-Q73)/Q73)</f>
        <v/>
      </c>
      <c r="U73" s="7">
        <f>IF(COUNT(D73:P73)=0,"",INDEX($D$1:$P$1,MATCH(MIN(D73:P73),D73:P73,0)))</f>
        <v/>
      </c>
      <c r="V73" s="8" t="n">
        <v>240</v>
      </c>
      <c r="W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>
        <f>IF(COUNT(D74:P74)=0,"",MIN(D74:P74))</f>
        <v/>
      </c>
      <c r="R74" s="8">
        <f>IF(COUNT(D74:P74)=0,"",MEDIAN(D74:P74))</f>
        <v/>
      </c>
      <c r="S74" s="8">
        <f>IF(COUNT(D74:P74)=0,"",MAX(D74:P74))</f>
        <v/>
      </c>
      <c r="T74" s="9">
        <f>IF(OR(Q74="",Q74=0),"",(S74-Q74)/Q74)</f>
        <v/>
      </c>
      <c r="U74" s="7">
        <f>IF(COUNT(D74:P74)=0,"",INDEX($D$1:$P$1,MATCH(MIN(D74:P74),D74:P74,0)))</f>
        <v/>
      </c>
      <c r="V74" s="8" t="n">
        <v>70</v>
      </c>
      <c r="W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>
        <f>IF(COUNT(D75:P75)=0,"",MIN(D75:P75))</f>
        <v/>
      </c>
      <c r="R75" s="8">
        <f>IF(COUNT(D75:P75)=0,"",MEDIAN(D75:P75))</f>
        <v/>
      </c>
      <c r="S75" s="8">
        <f>IF(COUNT(D75:P75)=0,"",MAX(D75:P75))</f>
        <v/>
      </c>
      <c r="T75" s="9">
        <f>IF(OR(Q75="",Q75=0),"",(S75-Q75)/Q75)</f>
        <v/>
      </c>
      <c r="U75" s="7">
        <f>IF(COUNT(D75:P75)=0,"",INDEX($D$1:$P$1,MATCH(MIN(D75:P75),D75:P75,0)))</f>
        <v/>
      </c>
      <c r="V75" s="8" t="n">
        <v>395</v>
      </c>
      <c r="W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>
        <f>IF(COUNT(D76:P76)=0,"",MIN(D76:P76))</f>
        <v/>
      </c>
      <c r="R76" s="8">
        <f>IF(COUNT(D76:P76)=0,"",MEDIAN(D76:P76))</f>
        <v/>
      </c>
      <c r="S76" s="8">
        <f>IF(COUNT(D76:P76)=0,"",MAX(D76:P76))</f>
        <v/>
      </c>
      <c r="T76" s="9">
        <f>IF(OR(Q76="",Q76=0),"",(S76-Q76)/Q76)</f>
        <v/>
      </c>
      <c r="U76" s="7">
        <f>IF(COUNT(D76:P76)=0,"",INDEX($D$1:$P$1,MATCH(MIN(D76:P76),D76:P76,0)))</f>
        <v/>
      </c>
      <c r="V76" s="8" t="n">
        <v>102.5</v>
      </c>
      <c r="W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>
        <v>176.04</v>
      </c>
      <c r="O77" s="8" t="n"/>
      <c r="P77" s="8" t="n"/>
      <c r="Q77" s="8">
        <f>IF(COUNT(D77:P77)=0,"",MIN(D77:P77))</f>
        <v/>
      </c>
      <c r="R77" s="8">
        <f>IF(COUNT(D77:P77)=0,"",MEDIAN(D77:P77))</f>
        <v/>
      </c>
      <c r="S77" s="8">
        <f>IF(COUNT(D77:P77)=0,"",MAX(D77:P77))</f>
        <v/>
      </c>
      <c r="T77" s="9">
        <f>IF(OR(Q77="",Q77=0),"",(S77-Q77)/Q77)</f>
        <v/>
      </c>
      <c r="U77" s="7">
        <f>IF(COUNT(D77:P77)=0,"",INDEX($D$1:$P$1,MATCH(MIN(D77:P77),D77:P77,0)))</f>
        <v/>
      </c>
      <c r="V77" s="8" t="n">
        <v>169</v>
      </c>
      <c r="W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>
        <f>IF(COUNT(D78:P78)=0,"",MIN(D78:P78))</f>
        <v/>
      </c>
      <c r="R78" s="8">
        <f>IF(COUNT(D78:P78)=0,"",MEDIAN(D78:P78))</f>
        <v/>
      </c>
      <c r="S78" s="8">
        <f>IF(COUNT(D78:P78)=0,"",MAX(D78:P78))</f>
        <v/>
      </c>
      <c r="T78" s="9">
        <f>IF(OR(Q78="",Q78=0),"",(S78-Q78)/Q78)</f>
        <v/>
      </c>
      <c r="U78" s="7">
        <f>IF(COUNT(D78:P78)=0,"",INDEX($D$1:$P$1,MATCH(MIN(D78:P78),D78:P78,0)))</f>
        <v/>
      </c>
      <c r="V78" s="8" t="n">
        <v>35818.07</v>
      </c>
      <c r="W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>
        <f>IF(COUNT(D79:P79)=0,"",MIN(D79:P79))</f>
        <v/>
      </c>
      <c r="R79" s="8">
        <f>IF(COUNT(D79:P79)=0,"",MEDIAN(D79:P79))</f>
        <v/>
      </c>
      <c r="S79" s="8">
        <f>IF(COUNT(D79:P79)=0,"",MAX(D79:P79))</f>
        <v/>
      </c>
      <c r="T79" s="9">
        <f>IF(OR(Q79="",Q79=0),"",(S79-Q79)/Q79)</f>
        <v/>
      </c>
      <c r="U79" s="7">
        <f>IF(COUNT(D79:P79)=0,"",INDEX($D$1:$P$1,MATCH(MIN(D79:P79),D79:P79,0)))</f>
        <v/>
      </c>
      <c r="V79" s="8" t="n">
        <v>32070.28</v>
      </c>
      <c r="W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>
        <f>IF(COUNT(D80:P80)=0,"",MIN(D80:P80))</f>
        <v/>
      </c>
      <c r="R80" s="8">
        <f>IF(COUNT(D80:P80)=0,"",MEDIAN(D80:P80))</f>
        <v/>
      </c>
      <c r="S80" s="8">
        <f>IF(COUNT(D80:P80)=0,"",MAX(D80:P80))</f>
        <v/>
      </c>
      <c r="T80" s="9">
        <f>IF(OR(Q80="",Q80=0),"",(S80-Q80)/Q80)</f>
        <v/>
      </c>
      <c r="U80" s="7">
        <f>IF(COUNT(D80:P80)=0,"",INDEX($D$1:$P$1,MATCH(MIN(D80:P80),D80:P80,0)))</f>
        <v/>
      </c>
      <c r="V80" s="8" t="n">
        <v>2857.38</v>
      </c>
      <c r="W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>
        <f>IF(COUNT(D81:P81)=0,"",MIN(D81:P81))</f>
        <v/>
      </c>
      <c r="R81" s="8">
        <f>IF(COUNT(D81:P81)=0,"",MEDIAN(D81:P81))</f>
        <v/>
      </c>
      <c r="S81" s="8">
        <f>IF(COUNT(D81:P81)=0,"",MAX(D81:P81))</f>
        <v/>
      </c>
      <c r="T81" s="9">
        <f>IF(OR(Q81="",Q81=0),"",(S81-Q81)/Q81)</f>
        <v/>
      </c>
      <c r="U81" s="7">
        <f>IF(COUNT(D81:P81)=0,"",INDEX($D$1:$P$1,MATCH(MIN(D81:P81),D81:P81,0)))</f>
        <v/>
      </c>
      <c r="V81" s="8" t="n">
        <v>6482.72</v>
      </c>
      <c r="W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>
        <f>IF(COUNT(D82:P82)=0,"",MIN(D82:P82))</f>
        <v/>
      </c>
      <c r="R82" s="8">
        <f>IF(COUNT(D82:P82)=0,"",MEDIAN(D82:P82))</f>
        <v/>
      </c>
      <c r="S82" s="8">
        <f>IF(COUNT(D82:P82)=0,"",MAX(D82:P82))</f>
        <v/>
      </c>
      <c r="T82" s="9">
        <f>IF(OR(Q82="",Q82=0),"",(S82-Q82)/Q82)</f>
        <v/>
      </c>
      <c r="U82" s="7">
        <f>IF(COUNT(D82:P82)=0,"",INDEX($D$1:$P$1,MATCH(MIN(D82:P82),D82:P82,0)))</f>
        <v/>
      </c>
      <c r="V82" s="8" t="n">
        <v>9559.049999999999</v>
      </c>
      <c r="W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>
        <f>IF(COUNT(D83:P83)=0,"",MIN(D83:P83))</f>
        <v/>
      </c>
      <c r="R83" s="8">
        <f>IF(COUNT(D83:P83)=0,"",MEDIAN(D83:P83))</f>
        <v/>
      </c>
      <c r="S83" s="8">
        <f>IF(COUNT(D83:P83)=0,"",MAX(D83:P83))</f>
        <v/>
      </c>
      <c r="T83" s="9">
        <f>IF(OR(Q83="",Q83=0),"",(S83-Q83)/Q83)</f>
        <v/>
      </c>
      <c r="U83" s="7">
        <f>IF(COUNT(D83:P83)=0,"",INDEX($D$1:$P$1,MATCH(MIN(D83:P83),D83:P83,0)))</f>
        <v/>
      </c>
      <c r="V83" s="8" t="n">
        <v>15050.43</v>
      </c>
      <c r="W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>
        <f>IF(COUNT(D84:P84)=0,"",MIN(D84:P84))</f>
        <v/>
      </c>
      <c r="R84" s="8">
        <f>IF(COUNT(D84:P84)=0,"",MEDIAN(D84:P84))</f>
        <v/>
      </c>
      <c r="S84" s="8">
        <f>IF(COUNT(D84:P84)=0,"",MAX(D84:P84))</f>
        <v/>
      </c>
      <c r="T84" s="9">
        <f>IF(OR(Q84="",Q84=0),"",(S84-Q84)/Q84)</f>
        <v/>
      </c>
      <c r="U84" s="7">
        <f>IF(COUNT(D84:P84)=0,"",INDEX($D$1:$P$1,MATCH(MIN(D84:P84),D84:P84,0)))</f>
        <v/>
      </c>
      <c r="V84" s="8" t="n">
        <v>814.6799999999999</v>
      </c>
      <c r="W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>
        <f>IF(COUNT(D85:P85)=0,"",MIN(D85:P85))</f>
        <v/>
      </c>
      <c r="R85" s="8">
        <f>IF(COUNT(D85:P85)=0,"",MEDIAN(D85:P85))</f>
        <v/>
      </c>
      <c r="S85" s="8">
        <f>IF(COUNT(D85:P85)=0,"",MAX(D85:P85))</f>
        <v/>
      </c>
      <c r="T85" s="9">
        <f>IF(OR(Q85="",Q85=0),"",(S85-Q85)/Q85)</f>
        <v/>
      </c>
      <c r="U85" s="7">
        <f>IF(COUNT(D85:P85)=0,"",INDEX($D$1:$P$1,MATCH(MIN(D85:P85),D85:P85,0)))</f>
        <v/>
      </c>
      <c r="V85" s="8" t="n">
        <v>2931.73</v>
      </c>
      <c r="W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>
        <f>IF(COUNT(D86:P86)=0,"",MIN(D86:P86))</f>
        <v/>
      </c>
      <c r="R86" s="8">
        <f>IF(COUNT(D86:P86)=0,"",MEDIAN(D86:P86))</f>
        <v/>
      </c>
      <c r="S86" s="8">
        <f>IF(COUNT(D86:P86)=0,"",MAX(D86:P86))</f>
        <v/>
      </c>
      <c r="T86" s="9">
        <f>IF(OR(Q86="",Q86=0),"",(S86-Q86)/Q86)</f>
        <v/>
      </c>
      <c r="U86" s="7">
        <f>IF(COUNT(D86:P86)=0,"",INDEX($D$1:$P$1,MATCH(MIN(D86:P86),D86:P86,0)))</f>
        <v/>
      </c>
      <c r="V86" s="8" t="n">
        <v>4694.51</v>
      </c>
      <c r="W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>
        <f>IF(COUNT(D87:P87)=0,"",MIN(D87:P87))</f>
        <v/>
      </c>
      <c r="R87" s="8">
        <f>IF(COUNT(D87:P87)=0,"",MEDIAN(D87:P87))</f>
        <v/>
      </c>
      <c r="S87" s="8">
        <f>IF(COUNT(D87:P87)=0,"",MAX(D87:P87))</f>
        <v/>
      </c>
      <c r="T87" s="9">
        <f>IF(OR(Q87="",Q87=0),"",(S87-Q87)/Q87)</f>
        <v/>
      </c>
      <c r="U87" s="7">
        <f>IF(COUNT(D87:P87)=0,"",INDEX($D$1:$P$1,MATCH(MIN(D87:P87),D87:P87,0)))</f>
        <v/>
      </c>
      <c r="V87" s="8" t="n">
        <v>323.68</v>
      </c>
      <c r="W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>
        <f>IF(COUNT(D88:P88)=0,"",MIN(D88:P88))</f>
        <v/>
      </c>
      <c r="R88" s="8">
        <f>IF(COUNT(D88:P88)=0,"",MEDIAN(D88:P88))</f>
        <v/>
      </c>
      <c r="S88" s="8">
        <f>IF(COUNT(D88:P88)=0,"",MAX(D88:P88))</f>
        <v/>
      </c>
      <c r="T88" s="9">
        <f>IF(OR(Q88="",Q88=0),"",(S88-Q88)/Q88)</f>
        <v/>
      </c>
      <c r="U88" s="7">
        <f>IF(COUNT(D88:P88)=0,"",INDEX($D$1:$P$1,MATCH(MIN(D88:P88),D88:P88,0)))</f>
        <v/>
      </c>
      <c r="V88" s="8" t="n">
        <v>1279.54</v>
      </c>
      <c r="W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>
        <f>IF(COUNT(D89:P89)=0,"",MIN(D89:P89))</f>
        <v/>
      </c>
      <c r="R89" s="8">
        <f>IF(COUNT(D89:P89)=0,"",MEDIAN(D89:P89))</f>
        <v/>
      </c>
      <c r="S89" s="8">
        <f>IF(COUNT(D89:P89)=0,"",MAX(D89:P89))</f>
        <v/>
      </c>
      <c r="T89" s="9">
        <f>IF(OR(Q89="",Q89=0),"",(S89-Q89)/Q89)</f>
        <v/>
      </c>
      <c r="U89" s="7">
        <f>IF(COUNT(D89:P89)=0,"",INDEX($D$1:$P$1,MATCH(MIN(D89:P89),D89:P89,0)))</f>
        <v/>
      </c>
      <c r="V89" s="8" t="n">
        <v>5321.25</v>
      </c>
      <c r="W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>
        <f>IF(COUNT(D90:P90)=0,"",MIN(D90:P90))</f>
        <v/>
      </c>
      <c r="R90" s="8">
        <f>IF(COUNT(D90:P90)=0,"",MEDIAN(D90:P90))</f>
        <v/>
      </c>
      <c r="S90" s="8">
        <f>IF(COUNT(D90:P90)=0,"",MAX(D90:P90))</f>
        <v/>
      </c>
      <c r="T90" s="9">
        <f>IF(OR(Q90="",Q90=0),"",(S90-Q90)/Q90)</f>
        <v/>
      </c>
      <c r="U90" s="7">
        <f>IF(COUNT(D90:P90)=0,"",INDEX($D$1:$P$1,MATCH(MIN(D90:P90),D90:P90,0)))</f>
        <v/>
      </c>
      <c r="V90" s="8" t="n">
        <v>1644.46</v>
      </c>
      <c r="W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>
        <f>IF(COUNT(D91:P91)=0,"",MIN(D91:P91))</f>
        <v/>
      </c>
      <c r="R91" s="8">
        <f>IF(COUNT(D91:P91)=0,"",MEDIAN(D91:P91))</f>
        <v/>
      </c>
      <c r="S91" s="8">
        <f>IF(COUNT(D91:P91)=0,"",MAX(D91:P91))</f>
        <v/>
      </c>
      <c r="T91" s="9">
        <f>IF(OR(Q91="",Q91=0),"",(S91-Q91)/Q91)</f>
        <v/>
      </c>
      <c r="U91" s="7">
        <f>IF(COUNT(D91:P91)=0,"",INDEX($D$1:$P$1,MATCH(MIN(D91:P91),D91:P91,0)))</f>
        <v/>
      </c>
      <c r="V91" s="8" t="n">
        <v>358.67</v>
      </c>
      <c r="W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>
        <f>IF(COUNT(D92:P92)=0,"",MIN(D92:P92))</f>
        <v/>
      </c>
      <c r="R92" s="8">
        <f>IF(COUNT(D92:P92)=0,"",MEDIAN(D92:P92))</f>
        <v/>
      </c>
      <c r="S92" s="8">
        <f>IF(COUNT(D92:P92)=0,"",MAX(D92:P92))</f>
        <v/>
      </c>
      <c r="T92" s="9">
        <f>IF(OR(Q92="",Q92=0),"",(S92-Q92)/Q92)</f>
        <v/>
      </c>
      <c r="U92" s="7">
        <f>IF(COUNT(D92:P92)=0,"",INDEX($D$1:$P$1,MATCH(MIN(D92:P92),D92:P92,0)))</f>
        <v/>
      </c>
      <c r="V92" s="8" t="n">
        <v>234.67</v>
      </c>
      <c r="W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>
        <f>IF(COUNT(D93:P93)=0,"",MIN(D93:P93))</f>
        <v/>
      </c>
      <c r="R93" s="8">
        <f>IF(COUNT(D93:P93)=0,"",MEDIAN(D93:P93))</f>
        <v/>
      </c>
      <c r="S93" s="8">
        <f>IF(COUNT(D93:P93)=0,"",MAX(D93:P93))</f>
        <v/>
      </c>
      <c r="T93" s="9">
        <f>IF(OR(Q93="",Q93=0),"",(S93-Q93)/Q93)</f>
        <v/>
      </c>
      <c r="U93" s="7">
        <f>IF(COUNT(D93:P93)=0,"",INDEX($D$1:$P$1,MATCH(MIN(D93:P93),D93:P93,0)))</f>
        <v/>
      </c>
      <c r="V93" s="8" t="n">
        <v>151.87</v>
      </c>
      <c r="W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>
        <f>IF(COUNT(D94:P94)=0,"",MIN(D94:P94))</f>
        <v/>
      </c>
      <c r="R94" s="8">
        <f>IF(COUNT(D94:P94)=0,"",MEDIAN(D94:P94))</f>
        <v/>
      </c>
      <c r="S94" s="8">
        <f>IF(COUNT(D94:P94)=0,"",MAX(D94:P94))</f>
        <v/>
      </c>
      <c r="T94" s="9">
        <f>IF(OR(Q94="",Q94=0),"",(S94-Q94)/Q94)</f>
        <v/>
      </c>
      <c r="U94" s="7">
        <f>IF(COUNT(D94:P94)=0,"",INDEX($D$1:$P$1,MATCH(MIN(D94:P94),D94:P94,0)))</f>
        <v/>
      </c>
      <c r="V94" s="8" t="n">
        <v>448.34</v>
      </c>
      <c r="W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>
        <f>IF(COUNT(D95:P95)=0,"",MIN(D95:P95))</f>
        <v/>
      </c>
      <c r="R95" s="8">
        <f>IF(COUNT(D95:P95)=0,"",MEDIAN(D95:P95))</f>
        <v/>
      </c>
      <c r="S95" s="8">
        <f>IF(COUNT(D95:P95)=0,"",MAX(D95:P95))</f>
        <v/>
      </c>
      <c r="T95" s="9">
        <f>IF(OR(Q95="",Q95=0),"",(S95-Q95)/Q95)</f>
        <v/>
      </c>
      <c r="U95" s="7">
        <f>IF(COUNT(D95:P95)=0,"",INDEX($D$1:$P$1,MATCH(MIN(D95:P95),D95:P95,0)))</f>
        <v/>
      </c>
      <c r="V95" s="8" t="n">
        <v>151.87</v>
      </c>
      <c r="W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>
        <f>IF(COUNT(D96:P96)=0,"",MIN(D96:P96))</f>
        <v/>
      </c>
      <c r="R96" s="8">
        <f>IF(COUNT(D96:P96)=0,"",MEDIAN(D96:P96))</f>
        <v/>
      </c>
      <c r="S96" s="8">
        <f>IF(COUNT(D96:P96)=0,"",MAX(D96:P96))</f>
        <v/>
      </c>
      <c r="T96" s="9">
        <f>IF(OR(Q96="",Q96=0),"",(S96-Q96)/Q96)</f>
        <v/>
      </c>
      <c r="U96" s="7">
        <f>IF(COUNT(D96:P96)=0,"",INDEX($D$1:$P$1,MATCH(MIN(D96:P96),D96:P96,0)))</f>
        <v/>
      </c>
      <c r="V96" s="8" t="n">
        <v>1160</v>
      </c>
      <c r="W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310.94</v>
      </c>
      <c r="E97" s="8" t="n"/>
      <c r="F97" s="8" t="n"/>
      <c r="G97" s="8" t="n">
        <v>310</v>
      </c>
      <c r="H97" s="8" t="n"/>
      <c r="I97" s="8" t="n"/>
      <c r="J97" s="8" t="n"/>
      <c r="K97" s="8" t="n"/>
      <c r="L97" s="8" t="n">
        <v>290</v>
      </c>
      <c r="M97" s="8" t="n"/>
      <c r="N97" s="8" t="n"/>
      <c r="O97" s="8" t="n"/>
      <c r="P97" s="8" t="n"/>
      <c r="Q97" s="8">
        <f>IF(COUNT(D97:P97)=0,"",MIN(D97:P97))</f>
        <v/>
      </c>
      <c r="R97" s="8">
        <f>IF(COUNT(D97:P97)=0,"",MEDIAN(D97:P97))</f>
        <v/>
      </c>
      <c r="S97" s="8">
        <f>IF(COUNT(D97:P97)=0,"",MAX(D97:P97))</f>
        <v/>
      </c>
      <c r="T97" s="9">
        <f>IF(OR(Q97="",Q97=0),"",(S97-Q97)/Q97)</f>
        <v/>
      </c>
      <c r="U97" s="7">
        <f>IF(COUNT(D97:P97)=0,"",INDEX($D$1:$P$1,MATCH(MIN(D97:P97),D97:P97,0)))</f>
        <v/>
      </c>
      <c r="V97" s="8" t="n">
        <v>322.97</v>
      </c>
      <c r="W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>
        <f>IF(COUNT(D98:P98)=0,"",MIN(D98:P98))</f>
        <v/>
      </c>
      <c r="R98" s="8">
        <f>IF(COUNT(D98:P98)=0,"",MEDIAN(D98:P98))</f>
        <v/>
      </c>
      <c r="S98" s="8">
        <f>IF(COUNT(D98:P98)=0,"",MAX(D98:P98))</f>
        <v/>
      </c>
      <c r="T98" s="9">
        <f>IF(OR(Q98="",Q98=0),"",(S98-Q98)/Q98)</f>
        <v/>
      </c>
      <c r="U98" s="7">
        <f>IF(COUNT(D98:P98)=0,"",INDEX($D$1:$P$1,MATCH(MIN(D98:P98),D98:P98,0)))</f>
        <v/>
      </c>
      <c r="V98" s="8" t="n">
        <v>885</v>
      </c>
      <c r="W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>
        <f>IF(COUNT(D99:P99)=0,"",MIN(D99:P99))</f>
        <v/>
      </c>
      <c r="R99" s="8">
        <f>IF(COUNT(D99:P99)=0,"",MEDIAN(D99:P99))</f>
        <v/>
      </c>
      <c r="S99" s="8">
        <f>IF(COUNT(D99:P99)=0,"",MAX(D99:P99))</f>
        <v/>
      </c>
      <c r="T99" s="9">
        <f>IF(OR(Q99="",Q99=0),"",(S99-Q99)/Q99)</f>
        <v/>
      </c>
      <c r="U99" s="7">
        <f>IF(COUNT(D99:P99)=0,"",INDEX($D$1:$P$1,MATCH(MIN(D99:P99),D99:P99,0)))</f>
        <v/>
      </c>
      <c r="V99" s="8" t="n">
        <v>1403.29</v>
      </c>
      <c r="W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>
        <f>IF(COUNT(D100:P100)=0,"",MIN(D100:P100))</f>
        <v/>
      </c>
      <c r="R100" s="8">
        <f>IF(COUNT(D100:P100)=0,"",MEDIAN(D100:P100))</f>
        <v/>
      </c>
      <c r="S100" s="8">
        <f>IF(COUNT(D100:P100)=0,"",MAX(D100:P100))</f>
        <v/>
      </c>
      <c r="T100" s="9">
        <f>IF(OR(Q100="",Q100=0),"",(S100-Q100)/Q100)</f>
        <v/>
      </c>
      <c r="U100" s="7">
        <f>IF(COUNT(D100:P100)=0,"",INDEX($D$1:$P$1,MATCH(MIN(D100:P100),D100:P100,0)))</f>
        <v/>
      </c>
      <c r="V100" s="8" t="n">
        <v>4784.99</v>
      </c>
      <c r="W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>
        <f>IF(COUNT(D101:P101)=0,"",MIN(D101:P101))</f>
        <v/>
      </c>
      <c r="R101" s="8">
        <f>IF(COUNT(D101:P101)=0,"",MEDIAN(D101:P101))</f>
        <v/>
      </c>
      <c r="S101" s="8">
        <f>IF(COUNT(D101:P101)=0,"",MAX(D101:P101))</f>
        <v/>
      </c>
      <c r="T101" s="9">
        <f>IF(OR(Q101="",Q101=0),"",(S101-Q101)/Q101)</f>
        <v/>
      </c>
      <c r="U101" s="7">
        <f>IF(COUNT(D101:P101)=0,"",INDEX($D$1:$P$1,MATCH(MIN(D101:P101),D101:P101,0)))</f>
        <v/>
      </c>
      <c r="V101" s="8" t="n">
        <v>2490</v>
      </c>
      <c r="W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>
        <f>IF(COUNT(D102:P102)=0,"",MIN(D102:P102))</f>
        <v/>
      </c>
      <c r="R102" s="8">
        <f>IF(COUNT(D102:P102)=0,"",MEDIAN(D102:P102))</f>
        <v/>
      </c>
      <c r="S102" s="8">
        <f>IF(COUNT(D102:P102)=0,"",MAX(D102:P102))</f>
        <v/>
      </c>
      <c r="T102" s="9">
        <f>IF(OR(Q102="",Q102=0),"",(S102-Q102)/Q102)</f>
        <v/>
      </c>
      <c r="U102" s="7">
        <f>IF(COUNT(D102:P102)=0,"",INDEX($D$1:$P$1,MATCH(MIN(D102:P102),D102:P102,0)))</f>
        <v/>
      </c>
      <c r="V102" s="8" t="n">
        <v>1497.5</v>
      </c>
      <c r="W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>
        <f>IF(COUNT(D103:P103)=0,"",MIN(D103:P103))</f>
        <v/>
      </c>
      <c r="R103" s="8">
        <f>IF(COUNT(D103:P103)=0,"",MEDIAN(D103:P103))</f>
        <v/>
      </c>
      <c r="S103" s="8">
        <f>IF(COUNT(D103:P103)=0,"",MAX(D103:P103))</f>
        <v/>
      </c>
      <c r="T103" s="9">
        <f>IF(OR(Q103="",Q103=0),"",(S103-Q103)/Q103)</f>
        <v/>
      </c>
      <c r="U103" s="7">
        <f>IF(COUNT(D103:P103)=0,"",INDEX($D$1:$P$1,MATCH(MIN(D103:P103),D103:P103,0)))</f>
        <v/>
      </c>
      <c r="V103" s="8" t="n">
        <v>1245.72</v>
      </c>
      <c r="W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cuarto de galón</t>
        </is>
      </c>
      <c r="C104" s="7" t="inlineStr">
        <is>
          <t>unidad</t>
        </is>
      </c>
      <c r="D104" s="8" t="n">
        <v>502.13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>
        <f>IF(COUNT(D104:P104)=0,"",MIN(D104:P104))</f>
        <v/>
      </c>
      <c r="R104" s="8">
        <f>IF(COUNT(D104:P104)=0,"",MEDIAN(D104:P104))</f>
        <v/>
      </c>
      <c r="S104" s="8">
        <f>IF(COUNT(D104:P104)=0,"",MAX(D104:P104))</f>
        <v/>
      </c>
      <c r="T104" s="9">
        <f>IF(OR(Q104="",Q104=0),"",(S104-Q104)/Q104)</f>
        <v/>
      </c>
      <c r="U104" s="7">
        <f>IF(COUNT(D104:P104)=0,"",INDEX($D$1:$P$1,MATCH(MIN(D104:P104),D104:P104,0)))</f>
        <v/>
      </c>
      <c r="V104" s="8" t="n">
        <v>581.85</v>
      </c>
      <c r="W104" s="10" t="n">
        <v>1</v>
      </c>
    </row>
    <row r="105">
      <c r="A105" s="7" t="inlineStr">
        <is>
          <t>MAT-02-026</t>
        </is>
      </c>
      <c r="B105" s="4" t="inlineStr">
        <is>
          <t>Adhesivo en pasta para cerámica, galón</t>
        </is>
      </c>
      <c r="C105" s="7" t="inlineStr">
        <is>
          <t>unidad</t>
        </is>
      </c>
      <c r="D105" s="8" t="n">
        <v>1914.51</v>
      </c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>
        <f>IF(COUNT(D105:P105)=0,"",MIN(D105:P105))</f>
        <v/>
      </c>
      <c r="R105" s="8">
        <f>IF(COUNT(D105:P105)=0,"",MEDIAN(D105:P105))</f>
        <v/>
      </c>
      <c r="S105" s="8">
        <f>IF(COUNT(D105:P105)=0,"",MAX(D105:P105))</f>
        <v/>
      </c>
      <c r="T105" s="9">
        <f>IF(OR(Q105="",Q105=0),"",(S105-Q105)/Q105)</f>
        <v/>
      </c>
      <c r="U105" s="7">
        <f>IF(COUNT(D105:P105)=0,"",INDEX($D$1:$P$1,MATCH(MIN(D105:P105),D105:P105,0)))</f>
        <v/>
      </c>
      <c r="V105" s="8" t="n">
        <v>1926.69</v>
      </c>
      <c r="W105" s="10" t="n">
        <v>1</v>
      </c>
    </row>
    <row r="106">
      <c r="A106" s="7" t="inlineStr">
        <is>
          <t>MAT-02-027</t>
        </is>
      </c>
      <c r="B106" s="4" t="inlineStr">
        <is>
          <t>Derretido para cerámica, funda 11.3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1475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>
        <f>IF(COUNT(D106:P106)=0,"",MIN(D106:P106))</f>
        <v/>
      </c>
      <c r="R106" s="8">
        <f>IF(COUNT(D106:P106)=0,"",MEDIAN(D106:P106))</f>
        <v/>
      </c>
      <c r="S106" s="8">
        <f>IF(COUNT(D106:P106)=0,"",MAX(D106:P106))</f>
        <v/>
      </c>
      <c r="T106" s="9">
        <f>IF(OR(Q106="",Q106=0),"",(S106-Q106)/Q106)</f>
        <v/>
      </c>
      <c r="U106" s="7">
        <f>IF(COUNT(D106:P106)=0,"",INDEX($D$1:$P$1,MATCH(MIN(D106:P106),D106:P106,0)))</f>
        <v/>
      </c>
      <c r="V106" s="8" t="n">
        <v>3100</v>
      </c>
      <c r="W106" s="10" t="n">
        <v>1</v>
      </c>
    </row>
    <row r="107">
      <c r="A107" s="7" t="inlineStr">
        <is>
          <t>MAT-02-028</t>
        </is>
      </c>
      <c r="B107" s="4" t="inlineStr">
        <is>
          <t>Derretido para cerámica, funda 22.7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1280.01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>
        <f>IF(COUNT(D107:P107)=0,"",MIN(D107:P107))</f>
        <v/>
      </c>
      <c r="R107" s="8">
        <f>IF(COUNT(D107:P107)=0,"",MEDIAN(D107:P107))</f>
        <v/>
      </c>
      <c r="S107" s="8">
        <f>IF(COUNT(D107:P107)=0,"",MAX(D107:P107))</f>
        <v/>
      </c>
      <c r="T107" s="9">
        <f>IF(OR(Q107="",Q107=0),"",(S107-Q107)/Q107)</f>
        <v/>
      </c>
      <c r="U107" s="7">
        <f>IF(COUNT(D107:P107)=0,"",INDEX($D$1:$P$1,MATCH(MIN(D107:P107),D107:P107,0)))</f>
        <v/>
      </c>
      <c r="V107" s="8" t="n">
        <v>1365.01</v>
      </c>
      <c r="W107" s="10" t="n">
        <v>1</v>
      </c>
    </row>
    <row r="108">
      <c r="A108" s="7" t="inlineStr">
        <is>
          <t>MAT-02-029</t>
        </is>
      </c>
      <c r="B108" s="4" t="inlineStr">
        <is>
          <t>Derretido para cerámica, funda 4.5 kg</t>
        </is>
      </c>
      <c r="C108" s="7" t="inlineStr">
        <is>
          <t>funda</t>
        </is>
      </c>
      <c r="D108" s="8" t="n"/>
      <c r="E108" s="8" t="n"/>
      <c r="F108" s="8" t="n"/>
      <c r="G108" s="8" t="n"/>
      <c r="H108" s="8" t="n">
        <v>1200</v>
      </c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>
        <f>IF(COUNT(D108:P108)=0,"",MIN(D108:P108))</f>
        <v/>
      </c>
      <c r="R108" s="8">
        <f>IF(COUNT(D108:P108)=0,"",MEDIAN(D108:P108))</f>
        <v/>
      </c>
      <c r="S108" s="8">
        <f>IF(COUNT(D108:P108)=0,"",MAX(D108:P108))</f>
        <v/>
      </c>
      <c r="T108" s="9">
        <f>IF(OR(Q108="",Q108=0),"",(S108-Q108)/Q108)</f>
        <v/>
      </c>
      <c r="U108" s="7">
        <f>IF(COUNT(D108:P108)=0,"",INDEX($D$1:$P$1,MATCH(MIN(D108:P108),D108:P108,0)))</f>
        <v/>
      </c>
      <c r="V108" s="8" t="n">
        <v>1400</v>
      </c>
      <c r="W108" s="10" t="n">
        <v>1</v>
      </c>
    </row>
    <row r="109">
      <c r="A109" s="7" t="inlineStr">
        <is>
          <t>MAT-02-030</t>
        </is>
      </c>
      <c r="B109" s="4" t="inlineStr">
        <is>
          <t>Estuco blanco, funda 14 kg</t>
        </is>
      </c>
      <c r="C109" s="7" t="inlineStr">
        <is>
          <t>funda</t>
        </is>
      </c>
      <c r="D109" s="8" t="n">
        <v>550.23</v>
      </c>
      <c r="E109" s="8" t="n"/>
      <c r="F109" s="8" t="n"/>
      <c r="G109" s="8" t="n"/>
      <c r="H109" s="8" t="n"/>
      <c r="I109" s="8" t="n">
        <v>630</v>
      </c>
      <c r="J109" s="8" t="n"/>
      <c r="K109" s="8" t="n"/>
      <c r="L109" s="8" t="n"/>
      <c r="M109" s="8" t="n"/>
      <c r="N109" s="8" t="n"/>
      <c r="O109" s="8" t="n"/>
      <c r="P109" s="8" t="n"/>
      <c r="Q109" s="8">
        <f>IF(COUNT(D109:P109)=0,"",MIN(D109:P109))</f>
        <v/>
      </c>
      <c r="R109" s="8">
        <f>IF(COUNT(D109:P109)=0,"",MEDIAN(D109:P109))</f>
        <v/>
      </c>
      <c r="S109" s="8">
        <f>IF(COUNT(D109:P109)=0,"",MAX(D109:P109))</f>
        <v/>
      </c>
      <c r="T109" s="9">
        <f>IF(OR(Q109="",Q109=0),"",(S109-Q109)/Q109)</f>
        <v/>
      </c>
      <c r="U109" s="7">
        <f>IF(COUNT(D109:P109)=0,"",INDEX($D$1:$P$1,MATCH(MIN(D109:P109),D109:P109,0)))</f>
        <v/>
      </c>
      <c r="V109" s="8" t="n">
        <v>590.12</v>
      </c>
      <c r="W109" s="10" t="n">
        <v>2</v>
      </c>
    </row>
    <row r="110">
      <c r="A110" s="7" t="inlineStr">
        <is>
          <t>MAT-02-031</t>
        </is>
      </c>
      <c r="B110" s="4" t="inlineStr">
        <is>
          <t>Estuco blanco, funda 15.9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>
        <v>745</v>
      </c>
      <c r="M110" s="8" t="n"/>
      <c r="N110" s="8" t="n"/>
      <c r="O110" s="8" t="n"/>
      <c r="P110" s="8" t="n"/>
      <c r="Q110" s="8">
        <f>IF(COUNT(D110:P110)=0,"",MIN(D110:P110))</f>
        <v/>
      </c>
      <c r="R110" s="8">
        <f>IF(COUNT(D110:P110)=0,"",MEDIAN(D110:P110))</f>
        <v/>
      </c>
      <c r="S110" s="8">
        <f>IF(COUNT(D110:P110)=0,"",MAX(D110:P110))</f>
        <v/>
      </c>
      <c r="T110" s="9">
        <f>IF(OR(Q110="",Q110=0),"",(S110-Q110)/Q110)</f>
        <v/>
      </c>
      <c r="U110" s="7">
        <f>IF(COUNT(D110:P110)=0,"",INDEX($D$1:$P$1,MATCH(MIN(D110:P110),D110:P110,0)))</f>
        <v/>
      </c>
      <c r="V110" s="8" t="n">
        <v>745</v>
      </c>
      <c r="W110" s="10" t="n">
        <v>1</v>
      </c>
    </row>
    <row r="111">
      <c r="A111" s="7" t="inlineStr">
        <is>
          <t>MAT-02-032</t>
        </is>
      </c>
      <c r="B111" s="4" t="inlineStr">
        <is>
          <t>Estuco gris, funda 14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435</v>
      </c>
      <c r="J111" s="8" t="n"/>
      <c r="K111" s="8" t="n"/>
      <c r="L111" s="8" t="n"/>
      <c r="M111" s="8" t="n"/>
      <c r="N111" s="8" t="n"/>
      <c r="O111" s="8" t="n"/>
      <c r="P111" s="8" t="n"/>
      <c r="Q111" s="8">
        <f>IF(COUNT(D111:P111)=0,"",MIN(D111:P111))</f>
        <v/>
      </c>
      <c r="R111" s="8">
        <f>IF(COUNT(D111:P111)=0,"",MEDIAN(D111:P111))</f>
        <v/>
      </c>
      <c r="S111" s="8">
        <f>IF(COUNT(D111:P111)=0,"",MAX(D111:P111))</f>
        <v/>
      </c>
      <c r="T111" s="9">
        <f>IF(OR(Q111="",Q111=0),"",(S111-Q111)/Q111)</f>
        <v/>
      </c>
      <c r="U111" s="7">
        <f>IF(COUNT(D111:P111)=0,"",INDEX($D$1:$P$1,MATCH(MIN(D111:P111),D111:P111,0)))</f>
        <v/>
      </c>
      <c r="V111" s="8" t="n">
        <v>435</v>
      </c>
      <c r="W111" s="10" t="n">
        <v>1</v>
      </c>
    </row>
    <row r="112">
      <c r="A112" s="7" t="inlineStr">
        <is>
          <t>MAT-02-033</t>
        </is>
      </c>
      <c r="B112" s="4" t="inlineStr">
        <is>
          <t>Yeso en funda de 22.7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>
        <v>1720</v>
      </c>
      <c r="J112" s="8" t="n"/>
      <c r="K112" s="8" t="n"/>
      <c r="L112" s="8" t="n"/>
      <c r="M112" s="8" t="n"/>
      <c r="N112" s="8" t="n"/>
      <c r="O112" s="8" t="n"/>
      <c r="P112" s="8" t="n"/>
      <c r="Q112" s="8">
        <f>IF(COUNT(D112:P112)=0,"",MIN(D112:P112))</f>
        <v/>
      </c>
      <c r="R112" s="8">
        <f>IF(COUNT(D112:P112)=0,"",MEDIAN(D112:P112))</f>
        <v/>
      </c>
      <c r="S112" s="8">
        <f>IF(COUNT(D112:P112)=0,"",MAX(D112:P112))</f>
        <v/>
      </c>
      <c r="T112" s="9">
        <f>IF(OR(Q112="",Q112=0),"",(S112-Q112)/Q112)</f>
        <v/>
      </c>
      <c r="U112" s="7">
        <f>IF(COUNT(D112:P112)=0,"",INDEX($D$1:$P$1,MATCH(MIN(D112:P112),D112:P112,0)))</f>
        <v/>
      </c>
      <c r="V112" s="8" t="n">
        <v>1720</v>
      </c>
      <c r="W112" s="10" t="n">
        <v>1</v>
      </c>
    </row>
    <row r="113">
      <c r="A113" s="7" t="inlineStr">
        <is>
          <t>MAT-02-034</t>
        </is>
      </c>
      <c r="B113" s="4" t="inlineStr">
        <is>
          <t>Yeso en funda de 27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>
        <v>330</v>
      </c>
      <c r="M113" s="8" t="n"/>
      <c r="N113" s="8" t="n"/>
      <c r="O113" s="8" t="n"/>
      <c r="P113" s="8" t="n"/>
      <c r="Q113" s="8">
        <f>IF(COUNT(D113:P113)=0,"",MIN(D113:P113))</f>
        <v/>
      </c>
      <c r="R113" s="8">
        <f>IF(COUNT(D113:P113)=0,"",MEDIAN(D113:P113))</f>
        <v/>
      </c>
      <c r="S113" s="8">
        <f>IF(COUNT(D113:P113)=0,"",MAX(D113:P113))</f>
        <v/>
      </c>
      <c r="T113" s="9">
        <f>IF(OR(Q113="",Q113=0),"",(S113-Q113)/Q113)</f>
        <v/>
      </c>
      <c r="U113" s="7">
        <f>IF(COUNT(D113:P113)=0,"",INDEX($D$1:$P$1,MATCH(MIN(D113:P113),D113:P113,0)))</f>
        <v/>
      </c>
      <c r="V113" s="8" t="n">
        <v>330</v>
      </c>
      <c r="W113" s="10" t="n">
        <v>1</v>
      </c>
    </row>
    <row r="114">
      <c r="A114" s="7" t="inlineStr">
        <is>
          <t>MAT-02-035</t>
        </is>
      </c>
      <c r="B114" s="4" t="inlineStr">
        <is>
          <t>Hormigón seco premezclado 180 kg/cm², funda 66 lb</t>
        </is>
      </c>
      <c r="C114" s="7" t="inlineStr">
        <is>
          <t>funda</t>
        </is>
      </c>
      <c r="D114" s="8" t="n">
        <v>245.85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>
        <f>IF(COUNT(D114:P114)=0,"",MIN(D114:P114))</f>
        <v/>
      </c>
      <c r="R114" s="8">
        <f>IF(COUNT(D114:P114)=0,"",MEDIAN(D114:P114))</f>
        <v/>
      </c>
      <c r="S114" s="8">
        <f>IF(COUNT(D114:P114)=0,"",MAX(D114:P114))</f>
        <v/>
      </c>
      <c r="T114" s="9">
        <f>IF(OR(Q114="",Q114=0),"",(S114-Q114)/Q114)</f>
        <v/>
      </c>
      <c r="U114" s="7">
        <f>IF(COUNT(D114:P114)=0,"",INDEX($D$1:$P$1,MATCH(MIN(D114:P114),D114:P114,0)))</f>
        <v/>
      </c>
      <c r="V114" s="8" t="n">
        <v>245.85</v>
      </c>
      <c r="W114" s="10" t="n">
        <v>1</v>
      </c>
    </row>
    <row r="115">
      <c r="A115" s="7" t="inlineStr">
        <is>
          <t>MAT-02-036</t>
        </is>
      </c>
      <c r="B115" s="4" t="inlineStr">
        <is>
          <t>Hormigón seco premezclado 210 kg/cm², funda 66 lb</t>
        </is>
      </c>
      <c r="C115" s="7" t="inlineStr">
        <is>
          <t>funda</t>
        </is>
      </c>
      <c r="D115" s="8" t="n">
        <v>253.1</v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>
        <f>IF(COUNT(D115:P115)=0,"",MIN(D115:P115))</f>
        <v/>
      </c>
      <c r="R115" s="8">
        <f>IF(COUNT(D115:P115)=0,"",MEDIAN(D115:P115))</f>
        <v/>
      </c>
      <c r="S115" s="8">
        <f>IF(COUNT(D115:P115)=0,"",MAX(D115:P115))</f>
        <v/>
      </c>
      <c r="T115" s="9">
        <f>IF(OR(Q115="",Q115=0),"",(S115-Q115)/Q115)</f>
        <v/>
      </c>
      <c r="U115" s="7">
        <f>IF(COUNT(D115:P115)=0,"",INDEX($D$1:$P$1,MATCH(MIN(D115:P115),D115:P115,0)))</f>
        <v/>
      </c>
      <c r="V115" s="8" t="n">
        <v>253.1</v>
      </c>
      <c r="W115" s="10" t="n">
        <v>1</v>
      </c>
    </row>
    <row r="116">
      <c r="A116" s="7" t="inlineStr">
        <is>
          <t>MAT-02-037</t>
        </is>
      </c>
      <c r="B116" s="4" t="inlineStr">
        <is>
          <t>Aditivo para hormigón,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1460</v>
      </c>
      <c r="L116" s="8" t="n"/>
      <c r="M116" s="8" t="n"/>
      <c r="N116" s="8" t="n"/>
      <c r="O116" s="8" t="n"/>
      <c r="P116" s="8" t="n"/>
      <c r="Q116" s="8">
        <f>IF(COUNT(D116:P116)=0,"",MIN(D116:P116))</f>
        <v/>
      </c>
      <c r="R116" s="8">
        <f>IF(COUNT(D116:P116)=0,"",MEDIAN(D116:P116))</f>
        <v/>
      </c>
      <c r="S116" s="8">
        <f>IF(COUNT(D116:P116)=0,"",MAX(D116:P116))</f>
        <v/>
      </c>
      <c r="T116" s="9">
        <f>IF(OR(Q116="",Q116=0),"",(S116-Q116)/Q116)</f>
        <v/>
      </c>
      <c r="U116" s="7">
        <f>IF(COUNT(D116:P116)=0,"",INDEX($D$1:$P$1,MATCH(MIN(D116:P116),D116:P116,0)))</f>
        <v/>
      </c>
      <c r="V116" s="8" t="n">
        <v>1460</v>
      </c>
      <c r="W116" s="10" t="n">
        <v>1</v>
      </c>
    </row>
    <row r="117">
      <c r="A117" s="7" t="inlineStr">
        <is>
          <t>MAT-02-038</t>
        </is>
      </c>
      <c r="B117" s="4" t="inlineStr">
        <is>
          <t>Aditivo para hormigón, 5 galón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6055</v>
      </c>
      <c r="L117" s="8" t="n"/>
      <c r="M117" s="8" t="n"/>
      <c r="N117" s="8" t="n"/>
      <c r="O117" s="8" t="n"/>
      <c r="P117" s="8" t="n"/>
      <c r="Q117" s="8">
        <f>IF(COUNT(D117:P117)=0,"",MIN(D117:P117))</f>
        <v/>
      </c>
      <c r="R117" s="8">
        <f>IF(COUNT(D117:P117)=0,"",MEDIAN(D117:P117))</f>
        <v/>
      </c>
      <c r="S117" s="8">
        <f>IF(COUNT(D117:P117)=0,"",MAX(D117:P117))</f>
        <v/>
      </c>
      <c r="T117" s="9">
        <f>IF(OR(Q117="",Q117=0),"",(S117-Q117)/Q117)</f>
        <v/>
      </c>
      <c r="U117" s="7">
        <f>IF(COUNT(D117:P117)=0,"",INDEX($D$1:$P$1,MATCH(MIN(D117:P117),D117:P117,0)))</f>
        <v/>
      </c>
      <c r="V117" s="8" t="n">
        <v>6055</v>
      </c>
      <c r="W117" s="10" t="n">
        <v>1</v>
      </c>
    </row>
    <row r="118">
      <c r="A118" s="7" t="inlineStr">
        <is>
          <t>MAT-02-039</t>
        </is>
      </c>
      <c r="B118" s="4" t="inlineStr">
        <is>
          <t>Aditivo para hormigón fibra de refuerzo, 0.6 kg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454.75</v>
      </c>
      <c r="L118" s="8" t="n"/>
      <c r="M118" s="8" t="n"/>
      <c r="N118" s="8" t="n"/>
      <c r="O118" s="8" t="n"/>
      <c r="P118" s="8" t="n"/>
      <c r="Q118" s="8">
        <f>IF(COUNT(D118:P118)=0,"",MIN(D118:P118))</f>
        <v/>
      </c>
      <c r="R118" s="8">
        <f>IF(COUNT(D118:P118)=0,"",MEDIAN(D118:P118))</f>
        <v/>
      </c>
      <c r="S118" s="8">
        <f>IF(COUNT(D118:P118)=0,"",MAX(D118:P118))</f>
        <v/>
      </c>
      <c r="T118" s="9">
        <f>IF(OR(Q118="",Q118=0),"",(S118-Q118)/Q118)</f>
        <v/>
      </c>
      <c r="U118" s="7">
        <f>IF(COUNT(D118:P118)=0,"",INDEX($D$1:$P$1,MATCH(MIN(D118:P118),D118:P118,0)))</f>
        <v/>
      </c>
      <c r="V118" s="8" t="n">
        <v>454.75</v>
      </c>
      <c r="W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1/2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465</v>
      </c>
      <c r="L119" s="8" t="n"/>
      <c r="M119" s="8" t="n"/>
      <c r="N119" s="8" t="n"/>
      <c r="O119" s="8" t="n"/>
      <c r="P119" s="8" t="n"/>
      <c r="Q119" s="8">
        <f>IF(COUNT(D119:P119)=0,"",MIN(D119:P119))</f>
        <v/>
      </c>
      <c r="R119" s="8">
        <f>IF(COUNT(D119:P119)=0,"",MEDIAN(D119:P119))</f>
        <v/>
      </c>
      <c r="S119" s="8">
        <f>IF(COUNT(D119:P119)=0,"",MAX(D119:P119))</f>
        <v/>
      </c>
      <c r="T119" s="9">
        <f>IF(OR(Q119="",Q119=0),"",(S119-Q119)/Q119)</f>
        <v/>
      </c>
      <c r="U119" s="7">
        <f>IF(COUNT(D119:P119)=0,"",INDEX($D$1:$P$1,MATCH(MIN(D119:P119),D119:P119,0)))</f>
        <v/>
      </c>
      <c r="V119" s="8" t="n">
        <v>535</v>
      </c>
      <c r="W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1/4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395</v>
      </c>
      <c r="L120" s="8" t="n"/>
      <c r="M120" s="8" t="n"/>
      <c r="N120" s="8" t="n"/>
      <c r="O120" s="8" t="n"/>
      <c r="P120" s="8" t="n"/>
      <c r="Q120" s="8">
        <f>IF(COUNT(D120:P120)=0,"",MIN(D120:P120))</f>
        <v/>
      </c>
      <c r="R120" s="8">
        <f>IF(COUNT(D120:P120)=0,"",MEDIAN(D120:P120))</f>
        <v/>
      </c>
      <c r="S120" s="8">
        <f>IF(COUNT(D120:P120)=0,"",MAX(D120:P120))</f>
        <v/>
      </c>
      <c r="T120" s="9">
        <f>IF(OR(Q120="",Q120=0),"",(S120-Q120)/Q120)</f>
        <v/>
      </c>
      <c r="U120" s="7">
        <f>IF(COUNT(D120:P120)=0,"",INDEX($D$1:$P$1,MATCH(MIN(D120:P120),D120:P120,0)))</f>
        <v/>
      </c>
      <c r="V120" s="8" t="n">
        <v>395</v>
      </c>
      <c r="W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1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959</v>
      </c>
      <c r="L121" s="8" t="n"/>
      <c r="M121" s="8" t="n"/>
      <c r="N121" s="8" t="n"/>
      <c r="O121" s="8" t="n"/>
      <c r="P121" s="8" t="n"/>
      <c r="Q121" s="8">
        <f>IF(COUNT(D121:P121)=0,"",MIN(D121:P121))</f>
        <v/>
      </c>
      <c r="R121" s="8">
        <f>IF(COUNT(D121:P121)=0,"",MEDIAN(D121:P121))</f>
        <v/>
      </c>
      <c r="S121" s="8">
        <f>IF(COUNT(D121:P121)=0,"",MAX(D121:P121))</f>
        <v/>
      </c>
      <c r="T121" s="9">
        <f>IF(OR(Q121="",Q121=0),"",(S121-Q121)/Q121)</f>
        <v/>
      </c>
      <c r="U121" s="7">
        <f>IF(COUNT(D121:P121)=0,"",INDEX($D$1:$P$1,MATCH(MIN(D121:P121),D121:P121,0)))</f>
        <v/>
      </c>
      <c r="V121" s="8" t="n">
        <v>1072.5</v>
      </c>
      <c r="W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32 oz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265</v>
      </c>
      <c r="L122" s="8" t="n"/>
      <c r="M122" s="8" t="n"/>
      <c r="N122" s="8" t="n"/>
      <c r="O122" s="8" t="n"/>
      <c r="P122" s="8" t="n"/>
      <c r="Q122" s="8">
        <f>IF(COUNT(D122:P122)=0,"",MIN(D122:P122))</f>
        <v/>
      </c>
      <c r="R122" s="8">
        <f>IF(COUNT(D122:P122)=0,"",MEDIAN(D122:P122))</f>
        <v/>
      </c>
      <c r="S122" s="8">
        <f>IF(COUNT(D122:P122)=0,"",MAX(D122:P122))</f>
        <v/>
      </c>
      <c r="T122" s="9">
        <f>IF(OR(Q122="",Q122=0),"",(S122-Q122)/Q122)</f>
        <v/>
      </c>
      <c r="U122" s="7">
        <f>IF(COUNT(D122:P122)=0,"",INDEX($D$1:$P$1,MATCH(MIN(D122:P122),D122:P122,0)))</f>
        <v/>
      </c>
      <c r="V122" s="8" t="n">
        <v>285</v>
      </c>
      <c r="W122" s="10" t="n">
        <v>1</v>
      </c>
    </row>
    <row r="123">
      <c r="A123" s="7" t="inlineStr">
        <is>
          <t>MAT-02-044</t>
        </is>
      </c>
      <c r="B123" s="4" t="inlineStr">
        <is>
          <t>Aditivo para hormigón impermeabilizante, 5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6300</v>
      </c>
      <c r="L123" s="8" t="n"/>
      <c r="M123" s="8" t="n"/>
      <c r="N123" s="8" t="n"/>
      <c r="O123" s="8" t="n"/>
      <c r="P123" s="8" t="n"/>
      <c r="Q123" s="8">
        <f>IF(COUNT(D123:P123)=0,"",MIN(D123:P123))</f>
        <v/>
      </c>
      <c r="R123" s="8">
        <f>IF(COUNT(D123:P123)=0,"",MEDIAN(D123:P123))</f>
        <v/>
      </c>
      <c r="S123" s="8">
        <f>IF(COUNT(D123:P123)=0,"",MAX(D123:P123))</f>
        <v/>
      </c>
      <c r="T123" s="9">
        <f>IF(OR(Q123="",Q123=0),"",(S123-Q123)/Q123)</f>
        <v/>
      </c>
      <c r="U123" s="7">
        <f>IF(COUNT(D123:P123)=0,"",INDEX($D$1:$P$1,MATCH(MIN(D123:P123),D123:P123,0)))</f>
        <v/>
      </c>
      <c r="V123" s="8" t="n">
        <v>8617.5</v>
      </c>
      <c r="W123" s="10" t="n">
        <v>1</v>
      </c>
    </row>
    <row r="124">
      <c r="A124" s="7" t="inlineStr">
        <is>
          <t>MAT-02-045</t>
        </is>
      </c>
      <c r="B124" s="4" t="inlineStr">
        <is>
          <t>Aditivo para hormigón primer epóxico, 1 kg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1610.75</v>
      </c>
      <c r="L124" s="8" t="n"/>
      <c r="M124" s="8" t="n"/>
      <c r="N124" s="8" t="n"/>
      <c r="O124" s="8" t="n"/>
      <c r="P124" s="8" t="n"/>
      <c r="Q124" s="8">
        <f>IF(COUNT(D124:P124)=0,"",MIN(D124:P124))</f>
        <v/>
      </c>
      <c r="R124" s="8">
        <f>IF(COUNT(D124:P124)=0,"",MEDIAN(D124:P124))</f>
        <v/>
      </c>
      <c r="S124" s="8">
        <f>IF(COUNT(D124:P124)=0,"",MAX(D124:P124))</f>
        <v/>
      </c>
      <c r="T124" s="9">
        <f>IF(OR(Q124="",Q124=0),"",(S124-Q124)/Q124)</f>
        <v/>
      </c>
      <c r="U124" s="7">
        <f>IF(COUNT(D124:P124)=0,"",INDEX($D$1:$P$1,MATCH(MIN(D124:P124),D124:P124,0)))</f>
        <v/>
      </c>
      <c r="V124" s="8" t="n">
        <v>1610.75</v>
      </c>
      <c r="W124" s="10" t="n">
        <v>1</v>
      </c>
    </row>
    <row r="125">
      <c r="A125" s="7" t="inlineStr">
        <is>
          <t>MAT-02-046</t>
        </is>
      </c>
      <c r="B125" s="4" t="inlineStr">
        <is>
          <t>Aditivo para hormigón texturizado, 1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2005</v>
      </c>
      <c r="L125" s="8" t="n"/>
      <c r="M125" s="8" t="n"/>
      <c r="N125" s="8" t="n"/>
      <c r="O125" s="8" t="n"/>
      <c r="P125" s="8" t="n"/>
      <c r="Q125" s="8">
        <f>IF(COUNT(D125:P125)=0,"",MIN(D125:P125))</f>
        <v/>
      </c>
      <c r="R125" s="8">
        <f>IF(COUNT(D125:P125)=0,"",MEDIAN(D125:P125))</f>
        <v/>
      </c>
      <c r="S125" s="8">
        <f>IF(COUNT(D125:P125)=0,"",MAX(D125:P125))</f>
        <v/>
      </c>
      <c r="T125" s="9">
        <f>IF(OR(Q125="",Q125=0),"",(S125-Q125)/Q125)</f>
        <v/>
      </c>
      <c r="U125" s="7">
        <f>IF(COUNT(D125:P125)=0,"",INDEX($D$1:$P$1,MATCH(MIN(D125:P125),D125:P125,0)))</f>
        <v/>
      </c>
      <c r="V125" s="8" t="n">
        <v>2005</v>
      </c>
      <c r="W125" s="10" t="n">
        <v>1</v>
      </c>
    </row>
    <row r="126">
      <c r="A126" s="7" t="inlineStr">
        <is>
          <t>MAT-02-047</t>
        </is>
      </c>
      <c r="B126" s="4" t="inlineStr">
        <is>
          <t>Cemento autonivelante, 40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3952.5</v>
      </c>
      <c r="L126" s="8" t="n"/>
      <c r="M126" s="8" t="n"/>
      <c r="N126" s="8" t="n"/>
      <c r="O126" s="8" t="n"/>
      <c r="P126" s="8" t="n"/>
      <c r="Q126" s="8">
        <f>IF(COUNT(D126:P126)=0,"",MIN(D126:P126))</f>
        <v/>
      </c>
      <c r="R126" s="8">
        <f>IF(COUNT(D126:P126)=0,"",MEDIAN(D126:P126))</f>
        <v/>
      </c>
      <c r="S126" s="8">
        <f>IF(COUNT(D126:P126)=0,"",MAX(D126:P126))</f>
        <v/>
      </c>
      <c r="T126" s="9">
        <f>IF(OR(Q126="",Q126=0),"",(S126-Q126)/Q126)</f>
        <v/>
      </c>
      <c r="U126" s="7">
        <f>IF(COUNT(D126:P126)=0,"",INDEX($D$1:$P$1,MATCH(MIN(D126:P126),D126:P126,0)))</f>
        <v/>
      </c>
      <c r="V126" s="8" t="n">
        <v>3952.5</v>
      </c>
      <c r="W126" s="10" t="n">
        <v>1</v>
      </c>
    </row>
    <row r="127">
      <c r="A127" s="7" t="inlineStr">
        <is>
          <t>MAT-02-048</t>
        </is>
      </c>
      <c r="B127" s="4" t="inlineStr">
        <is>
          <t>Cemento blanco, 10 lb</t>
        </is>
      </c>
      <c r="C127" s="7" t="inlineStr">
        <is>
          <t>funda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533.8</v>
      </c>
      <c r="L127" s="8" t="n"/>
      <c r="M127" s="8" t="n"/>
      <c r="N127" s="8" t="n"/>
      <c r="O127" s="8" t="n"/>
      <c r="P127" s="8" t="n"/>
      <c r="Q127" s="8">
        <f>IF(COUNT(D127:P127)=0,"",MIN(D127:P127))</f>
        <v/>
      </c>
      <c r="R127" s="8">
        <f>IF(COUNT(D127:P127)=0,"",MEDIAN(D127:P127))</f>
        <v/>
      </c>
      <c r="S127" s="8">
        <f>IF(COUNT(D127:P127)=0,"",MAX(D127:P127))</f>
        <v/>
      </c>
      <c r="T127" s="9">
        <f>IF(OR(Q127="",Q127=0),"",(S127-Q127)/Q127)</f>
        <v/>
      </c>
      <c r="U127" s="7">
        <f>IF(COUNT(D127:P127)=0,"",INDEX($D$1:$P$1,MATCH(MIN(D127:P127),D127:P127,0)))</f>
        <v/>
      </c>
      <c r="V127" s="8" t="n">
        <v>533.8</v>
      </c>
      <c r="W127" s="10" t="n">
        <v>1</v>
      </c>
    </row>
    <row r="128">
      <c r="A128" s="7" t="inlineStr">
        <is>
          <t>MAT-02-049</t>
        </is>
      </c>
      <c r="B128" s="4" t="inlineStr">
        <is>
          <t>Cemento gris, 10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377.4</v>
      </c>
      <c r="L128" s="8" t="n"/>
      <c r="M128" s="8" t="n"/>
      <c r="N128" s="8" t="n"/>
      <c r="O128" s="8" t="n"/>
      <c r="P128" s="8" t="n"/>
      <c r="Q128" s="8">
        <f>IF(COUNT(D128:P128)=0,"",MIN(D128:P128))</f>
        <v/>
      </c>
      <c r="R128" s="8">
        <f>IF(COUNT(D128:P128)=0,"",MEDIAN(D128:P128))</f>
        <v/>
      </c>
      <c r="S128" s="8">
        <f>IF(COUNT(D128:P128)=0,"",MAX(D128:P128))</f>
        <v/>
      </c>
      <c r="T128" s="9">
        <f>IF(OR(Q128="",Q128=0),"",(S128-Q128)/Q128)</f>
        <v/>
      </c>
      <c r="U128" s="7">
        <f>IF(COUNT(D128:P128)=0,"",INDEX($D$1:$P$1,MATCH(MIN(D128:P128),D128:P128,0)))</f>
        <v/>
      </c>
      <c r="V128" s="8" t="n">
        <v>377.4</v>
      </c>
      <c r="W128" s="10" t="n">
        <v>1</v>
      </c>
    </row>
    <row r="129">
      <c r="A129" s="7" t="inlineStr">
        <is>
          <t>MAT-02-050</t>
        </is>
      </c>
      <c r="B129" s="4" t="inlineStr">
        <is>
          <t>Cemento hidráulico, 1 galón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949.45</v>
      </c>
      <c r="L129" s="8" t="n"/>
      <c r="M129" s="8" t="n"/>
      <c r="N129" s="8" t="n"/>
      <c r="O129" s="8" t="n"/>
      <c r="P129" s="8" t="n"/>
      <c r="Q129" s="8">
        <f>IF(COUNT(D129:P129)=0,"",MIN(D129:P129))</f>
        <v/>
      </c>
      <c r="R129" s="8">
        <f>IF(COUNT(D129:P129)=0,"",MEDIAN(D129:P129))</f>
        <v/>
      </c>
      <c r="S129" s="8">
        <f>IF(COUNT(D129:P129)=0,"",MAX(D129:P129))</f>
        <v/>
      </c>
      <c r="T129" s="9">
        <f>IF(OR(Q129="",Q129=0),"",(S129-Q129)/Q129)</f>
        <v/>
      </c>
      <c r="U129" s="7">
        <f>IF(COUNT(D129:P129)=0,"",INDEX($D$1:$P$1,MATCH(MIN(D129:P129),D129:P129,0)))</f>
        <v/>
      </c>
      <c r="V129" s="8" t="n">
        <v>949.45</v>
      </c>
      <c r="W129" s="10" t="n">
        <v>1</v>
      </c>
    </row>
    <row r="130">
      <c r="A130" s="7" t="inlineStr">
        <is>
          <t>MAT-02-051</t>
        </is>
      </c>
      <c r="B130" s="4" t="inlineStr">
        <is>
          <t>Cemento hidráulico, 40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2817.75</v>
      </c>
      <c r="L130" s="8" t="n"/>
      <c r="M130" s="8" t="n"/>
      <c r="N130" s="8" t="n"/>
      <c r="O130" s="8" t="n"/>
      <c r="P130" s="8" t="n"/>
      <c r="Q130" s="8">
        <f>IF(COUNT(D130:P130)=0,"",MIN(D130:P130))</f>
        <v/>
      </c>
      <c r="R130" s="8">
        <f>IF(COUNT(D130:P130)=0,"",MEDIAN(D130:P130))</f>
        <v/>
      </c>
      <c r="S130" s="8">
        <f>IF(COUNT(D130:P130)=0,"",MAX(D130:P130))</f>
        <v/>
      </c>
      <c r="T130" s="9">
        <f>IF(OR(Q130="",Q130=0),"",(S130-Q130)/Q130)</f>
        <v/>
      </c>
      <c r="U130" s="7">
        <f>IF(COUNT(D130:P130)=0,"",INDEX($D$1:$P$1,MATCH(MIN(D130:P130),D130:P130,0)))</f>
        <v/>
      </c>
      <c r="V130" s="8" t="n">
        <v>2817.75</v>
      </c>
      <c r="W130" s="10" t="n">
        <v>1</v>
      </c>
    </row>
    <row r="131">
      <c r="A131" s="7" t="inlineStr">
        <is>
          <t>MAT-02-052</t>
        </is>
      </c>
      <c r="B131" s="4" t="inlineStr">
        <is>
          <t>Derretido para cerámica,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712</v>
      </c>
      <c r="L131" s="8" t="n"/>
      <c r="M131" s="8" t="n"/>
      <c r="N131" s="8" t="n"/>
      <c r="O131" s="8" t="n"/>
      <c r="P131" s="8" t="n"/>
      <c r="Q131" s="8">
        <f>IF(COUNT(D131:P131)=0,"",MIN(D131:P131))</f>
        <v/>
      </c>
      <c r="R131" s="8">
        <f>IF(COUNT(D131:P131)=0,"",MEDIAN(D131:P131))</f>
        <v/>
      </c>
      <c r="S131" s="8">
        <f>IF(COUNT(D131:P131)=0,"",MAX(D131:P131))</f>
        <v/>
      </c>
      <c r="T131" s="9">
        <f>IF(OR(Q131="",Q131=0),"",(S131-Q131)/Q131)</f>
        <v/>
      </c>
      <c r="U131" s="7">
        <f>IF(COUNT(D131:P131)=0,"",INDEX($D$1:$P$1,MATCH(MIN(D131:P131),D131:P131,0)))</f>
        <v/>
      </c>
      <c r="V131" s="8" t="n">
        <v>712</v>
      </c>
      <c r="W131" s="10" t="n">
        <v>1</v>
      </c>
    </row>
    <row r="132">
      <c r="A132" s="7" t="inlineStr">
        <is>
          <t>MAT-02-053</t>
        </is>
      </c>
      <c r="B132" s="4" t="inlineStr">
        <is>
          <t>Derretido para cerámica blanco,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328</v>
      </c>
      <c r="L132" s="8" t="n"/>
      <c r="M132" s="8" t="n"/>
      <c r="N132" s="8" t="n"/>
      <c r="O132" s="8" t="n"/>
      <c r="P132" s="8" t="n"/>
      <c r="Q132" s="8">
        <f>IF(COUNT(D132:P132)=0,"",MIN(D132:P132))</f>
        <v/>
      </c>
      <c r="R132" s="8">
        <f>IF(COUNT(D132:P132)=0,"",MEDIAN(D132:P132))</f>
        <v/>
      </c>
      <c r="S132" s="8">
        <f>IF(COUNT(D132:P132)=0,"",MAX(D132:P132))</f>
        <v/>
      </c>
      <c r="T132" s="9">
        <f>IF(OR(Q132="",Q132=0),"",(S132-Q132)/Q132)</f>
        <v/>
      </c>
      <c r="U132" s="7">
        <f>IF(COUNT(D132:P132)=0,"",INDEX($D$1:$P$1,MATCH(MIN(D132:P132),D132:P132,0)))</f>
        <v/>
      </c>
      <c r="V132" s="8" t="n">
        <v>328</v>
      </c>
      <c r="W132" s="10" t="n">
        <v>1</v>
      </c>
    </row>
    <row r="133">
      <c r="A133" s="7" t="inlineStr">
        <is>
          <t>MAT-02-054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543.15</v>
      </c>
      <c r="L133" s="8" t="n"/>
      <c r="M133" s="8" t="n"/>
      <c r="N133" s="8" t="n"/>
      <c r="O133" s="8" t="n"/>
      <c r="P133" s="8" t="n"/>
      <c r="Q133" s="8">
        <f>IF(COUNT(D133:P133)=0,"",MIN(D133:P133))</f>
        <v/>
      </c>
      <c r="R133" s="8">
        <f>IF(COUNT(D133:P133)=0,"",MEDIAN(D133:P133))</f>
        <v/>
      </c>
      <c r="S133" s="8">
        <f>IF(COUNT(D133:P133)=0,"",MAX(D133:P133))</f>
        <v/>
      </c>
      <c r="T133" s="9">
        <f>IF(OR(Q133="",Q133=0),"",(S133-Q133)/Q133)</f>
        <v/>
      </c>
      <c r="U133" s="7">
        <f>IF(COUNT(D133:P133)=0,"",INDEX($D$1:$P$1,MATCH(MIN(D133:P133),D133:P133,0)))</f>
        <v/>
      </c>
      <c r="V133" s="8" t="n">
        <v>555.05</v>
      </c>
      <c r="W133" s="10" t="n">
        <v>1</v>
      </c>
    </row>
    <row r="134">
      <c r="A134" s="7" t="inlineStr">
        <is>
          <t>MAT-02-055</t>
        </is>
      </c>
      <c r="B134" s="4" t="inlineStr">
        <is>
          <t>Derretido para cerámica, 50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1365.1</v>
      </c>
      <c r="L134" s="8" t="n"/>
      <c r="M134" s="8" t="n"/>
      <c r="N134" s="8" t="n"/>
      <c r="O134" s="8" t="n"/>
      <c r="P134" s="8" t="n"/>
      <c r="Q134" s="8">
        <f>IF(COUNT(D134:P134)=0,"",MIN(D134:P134))</f>
        <v/>
      </c>
      <c r="R134" s="8">
        <f>IF(COUNT(D134:P134)=0,"",MEDIAN(D134:P134))</f>
        <v/>
      </c>
      <c r="S134" s="8">
        <f>IF(COUNT(D134:P134)=0,"",MAX(D134:P134))</f>
        <v/>
      </c>
      <c r="T134" s="9">
        <f>IF(OR(Q134="",Q134=0),"",(S134-Q134)/Q134)</f>
        <v/>
      </c>
      <c r="U134" s="7">
        <f>IF(COUNT(D134:P134)=0,"",INDEX($D$1:$P$1,MATCH(MIN(D134:P134),D134:P134,0)))</f>
        <v/>
      </c>
      <c r="V134" s="8" t="n">
        <v>1365.1</v>
      </c>
      <c r="W134" s="10" t="n">
        <v>1</v>
      </c>
    </row>
    <row r="135">
      <c r="A135" s="7" t="inlineStr">
        <is>
          <t>MAT-02-056</t>
        </is>
      </c>
      <c r="B135" s="4" t="inlineStr">
        <is>
          <t>Mortero de anclaje, 22 kg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1270.75</v>
      </c>
      <c r="L135" s="8" t="n"/>
      <c r="M135" s="8" t="n"/>
      <c r="N135" s="8" t="n"/>
      <c r="O135" s="8" t="n"/>
      <c r="P135" s="8" t="n"/>
      <c r="Q135" s="8">
        <f>IF(COUNT(D135:P135)=0,"",MIN(D135:P135))</f>
        <v/>
      </c>
      <c r="R135" s="8">
        <f>IF(COUNT(D135:P135)=0,"",MEDIAN(D135:P135))</f>
        <v/>
      </c>
      <c r="S135" s="8">
        <f>IF(COUNT(D135:P135)=0,"",MAX(D135:P135))</f>
        <v/>
      </c>
      <c r="T135" s="9">
        <f>IF(OR(Q135="",Q135=0),"",(S135-Q135)/Q135)</f>
        <v/>
      </c>
      <c r="U135" s="7">
        <f>IF(COUNT(D135:P135)=0,"",INDEX($D$1:$P$1,MATCH(MIN(D135:P135),D135:P135,0)))</f>
        <v/>
      </c>
      <c r="V135" s="8" t="n">
        <v>1270.75</v>
      </c>
      <c r="W135" s="10" t="n">
        <v>1</v>
      </c>
    </row>
    <row r="136">
      <c r="A136" s="7" t="inlineStr">
        <is>
          <t>MAT-02-057</t>
        </is>
      </c>
      <c r="B136" s="4" t="inlineStr">
        <is>
          <t>Mortero de pañete, 10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135</v>
      </c>
      <c r="L136" s="8" t="n"/>
      <c r="M136" s="8" t="n"/>
      <c r="N136" s="8" t="n"/>
      <c r="O136" s="8" t="n"/>
      <c r="P136" s="8" t="n"/>
      <c r="Q136" s="8">
        <f>IF(COUNT(D136:P136)=0,"",MIN(D136:P136))</f>
        <v/>
      </c>
      <c r="R136" s="8">
        <f>IF(COUNT(D136:P136)=0,"",MEDIAN(D136:P136))</f>
        <v/>
      </c>
      <c r="S136" s="8">
        <f>IF(COUNT(D136:P136)=0,"",MAX(D136:P136))</f>
        <v/>
      </c>
      <c r="T136" s="9">
        <f>IF(OR(Q136="",Q136=0),"",(S136-Q136)/Q136)</f>
        <v/>
      </c>
      <c r="U136" s="7">
        <f>IF(COUNT(D136:P136)=0,"",INDEX($D$1:$P$1,MATCH(MIN(D136:P136),D136:P136,0)))</f>
        <v/>
      </c>
      <c r="V136" s="8" t="n">
        <v>135</v>
      </c>
      <c r="W136" s="10" t="n">
        <v>1</v>
      </c>
    </row>
    <row r="137">
      <c r="A137" s="7" t="inlineStr">
        <is>
          <t>MAT-02-058</t>
        </is>
      </c>
      <c r="B137" s="4" t="inlineStr">
        <is>
          <t>Mortero gris, 50 lb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1308</v>
      </c>
      <c r="L137" s="8" t="n"/>
      <c r="M137" s="8" t="n"/>
      <c r="N137" s="8" t="n"/>
      <c r="O137" s="8" t="n"/>
      <c r="P137" s="8" t="n"/>
      <c r="Q137" s="8">
        <f>IF(COUNT(D137:P137)=0,"",MIN(D137:P137))</f>
        <v/>
      </c>
      <c r="R137" s="8">
        <f>IF(COUNT(D137:P137)=0,"",MEDIAN(D137:P137))</f>
        <v/>
      </c>
      <c r="S137" s="8">
        <f>IF(COUNT(D137:P137)=0,"",MAX(D137:P137))</f>
        <v/>
      </c>
      <c r="T137" s="9">
        <f>IF(OR(Q137="",Q137=0),"",(S137-Q137)/Q137)</f>
        <v/>
      </c>
      <c r="U137" s="7">
        <f>IF(COUNT(D137:P137)=0,"",INDEX($D$1:$P$1,MATCH(MIN(D137:P137),D137:P137,0)))</f>
        <v/>
      </c>
      <c r="V137" s="8" t="n">
        <v>1308</v>
      </c>
      <c r="W137" s="10" t="n">
        <v>1</v>
      </c>
    </row>
    <row r="138">
      <c r="A138" s="7" t="inlineStr">
        <is>
          <t>MAT-02-059</t>
        </is>
      </c>
      <c r="B138" s="4" t="inlineStr">
        <is>
          <t>Mortero impermeabilizante, 25 kg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2715.75</v>
      </c>
      <c r="L138" s="8" t="n"/>
      <c r="M138" s="8" t="n"/>
      <c r="N138" s="8" t="n"/>
      <c r="O138" s="8" t="n"/>
      <c r="P138" s="8" t="n"/>
      <c r="Q138" s="8">
        <f>IF(COUNT(D138:P138)=0,"",MIN(D138:P138))</f>
        <v/>
      </c>
      <c r="R138" s="8">
        <f>IF(COUNT(D138:P138)=0,"",MEDIAN(D138:P138))</f>
        <v/>
      </c>
      <c r="S138" s="8">
        <f>IF(COUNT(D138:P138)=0,"",MAX(D138:P138))</f>
        <v/>
      </c>
      <c r="T138" s="9">
        <f>IF(OR(Q138="",Q138=0),"",(S138-Q138)/Q138)</f>
        <v/>
      </c>
      <c r="U138" s="7">
        <f>IF(COUNT(D138:P138)=0,"",INDEX($D$1:$P$1,MATCH(MIN(D138:P138),D138:P138,0)))</f>
        <v/>
      </c>
      <c r="V138" s="8" t="n">
        <v>2715.75</v>
      </c>
      <c r="W138" s="10" t="n">
        <v>1</v>
      </c>
    </row>
    <row r="139">
      <c r="A139" s="7" t="inlineStr">
        <is>
          <t>MAT-02-060</t>
        </is>
      </c>
      <c r="B139" s="4" t="inlineStr">
        <is>
          <t>Mortero para cerámica,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2396</v>
      </c>
      <c r="L139" s="8" t="n"/>
      <c r="M139" s="8" t="n"/>
      <c r="N139" s="8" t="n"/>
      <c r="O139" s="8" t="n"/>
      <c r="P139" s="8" t="n"/>
      <c r="Q139" s="8">
        <f>IF(COUNT(D139:P139)=0,"",MIN(D139:P139))</f>
        <v/>
      </c>
      <c r="R139" s="8">
        <f>IF(COUNT(D139:P139)=0,"",MEDIAN(D139:P139))</f>
        <v/>
      </c>
      <c r="S139" s="8">
        <f>IF(COUNT(D139:P139)=0,"",MAX(D139:P139))</f>
        <v/>
      </c>
      <c r="T139" s="9">
        <f>IF(OR(Q139="",Q139=0),"",(S139-Q139)/Q139)</f>
        <v/>
      </c>
      <c r="U139" s="7">
        <f>IF(COUNT(D139:P139)=0,"",INDEX($D$1:$P$1,MATCH(MIN(D139:P139),D139:P139,0)))</f>
        <v/>
      </c>
      <c r="V139" s="8" t="n">
        <v>2396</v>
      </c>
      <c r="W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1/4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625</v>
      </c>
      <c r="L140" s="8" t="n"/>
      <c r="M140" s="8" t="n"/>
      <c r="N140" s="8" t="n"/>
      <c r="O140" s="8" t="n"/>
      <c r="P140" s="8" t="n"/>
      <c r="Q140" s="8">
        <f>IF(COUNT(D140:P140)=0,"",MIN(D140:P140))</f>
        <v/>
      </c>
      <c r="R140" s="8">
        <f>IF(COUNT(D140:P140)=0,"",MEDIAN(D140:P140))</f>
        <v/>
      </c>
      <c r="S140" s="8">
        <f>IF(COUNT(D140:P140)=0,"",MAX(D140:P140))</f>
        <v/>
      </c>
      <c r="T140" s="9">
        <f>IF(OR(Q140="",Q140=0),"",(S140-Q140)/Q140)</f>
        <v/>
      </c>
      <c r="U140" s="7">
        <f>IF(COUNT(D140:P140)=0,"",INDEX($D$1:$P$1,MATCH(MIN(D140:P140),D140:P140,0)))</f>
        <v/>
      </c>
      <c r="V140" s="8" t="n">
        <v>625</v>
      </c>
      <c r="W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 galón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1845</v>
      </c>
      <c r="L141" s="8" t="n"/>
      <c r="M141" s="8" t="n"/>
      <c r="N141" s="8" t="n"/>
      <c r="O141" s="8" t="n"/>
      <c r="P141" s="8" t="n"/>
      <c r="Q141" s="8">
        <f>IF(COUNT(D141:P141)=0,"",MIN(D141:P141))</f>
        <v/>
      </c>
      <c r="R141" s="8">
        <f>IF(COUNT(D141:P141)=0,"",MEDIAN(D141:P141))</f>
        <v/>
      </c>
      <c r="S141" s="8">
        <f>IF(COUNT(D141:P141)=0,"",MAX(D141:P141))</f>
        <v/>
      </c>
      <c r="T141" s="9">
        <f>IF(OR(Q141="",Q141=0),"",(S141-Q141)/Q141)</f>
        <v/>
      </c>
      <c r="U141" s="7">
        <f>IF(COUNT(D141:P141)=0,"",INDEX($D$1:$P$1,MATCH(MIN(D141:P141),D141:P141,0)))</f>
        <v/>
      </c>
      <c r="V141" s="8" t="n">
        <v>1845</v>
      </c>
      <c r="W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10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437.75</v>
      </c>
      <c r="L142" s="8" t="n"/>
      <c r="M142" s="8" t="n"/>
      <c r="N142" s="8" t="n"/>
      <c r="O142" s="8" t="n"/>
      <c r="P142" s="8" t="n"/>
      <c r="Q142" s="8">
        <f>IF(COUNT(D142:P142)=0,"",MIN(D142:P142))</f>
        <v/>
      </c>
      <c r="R142" s="8">
        <f>IF(COUNT(D142:P142)=0,"",MEDIAN(D142:P142))</f>
        <v/>
      </c>
      <c r="S142" s="8">
        <f>IF(COUNT(D142:P142)=0,"",MAX(D142:P142))</f>
        <v/>
      </c>
      <c r="T142" s="9">
        <f>IF(OR(Q142="",Q142=0),"",(S142-Q142)/Q142)</f>
        <v/>
      </c>
      <c r="U142" s="7">
        <f>IF(COUNT(D142:P142)=0,"",INDEX($D$1:$P$1,MATCH(MIN(D142:P142),D142:P142,0)))</f>
        <v/>
      </c>
      <c r="V142" s="8" t="n">
        <v>569.5</v>
      </c>
      <c r="W142" s="10" t="n">
        <v>1</v>
      </c>
    </row>
    <row r="143">
      <c r="A143" s="7" t="inlineStr">
        <is>
          <t>MAT-02-064</t>
        </is>
      </c>
      <c r="B143" s="4" t="inlineStr">
        <is>
          <t>Pegamento de cerámica para cerámica, 50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325</v>
      </c>
      <c r="L143" s="8" t="n"/>
      <c r="M143" s="8" t="n"/>
      <c r="N143" s="8" t="n"/>
      <c r="O143" s="8" t="n"/>
      <c r="P143" s="8" t="n"/>
      <c r="Q143" s="8">
        <f>IF(COUNT(D143:P143)=0,"",MIN(D143:P143))</f>
        <v/>
      </c>
      <c r="R143" s="8">
        <f>IF(COUNT(D143:P143)=0,"",MEDIAN(D143:P143))</f>
        <v/>
      </c>
      <c r="S143" s="8">
        <f>IF(COUNT(D143:P143)=0,"",MAX(D143:P143))</f>
        <v/>
      </c>
      <c r="T143" s="9">
        <f>IF(OR(Q143="",Q143=0),"",(S143-Q143)/Q143)</f>
        <v/>
      </c>
      <c r="U143" s="7">
        <f>IF(COUNT(D143:P143)=0,"",INDEX($D$1:$P$1,MATCH(MIN(D143:P143),D143:P143,0)))</f>
        <v/>
      </c>
      <c r="V143" s="8" t="n">
        <v>330.5</v>
      </c>
      <c r="W143" s="10" t="n">
        <v>1</v>
      </c>
    </row>
    <row r="144">
      <c r="A144" s="7" t="inlineStr">
        <is>
          <t>MAT-02-065</t>
        </is>
      </c>
      <c r="B144" s="4" t="inlineStr">
        <is>
          <t>Yeso en polvo blanco,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/>
      <c r="J144" s="8" t="n"/>
      <c r="K144" s="8" t="n">
        <v>167</v>
      </c>
      <c r="L144" s="8" t="n"/>
      <c r="M144" s="8" t="n"/>
      <c r="N144" s="8" t="n"/>
      <c r="O144" s="8" t="n"/>
      <c r="P144" s="8" t="n"/>
      <c r="Q144" s="8">
        <f>IF(COUNT(D144:P144)=0,"",MIN(D144:P144))</f>
        <v/>
      </c>
      <c r="R144" s="8">
        <f>IF(COUNT(D144:P144)=0,"",MEDIAN(D144:P144))</f>
        <v/>
      </c>
      <c r="S144" s="8">
        <f>IF(COUNT(D144:P144)=0,"",MAX(D144:P144))</f>
        <v/>
      </c>
      <c r="T144" s="9">
        <f>IF(OR(Q144="",Q144=0),"",(S144-Q144)/Q144)</f>
        <v/>
      </c>
      <c r="U144" s="7">
        <f>IF(COUNT(D144:P144)=0,"",INDEX($D$1:$P$1,MATCH(MIN(D144:P144),D144:P144,0)))</f>
        <v/>
      </c>
      <c r="V144" s="8" t="n">
        <v>167</v>
      </c>
      <c r="W144" s="10" t="n">
        <v>1</v>
      </c>
    </row>
    <row r="145">
      <c r="A145" s="7" t="inlineStr">
        <is>
          <t>MAT-02-066</t>
        </is>
      </c>
      <c r="B145" s="4" t="inlineStr">
        <is>
          <t>Yeso en polvo blanco, 2 lb</t>
        </is>
      </c>
      <c r="C145" s="7" t="inlineStr">
        <is>
          <t>unidad</t>
        </is>
      </c>
      <c r="D145" s="8" t="n"/>
      <c r="E145" s="8" t="n"/>
      <c r="F145" s="8" t="n"/>
      <c r="G145" s="8" t="n">
        <v>45</v>
      </c>
      <c r="H145" s="8" t="n"/>
      <c r="I145" s="8" t="n"/>
      <c r="J145" s="8" t="n"/>
      <c r="K145" s="8" t="n">
        <v>28</v>
      </c>
      <c r="L145" s="8" t="n">
        <v>30</v>
      </c>
      <c r="M145" s="8" t="n"/>
      <c r="N145" s="8" t="n"/>
      <c r="O145" s="8" t="n"/>
      <c r="P145" s="8" t="n"/>
      <c r="Q145" s="8">
        <f>IF(COUNT(D145:P145)=0,"",MIN(D145:P145))</f>
        <v/>
      </c>
      <c r="R145" s="8">
        <f>IF(COUNT(D145:P145)=0,"",MEDIAN(D145:P145))</f>
        <v/>
      </c>
      <c r="S145" s="8">
        <f>IF(COUNT(D145:P145)=0,"",MAX(D145:P145))</f>
        <v/>
      </c>
      <c r="T145" s="9">
        <f>IF(OR(Q145="",Q145=0),"",(S145-Q145)/Q145)</f>
        <v/>
      </c>
      <c r="U145" s="7">
        <f>IF(COUNT(D145:P145)=0,"",INDEX($D$1:$P$1,MATCH(MIN(D145:P145),D145:P145,0)))</f>
        <v/>
      </c>
      <c r="V145" s="8" t="n">
        <v>30</v>
      </c>
      <c r="W145" s="10" t="n">
        <v>3</v>
      </c>
    </row>
    <row r="146">
      <c r="A146" s="7" t="inlineStr">
        <is>
          <t>MAT-02-067</t>
        </is>
      </c>
      <c r="B146" s="4" t="inlineStr">
        <is>
          <t>Cemento gris, funda de 5 libras</t>
        </is>
      </c>
      <c r="C146" s="7" t="inlineStr">
        <is>
          <t>funda</t>
        </is>
      </c>
      <c r="D146" s="8" t="n">
        <v>34.36</v>
      </c>
      <c r="E146" s="8" t="n"/>
      <c r="F146" s="8" t="n"/>
      <c r="G146" s="8" t="n">
        <v>75</v>
      </c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>
        <f>IF(COUNT(D146:P146)=0,"",MIN(D146:P146))</f>
        <v/>
      </c>
      <c r="R146" s="8">
        <f>IF(COUNT(D146:P146)=0,"",MEDIAN(D146:P146))</f>
        <v/>
      </c>
      <c r="S146" s="8">
        <f>IF(COUNT(D146:P146)=0,"",MAX(D146:P146))</f>
        <v/>
      </c>
      <c r="T146" s="9">
        <f>IF(OR(Q146="",Q146=0),"",(S146-Q146)/Q146)</f>
        <v/>
      </c>
      <c r="U146" s="7">
        <f>IF(COUNT(D146:P146)=0,"",INDEX($D$1:$P$1,MATCH(MIN(D146:P146),D146:P146,0)))</f>
        <v/>
      </c>
      <c r="V146" s="8" t="n">
        <v>54.68</v>
      </c>
      <c r="W146" s="10" t="n">
        <v>2</v>
      </c>
    </row>
    <row r="147">
      <c r="A147" s="7" t="inlineStr">
        <is>
          <t>MAT-02-068</t>
        </is>
      </c>
      <c r="B147" s="4" t="inlineStr">
        <is>
          <t>Cemento gris, funda de 10 libras</t>
        </is>
      </c>
      <c r="C147" s="7" t="inlineStr">
        <is>
          <t>funda</t>
        </is>
      </c>
      <c r="D147" s="8" t="n">
        <v>65.95999999999999</v>
      </c>
      <c r="E147" s="8" t="n"/>
      <c r="F147" s="8" t="n"/>
      <c r="G147" s="8" t="n"/>
      <c r="H147" s="8" t="n"/>
      <c r="I147" s="8" t="n"/>
      <c r="J147" s="8" t="n"/>
      <c r="K147" s="8" t="n">
        <v>173</v>
      </c>
      <c r="L147" s="8" t="n"/>
      <c r="M147" s="8" t="n"/>
      <c r="N147" s="8" t="n"/>
      <c r="O147" s="8" t="n"/>
      <c r="P147" s="8" t="n"/>
      <c r="Q147" s="8">
        <f>IF(COUNT(D147:P147)=0,"",MIN(D147:P147))</f>
        <v/>
      </c>
      <c r="R147" s="8">
        <f>IF(COUNT(D147:P147)=0,"",MEDIAN(D147:P147))</f>
        <v/>
      </c>
      <c r="S147" s="8">
        <f>IF(COUNT(D147:P147)=0,"",MAX(D147:P147))</f>
        <v/>
      </c>
      <c r="T147" s="9">
        <f>IF(OR(Q147="",Q147=0),"",(S147-Q147)/Q147)</f>
        <v/>
      </c>
      <c r="U147" s="7">
        <f>IF(COUNT(D147:P147)=0,"",INDEX($D$1:$P$1,MATCH(MIN(D147:P147),D147:P147,0)))</f>
        <v/>
      </c>
      <c r="V147" s="8" t="n">
        <v>119.48</v>
      </c>
      <c r="W147" s="10" t="n">
        <v>2</v>
      </c>
    </row>
    <row r="148">
      <c r="A148" s="7" t="inlineStr">
        <is>
          <t>MAT-02-069</t>
        </is>
      </c>
      <c r="B148" s="4" t="inlineStr">
        <is>
          <t>Cemento blanco, funda de 2 libras</t>
        </is>
      </c>
      <c r="C148" s="7" t="inlineStr">
        <is>
          <t>funda</t>
        </is>
      </c>
      <c r="D148" s="8" t="n">
        <v>49.97</v>
      </c>
      <c r="E148" s="8" t="n"/>
      <c r="F148" s="8" t="n"/>
      <c r="G148" s="8" t="n">
        <v>75</v>
      </c>
      <c r="H148" s="8" t="n"/>
      <c r="I148" s="8" t="n"/>
      <c r="J148" s="8" t="n"/>
      <c r="K148" s="8" t="n">
        <v>57</v>
      </c>
      <c r="L148" s="8" t="n">
        <v>54.01</v>
      </c>
      <c r="M148" s="8" t="n"/>
      <c r="N148" s="8" t="n"/>
      <c r="O148" s="8" t="n"/>
      <c r="P148" s="8" t="n"/>
      <c r="Q148" s="8">
        <f>IF(COUNT(D148:P148)=0,"",MIN(D148:P148))</f>
        <v/>
      </c>
      <c r="R148" s="8">
        <f>IF(COUNT(D148:P148)=0,"",MEDIAN(D148:P148))</f>
        <v/>
      </c>
      <c r="S148" s="8">
        <f>IF(COUNT(D148:P148)=0,"",MAX(D148:P148))</f>
        <v/>
      </c>
      <c r="T148" s="9">
        <f>IF(OR(Q148="",Q148=0),"",(S148-Q148)/Q148)</f>
        <v/>
      </c>
      <c r="U148" s="7">
        <f>IF(COUNT(D148:P148)=0,"",INDEX($D$1:$P$1,MATCH(MIN(D148:P148),D148:P148,0)))</f>
        <v/>
      </c>
      <c r="V148" s="8" t="n">
        <v>57</v>
      </c>
      <c r="W148" s="10" t="n">
        <v>4</v>
      </c>
    </row>
    <row r="149">
      <c r="A149" s="7" t="inlineStr">
        <is>
          <t>MAT-02-070</t>
        </is>
      </c>
      <c r="B149" s="4" t="inlineStr">
        <is>
          <t>Cemento blanco, funda de 5 libras</t>
        </is>
      </c>
      <c r="C149" s="7" t="inlineStr">
        <is>
          <t>funda</t>
        </is>
      </c>
      <c r="D149" s="8" t="n">
        <v>109.93</v>
      </c>
      <c r="E149" s="8" t="n"/>
      <c r="F149" s="8" t="n"/>
      <c r="G149" s="8" t="n">
        <v>175</v>
      </c>
      <c r="H149" s="8" t="n"/>
      <c r="I149" s="8" t="n"/>
      <c r="J149" s="8" t="n"/>
      <c r="K149" s="8" t="n">
        <v>132</v>
      </c>
      <c r="L149" s="8" t="n">
        <v>145</v>
      </c>
      <c r="M149" s="8" t="n"/>
      <c r="N149" s="8" t="n"/>
      <c r="O149" s="8" t="n"/>
      <c r="P149" s="8" t="n"/>
      <c r="Q149" s="8">
        <f>IF(COUNT(D149:P149)=0,"",MIN(D149:P149))</f>
        <v/>
      </c>
      <c r="R149" s="8">
        <f>IF(COUNT(D149:P149)=0,"",MEDIAN(D149:P149))</f>
        <v/>
      </c>
      <c r="S149" s="8">
        <f>IF(COUNT(D149:P149)=0,"",MAX(D149:P149))</f>
        <v/>
      </c>
      <c r="T149" s="9">
        <f>IF(OR(Q149="",Q149=0),"",(S149-Q149)/Q149)</f>
        <v/>
      </c>
      <c r="U149" s="7">
        <f>IF(COUNT(D149:P149)=0,"",INDEX($D$1:$P$1,MATCH(MIN(D149:P149),D149:P149,0)))</f>
        <v/>
      </c>
      <c r="V149" s="8" t="n">
        <v>138.5</v>
      </c>
      <c r="W149" s="10" t="n">
        <v>4</v>
      </c>
    </row>
    <row r="150">
      <c r="A150" s="7" t="inlineStr">
        <is>
          <t>MAT-02-071</t>
        </is>
      </c>
      <c r="B150" s="4" t="inlineStr">
        <is>
          <t>Cemento blanco, funda de 10 libras</t>
        </is>
      </c>
      <c r="C150" s="7" t="inlineStr">
        <is>
          <t>funda</t>
        </is>
      </c>
      <c r="D150" s="8" t="n">
        <v>159.1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>
        <f>IF(COUNT(D150:P150)=0,"",MIN(D150:P150))</f>
        <v/>
      </c>
      <c r="R150" s="8">
        <f>IF(COUNT(D150:P150)=0,"",MEDIAN(D150:P150))</f>
        <v/>
      </c>
      <c r="S150" s="8">
        <f>IF(COUNT(D150:P150)=0,"",MAX(D150:P150))</f>
        <v/>
      </c>
      <c r="T150" s="9">
        <f>IF(OR(Q150="",Q150=0),"",(S150-Q150)/Q150)</f>
        <v/>
      </c>
      <c r="U150" s="7">
        <f>IF(COUNT(D150:P150)=0,"",INDEX($D$1:$P$1,MATCH(MIN(D150:P150),D150:P150,0)))</f>
        <v/>
      </c>
      <c r="V150" s="8" t="n">
        <v>159.1</v>
      </c>
      <c r="W150" s="10" t="n">
        <v>1</v>
      </c>
    </row>
    <row r="151">
      <c r="A151" s="7" t="inlineStr">
        <is>
          <t>MAT-02-072</t>
        </is>
      </c>
      <c r="B151" s="4" t="inlineStr">
        <is>
          <t>Yeso en polvo, por libra</t>
        </is>
      </c>
      <c r="C151" s="7" t="inlineStr">
        <is>
          <t>lb</t>
        </is>
      </c>
      <c r="D151" s="8" t="n">
        <v>4.8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>
        <f>IF(COUNT(D151:P151)=0,"",MIN(D151:P151))</f>
        <v/>
      </c>
      <c r="R151" s="8">
        <f>IF(COUNT(D151:P151)=0,"",MEDIAN(D151:P151))</f>
        <v/>
      </c>
      <c r="S151" s="8">
        <f>IF(COUNT(D151:P151)=0,"",MAX(D151:P151))</f>
        <v/>
      </c>
      <c r="T151" s="9">
        <f>IF(OR(Q151="",Q151=0),"",(S151-Q151)/Q151)</f>
        <v/>
      </c>
      <c r="U151" s="7">
        <f>IF(COUNT(D151:P151)=0,"",INDEX($D$1:$P$1,MATCH(MIN(D151:P151),D151:P151,0)))</f>
        <v/>
      </c>
      <c r="V151" s="8" t="n">
        <v>4.8</v>
      </c>
      <c r="W151" s="10" t="n">
        <v>1</v>
      </c>
    </row>
    <row r="152">
      <c r="A152" s="7" t="inlineStr">
        <is>
          <t>MAT-02-073</t>
        </is>
      </c>
      <c r="B152" s="4" t="inlineStr">
        <is>
          <t>Yeso en polvo, funda de 5 libras</t>
        </is>
      </c>
      <c r="C152" s="7" t="inlineStr">
        <is>
          <t>funda</t>
        </is>
      </c>
      <c r="D152" s="8" t="n">
        <v>37.93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>
        <f>IF(COUNT(D152:P152)=0,"",MIN(D152:P152))</f>
        <v/>
      </c>
      <c r="R152" s="8">
        <f>IF(COUNT(D152:P152)=0,"",MEDIAN(D152:P152))</f>
        <v/>
      </c>
      <c r="S152" s="8">
        <f>IF(COUNT(D152:P152)=0,"",MAX(D152:P152))</f>
        <v/>
      </c>
      <c r="T152" s="9">
        <f>IF(OR(Q152="",Q152=0),"",(S152-Q152)/Q152)</f>
        <v/>
      </c>
      <c r="U152" s="7">
        <f>IF(COUNT(D152:P152)=0,"",INDEX($D$1:$P$1,MATCH(MIN(D152:P152),D152:P152,0)))</f>
        <v/>
      </c>
      <c r="V152" s="8" t="n">
        <v>37.93</v>
      </c>
      <c r="W152" s="10" t="n">
        <v>1</v>
      </c>
    </row>
    <row r="153">
      <c r="A153" s="7" t="inlineStr">
        <is>
          <t>MAT-02-074</t>
        </is>
      </c>
      <c r="B153" s="4" t="inlineStr">
        <is>
          <t>Yeso en polvo Paloma, funda de 65 libras</t>
        </is>
      </c>
      <c r="C153" s="7" t="inlineStr">
        <is>
          <t>funda</t>
        </is>
      </c>
      <c r="D153" s="8" t="n">
        <v>373.64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>
        <f>IF(COUNT(D153:P153)=0,"",MIN(D153:P153))</f>
        <v/>
      </c>
      <c r="R153" s="8">
        <f>IF(COUNT(D153:P153)=0,"",MEDIAN(D153:P153))</f>
        <v/>
      </c>
      <c r="S153" s="8">
        <f>IF(COUNT(D153:P153)=0,"",MAX(D153:P153))</f>
        <v/>
      </c>
      <c r="T153" s="9">
        <f>IF(OR(Q153="",Q153=0),"",(S153-Q153)/Q153)</f>
        <v/>
      </c>
      <c r="U153" s="7">
        <f>IF(COUNT(D153:P153)=0,"",INDEX($D$1:$P$1,MATCH(MIN(D153:P153),D153:P153,0)))</f>
        <v/>
      </c>
      <c r="V153" s="8" t="n">
        <v>373.64</v>
      </c>
      <c r="W153" s="10" t="n">
        <v>1</v>
      </c>
    </row>
    <row r="154">
      <c r="A154" s="7" t="inlineStr">
        <is>
          <t>MAT-02-075</t>
        </is>
      </c>
      <c r="B154" s="4" t="inlineStr">
        <is>
          <t>Fibra de acero para hormigón, funda de 5.3 kg</t>
        </is>
      </c>
      <c r="C154" s="7" t="inlineStr">
        <is>
          <t>funda</t>
        </is>
      </c>
      <c r="D154" s="8" t="n">
        <v>1295.68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>
        <f>IF(COUNT(D154:P154)=0,"",MIN(D154:P154))</f>
        <v/>
      </c>
      <c r="R154" s="8">
        <f>IF(COUNT(D154:P154)=0,"",MEDIAN(D154:P154))</f>
        <v/>
      </c>
      <c r="S154" s="8">
        <f>IF(COUNT(D154:P154)=0,"",MAX(D154:P154))</f>
        <v/>
      </c>
      <c r="T154" s="9">
        <f>IF(OR(Q154="",Q154=0),"",(S154-Q154)/Q154)</f>
        <v/>
      </c>
      <c r="U154" s="7">
        <f>IF(COUNT(D154:P154)=0,"",INDEX($D$1:$P$1,MATCH(MIN(D154:P154),D154:P154,0)))</f>
        <v/>
      </c>
      <c r="V154" s="8" t="n">
        <v>1295.68</v>
      </c>
      <c r="W154" s="10" t="n">
        <v>1</v>
      </c>
    </row>
    <row r="155">
      <c r="A155" s="7" t="inlineStr">
        <is>
          <t>MAT-02-076</t>
        </is>
      </c>
      <c r="B155" s="4" t="inlineStr">
        <is>
          <t>Macrofibra sintética para hormigón, funda de 1.5 kg</t>
        </is>
      </c>
      <c r="C155" s="7" t="inlineStr">
        <is>
          <t>funda</t>
        </is>
      </c>
      <c r="D155" s="8" t="n">
        <v>807.79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>
        <f>IF(COUNT(D155:P155)=0,"",MIN(D155:P155))</f>
        <v/>
      </c>
      <c r="R155" s="8">
        <f>IF(COUNT(D155:P155)=0,"",MEDIAN(D155:P155))</f>
        <v/>
      </c>
      <c r="S155" s="8">
        <f>IF(COUNT(D155:P155)=0,"",MAX(D155:P155))</f>
        <v/>
      </c>
      <c r="T155" s="9">
        <f>IF(OR(Q155="",Q155=0),"",(S155-Q155)/Q155)</f>
        <v/>
      </c>
      <c r="U155" s="7">
        <f>IF(COUNT(D155:P155)=0,"",INDEX($D$1:$P$1,MATCH(MIN(D155:P155),D155:P155,0)))</f>
        <v/>
      </c>
      <c r="V155" s="8" t="n">
        <v>807.79</v>
      </c>
      <c r="W155" s="10" t="n">
        <v>1</v>
      </c>
    </row>
    <row r="156">
      <c r="A156" s="7" t="inlineStr">
        <is>
          <t>MAT-04-027</t>
        </is>
      </c>
      <c r="B156" s="4" t="inlineStr">
        <is>
          <t>Varilla corrugada 1 1/4" x 40 pies</t>
        </is>
      </c>
      <c r="C156" s="7" t="inlineStr">
        <is>
          <t>unidad</t>
        </is>
      </c>
      <c r="D156" s="8" t="n"/>
      <c r="E156" s="8" t="n">
        <v>5692.31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>
        <f>IF(COUNT(D156:P156)=0,"",MIN(D156:P156))</f>
        <v/>
      </c>
      <c r="R156" s="8">
        <f>IF(COUNT(D156:P156)=0,"",MEDIAN(D156:P156))</f>
        <v/>
      </c>
      <c r="S156" s="8">
        <f>IF(COUNT(D156:P156)=0,"",MAX(D156:P156))</f>
        <v/>
      </c>
      <c r="T156" s="9">
        <f>IF(OR(Q156="",Q156=0),"",(S156-Q156)/Q156)</f>
        <v/>
      </c>
      <c r="U156" s="7">
        <f>IF(COUNT(D156:P156)=0,"",INDEX($D$1:$P$1,MATCH(MIN(D156:P156),D156:P156,0)))</f>
        <v/>
      </c>
      <c r="V156" s="8" t="n">
        <v>5692.31</v>
      </c>
      <c r="W156" s="10" t="n">
        <v>1</v>
      </c>
    </row>
    <row r="157">
      <c r="A157" s="7" t="inlineStr">
        <is>
          <t>MAT-04-028</t>
        </is>
      </c>
      <c r="B157" s="4" t="inlineStr">
        <is>
          <t>Varilla corrugada 1/2" x 25 pies</t>
        </is>
      </c>
      <c r="C157" s="7" t="inlineStr">
        <is>
          <t>unidad</t>
        </is>
      </c>
      <c r="D157" s="8" t="n"/>
      <c r="E157" s="8" t="n">
        <v>556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>
        <f>IF(COUNT(D157:P157)=0,"",MIN(D157:P157))</f>
        <v/>
      </c>
      <c r="R157" s="8">
        <f>IF(COUNT(D157:P157)=0,"",MEDIAN(D157:P157))</f>
        <v/>
      </c>
      <c r="S157" s="8">
        <f>IF(COUNT(D157:P157)=0,"",MAX(D157:P157))</f>
        <v/>
      </c>
      <c r="T157" s="9">
        <f>IF(OR(Q157="",Q157=0),"",(S157-Q157)/Q157)</f>
        <v/>
      </c>
      <c r="U157" s="7">
        <f>IF(COUNT(D157:P157)=0,"",INDEX($D$1:$P$1,MATCH(MIN(D157:P157),D157:P157,0)))</f>
        <v/>
      </c>
      <c r="V157" s="8" t="n">
        <v>556</v>
      </c>
      <c r="W157" s="10" t="n">
        <v>1</v>
      </c>
    </row>
    <row r="158">
      <c r="A158" s="7" t="inlineStr">
        <is>
          <t>MAT-04-029</t>
        </is>
      </c>
      <c r="B158" s="4" t="inlineStr">
        <is>
          <t>Varilla corrugada 1/2" x 30 pies</t>
        </is>
      </c>
      <c r="C158" s="7" t="inlineStr">
        <is>
          <t>unidad</t>
        </is>
      </c>
      <c r="D158" s="8" t="n"/>
      <c r="E158" s="8" t="n">
        <v>673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>
        <f>IF(COUNT(D158:P158)=0,"",MIN(D158:P158))</f>
        <v/>
      </c>
      <c r="R158" s="8">
        <f>IF(COUNT(D158:P158)=0,"",MEDIAN(D158:P158))</f>
        <v/>
      </c>
      <c r="S158" s="8">
        <f>IF(COUNT(D158:P158)=0,"",MAX(D158:P158))</f>
        <v/>
      </c>
      <c r="T158" s="9">
        <f>IF(OR(Q158="",Q158=0),"",(S158-Q158)/Q158)</f>
        <v/>
      </c>
      <c r="U158" s="7">
        <f>IF(COUNT(D158:P158)=0,"",INDEX($D$1:$P$1,MATCH(MIN(D158:P158),D158:P158,0)))</f>
        <v/>
      </c>
      <c r="V158" s="8" t="n">
        <v>673</v>
      </c>
      <c r="W158" s="10" t="n">
        <v>1</v>
      </c>
    </row>
    <row r="159">
      <c r="A159" s="7" t="inlineStr">
        <is>
          <t>MAT-04-030</t>
        </is>
      </c>
      <c r="B159" s="4" t="inlineStr">
        <is>
          <t>Varilla corrugada 1/2" x 35 pies</t>
        </is>
      </c>
      <c r="C159" s="7" t="inlineStr">
        <is>
          <t>unidad</t>
        </is>
      </c>
      <c r="D159" s="8" t="n"/>
      <c r="E159" s="8" t="n">
        <v>778.95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>
        <f>IF(COUNT(D159:P159)=0,"",MIN(D159:P159))</f>
        <v/>
      </c>
      <c r="R159" s="8">
        <f>IF(COUNT(D159:P159)=0,"",MEDIAN(D159:P159))</f>
        <v/>
      </c>
      <c r="S159" s="8">
        <f>IF(COUNT(D159:P159)=0,"",MAX(D159:P159))</f>
        <v/>
      </c>
      <c r="T159" s="9">
        <f>IF(OR(Q159="",Q159=0),"",(S159-Q159)/Q159)</f>
        <v/>
      </c>
      <c r="U159" s="7">
        <f>IF(COUNT(D159:P159)=0,"",INDEX($D$1:$P$1,MATCH(MIN(D159:P159),D159:P159,0)))</f>
        <v/>
      </c>
      <c r="V159" s="8" t="n">
        <v>778.95</v>
      </c>
      <c r="W159" s="10" t="n">
        <v>1</v>
      </c>
    </row>
    <row r="160">
      <c r="A160" s="7" t="inlineStr">
        <is>
          <t>MAT-04-031</t>
        </is>
      </c>
      <c r="B160" s="4" t="inlineStr">
        <is>
          <t>Varilla corrugada 1/2" x 40 pies</t>
        </is>
      </c>
      <c r="C160" s="7" t="inlineStr">
        <is>
          <t>unidad</t>
        </is>
      </c>
      <c r="D160" s="8" t="n"/>
      <c r="E160" s="8" t="n">
        <v>892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>
        <f>IF(COUNT(D160:P160)=0,"",MIN(D160:P160))</f>
        <v/>
      </c>
      <c r="R160" s="8">
        <f>IF(COUNT(D160:P160)=0,"",MEDIAN(D160:P160))</f>
        <v/>
      </c>
      <c r="S160" s="8">
        <f>IF(COUNT(D160:P160)=0,"",MAX(D160:P160))</f>
        <v/>
      </c>
      <c r="T160" s="9">
        <f>IF(OR(Q160="",Q160=0),"",(S160-Q160)/Q160)</f>
        <v/>
      </c>
      <c r="U160" s="7">
        <f>IF(COUNT(D160:P160)=0,"",INDEX($D$1:$P$1,MATCH(MIN(D160:P160),D160:P160,0)))</f>
        <v/>
      </c>
      <c r="V160" s="8" t="n">
        <v>892</v>
      </c>
      <c r="W160" s="10" t="n">
        <v>1</v>
      </c>
    </row>
    <row r="161">
      <c r="A161" s="7" t="inlineStr">
        <is>
          <t>MAT-04-032</t>
        </is>
      </c>
      <c r="B161" s="4" t="inlineStr">
        <is>
          <t>Varilla corrugada 1" x 25 pies</t>
        </is>
      </c>
      <c r="C161" s="7" t="inlineStr">
        <is>
          <t>unidad</t>
        </is>
      </c>
      <c r="D161" s="8" t="n"/>
      <c r="E161" s="8" t="n">
        <v>2176.47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>
        <f>IF(COUNT(D161:P161)=0,"",MIN(D161:P161))</f>
        <v/>
      </c>
      <c r="R161" s="8">
        <f>IF(COUNT(D161:P161)=0,"",MEDIAN(D161:P161))</f>
        <v/>
      </c>
      <c r="S161" s="8">
        <f>IF(COUNT(D161:P161)=0,"",MAX(D161:P161))</f>
        <v/>
      </c>
      <c r="T161" s="9">
        <f>IF(OR(Q161="",Q161=0),"",(S161-Q161)/Q161)</f>
        <v/>
      </c>
      <c r="U161" s="7">
        <f>IF(COUNT(D161:P161)=0,"",INDEX($D$1:$P$1,MATCH(MIN(D161:P161),D161:P161,0)))</f>
        <v/>
      </c>
      <c r="V161" s="8" t="n">
        <v>2176.47</v>
      </c>
      <c r="W161" s="10" t="n">
        <v>1</v>
      </c>
    </row>
    <row r="162">
      <c r="A162" s="7" t="inlineStr">
        <is>
          <t>MAT-04-033</t>
        </is>
      </c>
      <c r="B162" s="4" t="inlineStr">
        <is>
          <t>Varilla corrugada 1" x 30 pies</t>
        </is>
      </c>
      <c r="C162" s="7" t="inlineStr">
        <is>
          <t>unidad</t>
        </is>
      </c>
      <c r="D162" s="8" t="n"/>
      <c r="E162" s="8" t="n">
        <v>2642.86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>
        <f>IF(COUNT(D162:P162)=0,"",MIN(D162:P162))</f>
        <v/>
      </c>
      <c r="R162" s="8">
        <f>IF(COUNT(D162:P162)=0,"",MEDIAN(D162:P162))</f>
        <v/>
      </c>
      <c r="S162" s="8">
        <f>IF(COUNT(D162:P162)=0,"",MAX(D162:P162))</f>
        <v/>
      </c>
      <c r="T162" s="9">
        <f>IF(OR(Q162="",Q162=0),"",(S162-Q162)/Q162)</f>
        <v/>
      </c>
      <c r="U162" s="7">
        <f>IF(COUNT(D162:P162)=0,"",INDEX($D$1:$P$1,MATCH(MIN(D162:P162),D162:P162,0)))</f>
        <v/>
      </c>
      <c r="V162" s="8" t="n">
        <v>2642.86</v>
      </c>
      <c r="W162" s="10" t="n">
        <v>1</v>
      </c>
    </row>
    <row r="163">
      <c r="A163" s="7" t="inlineStr">
        <is>
          <t>MAT-04-034</t>
        </is>
      </c>
      <c r="B163" s="4" t="inlineStr">
        <is>
          <t>Varilla corrugada 1" x 35 pies</t>
        </is>
      </c>
      <c r="C163" s="7" t="inlineStr">
        <is>
          <t>unidad</t>
        </is>
      </c>
      <c r="D163" s="8" t="n"/>
      <c r="E163" s="8" t="n">
        <v>3083.33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>
        <f>IF(COUNT(D163:P163)=0,"",MIN(D163:P163))</f>
        <v/>
      </c>
      <c r="R163" s="8">
        <f>IF(COUNT(D163:P163)=0,"",MEDIAN(D163:P163))</f>
        <v/>
      </c>
      <c r="S163" s="8">
        <f>IF(COUNT(D163:P163)=0,"",MAX(D163:P163))</f>
        <v/>
      </c>
      <c r="T163" s="9">
        <f>IF(OR(Q163="",Q163=0),"",(S163-Q163)/Q163)</f>
        <v/>
      </c>
      <c r="U163" s="7">
        <f>IF(COUNT(D163:P163)=0,"",INDEX($D$1:$P$1,MATCH(MIN(D163:P163),D163:P163,0)))</f>
        <v/>
      </c>
      <c r="V163" s="8" t="n">
        <v>3083.33</v>
      </c>
      <c r="W163" s="10" t="n">
        <v>1</v>
      </c>
    </row>
    <row r="164">
      <c r="A164" s="7" t="inlineStr">
        <is>
          <t>MAT-04-035</t>
        </is>
      </c>
      <c r="B164" s="4" t="inlineStr">
        <is>
          <t>Varilla corrugada 1" x 40 pies</t>
        </is>
      </c>
      <c r="C164" s="7" t="inlineStr">
        <is>
          <t>unidad</t>
        </is>
      </c>
      <c r="D164" s="8" t="n"/>
      <c r="E164" s="8" t="n">
        <v>3476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>
        <f>IF(COUNT(D164:P164)=0,"",MIN(D164:P164))</f>
        <v/>
      </c>
      <c r="R164" s="8">
        <f>IF(COUNT(D164:P164)=0,"",MEDIAN(D164:P164))</f>
        <v/>
      </c>
      <c r="S164" s="8">
        <f>IF(COUNT(D164:P164)=0,"",MAX(D164:P164))</f>
        <v/>
      </c>
      <c r="T164" s="9">
        <f>IF(OR(Q164="",Q164=0),"",(S164-Q164)/Q164)</f>
        <v/>
      </c>
      <c r="U164" s="7">
        <f>IF(COUNT(D164:P164)=0,"",INDEX($D$1:$P$1,MATCH(MIN(D164:P164),D164:P164,0)))</f>
        <v/>
      </c>
      <c r="V164" s="8" t="n">
        <v>3476</v>
      </c>
      <c r="W164" s="10" t="n">
        <v>1</v>
      </c>
    </row>
    <row r="165">
      <c r="A165" s="7" t="inlineStr">
        <is>
          <t>MAT-04-036</t>
        </is>
      </c>
      <c r="B165" s="4" t="inlineStr">
        <is>
          <t>Varilla corrugada 3/4" x 25 pies</t>
        </is>
      </c>
      <c r="C165" s="7" t="inlineStr">
        <is>
          <t>unidad</t>
        </is>
      </c>
      <c r="D165" s="8" t="n"/>
      <c r="E165" s="8" t="n">
        <v>1233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>
        <f>IF(COUNT(D165:P165)=0,"",MIN(D165:P165))</f>
        <v/>
      </c>
      <c r="R165" s="8">
        <f>IF(COUNT(D165:P165)=0,"",MEDIAN(D165:P165))</f>
        <v/>
      </c>
      <c r="S165" s="8">
        <f>IF(COUNT(D165:P165)=0,"",MAX(D165:P165))</f>
        <v/>
      </c>
      <c r="T165" s="9">
        <f>IF(OR(Q165="",Q165=0),"",(S165-Q165)/Q165)</f>
        <v/>
      </c>
      <c r="U165" s="7">
        <f>IF(COUNT(D165:P165)=0,"",INDEX($D$1:$P$1,MATCH(MIN(D165:P165),D165:P165,0)))</f>
        <v/>
      </c>
      <c r="V165" s="8" t="n">
        <v>1233</v>
      </c>
      <c r="W165" s="10" t="n">
        <v>1</v>
      </c>
    </row>
    <row r="166">
      <c r="A166" s="7" t="inlineStr">
        <is>
          <t>MAT-04-037</t>
        </is>
      </c>
      <c r="B166" s="4" t="inlineStr">
        <is>
          <t>Varilla corrugada 3/4" x 30 pies</t>
        </is>
      </c>
      <c r="C166" s="7" t="inlineStr">
        <is>
          <t>unidad</t>
        </is>
      </c>
      <c r="D166" s="8" t="n"/>
      <c r="E166" s="8" t="n">
        <v>1460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>
        <f>IF(COUNT(D166:P166)=0,"",MIN(D166:P166))</f>
        <v/>
      </c>
      <c r="R166" s="8">
        <f>IF(COUNT(D166:P166)=0,"",MEDIAN(D166:P166))</f>
        <v/>
      </c>
      <c r="S166" s="8">
        <f>IF(COUNT(D166:P166)=0,"",MAX(D166:P166))</f>
        <v/>
      </c>
      <c r="T166" s="9">
        <f>IF(OR(Q166="",Q166=0),"",(S166-Q166)/Q166)</f>
        <v/>
      </c>
      <c r="U166" s="7">
        <f>IF(COUNT(D166:P166)=0,"",INDEX($D$1:$P$1,MATCH(MIN(D166:P166),D166:P166,0)))</f>
        <v/>
      </c>
      <c r="V166" s="8" t="n">
        <v>1460</v>
      </c>
      <c r="W166" s="10" t="n">
        <v>1</v>
      </c>
    </row>
    <row r="167">
      <c r="A167" s="7" t="inlineStr">
        <is>
          <t>MAT-04-038</t>
        </is>
      </c>
      <c r="B167" s="4" t="inlineStr">
        <is>
          <t>Varilla corrugada 3/4" x 35 pies</t>
        </is>
      </c>
      <c r="C167" s="7" t="inlineStr">
        <is>
          <t>unidad</t>
        </is>
      </c>
      <c r="D167" s="8" t="n"/>
      <c r="E167" s="8" t="n">
        <v>1761.9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>
        <f>IF(COUNT(D167:P167)=0,"",MIN(D167:P167))</f>
        <v/>
      </c>
      <c r="R167" s="8">
        <f>IF(COUNT(D167:P167)=0,"",MEDIAN(D167:P167))</f>
        <v/>
      </c>
      <c r="S167" s="8">
        <f>IF(COUNT(D167:P167)=0,"",MAX(D167:P167))</f>
        <v/>
      </c>
      <c r="T167" s="9">
        <f>IF(OR(Q167="",Q167=0),"",(S167-Q167)/Q167)</f>
        <v/>
      </c>
      <c r="U167" s="7">
        <f>IF(COUNT(D167:P167)=0,"",INDEX($D$1:$P$1,MATCH(MIN(D167:P167),D167:P167,0)))</f>
        <v/>
      </c>
      <c r="V167" s="8" t="n">
        <v>1761.9</v>
      </c>
      <c r="W167" s="10" t="n">
        <v>1</v>
      </c>
    </row>
    <row r="168">
      <c r="A168" s="7" t="inlineStr">
        <is>
          <t>MAT-04-039</t>
        </is>
      </c>
      <c r="B168" s="4" t="inlineStr">
        <is>
          <t>Varilla corrugada 3/4" x 40 pies</t>
        </is>
      </c>
      <c r="C168" s="7" t="inlineStr">
        <is>
          <t>unidad</t>
        </is>
      </c>
      <c r="D168" s="8" t="n"/>
      <c r="E168" s="8" t="n">
        <v>1973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>
        <f>IF(COUNT(D168:P168)=0,"",MIN(D168:P168))</f>
        <v/>
      </c>
      <c r="R168" s="8">
        <f>IF(COUNT(D168:P168)=0,"",MEDIAN(D168:P168))</f>
        <v/>
      </c>
      <c r="S168" s="8">
        <f>IF(COUNT(D168:P168)=0,"",MAX(D168:P168))</f>
        <v/>
      </c>
      <c r="T168" s="9">
        <f>IF(OR(Q168="",Q168=0),"",(S168-Q168)/Q168)</f>
        <v/>
      </c>
      <c r="U168" s="7">
        <f>IF(COUNT(D168:P168)=0,"",INDEX($D$1:$P$1,MATCH(MIN(D168:P168),D168:P168,0)))</f>
        <v/>
      </c>
      <c r="V168" s="8" t="n">
        <v>1973</v>
      </c>
      <c r="W168" s="10" t="n">
        <v>1</v>
      </c>
    </row>
    <row r="169">
      <c r="A169" s="7" t="inlineStr">
        <is>
          <t>MAT-04-040</t>
        </is>
      </c>
      <c r="B169" s="4" t="inlineStr">
        <is>
          <t>Varilla corrugada 3/8" x 25 pies</t>
        </is>
      </c>
      <c r="C169" s="7" t="inlineStr">
        <is>
          <t>unidad</t>
        </is>
      </c>
      <c r="D169" s="8" t="n"/>
      <c r="E169" s="8" t="n">
        <v>312.24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>
        <f>IF(COUNT(D169:P169)=0,"",MIN(D169:P169))</f>
        <v/>
      </c>
      <c r="R169" s="8">
        <f>IF(COUNT(D169:P169)=0,"",MEDIAN(D169:P169))</f>
        <v/>
      </c>
      <c r="S169" s="8">
        <f>IF(COUNT(D169:P169)=0,"",MAX(D169:P169))</f>
        <v/>
      </c>
      <c r="T169" s="9">
        <f>IF(OR(Q169="",Q169=0),"",(S169-Q169)/Q169)</f>
        <v/>
      </c>
      <c r="U169" s="7">
        <f>IF(COUNT(D169:P169)=0,"",INDEX($D$1:$P$1,MATCH(MIN(D169:P169),D169:P169,0)))</f>
        <v/>
      </c>
      <c r="V169" s="8" t="n">
        <v>312.24</v>
      </c>
      <c r="W169" s="10" t="n">
        <v>1</v>
      </c>
    </row>
    <row r="170">
      <c r="A170" s="7" t="inlineStr">
        <is>
          <t>MAT-04-041</t>
        </is>
      </c>
      <c r="B170" s="4" t="inlineStr">
        <is>
          <t>Varilla corrugada 3/8" x 30 pies</t>
        </is>
      </c>
      <c r="C170" s="7" t="inlineStr">
        <is>
          <t>unidad</t>
        </is>
      </c>
      <c r="D170" s="8" t="n"/>
      <c r="E170" s="8" t="n">
        <v>378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>
        <f>IF(COUNT(D170:P170)=0,"",MIN(D170:P170))</f>
        <v/>
      </c>
      <c r="R170" s="8">
        <f>IF(COUNT(D170:P170)=0,"",MEDIAN(D170:P170))</f>
        <v/>
      </c>
      <c r="S170" s="8">
        <f>IF(COUNT(D170:P170)=0,"",MAX(D170:P170))</f>
        <v/>
      </c>
      <c r="T170" s="9">
        <f>IF(OR(Q170="",Q170=0),"",(S170-Q170)/Q170)</f>
        <v/>
      </c>
      <c r="U170" s="7">
        <f>IF(COUNT(D170:P170)=0,"",INDEX($D$1:$P$1,MATCH(MIN(D170:P170),D170:P170,0)))</f>
        <v/>
      </c>
      <c r="V170" s="8" t="n">
        <v>378</v>
      </c>
      <c r="W170" s="10" t="n">
        <v>1</v>
      </c>
    </row>
    <row r="171">
      <c r="A171" s="7" t="inlineStr">
        <is>
          <t>MAT-04-042</t>
        </is>
      </c>
      <c r="B171" s="4" t="inlineStr">
        <is>
          <t>Varilla corrugada 3/8" x 35 pies</t>
        </is>
      </c>
      <c r="C171" s="7" t="inlineStr">
        <is>
          <t>unidad</t>
        </is>
      </c>
      <c r="D171" s="8" t="n"/>
      <c r="E171" s="8" t="n">
        <v>440.48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>
        <f>IF(COUNT(D171:P171)=0,"",MIN(D171:P171))</f>
        <v/>
      </c>
      <c r="R171" s="8">
        <f>IF(COUNT(D171:P171)=0,"",MEDIAN(D171:P171))</f>
        <v/>
      </c>
      <c r="S171" s="8">
        <f>IF(COUNT(D171:P171)=0,"",MAX(D171:P171))</f>
        <v/>
      </c>
      <c r="T171" s="9">
        <f>IF(OR(Q171="",Q171=0),"",(S171-Q171)/Q171)</f>
        <v/>
      </c>
      <c r="U171" s="7">
        <f>IF(COUNT(D171:P171)=0,"",INDEX($D$1:$P$1,MATCH(MIN(D171:P171),D171:P171,0)))</f>
        <v/>
      </c>
      <c r="V171" s="8" t="n">
        <v>440.48</v>
      </c>
      <c r="W171" s="10" t="n">
        <v>1</v>
      </c>
    </row>
    <row r="172">
      <c r="A172" s="7" t="inlineStr">
        <is>
          <t>MAT-04-043</t>
        </is>
      </c>
      <c r="B172" s="4" t="inlineStr">
        <is>
          <t>Varilla corrugada 3/8" x 40 pies</t>
        </is>
      </c>
      <c r="C172" s="7" t="inlineStr">
        <is>
          <t>unidad</t>
        </is>
      </c>
      <c r="D172" s="8" t="n"/>
      <c r="E172" s="8" t="n">
        <v>497</v>
      </c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>
        <f>IF(COUNT(D172:P172)=0,"",MIN(D172:P172))</f>
        <v/>
      </c>
      <c r="R172" s="8">
        <f>IF(COUNT(D172:P172)=0,"",MEDIAN(D172:P172))</f>
        <v/>
      </c>
      <c r="S172" s="8">
        <f>IF(COUNT(D172:P172)=0,"",MAX(D172:P172))</f>
        <v/>
      </c>
      <c r="T172" s="9">
        <f>IF(OR(Q172="",Q172=0),"",(S172-Q172)/Q172)</f>
        <v/>
      </c>
      <c r="U172" s="7">
        <f>IF(COUNT(D172:P172)=0,"",INDEX($D$1:$P$1,MATCH(MIN(D172:P172),D172:P172,0)))</f>
        <v/>
      </c>
      <c r="V172" s="8" t="n">
        <v>497</v>
      </c>
      <c r="W172" s="10" t="n">
        <v>1</v>
      </c>
    </row>
    <row r="173">
      <c r="A173" s="7" t="inlineStr">
        <is>
          <t>MAT-04-044</t>
        </is>
      </c>
      <c r="B173" s="4" t="inlineStr">
        <is>
          <t>Alambre liso galvanizado calibre 10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>
        <f>IF(COUNT(D173:P173)=0,"",MIN(D173:P173))</f>
        <v/>
      </c>
      <c r="R173" s="8">
        <f>IF(COUNT(D173:P173)=0,"",MEDIAN(D173:P173))</f>
        <v/>
      </c>
      <c r="S173" s="8">
        <f>IF(COUNT(D173:P173)=0,"",MAX(D173:P173))</f>
        <v/>
      </c>
      <c r="T173" s="9">
        <f>IF(OR(Q173="",Q173=0),"",(S173-Q173)/Q173)</f>
        <v/>
      </c>
      <c r="U173" s="7">
        <f>IF(COUNT(D173:P173)=0,"",INDEX($D$1:$P$1,MATCH(MIN(D173:P173),D173:P173,0)))</f>
        <v/>
      </c>
      <c r="V173" s="8" t="n">
        <v>61.12</v>
      </c>
      <c r="W173" s="10" t="n">
        <v>1</v>
      </c>
    </row>
    <row r="174">
      <c r="A174" s="7" t="inlineStr">
        <is>
          <t>MAT-04-045</t>
        </is>
      </c>
      <c r="B174" s="4" t="inlineStr">
        <is>
          <t>Alambre liso galvanizado calibre 12</t>
        </is>
      </c>
      <c r="C174" s="7" t="inlineStr">
        <is>
          <t>lb</t>
        </is>
      </c>
      <c r="D174" s="8" t="n">
        <v>61.12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>
        <f>IF(COUNT(D174:P174)=0,"",MIN(D174:P174))</f>
        <v/>
      </c>
      <c r="R174" s="8">
        <f>IF(COUNT(D174:P174)=0,"",MEDIAN(D174:P174))</f>
        <v/>
      </c>
      <c r="S174" s="8">
        <f>IF(COUNT(D174:P174)=0,"",MAX(D174:P174))</f>
        <v/>
      </c>
      <c r="T174" s="9">
        <f>IF(OR(Q174="",Q174=0),"",(S174-Q174)/Q174)</f>
        <v/>
      </c>
      <c r="U174" s="7">
        <f>IF(COUNT(D174:P174)=0,"",INDEX($D$1:$P$1,MATCH(MIN(D174:P174),D174:P174,0)))</f>
        <v/>
      </c>
      <c r="V174" s="8" t="n">
        <v>61.12</v>
      </c>
      <c r="W174" s="10" t="n">
        <v>1</v>
      </c>
    </row>
    <row r="175">
      <c r="A175" s="7" t="inlineStr">
        <is>
          <t>MAT-04-046</t>
        </is>
      </c>
      <c r="B175" s="4" t="inlineStr">
        <is>
          <t>Alambre liso galvanizado calibre 16</t>
        </is>
      </c>
      <c r="C175" s="7" t="inlineStr">
        <is>
          <t>lb</t>
        </is>
      </c>
      <c r="D175" s="8" t="n">
        <v>56.59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>
        <f>IF(COUNT(D175:P175)=0,"",MIN(D175:P175))</f>
        <v/>
      </c>
      <c r="R175" s="8">
        <f>IF(COUNT(D175:P175)=0,"",MEDIAN(D175:P175))</f>
        <v/>
      </c>
      <c r="S175" s="8">
        <f>IF(COUNT(D175:P175)=0,"",MAX(D175:P175))</f>
        <v/>
      </c>
      <c r="T175" s="9">
        <f>IF(OR(Q175="",Q175=0),"",(S175-Q175)/Q175)</f>
        <v/>
      </c>
      <c r="U175" s="7">
        <f>IF(COUNT(D175:P175)=0,"",INDEX($D$1:$P$1,MATCH(MIN(D175:P175),D175:P175,0)))</f>
        <v/>
      </c>
      <c r="V175" s="8" t="n">
        <v>56.59</v>
      </c>
      <c r="W175" s="10" t="n">
        <v>1</v>
      </c>
    </row>
    <row r="176">
      <c r="A176" s="7" t="inlineStr">
        <is>
          <t>MAT-04-047</t>
        </is>
      </c>
      <c r="B176" s="4" t="inlineStr">
        <is>
          <t>Separador plástico para varilla 3/8"</t>
        </is>
      </c>
      <c r="C176" s="7" t="inlineStr">
        <is>
          <t>unidad</t>
        </is>
      </c>
      <c r="D176" s="8" t="n">
        <v>30.48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>
        <f>IF(COUNT(D176:P176)=0,"",MIN(D176:P176))</f>
        <v/>
      </c>
      <c r="R176" s="8">
        <f>IF(COUNT(D176:P176)=0,"",MEDIAN(D176:P176))</f>
        <v/>
      </c>
      <c r="S176" s="8">
        <f>IF(COUNT(D176:P176)=0,"",MAX(D176:P176))</f>
        <v/>
      </c>
      <c r="T176" s="9">
        <f>IF(OR(Q176="",Q176=0),"",(S176-Q176)/Q176)</f>
        <v/>
      </c>
      <c r="U176" s="7">
        <f>IF(COUNT(D176:P176)=0,"",INDEX($D$1:$P$1,MATCH(MIN(D176:P176),D176:P176,0)))</f>
        <v/>
      </c>
      <c r="V176" s="8" t="n">
        <v>30.48</v>
      </c>
      <c r="W176" s="10" t="n">
        <v>1</v>
      </c>
    </row>
    <row r="177">
      <c r="A177" s="7" t="inlineStr">
        <is>
          <t>MAT-04-048</t>
        </is>
      </c>
      <c r="B177" s="4" t="inlineStr">
        <is>
          <t>Separador plástico para varilla 1/2"</t>
        </is>
      </c>
      <c r="C177" s="7" t="inlineStr">
        <is>
          <t>unidad</t>
        </is>
      </c>
      <c r="D177" s="8" t="n">
        <v>45.71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>
        <f>IF(COUNT(D177:P177)=0,"",MIN(D177:P177))</f>
        <v/>
      </c>
      <c r="R177" s="8">
        <f>IF(COUNT(D177:P177)=0,"",MEDIAN(D177:P177))</f>
        <v/>
      </c>
      <c r="S177" s="8">
        <f>IF(COUNT(D177:P177)=0,"",MAX(D177:P177))</f>
        <v/>
      </c>
      <c r="T177" s="9">
        <f>IF(OR(Q177="",Q177=0),"",(S177-Q177)/Q177)</f>
        <v/>
      </c>
      <c r="U177" s="7">
        <f>IF(COUNT(D177:P177)=0,"",INDEX($D$1:$P$1,MATCH(MIN(D177:P177),D177:P177,0)))</f>
        <v/>
      </c>
      <c r="V177" s="8" t="n">
        <v>45.71</v>
      </c>
      <c r="W177" s="10" t="n">
        <v>1</v>
      </c>
    </row>
    <row r="178">
      <c r="A178" s="7" t="inlineStr">
        <is>
          <t>MAT-04-049</t>
        </is>
      </c>
      <c r="B178" s="4" t="inlineStr">
        <is>
          <t>Separador plástico para varilla 5/8"</t>
        </is>
      </c>
      <c r="C178" s="7" t="inlineStr">
        <is>
          <t>unidad</t>
        </is>
      </c>
      <c r="D178" s="8" t="n">
        <v>54.43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>
        <f>IF(COUNT(D178:P178)=0,"",MIN(D178:P178))</f>
        <v/>
      </c>
      <c r="R178" s="8">
        <f>IF(COUNT(D178:P178)=0,"",MEDIAN(D178:P178))</f>
        <v/>
      </c>
      <c r="S178" s="8">
        <f>IF(COUNT(D178:P178)=0,"",MAX(D178:P178))</f>
        <v/>
      </c>
      <c r="T178" s="9">
        <f>IF(OR(Q178="",Q178=0),"",(S178-Q178)/Q178)</f>
        <v/>
      </c>
      <c r="U178" s="7">
        <f>IF(COUNT(D178:P178)=0,"",INDEX($D$1:$P$1,MATCH(MIN(D178:P178),D178:P178,0)))</f>
        <v/>
      </c>
      <c r="V178" s="8" t="n">
        <v>54.43</v>
      </c>
      <c r="W178" s="10" t="n">
        <v>1</v>
      </c>
    </row>
    <row r="179">
      <c r="A179" s="7" t="inlineStr">
        <is>
          <t>MAT-04-050</t>
        </is>
      </c>
      <c r="B179" s="4" t="inlineStr">
        <is>
          <t>Separador plástico para varilla 3/4"</t>
        </is>
      </c>
      <c r="C179" s="7" t="inlineStr">
        <is>
          <t>unidad</t>
        </is>
      </c>
      <c r="D179" s="8" t="n">
        <v>63.13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>
        <f>IF(COUNT(D179:P179)=0,"",MIN(D179:P179))</f>
        <v/>
      </c>
      <c r="R179" s="8">
        <f>IF(COUNT(D179:P179)=0,"",MEDIAN(D179:P179))</f>
        <v/>
      </c>
      <c r="S179" s="8">
        <f>IF(COUNT(D179:P179)=0,"",MAX(D179:P179))</f>
        <v/>
      </c>
      <c r="T179" s="9">
        <f>IF(OR(Q179="",Q179=0),"",(S179-Q179)/Q179)</f>
        <v/>
      </c>
      <c r="U179" s="7">
        <f>IF(COUNT(D179:P179)=0,"",INDEX($D$1:$P$1,MATCH(MIN(D179:P179),D179:P179,0)))</f>
        <v/>
      </c>
      <c r="V179" s="8" t="n">
        <v>63.13</v>
      </c>
      <c r="W179" s="10" t="n">
        <v>1</v>
      </c>
    </row>
    <row r="180">
      <c r="A180" s="7" t="inlineStr">
        <is>
          <t>MAT-04-051</t>
        </is>
      </c>
      <c r="B180" s="4" t="inlineStr">
        <is>
          <t>Separador plástico para varilla 1"</t>
        </is>
      </c>
      <c r="C180" s="7" t="inlineStr">
        <is>
          <t>unidad</t>
        </is>
      </c>
      <c r="D180" s="8" t="n">
        <v>70.75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>
        <f>IF(COUNT(D180:P180)=0,"",MIN(D180:P180))</f>
        <v/>
      </c>
      <c r="R180" s="8">
        <f>IF(COUNT(D180:P180)=0,"",MEDIAN(D180:P180))</f>
        <v/>
      </c>
      <c r="S180" s="8">
        <f>IF(COUNT(D180:P180)=0,"",MAX(D180:P180))</f>
        <v/>
      </c>
      <c r="T180" s="9">
        <f>IF(OR(Q180="",Q180=0),"",(S180-Q180)/Q180)</f>
        <v/>
      </c>
      <c r="U180" s="7">
        <f>IF(COUNT(D180:P180)=0,"",INDEX($D$1:$P$1,MATCH(MIN(D180:P180),D180:P180,0)))</f>
        <v/>
      </c>
      <c r="V180" s="8" t="n">
        <v>70.75</v>
      </c>
      <c r="W180" s="10" t="n">
        <v>1</v>
      </c>
    </row>
    <row r="181">
      <c r="A181" s="7" t="inlineStr">
        <is>
          <t>MAT-04-052</t>
        </is>
      </c>
      <c r="B181" s="4" t="inlineStr">
        <is>
          <t>Separador plástico para varilla 1 1/4"</t>
        </is>
      </c>
      <c r="C181" s="7" t="inlineStr">
        <is>
          <t>unidad</t>
        </is>
      </c>
      <c r="D181" s="8" t="n">
        <v>78.36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>
        <f>IF(COUNT(D181:P181)=0,"",MIN(D181:P181))</f>
        <v/>
      </c>
      <c r="R181" s="8">
        <f>IF(COUNT(D181:P181)=0,"",MEDIAN(D181:P181))</f>
        <v/>
      </c>
      <c r="S181" s="8">
        <f>IF(COUNT(D181:P181)=0,"",MAX(D181:P181))</f>
        <v/>
      </c>
      <c r="T181" s="9">
        <f>IF(OR(Q181="",Q181=0),"",(S181-Q181)/Q181)</f>
        <v/>
      </c>
      <c r="U181" s="7">
        <f>IF(COUNT(D181:P181)=0,"",INDEX($D$1:$P$1,MATCH(MIN(D181:P181),D181:P181,0)))</f>
        <v/>
      </c>
      <c r="V181" s="8" t="n">
        <v>78.36</v>
      </c>
      <c r="W181" s="10" t="n">
        <v>1</v>
      </c>
    </row>
    <row r="182">
      <c r="A182" s="7" t="inlineStr">
        <is>
          <t>MAT-04-053</t>
        </is>
      </c>
      <c r="B182" s="4" t="inlineStr">
        <is>
          <t>Coupler mecánico para varilla 3/4"</t>
        </is>
      </c>
      <c r="C182" s="7" t="inlineStr">
        <is>
          <t>unidad</t>
        </is>
      </c>
      <c r="D182" s="8" t="n">
        <v>228.57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>
        <f>IF(COUNT(D182:P182)=0,"",MIN(D182:P182))</f>
        <v/>
      </c>
      <c r="R182" s="8">
        <f>IF(COUNT(D182:P182)=0,"",MEDIAN(D182:P182))</f>
        <v/>
      </c>
      <c r="S182" s="8">
        <f>IF(COUNT(D182:P182)=0,"",MAX(D182:P182))</f>
        <v/>
      </c>
      <c r="T182" s="9">
        <f>IF(OR(Q182="",Q182=0),"",(S182-Q182)/Q182)</f>
        <v/>
      </c>
      <c r="U182" s="7">
        <f>IF(COUNT(D182:P182)=0,"",INDEX($D$1:$P$1,MATCH(MIN(D182:P182),D182:P182,0)))</f>
        <v/>
      </c>
      <c r="V182" s="8" t="n">
        <v>228.57</v>
      </c>
      <c r="W182" s="10" t="n">
        <v>1</v>
      </c>
    </row>
    <row r="183">
      <c r="A183" s="7" t="inlineStr">
        <is>
          <t>MAT-04-054</t>
        </is>
      </c>
      <c r="B183" s="4" t="inlineStr">
        <is>
          <t>Coupler mecánico para varilla 1"</t>
        </is>
      </c>
      <c r="C183" s="7" t="inlineStr">
        <is>
          <t>unidad</t>
        </is>
      </c>
      <c r="D183" s="8" t="n">
        <v>434.26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>
        <f>IF(COUNT(D183:P183)=0,"",MIN(D183:P183))</f>
        <v/>
      </c>
      <c r="R183" s="8">
        <f>IF(COUNT(D183:P183)=0,"",MEDIAN(D183:P183))</f>
        <v/>
      </c>
      <c r="S183" s="8">
        <f>IF(COUNT(D183:P183)=0,"",MAX(D183:P183))</f>
        <v/>
      </c>
      <c r="T183" s="9">
        <f>IF(OR(Q183="",Q183=0),"",(S183-Q183)/Q183)</f>
        <v/>
      </c>
      <c r="U183" s="7">
        <f>IF(COUNT(D183:P183)=0,"",INDEX($D$1:$P$1,MATCH(MIN(D183:P183),D183:P183,0)))</f>
        <v/>
      </c>
      <c r="V183" s="8" t="n">
        <v>434.26</v>
      </c>
      <c r="W183" s="10" t="n">
        <v>1</v>
      </c>
    </row>
    <row r="184">
      <c r="A184" s="7" t="inlineStr">
        <is>
          <t>MAT-04-055</t>
        </is>
      </c>
      <c r="B184" s="4" t="inlineStr">
        <is>
          <t>Coupler mecánico para varilla 1 1/8"</t>
        </is>
      </c>
      <c r="C184" s="7" t="inlineStr">
        <is>
          <t>unidad</t>
        </is>
      </c>
      <c r="D184" s="8" t="n">
        <v>697.6799999999999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>
        <f>IF(COUNT(D184:P184)=0,"",MIN(D184:P184))</f>
        <v/>
      </c>
      <c r="R184" s="8">
        <f>IF(COUNT(D184:P184)=0,"",MEDIAN(D184:P184))</f>
        <v/>
      </c>
      <c r="S184" s="8">
        <f>IF(COUNT(D184:P184)=0,"",MAX(D184:P184))</f>
        <v/>
      </c>
      <c r="T184" s="9">
        <f>IF(OR(Q184="",Q184=0),"",(S184-Q184)/Q184)</f>
        <v/>
      </c>
      <c r="U184" s="7">
        <f>IF(COUNT(D184:P184)=0,"",INDEX($D$1:$P$1,MATCH(MIN(D184:P184),D184:P184,0)))</f>
        <v/>
      </c>
      <c r="V184" s="8" t="n">
        <v>697.6799999999999</v>
      </c>
      <c r="W184" s="10" t="n">
        <v>1</v>
      </c>
    </row>
    <row r="185">
      <c r="A185" s="7" t="inlineStr">
        <is>
          <t>MAT-04-056</t>
        </is>
      </c>
      <c r="B185" s="4" t="inlineStr">
        <is>
          <t>Coupler mecánico para varilla 1 1/4"</t>
        </is>
      </c>
      <c r="C185" s="7" t="inlineStr">
        <is>
          <t>unidad</t>
        </is>
      </c>
      <c r="D185" s="8" t="n">
        <v>854.4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>
        <f>IF(COUNT(D185:P185)=0,"",MIN(D185:P185))</f>
        <v/>
      </c>
      <c r="R185" s="8">
        <f>IF(COUNT(D185:P185)=0,"",MEDIAN(D185:P185))</f>
        <v/>
      </c>
      <c r="S185" s="8">
        <f>IF(COUNT(D185:P185)=0,"",MAX(D185:P185))</f>
        <v/>
      </c>
      <c r="T185" s="9">
        <f>IF(OR(Q185="",Q185=0),"",(S185-Q185)/Q185)</f>
        <v/>
      </c>
      <c r="U185" s="7">
        <f>IF(COUNT(D185:P185)=0,"",INDEX($D$1:$P$1,MATCH(MIN(D185:P185),D185:P185,0)))</f>
        <v/>
      </c>
      <c r="V185" s="8" t="n">
        <v>854.4</v>
      </c>
      <c r="W185" s="10" t="n">
        <v>1</v>
      </c>
    </row>
    <row r="186">
      <c r="A186" s="7" t="inlineStr">
        <is>
          <t>MAT-04-057</t>
        </is>
      </c>
      <c r="B186" s="4" t="inlineStr">
        <is>
          <t>Coupler mecánico para varilla 1 3/8"</t>
        </is>
      </c>
      <c r="C186" s="7" t="inlineStr">
        <is>
          <t>unidad</t>
        </is>
      </c>
      <c r="D186" s="8" t="n">
        <v>1066.64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>
        <f>IF(COUNT(D186:P186)=0,"",MIN(D186:P186))</f>
        <v/>
      </c>
      <c r="R186" s="8">
        <f>IF(COUNT(D186:P186)=0,"",MEDIAN(D186:P186))</f>
        <v/>
      </c>
      <c r="S186" s="8">
        <f>IF(COUNT(D186:P186)=0,"",MAX(D186:P186))</f>
        <v/>
      </c>
      <c r="T186" s="9">
        <f>IF(OR(Q186="",Q186=0),"",(S186-Q186)/Q186)</f>
        <v/>
      </c>
      <c r="U186" s="7">
        <f>IF(COUNT(D186:P186)=0,"",INDEX($D$1:$P$1,MATCH(MIN(D186:P186),D186:P186,0)))</f>
        <v/>
      </c>
      <c r="V186" s="8" t="n">
        <v>1066.64</v>
      </c>
      <c r="W186" s="10" t="n">
        <v>1</v>
      </c>
    </row>
    <row r="187">
      <c r="A187" s="7" t="inlineStr">
        <is>
          <t>MAT-04-058</t>
        </is>
      </c>
      <c r="B187" s="4" t="inlineStr">
        <is>
          <t>Alambre galvanizado picado, caja de 50 lb</t>
        </is>
      </c>
      <c r="C187" s="7" t="inlineStr">
        <is>
          <t>caja</t>
        </is>
      </c>
      <c r="D187" s="8" t="n">
        <v>2488.96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>
        <f>IF(COUNT(D187:P187)=0,"",MIN(D187:P187))</f>
        <v/>
      </c>
      <c r="R187" s="8">
        <f>IF(COUNT(D187:P187)=0,"",MEDIAN(D187:P187))</f>
        <v/>
      </c>
      <c r="S187" s="8">
        <f>IF(COUNT(D187:P187)=0,"",MAX(D187:P187))</f>
        <v/>
      </c>
      <c r="T187" s="9">
        <f>IF(OR(Q187="",Q187=0),"",(S187-Q187)/Q187)</f>
        <v/>
      </c>
      <c r="U187" s="7">
        <f>IF(COUNT(D187:P187)=0,"",INDEX($D$1:$P$1,MATCH(MIN(D187:P187),D187:P187,0)))</f>
        <v/>
      </c>
      <c r="V187" s="8" t="n">
        <v>2488.96</v>
      </c>
      <c r="W187" s="10" t="n">
        <v>1</v>
      </c>
    </row>
    <row r="188">
      <c r="A188" s="7" t="inlineStr">
        <is>
          <t>MAT-04-059</t>
        </is>
      </c>
      <c r="B188" s="4" t="inlineStr">
        <is>
          <t>Alambre liso galvanizado picado calibre 16, paquete de 10 lb</t>
        </is>
      </c>
      <c r="C188" s="7" t="inlineStr">
        <is>
          <t>paquete</t>
        </is>
      </c>
      <c r="D188" s="8" t="n">
        <v>619.63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>
        <f>IF(COUNT(D188:P188)=0,"",MIN(D188:P188))</f>
        <v/>
      </c>
      <c r="R188" s="8">
        <f>IF(COUNT(D188:P188)=0,"",MEDIAN(D188:P188))</f>
        <v/>
      </c>
      <c r="S188" s="8">
        <f>IF(COUNT(D188:P188)=0,"",MAX(D188:P188))</f>
        <v/>
      </c>
      <c r="T188" s="9">
        <f>IF(OR(Q188="",Q188=0),"",(S188-Q188)/Q188)</f>
        <v/>
      </c>
      <c r="U188" s="7">
        <f>IF(COUNT(D188:P188)=0,"",INDEX($D$1:$P$1,MATCH(MIN(D188:P188),D188:P188,0)))</f>
        <v/>
      </c>
      <c r="V188" s="8" t="n">
        <v>619.63</v>
      </c>
      <c r="W188" s="10" t="n">
        <v>1</v>
      </c>
    </row>
    <row r="189">
      <c r="A189" s="7" t="inlineStr">
        <is>
          <t>MAT-06-018</t>
        </is>
      </c>
      <c r="B189" s="4" t="inlineStr">
        <is>
          <t>Madera de pino americano cepillada, 1" x 10" x 16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1425</v>
      </c>
      <c r="M189" s="8" t="n"/>
      <c r="N189" s="8" t="n"/>
      <c r="O189" s="8" t="n"/>
      <c r="P189" s="8" t="n"/>
      <c r="Q189" s="8">
        <f>IF(COUNT(D189:P189)=0,"",MIN(D189:P189))</f>
        <v/>
      </c>
      <c r="R189" s="8">
        <f>IF(COUNT(D189:P189)=0,"",MEDIAN(D189:P189))</f>
        <v/>
      </c>
      <c r="S189" s="8">
        <f>IF(COUNT(D189:P189)=0,"",MAX(D189:P189))</f>
        <v/>
      </c>
      <c r="T189" s="9">
        <f>IF(OR(Q189="",Q189=0),"",(S189-Q189)/Q189)</f>
        <v/>
      </c>
      <c r="U189" s="7">
        <f>IF(COUNT(D189:P189)=0,"",INDEX($D$1:$P$1,MATCH(MIN(D189:P189),D189:P189,0)))</f>
        <v/>
      </c>
      <c r="V189" s="8" t="n">
        <v>1425</v>
      </c>
      <c r="W189" s="10" t="n">
        <v>1</v>
      </c>
    </row>
    <row r="190">
      <c r="A190" s="7" t="inlineStr">
        <is>
          <t>MAT-06-019</t>
        </is>
      </c>
      <c r="B190" s="4" t="inlineStr">
        <is>
          <t>Madera de pino americano cepillada, 1" x 4" x 10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310.01</v>
      </c>
      <c r="M190" s="8" t="n"/>
      <c r="N190" s="8" t="n"/>
      <c r="O190" s="8" t="n"/>
      <c r="P190" s="8" t="n"/>
      <c r="Q190" s="8">
        <f>IF(COUNT(D190:P190)=0,"",MIN(D190:P190))</f>
        <v/>
      </c>
      <c r="R190" s="8">
        <f>IF(COUNT(D190:P190)=0,"",MEDIAN(D190:P190))</f>
        <v/>
      </c>
      <c r="S190" s="8">
        <f>IF(COUNT(D190:P190)=0,"",MAX(D190:P190))</f>
        <v/>
      </c>
      <c r="T190" s="9">
        <f>IF(OR(Q190="",Q190=0),"",(S190-Q190)/Q190)</f>
        <v/>
      </c>
      <c r="U190" s="7">
        <f>IF(COUNT(D190:P190)=0,"",INDEX($D$1:$P$1,MATCH(MIN(D190:P190),D190:P190,0)))</f>
        <v/>
      </c>
      <c r="V190" s="8" t="n">
        <v>310.01</v>
      </c>
      <c r="W190" s="10" t="n">
        <v>1</v>
      </c>
    </row>
    <row r="191">
      <c r="A191" s="7" t="inlineStr">
        <is>
          <t>MAT-06-020</t>
        </is>
      </c>
      <c r="B191" s="4" t="inlineStr">
        <is>
          <t>Madera de pino americano cepillada, 2" x 4" x 12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635.01</v>
      </c>
      <c r="M191" s="8" t="n"/>
      <c r="N191" s="8" t="n"/>
      <c r="O191" s="8" t="n"/>
      <c r="P191" s="8" t="n"/>
      <c r="Q191" s="8">
        <f>IF(COUNT(D191:P191)=0,"",MIN(D191:P191))</f>
        <v/>
      </c>
      <c r="R191" s="8">
        <f>IF(COUNT(D191:P191)=0,"",MEDIAN(D191:P191))</f>
        <v/>
      </c>
      <c r="S191" s="8">
        <f>IF(COUNT(D191:P191)=0,"",MAX(D191:P191))</f>
        <v/>
      </c>
      <c r="T191" s="9">
        <f>IF(OR(Q191="",Q191=0),"",(S191-Q191)/Q191)</f>
        <v/>
      </c>
      <c r="U191" s="7">
        <f>IF(COUNT(D191:P191)=0,"",INDEX($D$1:$P$1,MATCH(MIN(D191:P191),D191:P191,0)))</f>
        <v/>
      </c>
      <c r="V191" s="8" t="n">
        <v>635.01</v>
      </c>
      <c r="W191" s="10" t="n">
        <v>1</v>
      </c>
    </row>
    <row r="192">
      <c r="A192" s="7" t="inlineStr">
        <is>
          <t>MAT-06-021</t>
        </is>
      </c>
      <c r="B192" s="4" t="inlineStr">
        <is>
          <t>Madera de pino americano bruta, 2" x 4" x 16 pies</t>
        </is>
      </c>
      <c r="C192" s="7" t="inlineStr">
        <is>
          <t>unidad</t>
        </is>
      </c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>
        <v>1010</v>
      </c>
      <c r="M192" s="8" t="n"/>
      <c r="N192" s="8" t="n"/>
      <c r="O192" s="8" t="n"/>
      <c r="P192" s="8" t="n"/>
      <c r="Q192" s="8">
        <f>IF(COUNT(D192:P192)=0,"",MIN(D192:P192))</f>
        <v/>
      </c>
      <c r="R192" s="8">
        <f>IF(COUNT(D192:P192)=0,"",MEDIAN(D192:P192))</f>
        <v/>
      </c>
      <c r="S192" s="8">
        <f>IF(COUNT(D192:P192)=0,"",MAX(D192:P192))</f>
        <v/>
      </c>
      <c r="T192" s="9">
        <f>IF(OR(Q192="",Q192=0),"",(S192-Q192)/Q192)</f>
        <v/>
      </c>
      <c r="U192" s="7">
        <f>IF(COUNT(D192:P192)=0,"",INDEX($D$1:$P$1,MATCH(MIN(D192:P192),D192:P192,0)))</f>
        <v/>
      </c>
      <c r="V192" s="8" t="n">
        <v>1010</v>
      </c>
      <c r="W192" s="10" t="n">
        <v>1</v>
      </c>
    </row>
    <row r="193">
      <c r="A193" s="7" t="inlineStr">
        <is>
          <t>MAT-06-022</t>
        </is>
      </c>
      <c r="B193" s="4" t="inlineStr">
        <is>
          <t>Plywood de formaleta 3/4", 4 x 8 pies</t>
        </is>
      </c>
      <c r="C193" s="7" t="inlineStr">
        <is>
          <t>plancha</t>
        </is>
      </c>
      <c r="D193" s="8" t="n"/>
      <c r="E193" s="8" t="n">
        <v>2180</v>
      </c>
      <c r="F193" s="8" t="n"/>
      <c r="G193" s="8" t="n"/>
      <c r="H193" s="8" t="n"/>
      <c r="I193" s="8" t="n"/>
      <c r="J193" s="8" t="n"/>
      <c r="K193" s="8" t="n"/>
      <c r="L193" s="8" t="n">
        <v>2470</v>
      </c>
      <c r="M193" s="8" t="n"/>
      <c r="N193" s="8" t="n"/>
      <c r="O193" s="8" t="n"/>
      <c r="P193" s="8" t="n"/>
      <c r="Q193" s="8">
        <f>IF(COUNT(D193:P193)=0,"",MIN(D193:P193))</f>
        <v/>
      </c>
      <c r="R193" s="8">
        <f>IF(COUNT(D193:P193)=0,"",MEDIAN(D193:P193))</f>
        <v/>
      </c>
      <c r="S193" s="8">
        <f>IF(COUNT(D193:P193)=0,"",MAX(D193:P193))</f>
        <v/>
      </c>
      <c r="T193" s="9">
        <f>IF(OR(Q193="",Q193=0),"",(S193-Q193)/Q193)</f>
        <v/>
      </c>
      <c r="U193" s="7">
        <f>IF(COUNT(D193:P193)=0,"",INDEX($D$1:$P$1,MATCH(MIN(D193:P193),D193:P193,0)))</f>
        <v/>
      </c>
      <c r="V193" s="8" t="n">
        <v>2733</v>
      </c>
      <c r="W193" s="10" t="n">
        <v>2</v>
      </c>
    </row>
    <row r="194">
      <c r="A194" s="7" t="inlineStr">
        <is>
          <t>MAT-06-023</t>
        </is>
      </c>
      <c r="B194" s="4" t="inlineStr">
        <is>
          <t>Plywood de okume 0.19", 3 x 7 pies</t>
        </is>
      </c>
      <c r="C194" s="7" t="inlineStr">
        <is>
          <t>plancha</t>
        </is>
      </c>
      <c r="D194" s="8" t="n"/>
      <c r="E194" s="8" t="n">
        <v>430</v>
      </c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>
        <f>IF(COUNT(D194:P194)=0,"",MIN(D194:P194))</f>
        <v/>
      </c>
      <c r="R194" s="8">
        <f>IF(COUNT(D194:P194)=0,"",MEDIAN(D194:P194))</f>
        <v/>
      </c>
      <c r="S194" s="8">
        <f>IF(COUNT(D194:P194)=0,"",MAX(D194:P194))</f>
        <v/>
      </c>
      <c r="T194" s="9">
        <f>IF(OR(Q194="",Q194=0),"",(S194-Q194)/Q194)</f>
        <v/>
      </c>
      <c r="U194" s="7">
        <f>IF(COUNT(D194:P194)=0,"",INDEX($D$1:$P$1,MATCH(MIN(D194:P194),D194:P194,0)))</f>
        <v/>
      </c>
      <c r="V194" s="8" t="n">
        <v>430</v>
      </c>
      <c r="W194" s="10" t="n">
        <v>1</v>
      </c>
    </row>
    <row r="195">
      <c r="A195" s="7" t="inlineStr">
        <is>
          <t>MAT-06-024</t>
        </is>
      </c>
      <c r="B195" s="4" t="inlineStr">
        <is>
          <t>Plywood de okume 0.19", 4 x 8 pies</t>
        </is>
      </c>
      <c r="C195" s="7" t="inlineStr">
        <is>
          <t>plancha</t>
        </is>
      </c>
      <c r="D195" s="8" t="n"/>
      <c r="E195" s="8" t="n">
        <v>501</v>
      </c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>
        <f>IF(COUNT(D195:P195)=0,"",MIN(D195:P195))</f>
        <v/>
      </c>
      <c r="R195" s="8">
        <f>IF(COUNT(D195:P195)=0,"",MEDIAN(D195:P195))</f>
        <v/>
      </c>
      <c r="S195" s="8">
        <f>IF(COUNT(D195:P195)=0,"",MAX(D195:P195))</f>
        <v/>
      </c>
      <c r="T195" s="9">
        <f>IF(OR(Q195="",Q195=0),"",(S195-Q195)/Q195)</f>
        <v/>
      </c>
      <c r="U195" s="7">
        <f>IF(COUNT(D195:P195)=0,"",INDEX($D$1:$P$1,MATCH(MIN(D195:P195),D195:P195,0)))</f>
        <v/>
      </c>
      <c r="V195" s="8" t="n">
        <v>501</v>
      </c>
      <c r="W195" s="10" t="n">
        <v>1</v>
      </c>
    </row>
    <row r="196">
      <c r="A196" s="7" t="inlineStr">
        <is>
          <t>MAT-06-025</t>
        </is>
      </c>
      <c r="B196" s="4" t="inlineStr">
        <is>
          <t>Plywood de okume 1/2", 4 x 8 pies</t>
        </is>
      </c>
      <c r="C196" s="7" t="inlineStr">
        <is>
          <t>plancha</t>
        </is>
      </c>
      <c r="D196" s="8" t="n"/>
      <c r="E196" s="8" t="n">
        <v>1235</v>
      </c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>
        <f>IF(COUNT(D196:P196)=0,"",MIN(D196:P196))</f>
        <v/>
      </c>
      <c r="R196" s="8">
        <f>IF(COUNT(D196:P196)=0,"",MEDIAN(D196:P196))</f>
        <v/>
      </c>
      <c r="S196" s="8">
        <f>IF(COUNT(D196:P196)=0,"",MAX(D196:P196))</f>
        <v/>
      </c>
      <c r="T196" s="9">
        <f>IF(OR(Q196="",Q196=0),"",(S196-Q196)/Q196)</f>
        <v/>
      </c>
      <c r="U196" s="7">
        <f>IF(COUNT(D196:P196)=0,"",INDEX($D$1:$P$1,MATCH(MIN(D196:P196),D196:P196,0)))</f>
        <v/>
      </c>
      <c r="V196" s="8" t="n">
        <v>1235</v>
      </c>
      <c r="W196" s="10" t="n">
        <v>1</v>
      </c>
    </row>
    <row r="197">
      <c r="A197" s="7" t="inlineStr">
        <is>
          <t>MAT-06-026</t>
        </is>
      </c>
      <c r="B197" s="4" t="inlineStr">
        <is>
          <t>Plywood de okume 1/4", 4 x 8 pies</t>
        </is>
      </c>
      <c r="C197" s="7" t="inlineStr">
        <is>
          <t>plancha</t>
        </is>
      </c>
      <c r="D197" s="8" t="n"/>
      <c r="E197" s="8" t="n">
        <v>770</v>
      </c>
      <c r="F197" s="8" t="n"/>
      <c r="G197" s="8" t="n"/>
      <c r="H197" s="8" t="n"/>
      <c r="I197" s="8" t="n"/>
      <c r="J197" s="8" t="n"/>
      <c r="K197" s="8" t="n"/>
      <c r="L197" s="8" t="n">
        <v>849.6</v>
      </c>
      <c r="M197" s="8" t="n"/>
      <c r="N197" s="8" t="n"/>
      <c r="O197" s="8" t="n"/>
      <c r="P197" s="8" t="n"/>
      <c r="Q197" s="8">
        <f>IF(COUNT(D197:P197)=0,"",MIN(D197:P197))</f>
        <v/>
      </c>
      <c r="R197" s="8">
        <f>IF(COUNT(D197:P197)=0,"",MEDIAN(D197:P197))</f>
        <v/>
      </c>
      <c r="S197" s="8">
        <f>IF(COUNT(D197:P197)=0,"",MAX(D197:P197))</f>
        <v/>
      </c>
      <c r="T197" s="9">
        <f>IF(OR(Q197="",Q197=0),"",(S197-Q197)/Q197)</f>
        <v/>
      </c>
      <c r="U197" s="7">
        <f>IF(COUNT(D197:P197)=0,"",INDEX($D$1:$P$1,MATCH(MIN(D197:P197),D197:P197,0)))</f>
        <v/>
      </c>
      <c r="V197" s="8" t="n">
        <v>809.8</v>
      </c>
      <c r="W197" s="10" t="n">
        <v>2</v>
      </c>
    </row>
    <row r="198">
      <c r="A198" s="7" t="inlineStr">
        <is>
          <t>MAT-06-027</t>
        </is>
      </c>
      <c r="B198" s="4" t="inlineStr">
        <is>
          <t>Plywood de okume 1/8", 4 x 8 pies</t>
        </is>
      </c>
      <c r="C198" s="7" t="inlineStr">
        <is>
          <t>plancha</t>
        </is>
      </c>
      <c r="D198" s="8" t="n"/>
      <c r="E198" s="8" t="n">
        <v>450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>
        <f>IF(COUNT(D198:P198)=0,"",MIN(D198:P198))</f>
        <v/>
      </c>
      <c r="R198" s="8">
        <f>IF(COUNT(D198:P198)=0,"",MEDIAN(D198:P198))</f>
        <v/>
      </c>
      <c r="S198" s="8">
        <f>IF(COUNT(D198:P198)=0,"",MAX(D198:P198))</f>
        <v/>
      </c>
      <c r="T198" s="9">
        <f>IF(OR(Q198="",Q198=0),"",(S198-Q198)/Q198)</f>
        <v/>
      </c>
      <c r="U198" s="7">
        <f>IF(COUNT(D198:P198)=0,"",INDEX($D$1:$P$1,MATCH(MIN(D198:P198),D198:P198,0)))</f>
        <v/>
      </c>
      <c r="V198" s="8" t="n">
        <v>450</v>
      </c>
      <c r="W198" s="10" t="n">
        <v>1</v>
      </c>
    </row>
    <row r="199">
      <c r="A199" s="7" t="inlineStr">
        <is>
          <t>MAT-06-028</t>
        </is>
      </c>
      <c r="B199" s="4" t="inlineStr">
        <is>
          <t>Plywood de okume 3/4", 4 x 8 pies</t>
        </is>
      </c>
      <c r="C199" s="7" t="inlineStr">
        <is>
          <t>plancha</t>
        </is>
      </c>
      <c r="D199" s="8" t="n"/>
      <c r="E199" s="8" t="n">
        <v>2121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>
        <f>IF(COUNT(D199:P199)=0,"",MIN(D199:P199))</f>
        <v/>
      </c>
      <c r="R199" s="8">
        <f>IF(COUNT(D199:P199)=0,"",MEDIAN(D199:P199))</f>
        <v/>
      </c>
      <c r="S199" s="8">
        <f>IF(COUNT(D199:P199)=0,"",MAX(D199:P199))</f>
        <v/>
      </c>
      <c r="T199" s="9">
        <f>IF(OR(Q199="",Q199=0),"",(S199-Q199)/Q199)</f>
        <v/>
      </c>
      <c r="U199" s="7">
        <f>IF(COUNT(D199:P199)=0,"",INDEX($D$1:$P$1,MATCH(MIN(D199:P199),D199:P199,0)))</f>
        <v/>
      </c>
      <c r="V199" s="8" t="n">
        <v>2121</v>
      </c>
      <c r="W199" s="10" t="n">
        <v>1</v>
      </c>
    </row>
    <row r="200">
      <c r="A200" s="7" t="inlineStr">
        <is>
          <t>MAT-06-029</t>
        </is>
      </c>
      <c r="B200" s="4" t="inlineStr">
        <is>
          <t>Plywood de okume 3/8", 4 x 8 pies</t>
        </is>
      </c>
      <c r="C200" s="7" t="inlineStr">
        <is>
          <t>plancha</t>
        </is>
      </c>
      <c r="D200" s="8" t="n"/>
      <c r="E200" s="8" t="n">
        <v>1249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>
        <f>IF(COUNT(D200:P200)=0,"",MIN(D200:P200))</f>
        <v/>
      </c>
      <c r="R200" s="8">
        <f>IF(COUNT(D200:P200)=0,"",MEDIAN(D200:P200))</f>
        <v/>
      </c>
      <c r="S200" s="8">
        <f>IF(COUNT(D200:P200)=0,"",MAX(D200:P200))</f>
        <v/>
      </c>
      <c r="T200" s="9">
        <f>IF(OR(Q200="",Q200=0),"",(S200-Q200)/Q200)</f>
        <v/>
      </c>
      <c r="U200" s="7">
        <f>IF(COUNT(D200:P200)=0,"",INDEX($D$1:$P$1,MATCH(MIN(D200:P200),D200:P200,0)))</f>
        <v/>
      </c>
      <c r="V200" s="8" t="n">
        <v>1249</v>
      </c>
      <c r="W200" s="10" t="n">
        <v>1</v>
      </c>
    </row>
    <row r="201">
      <c r="A201" s="7" t="inlineStr">
        <is>
          <t>MAT-06-030</t>
        </is>
      </c>
      <c r="B201" s="4" t="inlineStr">
        <is>
          <t>Plywood de pino 1/4", 4 x 8 pies</t>
        </is>
      </c>
      <c r="C201" s="7" t="inlineStr">
        <is>
          <t>plancha</t>
        </is>
      </c>
      <c r="D201" s="8" t="n"/>
      <c r="E201" s="8" t="n">
        <v>705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>
        <f>IF(COUNT(D201:P201)=0,"",MIN(D201:P201))</f>
        <v/>
      </c>
      <c r="R201" s="8">
        <f>IF(COUNT(D201:P201)=0,"",MEDIAN(D201:P201))</f>
        <v/>
      </c>
      <c r="S201" s="8">
        <f>IF(COUNT(D201:P201)=0,"",MAX(D201:P201))</f>
        <v/>
      </c>
      <c r="T201" s="9">
        <f>IF(OR(Q201="",Q201=0),"",(S201-Q201)/Q201)</f>
        <v/>
      </c>
      <c r="U201" s="7">
        <f>IF(COUNT(D201:P201)=0,"",INDEX($D$1:$P$1,MATCH(MIN(D201:P201),D201:P201,0)))</f>
        <v/>
      </c>
      <c r="V201" s="8" t="n">
        <v>705</v>
      </c>
      <c r="W201" s="10" t="n">
        <v>1</v>
      </c>
    </row>
    <row r="202">
      <c r="A202" s="7" t="inlineStr">
        <is>
          <t>MAT-06-031</t>
        </is>
      </c>
      <c r="B202" s="4" t="inlineStr">
        <is>
          <t>Plywood de pino 1/8", 4 x 8 pies</t>
        </is>
      </c>
      <c r="C202" s="7" t="inlineStr">
        <is>
          <t>plancha</t>
        </is>
      </c>
      <c r="D202" s="8" t="n"/>
      <c r="E202" s="8" t="n">
        <v>875</v>
      </c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>
        <f>IF(COUNT(D202:P202)=0,"",MIN(D202:P202))</f>
        <v/>
      </c>
      <c r="R202" s="8">
        <f>IF(COUNT(D202:P202)=0,"",MEDIAN(D202:P202))</f>
        <v/>
      </c>
      <c r="S202" s="8">
        <f>IF(COUNT(D202:P202)=0,"",MAX(D202:P202))</f>
        <v/>
      </c>
      <c r="T202" s="9">
        <f>IF(OR(Q202="",Q202=0),"",(S202-Q202)/Q202)</f>
        <v/>
      </c>
      <c r="U202" s="7">
        <f>IF(COUNT(D202:P202)=0,"",INDEX($D$1:$P$1,MATCH(MIN(D202:P202),D202:P202,0)))</f>
        <v/>
      </c>
      <c r="V202" s="8" t="n">
        <v>875</v>
      </c>
      <c r="W202" s="10" t="n">
        <v>1</v>
      </c>
    </row>
    <row r="203">
      <c r="A203" s="7" t="inlineStr">
        <is>
          <t>MAT-06-032</t>
        </is>
      </c>
      <c r="B203" s="4" t="inlineStr">
        <is>
          <t>Plywood de pino 3/8", 4 x 8 pies</t>
        </is>
      </c>
      <c r="C203" s="7" t="inlineStr">
        <is>
          <t>plancha</t>
        </is>
      </c>
      <c r="D203" s="8" t="n"/>
      <c r="E203" s="8" t="n">
        <v>1030</v>
      </c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>
        <f>IF(COUNT(D203:P203)=0,"",MIN(D203:P203))</f>
        <v/>
      </c>
      <c r="R203" s="8">
        <f>IF(COUNT(D203:P203)=0,"",MEDIAN(D203:P203))</f>
        <v/>
      </c>
      <c r="S203" s="8">
        <f>IF(COUNT(D203:P203)=0,"",MAX(D203:P203))</f>
        <v/>
      </c>
      <c r="T203" s="9">
        <f>IF(OR(Q203="",Q203=0),"",(S203-Q203)/Q203)</f>
        <v/>
      </c>
      <c r="U203" s="7">
        <f>IF(COUNT(D203:P203)=0,"",INDEX($D$1:$P$1,MATCH(MIN(D203:P203),D203:P203,0)))</f>
        <v/>
      </c>
      <c r="V203" s="8" t="n">
        <v>1030</v>
      </c>
      <c r="W203" s="10" t="n">
        <v>1</v>
      </c>
    </row>
    <row r="204">
      <c r="A204" s="7" t="inlineStr">
        <is>
          <t>MAT-06-033</t>
        </is>
      </c>
      <c r="B204" s="4" t="inlineStr">
        <is>
          <t>Plywood decorativo 1/8", 4 x 8 pies</t>
        </is>
      </c>
      <c r="C204" s="7" t="inlineStr">
        <is>
          <t>plancha</t>
        </is>
      </c>
      <c r="D204" s="8" t="n"/>
      <c r="E204" s="8" t="n">
        <v>875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>
        <f>IF(COUNT(D204:P204)=0,"",MIN(D204:P204))</f>
        <v/>
      </c>
      <c r="R204" s="8">
        <f>IF(COUNT(D204:P204)=0,"",MEDIAN(D204:P204))</f>
        <v/>
      </c>
      <c r="S204" s="8">
        <f>IF(COUNT(D204:P204)=0,"",MAX(D204:P204))</f>
        <v/>
      </c>
      <c r="T204" s="9">
        <f>IF(OR(Q204="",Q204=0),"",(S204-Q204)/Q204)</f>
        <v/>
      </c>
      <c r="U204" s="7">
        <f>IF(COUNT(D204:P204)=0,"",INDEX($D$1:$P$1,MATCH(MIN(D204:P204),D204:P204,0)))</f>
        <v/>
      </c>
      <c r="V204" s="8" t="n">
        <v>875</v>
      </c>
      <c r="W204" s="10" t="n">
        <v>1</v>
      </c>
    </row>
    <row r="205">
      <c r="A205" s="7" t="inlineStr">
        <is>
          <t>MAT-06-034</t>
        </is>
      </c>
      <c r="B205" s="4" t="inlineStr">
        <is>
          <t>Plywood MDF hidrófugo 1/2", 4 x 8 pies</t>
        </is>
      </c>
      <c r="C205" s="7" t="inlineStr">
        <is>
          <t>plancha</t>
        </is>
      </c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>
        <v>1735</v>
      </c>
      <c r="M205" s="8" t="n"/>
      <c r="N205" s="8" t="n"/>
      <c r="O205" s="8" t="n"/>
      <c r="P205" s="8" t="n"/>
      <c r="Q205" s="8">
        <f>IF(COUNT(D205:P205)=0,"",MIN(D205:P205))</f>
        <v/>
      </c>
      <c r="R205" s="8">
        <f>IF(COUNT(D205:P205)=0,"",MEDIAN(D205:P205))</f>
        <v/>
      </c>
      <c r="S205" s="8">
        <f>IF(COUNT(D205:P205)=0,"",MAX(D205:P205))</f>
        <v/>
      </c>
      <c r="T205" s="9">
        <f>IF(OR(Q205="",Q205=0),"",(S205-Q205)/Q205)</f>
        <v/>
      </c>
      <c r="U205" s="7">
        <f>IF(COUNT(D205:P205)=0,"",INDEX($D$1:$P$1,MATCH(MIN(D205:P205),D205:P205,0)))</f>
        <v/>
      </c>
      <c r="V205" s="8" t="n">
        <v>1735</v>
      </c>
      <c r="W205" s="10" t="n">
        <v>1</v>
      </c>
    </row>
    <row r="206">
      <c r="A206" s="7" t="inlineStr">
        <is>
          <t>MAT-06-035</t>
        </is>
      </c>
      <c r="B206" s="4" t="inlineStr">
        <is>
          <t>Plywood, 4'X8'X/4" calibre 1/4"</t>
        </is>
      </c>
      <c r="C206" s="7" t="inlineStr">
        <is>
          <t>unidad</t>
        </is>
      </c>
      <c r="D206" s="8" t="n"/>
      <c r="E206" s="8" t="n"/>
      <c r="F206" s="8" t="n"/>
      <c r="G206" s="8" t="n"/>
      <c r="H206" s="8" t="n"/>
      <c r="I206" s="8" t="n"/>
      <c r="J206" s="8" t="n"/>
      <c r="K206" s="8" t="n">
        <v>825</v>
      </c>
      <c r="L206" s="8" t="n"/>
      <c r="M206" s="8" t="n"/>
      <c r="N206" s="8" t="n"/>
      <c r="O206" s="8" t="n"/>
      <c r="P206" s="8" t="n"/>
      <c r="Q206" s="8">
        <f>IF(COUNT(D206:P206)=0,"",MIN(D206:P206))</f>
        <v/>
      </c>
      <c r="R206" s="8">
        <f>IF(COUNT(D206:P206)=0,"",MEDIAN(D206:P206))</f>
        <v/>
      </c>
      <c r="S206" s="8">
        <f>IF(COUNT(D206:P206)=0,"",MAX(D206:P206))</f>
        <v/>
      </c>
      <c r="T206" s="9">
        <f>IF(OR(Q206="",Q206=0),"",(S206-Q206)/Q206)</f>
        <v/>
      </c>
      <c r="U206" s="7">
        <f>IF(COUNT(D206:P206)=0,"",INDEX($D$1:$P$1,MATCH(MIN(D206:P206),D206:P206,0)))</f>
        <v/>
      </c>
      <c r="V206" s="8" t="n">
        <v>825</v>
      </c>
      <c r="W206" s="10" t="n">
        <v>1</v>
      </c>
    </row>
    <row r="207">
      <c r="A207" s="7" t="inlineStr">
        <is>
          <t>MAT-06-036</t>
        </is>
      </c>
      <c r="B207" s="4" t="inlineStr">
        <is>
          <t>Plywood, 4'X8'X1/4"</t>
        </is>
      </c>
      <c r="C207" s="7" t="inlineStr">
        <is>
          <t>unidad</t>
        </is>
      </c>
      <c r="D207" s="8" t="n"/>
      <c r="E207" s="8" t="n"/>
      <c r="F207" s="8" t="n"/>
      <c r="G207" s="8" t="n"/>
      <c r="H207" s="8" t="n"/>
      <c r="I207" s="8" t="n"/>
      <c r="J207" s="8" t="n"/>
      <c r="K207" s="8" t="n">
        <v>780</v>
      </c>
      <c r="L207" s="8" t="n"/>
      <c r="M207" s="8" t="n"/>
      <c r="N207" s="8" t="n"/>
      <c r="O207" s="8" t="n"/>
      <c r="P207" s="8" t="n"/>
      <c r="Q207" s="8">
        <f>IF(COUNT(D207:P207)=0,"",MIN(D207:P207))</f>
        <v/>
      </c>
      <c r="R207" s="8">
        <f>IF(COUNT(D207:P207)=0,"",MEDIAN(D207:P207))</f>
        <v/>
      </c>
      <c r="S207" s="8">
        <f>IF(COUNT(D207:P207)=0,"",MAX(D207:P207))</f>
        <v/>
      </c>
      <c r="T207" s="9">
        <f>IF(OR(Q207="",Q207=0),"",(S207-Q207)/Q207)</f>
        <v/>
      </c>
      <c r="U207" s="7">
        <f>IF(COUNT(D207:P207)=0,"",INDEX($D$1:$P$1,MATCH(MIN(D207:P207),D207:P207,0)))</f>
        <v/>
      </c>
      <c r="V207" s="8" t="n">
        <v>780</v>
      </c>
      <c r="W207" s="10" t="n">
        <v>1</v>
      </c>
    </row>
    <row r="208">
      <c r="A208" s="7" t="inlineStr">
        <is>
          <t>MAT-06-037</t>
        </is>
      </c>
      <c r="B208" s="4" t="inlineStr">
        <is>
          <t>Plywood, 4'X8'X1/8"</t>
        </is>
      </c>
      <c r="C208" s="7" t="inlineStr">
        <is>
          <t>unidad</t>
        </is>
      </c>
      <c r="D208" s="8" t="n"/>
      <c r="E208" s="8" t="n"/>
      <c r="F208" s="8" t="n"/>
      <c r="G208" s="8" t="n"/>
      <c r="H208" s="8" t="n"/>
      <c r="I208" s="8" t="n"/>
      <c r="J208" s="8" t="n"/>
      <c r="K208" s="8" t="n">
        <v>475</v>
      </c>
      <c r="L208" s="8" t="n"/>
      <c r="M208" s="8" t="n"/>
      <c r="N208" s="8" t="n"/>
      <c r="O208" s="8" t="n"/>
      <c r="P208" s="8" t="n"/>
      <c r="Q208" s="8">
        <f>IF(COUNT(D208:P208)=0,"",MIN(D208:P208))</f>
        <v/>
      </c>
      <c r="R208" s="8">
        <f>IF(COUNT(D208:P208)=0,"",MEDIAN(D208:P208))</f>
        <v/>
      </c>
      <c r="S208" s="8">
        <f>IF(COUNT(D208:P208)=0,"",MAX(D208:P208))</f>
        <v/>
      </c>
      <c r="T208" s="9">
        <f>IF(OR(Q208="",Q208=0),"",(S208-Q208)/Q208)</f>
        <v/>
      </c>
      <c r="U208" s="7">
        <f>IF(COUNT(D208:P208)=0,"",INDEX($D$1:$P$1,MATCH(MIN(D208:P208),D208:P208,0)))</f>
        <v/>
      </c>
      <c r="V208" s="8" t="n">
        <v>475</v>
      </c>
      <c r="W208" s="10" t="n">
        <v>1</v>
      </c>
    </row>
    <row r="209">
      <c r="A209" s="7" t="inlineStr">
        <is>
          <t>MAT-06-038</t>
        </is>
      </c>
      <c r="B209" s="4" t="inlineStr">
        <is>
          <t>Plywood, 4'X8'X3/8"</t>
        </is>
      </c>
      <c r="C209" s="7" t="inlineStr">
        <is>
          <t>unidad</t>
        </is>
      </c>
      <c r="D209" s="8" t="n"/>
      <c r="E209" s="8" t="n"/>
      <c r="F209" s="8" t="n"/>
      <c r="G209" s="8" t="n"/>
      <c r="H209" s="8" t="n"/>
      <c r="I209" s="8" t="n"/>
      <c r="J209" s="8" t="n"/>
      <c r="K209" s="8" t="n">
        <v>1115</v>
      </c>
      <c r="L209" s="8" t="n"/>
      <c r="M209" s="8" t="n"/>
      <c r="N209" s="8" t="n"/>
      <c r="O209" s="8" t="n"/>
      <c r="P209" s="8" t="n"/>
      <c r="Q209" s="8">
        <f>IF(COUNT(D209:P209)=0,"",MIN(D209:P209))</f>
        <v/>
      </c>
      <c r="R209" s="8">
        <f>IF(COUNT(D209:P209)=0,"",MEDIAN(D209:P209))</f>
        <v/>
      </c>
      <c r="S209" s="8">
        <f>IF(COUNT(D209:P209)=0,"",MAX(D209:P209))</f>
        <v/>
      </c>
      <c r="T209" s="9">
        <f>IF(OR(Q209="",Q209=0),"",(S209-Q209)/Q209)</f>
        <v/>
      </c>
      <c r="U209" s="7">
        <f>IF(COUNT(D209:P209)=0,"",INDEX($D$1:$P$1,MATCH(MIN(D209:P209),D209:P209,0)))</f>
        <v/>
      </c>
      <c r="V209" s="8" t="n">
        <v>1180</v>
      </c>
      <c r="W209" s="10" t="n">
        <v>1</v>
      </c>
    </row>
    <row r="210">
      <c r="A210" s="7" t="inlineStr">
        <is>
          <t>MAT-06-039</t>
        </is>
      </c>
      <c r="B210" s="4" t="inlineStr">
        <is>
          <t>Plywood, 4X8'</t>
        </is>
      </c>
      <c r="C210" s="7" t="inlineStr">
        <is>
          <t>unidad</t>
        </is>
      </c>
      <c r="D210" s="8" t="n"/>
      <c r="E210" s="8" t="n"/>
      <c r="F210" s="8" t="n"/>
      <c r="G210" s="8" t="n"/>
      <c r="H210" s="8" t="n"/>
      <c r="I210" s="8" t="n"/>
      <c r="J210" s="8" t="n"/>
      <c r="K210" s="8" t="n">
        <v>1995</v>
      </c>
      <c r="L210" s="8" t="n"/>
      <c r="M210" s="8" t="n"/>
      <c r="N210" s="8" t="n"/>
      <c r="O210" s="8" t="n"/>
      <c r="P210" s="8" t="n"/>
      <c r="Q210" s="8">
        <f>IF(COUNT(D210:P210)=0,"",MIN(D210:P210))</f>
        <v/>
      </c>
      <c r="R210" s="8">
        <f>IF(COUNT(D210:P210)=0,"",MEDIAN(D210:P210))</f>
        <v/>
      </c>
      <c r="S210" s="8">
        <f>IF(COUNT(D210:P210)=0,"",MAX(D210:P210))</f>
        <v/>
      </c>
      <c r="T210" s="9">
        <f>IF(OR(Q210="",Q210=0),"",(S210-Q210)/Q210)</f>
        <v/>
      </c>
      <c r="U210" s="7">
        <f>IF(COUNT(D210:P210)=0,"",INDEX($D$1:$P$1,MATCH(MIN(D210:P210),D210:P210,0)))</f>
        <v/>
      </c>
      <c r="V210" s="8" t="n">
        <v>1995</v>
      </c>
      <c r="W210" s="10" t="n">
        <v>1</v>
      </c>
    </row>
    <row r="211">
      <c r="A211" s="7" t="inlineStr">
        <is>
          <t>MAT-07-011</t>
        </is>
      </c>
      <c r="B211" s="4" t="inlineStr">
        <is>
          <t>Zinc acanalado calibre 29, 3 x 6 pies</t>
        </is>
      </c>
      <c r="C211" s="7" t="inlineStr">
        <is>
          <t>plancha</t>
        </is>
      </c>
      <c r="D211" s="8" t="n">
        <v>270.21</v>
      </c>
      <c r="E211" s="8" t="n">
        <v>290</v>
      </c>
      <c r="F211" s="8" t="n"/>
      <c r="G211" s="8" t="n"/>
      <c r="H211" s="8" t="n"/>
      <c r="I211" s="8" t="n"/>
      <c r="J211" s="8" t="n"/>
      <c r="K211" s="8" t="n">
        <v>338</v>
      </c>
      <c r="L211" s="8" t="n"/>
      <c r="M211" s="8" t="n"/>
      <c r="N211" s="8" t="n"/>
      <c r="O211" s="8" t="n"/>
      <c r="P211" s="8" t="n"/>
      <c r="Q211" s="8">
        <f>IF(COUNT(D211:P211)=0,"",MIN(D211:P211))</f>
        <v/>
      </c>
      <c r="R211" s="8">
        <f>IF(COUNT(D211:P211)=0,"",MEDIAN(D211:P211))</f>
        <v/>
      </c>
      <c r="S211" s="8">
        <f>IF(COUNT(D211:P211)=0,"",MAX(D211:P211))</f>
        <v/>
      </c>
      <c r="T211" s="9">
        <f>IF(OR(Q211="",Q211=0),"",(S211-Q211)/Q211)</f>
        <v/>
      </c>
      <c r="U211" s="7">
        <f>IF(COUNT(D211:P211)=0,"",INDEX($D$1:$P$1,MATCH(MIN(D211:P211),D211:P211,0)))</f>
        <v/>
      </c>
      <c r="V211" s="8" t="n">
        <v>296.18</v>
      </c>
      <c r="W211" s="10" t="n">
        <v>3</v>
      </c>
    </row>
    <row r="212">
      <c r="A212" s="7" t="inlineStr">
        <is>
          <t>MAT-07-012</t>
        </is>
      </c>
      <c r="B212" s="4" t="inlineStr">
        <is>
          <t>Zinc acanalado calibre 29, 3 x 12 pies</t>
        </is>
      </c>
      <c r="C212" s="7" t="inlineStr">
        <is>
          <t>plancha</t>
        </is>
      </c>
      <c r="D212" s="8" t="n">
        <v>592.36</v>
      </c>
      <c r="E212" s="8" t="n">
        <v>580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>
        <f>IF(COUNT(D212:P212)=0,"",MIN(D212:P212))</f>
        <v/>
      </c>
      <c r="R212" s="8">
        <f>IF(COUNT(D212:P212)=0,"",MEDIAN(D212:P212))</f>
        <v/>
      </c>
      <c r="S212" s="8">
        <f>IF(COUNT(D212:P212)=0,"",MAX(D212:P212))</f>
        <v/>
      </c>
      <c r="T212" s="9">
        <f>IF(OR(Q212="",Q212=0),"",(S212-Q212)/Q212)</f>
        <v/>
      </c>
      <c r="U212" s="7">
        <f>IF(COUNT(D212:P212)=0,"",INDEX($D$1:$P$1,MATCH(MIN(D212:P212),D212:P212,0)))</f>
        <v/>
      </c>
      <c r="V212" s="8" t="n">
        <v>592.36</v>
      </c>
      <c r="W212" s="10" t="n">
        <v>2</v>
      </c>
    </row>
    <row r="213">
      <c r="A213" s="7" t="inlineStr">
        <is>
          <t>MAT-07-013</t>
        </is>
      </c>
      <c r="B213" s="4" t="inlineStr">
        <is>
          <t>Zinc acanalado calibre 34, 3 x 6 pies</t>
        </is>
      </c>
      <c r="C213" s="7" t="inlineStr">
        <is>
          <t>plancha</t>
        </is>
      </c>
      <c r="D213" s="8" t="n">
        <v>208.33</v>
      </c>
      <c r="E213" s="8" t="n">
        <v>215</v>
      </c>
      <c r="F213" s="8" t="n"/>
      <c r="G213" s="8" t="n"/>
      <c r="H213" s="8" t="n"/>
      <c r="I213" s="8" t="n"/>
      <c r="J213" s="8" t="n"/>
      <c r="K213" s="8" t="n">
        <v>245</v>
      </c>
      <c r="L213" s="8" t="n">
        <v>275.01</v>
      </c>
      <c r="M213" s="8" t="n"/>
      <c r="N213" s="8" t="n"/>
      <c r="O213" s="8" t="n"/>
      <c r="P213" s="8" t="n"/>
      <c r="Q213" s="8">
        <f>IF(COUNT(D213:P213)=0,"",MIN(D213:P213))</f>
        <v/>
      </c>
      <c r="R213" s="8">
        <f>IF(COUNT(D213:P213)=0,"",MEDIAN(D213:P213))</f>
        <v/>
      </c>
      <c r="S213" s="8">
        <f>IF(COUNT(D213:P213)=0,"",MAX(D213:P213))</f>
        <v/>
      </c>
      <c r="T213" s="9">
        <f>IF(OR(Q213="",Q213=0),"",(S213-Q213)/Q213)</f>
        <v/>
      </c>
      <c r="U213" s="7">
        <f>IF(COUNT(D213:P213)=0,"",INDEX($D$1:$P$1,MATCH(MIN(D213:P213),D213:P213,0)))</f>
        <v/>
      </c>
      <c r="V213" s="8" t="n">
        <v>219</v>
      </c>
      <c r="W213" s="10" t="n">
        <v>4</v>
      </c>
    </row>
    <row r="214">
      <c r="A214" s="7" t="inlineStr">
        <is>
          <t>MAT-07-014</t>
        </is>
      </c>
      <c r="B214" s="4" t="inlineStr">
        <is>
          <t>Zinc acanalado calibre 34, 3 x 12 pies</t>
        </is>
      </c>
      <c r="C214" s="7" t="inlineStr">
        <is>
          <t>plancha</t>
        </is>
      </c>
      <c r="D214" s="8" t="n">
        <v>414.3</v>
      </c>
      <c r="E214" s="8" t="n">
        <v>452</v>
      </c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>
        <f>IF(COUNT(D214:P214)=0,"",MIN(D214:P214))</f>
        <v/>
      </c>
      <c r="R214" s="8">
        <f>IF(COUNT(D214:P214)=0,"",MEDIAN(D214:P214))</f>
        <v/>
      </c>
      <c r="S214" s="8">
        <f>IF(COUNT(D214:P214)=0,"",MAX(D214:P214))</f>
        <v/>
      </c>
      <c r="T214" s="9">
        <f>IF(OR(Q214="",Q214=0),"",(S214-Q214)/Q214)</f>
        <v/>
      </c>
      <c r="U214" s="7">
        <f>IF(COUNT(D214:P214)=0,"",INDEX($D$1:$P$1,MATCH(MIN(D214:P214),D214:P214,0)))</f>
        <v/>
      </c>
      <c r="V214" s="8" t="n">
        <v>452</v>
      </c>
      <c r="W214" s="10" t="n">
        <v>2</v>
      </c>
    </row>
    <row r="215">
      <c r="A215" s="7" t="inlineStr">
        <is>
          <t>MAT-07-015</t>
        </is>
      </c>
      <c r="B215" s="4" t="inlineStr">
        <is>
          <t>Teja de acero gravillado, 2 piezas por m²</t>
        </is>
      </c>
      <c r="C215" s="7" t="inlineStr">
        <is>
          <t>m²</t>
        </is>
      </c>
      <c r="D215" s="8" t="n">
        <v>1026.24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>
        <f>IF(COUNT(D215:P215)=0,"",MIN(D215:P215))</f>
        <v/>
      </c>
      <c r="R215" s="8">
        <f>IF(COUNT(D215:P215)=0,"",MEDIAN(D215:P215))</f>
        <v/>
      </c>
      <c r="S215" s="8">
        <f>IF(COUNT(D215:P215)=0,"",MAX(D215:P215))</f>
        <v/>
      </c>
      <c r="T215" s="9">
        <f>IF(OR(Q215="",Q215=0),"",(S215-Q215)/Q215)</f>
        <v/>
      </c>
      <c r="U215" s="7">
        <f>IF(COUNT(D215:P215)=0,"",INDEX($D$1:$P$1,MATCH(MIN(D215:P215),D215:P215,0)))</f>
        <v/>
      </c>
      <c r="V215" s="8" t="n">
        <v>1026.24</v>
      </c>
      <c r="W215" s="10" t="n">
        <v>1</v>
      </c>
    </row>
    <row r="216">
      <c r="A216" s="7" t="inlineStr">
        <is>
          <t>MAT-07-016</t>
        </is>
      </c>
      <c r="B216" s="4" t="inlineStr">
        <is>
          <t>Teja de cerámica, 10.5 piezas por m²</t>
        </is>
      </c>
      <c r="C216" s="7" t="inlineStr">
        <is>
          <t>m²</t>
        </is>
      </c>
      <c r="D216" s="8" t="n">
        <v>1677.27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>
        <f>IF(COUNT(D216:P216)=0,"",MIN(D216:P216))</f>
        <v/>
      </c>
      <c r="R216" s="8">
        <f>IF(COUNT(D216:P216)=0,"",MEDIAN(D216:P216))</f>
        <v/>
      </c>
      <c r="S216" s="8">
        <f>IF(COUNT(D216:P216)=0,"",MAX(D216:P216))</f>
        <v/>
      </c>
      <c r="T216" s="9">
        <f>IF(OR(Q216="",Q216=0),"",(S216-Q216)/Q216)</f>
        <v/>
      </c>
      <c r="U216" s="7">
        <f>IF(COUNT(D216:P216)=0,"",INDEX($D$1:$P$1,MATCH(MIN(D216:P216),D216:P216,0)))</f>
        <v/>
      </c>
      <c r="V216" s="8" t="n">
        <v>1677.27</v>
      </c>
      <c r="W216" s="10" t="n">
        <v>1</v>
      </c>
    </row>
    <row r="217">
      <c r="A217" s="7" t="inlineStr">
        <is>
          <t>MAT-07-017</t>
        </is>
      </c>
      <c r="B217" s="4" t="inlineStr">
        <is>
          <t>Teja de cerámica, 11.5 piezas por m²</t>
        </is>
      </c>
      <c r="C217" s="7" t="inlineStr">
        <is>
          <t>m²</t>
        </is>
      </c>
      <c r="D217" s="8" t="n">
        <v>2043.67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>
        <f>IF(COUNT(D217:P217)=0,"",MIN(D217:P217))</f>
        <v/>
      </c>
      <c r="R217" s="8">
        <f>IF(COUNT(D217:P217)=0,"",MEDIAN(D217:P217))</f>
        <v/>
      </c>
      <c r="S217" s="8">
        <f>IF(COUNT(D217:P217)=0,"",MAX(D217:P217))</f>
        <v/>
      </c>
      <c r="T217" s="9">
        <f>IF(OR(Q217="",Q217=0),"",(S217-Q217)/Q217)</f>
        <v/>
      </c>
      <c r="U217" s="7">
        <f>IF(COUNT(D217:P217)=0,"",INDEX($D$1:$P$1,MATCH(MIN(D217:P217),D217:P217,0)))</f>
        <v/>
      </c>
      <c r="V217" s="8" t="n">
        <v>2064.49</v>
      </c>
      <c r="W217" s="10" t="n">
        <v>1</v>
      </c>
    </row>
    <row r="218">
      <c r="A218" s="7" t="inlineStr">
        <is>
          <t>MAT-07-018</t>
        </is>
      </c>
      <c r="B218" s="4" t="inlineStr">
        <is>
          <t>Caballete para teja de acero gravillado</t>
        </is>
      </c>
      <c r="C218" s="7" t="inlineStr">
        <is>
          <t>unidad</t>
        </is>
      </c>
      <c r="D218" s="8" t="n">
        <v>202.34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>
        <f>IF(COUNT(D218:P218)=0,"",MIN(D218:P218))</f>
        <v/>
      </c>
      <c r="R218" s="8">
        <f>IF(COUNT(D218:P218)=0,"",MEDIAN(D218:P218))</f>
        <v/>
      </c>
      <c r="S218" s="8">
        <f>IF(COUNT(D218:P218)=0,"",MAX(D218:P218))</f>
        <v/>
      </c>
      <c r="T218" s="9">
        <f>IF(OR(Q218="",Q218=0),"",(S218-Q218)/Q218)</f>
        <v/>
      </c>
      <c r="U218" s="7">
        <f>IF(COUNT(D218:P218)=0,"",INDEX($D$1:$P$1,MATCH(MIN(D218:P218),D218:P218,0)))</f>
        <v/>
      </c>
      <c r="V218" s="8" t="n">
        <v>386.75</v>
      </c>
      <c r="W218" s="10" t="n">
        <v>1</v>
      </c>
    </row>
    <row r="219">
      <c r="A219" s="7" t="inlineStr">
        <is>
          <t>MAT-07-019</t>
        </is>
      </c>
      <c r="B219" s="4" t="inlineStr">
        <is>
          <t>Final de caballete para teja de acero gravillado</t>
        </is>
      </c>
      <c r="C219" s="7" t="inlineStr">
        <is>
          <t>unidad</t>
        </is>
      </c>
      <c r="D219" s="8" t="n">
        <v>131.47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>
        <f>IF(COUNT(D219:P219)=0,"",MIN(D219:P219))</f>
        <v/>
      </c>
      <c r="R219" s="8">
        <f>IF(COUNT(D219:P219)=0,"",MEDIAN(D219:P219))</f>
        <v/>
      </c>
      <c r="S219" s="8">
        <f>IF(COUNT(D219:P219)=0,"",MAX(D219:P219))</f>
        <v/>
      </c>
      <c r="T219" s="9">
        <f>IF(OR(Q219="",Q219=0),"",(S219-Q219)/Q219)</f>
        <v/>
      </c>
      <c r="U219" s="7">
        <f>IF(COUNT(D219:P219)=0,"",INDEX($D$1:$P$1,MATCH(MIN(D219:P219),D219:P219,0)))</f>
        <v/>
      </c>
      <c r="V219" s="8" t="n">
        <v>136.66</v>
      </c>
      <c r="W219" s="10" t="n">
        <v>1</v>
      </c>
    </row>
    <row r="220">
      <c r="A220" s="7" t="inlineStr">
        <is>
          <t>MAT-07-020</t>
        </is>
      </c>
      <c r="B220" s="4" t="inlineStr">
        <is>
          <t>Final de caballete para teja de cerámica</t>
        </is>
      </c>
      <c r="C220" s="7" t="inlineStr">
        <is>
          <t>unidad</t>
        </is>
      </c>
      <c r="D220" s="8" t="n">
        <v>2198.43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>
        <f>IF(COUNT(D220:P220)=0,"",MIN(D220:P220))</f>
        <v/>
      </c>
      <c r="R220" s="8">
        <f>IF(COUNT(D220:P220)=0,"",MEDIAN(D220:P220))</f>
        <v/>
      </c>
      <c r="S220" s="8">
        <f>IF(COUNT(D220:P220)=0,"",MAX(D220:P220))</f>
        <v/>
      </c>
      <c r="T220" s="9">
        <f>IF(OR(Q220="",Q220=0),"",(S220-Q220)/Q220)</f>
        <v/>
      </c>
      <c r="U220" s="7">
        <f>IF(COUNT(D220:P220)=0,"",INDEX($D$1:$P$1,MATCH(MIN(D220:P220),D220:P220,0)))</f>
        <v/>
      </c>
      <c r="V220" s="8" t="n">
        <v>2198.43</v>
      </c>
      <c r="W220" s="10" t="n">
        <v>1</v>
      </c>
    </row>
    <row r="221">
      <c r="A221" s="7" t="inlineStr">
        <is>
          <t>MAT-07-021</t>
        </is>
      </c>
      <c r="B221" s="4" t="inlineStr">
        <is>
          <t>Zinc liso calibre 29, 3 x 6 pies</t>
        </is>
      </c>
      <c r="C221" s="7" t="inlineStr">
        <is>
          <t>plancha</t>
        </is>
      </c>
      <c r="D221" s="8" t="n">
        <v>270.35</v>
      </c>
      <c r="E221" s="8" t="n">
        <v>308.5</v>
      </c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>
        <f>IF(COUNT(D221:P221)=0,"",MIN(D221:P221))</f>
        <v/>
      </c>
      <c r="R221" s="8">
        <f>IF(COUNT(D221:P221)=0,"",MEDIAN(D221:P221))</f>
        <v/>
      </c>
      <c r="S221" s="8">
        <f>IF(COUNT(D221:P221)=0,"",MAX(D221:P221))</f>
        <v/>
      </c>
      <c r="T221" s="9">
        <f>IF(OR(Q221="",Q221=0),"",(S221-Q221)/Q221)</f>
        <v/>
      </c>
      <c r="U221" s="7">
        <f>IF(COUNT(D221:P221)=0,"",INDEX($D$1:$P$1,MATCH(MIN(D221:P221),D221:P221,0)))</f>
        <v/>
      </c>
      <c r="V221" s="8" t="n">
        <v>302.34</v>
      </c>
      <c r="W221" s="10" t="n">
        <v>2</v>
      </c>
    </row>
    <row r="222">
      <c r="A222" s="7" t="inlineStr">
        <is>
          <t>MAT-07-022</t>
        </is>
      </c>
      <c r="B222" s="4" t="inlineStr">
        <is>
          <t>Zinc liso calibre 34, 3 x 6 pies</t>
        </is>
      </c>
      <c r="C222" s="7" t="inlineStr">
        <is>
          <t>plancha</t>
        </is>
      </c>
      <c r="D222" s="8" t="n">
        <v>208.33</v>
      </c>
      <c r="E222" s="8" t="n">
        <v>220.5</v>
      </c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>
        <f>IF(COUNT(D222:P222)=0,"",MIN(D222:P222))</f>
        <v/>
      </c>
      <c r="R222" s="8">
        <f>IF(COUNT(D222:P222)=0,"",MEDIAN(D222:P222))</f>
        <v/>
      </c>
      <c r="S222" s="8">
        <f>IF(COUNT(D222:P222)=0,"",MAX(D222:P222))</f>
        <v/>
      </c>
      <c r="T222" s="9">
        <f>IF(OR(Q222="",Q222=0),"",(S222-Q222)/Q222)</f>
        <v/>
      </c>
      <c r="U222" s="7">
        <f>IF(COUNT(D222:P222)=0,"",INDEX($D$1:$P$1,MATCH(MIN(D222:P222),D222:P222,0)))</f>
        <v/>
      </c>
      <c r="V222" s="8" t="n">
        <v>215.03</v>
      </c>
      <c r="W222" s="10" t="n">
        <v>2</v>
      </c>
    </row>
    <row r="223">
      <c r="A223" s="7" t="inlineStr">
        <is>
          <t>MAT-07-023</t>
        </is>
      </c>
      <c r="B223" s="4" t="inlineStr">
        <is>
          <t>Zinc translúcido 3 x 6 pies</t>
        </is>
      </c>
      <c r="C223" s="7" t="inlineStr">
        <is>
          <t>plancha</t>
        </is>
      </c>
      <c r="D223" s="8" t="n">
        <v>1127.34</v>
      </c>
      <c r="E223" s="8" t="n"/>
      <c r="F223" s="8" t="n"/>
      <c r="G223" s="8" t="n"/>
      <c r="H223" s="8" t="n"/>
      <c r="I223" s="8" t="n"/>
      <c r="J223" s="8" t="n"/>
      <c r="K223" s="8" t="n">
        <v>1195</v>
      </c>
      <c r="L223" s="8" t="n">
        <v>1050.01</v>
      </c>
      <c r="M223" s="8" t="n"/>
      <c r="N223" s="8" t="n"/>
      <c r="O223" s="8" t="n"/>
      <c r="P223" s="8" t="n"/>
      <c r="Q223" s="8">
        <f>IF(COUNT(D223:P223)=0,"",MIN(D223:P223))</f>
        <v/>
      </c>
      <c r="R223" s="8">
        <f>IF(COUNT(D223:P223)=0,"",MEDIAN(D223:P223))</f>
        <v/>
      </c>
      <c r="S223" s="8">
        <f>IF(COUNT(D223:P223)=0,"",MAX(D223:P223))</f>
        <v/>
      </c>
      <c r="T223" s="9">
        <f>IF(OR(Q223="",Q223=0),"",(S223-Q223)/Q223)</f>
        <v/>
      </c>
      <c r="U223" s="7">
        <f>IF(COUNT(D223:P223)=0,"",INDEX($D$1:$P$1,MATCH(MIN(D223:P223),D223:P223,0)))</f>
        <v/>
      </c>
      <c r="V223" s="8" t="n">
        <v>1127.34</v>
      </c>
      <c r="W223" s="10" t="n">
        <v>3</v>
      </c>
    </row>
    <row r="224">
      <c r="A224" s="7" t="inlineStr">
        <is>
          <t>MAT-07-024</t>
        </is>
      </c>
      <c r="B224" s="4" t="inlineStr">
        <is>
          <t>Caballete para aluzinc 21"</t>
        </is>
      </c>
      <c r="C224" s="7" t="inlineStr">
        <is>
          <t>unidad</t>
        </is>
      </c>
      <c r="D224" s="8" t="n">
        <v>660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>
        <f>IF(COUNT(D224:P224)=0,"",MIN(D224:P224))</f>
        <v/>
      </c>
      <c r="R224" s="8">
        <f>IF(COUNT(D224:P224)=0,"",MEDIAN(D224:P224))</f>
        <v/>
      </c>
      <c r="S224" s="8">
        <f>IF(COUNT(D224:P224)=0,"",MAX(D224:P224))</f>
        <v/>
      </c>
      <c r="T224" s="9">
        <f>IF(OR(Q224="",Q224=0),"",(S224-Q224)/Q224)</f>
        <v/>
      </c>
      <c r="U224" s="7">
        <f>IF(COUNT(D224:P224)=0,"",INDEX($D$1:$P$1,MATCH(MIN(D224:P224),D224:P224,0)))</f>
        <v/>
      </c>
      <c r="V224" s="8" t="n">
        <v>660</v>
      </c>
      <c r="W224" s="10" t="n">
        <v>1</v>
      </c>
    </row>
    <row r="225">
      <c r="A225" s="7" t="inlineStr">
        <is>
          <t>MAT-07-025</t>
        </is>
      </c>
      <c r="B225" s="4" t="inlineStr">
        <is>
          <t>Caballete de fibra para techo fibra de refuerzo, 0.76x0.6</t>
        </is>
      </c>
      <c r="C225" s="7" t="inlineStr">
        <is>
          <t>unidad</t>
        </is>
      </c>
      <c r="D225" s="8" t="n"/>
      <c r="E225" s="8" t="n"/>
      <c r="F225" s="8" t="n"/>
      <c r="G225" s="8" t="n"/>
      <c r="H225" s="8" t="n"/>
      <c r="I225" s="8" t="n"/>
      <c r="J225" s="8" t="n"/>
      <c r="K225" s="8" t="n">
        <v>1535</v>
      </c>
      <c r="L225" s="8" t="n"/>
      <c r="M225" s="8" t="n"/>
      <c r="N225" s="8" t="n"/>
      <c r="O225" s="8" t="n"/>
      <c r="P225" s="8" t="n"/>
      <c r="Q225" s="8">
        <f>IF(COUNT(D225:P225)=0,"",MIN(D225:P225))</f>
        <v/>
      </c>
      <c r="R225" s="8">
        <f>IF(COUNT(D225:P225)=0,"",MEDIAN(D225:P225))</f>
        <v/>
      </c>
      <c r="S225" s="8">
        <f>IF(COUNT(D225:P225)=0,"",MAX(D225:P225))</f>
        <v/>
      </c>
      <c r="T225" s="9">
        <f>IF(OR(Q225="",Q225=0),"",(S225-Q225)/Q225)</f>
        <v/>
      </c>
      <c r="U225" s="7">
        <f>IF(COUNT(D225:P225)=0,"",INDEX($D$1:$P$1,MATCH(MIN(D225:P225),D225:P225,0)))</f>
        <v/>
      </c>
      <c r="V225" s="8" t="n">
        <v>1535</v>
      </c>
      <c r="W225" s="10" t="n">
        <v>1</v>
      </c>
    </row>
    <row r="226">
      <c r="A226" s="7" t="inlineStr">
        <is>
          <t>MAT-07-026</t>
        </is>
      </c>
      <c r="B226" s="4" t="inlineStr">
        <is>
          <t>Plancha tipo teja de fibra fibra de refuerzo, 0.76X1.15</t>
        </is>
      </c>
      <c r="C226" s="7" t="inlineStr">
        <is>
          <t>unidad</t>
        </is>
      </c>
      <c r="D226" s="8" t="n"/>
      <c r="E226" s="8" t="n"/>
      <c r="F226" s="8" t="n"/>
      <c r="G226" s="8" t="n"/>
      <c r="H226" s="8" t="n"/>
      <c r="I226" s="8" t="n"/>
      <c r="J226" s="8" t="n"/>
      <c r="K226" s="8" t="n">
        <v>1450</v>
      </c>
      <c r="L226" s="8" t="n"/>
      <c r="M226" s="8" t="n"/>
      <c r="N226" s="8" t="n"/>
      <c r="O226" s="8" t="n"/>
      <c r="P226" s="8" t="n"/>
      <c r="Q226" s="8">
        <f>IF(COUNT(D226:P226)=0,"",MIN(D226:P226))</f>
        <v/>
      </c>
      <c r="R226" s="8">
        <f>IF(COUNT(D226:P226)=0,"",MEDIAN(D226:P226))</f>
        <v/>
      </c>
      <c r="S226" s="8">
        <f>IF(COUNT(D226:P226)=0,"",MAX(D226:P226))</f>
        <v/>
      </c>
      <c r="T226" s="9">
        <f>IF(OR(Q226="",Q226=0),"",(S226-Q226)/Q226)</f>
        <v/>
      </c>
      <c r="U226" s="7">
        <f>IF(COUNT(D226:P226)=0,"",INDEX($D$1:$P$1,MATCH(MIN(D226:P226),D226:P226,0)))</f>
        <v/>
      </c>
      <c r="V226" s="8" t="n">
        <v>1450</v>
      </c>
      <c r="W226" s="10" t="n">
        <v>1</v>
      </c>
    </row>
    <row r="227">
      <c r="A227" s="7" t="inlineStr">
        <is>
          <t>MAT-07-027</t>
        </is>
      </c>
      <c r="B227" s="4" t="inlineStr">
        <is>
          <t>Caballete de zinc calibre 29, 6 pies</t>
        </is>
      </c>
      <c r="C227" s="7" t="inlineStr">
        <is>
          <t>unidad</t>
        </is>
      </c>
      <c r="D227" s="8" t="n">
        <v>141.1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>
        <f>IF(COUNT(D227:P227)=0,"",MIN(D227:P227))</f>
        <v/>
      </c>
      <c r="R227" s="8">
        <f>IF(COUNT(D227:P227)=0,"",MEDIAN(D227:P227))</f>
        <v/>
      </c>
      <c r="S227" s="8">
        <f>IF(COUNT(D227:P227)=0,"",MAX(D227:P227))</f>
        <v/>
      </c>
      <c r="T227" s="9">
        <f>IF(OR(Q227="",Q227=0),"",(S227-Q227)/Q227)</f>
        <v/>
      </c>
      <c r="U227" s="7">
        <f>IF(COUNT(D227:P227)=0,"",INDEX($D$1:$P$1,MATCH(MIN(D227:P227),D227:P227,0)))</f>
        <v/>
      </c>
      <c r="V227" s="8" t="n">
        <v>141.1</v>
      </c>
      <c r="W227" s="10" t="n">
        <v>1</v>
      </c>
    </row>
    <row r="228">
      <c r="A228" s="7" t="inlineStr">
        <is>
          <t>MAT-07-028</t>
        </is>
      </c>
      <c r="B228" s="4" t="inlineStr">
        <is>
          <t>Caballete de zinc calibre 34, 6 pies</t>
        </is>
      </c>
      <c r="C228" s="7" t="inlineStr">
        <is>
          <t>unidad</t>
        </is>
      </c>
      <c r="D228" s="8" t="n">
        <v>104.29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>
        <f>IF(COUNT(D228:P228)=0,"",MIN(D228:P228))</f>
        <v/>
      </c>
      <c r="R228" s="8">
        <f>IF(COUNT(D228:P228)=0,"",MEDIAN(D228:P228))</f>
        <v/>
      </c>
      <c r="S228" s="8">
        <f>IF(COUNT(D228:P228)=0,"",MAX(D228:P228))</f>
        <v/>
      </c>
      <c r="T228" s="9">
        <f>IF(OR(Q228="",Q228=0),"",(S228-Q228)/Q228)</f>
        <v/>
      </c>
      <c r="U228" s="7">
        <f>IF(COUNT(D228:P228)=0,"",INDEX($D$1:$P$1,MATCH(MIN(D228:P228),D228:P228,0)))</f>
        <v/>
      </c>
      <c r="V228" s="8" t="n">
        <v>104.29</v>
      </c>
      <c r="W228" s="10" t="n">
        <v>1</v>
      </c>
    </row>
    <row r="229">
      <c r="A229" s="7" t="inlineStr">
        <is>
          <t>MAT-07-029</t>
        </is>
      </c>
      <c r="B229" s="4" t="inlineStr">
        <is>
          <t>Caño para aluzinc 6" x 7" x 10 pies</t>
        </is>
      </c>
      <c r="C229" s="7" t="inlineStr">
        <is>
          <t>unidad</t>
        </is>
      </c>
      <c r="D229" s="8" t="n">
        <v>659.86</v>
      </c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>
        <f>IF(COUNT(D229:P229)=0,"",MIN(D229:P229))</f>
        <v/>
      </c>
      <c r="R229" s="8">
        <f>IF(COUNT(D229:P229)=0,"",MEDIAN(D229:P229))</f>
        <v/>
      </c>
      <c r="S229" s="8">
        <f>IF(COUNT(D229:P229)=0,"",MAX(D229:P229))</f>
        <v/>
      </c>
      <c r="T229" s="9">
        <f>IF(OR(Q229="",Q229=0),"",(S229-Q229)/Q229)</f>
        <v/>
      </c>
      <c r="U229" s="7">
        <f>IF(COUNT(D229:P229)=0,"",INDEX($D$1:$P$1,MATCH(MIN(D229:P229),D229:P229,0)))</f>
        <v/>
      </c>
      <c r="V229" s="8" t="n">
        <v>659.86</v>
      </c>
      <c r="W229" s="10" t="n">
        <v>1</v>
      </c>
    </row>
    <row r="230">
      <c r="A230" s="7" t="inlineStr">
        <is>
          <t>MAT-08-014</t>
        </is>
      </c>
      <c r="B230" s="4" t="inlineStr">
        <is>
          <t>Cerámica de pared, 100 x 30 cm</t>
        </is>
      </c>
      <c r="C230" s="7" t="inlineStr">
        <is>
          <t>m²</t>
        </is>
      </c>
      <c r="D230" s="8" t="n">
        <v>1303.85</v>
      </c>
      <c r="E230" s="8" t="n"/>
      <c r="F230" s="8" t="n">
        <v>1094.5</v>
      </c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>
        <f>IF(COUNT(D230:P230)=0,"",MIN(D230:P230))</f>
        <v/>
      </c>
      <c r="R230" s="8">
        <f>IF(COUNT(D230:P230)=0,"",MEDIAN(D230:P230))</f>
        <v/>
      </c>
      <c r="S230" s="8">
        <f>IF(COUNT(D230:P230)=0,"",MAX(D230:P230))</f>
        <v/>
      </c>
      <c r="T230" s="9">
        <f>IF(OR(Q230="",Q230=0),"",(S230-Q230)/Q230)</f>
        <v/>
      </c>
      <c r="U230" s="7">
        <f>IF(COUNT(D230:P230)=0,"",INDEX($D$1:$P$1,MATCH(MIN(D230:P230),D230:P230,0)))</f>
        <v/>
      </c>
      <c r="V230" s="8" t="n">
        <v>2112.23</v>
      </c>
      <c r="W230" s="10" t="n">
        <v>2</v>
      </c>
    </row>
    <row r="231">
      <c r="A231" s="7" t="inlineStr">
        <is>
          <t>MAT-08-015</t>
        </is>
      </c>
      <c r="B231" s="4" t="inlineStr">
        <is>
          <t>Cerámica de pared, 100 x 33 cm</t>
        </is>
      </c>
      <c r="C231" s="7" t="inlineStr">
        <is>
          <t>m²</t>
        </is>
      </c>
      <c r="D231" s="8" t="n">
        <v>1239.18</v>
      </c>
      <c r="E231" s="8" t="n"/>
      <c r="F231" s="8" t="n"/>
      <c r="G231" s="8" t="n"/>
      <c r="H231" s="8" t="n">
        <v>1725.01</v>
      </c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>
        <f>IF(COUNT(D231:P231)=0,"",MIN(D231:P231))</f>
        <v/>
      </c>
      <c r="R231" s="8">
        <f>IF(COUNT(D231:P231)=0,"",MEDIAN(D231:P231))</f>
        <v/>
      </c>
      <c r="S231" s="8">
        <f>IF(COUNT(D231:P231)=0,"",MAX(D231:P231))</f>
        <v/>
      </c>
      <c r="T231" s="9">
        <f>IF(OR(Q231="",Q231=0),"",(S231-Q231)/Q231)</f>
        <v/>
      </c>
      <c r="U231" s="7">
        <f>IF(COUNT(D231:P231)=0,"",INDEX($D$1:$P$1,MATCH(MIN(D231:P231),D231:P231,0)))</f>
        <v/>
      </c>
      <c r="V231" s="8" t="n">
        <v>1725.01</v>
      </c>
      <c r="W231" s="10" t="n">
        <v>2</v>
      </c>
    </row>
    <row r="232">
      <c r="A232" s="7" t="inlineStr">
        <is>
          <t>MAT-08-016</t>
        </is>
      </c>
      <c r="B232" s="4" t="inlineStr">
        <is>
          <t>Cerámica de pared, 113 x 55 cm</t>
        </is>
      </c>
      <c r="C232" s="7" t="inlineStr">
        <is>
          <t>m²</t>
        </is>
      </c>
      <c r="D232" s="8" t="n">
        <v>1045.19</v>
      </c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>
        <f>IF(COUNT(D232:P232)=0,"",MIN(D232:P232))</f>
        <v/>
      </c>
      <c r="R232" s="8">
        <f>IF(COUNT(D232:P232)=0,"",MEDIAN(D232:P232))</f>
        <v/>
      </c>
      <c r="S232" s="8">
        <f>IF(COUNT(D232:P232)=0,"",MAX(D232:P232))</f>
        <v/>
      </c>
      <c r="T232" s="9">
        <f>IF(OR(Q232="",Q232=0),"",(S232-Q232)/Q232)</f>
        <v/>
      </c>
      <c r="U232" s="7">
        <f>IF(COUNT(D232:P232)=0,"",INDEX($D$1:$P$1,MATCH(MIN(D232:P232),D232:P232,0)))</f>
        <v/>
      </c>
      <c r="V232" s="8" t="n">
        <v>1045.19</v>
      </c>
      <c r="W232" s="10" t="n">
        <v>1</v>
      </c>
    </row>
    <row r="233">
      <c r="A233" s="7" t="inlineStr">
        <is>
          <t>MAT-08-017</t>
        </is>
      </c>
      <c r="B233" s="4" t="inlineStr">
        <is>
          <t>Cerámica de pared, 120 x 120 cm</t>
        </is>
      </c>
      <c r="C233" s="7" t="inlineStr">
        <is>
          <t>m²</t>
        </is>
      </c>
      <c r="D233" s="8" t="n">
        <v>2945.45</v>
      </c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>
        <f>IF(COUNT(D233:P233)=0,"",MIN(D233:P233))</f>
        <v/>
      </c>
      <c r="R233" s="8">
        <f>IF(COUNT(D233:P233)=0,"",MEDIAN(D233:P233))</f>
        <v/>
      </c>
      <c r="S233" s="8">
        <f>IF(COUNT(D233:P233)=0,"",MAX(D233:P233))</f>
        <v/>
      </c>
      <c r="T233" s="9">
        <f>IF(OR(Q233="",Q233=0),"",(S233-Q233)/Q233)</f>
        <v/>
      </c>
      <c r="U233" s="7">
        <f>IF(COUNT(D233:P233)=0,"",INDEX($D$1:$P$1,MATCH(MIN(D233:P233),D233:P233,0)))</f>
        <v/>
      </c>
      <c r="V233" s="8" t="n">
        <v>2945.45</v>
      </c>
      <c r="W233" s="10" t="n">
        <v>1</v>
      </c>
    </row>
    <row r="234">
      <c r="A234" s="7" t="inlineStr">
        <is>
          <t>MAT-08-018</t>
        </is>
      </c>
      <c r="B234" s="4" t="inlineStr">
        <is>
          <t>Cerámica de pared, 120 x 20 cm</t>
        </is>
      </c>
      <c r="C234" s="7" t="inlineStr">
        <is>
          <t>m²</t>
        </is>
      </c>
      <c r="D234" s="8" t="n">
        <v>1439.19</v>
      </c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>
        <f>IF(COUNT(D234:P234)=0,"",MIN(D234:P234))</f>
        <v/>
      </c>
      <c r="R234" s="8">
        <f>IF(COUNT(D234:P234)=0,"",MEDIAN(D234:P234))</f>
        <v/>
      </c>
      <c r="S234" s="8">
        <f>IF(COUNT(D234:P234)=0,"",MAX(D234:P234))</f>
        <v/>
      </c>
      <c r="T234" s="9">
        <f>IF(OR(Q234="",Q234=0),"",(S234-Q234)/Q234)</f>
        <v/>
      </c>
      <c r="U234" s="7">
        <f>IF(COUNT(D234:P234)=0,"",INDEX($D$1:$P$1,MATCH(MIN(D234:P234),D234:P234,0)))</f>
        <v/>
      </c>
      <c r="V234" s="8" t="n">
        <v>1459.08</v>
      </c>
      <c r="W234" s="10" t="n">
        <v>1</v>
      </c>
    </row>
    <row r="235">
      <c r="A235" s="7" t="inlineStr">
        <is>
          <t>MAT-08-019</t>
        </is>
      </c>
      <c r="B235" s="4" t="inlineStr">
        <is>
          <t>Cerámica de pared, 120 x 40 cm</t>
        </is>
      </c>
      <c r="C235" s="7" t="inlineStr">
        <is>
          <t>m²</t>
        </is>
      </c>
      <c r="D235" s="8" t="n">
        <v>1563.47</v>
      </c>
      <c r="E235" s="8" t="n"/>
      <c r="F235" s="8" t="n">
        <v>635.59</v>
      </c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>
        <f>IF(COUNT(D235:P235)=0,"",MIN(D235:P235))</f>
        <v/>
      </c>
      <c r="R235" s="8">
        <f>IF(COUNT(D235:P235)=0,"",MEDIAN(D235:P235))</f>
        <v/>
      </c>
      <c r="S235" s="8">
        <f>IF(COUNT(D235:P235)=0,"",MAX(D235:P235))</f>
        <v/>
      </c>
      <c r="T235" s="9">
        <f>IF(OR(Q235="",Q235=0),"",(S235-Q235)/Q235)</f>
        <v/>
      </c>
      <c r="U235" s="7">
        <f>IF(COUNT(D235:P235)=0,"",INDEX($D$1:$P$1,MATCH(MIN(D235:P235),D235:P235,0)))</f>
        <v/>
      </c>
      <c r="V235" s="8" t="n">
        <v>2227.8</v>
      </c>
      <c r="W235" s="10" t="n">
        <v>2</v>
      </c>
    </row>
    <row r="236">
      <c r="A236" s="7" t="inlineStr">
        <is>
          <t>MAT-08-020</t>
        </is>
      </c>
      <c r="B236" s="4" t="inlineStr">
        <is>
          <t>Cerámica de pared, 120 x 45 cm</t>
        </is>
      </c>
      <c r="C236" s="7" t="inlineStr">
        <is>
          <t>m²</t>
        </is>
      </c>
      <c r="D236" s="8" t="n"/>
      <c r="E236" s="8" t="n"/>
      <c r="F236" s="8" t="n">
        <v>2224.67</v>
      </c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>
        <f>IF(COUNT(D236:P236)=0,"",MIN(D236:P236))</f>
        <v/>
      </c>
      <c r="R236" s="8">
        <f>IF(COUNT(D236:P236)=0,"",MEDIAN(D236:P236))</f>
        <v/>
      </c>
      <c r="S236" s="8">
        <f>IF(COUNT(D236:P236)=0,"",MAX(D236:P236))</f>
        <v/>
      </c>
      <c r="T236" s="9">
        <f>IF(OR(Q236="",Q236=0),"",(S236-Q236)/Q236)</f>
        <v/>
      </c>
      <c r="U236" s="7">
        <f>IF(COUNT(D236:P236)=0,"",INDEX($D$1:$P$1,MATCH(MIN(D236:P236),D236:P236,0)))</f>
        <v/>
      </c>
      <c r="V236" s="8" t="n">
        <v>3077.3</v>
      </c>
      <c r="W236" s="10" t="n">
        <v>1</v>
      </c>
    </row>
    <row r="237">
      <c r="A237" s="7" t="inlineStr">
        <is>
          <t>MAT-08-021</t>
        </is>
      </c>
      <c r="B237" s="4" t="inlineStr">
        <is>
          <t>Cerámica de pared, 120 x 60 cm</t>
        </is>
      </c>
      <c r="C237" s="7" t="inlineStr">
        <is>
          <t>m²</t>
        </is>
      </c>
      <c r="D237" s="8" t="n">
        <v>2119.72</v>
      </c>
      <c r="E237" s="8" t="n"/>
      <c r="F237" s="8" t="n">
        <v>1821.11</v>
      </c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>
        <f>IF(COUNT(D237:P237)=0,"",MIN(D237:P237))</f>
        <v/>
      </c>
      <c r="R237" s="8">
        <f>IF(COUNT(D237:P237)=0,"",MEDIAN(D237:P237))</f>
        <v/>
      </c>
      <c r="S237" s="8">
        <f>IF(COUNT(D237:P237)=0,"",MAX(D237:P237))</f>
        <v/>
      </c>
      <c r="T237" s="9">
        <f>IF(OR(Q237="",Q237=0),"",(S237-Q237)/Q237)</f>
        <v/>
      </c>
      <c r="U237" s="7">
        <f>IF(COUNT(D237:P237)=0,"",INDEX($D$1:$P$1,MATCH(MIN(D237:P237),D237:P237,0)))</f>
        <v/>
      </c>
      <c r="V237" s="8" t="n">
        <v>2520.03</v>
      </c>
      <c r="W237" s="10" t="n">
        <v>2</v>
      </c>
    </row>
    <row r="238">
      <c r="A238" s="7" t="inlineStr">
        <is>
          <t>MAT-08-022</t>
        </is>
      </c>
      <c r="B238" s="4" t="inlineStr">
        <is>
          <t>Cerámica de pared, 15 x 15 cm</t>
        </is>
      </c>
      <c r="C238" s="7" t="inlineStr">
        <is>
          <t>m²</t>
        </is>
      </c>
      <c r="D238" s="8" t="n">
        <v>2854.38</v>
      </c>
      <c r="E238" s="8" t="n"/>
      <c r="F238" s="8" t="n">
        <v>2122.94</v>
      </c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>
        <f>IF(COUNT(D238:P238)=0,"",MIN(D238:P238))</f>
        <v/>
      </c>
      <c r="R238" s="8">
        <f>IF(COUNT(D238:P238)=0,"",MEDIAN(D238:P238))</f>
        <v/>
      </c>
      <c r="S238" s="8">
        <f>IF(COUNT(D238:P238)=0,"",MAX(D238:P238))</f>
        <v/>
      </c>
      <c r="T238" s="9">
        <f>IF(OR(Q238="",Q238=0),"",(S238-Q238)/Q238)</f>
        <v/>
      </c>
      <c r="U238" s="7">
        <f>IF(COUNT(D238:P238)=0,"",INDEX($D$1:$P$1,MATCH(MIN(D238:P238),D238:P238,0)))</f>
        <v/>
      </c>
      <c r="V238" s="8" t="n">
        <v>2854.38</v>
      </c>
      <c r="W238" s="10" t="n">
        <v>2</v>
      </c>
    </row>
    <row r="239">
      <c r="A239" s="7" t="inlineStr">
        <is>
          <t>MAT-08-023</t>
        </is>
      </c>
      <c r="B239" s="4" t="inlineStr">
        <is>
          <t>Cerámica de pared, 15 x 7.5 cm</t>
        </is>
      </c>
      <c r="C239" s="7" t="inlineStr">
        <is>
          <t>m²</t>
        </is>
      </c>
      <c r="D239" s="8" t="n">
        <v>2209.68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>
        <f>IF(COUNT(D239:P239)=0,"",MIN(D239:P239))</f>
        <v/>
      </c>
      <c r="R239" s="8">
        <f>IF(COUNT(D239:P239)=0,"",MEDIAN(D239:P239))</f>
        <v/>
      </c>
      <c r="S239" s="8">
        <f>IF(COUNT(D239:P239)=0,"",MAX(D239:P239))</f>
        <v/>
      </c>
      <c r="T239" s="9">
        <f>IF(OR(Q239="",Q239=0),"",(S239-Q239)/Q239)</f>
        <v/>
      </c>
      <c r="U239" s="7">
        <f>IF(COUNT(D239:P239)=0,"",INDEX($D$1:$P$1,MATCH(MIN(D239:P239),D239:P239,0)))</f>
        <v/>
      </c>
      <c r="V239" s="8" t="n">
        <v>2565.64</v>
      </c>
      <c r="W239" s="10" t="n">
        <v>1</v>
      </c>
    </row>
    <row r="240">
      <c r="A240" s="7" t="inlineStr">
        <is>
          <t>MAT-08-024</t>
        </is>
      </c>
      <c r="B240" s="4" t="inlineStr">
        <is>
          <t>Cerámica de pared, 20 x 10 cm</t>
        </is>
      </c>
      <c r="C240" s="7" t="inlineStr">
        <is>
          <t>m²</t>
        </is>
      </c>
      <c r="D240" s="8" t="n"/>
      <c r="E240" s="8" t="n"/>
      <c r="F240" s="8" t="n">
        <v>1224.36</v>
      </c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>
        <f>IF(COUNT(D240:P240)=0,"",MIN(D240:P240))</f>
        <v/>
      </c>
      <c r="R240" s="8">
        <f>IF(COUNT(D240:P240)=0,"",MEDIAN(D240:P240))</f>
        <v/>
      </c>
      <c r="S240" s="8">
        <f>IF(COUNT(D240:P240)=0,"",MAX(D240:P240))</f>
        <v/>
      </c>
      <c r="T240" s="9">
        <f>IF(OR(Q240="",Q240=0),"",(S240-Q240)/Q240)</f>
        <v/>
      </c>
      <c r="U240" s="7">
        <f>IF(COUNT(D240:P240)=0,"",INDEX($D$1:$P$1,MATCH(MIN(D240:P240),D240:P240,0)))</f>
        <v/>
      </c>
      <c r="V240" s="8" t="n">
        <v>1444.74</v>
      </c>
      <c r="W240" s="10" t="n">
        <v>1</v>
      </c>
    </row>
    <row r="241">
      <c r="A241" s="7" t="inlineStr">
        <is>
          <t>MAT-08-025</t>
        </is>
      </c>
      <c r="B241" s="4" t="inlineStr">
        <is>
          <t>Cerámica de pared, 20 x 17.5 cm</t>
        </is>
      </c>
      <c r="C241" s="7" t="inlineStr">
        <is>
          <t>m²</t>
        </is>
      </c>
      <c r="D241" s="8" t="n">
        <v>767.39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>
        <f>IF(COUNT(D241:P241)=0,"",MIN(D241:P241))</f>
        <v/>
      </c>
      <c r="R241" s="8">
        <f>IF(COUNT(D241:P241)=0,"",MEDIAN(D241:P241))</f>
        <v/>
      </c>
      <c r="S241" s="8">
        <f>IF(COUNT(D241:P241)=0,"",MAX(D241:P241))</f>
        <v/>
      </c>
      <c r="T241" s="9">
        <f>IF(OR(Q241="",Q241=0),"",(S241-Q241)/Q241)</f>
        <v/>
      </c>
      <c r="U241" s="7">
        <f>IF(COUNT(D241:P241)=0,"",INDEX($D$1:$P$1,MATCH(MIN(D241:P241),D241:P241,0)))</f>
        <v/>
      </c>
      <c r="V241" s="8" t="n">
        <v>767.39</v>
      </c>
      <c r="W241" s="10" t="n">
        <v>1</v>
      </c>
    </row>
    <row r="242">
      <c r="A242" s="7" t="inlineStr">
        <is>
          <t>MAT-08-026</t>
        </is>
      </c>
      <c r="B242" s="4" t="inlineStr">
        <is>
          <t>Cerámica de pared, 20 x 20 cm</t>
        </is>
      </c>
      <c r="C242" s="7" t="inlineStr">
        <is>
          <t>m²</t>
        </is>
      </c>
      <c r="D242" s="8" t="n"/>
      <c r="E242" s="8" t="n"/>
      <c r="F242" s="8" t="n">
        <v>995</v>
      </c>
      <c r="G242" s="8" t="n"/>
      <c r="H242" s="8" t="n">
        <v>924.83</v>
      </c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>
        <f>IF(COUNT(D242:P242)=0,"",MIN(D242:P242))</f>
        <v/>
      </c>
      <c r="R242" s="8">
        <f>IF(COUNT(D242:P242)=0,"",MEDIAN(D242:P242))</f>
        <v/>
      </c>
      <c r="S242" s="8">
        <f>IF(COUNT(D242:P242)=0,"",MAX(D242:P242))</f>
        <v/>
      </c>
      <c r="T242" s="9">
        <f>IF(OR(Q242="",Q242=0),"",(S242-Q242)/Q242)</f>
        <v/>
      </c>
      <c r="U242" s="7">
        <f>IF(COUNT(D242:P242)=0,"",INDEX($D$1:$P$1,MATCH(MIN(D242:P242),D242:P242,0)))</f>
        <v/>
      </c>
      <c r="V242" s="8" t="n">
        <v>989.73</v>
      </c>
      <c r="W242" s="10" t="n">
        <v>2</v>
      </c>
    </row>
    <row r="243">
      <c r="A243" s="7" t="inlineStr">
        <is>
          <t>MAT-08-027</t>
        </is>
      </c>
      <c r="B243" s="4" t="inlineStr">
        <is>
          <t>Cerámica de pared, 22.3 x 22.3 cm</t>
        </is>
      </c>
      <c r="C243" s="7" t="inlineStr">
        <is>
          <t>m²</t>
        </is>
      </c>
      <c r="D243" s="8" t="n">
        <v>1177.9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>
        <f>IF(COUNT(D243:P243)=0,"",MIN(D243:P243))</f>
        <v/>
      </c>
      <c r="R243" s="8">
        <f>IF(COUNT(D243:P243)=0,"",MEDIAN(D243:P243))</f>
        <v/>
      </c>
      <c r="S243" s="8">
        <f>IF(COUNT(D243:P243)=0,"",MAX(D243:P243))</f>
        <v/>
      </c>
      <c r="T243" s="9">
        <f>IF(OR(Q243="",Q243=0),"",(S243-Q243)/Q243)</f>
        <v/>
      </c>
      <c r="U243" s="7">
        <f>IF(COUNT(D243:P243)=0,"",INDEX($D$1:$P$1,MATCH(MIN(D243:P243),D243:P243,0)))</f>
        <v/>
      </c>
      <c r="V243" s="8" t="n">
        <v>1177.9</v>
      </c>
      <c r="W243" s="10" t="n">
        <v>1</v>
      </c>
    </row>
    <row r="244">
      <c r="A244" s="7" t="inlineStr">
        <is>
          <t>MAT-08-028</t>
        </is>
      </c>
      <c r="B244" s="4" t="inlineStr">
        <is>
          <t>Cerámica de pared, 30 x 10 cm</t>
        </is>
      </c>
      <c r="C244" s="7" t="inlineStr">
        <is>
          <t>m²</t>
        </is>
      </c>
      <c r="D244" s="8" t="n">
        <v>874.58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>
        <f>IF(COUNT(D244:P244)=0,"",MIN(D244:P244))</f>
        <v/>
      </c>
      <c r="R244" s="8">
        <f>IF(COUNT(D244:P244)=0,"",MEDIAN(D244:P244))</f>
        <v/>
      </c>
      <c r="S244" s="8">
        <f>IF(COUNT(D244:P244)=0,"",MAX(D244:P244))</f>
        <v/>
      </c>
      <c r="T244" s="9">
        <f>IF(OR(Q244="",Q244=0),"",(S244-Q244)/Q244)</f>
        <v/>
      </c>
      <c r="U244" s="7">
        <f>IF(COUNT(D244:P244)=0,"",INDEX($D$1:$P$1,MATCH(MIN(D244:P244),D244:P244,0)))</f>
        <v/>
      </c>
      <c r="V244" s="8" t="n">
        <v>1204.05</v>
      </c>
      <c r="W244" s="10" t="n">
        <v>1</v>
      </c>
    </row>
    <row r="245">
      <c r="A245" s="7" t="inlineStr">
        <is>
          <t>MAT-08-029</t>
        </is>
      </c>
      <c r="B245" s="4" t="inlineStr">
        <is>
          <t>Cerámica de pared, 30 x 20 cm</t>
        </is>
      </c>
      <c r="C245" s="7" t="inlineStr">
        <is>
          <t>m²</t>
        </is>
      </c>
      <c r="D245" s="8" t="n"/>
      <c r="E245" s="8" t="n"/>
      <c r="F245" s="8" t="n">
        <v>1873.67</v>
      </c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>
        <f>IF(COUNT(D245:P245)=0,"",MIN(D245:P245))</f>
        <v/>
      </c>
      <c r="R245" s="8">
        <f>IF(COUNT(D245:P245)=0,"",MEDIAN(D245:P245))</f>
        <v/>
      </c>
      <c r="S245" s="8">
        <f>IF(COUNT(D245:P245)=0,"",MAX(D245:P245))</f>
        <v/>
      </c>
      <c r="T245" s="9">
        <f>IF(OR(Q245="",Q245=0),"",(S245-Q245)/Q245)</f>
        <v/>
      </c>
      <c r="U245" s="7">
        <f>IF(COUNT(D245:P245)=0,"",INDEX($D$1:$P$1,MATCH(MIN(D245:P245),D245:P245,0)))</f>
        <v/>
      </c>
      <c r="V245" s="8" t="n">
        <v>2210.93</v>
      </c>
      <c r="W245" s="10" t="n">
        <v>1</v>
      </c>
    </row>
    <row r="246">
      <c r="A246" s="7" t="inlineStr">
        <is>
          <t>MAT-08-030</t>
        </is>
      </c>
      <c r="B246" s="4" t="inlineStr">
        <is>
          <t>Cerámica de pared, 30 x 7.5 cm</t>
        </is>
      </c>
      <c r="C246" s="7" t="inlineStr">
        <is>
          <t>m²</t>
        </is>
      </c>
      <c r="D246" s="8" t="n">
        <v>806.14</v>
      </c>
      <c r="E246" s="8" t="n"/>
      <c r="F246" s="8" t="n">
        <v>968.37</v>
      </c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>
        <f>IF(COUNT(D246:P246)=0,"",MIN(D246:P246))</f>
        <v/>
      </c>
      <c r="R246" s="8">
        <f>IF(COUNT(D246:P246)=0,"",MEDIAN(D246:P246))</f>
        <v/>
      </c>
      <c r="S246" s="8">
        <f>IF(COUNT(D246:P246)=0,"",MAX(D246:P246))</f>
        <v/>
      </c>
      <c r="T246" s="9">
        <f>IF(OR(Q246="",Q246=0),"",(S246-Q246)/Q246)</f>
        <v/>
      </c>
      <c r="U246" s="7">
        <f>IF(COUNT(D246:P246)=0,"",INDEX($D$1:$P$1,MATCH(MIN(D246:P246),D246:P246,0)))</f>
        <v/>
      </c>
      <c r="V246" s="8" t="n">
        <v>2336.59</v>
      </c>
      <c r="W246" s="10" t="n">
        <v>2</v>
      </c>
    </row>
    <row r="247">
      <c r="A247" s="7" t="inlineStr">
        <is>
          <t>MAT-08-031</t>
        </is>
      </c>
      <c r="B247" s="4" t="inlineStr">
        <is>
          <t>Cerámica de pared, 40 x 25 cm</t>
        </is>
      </c>
      <c r="C247" s="7" t="inlineStr">
        <is>
          <t>m²</t>
        </is>
      </c>
      <c r="D247" s="8" t="n"/>
      <c r="E247" s="8" t="n"/>
      <c r="F247" s="8" t="n"/>
      <c r="G247" s="8" t="n"/>
      <c r="H247" s="8" t="n">
        <v>1100</v>
      </c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>
        <f>IF(COUNT(D247:P247)=0,"",MIN(D247:P247))</f>
        <v/>
      </c>
      <c r="R247" s="8">
        <f>IF(COUNT(D247:P247)=0,"",MEDIAN(D247:P247))</f>
        <v/>
      </c>
      <c r="S247" s="8">
        <f>IF(COUNT(D247:P247)=0,"",MAX(D247:P247))</f>
        <v/>
      </c>
      <c r="T247" s="9">
        <f>IF(OR(Q247="",Q247=0),"",(S247-Q247)/Q247)</f>
        <v/>
      </c>
      <c r="U247" s="7">
        <f>IF(COUNT(D247:P247)=0,"",INDEX($D$1:$P$1,MATCH(MIN(D247:P247),D247:P247,0)))</f>
        <v/>
      </c>
      <c r="V247" s="8" t="n">
        <v>1364.21</v>
      </c>
      <c r="W247" s="10" t="n">
        <v>1</v>
      </c>
    </row>
    <row r="248">
      <c r="A248" s="7" t="inlineStr">
        <is>
          <t>MAT-08-032</t>
        </is>
      </c>
      <c r="B248" s="4" t="inlineStr">
        <is>
          <t>Cerámica de pared, 45 x 45 cm</t>
        </is>
      </c>
      <c r="C248" s="7" t="inlineStr">
        <is>
          <t>m²</t>
        </is>
      </c>
      <c r="D248" s="8" t="n">
        <v>709.33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>
        <f>IF(COUNT(D248:P248)=0,"",MIN(D248:P248))</f>
        <v/>
      </c>
      <c r="R248" s="8">
        <f>IF(COUNT(D248:P248)=0,"",MEDIAN(D248:P248))</f>
        <v/>
      </c>
      <c r="S248" s="8">
        <f>IF(COUNT(D248:P248)=0,"",MAX(D248:P248))</f>
        <v/>
      </c>
      <c r="T248" s="9">
        <f>IF(OR(Q248="",Q248=0),"",(S248-Q248)/Q248)</f>
        <v/>
      </c>
      <c r="U248" s="7">
        <f>IF(COUNT(D248:P248)=0,"",INDEX($D$1:$P$1,MATCH(MIN(D248:P248),D248:P248,0)))</f>
        <v/>
      </c>
      <c r="V248" s="8" t="n">
        <v>832.97</v>
      </c>
      <c r="W248" s="10" t="n">
        <v>1</v>
      </c>
    </row>
    <row r="249">
      <c r="A249" s="7" t="inlineStr">
        <is>
          <t>MAT-08-033</t>
        </is>
      </c>
      <c r="B249" s="4" t="inlineStr">
        <is>
          <t>Cerámica de pared, 50 x 17 cm</t>
        </is>
      </c>
      <c r="C249" s="7" t="inlineStr">
        <is>
          <t>m²</t>
        </is>
      </c>
      <c r="D249" s="8" t="n">
        <v>1238.82</v>
      </c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>
        <f>IF(COUNT(D249:P249)=0,"",MIN(D249:P249))</f>
        <v/>
      </c>
      <c r="R249" s="8">
        <f>IF(COUNT(D249:P249)=0,"",MEDIAN(D249:P249))</f>
        <v/>
      </c>
      <c r="S249" s="8">
        <f>IF(COUNT(D249:P249)=0,"",MAX(D249:P249))</f>
        <v/>
      </c>
      <c r="T249" s="9">
        <f>IF(OR(Q249="",Q249=0),"",(S249-Q249)/Q249)</f>
        <v/>
      </c>
      <c r="U249" s="7">
        <f>IF(COUNT(D249:P249)=0,"",INDEX($D$1:$P$1,MATCH(MIN(D249:P249),D249:P249,0)))</f>
        <v/>
      </c>
      <c r="V249" s="8" t="n">
        <v>1238.82</v>
      </c>
      <c r="W249" s="10" t="n">
        <v>1</v>
      </c>
    </row>
    <row r="250">
      <c r="A250" s="7" t="inlineStr">
        <is>
          <t>MAT-08-034</t>
        </is>
      </c>
      <c r="B250" s="4" t="inlineStr">
        <is>
          <t>Cerámica de pared, 50 x 20 cm</t>
        </is>
      </c>
      <c r="C250" s="7" t="inlineStr">
        <is>
          <t>m²</t>
        </is>
      </c>
      <c r="D250" s="8" t="n"/>
      <c r="E250" s="8" t="n"/>
      <c r="F250" s="8" t="n">
        <v>2332.73</v>
      </c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>
        <f>IF(COUNT(D250:P250)=0,"",MIN(D250:P250))</f>
        <v/>
      </c>
      <c r="R250" s="8">
        <f>IF(COUNT(D250:P250)=0,"",MEDIAN(D250:P250))</f>
        <v/>
      </c>
      <c r="S250" s="8">
        <f>IF(COUNT(D250:P250)=0,"",MAX(D250:P250))</f>
        <v/>
      </c>
      <c r="T250" s="9">
        <f>IF(OR(Q250="",Q250=0),"",(S250-Q250)/Q250)</f>
        <v/>
      </c>
      <c r="U250" s="7">
        <f>IF(COUNT(D250:P250)=0,"",INDEX($D$1:$P$1,MATCH(MIN(D250:P250),D250:P250,0)))</f>
        <v/>
      </c>
      <c r="V250" s="8" t="n">
        <v>2752.62</v>
      </c>
      <c r="W250" s="10" t="n">
        <v>1</v>
      </c>
    </row>
    <row r="251">
      <c r="A251" s="7" t="inlineStr">
        <is>
          <t>MAT-08-035</t>
        </is>
      </c>
      <c r="B251" s="4" t="inlineStr">
        <is>
          <t>Cerámica de pared, 50 x 25 cm</t>
        </is>
      </c>
      <c r="C251" s="7" t="inlineStr">
        <is>
          <t>m²</t>
        </is>
      </c>
      <c r="D251" s="8" t="n"/>
      <c r="E251" s="8" t="n"/>
      <c r="F251" s="8" t="n">
        <v>459.05</v>
      </c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>
        <f>IF(COUNT(D251:P251)=0,"",MIN(D251:P251))</f>
        <v/>
      </c>
      <c r="R251" s="8">
        <f>IF(COUNT(D251:P251)=0,"",MEDIAN(D251:P251))</f>
        <v/>
      </c>
      <c r="S251" s="8">
        <f>IF(COUNT(D251:P251)=0,"",MAX(D251:P251))</f>
        <v/>
      </c>
      <c r="T251" s="9">
        <f>IF(OR(Q251="",Q251=0),"",(S251-Q251)/Q251)</f>
        <v/>
      </c>
      <c r="U251" s="7">
        <f>IF(COUNT(D251:P251)=0,"",INDEX($D$1:$P$1,MATCH(MIN(D251:P251),D251:P251,0)))</f>
        <v/>
      </c>
      <c r="V251" s="8" t="n">
        <v>541.6799999999999</v>
      </c>
      <c r="W251" s="10" t="n">
        <v>1</v>
      </c>
    </row>
    <row r="252">
      <c r="A252" s="7" t="inlineStr">
        <is>
          <t>MAT-08-036</t>
        </is>
      </c>
      <c r="B252" s="4" t="inlineStr">
        <is>
          <t>Cerámica de pared, 50 x 33 cm</t>
        </is>
      </c>
      <c r="C252" s="7" t="inlineStr">
        <is>
          <t>m²</t>
        </is>
      </c>
      <c r="D252" s="8" t="n">
        <v>1173.88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>
        <f>IF(COUNT(D252:P252)=0,"",MIN(D252:P252))</f>
        <v/>
      </c>
      <c r="R252" s="8">
        <f>IF(COUNT(D252:P252)=0,"",MEDIAN(D252:P252))</f>
        <v/>
      </c>
      <c r="S252" s="8">
        <f>IF(COUNT(D252:P252)=0,"",MAX(D252:P252))</f>
        <v/>
      </c>
      <c r="T252" s="9">
        <f>IF(OR(Q252="",Q252=0),"",(S252-Q252)/Q252)</f>
        <v/>
      </c>
      <c r="U252" s="7">
        <f>IF(COUNT(D252:P252)=0,"",INDEX($D$1:$P$1,MATCH(MIN(D252:P252),D252:P252,0)))</f>
        <v/>
      </c>
      <c r="V252" s="8" t="n">
        <v>1229.86</v>
      </c>
      <c r="W252" s="10" t="n">
        <v>1</v>
      </c>
    </row>
    <row r="253">
      <c r="A253" s="7" t="inlineStr">
        <is>
          <t>MAT-08-037</t>
        </is>
      </c>
      <c r="B253" s="4" t="inlineStr">
        <is>
          <t>Cerámica de pared, 50 x 35 cm</t>
        </is>
      </c>
      <c r="C253" s="7" t="inlineStr">
        <is>
          <t>m²</t>
        </is>
      </c>
      <c r="D253" s="8" t="n"/>
      <c r="E253" s="8" t="n"/>
      <c r="F253" s="8" t="n">
        <v>1029.69</v>
      </c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>
        <f>IF(COUNT(D253:P253)=0,"",MIN(D253:P253))</f>
        <v/>
      </c>
      <c r="R253" s="8">
        <f>IF(COUNT(D253:P253)=0,"",MEDIAN(D253:P253))</f>
        <v/>
      </c>
      <c r="S253" s="8">
        <f>IF(COUNT(D253:P253)=0,"",MAX(D253:P253))</f>
        <v/>
      </c>
      <c r="T253" s="9">
        <f>IF(OR(Q253="",Q253=0),"",(S253-Q253)/Q253)</f>
        <v/>
      </c>
      <c r="U253" s="7">
        <f>IF(COUNT(D253:P253)=0,"",INDEX($D$1:$P$1,MATCH(MIN(D253:P253),D253:P253,0)))</f>
        <v/>
      </c>
      <c r="V253" s="8" t="n">
        <v>1215.03</v>
      </c>
      <c r="W253" s="10" t="n">
        <v>1</v>
      </c>
    </row>
    <row r="254">
      <c r="A254" s="7" t="inlineStr">
        <is>
          <t>MAT-08-038</t>
        </is>
      </c>
      <c r="B254" s="4" t="inlineStr">
        <is>
          <t>Cerámica de pared, 55 x 33 cm</t>
        </is>
      </c>
      <c r="C254" s="7" t="inlineStr">
        <is>
          <t>m²</t>
        </is>
      </c>
      <c r="D254" s="8" t="n">
        <v>684.1799999999999</v>
      </c>
      <c r="E254" s="8" t="n">
        <v>680.76</v>
      </c>
      <c r="F254" s="8" t="n"/>
      <c r="G254" s="8" t="n"/>
      <c r="H254" s="8" t="n">
        <v>1189.99</v>
      </c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>
        <f>IF(COUNT(D254:P254)=0,"",MIN(D254:P254))</f>
        <v/>
      </c>
      <c r="R254" s="8">
        <f>IF(COUNT(D254:P254)=0,"",MEDIAN(D254:P254))</f>
        <v/>
      </c>
      <c r="S254" s="8">
        <f>IF(COUNT(D254:P254)=0,"",MAX(D254:P254))</f>
        <v/>
      </c>
      <c r="T254" s="9">
        <f>IF(OR(Q254="",Q254=0),"",(S254-Q254)/Q254)</f>
        <v/>
      </c>
      <c r="U254" s="7">
        <f>IF(COUNT(D254:P254)=0,"",INDEX($D$1:$P$1,MATCH(MIN(D254:P254),D254:P254,0)))</f>
        <v/>
      </c>
      <c r="V254" s="8" t="n">
        <v>822.24</v>
      </c>
      <c r="W254" s="10" t="n">
        <v>3</v>
      </c>
    </row>
    <row r="255">
      <c r="A255" s="7" t="inlineStr">
        <is>
          <t>MAT-08-039</t>
        </is>
      </c>
      <c r="B255" s="4" t="inlineStr">
        <is>
          <t>Cerámica de pared, 58 x 19 cm</t>
        </is>
      </c>
      <c r="C255" s="7" t="inlineStr">
        <is>
          <t>m²</t>
        </is>
      </c>
      <c r="D255" s="8" t="n">
        <v>760.26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>
        <f>IF(COUNT(D255:P255)=0,"",MIN(D255:P255))</f>
        <v/>
      </c>
      <c r="R255" s="8">
        <f>IF(COUNT(D255:P255)=0,"",MEDIAN(D255:P255))</f>
        <v/>
      </c>
      <c r="S255" s="8">
        <f>IF(COUNT(D255:P255)=0,"",MAX(D255:P255))</f>
        <v/>
      </c>
      <c r="T255" s="9">
        <f>IF(OR(Q255="",Q255=0),"",(S255-Q255)/Q255)</f>
        <v/>
      </c>
      <c r="U255" s="7">
        <f>IF(COUNT(D255:P255)=0,"",INDEX($D$1:$P$1,MATCH(MIN(D255:P255),D255:P255,0)))</f>
        <v/>
      </c>
      <c r="V255" s="8" t="n">
        <v>785.33</v>
      </c>
      <c r="W255" s="10" t="n">
        <v>1</v>
      </c>
    </row>
    <row r="256">
      <c r="A256" s="7" t="inlineStr">
        <is>
          <t>MAT-08-040</t>
        </is>
      </c>
      <c r="B256" s="4" t="inlineStr">
        <is>
          <t>Cerámica de pared, 58 x 30 cm</t>
        </is>
      </c>
      <c r="C256" s="7" t="inlineStr">
        <is>
          <t>m²</t>
        </is>
      </c>
      <c r="D256" s="8" t="n">
        <v>1684.92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>
        <f>IF(COUNT(D256:P256)=0,"",MIN(D256:P256))</f>
        <v/>
      </c>
      <c r="R256" s="8">
        <f>IF(COUNT(D256:P256)=0,"",MEDIAN(D256:P256))</f>
        <v/>
      </c>
      <c r="S256" s="8">
        <f>IF(COUNT(D256:P256)=0,"",MAX(D256:P256))</f>
        <v/>
      </c>
      <c r="T256" s="9">
        <f>IF(OR(Q256="",Q256=0),"",(S256-Q256)/Q256)</f>
        <v/>
      </c>
      <c r="U256" s="7">
        <f>IF(COUNT(D256:P256)=0,"",INDEX($D$1:$P$1,MATCH(MIN(D256:P256),D256:P256,0)))</f>
        <v/>
      </c>
      <c r="V256" s="8" t="n">
        <v>1684.92</v>
      </c>
      <c r="W256" s="10" t="n">
        <v>1</v>
      </c>
    </row>
    <row r="257">
      <c r="A257" s="7" t="inlineStr">
        <is>
          <t>MAT-08-041</t>
        </is>
      </c>
      <c r="B257" s="4" t="inlineStr">
        <is>
          <t>Cerámica de pared, 58 x 33 cm</t>
        </is>
      </c>
      <c r="C257" s="7" t="inlineStr">
        <is>
          <t>m²</t>
        </is>
      </c>
      <c r="D257" s="8" t="n">
        <v>333.42</v>
      </c>
      <c r="E257" s="8" t="n"/>
      <c r="F257" s="8" t="n"/>
      <c r="G257" s="8" t="n"/>
      <c r="H257" s="8" t="n"/>
      <c r="I257" s="8" t="n">
        <v>460</v>
      </c>
      <c r="J257" s="8" t="n"/>
      <c r="K257" s="8" t="n"/>
      <c r="L257" s="8" t="n"/>
      <c r="M257" s="8" t="n"/>
      <c r="N257" s="8" t="n"/>
      <c r="O257" s="8" t="n"/>
      <c r="P257" s="8" t="n"/>
      <c r="Q257" s="8">
        <f>IF(COUNT(D257:P257)=0,"",MIN(D257:P257))</f>
        <v/>
      </c>
      <c r="R257" s="8">
        <f>IF(COUNT(D257:P257)=0,"",MEDIAN(D257:P257))</f>
        <v/>
      </c>
      <c r="S257" s="8">
        <f>IF(COUNT(D257:P257)=0,"",MAX(D257:P257))</f>
        <v/>
      </c>
      <c r="T257" s="9">
        <f>IF(OR(Q257="",Q257=0),"",(S257-Q257)/Q257)</f>
        <v/>
      </c>
      <c r="U257" s="7">
        <f>IF(COUNT(D257:P257)=0,"",INDEX($D$1:$P$1,MATCH(MIN(D257:P257),D257:P257,0)))</f>
        <v/>
      </c>
      <c r="V257" s="8" t="n">
        <v>401.21</v>
      </c>
      <c r="W257" s="10" t="n">
        <v>2</v>
      </c>
    </row>
    <row r="258">
      <c r="A258" s="7" t="inlineStr">
        <is>
          <t>MAT-08-042</t>
        </is>
      </c>
      <c r="B258" s="4" t="inlineStr">
        <is>
          <t>Cerámica de pared, 60 x 20 cm</t>
        </is>
      </c>
      <c r="C258" s="7" t="inlineStr">
        <is>
          <t>m²</t>
        </is>
      </c>
      <c r="D258" s="8" t="n">
        <v>1162.7</v>
      </c>
      <c r="E258" s="8" t="n"/>
      <c r="F258" s="8" t="n"/>
      <c r="G258" s="8" t="n"/>
      <c r="H258" s="8" t="n">
        <v>1640.18</v>
      </c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>
        <f>IF(COUNT(D258:P258)=0,"",MIN(D258:P258))</f>
        <v/>
      </c>
      <c r="R258" s="8">
        <f>IF(COUNT(D258:P258)=0,"",MEDIAN(D258:P258))</f>
        <v/>
      </c>
      <c r="S258" s="8">
        <f>IF(COUNT(D258:P258)=0,"",MAX(D258:P258))</f>
        <v/>
      </c>
      <c r="T258" s="9">
        <f>IF(OR(Q258="",Q258=0),"",(S258-Q258)/Q258)</f>
        <v/>
      </c>
      <c r="U258" s="7">
        <f>IF(COUNT(D258:P258)=0,"",INDEX($D$1:$P$1,MATCH(MIN(D258:P258),D258:P258,0)))</f>
        <v/>
      </c>
      <c r="V258" s="8" t="n">
        <v>1264.08</v>
      </c>
      <c r="W258" s="10" t="n">
        <v>2</v>
      </c>
    </row>
    <row r="259">
      <c r="A259" s="7" t="inlineStr">
        <is>
          <t>MAT-08-043</t>
        </is>
      </c>
      <c r="B259" s="4" t="inlineStr">
        <is>
          <t>Cerámica de pared, 60 x 30 cm</t>
        </is>
      </c>
      <c r="C259" s="7" t="inlineStr">
        <is>
          <t>m²</t>
        </is>
      </c>
      <c r="D259" s="8" t="n">
        <v>461.4</v>
      </c>
      <c r="E259" s="8" t="n"/>
      <c r="F259" s="8" t="n">
        <v>355.01</v>
      </c>
      <c r="G259" s="8" t="n"/>
      <c r="H259" s="8" t="n">
        <v>989.96</v>
      </c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>
        <f>IF(COUNT(D259:P259)=0,"",MIN(D259:P259))</f>
        <v/>
      </c>
      <c r="R259" s="8">
        <f>IF(COUNT(D259:P259)=0,"",MEDIAN(D259:P259))</f>
        <v/>
      </c>
      <c r="S259" s="8">
        <f>IF(COUNT(D259:P259)=0,"",MAX(D259:P259))</f>
        <v/>
      </c>
      <c r="T259" s="9">
        <f>IF(OR(Q259="",Q259=0),"",(S259-Q259)/Q259)</f>
        <v/>
      </c>
      <c r="U259" s="7">
        <f>IF(COUNT(D259:P259)=0,"",INDEX($D$1:$P$1,MATCH(MIN(D259:P259),D259:P259,0)))</f>
        <v/>
      </c>
      <c r="V259" s="8" t="n">
        <v>800.16</v>
      </c>
      <c r="W259" s="10" t="n">
        <v>3</v>
      </c>
    </row>
    <row r="260">
      <c r="A260" s="7" t="inlineStr">
        <is>
          <t>MAT-08-044</t>
        </is>
      </c>
      <c r="B260" s="4" t="inlineStr">
        <is>
          <t>Cerámica de pared, 60 x 33 cm</t>
        </is>
      </c>
      <c r="C260" s="7" t="inlineStr">
        <is>
          <t>m²</t>
        </is>
      </c>
      <c r="D260" s="8" t="n">
        <v>1027.23</v>
      </c>
      <c r="E260" s="8" t="n"/>
      <c r="F260" s="8" t="n"/>
      <c r="G260" s="8" t="n"/>
      <c r="H260" s="8" t="n">
        <v>724.97</v>
      </c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>
        <f>IF(COUNT(D260:P260)=0,"",MIN(D260:P260))</f>
        <v/>
      </c>
      <c r="R260" s="8">
        <f>IF(COUNT(D260:P260)=0,"",MEDIAN(D260:P260))</f>
        <v/>
      </c>
      <c r="S260" s="8">
        <f>IF(COUNT(D260:P260)=0,"",MAX(D260:P260))</f>
        <v/>
      </c>
      <c r="T260" s="9">
        <f>IF(OR(Q260="",Q260=0),"",(S260-Q260)/Q260)</f>
        <v/>
      </c>
      <c r="U260" s="7">
        <f>IF(COUNT(D260:P260)=0,"",INDEX($D$1:$P$1,MATCH(MIN(D260:P260),D260:P260,0)))</f>
        <v/>
      </c>
      <c r="V260" s="8" t="n">
        <v>876.1</v>
      </c>
      <c r="W260" s="10" t="n">
        <v>2</v>
      </c>
    </row>
    <row r="261">
      <c r="A261" s="7" t="inlineStr">
        <is>
          <t>MAT-08-045</t>
        </is>
      </c>
      <c r="B261" s="4" t="inlineStr">
        <is>
          <t>Cerámica de pared, 60 x 60 cm</t>
        </is>
      </c>
      <c r="C261" s="7" t="inlineStr">
        <is>
          <t>m²</t>
        </is>
      </c>
      <c r="D261" s="8" t="n">
        <v>1195.21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>
        <f>IF(COUNT(D261:P261)=0,"",MIN(D261:P261))</f>
        <v/>
      </c>
      <c r="R261" s="8">
        <f>IF(COUNT(D261:P261)=0,"",MEDIAN(D261:P261))</f>
        <v/>
      </c>
      <c r="S261" s="8">
        <f>IF(COUNT(D261:P261)=0,"",MAX(D261:P261))</f>
        <v/>
      </c>
      <c r="T261" s="9">
        <f>IF(OR(Q261="",Q261=0),"",(S261-Q261)/Q261)</f>
        <v/>
      </c>
      <c r="U261" s="7">
        <f>IF(COUNT(D261:P261)=0,"",INDEX($D$1:$P$1,MATCH(MIN(D261:P261),D261:P261,0)))</f>
        <v/>
      </c>
      <c r="V261" s="8" t="n">
        <v>1195.21</v>
      </c>
      <c r="W261" s="10" t="n">
        <v>1</v>
      </c>
    </row>
    <row r="262">
      <c r="A262" s="7" t="inlineStr">
        <is>
          <t>MAT-08-046</t>
        </is>
      </c>
      <c r="B262" s="4" t="inlineStr">
        <is>
          <t>Cerámica de pared, 70 x 25 cm</t>
        </is>
      </c>
      <c r="C262" s="7" t="inlineStr">
        <is>
          <t>m²</t>
        </is>
      </c>
      <c r="D262" s="8" t="n">
        <v>199.95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>
        <f>IF(COUNT(D262:P262)=0,"",MIN(D262:P262))</f>
        <v/>
      </c>
      <c r="R262" s="8">
        <f>IF(COUNT(D262:P262)=0,"",MEDIAN(D262:P262))</f>
        <v/>
      </c>
      <c r="S262" s="8">
        <f>IF(COUNT(D262:P262)=0,"",MAX(D262:P262))</f>
        <v/>
      </c>
      <c r="T262" s="9">
        <f>IF(OR(Q262="",Q262=0),"",(S262-Q262)/Q262)</f>
        <v/>
      </c>
      <c r="U262" s="7">
        <f>IF(COUNT(D262:P262)=0,"",INDEX($D$1:$P$1,MATCH(MIN(D262:P262),D262:P262,0)))</f>
        <v/>
      </c>
      <c r="V262" s="8" t="n">
        <v>199.95</v>
      </c>
      <c r="W262" s="10" t="n">
        <v>1</v>
      </c>
    </row>
    <row r="263">
      <c r="A263" s="7" t="inlineStr">
        <is>
          <t>MAT-08-047</t>
        </is>
      </c>
      <c r="B263" s="4" t="inlineStr">
        <is>
          <t>Cerámica de pared, 75 x 25 cm</t>
        </is>
      </c>
      <c r="C263" s="7" t="inlineStr">
        <is>
          <t>m²</t>
        </is>
      </c>
      <c r="D263" s="8" t="n">
        <v>883.8200000000001</v>
      </c>
      <c r="E263" s="8" t="n"/>
      <c r="F263" s="8" t="n">
        <v>1391.47</v>
      </c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>
        <f>IF(COUNT(D263:P263)=0,"",MIN(D263:P263))</f>
        <v/>
      </c>
      <c r="R263" s="8">
        <f>IF(COUNT(D263:P263)=0,"",MEDIAN(D263:P263))</f>
        <v/>
      </c>
      <c r="S263" s="8">
        <f>IF(COUNT(D263:P263)=0,"",MAX(D263:P263))</f>
        <v/>
      </c>
      <c r="T263" s="9">
        <f>IF(OR(Q263="",Q263=0),"",(S263-Q263)/Q263)</f>
        <v/>
      </c>
      <c r="U263" s="7">
        <f>IF(COUNT(D263:P263)=0,"",INDEX($D$1:$P$1,MATCH(MIN(D263:P263),D263:P263,0)))</f>
        <v/>
      </c>
      <c r="V263" s="8" t="n">
        <v>1279.89</v>
      </c>
      <c r="W263" s="10" t="n">
        <v>2</v>
      </c>
    </row>
    <row r="264">
      <c r="A264" s="7" t="inlineStr">
        <is>
          <t>MAT-08-048</t>
        </is>
      </c>
      <c r="B264" s="4" t="inlineStr">
        <is>
          <t>Cerámica de pared, 75 x 30 cm</t>
        </is>
      </c>
      <c r="C264" s="7" t="inlineStr">
        <is>
          <t>m²</t>
        </is>
      </c>
      <c r="D264" s="8" t="n"/>
      <c r="E264" s="8" t="n"/>
      <c r="F264" s="8" t="n"/>
      <c r="G264" s="8" t="n"/>
      <c r="H264" s="8" t="n">
        <v>1789.97</v>
      </c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>
        <f>IF(COUNT(D264:P264)=0,"",MIN(D264:P264))</f>
        <v/>
      </c>
      <c r="R264" s="8">
        <f>IF(COUNT(D264:P264)=0,"",MEDIAN(D264:P264))</f>
        <v/>
      </c>
      <c r="S264" s="8">
        <f>IF(COUNT(D264:P264)=0,"",MAX(D264:P264))</f>
        <v/>
      </c>
      <c r="T264" s="9">
        <f>IF(OR(Q264="",Q264=0),"",(S264-Q264)/Q264)</f>
        <v/>
      </c>
      <c r="U264" s="7">
        <f>IF(COUNT(D264:P264)=0,"",INDEX($D$1:$P$1,MATCH(MIN(D264:P264),D264:P264,0)))</f>
        <v/>
      </c>
      <c r="V264" s="8" t="n">
        <v>1789.97</v>
      </c>
      <c r="W264" s="10" t="n">
        <v>1</v>
      </c>
    </row>
    <row r="265">
      <c r="A265" s="7" t="inlineStr">
        <is>
          <t>MAT-08-049</t>
        </is>
      </c>
      <c r="B265" s="4" t="inlineStr">
        <is>
          <t>Cerámica de pared, 75 x 35 cm</t>
        </is>
      </c>
      <c r="C265" s="7" t="inlineStr">
        <is>
          <t>m²</t>
        </is>
      </c>
      <c r="D265" s="8" t="n"/>
      <c r="E265" s="8" t="n"/>
      <c r="F265" s="8" t="n">
        <v>1573.05</v>
      </c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>
        <f>IF(COUNT(D265:P265)=0,"",MIN(D265:P265))</f>
        <v/>
      </c>
      <c r="R265" s="8">
        <f>IF(COUNT(D265:P265)=0,"",MEDIAN(D265:P265))</f>
        <v/>
      </c>
      <c r="S265" s="8">
        <f>IF(COUNT(D265:P265)=0,"",MAX(D265:P265))</f>
        <v/>
      </c>
      <c r="T265" s="9">
        <f>IF(OR(Q265="",Q265=0),"",(S265-Q265)/Q265)</f>
        <v/>
      </c>
      <c r="U265" s="7">
        <f>IF(COUNT(D265:P265)=0,"",INDEX($D$1:$P$1,MATCH(MIN(D265:P265),D265:P265,0)))</f>
        <v/>
      </c>
      <c r="V265" s="8" t="n">
        <v>2071.81</v>
      </c>
      <c r="W265" s="10" t="n">
        <v>1</v>
      </c>
    </row>
    <row r="266">
      <c r="A266" s="7" t="inlineStr">
        <is>
          <t>MAT-08-050</t>
        </is>
      </c>
      <c r="B266" s="4" t="inlineStr">
        <is>
          <t>Cerámica de pared, 75 x 38 cm</t>
        </is>
      </c>
      <c r="C266" s="7" t="inlineStr">
        <is>
          <t>m²</t>
        </is>
      </c>
      <c r="D266" s="8" t="n">
        <v>527.28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>
        <f>IF(COUNT(D266:P266)=0,"",MIN(D266:P266))</f>
        <v/>
      </c>
      <c r="R266" s="8">
        <f>IF(COUNT(D266:P266)=0,"",MEDIAN(D266:P266))</f>
        <v/>
      </c>
      <c r="S266" s="8">
        <f>IF(COUNT(D266:P266)=0,"",MAX(D266:P266))</f>
        <v/>
      </c>
      <c r="T266" s="9">
        <f>IF(OR(Q266="",Q266=0),"",(S266-Q266)/Q266)</f>
        <v/>
      </c>
      <c r="U266" s="7">
        <f>IF(COUNT(D266:P266)=0,"",INDEX($D$1:$P$1,MATCH(MIN(D266:P266),D266:P266,0)))</f>
        <v/>
      </c>
      <c r="V266" s="8" t="n">
        <v>644.1900000000001</v>
      </c>
      <c r="W266" s="10" t="n">
        <v>1</v>
      </c>
    </row>
    <row r="267">
      <c r="A267" s="7" t="inlineStr">
        <is>
          <t>MAT-08-051</t>
        </is>
      </c>
      <c r="B267" s="4" t="inlineStr">
        <is>
          <t>Cerámica de pared, 80 x 36 cm</t>
        </is>
      </c>
      <c r="C267" s="7" t="inlineStr">
        <is>
          <t>m²</t>
        </is>
      </c>
      <c r="D267" s="8" t="n">
        <v>1343.86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>
        <f>IF(COUNT(D267:P267)=0,"",MIN(D267:P267))</f>
        <v/>
      </c>
      <c r="R267" s="8">
        <f>IF(COUNT(D267:P267)=0,"",MEDIAN(D267:P267))</f>
        <v/>
      </c>
      <c r="S267" s="8">
        <f>IF(COUNT(D267:P267)=0,"",MAX(D267:P267))</f>
        <v/>
      </c>
      <c r="T267" s="9">
        <f>IF(OR(Q267="",Q267=0),"",(S267-Q267)/Q267)</f>
        <v/>
      </c>
      <c r="U267" s="7">
        <f>IF(COUNT(D267:P267)=0,"",INDEX($D$1:$P$1,MATCH(MIN(D267:P267),D267:P267,0)))</f>
        <v/>
      </c>
      <c r="V267" s="8" t="n">
        <v>1511.88</v>
      </c>
      <c r="W267" s="10" t="n">
        <v>1</v>
      </c>
    </row>
    <row r="268">
      <c r="A268" s="7" t="inlineStr">
        <is>
          <t>MAT-08-052</t>
        </is>
      </c>
      <c r="B268" s="4" t="inlineStr">
        <is>
          <t>Cerámica de pared, 90 x 30 cm</t>
        </is>
      </c>
      <c r="C268" s="7" t="inlineStr">
        <is>
          <t>m²</t>
        </is>
      </c>
      <c r="D268" s="8" t="n">
        <v>401.35</v>
      </c>
      <c r="E268" s="8" t="n"/>
      <c r="F268" s="8" t="n">
        <v>987.8</v>
      </c>
      <c r="G268" s="8" t="n"/>
      <c r="H268" s="8" t="n">
        <v>1849.96</v>
      </c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>
        <f>IF(COUNT(D268:P268)=0,"",MIN(D268:P268))</f>
        <v/>
      </c>
      <c r="R268" s="8">
        <f>IF(COUNT(D268:P268)=0,"",MEDIAN(D268:P268))</f>
        <v/>
      </c>
      <c r="S268" s="8">
        <f>IF(COUNT(D268:P268)=0,"",MAX(D268:P268))</f>
        <v/>
      </c>
      <c r="T268" s="9">
        <f>IF(OR(Q268="",Q268=0),"",(S268-Q268)/Q268)</f>
        <v/>
      </c>
      <c r="U268" s="7">
        <f>IF(COUNT(D268:P268)=0,"",INDEX($D$1:$P$1,MATCH(MIN(D268:P268),D268:P268,0)))</f>
        <v/>
      </c>
      <c r="V268" s="8" t="n">
        <v>1817.04</v>
      </c>
      <c r="W268" s="10" t="n">
        <v>3</v>
      </c>
    </row>
    <row r="269">
      <c r="A269" s="7" t="inlineStr">
        <is>
          <t>MAT-08-053</t>
        </is>
      </c>
      <c r="B269" s="4" t="inlineStr">
        <is>
          <t>Cerámica de pared, 90 x 33 cm</t>
        </is>
      </c>
      <c r="C269" s="7" t="inlineStr">
        <is>
          <t>m²</t>
        </is>
      </c>
      <c r="D269" s="8" t="n"/>
      <c r="E269" s="8" t="n"/>
      <c r="F269" s="8" t="n"/>
      <c r="G269" s="8" t="n"/>
      <c r="H269" s="8" t="n">
        <v>1690.02</v>
      </c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>
        <f>IF(COUNT(D269:P269)=0,"",MIN(D269:P269))</f>
        <v/>
      </c>
      <c r="R269" s="8">
        <f>IF(COUNT(D269:P269)=0,"",MEDIAN(D269:P269))</f>
        <v/>
      </c>
      <c r="S269" s="8">
        <f>IF(COUNT(D269:P269)=0,"",MAX(D269:P269))</f>
        <v/>
      </c>
      <c r="T269" s="9">
        <f>IF(OR(Q269="",Q269=0),"",(S269-Q269)/Q269)</f>
        <v/>
      </c>
      <c r="U269" s="7">
        <f>IF(COUNT(D269:P269)=0,"",INDEX($D$1:$P$1,MATCH(MIN(D269:P269),D269:P269,0)))</f>
        <v/>
      </c>
      <c r="V269" s="8" t="n">
        <v>1770.01</v>
      </c>
      <c r="W269" s="10" t="n">
        <v>1</v>
      </c>
    </row>
    <row r="270">
      <c r="A270" s="7" t="inlineStr">
        <is>
          <t>MAT-08-054</t>
        </is>
      </c>
      <c r="B270" s="4" t="inlineStr">
        <is>
          <t>Cerámica de pared, 90 x 45 cm</t>
        </is>
      </c>
      <c r="C270" s="7" t="inlineStr">
        <is>
          <t>m²</t>
        </is>
      </c>
      <c r="D270" s="8" t="n">
        <v>2506.89</v>
      </c>
      <c r="E270" s="8" t="n"/>
      <c r="F270" s="8" t="n">
        <v>1552.61</v>
      </c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>
        <f>IF(COUNT(D270:P270)=0,"",MIN(D270:P270))</f>
        <v/>
      </c>
      <c r="R270" s="8">
        <f>IF(COUNT(D270:P270)=0,"",MEDIAN(D270:P270))</f>
        <v/>
      </c>
      <c r="S270" s="8">
        <f>IF(COUNT(D270:P270)=0,"",MAX(D270:P270))</f>
        <v/>
      </c>
      <c r="T270" s="9">
        <f>IF(OR(Q270="",Q270=0),"",(S270-Q270)/Q270)</f>
        <v/>
      </c>
      <c r="U270" s="7">
        <f>IF(COUNT(D270:P270)=0,"",INDEX($D$1:$P$1,MATCH(MIN(D270:P270),D270:P270,0)))</f>
        <v/>
      </c>
      <c r="V270" s="8" t="n">
        <v>2169.48</v>
      </c>
      <c r="W270" s="10" t="n">
        <v>2</v>
      </c>
    </row>
    <row r="271">
      <c r="A271" s="7" t="inlineStr">
        <is>
          <t>MAT-08-055</t>
        </is>
      </c>
      <c r="B271" s="4" t="inlineStr">
        <is>
          <t>Cerámica de piso, 100 x 33 cm</t>
        </is>
      </c>
      <c r="C271" s="7" t="inlineStr">
        <is>
          <t>m²</t>
        </is>
      </c>
      <c r="D271" s="8" t="n">
        <v>1333.56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>
        <f>IF(COUNT(D271:P271)=0,"",MIN(D271:P271))</f>
        <v/>
      </c>
      <c r="R271" s="8">
        <f>IF(COUNT(D271:P271)=0,"",MEDIAN(D271:P271))</f>
        <v/>
      </c>
      <c r="S271" s="8">
        <f>IF(COUNT(D271:P271)=0,"",MAX(D271:P271))</f>
        <v/>
      </c>
      <c r="T271" s="9">
        <f>IF(OR(Q271="",Q271=0),"",(S271-Q271)/Q271)</f>
        <v/>
      </c>
      <c r="U271" s="7">
        <f>IF(COUNT(D271:P271)=0,"",INDEX($D$1:$P$1,MATCH(MIN(D271:P271),D271:P271,0)))</f>
        <v/>
      </c>
      <c r="V271" s="8" t="n">
        <v>1419.42</v>
      </c>
      <c r="W271" s="10" t="n">
        <v>1</v>
      </c>
    </row>
    <row r="272">
      <c r="A272" s="7" t="inlineStr">
        <is>
          <t>MAT-08-056</t>
        </is>
      </c>
      <c r="B272" s="4" t="inlineStr">
        <is>
          <t>Cerámica de piso, 100 x 45 cm</t>
        </is>
      </c>
      <c r="C272" s="7" t="inlineStr">
        <is>
          <t>m²</t>
        </is>
      </c>
      <c r="D272" s="8" t="n"/>
      <c r="E272" s="8" t="n"/>
      <c r="F272" s="8" t="n">
        <v>1145.76</v>
      </c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>
        <f>IF(COUNT(D272:P272)=0,"",MIN(D272:P272))</f>
        <v/>
      </c>
      <c r="R272" s="8">
        <f>IF(COUNT(D272:P272)=0,"",MEDIAN(D272:P272))</f>
        <v/>
      </c>
      <c r="S272" s="8">
        <f>IF(COUNT(D272:P272)=0,"",MAX(D272:P272))</f>
        <v/>
      </c>
      <c r="T272" s="9">
        <f>IF(OR(Q272="",Q272=0),"",(S272-Q272)/Q272)</f>
        <v/>
      </c>
      <c r="U272" s="7">
        <f>IF(COUNT(D272:P272)=0,"",INDEX($D$1:$P$1,MATCH(MIN(D272:P272),D272:P272,0)))</f>
        <v/>
      </c>
      <c r="V272" s="8" t="n">
        <v>1352</v>
      </c>
      <c r="W272" s="10" t="n">
        <v>1</v>
      </c>
    </row>
    <row r="273">
      <c r="A273" s="7" t="inlineStr">
        <is>
          <t>MAT-08-057</t>
        </is>
      </c>
      <c r="B273" s="4" t="inlineStr">
        <is>
          <t>Cerámica de piso, 110 x 55 cm</t>
        </is>
      </c>
      <c r="C273" s="7" t="inlineStr">
        <is>
          <t>m²</t>
        </is>
      </c>
      <c r="D273" s="8" t="n"/>
      <c r="E273" s="8" t="n"/>
      <c r="F273" s="8" t="n">
        <v>664.4400000000001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>
        <f>IF(COUNT(D273:P273)=0,"",MIN(D273:P273))</f>
        <v/>
      </c>
      <c r="R273" s="8">
        <f>IF(COUNT(D273:P273)=0,"",MEDIAN(D273:P273))</f>
        <v/>
      </c>
      <c r="S273" s="8">
        <f>IF(COUNT(D273:P273)=0,"",MAX(D273:P273))</f>
        <v/>
      </c>
      <c r="T273" s="9">
        <f>IF(OR(Q273="",Q273=0),"",(S273-Q273)/Q273)</f>
        <v/>
      </c>
      <c r="U273" s="7">
        <f>IF(COUNT(D273:P273)=0,"",INDEX($D$1:$P$1,MATCH(MIN(D273:P273),D273:P273,0)))</f>
        <v/>
      </c>
      <c r="V273" s="8" t="n">
        <v>784.04</v>
      </c>
      <c r="W273" s="10" t="n">
        <v>1</v>
      </c>
    </row>
    <row r="274">
      <c r="A274" s="7" t="inlineStr">
        <is>
          <t>MAT-08-058</t>
        </is>
      </c>
      <c r="B274" s="4" t="inlineStr">
        <is>
          <t>Cerámica de piso, 113 x 55 cm</t>
        </is>
      </c>
      <c r="C274" s="7" t="inlineStr">
        <is>
          <t>m²</t>
        </is>
      </c>
      <c r="D274" s="8" t="n">
        <v>489.48</v>
      </c>
      <c r="E274" s="8" t="n"/>
      <c r="F274" s="8" t="n"/>
      <c r="G274" s="8" t="n"/>
      <c r="H274" s="8" t="n"/>
      <c r="I274" s="8" t="n">
        <v>750</v>
      </c>
      <c r="J274" s="8" t="n"/>
      <c r="K274" s="8" t="n"/>
      <c r="L274" s="8" t="n"/>
      <c r="M274" s="8" t="n"/>
      <c r="N274" s="8" t="n"/>
      <c r="O274" s="8" t="n"/>
      <c r="P274" s="8" t="n"/>
      <c r="Q274" s="8">
        <f>IF(COUNT(D274:P274)=0,"",MIN(D274:P274))</f>
        <v/>
      </c>
      <c r="R274" s="8">
        <f>IF(COUNT(D274:P274)=0,"",MEDIAN(D274:P274))</f>
        <v/>
      </c>
      <c r="S274" s="8">
        <f>IF(COUNT(D274:P274)=0,"",MAX(D274:P274))</f>
        <v/>
      </c>
      <c r="T274" s="9">
        <f>IF(OR(Q274="",Q274=0),"",(S274-Q274)/Q274)</f>
        <v/>
      </c>
      <c r="U274" s="7">
        <f>IF(COUNT(D274:P274)=0,"",INDEX($D$1:$P$1,MATCH(MIN(D274:P274),D274:P274,0)))</f>
        <v/>
      </c>
      <c r="V274" s="8" t="n">
        <v>975</v>
      </c>
      <c r="W274" s="10" t="n">
        <v>2</v>
      </c>
    </row>
    <row r="275">
      <c r="A275" s="7" t="inlineStr">
        <is>
          <t>MAT-08-059</t>
        </is>
      </c>
      <c r="B275" s="4" t="inlineStr">
        <is>
          <t>Cerámica de piso, 114 x 18 cm</t>
        </is>
      </c>
      <c r="C275" s="7" t="inlineStr">
        <is>
          <t>m²</t>
        </is>
      </c>
      <c r="D275" s="8" t="n">
        <v>669.27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>
        <f>IF(COUNT(D275:P275)=0,"",MIN(D275:P275))</f>
        <v/>
      </c>
      <c r="R275" s="8">
        <f>IF(COUNT(D275:P275)=0,"",MEDIAN(D275:P275))</f>
        <v/>
      </c>
      <c r="S275" s="8">
        <f>IF(COUNT(D275:P275)=0,"",MAX(D275:P275))</f>
        <v/>
      </c>
      <c r="T275" s="9">
        <f>IF(OR(Q275="",Q275=0),"",(S275-Q275)/Q275)</f>
        <v/>
      </c>
      <c r="U275" s="7">
        <f>IF(COUNT(D275:P275)=0,"",INDEX($D$1:$P$1,MATCH(MIN(D275:P275),D275:P275,0)))</f>
        <v/>
      </c>
      <c r="V275" s="8" t="n">
        <v>737.36</v>
      </c>
      <c r="W275" s="10" t="n">
        <v>1</v>
      </c>
    </row>
    <row r="276">
      <c r="A276" s="7" t="inlineStr">
        <is>
          <t>MAT-08-060</t>
        </is>
      </c>
      <c r="B276" s="4" t="inlineStr">
        <is>
          <t>Cerámica de piso, 120 x 15 cm</t>
        </is>
      </c>
      <c r="C276" s="7" t="inlineStr">
        <is>
          <t>m²</t>
        </is>
      </c>
      <c r="D276" s="8" t="n">
        <v>2578.7</v>
      </c>
      <c r="E276" s="8" t="n"/>
      <c r="F276" s="8" t="n"/>
      <c r="G276" s="8" t="n"/>
      <c r="H276" s="8" t="n">
        <v>1690</v>
      </c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>
        <f>IF(COUNT(D276:P276)=0,"",MIN(D276:P276))</f>
        <v/>
      </c>
      <c r="R276" s="8">
        <f>IF(COUNT(D276:P276)=0,"",MEDIAN(D276:P276))</f>
        <v/>
      </c>
      <c r="S276" s="8">
        <f>IF(COUNT(D276:P276)=0,"",MAX(D276:P276))</f>
        <v/>
      </c>
      <c r="T276" s="9">
        <f>IF(OR(Q276="",Q276=0),"",(S276-Q276)/Q276)</f>
        <v/>
      </c>
      <c r="U276" s="7">
        <f>IF(COUNT(D276:P276)=0,"",INDEX($D$1:$P$1,MATCH(MIN(D276:P276),D276:P276,0)))</f>
        <v/>
      </c>
      <c r="V276" s="8" t="n">
        <v>3981.13</v>
      </c>
      <c r="W276" s="10" t="n">
        <v>2</v>
      </c>
    </row>
    <row r="277">
      <c r="A277" s="7" t="inlineStr">
        <is>
          <t>MAT-08-061</t>
        </is>
      </c>
      <c r="B277" s="4" t="inlineStr">
        <is>
          <t>Cerámica de piso, 120 x 20 cm</t>
        </is>
      </c>
      <c r="C277" s="7" t="inlineStr">
        <is>
          <t>m²</t>
        </is>
      </c>
      <c r="D277" s="8" t="n">
        <v>1732.1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>
        <f>IF(COUNT(D277:P277)=0,"",MIN(D277:P277))</f>
        <v/>
      </c>
      <c r="R277" s="8">
        <f>IF(COUNT(D277:P277)=0,"",MEDIAN(D277:P277))</f>
        <v/>
      </c>
      <c r="S277" s="8">
        <f>IF(COUNT(D277:P277)=0,"",MAX(D277:P277))</f>
        <v/>
      </c>
      <c r="T277" s="9">
        <f>IF(OR(Q277="",Q277=0),"",(S277-Q277)/Q277)</f>
        <v/>
      </c>
      <c r="U277" s="7">
        <f>IF(COUNT(D277:P277)=0,"",INDEX($D$1:$P$1,MATCH(MIN(D277:P277),D277:P277,0)))</f>
        <v/>
      </c>
      <c r="V277" s="8" t="n">
        <v>2136.75</v>
      </c>
      <c r="W277" s="10" t="n">
        <v>1</v>
      </c>
    </row>
    <row r="278">
      <c r="A278" s="7" t="inlineStr">
        <is>
          <t>MAT-08-062</t>
        </is>
      </c>
      <c r="B278" s="4" t="inlineStr">
        <is>
          <t>Cerámica de piso, 120 x 23 cm</t>
        </is>
      </c>
      <c r="C278" s="7" t="inlineStr">
        <is>
          <t>m²</t>
        </is>
      </c>
      <c r="D278" s="8" t="n">
        <v>1253.57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>
        <f>IF(COUNT(D278:P278)=0,"",MIN(D278:P278))</f>
        <v/>
      </c>
      <c r="R278" s="8">
        <f>IF(COUNT(D278:P278)=0,"",MEDIAN(D278:P278))</f>
        <v/>
      </c>
      <c r="S278" s="8">
        <f>IF(COUNT(D278:P278)=0,"",MAX(D278:P278))</f>
        <v/>
      </c>
      <c r="T278" s="9">
        <f>IF(OR(Q278="",Q278=0),"",(S278-Q278)/Q278)</f>
        <v/>
      </c>
      <c r="U278" s="7">
        <f>IF(COUNT(D278:P278)=0,"",INDEX($D$1:$P$1,MATCH(MIN(D278:P278),D278:P278,0)))</f>
        <v/>
      </c>
      <c r="V278" s="8" t="n">
        <v>1295.89</v>
      </c>
      <c r="W278" s="10" t="n">
        <v>1</v>
      </c>
    </row>
    <row r="279">
      <c r="A279" s="7" t="inlineStr">
        <is>
          <t>MAT-08-063</t>
        </is>
      </c>
      <c r="B279" s="4" t="inlineStr">
        <is>
          <t>Cerámica de piso, 120 x 40 cm</t>
        </is>
      </c>
      <c r="C279" s="7" t="inlineStr">
        <is>
          <t>m²</t>
        </is>
      </c>
      <c r="D279" s="8" t="n">
        <v>1624.23</v>
      </c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>
        <f>IF(COUNT(D279:P279)=0,"",MIN(D279:P279))</f>
        <v/>
      </c>
      <c r="R279" s="8">
        <f>IF(COUNT(D279:P279)=0,"",MEDIAN(D279:P279))</f>
        <v/>
      </c>
      <c r="S279" s="8">
        <f>IF(COUNT(D279:P279)=0,"",MAX(D279:P279))</f>
        <v/>
      </c>
      <c r="T279" s="9">
        <f>IF(OR(Q279="",Q279=0),"",(S279-Q279)/Q279)</f>
        <v/>
      </c>
      <c r="U279" s="7">
        <f>IF(COUNT(D279:P279)=0,"",INDEX($D$1:$P$1,MATCH(MIN(D279:P279),D279:P279,0)))</f>
        <v/>
      </c>
      <c r="V279" s="8" t="n">
        <v>2036.8</v>
      </c>
      <c r="W279" s="10" t="n">
        <v>1</v>
      </c>
    </row>
    <row r="280">
      <c r="A280" s="7" t="inlineStr">
        <is>
          <t>MAT-08-064</t>
        </is>
      </c>
      <c r="B280" s="4" t="inlineStr">
        <is>
          <t>Cerámica de piso, 120 x 60 cm</t>
        </is>
      </c>
      <c r="C280" s="7" t="inlineStr">
        <is>
          <t>m²</t>
        </is>
      </c>
      <c r="D280" s="8" t="n">
        <v>819.97</v>
      </c>
      <c r="E280" s="8" t="n"/>
      <c r="F280" s="8" t="n">
        <v>1082.08</v>
      </c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>
        <f>IF(COUNT(D280:P280)=0,"",MIN(D280:P280))</f>
        <v/>
      </c>
      <c r="R280" s="8">
        <f>IF(COUNT(D280:P280)=0,"",MEDIAN(D280:P280))</f>
        <v/>
      </c>
      <c r="S280" s="8">
        <f>IF(COUNT(D280:P280)=0,"",MAX(D280:P280))</f>
        <v/>
      </c>
      <c r="T280" s="9">
        <f>IF(OR(Q280="",Q280=0),"",(S280-Q280)/Q280)</f>
        <v/>
      </c>
      <c r="U280" s="7">
        <f>IF(COUNT(D280:P280)=0,"",INDEX($D$1:$P$1,MATCH(MIN(D280:P280),D280:P280,0)))</f>
        <v/>
      </c>
      <c r="V280" s="8" t="n">
        <v>1697.46</v>
      </c>
      <c r="W280" s="10" t="n">
        <v>2</v>
      </c>
    </row>
    <row r="281">
      <c r="A281" s="7" t="inlineStr">
        <is>
          <t>MAT-08-065</t>
        </is>
      </c>
      <c r="B281" s="4" t="inlineStr">
        <is>
          <t>Cerámica de piso, 15 x 15 cm</t>
        </is>
      </c>
      <c r="C281" s="7" t="inlineStr">
        <is>
          <t>m²</t>
        </is>
      </c>
      <c r="D281" s="8" t="n">
        <v>741.84</v>
      </c>
      <c r="E281" s="8" t="n">
        <v>2174.92</v>
      </c>
      <c r="F281" s="8" t="n"/>
      <c r="G281" s="8" t="n"/>
      <c r="H281" s="8" t="n">
        <v>1889.91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>
        <f>IF(COUNT(D281:P281)=0,"",MIN(D281:P281))</f>
        <v/>
      </c>
      <c r="R281" s="8">
        <f>IF(COUNT(D281:P281)=0,"",MEDIAN(D281:P281))</f>
        <v/>
      </c>
      <c r="S281" s="8">
        <f>IF(COUNT(D281:P281)=0,"",MAX(D281:P281))</f>
        <v/>
      </c>
      <c r="T281" s="9">
        <f>IF(OR(Q281="",Q281=0),"",(S281-Q281)/Q281)</f>
        <v/>
      </c>
      <c r="U281" s="7">
        <f>IF(COUNT(D281:P281)=0,"",INDEX($D$1:$P$1,MATCH(MIN(D281:P281),D281:P281,0)))</f>
        <v/>
      </c>
      <c r="V281" s="8" t="n">
        <v>1889.91</v>
      </c>
      <c r="W281" s="10" t="n">
        <v>3</v>
      </c>
    </row>
    <row r="282">
      <c r="A282" s="7" t="inlineStr">
        <is>
          <t>MAT-08-066</t>
        </is>
      </c>
      <c r="B282" s="4" t="inlineStr">
        <is>
          <t>Cerámica de piso, 150 x 75 cm</t>
        </is>
      </c>
      <c r="C282" s="7" t="inlineStr">
        <is>
          <t>m²</t>
        </is>
      </c>
      <c r="D282" s="8" t="n"/>
      <c r="E282" s="8" t="n"/>
      <c r="F282" s="8" t="n">
        <v>2539.67</v>
      </c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>
        <f>IF(COUNT(D282:P282)=0,"",MIN(D282:P282))</f>
        <v/>
      </c>
      <c r="R282" s="8">
        <f>IF(COUNT(D282:P282)=0,"",MEDIAN(D282:P282))</f>
        <v/>
      </c>
      <c r="S282" s="8">
        <f>IF(COUNT(D282:P282)=0,"",MAX(D282:P282))</f>
        <v/>
      </c>
      <c r="T282" s="9">
        <f>IF(OR(Q282="",Q282=0),"",(S282-Q282)/Q282)</f>
        <v/>
      </c>
      <c r="U282" s="7">
        <f>IF(COUNT(D282:P282)=0,"",INDEX($D$1:$P$1,MATCH(MIN(D282:P282),D282:P282,0)))</f>
        <v/>
      </c>
      <c r="V282" s="8" t="n">
        <v>3031.01</v>
      </c>
      <c r="W282" s="10" t="n">
        <v>1</v>
      </c>
    </row>
    <row r="283">
      <c r="A283" s="7" t="inlineStr">
        <is>
          <t>MAT-08-067</t>
        </is>
      </c>
      <c r="B283" s="4" t="inlineStr">
        <is>
          <t>Cerámica de piso, 20 x 20 cm</t>
        </is>
      </c>
      <c r="C283" s="7" t="inlineStr">
        <is>
          <t>m²</t>
        </is>
      </c>
      <c r="D283" s="8" t="n">
        <v>324.25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>
        <f>IF(COUNT(D283:P283)=0,"",MIN(D283:P283))</f>
        <v/>
      </c>
      <c r="R283" s="8">
        <f>IF(COUNT(D283:P283)=0,"",MEDIAN(D283:P283))</f>
        <v/>
      </c>
      <c r="S283" s="8">
        <f>IF(COUNT(D283:P283)=0,"",MAX(D283:P283))</f>
        <v/>
      </c>
      <c r="T283" s="9">
        <f>IF(OR(Q283="",Q283=0),"",(S283-Q283)/Q283)</f>
        <v/>
      </c>
      <c r="U283" s="7">
        <f>IF(COUNT(D283:P283)=0,"",INDEX($D$1:$P$1,MATCH(MIN(D283:P283),D283:P283,0)))</f>
        <v/>
      </c>
      <c r="V283" s="8" t="n">
        <v>324.25</v>
      </c>
      <c r="W283" s="10" t="n">
        <v>1</v>
      </c>
    </row>
    <row r="284">
      <c r="A284" s="7" t="inlineStr">
        <is>
          <t>MAT-08-068</t>
        </is>
      </c>
      <c r="B284" s="4" t="inlineStr">
        <is>
          <t>Cerámica de piso, 22.3 x 22.3 cm</t>
        </is>
      </c>
      <c r="C284" s="7" t="inlineStr">
        <is>
          <t>m²</t>
        </is>
      </c>
      <c r="D284" s="8" t="n">
        <v>2595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>
        <f>IF(COUNT(D284:P284)=0,"",MIN(D284:P284))</f>
        <v/>
      </c>
      <c r="R284" s="8">
        <f>IF(COUNT(D284:P284)=0,"",MEDIAN(D284:P284))</f>
        <v/>
      </c>
      <c r="S284" s="8">
        <f>IF(COUNT(D284:P284)=0,"",MAX(D284:P284))</f>
        <v/>
      </c>
      <c r="T284" s="9">
        <f>IF(OR(Q284="",Q284=0),"",(S284-Q284)/Q284)</f>
        <v/>
      </c>
      <c r="U284" s="7">
        <f>IF(COUNT(D284:P284)=0,"",INDEX($D$1:$P$1,MATCH(MIN(D284:P284),D284:P284,0)))</f>
        <v/>
      </c>
      <c r="V284" s="8" t="n">
        <v>2595</v>
      </c>
      <c r="W284" s="10" t="n">
        <v>1</v>
      </c>
    </row>
    <row r="285">
      <c r="A285" s="7" t="inlineStr">
        <is>
          <t>MAT-08-069</t>
        </is>
      </c>
      <c r="B285" s="4" t="inlineStr">
        <is>
          <t>Cerámica de piso, 30 x 7.5 cm</t>
        </is>
      </c>
      <c r="C285" s="7" t="inlineStr">
        <is>
          <t>m²</t>
        </is>
      </c>
      <c r="D285" s="8" t="n"/>
      <c r="E285" s="8" t="n"/>
      <c r="F285" s="8" t="n"/>
      <c r="G285" s="8" t="n"/>
      <c r="H285" s="8" t="n">
        <v>2989.56</v>
      </c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>
        <f>IF(COUNT(D285:P285)=0,"",MIN(D285:P285))</f>
        <v/>
      </c>
      <c r="R285" s="8">
        <f>IF(COUNT(D285:P285)=0,"",MEDIAN(D285:P285))</f>
        <v/>
      </c>
      <c r="S285" s="8">
        <f>IF(COUNT(D285:P285)=0,"",MAX(D285:P285))</f>
        <v/>
      </c>
      <c r="T285" s="9">
        <f>IF(OR(Q285="",Q285=0),"",(S285-Q285)/Q285)</f>
        <v/>
      </c>
      <c r="U285" s="7">
        <f>IF(COUNT(D285:P285)=0,"",INDEX($D$1:$P$1,MATCH(MIN(D285:P285),D285:P285,0)))</f>
        <v/>
      </c>
      <c r="V285" s="8" t="n">
        <v>2989.56</v>
      </c>
      <c r="W285" s="10" t="n">
        <v>1</v>
      </c>
    </row>
    <row r="286">
      <c r="A286" s="7" t="inlineStr">
        <is>
          <t>MAT-08-070</t>
        </is>
      </c>
      <c r="B286" s="4" t="inlineStr">
        <is>
          <t>Cerámica de piso, 33 x 33 cm</t>
        </is>
      </c>
      <c r="C286" s="7" t="inlineStr">
        <is>
          <t>m²</t>
        </is>
      </c>
      <c r="D286" s="8" t="n"/>
      <c r="E286" s="8" t="n"/>
      <c r="F286" s="8" t="n"/>
      <c r="G286" s="8" t="n"/>
      <c r="H286" s="8" t="n">
        <v>850</v>
      </c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>
        <f>IF(COUNT(D286:P286)=0,"",MIN(D286:P286))</f>
        <v/>
      </c>
      <c r="R286" s="8">
        <f>IF(COUNT(D286:P286)=0,"",MEDIAN(D286:P286))</f>
        <v/>
      </c>
      <c r="S286" s="8">
        <f>IF(COUNT(D286:P286)=0,"",MAX(D286:P286))</f>
        <v/>
      </c>
      <c r="T286" s="9">
        <f>IF(OR(Q286="",Q286=0),"",(S286-Q286)/Q286)</f>
        <v/>
      </c>
      <c r="U286" s="7">
        <f>IF(COUNT(D286:P286)=0,"",INDEX($D$1:$P$1,MATCH(MIN(D286:P286),D286:P286,0)))</f>
        <v/>
      </c>
      <c r="V286" s="8" t="n">
        <v>899.08</v>
      </c>
      <c r="W286" s="10" t="n">
        <v>1</v>
      </c>
    </row>
    <row r="287">
      <c r="A287" s="7" t="inlineStr">
        <is>
          <t>MAT-08-071</t>
        </is>
      </c>
      <c r="B287" s="4" t="inlineStr">
        <is>
          <t>Cerámica de piso, 45 x 45 cm</t>
        </is>
      </c>
      <c r="C287" s="7" t="inlineStr">
        <is>
          <t>m²</t>
        </is>
      </c>
      <c r="D287" s="8" t="n">
        <v>371.25</v>
      </c>
      <c r="E287" s="8" t="n">
        <v>494</v>
      </c>
      <c r="F287" s="8" t="n">
        <v>674.91</v>
      </c>
      <c r="G287" s="8" t="n"/>
      <c r="H287" s="8" t="n">
        <v>960.01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>
        <f>IF(COUNT(D287:P287)=0,"",MIN(D287:P287))</f>
        <v/>
      </c>
      <c r="R287" s="8">
        <f>IF(COUNT(D287:P287)=0,"",MEDIAN(D287:P287))</f>
        <v/>
      </c>
      <c r="S287" s="8">
        <f>IF(COUNT(D287:P287)=0,"",MAX(D287:P287))</f>
        <v/>
      </c>
      <c r="T287" s="9">
        <f>IF(OR(Q287="",Q287=0),"",(S287-Q287)/Q287)</f>
        <v/>
      </c>
      <c r="U287" s="7">
        <f>IF(COUNT(D287:P287)=0,"",INDEX($D$1:$P$1,MATCH(MIN(D287:P287),D287:P287,0)))</f>
        <v/>
      </c>
      <c r="V287" s="8" t="n">
        <v>718.77</v>
      </c>
      <c r="W287" s="10" t="n">
        <v>4</v>
      </c>
    </row>
    <row r="288">
      <c r="A288" s="7" t="inlineStr">
        <is>
          <t>MAT-08-072</t>
        </is>
      </c>
      <c r="B288" s="4" t="inlineStr">
        <is>
          <t>Cerámica de piso, 50 x 17 cm</t>
        </is>
      </c>
      <c r="C288" s="7" t="inlineStr">
        <is>
          <t>m²</t>
        </is>
      </c>
      <c r="D288" s="8" t="n">
        <v>1169.89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>
        <f>IF(COUNT(D288:P288)=0,"",MIN(D288:P288))</f>
        <v/>
      </c>
      <c r="R288" s="8">
        <f>IF(COUNT(D288:P288)=0,"",MEDIAN(D288:P288))</f>
        <v/>
      </c>
      <c r="S288" s="8">
        <f>IF(COUNT(D288:P288)=0,"",MAX(D288:P288))</f>
        <v/>
      </c>
      <c r="T288" s="9">
        <f>IF(OR(Q288="",Q288=0),"",(S288-Q288)/Q288)</f>
        <v/>
      </c>
      <c r="U288" s="7">
        <f>IF(COUNT(D288:P288)=0,"",INDEX($D$1:$P$1,MATCH(MIN(D288:P288),D288:P288,0)))</f>
        <v/>
      </c>
      <c r="V288" s="8" t="n">
        <v>1223.85</v>
      </c>
      <c r="W288" s="10" t="n">
        <v>1</v>
      </c>
    </row>
    <row r="289">
      <c r="A289" s="7" t="inlineStr">
        <is>
          <t>MAT-08-073</t>
        </is>
      </c>
      <c r="B289" s="4" t="inlineStr">
        <is>
          <t>Cerámica de piso, 50 x 50 cm</t>
        </is>
      </c>
      <c r="C289" s="7" t="inlineStr">
        <is>
          <t>m²</t>
        </is>
      </c>
      <c r="D289" s="8" t="n">
        <v>344.43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>
        <f>IF(COUNT(D289:P289)=0,"",MIN(D289:P289))</f>
        <v/>
      </c>
      <c r="R289" s="8">
        <f>IF(COUNT(D289:P289)=0,"",MEDIAN(D289:P289))</f>
        <v/>
      </c>
      <c r="S289" s="8">
        <f>IF(COUNT(D289:P289)=0,"",MAX(D289:P289))</f>
        <v/>
      </c>
      <c r="T289" s="9">
        <f>IF(OR(Q289="",Q289=0),"",(S289-Q289)/Q289)</f>
        <v/>
      </c>
      <c r="U289" s="7">
        <f>IF(COUNT(D289:P289)=0,"",INDEX($D$1:$P$1,MATCH(MIN(D289:P289),D289:P289,0)))</f>
        <v/>
      </c>
      <c r="V289" s="8" t="n">
        <v>394.57</v>
      </c>
      <c r="W289" s="10" t="n">
        <v>1</v>
      </c>
    </row>
    <row r="290">
      <c r="A290" s="7" t="inlineStr">
        <is>
          <t>MAT-08-074</t>
        </is>
      </c>
      <c r="B290" s="4" t="inlineStr">
        <is>
          <t>Cerámica de piso, 55 x 33 cm</t>
        </is>
      </c>
      <c r="C290" s="7" t="inlineStr">
        <is>
          <t>m²</t>
        </is>
      </c>
      <c r="D290" s="8" t="n">
        <v>596.66</v>
      </c>
      <c r="E290" s="8" t="n">
        <v>703.08</v>
      </c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>
        <f>IF(COUNT(D290:P290)=0,"",MIN(D290:P290))</f>
        <v/>
      </c>
      <c r="R290" s="8">
        <f>IF(COUNT(D290:P290)=0,"",MEDIAN(D290:P290))</f>
        <v/>
      </c>
      <c r="S290" s="8">
        <f>IF(COUNT(D290:P290)=0,"",MAX(D290:P290))</f>
        <v/>
      </c>
      <c r="T290" s="9">
        <f>IF(OR(Q290="",Q290=0),"",(S290-Q290)/Q290)</f>
        <v/>
      </c>
      <c r="U290" s="7">
        <f>IF(COUNT(D290:P290)=0,"",INDEX($D$1:$P$1,MATCH(MIN(D290:P290),D290:P290,0)))</f>
        <v/>
      </c>
      <c r="V290" s="8" t="n">
        <v>831.15</v>
      </c>
      <c r="W290" s="10" t="n">
        <v>2</v>
      </c>
    </row>
    <row r="291">
      <c r="A291" s="7" t="inlineStr">
        <is>
          <t>MAT-08-075</t>
        </is>
      </c>
      <c r="B291" s="4" t="inlineStr">
        <is>
          <t>Cerámica de piso, 55 x 55 cm</t>
        </is>
      </c>
      <c r="C291" s="7" t="inlineStr">
        <is>
          <t>m²</t>
        </is>
      </c>
      <c r="D291" s="8" t="n"/>
      <c r="E291" s="8" t="n">
        <v>524.7</v>
      </c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>
        <f>IF(COUNT(D291:P291)=0,"",MIN(D291:P291))</f>
        <v/>
      </c>
      <c r="R291" s="8">
        <f>IF(COUNT(D291:P291)=0,"",MEDIAN(D291:P291))</f>
        <v/>
      </c>
      <c r="S291" s="8">
        <f>IF(COUNT(D291:P291)=0,"",MAX(D291:P291))</f>
        <v/>
      </c>
      <c r="T291" s="9">
        <f>IF(OR(Q291="",Q291=0),"",(S291-Q291)/Q291)</f>
        <v/>
      </c>
      <c r="U291" s="7">
        <f>IF(COUNT(D291:P291)=0,"",INDEX($D$1:$P$1,MATCH(MIN(D291:P291),D291:P291,0)))</f>
        <v/>
      </c>
      <c r="V291" s="8" t="n">
        <v>718.6799999999999</v>
      </c>
      <c r="W291" s="10" t="n">
        <v>1</v>
      </c>
    </row>
    <row r="292">
      <c r="A292" s="7" t="inlineStr">
        <is>
          <t>MAT-08-076</t>
        </is>
      </c>
      <c r="B292" s="4" t="inlineStr">
        <is>
          <t>Cerámica de piso, 58 x 33 cm</t>
        </is>
      </c>
      <c r="C292" s="7" t="inlineStr">
        <is>
          <t>m²</t>
        </is>
      </c>
      <c r="D292" s="8" t="n">
        <v>380.26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>
        <f>IF(COUNT(D292:P292)=0,"",MIN(D292:P292))</f>
        <v/>
      </c>
      <c r="R292" s="8">
        <f>IF(COUNT(D292:P292)=0,"",MEDIAN(D292:P292))</f>
        <v/>
      </c>
      <c r="S292" s="8">
        <f>IF(COUNT(D292:P292)=0,"",MAX(D292:P292))</f>
        <v/>
      </c>
      <c r="T292" s="9">
        <f>IF(OR(Q292="",Q292=0),"",(S292-Q292)/Q292)</f>
        <v/>
      </c>
      <c r="U292" s="7">
        <f>IF(COUNT(D292:P292)=0,"",INDEX($D$1:$P$1,MATCH(MIN(D292:P292),D292:P292,0)))</f>
        <v/>
      </c>
      <c r="V292" s="8" t="n">
        <v>509.76</v>
      </c>
      <c r="W292" s="10" t="n">
        <v>1</v>
      </c>
    </row>
    <row r="293">
      <c r="A293" s="7" t="inlineStr">
        <is>
          <t>MAT-08-077</t>
        </is>
      </c>
      <c r="B293" s="4" t="inlineStr">
        <is>
          <t>Cerámica de piso, 58 x 58 cm</t>
        </is>
      </c>
      <c r="C293" s="7" t="inlineStr">
        <is>
          <t>m²</t>
        </is>
      </c>
      <c r="D293" s="8" t="n">
        <v>342.39</v>
      </c>
      <c r="E293" s="8" t="n"/>
      <c r="F293" s="8" t="n"/>
      <c r="G293" s="8" t="n"/>
      <c r="H293" s="8" t="n"/>
      <c r="I293" s="8" t="n">
        <v>389</v>
      </c>
      <c r="J293" s="8" t="n"/>
      <c r="K293" s="8" t="n"/>
      <c r="L293" s="8" t="n"/>
      <c r="M293" s="8" t="n"/>
      <c r="N293" s="8" t="n"/>
      <c r="O293" s="8" t="n"/>
      <c r="P293" s="8" t="n"/>
      <c r="Q293" s="8">
        <f>IF(COUNT(D293:P293)=0,"",MIN(D293:P293))</f>
        <v/>
      </c>
      <c r="R293" s="8">
        <f>IF(COUNT(D293:P293)=0,"",MEDIAN(D293:P293))</f>
        <v/>
      </c>
      <c r="S293" s="8">
        <f>IF(COUNT(D293:P293)=0,"",MAX(D293:P293))</f>
        <v/>
      </c>
      <c r="T293" s="9">
        <f>IF(OR(Q293="",Q293=0),"",(S293-Q293)/Q293)</f>
        <v/>
      </c>
      <c r="U293" s="7">
        <f>IF(COUNT(D293:P293)=0,"",INDEX($D$1:$P$1,MATCH(MIN(D293:P293),D293:P293,0)))</f>
        <v/>
      </c>
      <c r="V293" s="8" t="n">
        <v>389</v>
      </c>
      <c r="W293" s="10" t="n">
        <v>2</v>
      </c>
    </row>
    <row r="294">
      <c r="A294" s="7" t="inlineStr">
        <is>
          <t>MAT-08-078</t>
        </is>
      </c>
      <c r="B294" s="4" t="inlineStr">
        <is>
          <t>Cerámica de piso, 60 x 20 cm</t>
        </is>
      </c>
      <c r="C294" s="7" t="inlineStr">
        <is>
          <t>m²</t>
        </is>
      </c>
      <c r="D294" s="8" t="n">
        <v>445.65</v>
      </c>
      <c r="E294" s="8" t="n"/>
      <c r="F294" s="8" t="n">
        <v>619.3200000000001</v>
      </c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>
        <f>IF(COUNT(D294:P294)=0,"",MIN(D294:P294))</f>
        <v/>
      </c>
      <c r="R294" s="8">
        <f>IF(COUNT(D294:P294)=0,"",MEDIAN(D294:P294))</f>
        <v/>
      </c>
      <c r="S294" s="8">
        <f>IF(COUNT(D294:P294)=0,"",MAX(D294:P294))</f>
        <v/>
      </c>
      <c r="T294" s="9">
        <f>IF(OR(Q294="",Q294=0),"",(S294-Q294)/Q294)</f>
        <v/>
      </c>
      <c r="U294" s="7">
        <f>IF(COUNT(D294:P294)=0,"",INDEX($D$1:$P$1,MATCH(MIN(D294:P294),D294:P294,0)))</f>
        <v/>
      </c>
      <c r="V294" s="8" t="n">
        <v>880.0599999999999</v>
      </c>
      <c r="W294" s="10" t="n">
        <v>2</v>
      </c>
    </row>
    <row r="295">
      <c r="A295" s="7" t="inlineStr">
        <is>
          <t>MAT-08-079</t>
        </is>
      </c>
      <c r="B295" s="4" t="inlineStr">
        <is>
          <t>Cerámica de piso, 60 x 30 cm</t>
        </is>
      </c>
      <c r="C295" s="7" t="inlineStr">
        <is>
          <t>m²</t>
        </is>
      </c>
      <c r="D295" s="8" t="n">
        <v>846.53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>
        <f>IF(COUNT(D295:P295)=0,"",MIN(D295:P295))</f>
        <v/>
      </c>
      <c r="R295" s="8">
        <f>IF(COUNT(D295:P295)=0,"",MEDIAN(D295:P295))</f>
        <v/>
      </c>
      <c r="S295" s="8">
        <f>IF(COUNT(D295:P295)=0,"",MAX(D295:P295))</f>
        <v/>
      </c>
      <c r="T295" s="9">
        <f>IF(OR(Q295="",Q295=0),"",(S295-Q295)/Q295)</f>
        <v/>
      </c>
      <c r="U295" s="7">
        <f>IF(COUNT(D295:P295)=0,"",INDEX($D$1:$P$1,MATCH(MIN(D295:P295),D295:P295,0)))</f>
        <v/>
      </c>
      <c r="V295" s="8" t="n">
        <v>1343.36</v>
      </c>
      <c r="W295" s="10" t="n">
        <v>1</v>
      </c>
    </row>
    <row r="296">
      <c r="A296" s="7" t="inlineStr">
        <is>
          <t>MAT-08-080</t>
        </is>
      </c>
      <c r="B296" s="4" t="inlineStr">
        <is>
          <t>Cerámica de piso, 60 x 33 cm</t>
        </is>
      </c>
      <c r="C296" s="7" t="inlineStr">
        <is>
          <t>m²</t>
        </is>
      </c>
      <c r="D296" s="8" t="n">
        <v>902.6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>
        <f>IF(COUNT(D296:P296)=0,"",MIN(D296:P296))</f>
        <v/>
      </c>
      <c r="R296" s="8">
        <f>IF(COUNT(D296:P296)=0,"",MEDIAN(D296:P296))</f>
        <v/>
      </c>
      <c r="S296" s="8">
        <f>IF(COUNT(D296:P296)=0,"",MAX(D296:P296))</f>
        <v/>
      </c>
      <c r="T296" s="9">
        <f>IF(OR(Q296="",Q296=0),"",(S296-Q296)/Q296)</f>
        <v/>
      </c>
      <c r="U296" s="7">
        <f>IF(COUNT(D296:P296)=0,"",INDEX($D$1:$P$1,MATCH(MIN(D296:P296),D296:P296,0)))</f>
        <v/>
      </c>
      <c r="V296" s="8" t="n">
        <v>902.6</v>
      </c>
      <c r="W296" s="10" t="n">
        <v>1</v>
      </c>
    </row>
    <row r="297">
      <c r="A297" s="7" t="inlineStr">
        <is>
          <t>MAT-08-081</t>
        </is>
      </c>
      <c r="B297" s="4" t="inlineStr">
        <is>
          <t>Cerámica de piso, 60 x 60 cm</t>
        </is>
      </c>
      <c r="C297" s="7" t="inlineStr">
        <is>
          <t>m²</t>
        </is>
      </c>
      <c r="D297" s="8" t="n">
        <v>744.77</v>
      </c>
      <c r="E297" s="8" t="n"/>
      <c r="F297" s="8" t="n">
        <v>582.8099999999999</v>
      </c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>
        <f>IF(COUNT(D297:P297)=0,"",MIN(D297:P297))</f>
        <v/>
      </c>
      <c r="R297" s="8">
        <f>IF(COUNT(D297:P297)=0,"",MEDIAN(D297:P297))</f>
        <v/>
      </c>
      <c r="S297" s="8">
        <f>IF(COUNT(D297:P297)=0,"",MAX(D297:P297))</f>
        <v/>
      </c>
      <c r="T297" s="9">
        <f>IF(OR(Q297="",Q297=0),"",(S297-Q297)/Q297)</f>
        <v/>
      </c>
      <c r="U297" s="7">
        <f>IF(COUNT(D297:P297)=0,"",INDEX($D$1:$P$1,MATCH(MIN(D297:P297),D297:P297,0)))</f>
        <v/>
      </c>
      <c r="V297" s="8" t="n">
        <v>1196.92</v>
      </c>
      <c r="W297" s="10" t="n">
        <v>2</v>
      </c>
    </row>
    <row r="298">
      <c r="A298" s="7" t="inlineStr">
        <is>
          <t>MAT-08-082</t>
        </is>
      </c>
      <c r="B298" s="4" t="inlineStr">
        <is>
          <t>Cerámica de piso, 60 x 7.1 cm</t>
        </is>
      </c>
      <c r="C298" s="7" t="inlineStr">
        <is>
          <t>m²</t>
        </is>
      </c>
      <c r="D298" s="8" t="n">
        <v>2092.5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>
        <f>IF(COUNT(D298:P298)=0,"",MIN(D298:P298))</f>
        <v/>
      </c>
      <c r="R298" s="8">
        <f>IF(COUNT(D298:P298)=0,"",MEDIAN(D298:P298))</f>
        <v/>
      </c>
      <c r="S298" s="8">
        <f>IF(COUNT(D298:P298)=0,"",MAX(D298:P298))</f>
        <v/>
      </c>
      <c r="T298" s="9">
        <f>IF(OR(Q298="",Q298=0),"",(S298-Q298)/Q298)</f>
        <v/>
      </c>
      <c r="U298" s="7">
        <f>IF(COUNT(D298:P298)=0,"",INDEX($D$1:$P$1,MATCH(MIN(D298:P298),D298:P298,0)))</f>
        <v/>
      </c>
      <c r="V298" s="8" t="n">
        <v>2092.5</v>
      </c>
      <c r="W298" s="10" t="n">
        <v>1</v>
      </c>
    </row>
    <row r="299">
      <c r="A299" s="7" t="inlineStr">
        <is>
          <t>MAT-08-083</t>
        </is>
      </c>
      <c r="B299" s="4" t="inlineStr">
        <is>
          <t>Cerámica de piso, 70 x 25 cm</t>
        </is>
      </c>
      <c r="C299" s="7" t="inlineStr">
        <is>
          <t>m²</t>
        </is>
      </c>
      <c r="D299" s="8" t="n">
        <v>509.73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>
        <f>IF(COUNT(D299:P299)=0,"",MIN(D299:P299))</f>
        <v/>
      </c>
      <c r="R299" s="8">
        <f>IF(COUNT(D299:P299)=0,"",MEDIAN(D299:P299))</f>
        <v/>
      </c>
      <c r="S299" s="8">
        <f>IF(COUNT(D299:P299)=0,"",MAX(D299:P299))</f>
        <v/>
      </c>
      <c r="T299" s="9">
        <f>IF(OR(Q299="",Q299=0),"",(S299-Q299)/Q299)</f>
        <v/>
      </c>
      <c r="U299" s="7">
        <f>IF(COUNT(D299:P299)=0,"",INDEX($D$1:$P$1,MATCH(MIN(D299:P299),D299:P299,0)))</f>
        <v/>
      </c>
      <c r="V299" s="8" t="n">
        <v>509.73</v>
      </c>
      <c r="W299" s="10" t="n">
        <v>1</v>
      </c>
    </row>
    <row r="300">
      <c r="A300" s="7" t="inlineStr">
        <is>
          <t>MAT-08-084</t>
        </is>
      </c>
      <c r="B300" s="4" t="inlineStr">
        <is>
          <t>Cerámica de piso, 75 x 25 cm</t>
        </is>
      </c>
      <c r="C300" s="7" t="inlineStr">
        <is>
          <t>m²</t>
        </is>
      </c>
      <c r="D300" s="8" t="n">
        <v>1055.55</v>
      </c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>
        <f>IF(COUNT(D300:P300)=0,"",MIN(D300:P300))</f>
        <v/>
      </c>
      <c r="R300" s="8">
        <f>IF(COUNT(D300:P300)=0,"",MEDIAN(D300:P300))</f>
        <v/>
      </c>
      <c r="S300" s="8">
        <f>IF(COUNT(D300:P300)=0,"",MAX(D300:P300))</f>
        <v/>
      </c>
      <c r="T300" s="9">
        <f>IF(OR(Q300="",Q300=0),"",(S300-Q300)/Q300)</f>
        <v/>
      </c>
      <c r="U300" s="7">
        <f>IF(COUNT(D300:P300)=0,"",INDEX($D$1:$P$1,MATCH(MIN(D300:P300),D300:P300,0)))</f>
        <v/>
      </c>
      <c r="V300" s="8" t="n">
        <v>1318.41</v>
      </c>
      <c r="W300" s="10" t="n">
        <v>1</v>
      </c>
    </row>
    <row r="301">
      <c r="A301" s="7" t="inlineStr">
        <is>
          <t>MAT-08-085</t>
        </is>
      </c>
      <c r="B301" s="4" t="inlineStr">
        <is>
          <t>Cerámica de piso, 75 x 75 cm</t>
        </is>
      </c>
      <c r="C301" s="7" t="inlineStr">
        <is>
          <t>m²</t>
        </is>
      </c>
      <c r="D301" s="8" t="n"/>
      <c r="E301" s="8" t="n"/>
      <c r="F301" s="8" t="n">
        <v>673.04</v>
      </c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>
        <f>IF(COUNT(D301:P301)=0,"",MIN(D301:P301))</f>
        <v/>
      </c>
      <c r="R301" s="8">
        <f>IF(COUNT(D301:P301)=0,"",MEDIAN(D301:P301))</f>
        <v/>
      </c>
      <c r="S301" s="8">
        <f>IF(COUNT(D301:P301)=0,"",MAX(D301:P301))</f>
        <v/>
      </c>
      <c r="T301" s="9">
        <f>IF(OR(Q301="",Q301=0),"",(S301-Q301)/Q301)</f>
        <v/>
      </c>
      <c r="U301" s="7">
        <f>IF(COUNT(D301:P301)=0,"",INDEX($D$1:$P$1,MATCH(MIN(D301:P301),D301:P301,0)))</f>
        <v/>
      </c>
      <c r="V301" s="8" t="n">
        <v>1011.3</v>
      </c>
      <c r="W301" s="10" t="n">
        <v>1</v>
      </c>
    </row>
    <row r="302">
      <c r="A302" s="7" t="inlineStr">
        <is>
          <t>MAT-08-086</t>
        </is>
      </c>
      <c r="B302" s="4" t="inlineStr">
        <is>
          <t>Cerámica de piso, 80 x 80 cm</t>
        </is>
      </c>
      <c r="C302" s="7" t="inlineStr">
        <is>
          <t>m²</t>
        </is>
      </c>
      <c r="D302" s="8" t="n">
        <v>951.1</v>
      </c>
      <c r="E302" s="8" t="n"/>
      <c r="F302" s="8" t="n">
        <v>716.48</v>
      </c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>
        <f>IF(COUNT(D302:P302)=0,"",MIN(D302:P302))</f>
        <v/>
      </c>
      <c r="R302" s="8">
        <f>IF(COUNT(D302:P302)=0,"",MEDIAN(D302:P302))</f>
        <v/>
      </c>
      <c r="S302" s="8">
        <f>IF(COUNT(D302:P302)=0,"",MAX(D302:P302))</f>
        <v/>
      </c>
      <c r="T302" s="9">
        <f>IF(OR(Q302="",Q302=0),"",(S302-Q302)/Q302)</f>
        <v/>
      </c>
      <c r="U302" s="7">
        <f>IF(COUNT(D302:P302)=0,"",INDEX($D$1:$P$1,MATCH(MIN(D302:P302),D302:P302,0)))</f>
        <v/>
      </c>
      <c r="V302" s="8" t="n">
        <v>1191.86</v>
      </c>
      <c r="W302" s="10" t="n">
        <v>2</v>
      </c>
    </row>
    <row r="303">
      <c r="A303" s="7" t="inlineStr">
        <is>
          <t>MAT-08-087</t>
        </is>
      </c>
      <c r="B303" s="4" t="inlineStr">
        <is>
          <t>Cerámica de piso, 90 x 15 cm</t>
        </is>
      </c>
      <c r="C303" s="7" t="inlineStr">
        <is>
          <t>m²</t>
        </is>
      </c>
      <c r="D303" s="8" t="n">
        <v>1042.92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>
        <f>IF(COUNT(D303:P303)=0,"",MIN(D303:P303))</f>
        <v/>
      </c>
      <c r="R303" s="8">
        <f>IF(COUNT(D303:P303)=0,"",MEDIAN(D303:P303))</f>
        <v/>
      </c>
      <c r="S303" s="8">
        <f>IF(COUNT(D303:P303)=0,"",MAX(D303:P303))</f>
        <v/>
      </c>
      <c r="T303" s="9">
        <f>IF(OR(Q303="",Q303=0),"",(S303-Q303)/Q303)</f>
        <v/>
      </c>
      <c r="U303" s="7">
        <f>IF(COUNT(D303:P303)=0,"",INDEX($D$1:$P$1,MATCH(MIN(D303:P303),D303:P303,0)))</f>
        <v/>
      </c>
      <c r="V303" s="8" t="n">
        <v>1042.92</v>
      </c>
      <c r="W303" s="10" t="n">
        <v>1</v>
      </c>
    </row>
    <row r="304">
      <c r="A304" s="7" t="inlineStr">
        <is>
          <t>MAT-08-088</t>
        </is>
      </c>
      <c r="B304" s="4" t="inlineStr">
        <is>
          <t>Cerámica de piso, 90 x 30 cm</t>
        </is>
      </c>
      <c r="C304" s="7" t="inlineStr">
        <is>
          <t>m²</t>
        </is>
      </c>
      <c r="D304" s="8" t="n">
        <v>954.53</v>
      </c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>
        <f>IF(COUNT(D304:P304)=0,"",MIN(D304:P304))</f>
        <v/>
      </c>
      <c r="R304" s="8">
        <f>IF(COUNT(D304:P304)=0,"",MEDIAN(D304:P304))</f>
        <v/>
      </c>
      <c r="S304" s="8">
        <f>IF(COUNT(D304:P304)=0,"",MAX(D304:P304))</f>
        <v/>
      </c>
      <c r="T304" s="9">
        <f>IF(OR(Q304="",Q304=0),"",(S304-Q304)/Q304)</f>
        <v/>
      </c>
      <c r="U304" s="7">
        <f>IF(COUNT(D304:P304)=0,"",INDEX($D$1:$P$1,MATCH(MIN(D304:P304),D304:P304,0)))</f>
        <v/>
      </c>
      <c r="V304" s="8" t="n">
        <v>1646.97</v>
      </c>
      <c r="W304" s="10" t="n">
        <v>1</v>
      </c>
    </row>
    <row r="305">
      <c r="A305" s="7" t="inlineStr">
        <is>
          <t>MAT-08-089</t>
        </is>
      </c>
      <c r="B305" s="4" t="inlineStr">
        <is>
          <t>Cerámica de piso y pared, 100 x 30 cm</t>
        </is>
      </c>
      <c r="C305" s="7" t="inlineStr">
        <is>
          <t>m²</t>
        </is>
      </c>
      <c r="D305" s="8" t="n">
        <v>1700.29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>
        <f>IF(COUNT(D305:P305)=0,"",MIN(D305:P305))</f>
        <v/>
      </c>
      <c r="R305" s="8">
        <f>IF(COUNT(D305:P305)=0,"",MEDIAN(D305:P305))</f>
        <v/>
      </c>
      <c r="S305" s="8">
        <f>IF(COUNT(D305:P305)=0,"",MAX(D305:P305))</f>
        <v/>
      </c>
      <c r="T305" s="9">
        <f>IF(OR(Q305="",Q305=0),"",(S305-Q305)/Q305)</f>
        <v/>
      </c>
      <c r="U305" s="7">
        <f>IF(COUNT(D305:P305)=0,"",INDEX($D$1:$P$1,MATCH(MIN(D305:P305),D305:P305,0)))</f>
        <v/>
      </c>
      <c r="V305" s="8" t="n">
        <v>2014.5</v>
      </c>
      <c r="W305" s="10" t="n">
        <v>1</v>
      </c>
    </row>
    <row r="306">
      <c r="A306" s="7" t="inlineStr">
        <is>
          <t>MAT-08-090</t>
        </is>
      </c>
      <c r="B306" s="4" t="inlineStr">
        <is>
          <t>Cerámica de piso y pared, 113 x 55 cm</t>
        </is>
      </c>
      <c r="C306" s="7" t="inlineStr">
        <is>
          <t>m²</t>
        </is>
      </c>
      <c r="D306" s="8" t="n">
        <v>493.24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>
        <f>IF(COUNT(D306:P306)=0,"",MIN(D306:P306))</f>
        <v/>
      </c>
      <c r="R306" s="8">
        <f>IF(COUNT(D306:P306)=0,"",MEDIAN(D306:P306))</f>
        <v/>
      </c>
      <c r="S306" s="8">
        <f>IF(COUNT(D306:P306)=0,"",MAX(D306:P306))</f>
        <v/>
      </c>
      <c r="T306" s="9">
        <f>IF(OR(Q306="",Q306=0),"",(S306-Q306)/Q306)</f>
        <v/>
      </c>
      <c r="U306" s="7">
        <f>IF(COUNT(D306:P306)=0,"",INDEX($D$1:$P$1,MATCH(MIN(D306:P306),D306:P306,0)))</f>
        <v/>
      </c>
      <c r="V306" s="8" t="n">
        <v>872.1900000000001</v>
      </c>
      <c r="W306" s="10" t="n">
        <v>1</v>
      </c>
    </row>
    <row r="307">
      <c r="A307" s="7" t="inlineStr">
        <is>
          <t>MAT-08-091</t>
        </is>
      </c>
      <c r="B307" s="4" t="inlineStr">
        <is>
          <t>Cerámica de piso y pared, 120 x 20 cm</t>
        </is>
      </c>
      <c r="C307" s="7" t="inlineStr">
        <is>
          <t>m²</t>
        </is>
      </c>
      <c r="D307" s="8" t="n">
        <v>1294.63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>
        <f>IF(COUNT(D307:P307)=0,"",MIN(D307:P307))</f>
        <v/>
      </c>
      <c r="R307" s="8">
        <f>IF(COUNT(D307:P307)=0,"",MEDIAN(D307:P307))</f>
        <v/>
      </c>
      <c r="S307" s="8">
        <f>IF(COUNT(D307:P307)=0,"",MAX(D307:P307))</f>
        <v/>
      </c>
      <c r="T307" s="9">
        <f>IF(OR(Q307="",Q307=0),"",(S307-Q307)/Q307)</f>
        <v/>
      </c>
      <c r="U307" s="7">
        <f>IF(COUNT(D307:P307)=0,"",INDEX($D$1:$P$1,MATCH(MIN(D307:P307),D307:P307,0)))</f>
        <v/>
      </c>
      <c r="V307" s="8" t="n">
        <v>1922.79</v>
      </c>
      <c r="W307" s="10" t="n">
        <v>1</v>
      </c>
    </row>
    <row r="308">
      <c r="A308" s="7" t="inlineStr">
        <is>
          <t>MAT-08-092</t>
        </is>
      </c>
      <c r="B308" s="4" t="inlineStr">
        <is>
          <t>Cerámica de piso y pared, 120 x 23.3 cm</t>
        </is>
      </c>
      <c r="C308" s="7" t="inlineStr">
        <is>
          <t>m²</t>
        </is>
      </c>
      <c r="D308" s="8" t="n">
        <v>1394.83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>
        <f>IF(COUNT(D308:P308)=0,"",MIN(D308:P308))</f>
        <v/>
      </c>
      <c r="R308" s="8">
        <f>IF(COUNT(D308:P308)=0,"",MEDIAN(D308:P308))</f>
        <v/>
      </c>
      <c r="S308" s="8">
        <f>IF(COUNT(D308:P308)=0,"",MAX(D308:P308))</f>
        <v/>
      </c>
      <c r="T308" s="9">
        <f>IF(OR(Q308="",Q308=0),"",(S308-Q308)/Q308)</f>
        <v/>
      </c>
      <c r="U308" s="7">
        <f>IF(COUNT(D308:P308)=0,"",INDEX($D$1:$P$1,MATCH(MIN(D308:P308),D308:P308,0)))</f>
        <v/>
      </c>
      <c r="V308" s="8" t="n">
        <v>1394.83</v>
      </c>
      <c r="W308" s="10" t="n">
        <v>1</v>
      </c>
    </row>
    <row r="309">
      <c r="A309" s="7" t="inlineStr">
        <is>
          <t>MAT-08-093</t>
        </is>
      </c>
      <c r="B309" s="4" t="inlineStr">
        <is>
          <t>Cerámica de piso y pared, 120 x 30 cm</t>
        </is>
      </c>
      <c r="C309" s="7" t="inlineStr">
        <is>
          <t>m²</t>
        </is>
      </c>
      <c r="D309" s="8" t="n">
        <v>1905.01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>
        <f>IF(COUNT(D309:P309)=0,"",MIN(D309:P309))</f>
        <v/>
      </c>
      <c r="R309" s="8">
        <f>IF(COUNT(D309:P309)=0,"",MEDIAN(D309:P309))</f>
        <v/>
      </c>
      <c r="S309" s="8">
        <f>IF(COUNT(D309:P309)=0,"",MAX(D309:P309))</f>
        <v/>
      </c>
      <c r="T309" s="9">
        <f>IF(OR(Q309="",Q309=0),"",(S309-Q309)/Q309)</f>
        <v/>
      </c>
      <c r="U309" s="7">
        <f>IF(COUNT(D309:P309)=0,"",INDEX($D$1:$P$1,MATCH(MIN(D309:P309),D309:P309,0)))</f>
        <v/>
      </c>
      <c r="V309" s="8" t="n">
        <v>1973.41</v>
      </c>
      <c r="W309" s="10" t="n">
        <v>1</v>
      </c>
    </row>
    <row r="310">
      <c r="A310" s="7" t="inlineStr">
        <is>
          <t>MAT-08-094</t>
        </is>
      </c>
      <c r="B310" s="4" t="inlineStr">
        <is>
          <t>Cerámica de piso y pared, 120 x 40 cm</t>
        </is>
      </c>
      <c r="C310" s="7" t="inlineStr">
        <is>
          <t>m²</t>
        </is>
      </c>
      <c r="D310" s="8" t="n">
        <v>1397.03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>
        <f>IF(COUNT(D310:P310)=0,"",MIN(D310:P310))</f>
        <v/>
      </c>
      <c r="R310" s="8">
        <f>IF(COUNT(D310:P310)=0,"",MEDIAN(D310:P310))</f>
        <v/>
      </c>
      <c r="S310" s="8">
        <f>IF(COUNT(D310:P310)=0,"",MAX(D310:P310))</f>
        <v/>
      </c>
      <c r="T310" s="9">
        <f>IF(OR(Q310="",Q310=0),"",(S310-Q310)/Q310)</f>
        <v/>
      </c>
      <c r="U310" s="7">
        <f>IF(COUNT(D310:P310)=0,"",INDEX($D$1:$P$1,MATCH(MIN(D310:P310),D310:P310,0)))</f>
        <v/>
      </c>
      <c r="V310" s="8" t="n">
        <v>2113.36</v>
      </c>
      <c r="W310" s="10" t="n">
        <v>1</v>
      </c>
    </row>
    <row r="311">
      <c r="A311" s="7" t="inlineStr">
        <is>
          <t>MAT-08-095</t>
        </is>
      </c>
      <c r="B311" s="4" t="inlineStr">
        <is>
          <t>Cerámica de piso y pared, 120 x 60 cm</t>
        </is>
      </c>
      <c r="C311" s="7" t="inlineStr">
        <is>
          <t>m²</t>
        </is>
      </c>
      <c r="D311" s="8" t="n">
        <v>1481.03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>
        <f>IF(COUNT(D311:P311)=0,"",MIN(D311:P311))</f>
        <v/>
      </c>
      <c r="R311" s="8">
        <f>IF(COUNT(D311:P311)=0,"",MEDIAN(D311:P311))</f>
        <v/>
      </c>
      <c r="S311" s="8">
        <f>IF(COUNT(D311:P311)=0,"",MAX(D311:P311))</f>
        <v/>
      </c>
      <c r="T311" s="9">
        <f>IF(OR(Q311="",Q311=0),"",(S311-Q311)/Q311)</f>
        <v/>
      </c>
      <c r="U311" s="7">
        <f>IF(COUNT(D311:P311)=0,"",INDEX($D$1:$P$1,MATCH(MIN(D311:P311),D311:P311,0)))</f>
        <v/>
      </c>
      <c r="V311" s="8" t="n">
        <v>1964.18</v>
      </c>
      <c r="W311" s="10" t="n">
        <v>1</v>
      </c>
    </row>
    <row r="312">
      <c r="A312" s="7" t="inlineStr">
        <is>
          <t>MAT-08-096</t>
        </is>
      </c>
      <c r="B312" s="4" t="inlineStr">
        <is>
          <t>Cerámica de piso y pared, 15 x 15 cm</t>
        </is>
      </c>
      <c r="C312" s="7" t="inlineStr">
        <is>
          <t>m²</t>
        </is>
      </c>
      <c r="D312" s="8" t="n">
        <v>516.5599999999999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>
        <f>IF(COUNT(D312:P312)=0,"",MIN(D312:P312))</f>
        <v/>
      </c>
      <c r="R312" s="8">
        <f>IF(COUNT(D312:P312)=0,"",MEDIAN(D312:P312))</f>
        <v/>
      </c>
      <c r="S312" s="8">
        <f>IF(COUNT(D312:P312)=0,"",MAX(D312:P312))</f>
        <v/>
      </c>
      <c r="T312" s="9">
        <f>IF(OR(Q312="",Q312=0),"",(S312-Q312)/Q312)</f>
        <v/>
      </c>
      <c r="U312" s="7">
        <f>IF(COUNT(D312:P312)=0,"",INDEX($D$1:$P$1,MATCH(MIN(D312:P312),D312:P312,0)))</f>
        <v/>
      </c>
      <c r="V312" s="8" t="n">
        <v>1640.37</v>
      </c>
      <c r="W312" s="10" t="n">
        <v>1</v>
      </c>
    </row>
    <row r="313">
      <c r="A313" s="7" t="inlineStr">
        <is>
          <t>MAT-08-097</t>
        </is>
      </c>
      <c r="B313" s="4" t="inlineStr">
        <is>
          <t>Cerámica de piso y pared, 18.5 x 18.5 cm</t>
        </is>
      </c>
      <c r="C313" s="7" t="inlineStr">
        <is>
          <t>m²</t>
        </is>
      </c>
      <c r="D313" s="8" t="n">
        <v>3184.41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>
        <f>IF(COUNT(D313:P313)=0,"",MIN(D313:P313))</f>
        <v/>
      </c>
      <c r="R313" s="8">
        <f>IF(COUNT(D313:P313)=0,"",MEDIAN(D313:P313))</f>
        <v/>
      </c>
      <c r="S313" s="8">
        <f>IF(COUNT(D313:P313)=0,"",MAX(D313:P313))</f>
        <v/>
      </c>
      <c r="T313" s="9">
        <f>IF(OR(Q313="",Q313=0),"",(S313-Q313)/Q313)</f>
        <v/>
      </c>
      <c r="U313" s="7">
        <f>IF(COUNT(D313:P313)=0,"",INDEX($D$1:$P$1,MATCH(MIN(D313:P313),D313:P313,0)))</f>
        <v/>
      </c>
      <c r="V313" s="8" t="n">
        <v>3184.41</v>
      </c>
      <c r="W313" s="10" t="n">
        <v>1</v>
      </c>
    </row>
    <row r="314">
      <c r="A314" s="7" t="inlineStr">
        <is>
          <t>MAT-08-098</t>
        </is>
      </c>
      <c r="B314" s="4" t="inlineStr">
        <is>
          <t>Cerámica de piso y pared, 180 x 90 cm</t>
        </is>
      </c>
      <c r="C314" s="7" t="inlineStr">
        <is>
          <t>m²</t>
        </is>
      </c>
      <c r="D314" s="8" t="n">
        <v>3073.71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>
        <f>IF(COUNT(D314:P314)=0,"",MIN(D314:P314))</f>
        <v/>
      </c>
      <c r="R314" s="8">
        <f>IF(COUNT(D314:P314)=0,"",MEDIAN(D314:P314))</f>
        <v/>
      </c>
      <c r="S314" s="8">
        <f>IF(COUNT(D314:P314)=0,"",MAX(D314:P314))</f>
        <v/>
      </c>
      <c r="T314" s="9">
        <f>IF(OR(Q314="",Q314=0),"",(S314-Q314)/Q314)</f>
        <v/>
      </c>
      <c r="U314" s="7">
        <f>IF(COUNT(D314:P314)=0,"",INDEX($D$1:$P$1,MATCH(MIN(D314:P314),D314:P314,0)))</f>
        <v/>
      </c>
      <c r="V314" s="8" t="n">
        <v>3073.71</v>
      </c>
      <c r="W314" s="10" t="n">
        <v>1</v>
      </c>
    </row>
    <row r="315">
      <c r="A315" s="7" t="inlineStr">
        <is>
          <t>MAT-08-099</t>
        </is>
      </c>
      <c r="B315" s="4" t="inlineStr">
        <is>
          <t>Cerámica de piso y pared, 20 x 20 cm</t>
        </is>
      </c>
      <c r="C315" s="7" t="inlineStr">
        <is>
          <t>m²</t>
        </is>
      </c>
      <c r="D315" s="8" t="n">
        <v>915.75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>
        <f>IF(COUNT(D315:P315)=0,"",MIN(D315:P315))</f>
        <v/>
      </c>
      <c r="R315" s="8">
        <f>IF(COUNT(D315:P315)=0,"",MEDIAN(D315:P315))</f>
        <v/>
      </c>
      <c r="S315" s="8">
        <f>IF(COUNT(D315:P315)=0,"",MAX(D315:P315))</f>
        <v/>
      </c>
      <c r="T315" s="9">
        <f>IF(OR(Q315="",Q315=0),"",(S315-Q315)/Q315)</f>
        <v/>
      </c>
      <c r="U315" s="7">
        <f>IF(COUNT(D315:P315)=0,"",INDEX($D$1:$P$1,MATCH(MIN(D315:P315),D315:P315,0)))</f>
        <v/>
      </c>
      <c r="V315" s="8" t="n">
        <v>915.75</v>
      </c>
      <c r="W315" s="10" t="n">
        <v>1</v>
      </c>
    </row>
    <row r="316">
      <c r="A316" s="7" t="inlineStr">
        <is>
          <t>MAT-08-100</t>
        </is>
      </c>
      <c r="B316" s="4" t="inlineStr">
        <is>
          <t>Cerámica de piso y pared, 20 x 6.5 cm</t>
        </is>
      </c>
      <c r="C316" s="7" t="inlineStr">
        <is>
          <t>m²</t>
        </is>
      </c>
      <c r="D316" s="8" t="n">
        <v>2599.62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>
        <f>IF(COUNT(D316:P316)=0,"",MIN(D316:P316))</f>
        <v/>
      </c>
      <c r="R316" s="8">
        <f>IF(COUNT(D316:P316)=0,"",MEDIAN(D316:P316))</f>
        <v/>
      </c>
      <c r="S316" s="8">
        <f>IF(COUNT(D316:P316)=0,"",MAX(D316:P316))</f>
        <v/>
      </c>
      <c r="T316" s="9">
        <f>IF(OR(Q316="",Q316=0),"",(S316-Q316)/Q316)</f>
        <v/>
      </c>
      <c r="U316" s="7">
        <f>IF(COUNT(D316:P316)=0,"",INDEX($D$1:$P$1,MATCH(MIN(D316:P316),D316:P316,0)))</f>
        <v/>
      </c>
      <c r="V316" s="8" t="n">
        <v>2621.99</v>
      </c>
      <c r="W316" s="10" t="n">
        <v>1</v>
      </c>
    </row>
    <row r="317">
      <c r="A317" s="7" t="inlineStr">
        <is>
          <t>MAT-08-101</t>
        </is>
      </c>
      <c r="B317" s="4" t="inlineStr">
        <is>
          <t>Cerámica de piso y pared, 22.3 x 22.3 cm</t>
        </is>
      </c>
      <c r="C317" s="7" t="inlineStr">
        <is>
          <t>m²</t>
        </is>
      </c>
      <c r="D317" s="8" t="n">
        <v>2550.6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>
        <f>IF(COUNT(D317:P317)=0,"",MIN(D317:P317))</f>
        <v/>
      </c>
      <c r="R317" s="8">
        <f>IF(COUNT(D317:P317)=0,"",MEDIAN(D317:P317))</f>
        <v/>
      </c>
      <c r="S317" s="8">
        <f>IF(COUNT(D317:P317)=0,"",MAX(D317:P317))</f>
        <v/>
      </c>
      <c r="T317" s="9">
        <f>IF(OR(Q317="",Q317=0),"",(S317-Q317)/Q317)</f>
        <v/>
      </c>
      <c r="U317" s="7">
        <f>IF(COUNT(D317:P317)=0,"",INDEX($D$1:$P$1,MATCH(MIN(D317:P317),D317:P317,0)))</f>
        <v/>
      </c>
      <c r="V317" s="8" t="n">
        <v>2550.6</v>
      </c>
      <c r="W317" s="10" t="n">
        <v>1</v>
      </c>
    </row>
    <row r="318">
      <c r="A318" s="7" t="inlineStr">
        <is>
          <t>MAT-08-102</t>
        </is>
      </c>
      <c r="B318" s="4" t="inlineStr">
        <is>
          <t>Cerámica de piso y pared, 22.8 x 20 cm</t>
        </is>
      </c>
      <c r="C318" s="7" t="inlineStr">
        <is>
          <t>m²</t>
        </is>
      </c>
      <c r="D318" s="8" t="n">
        <v>1614.78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>
        <f>IF(COUNT(D318:P318)=0,"",MIN(D318:P318))</f>
        <v/>
      </c>
      <c r="R318" s="8">
        <f>IF(COUNT(D318:P318)=0,"",MEDIAN(D318:P318))</f>
        <v/>
      </c>
      <c r="S318" s="8">
        <f>IF(COUNT(D318:P318)=0,"",MAX(D318:P318))</f>
        <v/>
      </c>
      <c r="T318" s="9">
        <f>IF(OR(Q318="",Q318=0),"",(S318-Q318)/Q318)</f>
        <v/>
      </c>
      <c r="U318" s="7">
        <f>IF(COUNT(D318:P318)=0,"",INDEX($D$1:$P$1,MATCH(MIN(D318:P318),D318:P318,0)))</f>
        <v/>
      </c>
      <c r="V318" s="8" t="n">
        <v>2071.61</v>
      </c>
      <c r="W318" s="10" t="n">
        <v>1</v>
      </c>
    </row>
    <row r="319">
      <c r="A319" s="7" t="inlineStr">
        <is>
          <t>MAT-08-103</t>
        </is>
      </c>
      <c r="B319" s="4" t="inlineStr">
        <is>
          <t>Cerámica de piso y pared, 25 x 25 cm</t>
        </is>
      </c>
      <c r="C319" s="7" t="inlineStr">
        <is>
          <t>m²</t>
        </is>
      </c>
      <c r="D319" s="8" t="n">
        <v>1470.37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>
        <f>IF(COUNT(D319:P319)=0,"",MIN(D319:P319))</f>
        <v/>
      </c>
      <c r="R319" s="8">
        <f>IF(COUNT(D319:P319)=0,"",MEDIAN(D319:P319))</f>
        <v/>
      </c>
      <c r="S319" s="8">
        <f>IF(COUNT(D319:P319)=0,"",MAX(D319:P319))</f>
        <v/>
      </c>
      <c r="T319" s="9">
        <f>IF(OR(Q319="",Q319=0),"",(S319-Q319)/Q319)</f>
        <v/>
      </c>
      <c r="U319" s="7">
        <f>IF(COUNT(D319:P319)=0,"",INDEX($D$1:$P$1,MATCH(MIN(D319:P319),D319:P319,0)))</f>
        <v/>
      </c>
      <c r="V319" s="8" t="n">
        <v>1641.67</v>
      </c>
      <c r="W319" s="10" t="n">
        <v>1</v>
      </c>
    </row>
    <row r="320">
      <c r="A320" s="7" t="inlineStr">
        <is>
          <t>MAT-08-104</t>
        </is>
      </c>
      <c r="B320" s="4" t="inlineStr">
        <is>
          <t>Cerámica de piso y pared, 26.8 x 23.2 cm</t>
        </is>
      </c>
      <c r="C320" s="7" t="inlineStr">
        <is>
          <t>m²</t>
        </is>
      </c>
      <c r="D320" s="8" t="n">
        <v>2504.68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>
        <f>IF(COUNT(D320:P320)=0,"",MIN(D320:P320))</f>
        <v/>
      </c>
      <c r="R320" s="8">
        <f>IF(COUNT(D320:P320)=0,"",MEDIAN(D320:P320))</f>
        <v/>
      </c>
      <c r="S320" s="8">
        <f>IF(COUNT(D320:P320)=0,"",MAX(D320:P320))</f>
        <v/>
      </c>
      <c r="T320" s="9">
        <f>IF(OR(Q320="",Q320=0),"",(S320-Q320)/Q320)</f>
        <v/>
      </c>
      <c r="U320" s="7">
        <f>IF(COUNT(D320:P320)=0,"",INDEX($D$1:$P$1,MATCH(MIN(D320:P320),D320:P320,0)))</f>
        <v/>
      </c>
      <c r="V320" s="8" t="n">
        <v>2504.68</v>
      </c>
      <c r="W320" s="10" t="n">
        <v>1</v>
      </c>
    </row>
    <row r="321">
      <c r="A321" s="7" t="inlineStr">
        <is>
          <t>MAT-08-105</t>
        </is>
      </c>
      <c r="B321" s="4" t="inlineStr">
        <is>
          <t>Cerámica de piso y pared, 30 x 25 cm</t>
        </is>
      </c>
      <c r="C321" s="7" t="inlineStr">
        <is>
          <t>m²</t>
        </is>
      </c>
      <c r="D321" s="8" t="n">
        <v>1914.66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>
        <f>IF(COUNT(D321:P321)=0,"",MIN(D321:P321))</f>
        <v/>
      </c>
      <c r="R321" s="8">
        <f>IF(COUNT(D321:P321)=0,"",MEDIAN(D321:P321))</f>
        <v/>
      </c>
      <c r="S321" s="8">
        <f>IF(COUNT(D321:P321)=0,"",MAX(D321:P321))</f>
        <v/>
      </c>
      <c r="T321" s="9">
        <f>IF(OR(Q321="",Q321=0),"",(S321-Q321)/Q321)</f>
        <v/>
      </c>
      <c r="U321" s="7">
        <f>IF(COUNT(D321:P321)=0,"",INDEX($D$1:$P$1,MATCH(MIN(D321:P321),D321:P321,0)))</f>
        <v/>
      </c>
      <c r="V321" s="8" t="n">
        <v>1914.66</v>
      </c>
      <c r="W321" s="10" t="n">
        <v>1</v>
      </c>
    </row>
    <row r="322">
      <c r="A322" s="7" t="inlineStr">
        <is>
          <t>MAT-08-106</t>
        </is>
      </c>
      <c r="B322" s="4" t="inlineStr">
        <is>
          <t>Cerámica de piso y pared, 40 x 25 cm</t>
        </is>
      </c>
      <c r="C322" s="7" t="inlineStr">
        <is>
          <t>m²</t>
        </is>
      </c>
      <c r="D322" s="8" t="n">
        <v>779.2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>
        <f>IF(COUNT(D322:P322)=0,"",MIN(D322:P322))</f>
        <v/>
      </c>
      <c r="R322" s="8">
        <f>IF(COUNT(D322:P322)=0,"",MEDIAN(D322:P322))</f>
        <v/>
      </c>
      <c r="S322" s="8">
        <f>IF(COUNT(D322:P322)=0,"",MAX(D322:P322))</f>
        <v/>
      </c>
      <c r="T322" s="9">
        <f>IF(OR(Q322="",Q322=0),"",(S322-Q322)/Q322)</f>
        <v/>
      </c>
      <c r="U322" s="7">
        <f>IF(COUNT(D322:P322)=0,"",INDEX($D$1:$P$1,MATCH(MIN(D322:P322),D322:P322,0)))</f>
        <v/>
      </c>
      <c r="V322" s="8" t="n">
        <v>779.2</v>
      </c>
      <c r="W322" s="10" t="n">
        <v>1</v>
      </c>
    </row>
    <row r="323">
      <c r="A323" s="7" t="inlineStr">
        <is>
          <t>MAT-08-107</t>
        </is>
      </c>
      <c r="B323" s="4" t="inlineStr">
        <is>
          <t>Cerámica de piso y pared, 45 x 45 cm</t>
        </is>
      </c>
      <c r="C323" s="7" t="inlineStr">
        <is>
          <t>m²</t>
        </is>
      </c>
      <c r="D323" s="8" t="n">
        <v>666.6799999999999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>
        <f>IF(COUNT(D323:P323)=0,"",MIN(D323:P323))</f>
        <v/>
      </c>
      <c r="R323" s="8">
        <f>IF(COUNT(D323:P323)=0,"",MEDIAN(D323:P323))</f>
        <v/>
      </c>
      <c r="S323" s="8">
        <f>IF(COUNT(D323:P323)=0,"",MAX(D323:P323))</f>
        <v/>
      </c>
      <c r="T323" s="9">
        <f>IF(OR(Q323="",Q323=0),"",(S323-Q323)/Q323)</f>
        <v/>
      </c>
      <c r="U323" s="7">
        <f>IF(COUNT(D323:P323)=0,"",INDEX($D$1:$P$1,MATCH(MIN(D323:P323),D323:P323,0)))</f>
        <v/>
      </c>
      <c r="V323" s="8" t="n">
        <v>883.6</v>
      </c>
      <c r="W323" s="10" t="n">
        <v>1</v>
      </c>
    </row>
    <row r="324">
      <c r="A324" s="7" t="inlineStr">
        <is>
          <t>MAT-08-108</t>
        </is>
      </c>
      <c r="B324" s="4" t="inlineStr">
        <is>
          <t>Cerámica de piso y pared, 55 x 33 cm</t>
        </is>
      </c>
      <c r="C324" s="7" t="inlineStr">
        <is>
          <t>m²</t>
        </is>
      </c>
      <c r="D324" s="8" t="n">
        <v>811.99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>
        <f>IF(COUNT(D324:P324)=0,"",MIN(D324:P324))</f>
        <v/>
      </c>
      <c r="R324" s="8">
        <f>IF(COUNT(D324:P324)=0,"",MEDIAN(D324:P324))</f>
        <v/>
      </c>
      <c r="S324" s="8">
        <f>IF(COUNT(D324:P324)=0,"",MAX(D324:P324))</f>
        <v/>
      </c>
      <c r="T324" s="9">
        <f>IF(OR(Q324="",Q324=0),"",(S324-Q324)/Q324)</f>
        <v/>
      </c>
      <c r="U324" s="7">
        <f>IF(COUNT(D324:P324)=0,"",INDEX($D$1:$P$1,MATCH(MIN(D324:P324),D324:P324,0)))</f>
        <v/>
      </c>
      <c r="V324" s="8" t="n">
        <v>837.58</v>
      </c>
      <c r="W324" s="10" t="n">
        <v>1</v>
      </c>
    </row>
    <row r="325">
      <c r="A325" s="7" t="inlineStr">
        <is>
          <t>MAT-08-109</t>
        </is>
      </c>
      <c r="B325" s="4" t="inlineStr">
        <is>
          <t>Cerámica de piso y pared, 58 x 19 cm</t>
        </is>
      </c>
      <c r="C325" s="7" t="inlineStr">
        <is>
          <t>m²</t>
        </is>
      </c>
      <c r="D325" s="8" t="n">
        <v>851.73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>
        <f>IF(COUNT(D325:P325)=0,"",MIN(D325:P325))</f>
        <v/>
      </c>
      <c r="R325" s="8">
        <f>IF(COUNT(D325:P325)=0,"",MEDIAN(D325:P325))</f>
        <v/>
      </c>
      <c r="S325" s="8">
        <f>IF(COUNT(D325:P325)=0,"",MAX(D325:P325))</f>
        <v/>
      </c>
      <c r="T325" s="9">
        <f>IF(OR(Q325="",Q325=0),"",(S325-Q325)/Q325)</f>
        <v/>
      </c>
      <c r="U325" s="7">
        <f>IF(COUNT(D325:P325)=0,"",INDEX($D$1:$P$1,MATCH(MIN(D325:P325),D325:P325,0)))</f>
        <v/>
      </c>
      <c r="V325" s="8" t="n">
        <v>884.59</v>
      </c>
      <c r="W325" s="10" t="n">
        <v>1</v>
      </c>
    </row>
    <row r="326">
      <c r="A326" s="7" t="inlineStr">
        <is>
          <t>MAT-08-110</t>
        </is>
      </c>
      <c r="B326" s="4" t="inlineStr">
        <is>
          <t>Cerámica de piso y pared, 58 x 58 cm</t>
        </is>
      </c>
      <c r="C326" s="7" t="inlineStr">
        <is>
          <t>m²</t>
        </is>
      </c>
      <c r="D326" s="8" t="n">
        <v>1267.19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>
        <f>IF(COUNT(D326:P326)=0,"",MIN(D326:P326))</f>
        <v/>
      </c>
      <c r="R326" s="8">
        <f>IF(COUNT(D326:P326)=0,"",MEDIAN(D326:P326))</f>
        <v/>
      </c>
      <c r="S326" s="8">
        <f>IF(COUNT(D326:P326)=0,"",MAX(D326:P326))</f>
        <v/>
      </c>
      <c r="T326" s="9">
        <f>IF(OR(Q326="",Q326=0),"",(S326-Q326)/Q326)</f>
        <v/>
      </c>
      <c r="U326" s="7">
        <f>IF(COUNT(D326:P326)=0,"",INDEX($D$1:$P$1,MATCH(MIN(D326:P326),D326:P326,0)))</f>
        <v/>
      </c>
      <c r="V326" s="8" t="n">
        <v>1407.51</v>
      </c>
      <c r="W326" s="10" t="n">
        <v>1</v>
      </c>
    </row>
    <row r="327">
      <c r="A327" s="7" t="inlineStr">
        <is>
          <t>MAT-08-111</t>
        </is>
      </c>
      <c r="B327" s="4" t="inlineStr">
        <is>
          <t>Cerámica de piso y pared, 60 x 20 cm</t>
        </is>
      </c>
      <c r="C327" s="7" t="inlineStr">
        <is>
          <t>m²</t>
        </is>
      </c>
      <c r="D327" s="8" t="n">
        <v>482.11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>
        <f>IF(COUNT(D327:P327)=0,"",MIN(D327:P327))</f>
        <v/>
      </c>
      <c r="R327" s="8">
        <f>IF(COUNT(D327:P327)=0,"",MEDIAN(D327:P327))</f>
        <v/>
      </c>
      <c r="S327" s="8">
        <f>IF(COUNT(D327:P327)=0,"",MAX(D327:P327))</f>
        <v/>
      </c>
      <c r="T327" s="9">
        <f>IF(OR(Q327="",Q327=0),"",(S327-Q327)/Q327)</f>
        <v/>
      </c>
      <c r="U327" s="7">
        <f>IF(COUNT(D327:P327)=0,"",INDEX($D$1:$P$1,MATCH(MIN(D327:P327),D327:P327,0)))</f>
        <v/>
      </c>
      <c r="V327" s="8" t="n">
        <v>767.4400000000001</v>
      </c>
      <c r="W327" s="10" t="n">
        <v>1</v>
      </c>
    </row>
    <row r="328">
      <c r="A328" s="7" t="inlineStr">
        <is>
          <t>MAT-08-112</t>
        </is>
      </c>
      <c r="B328" s="4" t="inlineStr">
        <is>
          <t>Cerámica de piso y pared, 60 x 30 cm</t>
        </is>
      </c>
      <c r="C328" s="7" t="inlineStr">
        <is>
          <t>m²</t>
        </is>
      </c>
      <c r="D328" s="8" t="n">
        <v>1048.67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>
        <f>IF(COUNT(D328:P328)=0,"",MIN(D328:P328))</f>
        <v/>
      </c>
      <c r="R328" s="8">
        <f>IF(COUNT(D328:P328)=0,"",MEDIAN(D328:P328))</f>
        <v/>
      </c>
      <c r="S328" s="8">
        <f>IF(COUNT(D328:P328)=0,"",MAX(D328:P328))</f>
        <v/>
      </c>
      <c r="T328" s="9">
        <f>IF(OR(Q328="",Q328=0),"",(S328-Q328)/Q328)</f>
        <v/>
      </c>
      <c r="U328" s="7">
        <f>IF(COUNT(D328:P328)=0,"",INDEX($D$1:$P$1,MATCH(MIN(D328:P328),D328:P328,0)))</f>
        <v/>
      </c>
      <c r="V328" s="8" t="n">
        <v>1474.52</v>
      </c>
      <c r="W328" s="10" t="n">
        <v>1</v>
      </c>
    </row>
    <row r="329">
      <c r="A329" s="7" t="inlineStr">
        <is>
          <t>MAT-08-113</t>
        </is>
      </c>
      <c r="B329" s="4" t="inlineStr">
        <is>
          <t>Cerámica de piso y pared, 60 x 60 cm</t>
        </is>
      </c>
      <c r="C329" s="7" t="inlineStr">
        <is>
          <t>m²</t>
        </is>
      </c>
      <c r="D329" s="8" t="n">
        <v>461.4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>
        <f>IF(COUNT(D329:P329)=0,"",MIN(D329:P329))</f>
        <v/>
      </c>
      <c r="R329" s="8">
        <f>IF(COUNT(D329:P329)=0,"",MEDIAN(D329:P329))</f>
        <v/>
      </c>
      <c r="S329" s="8">
        <f>IF(COUNT(D329:P329)=0,"",MAX(D329:P329))</f>
        <v/>
      </c>
      <c r="T329" s="9">
        <f>IF(OR(Q329="",Q329=0),"",(S329-Q329)/Q329)</f>
        <v/>
      </c>
      <c r="U329" s="7">
        <f>IF(COUNT(D329:P329)=0,"",INDEX($D$1:$P$1,MATCH(MIN(D329:P329),D329:P329,0)))</f>
        <v/>
      </c>
      <c r="V329" s="8" t="n">
        <v>1251.4</v>
      </c>
      <c r="W329" s="10" t="n">
        <v>1</v>
      </c>
    </row>
    <row r="330">
      <c r="A330" s="7" t="inlineStr">
        <is>
          <t>MAT-08-114</t>
        </is>
      </c>
      <c r="B330" s="4" t="inlineStr">
        <is>
          <t>Cerámica de piso y pared, 75 x 25 cm</t>
        </is>
      </c>
      <c r="C330" s="7" t="inlineStr">
        <is>
          <t>m²</t>
        </is>
      </c>
      <c r="D330" s="8" t="n">
        <v>915.6799999999999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>
        <f>IF(COUNT(D330:P330)=0,"",MIN(D330:P330))</f>
        <v/>
      </c>
      <c r="R330" s="8">
        <f>IF(COUNT(D330:P330)=0,"",MEDIAN(D330:P330))</f>
        <v/>
      </c>
      <c r="S330" s="8">
        <f>IF(COUNT(D330:P330)=0,"",MAX(D330:P330))</f>
        <v/>
      </c>
      <c r="T330" s="9">
        <f>IF(OR(Q330="",Q330=0),"",(S330-Q330)/Q330)</f>
        <v/>
      </c>
      <c r="U330" s="7">
        <f>IF(COUNT(D330:P330)=0,"",INDEX($D$1:$P$1,MATCH(MIN(D330:P330),D330:P330,0)))</f>
        <v/>
      </c>
      <c r="V330" s="8" t="n">
        <v>1257.26</v>
      </c>
      <c r="W330" s="10" t="n">
        <v>1</v>
      </c>
    </row>
    <row r="331">
      <c r="A331" s="7" t="inlineStr">
        <is>
          <t>MAT-08-115</t>
        </is>
      </c>
      <c r="B331" s="4" t="inlineStr">
        <is>
          <t>Cerámica de piso y pared, 80 x 80 cm</t>
        </is>
      </c>
      <c r="C331" s="7" t="inlineStr">
        <is>
          <t>m²</t>
        </is>
      </c>
      <c r="D331" s="8" t="n">
        <v>908.36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>
        <f>IF(COUNT(D331:P331)=0,"",MIN(D331:P331))</f>
        <v/>
      </c>
      <c r="R331" s="8">
        <f>IF(COUNT(D331:P331)=0,"",MEDIAN(D331:P331))</f>
        <v/>
      </c>
      <c r="S331" s="8">
        <f>IF(COUNT(D331:P331)=0,"",MAX(D331:P331))</f>
        <v/>
      </c>
      <c r="T331" s="9">
        <f>IF(OR(Q331="",Q331=0),"",(S331-Q331)/Q331)</f>
        <v/>
      </c>
      <c r="U331" s="7">
        <f>IF(COUNT(D331:P331)=0,"",INDEX($D$1:$P$1,MATCH(MIN(D331:P331),D331:P331,0)))</f>
        <v/>
      </c>
      <c r="V331" s="8" t="n">
        <v>929.73</v>
      </c>
      <c r="W331" s="10" t="n">
        <v>1</v>
      </c>
    </row>
    <row r="332">
      <c r="A332" s="7" t="inlineStr">
        <is>
          <t>MAT-08-116</t>
        </is>
      </c>
      <c r="B332" s="4" t="inlineStr">
        <is>
          <t>Cerámica de piso y pared, 90 x 15 cm</t>
        </is>
      </c>
      <c r="C332" s="7" t="inlineStr">
        <is>
          <t>m²</t>
        </is>
      </c>
      <c r="D332" s="8" t="n">
        <v>1417.32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>
        <f>IF(COUNT(D332:P332)=0,"",MIN(D332:P332))</f>
        <v/>
      </c>
      <c r="R332" s="8">
        <f>IF(COUNT(D332:P332)=0,"",MEDIAN(D332:P332))</f>
        <v/>
      </c>
      <c r="S332" s="8">
        <f>IF(COUNT(D332:P332)=0,"",MAX(D332:P332))</f>
        <v/>
      </c>
      <c r="T332" s="9">
        <f>IF(OR(Q332="",Q332=0),"",(S332-Q332)/Q332)</f>
        <v/>
      </c>
      <c r="U332" s="7">
        <f>IF(COUNT(D332:P332)=0,"",INDEX($D$1:$P$1,MATCH(MIN(D332:P332),D332:P332,0)))</f>
        <v/>
      </c>
      <c r="V332" s="8" t="n">
        <v>1496.73</v>
      </c>
      <c r="W332" s="10" t="n">
        <v>1</v>
      </c>
    </row>
    <row r="333">
      <c r="A333" s="7" t="inlineStr">
        <is>
          <t>MAT-08-117</t>
        </is>
      </c>
      <c r="B333" s="4" t="inlineStr">
        <is>
          <t>Cerámica de piso y pared, 90 x 30 cm</t>
        </is>
      </c>
      <c r="C333" s="7" t="inlineStr">
        <is>
          <t>m²</t>
        </is>
      </c>
      <c r="D333" s="8" t="n">
        <v>1180.22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>
        <f>IF(COUNT(D333:P333)=0,"",MIN(D333:P333))</f>
        <v/>
      </c>
      <c r="R333" s="8">
        <f>IF(COUNT(D333:P333)=0,"",MEDIAN(D333:P333))</f>
        <v/>
      </c>
      <c r="S333" s="8">
        <f>IF(COUNT(D333:P333)=0,"",MAX(D333:P333))</f>
        <v/>
      </c>
      <c r="T333" s="9">
        <f>IF(OR(Q333="",Q333=0),"",(S333-Q333)/Q333)</f>
        <v/>
      </c>
      <c r="U333" s="7">
        <f>IF(COUNT(D333:P333)=0,"",INDEX($D$1:$P$1,MATCH(MIN(D333:P333),D333:P333,0)))</f>
        <v/>
      </c>
      <c r="V333" s="8" t="n">
        <v>2227.75</v>
      </c>
      <c r="W333" s="10" t="n">
        <v>1</v>
      </c>
    </row>
    <row r="334">
      <c r="A334" s="7" t="inlineStr">
        <is>
          <t>MAT-08-118</t>
        </is>
      </c>
      <c r="B334" s="4" t="inlineStr">
        <is>
          <t>Cerámica de piso y pared, 90 x 45 cm</t>
        </is>
      </c>
      <c r="C334" s="7" t="inlineStr">
        <is>
          <t>m²</t>
        </is>
      </c>
      <c r="D334" s="8" t="n">
        <v>1367.94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>
        <f>IF(COUNT(D334:P334)=0,"",MIN(D334:P334))</f>
        <v/>
      </c>
      <c r="R334" s="8">
        <f>IF(COUNT(D334:P334)=0,"",MEDIAN(D334:P334))</f>
        <v/>
      </c>
      <c r="S334" s="8">
        <f>IF(COUNT(D334:P334)=0,"",MAX(D334:P334))</f>
        <v/>
      </c>
      <c r="T334" s="9">
        <f>IF(OR(Q334="",Q334=0),"",(S334-Q334)/Q334)</f>
        <v/>
      </c>
      <c r="U334" s="7">
        <f>IF(COUNT(D334:P334)=0,"",INDEX($D$1:$P$1,MATCH(MIN(D334:P334),D334:P334,0)))</f>
        <v/>
      </c>
      <c r="V334" s="8" t="n">
        <v>1988.37</v>
      </c>
      <c r="W334" s="10" t="n">
        <v>1</v>
      </c>
    </row>
    <row r="335">
      <c r="A335" s="7" t="inlineStr">
        <is>
          <t>MAT-08-119</t>
        </is>
      </c>
      <c r="B335" s="4" t="inlineStr">
        <is>
          <t>Porcelanato de pared, 100 x 30 cm</t>
        </is>
      </c>
      <c r="C335" s="7" t="inlineStr">
        <is>
          <t>m²</t>
        </is>
      </c>
      <c r="D335" s="8" t="n">
        <v>1961.18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>
        <f>IF(COUNT(D335:P335)=0,"",MIN(D335:P335))</f>
        <v/>
      </c>
      <c r="R335" s="8">
        <f>IF(COUNT(D335:P335)=0,"",MEDIAN(D335:P335))</f>
        <v/>
      </c>
      <c r="S335" s="8">
        <f>IF(COUNT(D335:P335)=0,"",MAX(D335:P335))</f>
        <v/>
      </c>
      <c r="T335" s="9">
        <f>IF(OR(Q335="",Q335=0),"",(S335-Q335)/Q335)</f>
        <v/>
      </c>
      <c r="U335" s="7">
        <f>IF(COUNT(D335:P335)=0,"",INDEX($D$1:$P$1,MATCH(MIN(D335:P335),D335:P335,0)))</f>
        <v/>
      </c>
      <c r="V335" s="8" t="n">
        <v>2062.5</v>
      </c>
      <c r="W335" s="10" t="n">
        <v>1</v>
      </c>
    </row>
    <row r="336">
      <c r="A336" s="7" t="inlineStr">
        <is>
          <t>MAT-08-120</t>
        </is>
      </c>
      <c r="B336" s="4" t="inlineStr">
        <is>
          <t>Porcelanato de pared, 120 x 120 cm</t>
        </is>
      </c>
      <c r="C336" s="7" t="inlineStr">
        <is>
          <t>m²</t>
        </is>
      </c>
      <c r="D336" s="8" t="n"/>
      <c r="E336" s="8" t="n"/>
      <c r="F336" s="8" t="n">
        <v>2686.15</v>
      </c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>
        <f>IF(COUNT(D336:P336)=0,"",MIN(D336:P336))</f>
        <v/>
      </c>
      <c r="R336" s="8">
        <f>IF(COUNT(D336:P336)=0,"",MEDIAN(D336:P336))</f>
        <v/>
      </c>
      <c r="S336" s="8">
        <f>IF(COUNT(D336:P336)=0,"",MAX(D336:P336))</f>
        <v/>
      </c>
      <c r="T336" s="9">
        <f>IF(OR(Q336="",Q336=0),"",(S336-Q336)/Q336)</f>
        <v/>
      </c>
      <c r="U336" s="7">
        <f>IF(COUNT(D336:P336)=0,"",INDEX($D$1:$P$1,MATCH(MIN(D336:P336),D336:P336,0)))</f>
        <v/>
      </c>
      <c r="V336" s="8" t="n">
        <v>3169.66</v>
      </c>
      <c r="W336" s="10" t="n">
        <v>1</v>
      </c>
    </row>
    <row r="337">
      <c r="A337" s="7" t="inlineStr">
        <is>
          <t>MAT-08-121</t>
        </is>
      </c>
      <c r="B337" s="4" t="inlineStr">
        <is>
          <t>Porcelanato de pared, 120 x 40 cm</t>
        </is>
      </c>
      <c r="C337" s="7" t="inlineStr">
        <is>
          <t>m²</t>
        </is>
      </c>
      <c r="D337" s="8" t="n">
        <v>1241.03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>
        <f>IF(COUNT(D337:P337)=0,"",MIN(D337:P337))</f>
        <v/>
      </c>
      <c r="R337" s="8">
        <f>IF(COUNT(D337:P337)=0,"",MEDIAN(D337:P337))</f>
        <v/>
      </c>
      <c r="S337" s="8">
        <f>IF(COUNT(D337:P337)=0,"",MAX(D337:P337))</f>
        <v/>
      </c>
      <c r="T337" s="9">
        <f>IF(OR(Q337="",Q337=0),"",(S337-Q337)/Q337)</f>
        <v/>
      </c>
      <c r="U337" s="7">
        <f>IF(COUNT(D337:P337)=0,"",INDEX($D$1:$P$1,MATCH(MIN(D337:P337),D337:P337,0)))</f>
        <v/>
      </c>
      <c r="V337" s="8" t="n">
        <v>1540.39</v>
      </c>
      <c r="W337" s="10" t="n">
        <v>1</v>
      </c>
    </row>
    <row r="338">
      <c r="A338" s="7" t="inlineStr">
        <is>
          <t>MAT-08-122</t>
        </is>
      </c>
      <c r="B338" s="4" t="inlineStr">
        <is>
          <t>Porcelanato de pared, 120 x 45 cm</t>
        </is>
      </c>
      <c r="C338" s="7" t="inlineStr">
        <is>
          <t>m²</t>
        </is>
      </c>
      <c r="D338" s="8" t="n"/>
      <c r="E338" s="8" t="n"/>
      <c r="F338" s="8" t="n">
        <v>1645.33</v>
      </c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>
        <f>IF(COUNT(D338:P338)=0,"",MIN(D338:P338))</f>
        <v/>
      </c>
      <c r="R338" s="8">
        <f>IF(COUNT(D338:P338)=0,"",MEDIAN(D338:P338))</f>
        <v/>
      </c>
      <c r="S338" s="8">
        <f>IF(COUNT(D338:P338)=0,"",MAX(D338:P338))</f>
        <v/>
      </c>
      <c r="T338" s="9">
        <f>IF(OR(Q338="",Q338=0),"",(S338-Q338)/Q338)</f>
        <v/>
      </c>
      <c r="U338" s="7">
        <f>IF(COUNT(D338:P338)=0,"",INDEX($D$1:$P$1,MATCH(MIN(D338:P338),D338:P338,0)))</f>
        <v/>
      </c>
      <c r="V338" s="8" t="n">
        <v>2022.32</v>
      </c>
      <c r="W338" s="10" t="n">
        <v>1</v>
      </c>
    </row>
    <row r="339">
      <c r="A339" s="7" t="inlineStr">
        <is>
          <t>MAT-08-123</t>
        </is>
      </c>
      <c r="B339" s="4" t="inlineStr">
        <is>
          <t>Porcelanato de pared, 120 x 60 cm</t>
        </is>
      </c>
      <c r="C339" s="7" t="inlineStr">
        <is>
          <t>m²</t>
        </is>
      </c>
      <c r="D339" s="8" t="n">
        <v>1708.56</v>
      </c>
      <c r="E339" s="8" t="n"/>
      <c r="F339" s="8" t="n">
        <v>996.8</v>
      </c>
      <c r="G339" s="8" t="n"/>
      <c r="H339" s="8" t="n">
        <v>2589.99</v>
      </c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>
        <f>IF(COUNT(D339:P339)=0,"",MIN(D339:P339))</f>
        <v/>
      </c>
      <c r="R339" s="8">
        <f>IF(COUNT(D339:P339)=0,"",MEDIAN(D339:P339))</f>
        <v/>
      </c>
      <c r="S339" s="8">
        <f>IF(COUNT(D339:P339)=0,"",MAX(D339:P339))</f>
        <v/>
      </c>
      <c r="T339" s="9">
        <f>IF(OR(Q339="",Q339=0),"",(S339-Q339)/Q339)</f>
        <v/>
      </c>
      <c r="U339" s="7">
        <f>IF(COUNT(D339:P339)=0,"",INDEX($D$1:$P$1,MATCH(MIN(D339:P339),D339:P339,0)))</f>
        <v/>
      </c>
      <c r="V339" s="8" t="n">
        <v>1811.22</v>
      </c>
      <c r="W339" s="10" t="n">
        <v>3</v>
      </c>
    </row>
    <row r="340">
      <c r="A340" s="7" t="inlineStr">
        <is>
          <t>MAT-08-124</t>
        </is>
      </c>
      <c r="B340" s="4" t="inlineStr">
        <is>
          <t>Porcelanato de pared, 15 x 15 cm</t>
        </is>
      </c>
      <c r="C340" s="7" t="inlineStr">
        <is>
          <t>m²</t>
        </is>
      </c>
      <c r="D340" s="8" t="n">
        <v>516.5599999999999</v>
      </c>
      <c r="E340" s="8" t="n"/>
      <c r="F340" s="8" t="n">
        <v>1237.02</v>
      </c>
      <c r="G340" s="8" t="n"/>
      <c r="H340" s="8" t="n">
        <v>3349.82</v>
      </c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>
        <f>IF(COUNT(D340:P340)=0,"",MIN(D340:P340))</f>
        <v/>
      </c>
      <c r="R340" s="8">
        <f>IF(COUNT(D340:P340)=0,"",MEDIAN(D340:P340))</f>
        <v/>
      </c>
      <c r="S340" s="8">
        <f>IF(COUNT(D340:P340)=0,"",MAX(D340:P340))</f>
        <v/>
      </c>
      <c r="T340" s="9">
        <f>IF(OR(Q340="",Q340=0),"",(S340-Q340)/Q340)</f>
        <v/>
      </c>
      <c r="U340" s="7">
        <f>IF(COUNT(D340:P340)=0,"",INDEX($D$1:$P$1,MATCH(MIN(D340:P340),D340:P340,0)))</f>
        <v/>
      </c>
      <c r="V340" s="8" t="n">
        <v>2988.15</v>
      </c>
      <c r="W340" s="10" t="n">
        <v>3</v>
      </c>
    </row>
    <row r="341">
      <c r="A341" s="7" t="inlineStr">
        <is>
          <t>MAT-08-125</t>
        </is>
      </c>
      <c r="B341" s="4" t="inlineStr">
        <is>
          <t>Porcelanato de pared, 20 x 20 cm</t>
        </is>
      </c>
      <c r="C341" s="7" t="inlineStr">
        <is>
          <t>m²</t>
        </is>
      </c>
      <c r="D341" s="8" t="n"/>
      <c r="E341" s="8" t="n"/>
      <c r="F341" s="8" t="n">
        <v>1437.07</v>
      </c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>
        <f>IF(COUNT(D341:P341)=0,"",MIN(D341:P341))</f>
        <v/>
      </c>
      <c r="R341" s="8">
        <f>IF(COUNT(D341:P341)=0,"",MEDIAN(D341:P341))</f>
        <v/>
      </c>
      <c r="S341" s="8">
        <f>IF(COUNT(D341:P341)=0,"",MAX(D341:P341))</f>
        <v/>
      </c>
      <c r="T341" s="9">
        <f>IF(OR(Q341="",Q341=0),"",(S341-Q341)/Q341)</f>
        <v/>
      </c>
      <c r="U341" s="7">
        <f>IF(COUNT(D341:P341)=0,"",INDEX($D$1:$P$1,MATCH(MIN(D341:P341),D341:P341,0)))</f>
        <v/>
      </c>
      <c r="V341" s="8" t="n">
        <v>2678.99</v>
      </c>
      <c r="W341" s="10" t="n">
        <v>1</v>
      </c>
    </row>
    <row r="342">
      <c r="A342" s="7" t="inlineStr">
        <is>
          <t>MAT-08-126</t>
        </is>
      </c>
      <c r="B342" s="4" t="inlineStr">
        <is>
          <t>Porcelanato de pared, 25 x 14 cm</t>
        </is>
      </c>
      <c r="C342" s="7" t="inlineStr">
        <is>
          <t>m²</t>
        </is>
      </c>
      <c r="D342" s="8" t="n"/>
      <c r="E342" s="8" t="n"/>
      <c r="F342" s="8" t="n"/>
      <c r="G342" s="8" t="n"/>
      <c r="H342" s="8" t="n">
        <v>3926.57</v>
      </c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>
        <f>IF(COUNT(D342:P342)=0,"",MIN(D342:P342))</f>
        <v/>
      </c>
      <c r="R342" s="8">
        <f>IF(COUNT(D342:P342)=0,"",MEDIAN(D342:P342))</f>
        <v/>
      </c>
      <c r="S342" s="8">
        <f>IF(COUNT(D342:P342)=0,"",MAX(D342:P342))</f>
        <v/>
      </c>
      <c r="T342" s="9">
        <f>IF(OR(Q342="",Q342=0),"",(S342-Q342)/Q342)</f>
        <v/>
      </c>
      <c r="U342" s="7">
        <f>IF(COUNT(D342:P342)=0,"",INDEX($D$1:$P$1,MATCH(MIN(D342:P342),D342:P342,0)))</f>
        <v/>
      </c>
      <c r="V342" s="8" t="n">
        <v>3926.57</v>
      </c>
      <c r="W342" s="10" t="n">
        <v>1</v>
      </c>
    </row>
    <row r="343">
      <c r="A343" s="7" t="inlineStr">
        <is>
          <t>MAT-08-127</t>
        </is>
      </c>
      <c r="B343" s="4" t="inlineStr">
        <is>
          <t>Porcelanato de pared, 25 x 22 cm</t>
        </is>
      </c>
      <c r="C343" s="7" t="inlineStr">
        <is>
          <t>m²</t>
        </is>
      </c>
      <c r="D343" s="8" t="n"/>
      <c r="E343" s="8" t="n"/>
      <c r="F343" s="8" t="n"/>
      <c r="G343" s="8" t="n"/>
      <c r="H343" s="8" t="n">
        <v>2990.03</v>
      </c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>
        <f>IF(COUNT(D343:P343)=0,"",MIN(D343:P343))</f>
        <v/>
      </c>
      <c r="R343" s="8">
        <f>IF(COUNT(D343:P343)=0,"",MEDIAN(D343:P343))</f>
        <v/>
      </c>
      <c r="S343" s="8">
        <f>IF(COUNT(D343:P343)=0,"",MAX(D343:P343))</f>
        <v/>
      </c>
      <c r="T343" s="9">
        <f>IF(OR(Q343="",Q343=0),"",(S343-Q343)/Q343)</f>
        <v/>
      </c>
      <c r="U343" s="7">
        <f>IF(COUNT(D343:P343)=0,"",INDEX($D$1:$P$1,MATCH(MIN(D343:P343),D343:P343,0)))</f>
        <v/>
      </c>
      <c r="V343" s="8" t="n">
        <v>2990.03</v>
      </c>
      <c r="W343" s="10" t="n">
        <v>1</v>
      </c>
    </row>
    <row r="344">
      <c r="A344" s="7" t="inlineStr">
        <is>
          <t>MAT-08-128</t>
        </is>
      </c>
      <c r="B344" s="4" t="inlineStr">
        <is>
          <t>Porcelanato de pared, 25 x 23 cm</t>
        </is>
      </c>
      <c r="C344" s="7" t="inlineStr">
        <is>
          <t>m²</t>
        </is>
      </c>
      <c r="D344" s="8" t="n"/>
      <c r="E344" s="8" t="n"/>
      <c r="F344" s="8" t="n">
        <v>3637.09</v>
      </c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>
        <f>IF(COUNT(D344:P344)=0,"",MIN(D344:P344))</f>
        <v/>
      </c>
      <c r="R344" s="8">
        <f>IF(COUNT(D344:P344)=0,"",MEDIAN(D344:P344))</f>
        <v/>
      </c>
      <c r="S344" s="8">
        <f>IF(COUNT(D344:P344)=0,"",MAX(D344:P344))</f>
        <v/>
      </c>
      <c r="T344" s="9">
        <f>IF(OR(Q344="",Q344=0),"",(S344-Q344)/Q344)</f>
        <v/>
      </c>
      <c r="U344" s="7">
        <f>IF(COUNT(D344:P344)=0,"",INDEX($D$1:$P$1,MATCH(MIN(D344:P344),D344:P344,0)))</f>
        <v/>
      </c>
      <c r="V344" s="8" t="n">
        <v>4291.77</v>
      </c>
      <c r="W344" s="10" t="n">
        <v>1</v>
      </c>
    </row>
    <row r="345">
      <c r="A345" s="7" t="inlineStr">
        <is>
          <t>MAT-08-129</t>
        </is>
      </c>
      <c r="B345" s="4" t="inlineStr">
        <is>
          <t>Porcelanato de pared, 30 x 30 cm</t>
        </is>
      </c>
      <c r="C345" s="7" t="inlineStr">
        <is>
          <t>m²</t>
        </is>
      </c>
      <c r="D345" s="8" t="n"/>
      <c r="E345" s="8" t="n"/>
      <c r="F345" s="8" t="n">
        <v>1838.44</v>
      </c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>
        <f>IF(COUNT(D345:P345)=0,"",MIN(D345:P345))</f>
        <v/>
      </c>
      <c r="R345" s="8">
        <f>IF(COUNT(D345:P345)=0,"",MEDIAN(D345:P345))</f>
        <v/>
      </c>
      <c r="S345" s="8">
        <f>IF(COUNT(D345:P345)=0,"",MAX(D345:P345))</f>
        <v/>
      </c>
      <c r="T345" s="9">
        <f>IF(OR(Q345="",Q345=0),"",(S345-Q345)/Q345)</f>
        <v/>
      </c>
      <c r="U345" s="7">
        <f>IF(COUNT(D345:P345)=0,"",INDEX($D$1:$P$1,MATCH(MIN(D345:P345),D345:P345,0)))</f>
        <v/>
      </c>
      <c r="V345" s="8" t="n">
        <v>2169.36</v>
      </c>
      <c r="W345" s="10" t="n">
        <v>1</v>
      </c>
    </row>
    <row r="346">
      <c r="A346" s="7" t="inlineStr">
        <is>
          <t>MAT-08-130</t>
        </is>
      </c>
      <c r="B346" s="4" t="inlineStr">
        <is>
          <t>Porcelanato de pared, 300 x 150 cm</t>
        </is>
      </c>
      <c r="C346" s="7" t="inlineStr">
        <is>
          <t>m²</t>
        </is>
      </c>
      <c r="D346" s="8" t="n"/>
      <c r="E346" s="8" t="n"/>
      <c r="F346" s="8" t="n">
        <v>6935.94</v>
      </c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>
        <f>IF(COUNT(D346:P346)=0,"",MIN(D346:P346))</f>
        <v/>
      </c>
      <c r="R346" s="8">
        <f>IF(COUNT(D346:P346)=0,"",MEDIAN(D346:P346))</f>
        <v/>
      </c>
      <c r="S346" s="8">
        <f>IF(COUNT(D346:P346)=0,"",MAX(D346:P346))</f>
        <v/>
      </c>
      <c r="T346" s="9">
        <f>IF(OR(Q346="",Q346=0),"",(S346-Q346)/Q346)</f>
        <v/>
      </c>
      <c r="U346" s="7">
        <f>IF(COUNT(D346:P346)=0,"",INDEX($D$1:$P$1,MATCH(MIN(D346:P346),D346:P346,0)))</f>
        <v/>
      </c>
      <c r="V346" s="8" t="n">
        <v>8184.41</v>
      </c>
      <c r="W346" s="10" t="n">
        <v>1</v>
      </c>
    </row>
    <row r="347">
      <c r="A347" s="7" t="inlineStr">
        <is>
          <t>MAT-08-131</t>
        </is>
      </c>
      <c r="B347" s="4" t="inlineStr">
        <is>
          <t>Porcelanato de pared, 50 x 17 cm</t>
        </is>
      </c>
      <c r="C347" s="7" t="inlineStr">
        <is>
          <t>m²</t>
        </is>
      </c>
      <c r="D347" s="8" t="n">
        <v>1550.47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>
        <f>IF(COUNT(D347:P347)=0,"",MIN(D347:P347))</f>
        <v/>
      </c>
      <c r="R347" s="8">
        <f>IF(COUNT(D347:P347)=0,"",MEDIAN(D347:P347))</f>
        <v/>
      </c>
      <c r="S347" s="8">
        <f>IF(COUNT(D347:P347)=0,"",MAX(D347:P347))</f>
        <v/>
      </c>
      <c r="T347" s="9">
        <f>IF(OR(Q347="",Q347=0),"",(S347-Q347)/Q347)</f>
        <v/>
      </c>
      <c r="U347" s="7">
        <f>IF(COUNT(D347:P347)=0,"",INDEX($D$1:$P$1,MATCH(MIN(D347:P347),D347:P347,0)))</f>
        <v/>
      </c>
      <c r="V347" s="8" t="n">
        <v>1873.88</v>
      </c>
      <c r="W347" s="10" t="n">
        <v>1</v>
      </c>
    </row>
    <row r="348">
      <c r="A348" s="7" t="inlineStr">
        <is>
          <t>MAT-08-132</t>
        </is>
      </c>
      <c r="B348" s="4" t="inlineStr">
        <is>
          <t>Porcelanato de pared, 55 x 33 cm</t>
        </is>
      </c>
      <c r="C348" s="7" t="inlineStr">
        <is>
          <t>m²</t>
        </is>
      </c>
      <c r="D348" s="8" t="n">
        <v>671.4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>
        <f>IF(COUNT(D348:P348)=0,"",MIN(D348:P348))</f>
        <v/>
      </c>
      <c r="R348" s="8">
        <f>IF(COUNT(D348:P348)=0,"",MEDIAN(D348:P348))</f>
        <v/>
      </c>
      <c r="S348" s="8">
        <f>IF(COUNT(D348:P348)=0,"",MAX(D348:P348))</f>
        <v/>
      </c>
      <c r="T348" s="9">
        <f>IF(OR(Q348="",Q348=0),"",(S348-Q348)/Q348)</f>
        <v/>
      </c>
      <c r="U348" s="7">
        <f>IF(COUNT(D348:P348)=0,"",INDEX($D$1:$P$1,MATCH(MIN(D348:P348),D348:P348,0)))</f>
        <v/>
      </c>
      <c r="V348" s="8" t="n">
        <v>839.97</v>
      </c>
      <c r="W348" s="10" t="n">
        <v>1</v>
      </c>
    </row>
    <row r="349">
      <c r="A349" s="7" t="inlineStr">
        <is>
          <t>MAT-08-133</t>
        </is>
      </c>
      <c r="B349" s="4" t="inlineStr">
        <is>
          <t>Porcelanato de pared, 60 x 30 cm</t>
        </is>
      </c>
      <c r="C349" s="7" t="inlineStr">
        <is>
          <t>m²</t>
        </is>
      </c>
      <c r="D349" s="8" t="n">
        <v>1034.85</v>
      </c>
      <c r="E349" s="8" t="n"/>
      <c r="F349" s="8" t="n">
        <v>1309.22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>
        <f>IF(COUNT(D349:P349)=0,"",MIN(D349:P349))</f>
        <v/>
      </c>
      <c r="R349" s="8">
        <f>IF(COUNT(D349:P349)=0,"",MEDIAN(D349:P349))</f>
        <v/>
      </c>
      <c r="S349" s="8">
        <f>IF(COUNT(D349:P349)=0,"",MAX(D349:P349))</f>
        <v/>
      </c>
      <c r="T349" s="9">
        <f>IF(OR(Q349="",Q349=0),"",(S349-Q349)/Q349)</f>
        <v/>
      </c>
      <c r="U349" s="7">
        <f>IF(COUNT(D349:P349)=0,"",INDEX($D$1:$P$1,MATCH(MIN(D349:P349),D349:P349,0)))</f>
        <v/>
      </c>
      <c r="V349" s="8" t="n">
        <v>1576.66</v>
      </c>
      <c r="W349" s="10" t="n">
        <v>2</v>
      </c>
    </row>
    <row r="350">
      <c r="A350" s="7" t="inlineStr">
        <is>
          <t>MAT-08-134</t>
        </is>
      </c>
      <c r="B350" s="4" t="inlineStr">
        <is>
          <t>Porcelanato de pared, 60 x 60 cm</t>
        </is>
      </c>
      <c r="C350" s="7" t="inlineStr">
        <is>
          <t>m²</t>
        </is>
      </c>
      <c r="D350" s="8" t="n"/>
      <c r="E350" s="8" t="n"/>
      <c r="F350" s="8" t="n">
        <v>1464.31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>
        <f>IF(COUNT(D350:P350)=0,"",MIN(D350:P350))</f>
        <v/>
      </c>
      <c r="R350" s="8">
        <f>IF(COUNT(D350:P350)=0,"",MEDIAN(D350:P350))</f>
        <v/>
      </c>
      <c r="S350" s="8">
        <f>IF(COUNT(D350:P350)=0,"",MAX(D350:P350))</f>
        <v/>
      </c>
      <c r="T350" s="9">
        <f>IF(OR(Q350="",Q350=0),"",(S350-Q350)/Q350)</f>
        <v/>
      </c>
      <c r="U350" s="7">
        <f>IF(COUNT(D350:P350)=0,"",INDEX($D$1:$P$1,MATCH(MIN(D350:P350),D350:P350,0)))</f>
        <v/>
      </c>
      <c r="V350" s="8" t="n">
        <v>1727.89</v>
      </c>
      <c r="W350" s="10" t="n">
        <v>1</v>
      </c>
    </row>
    <row r="351">
      <c r="A351" s="7" t="inlineStr">
        <is>
          <t>MAT-08-135</t>
        </is>
      </c>
      <c r="B351" s="4" t="inlineStr">
        <is>
          <t>Porcelanato de pared, 75 x 25 cm</t>
        </is>
      </c>
      <c r="C351" s="7" t="inlineStr">
        <is>
          <t>m²</t>
        </is>
      </c>
      <c r="D351" s="8" t="n">
        <v>796.67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>
        <f>IF(COUNT(D351:P351)=0,"",MIN(D351:P351))</f>
        <v/>
      </c>
      <c r="R351" s="8">
        <f>IF(COUNT(D351:P351)=0,"",MEDIAN(D351:P351))</f>
        <v/>
      </c>
      <c r="S351" s="8">
        <f>IF(COUNT(D351:P351)=0,"",MAX(D351:P351))</f>
        <v/>
      </c>
      <c r="T351" s="9">
        <f>IF(OR(Q351="",Q351=0),"",(S351-Q351)/Q351)</f>
        <v/>
      </c>
      <c r="U351" s="7">
        <f>IF(COUNT(D351:P351)=0,"",INDEX($D$1:$P$1,MATCH(MIN(D351:P351),D351:P351,0)))</f>
        <v/>
      </c>
      <c r="V351" s="8" t="n">
        <v>796.67</v>
      </c>
      <c r="W351" s="10" t="n">
        <v>1</v>
      </c>
    </row>
    <row r="352">
      <c r="A352" s="7" t="inlineStr">
        <is>
          <t>MAT-08-136</t>
        </is>
      </c>
      <c r="B352" s="4" t="inlineStr">
        <is>
          <t>Porcelanato de pared, 80 x 80 cm</t>
        </is>
      </c>
      <c r="C352" s="7" t="inlineStr">
        <is>
          <t>m²</t>
        </is>
      </c>
      <c r="D352" s="8" t="n"/>
      <c r="E352" s="8" t="n"/>
      <c r="F352" s="8" t="n"/>
      <c r="G352" s="8" t="n"/>
      <c r="H352" s="8" t="n">
        <v>2789.99</v>
      </c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>
        <f>IF(COUNT(D352:P352)=0,"",MIN(D352:P352))</f>
        <v/>
      </c>
      <c r="R352" s="8">
        <f>IF(COUNT(D352:P352)=0,"",MEDIAN(D352:P352))</f>
        <v/>
      </c>
      <c r="S352" s="8">
        <f>IF(COUNT(D352:P352)=0,"",MAX(D352:P352))</f>
        <v/>
      </c>
      <c r="T352" s="9">
        <f>IF(OR(Q352="",Q352=0),"",(S352-Q352)/Q352)</f>
        <v/>
      </c>
      <c r="U352" s="7">
        <f>IF(COUNT(D352:P352)=0,"",INDEX($D$1:$P$1,MATCH(MIN(D352:P352),D352:P352,0)))</f>
        <v/>
      </c>
      <c r="V352" s="8" t="n">
        <v>2789.99</v>
      </c>
      <c r="W352" s="10" t="n">
        <v>1</v>
      </c>
    </row>
    <row r="353">
      <c r="A353" s="7" t="inlineStr">
        <is>
          <t>MAT-08-137</t>
        </is>
      </c>
      <c r="B353" s="4" t="inlineStr">
        <is>
          <t>Porcelanato de pared, 90 x 30 cm</t>
        </is>
      </c>
      <c r="C353" s="7" t="inlineStr">
        <is>
          <t>m²</t>
        </is>
      </c>
      <c r="D353" s="8" t="n">
        <v>1531.25</v>
      </c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>
        <f>IF(COUNT(D353:P353)=0,"",MIN(D353:P353))</f>
        <v/>
      </c>
      <c r="R353" s="8">
        <f>IF(COUNT(D353:P353)=0,"",MEDIAN(D353:P353))</f>
        <v/>
      </c>
      <c r="S353" s="8">
        <f>IF(COUNT(D353:P353)=0,"",MAX(D353:P353))</f>
        <v/>
      </c>
      <c r="T353" s="9">
        <f>IF(OR(Q353="",Q353=0),"",(S353-Q353)/Q353)</f>
        <v/>
      </c>
      <c r="U353" s="7">
        <f>IF(COUNT(D353:P353)=0,"",INDEX($D$1:$P$1,MATCH(MIN(D353:P353),D353:P353,0)))</f>
        <v/>
      </c>
      <c r="V353" s="8" t="n">
        <v>1531.25</v>
      </c>
      <c r="W353" s="10" t="n">
        <v>1</v>
      </c>
    </row>
    <row r="354">
      <c r="A354" s="7" t="inlineStr">
        <is>
          <t>MAT-08-138</t>
        </is>
      </c>
      <c r="B354" s="4" t="inlineStr">
        <is>
          <t>Porcelanato de pared, 90 x 45 cm</t>
        </is>
      </c>
      <c r="C354" s="7" t="inlineStr">
        <is>
          <t>m²</t>
        </is>
      </c>
      <c r="D354" s="8" t="n"/>
      <c r="E354" s="8" t="n"/>
      <c r="F354" s="8" t="n">
        <v>682.2</v>
      </c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>
        <f>IF(COUNT(D354:P354)=0,"",MIN(D354:P354))</f>
        <v/>
      </c>
      <c r="R354" s="8">
        <f>IF(COUNT(D354:P354)=0,"",MEDIAN(D354:P354))</f>
        <v/>
      </c>
      <c r="S354" s="8">
        <f>IF(COUNT(D354:P354)=0,"",MAX(D354:P354))</f>
        <v/>
      </c>
      <c r="T354" s="9">
        <f>IF(OR(Q354="",Q354=0),"",(S354-Q354)/Q354)</f>
        <v/>
      </c>
      <c r="U354" s="7">
        <f>IF(COUNT(D354:P354)=0,"",INDEX($D$1:$P$1,MATCH(MIN(D354:P354),D354:P354,0)))</f>
        <v/>
      </c>
      <c r="V354" s="8" t="n">
        <v>805</v>
      </c>
      <c r="W354" s="10" t="n">
        <v>1</v>
      </c>
    </row>
    <row r="355">
      <c r="A355" s="7" t="inlineStr">
        <is>
          <t>MAT-08-139</t>
        </is>
      </c>
      <c r="B355" s="4" t="inlineStr">
        <is>
          <t>Porcelanato de piso, 100 x 100 cm</t>
        </is>
      </c>
      <c r="C355" s="7" t="inlineStr">
        <is>
          <t>m²</t>
        </is>
      </c>
      <c r="D355" s="8" t="n"/>
      <c r="E355" s="8" t="n"/>
      <c r="F355" s="8" t="n">
        <v>1566.66</v>
      </c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>
        <f>IF(COUNT(D355:P355)=0,"",MIN(D355:P355))</f>
        <v/>
      </c>
      <c r="R355" s="8">
        <f>IF(COUNT(D355:P355)=0,"",MEDIAN(D355:P355))</f>
        <v/>
      </c>
      <c r="S355" s="8">
        <f>IF(COUNT(D355:P355)=0,"",MAX(D355:P355))</f>
        <v/>
      </c>
      <c r="T355" s="9">
        <f>IF(OR(Q355="",Q355=0),"",(S355-Q355)/Q355)</f>
        <v/>
      </c>
      <c r="U355" s="7">
        <f>IF(COUNT(D355:P355)=0,"",INDEX($D$1:$P$1,MATCH(MIN(D355:P355),D355:P355,0)))</f>
        <v/>
      </c>
      <c r="V355" s="8" t="n">
        <v>2001.81</v>
      </c>
      <c r="W355" s="10" t="n">
        <v>1</v>
      </c>
    </row>
    <row r="356">
      <c r="A356" s="7" t="inlineStr">
        <is>
          <t>MAT-08-140</t>
        </is>
      </c>
      <c r="B356" s="4" t="inlineStr">
        <is>
          <t>Porcelanato de piso, 100 x 25 cm</t>
        </is>
      </c>
      <c r="C356" s="7" t="inlineStr">
        <is>
          <t>m²</t>
        </is>
      </c>
      <c r="D356" s="8" t="n">
        <v>1243.64</v>
      </c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>
        <f>IF(COUNT(D356:P356)=0,"",MIN(D356:P356))</f>
        <v/>
      </c>
      <c r="R356" s="8">
        <f>IF(COUNT(D356:P356)=0,"",MEDIAN(D356:P356))</f>
        <v/>
      </c>
      <c r="S356" s="8">
        <f>IF(COUNT(D356:P356)=0,"",MAX(D356:P356))</f>
        <v/>
      </c>
      <c r="T356" s="9">
        <f>IF(OR(Q356="",Q356=0),"",(S356-Q356)/Q356)</f>
        <v/>
      </c>
      <c r="U356" s="7">
        <f>IF(COUNT(D356:P356)=0,"",INDEX($D$1:$P$1,MATCH(MIN(D356:P356),D356:P356,0)))</f>
        <v/>
      </c>
      <c r="V356" s="8" t="n">
        <v>1269.08</v>
      </c>
      <c r="W356" s="10" t="n">
        <v>1</v>
      </c>
    </row>
    <row r="357">
      <c r="A357" s="7" t="inlineStr">
        <is>
          <t>MAT-08-141</t>
        </is>
      </c>
      <c r="B357" s="4" t="inlineStr">
        <is>
          <t>Porcelanato de piso, 113 x 55 cm</t>
        </is>
      </c>
      <c r="C357" s="7" t="inlineStr">
        <is>
          <t>m²</t>
        </is>
      </c>
      <c r="D357" s="8" t="n">
        <v>955.09</v>
      </c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>
        <f>IF(COUNT(D357:P357)=0,"",MIN(D357:P357))</f>
        <v/>
      </c>
      <c r="R357" s="8">
        <f>IF(COUNT(D357:P357)=0,"",MEDIAN(D357:P357))</f>
        <v/>
      </c>
      <c r="S357" s="8">
        <f>IF(COUNT(D357:P357)=0,"",MAX(D357:P357))</f>
        <v/>
      </c>
      <c r="T357" s="9">
        <f>IF(OR(Q357="",Q357=0),"",(S357-Q357)/Q357)</f>
        <v/>
      </c>
      <c r="U357" s="7">
        <f>IF(COUNT(D357:P357)=0,"",INDEX($D$1:$P$1,MATCH(MIN(D357:P357),D357:P357,0)))</f>
        <v/>
      </c>
      <c r="V357" s="8" t="n">
        <v>955.09</v>
      </c>
      <c r="W357" s="10" t="n">
        <v>1</v>
      </c>
    </row>
    <row r="358">
      <c r="A358" s="7" t="inlineStr">
        <is>
          <t>MAT-08-142</t>
        </is>
      </c>
      <c r="B358" s="4" t="inlineStr">
        <is>
          <t>Porcelanato de piso, 120 x 120 cm</t>
        </is>
      </c>
      <c r="C358" s="7" t="inlineStr">
        <is>
          <t>m²</t>
        </is>
      </c>
      <c r="D358" s="8" t="n"/>
      <c r="E358" s="8" t="n"/>
      <c r="F358" s="8" t="n">
        <v>2505.65</v>
      </c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>
        <f>IF(COUNT(D358:P358)=0,"",MIN(D358:P358))</f>
        <v/>
      </c>
      <c r="R358" s="8">
        <f>IF(COUNT(D358:P358)=0,"",MEDIAN(D358:P358))</f>
        <v/>
      </c>
      <c r="S358" s="8">
        <f>IF(COUNT(D358:P358)=0,"",MAX(D358:P358))</f>
        <v/>
      </c>
      <c r="T358" s="9">
        <f>IF(OR(Q358="",Q358=0),"",(S358-Q358)/Q358)</f>
        <v/>
      </c>
      <c r="U358" s="7">
        <f>IF(COUNT(D358:P358)=0,"",INDEX($D$1:$P$1,MATCH(MIN(D358:P358),D358:P358,0)))</f>
        <v/>
      </c>
      <c r="V358" s="8" t="n">
        <v>2956.72</v>
      </c>
      <c r="W358" s="10" t="n">
        <v>1</v>
      </c>
    </row>
    <row r="359">
      <c r="A359" s="7" t="inlineStr">
        <is>
          <t>MAT-08-143</t>
        </is>
      </c>
      <c r="B359" s="4" t="inlineStr">
        <is>
          <t>Porcelanato de piso, 120 x 15 cm</t>
        </is>
      </c>
      <c r="C359" s="7" t="inlineStr">
        <is>
          <t>m²</t>
        </is>
      </c>
      <c r="D359" s="8" t="n">
        <v>2570.59</v>
      </c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>
        <f>IF(COUNT(D359:P359)=0,"",MIN(D359:P359))</f>
        <v/>
      </c>
      <c r="R359" s="8">
        <f>IF(COUNT(D359:P359)=0,"",MEDIAN(D359:P359))</f>
        <v/>
      </c>
      <c r="S359" s="8">
        <f>IF(COUNT(D359:P359)=0,"",MAX(D359:P359))</f>
        <v/>
      </c>
      <c r="T359" s="9">
        <f>IF(OR(Q359="",Q359=0),"",(S359-Q359)/Q359)</f>
        <v/>
      </c>
      <c r="U359" s="7">
        <f>IF(COUNT(D359:P359)=0,"",INDEX($D$1:$P$1,MATCH(MIN(D359:P359),D359:P359,0)))</f>
        <v/>
      </c>
      <c r="V359" s="8" t="n">
        <v>3297.03</v>
      </c>
      <c r="W359" s="10" t="n">
        <v>1</v>
      </c>
    </row>
    <row r="360">
      <c r="A360" s="7" t="inlineStr">
        <is>
          <t>MAT-08-144</t>
        </is>
      </c>
      <c r="B360" s="4" t="inlineStr">
        <is>
          <t>Porcelanato de piso, 120 x 20 cm</t>
        </is>
      </c>
      <c r="C360" s="7" t="inlineStr">
        <is>
          <t>m²</t>
        </is>
      </c>
      <c r="D360" s="8" t="n">
        <v>939.3099999999999</v>
      </c>
      <c r="E360" s="8" t="n"/>
      <c r="F360" s="8" t="n">
        <v>2010.03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>
        <f>IF(COUNT(D360:P360)=0,"",MIN(D360:P360))</f>
        <v/>
      </c>
      <c r="R360" s="8">
        <f>IF(COUNT(D360:P360)=0,"",MEDIAN(D360:P360))</f>
        <v/>
      </c>
      <c r="S360" s="8">
        <f>IF(COUNT(D360:P360)=0,"",MAX(D360:P360))</f>
        <v/>
      </c>
      <c r="T360" s="9">
        <f>IF(OR(Q360="",Q360=0),"",(S360-Q360)/Q360)</f>
        <v/>
      </c>
      <c r="U360" s="7">
        <f>IF(COUNT(D360:P360)=0,"",INDEX($D$1:$P$1,MATCH(MIN(D360:P360),D360:P360,0)))</f>
        <v/>
      </c>
      <c r="V360" s="8" t="n">
        <v>1510.06</v>
      </c>
      <c r="W360" s="10" t="n">
        <v>2</v>
      </c>
    </row>
    <row r="361">
      <c r="A361" s="7" t="inlineStr">
        <is>
          <t>MAT-08-145</t>
        </is>
      </c>
      <c r="B361" s="4" t="inlineStr">
        <is>
          <t>Porcelanato de piso, 120 x 23.3 cm</t>
        </is>
      </c>
      <c r="C361" s="7" t="inlineStr">
        <is>
          <t>m²</t>
        </is>
      </c>
      <c r="D361" s="8" t="n"/>
      <c r="E361" s="8" t="n"/>
      <c r="F361" s="8" t="n"/>
      <c r="G361" s="8" t="n"/>
      <c r="H361" s="8" t="n">
        <v>1949.98</v>
      </c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>
        <f>IF(COUNT(D361:P361)=0,"",MIN(D361:P361))</f>
        <v/>
      </c>
      <c r="R361" s="8">
        <f>IF(COUNT(D361:P361)=0,"",MEDIAN(D361:P361))</f>
        <v/>
      </c>
      <c r="S361" s="8">
        <f>IF(COUNT(D361:P361)=0,"",MAX(D361:P361))</f>
        <v/>
      </c>
      <c r="T361" s="9">
        <f>IF(OR(Q361="",Q361=0),"",(S361-Q361)/Q361)</f>
        <v/>
      </c>
      <c r="U361" s="7">
        <f>IF(COUNT(D361:P361)=0,"",INDEX($D$1:$P$1,MATCH(MIN(D361:P361),D361:P361,0)))</f>
        <v/>
      </c>
      <c r="V361" s="8" t="n">
        <v>1949.98</v>
      </c>
      <c r="W361" s="10" t="n">
        <v>1</v>
      </c>
    </row>
    <row r="362">
      <c r="A362" s="7" t="inlineStr">
        <is>
          <t>MAT-08-146</t>
        </is>
      </c>
      <c r="B362" s="4" t="inlineStr">
        <is>
          <t>Porcelanato de piso, 120 x 23 cm</t>
        </is>
      </c>
      <c r="C362" s="7" t="inlineStr">
        <is>
          <t>m²</t>
        </is>
      </c>
      <c r="D362" s="8" t="n">
        <v>1122.74</v>
      </c>
      <c r="E362" s="8" t="n"/>
      <c r="F362" s="8" t="n"/>
      <c r="G362" s="8" t="n"/>
      <c r="H362" s="8" t="n">
        <v>1798</v>
      </c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>
        <f>IF(COUNT(D362:P362)=0,"",MIN(D362:P362))</f>
        <v/>
      </c>
      <c r="R362" s="8">
        <f>IF(COUNT(D362:P362)=0,"",MEDIAN(D362:P362))</f>
        <v/>
      </c>
      <c r="S362" s="8">
        <f>IF(COUNT(D362:P362)=0,"",MAX(D362:P362))</f>
        <v/>
      </c>
      <c r="T362" s="9">
        <f>IF(OR(Q362="",Q362=0),"",(S362-Q362)/Q362)</f>
        <v/>
      </c>
      <c r="U362" s="7">
        <f>IF(COUNT(D362:P362)=0,"",INDEX($D$1:$P$1,MATCH(MIN(D362:P362),D362:P362,0)))</f>
        <v/>
      </c>
      <c r="V362" s="8" t="n">
        <v>1798</v>
      </c>
      <c r="W362" s="10" t="n">
        <v>2</v>
      </c>
    </row>
    <row r="363">
      <c r="A363" s="7" t="inlineStr">
        <is>
          <t>MAT-08-147</t>
        </is>
      </c>
      <c r="B363" s="4" t="inlineStr">
        <is>
          <t>Porcelanato de piso, 120 x 40 cm</t>
        </is>
      </c>
      <c r="C363" s="7" t="inlineStr">
        <is>
          <t>m²</t>
        </is>
      </c>
      <c r="D363" s="8" t="n">
        <v>1516.36</v>
      </c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>
        <f>IF(COUNT(D363:P363)=0,"",MIN(D363:P363))</f>
        <v/>
      </c>
      <c r="R363" s="8">
        <f>IF(COUNT(D363:P363)=0,"",MEDIAN(D363:P363))</f>
        <v/>
      </c>
      <c r="S363" s="8">
        <f>IF(COUNT(D363:P363)=0,"",MAX(D363:P363))</f>
        <v/>
      </c>
      <c r="T363" s="9">
        <f>IF(OR(Q363="",Q363=0),"",(S363-Q363)/Q363)</f>
        <v/>
      </c>
      <c r="U363" s="7">
        <f>IF(COUNT(D363:P363)=0,"",INDEX($D$1:$P$1,MATCH(MIN(D363:P363),D363:P363,0)))</f>
        <v/>
      </c>
      <c r="V363" s="8" t="n">
        <v>1753.98</v>
      </c>
      <c r="W363" s="10" t="n">
        <v>1</v>
      </c>
    </row>
    <row r="364">
      <c r="A364" s="7" t="inlineStr">
        <is>
          <t>MAT-08-148</t>
        </is>
      </c>
      <c r="B364" s="4" t="inlineStr">
        <is>
          <t>Porcelanato de piso, 120 x 60 cm</t>
        </is>
      </c>
      <c r="C364" s="7" t="inlineStr">
        <is>
          <t>m²</t>
        </is>
      </c>
      <c r="D364" s="8" t="n">
        <v>819.97</v>
      </c>
      <c r="E364" s="8" t="n"/>
      <c r="F364" s="8" t="n">
        <v>909.23</v>
      </c>
      <c r="G364" s="8" t="n"/>
      <c r="H364" s="8" t="n">
        <v>1190</v>
      </c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>
        <f>IF(COUNT(D364:P364)=0,"",MIN(D364:P364))</f>
        <v/>
      </c>
      <c r="R364" s="8">
        <f>IF(COUNT(D364:P364)=0,"",MEDIAN(D364:P364))</f>
        <v/>
      </c>
      <c r="S364" s="8">
        <f>IF(COUNT(D364:P364)=0,"",MAX(D364:P364))</f>
        <v/>
      </c>
      <c r="T364" s="9">
        <f>IF(OR(Q364="",Q364=0),"",(S364-Q364)/Q364)</f>
        <v/>
      </c>
      <c r="U364" s="7">
        <f>IF(COUNT(D364:P364)=0,"",INDEX($D$1:$P$1,MATCH(MIN(D364:P364),D364:P364,0)))</f>
        <v/>
      </c>
      <c r="V364" s="8" t="n">
        <v>2249.99</v>
      </c>
      <c r="W364" s="10" t="n">
        <v>3</v>
      </c>
    </row>
    <row r="365">
      <c r="A365" s="7" t="inlineStr">
        <is>
          <t>MAT-08-149</t>
        </is>
      </c>
      <c r="B365" s="4" t="inlineStr">
        <is>
          <t>Porcelanato de piso, 160 x 80 cm</t>
        </is>
      </c>
      <c r="C365" s="7" t="inlineStr">
        <is>
          <t>m²</t>
        </is>
      </c>
      <c r="D365" s="8" t="n"/>
      <c r="E365" s="8" t="n"/>
      <c r="F365" s="8" t="n">
        <v>2029.55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>
        <f>IF(COUNT(D365:P365)=0,"",MIN(D365:P365))</f>
        <v/>
      </c>
      <c r="R365" s="8">
        <f>IF(COUNT(D365:P365)=0,"",MEDIAN(D365:P365))</f>
        <v/>
      </c>
      <c r="S365" s="8">
        <f>IF(COUNT(D365:P365)=0,"",MAX(D365:P365))</f>
        <v/>
      </c>
      <c r="T365" s="9">
        <f>IF(OR(Q365="",Q365=0),"",(S365-Q365)/Q365)</f>
        <v/>
      </c>
      <c r="U365" s="7">
        <f>IF(COUNT(D365:P365)=0,"",INDEX($D$1:$P$1,MATCH(MIN(D365:P365),D365:P365,0)))</f>
        <v/>
      </c>
      <c r="V365" s="8" t="n">
        <v>2394.87</v>
      </c>
      <c r="W365" s="10" t="n">
        <v>1</v>
      </c>
    </row>
    <row r="366">
      <c r="A366" s="7" t="inlineStr">
        <is>
          <t>MAT-08-150</t>
        </is>
      </c>
      <c r="B366" s="4" t="inlineStr">
        <is>
          <t>Porcelanato de piso, 20 x 20 cm</t>
        </is>
      </c>
      <c r="C366" s="7" t="inlineStr">
        <is>
          <t>m²</t>
        </is>
      </c>
      <c r="D366" s="8" t="n"/>
      <c r="E366" s="8" t="n"/>
      <c r="F366" s="8" t="n">
        <v>2854.33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>
        <f>IF(COUNT(D366:P366)=0,"",MIN(D366:P366))</f>
        <v/>
      </c>
      <c r="R366" s="8">
        <f>IF(COUNT(D366:P366)=0,"",MEDIAN(D366:P366))</f>
        <v/>
      </c>
      <c r="S366" s="8">
        <f>IF(COUNT(D366:P366)=0,"",MAX(D366:P366))</f>
        <v/>
      </c>
      <c r="T366" s="9">
        <f>IF(OR(Q366="",Q366=0),"",(S366-Q366)/Q366)</f>
        <v/>
      </c>
      <c r="U366" s="7">
        <f>IF(COUNT(D366:P366)=0,"",INDEX($D$1:$P$1,MATCH(MIN(D366:P366),D366:P366,0)))</f>
        <v/>
      </c>
      <c r="V366" s="8" t="n">
        <v>3368.11</v>
      </c>
      <c r="W366" s="10" t="n">
        <v>1</v>
      </c>
    </row>
    <row r="367">
      <c r="A367" s="7" t="inlineStr">
        <is>
          <t>MAT-08-151</t>
        </is>
      </c>
      <c r="B367" s="4" t="inlineStr">
        <is>
          <t>Porcelanato de piso, 33 x 33 cm</t>
        </is>
      </c>
      <c r="C367" s="7" t="inlineStr">
        <is>
          <t>m²</t>
        </is>
      </c>
      <c r="D367" s="8" t="n"/>
      <c r="E367" s="8" t="n"/>
      <c r="F367" s="8" t="n"/>
      <c r="G367" s="8" t="n"/>
      <c r="H367" s="8" t="n">
        <v>3834.91</v>
      </c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>
        <f>IF(COUNT(D367:P367)=0,"",MIN(D367:P367))</f>
        <v/>
      </c>
      <c r="R367" s="8">
        <f>IF(COUNT(D367:P367)=0,"",MEDIAN(D367:P367))</f>
        <v/>
      </c>
      <c r="S367" s="8">
        <f>IF(COUNT(D367:P367)=0,"",MAX(D367:P367))</f>
        <v/>
      </c>
      <c r="T367" s="9">
        <f>IF(OR(Q367="",Q367=0),"",(S367-Q367)/Q367)</f>
        <v/>
      </c>
      <c r="U367" s="7">
        <f>IF(COUNT(D367:P367)=0,"",INDEX($D$1:$P$1,MATCH(MIN(D367:P367),D367:P367,0)))</f>
        <v/>
      </c>
      <c r="V367" s="8" t="n">
        <v>3834.91</v>
      </c>
      <c r="W367" s="10" t="n">
        <v>1</v>
      </c>
    </row>
    <row r="368">
      <c r="A368" s="7" t="inlineStr">
        <is>
          <t>MAT-08-152</t>
        </is>
      </c>
      <c r="B368" s="4" t="inlineStr">
        <is>
          <t>Porcelanato de piso, 45 x 45 cm</t>
        </is>
      </c>
      <c r="C368" s="7" t="inlineStr">
        <is>
          <t>m²</t>
        </is>
      </c>
      <c r="D368" s="8" t="n">
        <v>581.79</v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>
        <f>IF(COUNT(D368:P368)=0,"",MIN(D368:P368))</f>
        <v/>
      </c>
      <c r="R368" s="8">
        <f>IF(COUNT(D368:P368)=0,"",MEDIAN(D368:P368))</f>
        <v/>
      </c>
      <c r="S368" s="8">
        <f>IF(COUNT(D368:P368)=0,"",MAX(D368:P368))</f>
        <v/>
      </c>
      <c r="T368" s="9">
        <f>IF(OR(Q368="",Q368=0),"",(S368-Q368)/Q368)</f>
        <v/>
      </c>
      <c r="U368" s="7">
        <f>IF(COUNT(D368:P368)=0,"",INDEX($D$1:$P$1,MATCH(MIN(D368:P368),D368:P368,0)))</f>
        <v/>
      </c>
      <c r="V368" s="8" t="n">
        <v>760.16</v>
      </c>
      <c r="W368" s="10" t="n">
        <v>1</v>
      </c>
    </row>
    <row r="369">
      <c r="A369" s="7" t="inlineStr">
        <is>
          <t>MAT-08-153</t>
        </is>
      </c>
      <c r="B369" s="4" t="inlineStr">
        <is>
          <t>Porcelanato de piso, 50 x 50 cm</t>
        </is>
      </c>
      <c r="C369" s="7" t="inlineStr">
        <is>
          <t>m²</t>
        </is>
      </c>
      <c r="D369" s="8" t="n">
        <v>1035.48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>
        <f>IF(COUNT(D369:P369)=0,"",MIN(D369:P369))</f>
        <v/>
      </c>
      <c r="R369" s="8">
        <f>IF(COUNT(D369:P369)=0,"",MEDIAN(D369:P369))</f>
        <v/>
      </c>
      <c r="S369" s="8">
        <f>IF(COUNT(D369:P369)=0,"",MAX(D369:P369))</f>
        <v/>
      </c>
      <c r="T369" s="9">
        <f>IF(OR(Q369="",Q369=0),"",(S369-Q369)/Q369)</f>
        <v/>
      </c>
      <c r="U369" s="7">
        <f>IF(COUNT(D369:P369)=0,"",INDEX($D$1:$P$1,MATCH(MIN(D369:P369),D369:P369,0)))</f>
        <v/>
      </c>
      <c r="V369" s="8" t="n">
        <v>1035.48</v>
      </c>
      <c r="W369" s="10" t="n">
        <v>1</v>
      </c>
    </row>
    <row r="370">
      <c r="A370" s="7" t="inlineStr">
        <is>
          <t>MAT-08-154</t>
        </is>
      </c>
      <c r="B370" s="4" t="inlineStr">
        <is>
          <t>Porcelanato de piso, 58 x 19 cm</t>
        </is>
      </c>
      <c r="C370" s="7" t="inlineStr">
        <is>
          <t>m²</t>
        </is>
      </c>
      <c r="D370" s="8" t="n">
        <v>772.01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>
        <f>IF(COUNT(D370:P370)=0,"",MIN(D370:P370))</f>
        <v/>
      </c>
      <c r="R370" s="8">
        <f>IF(COUNT(D370:P370)=0,"",MEDIAN(D370:P370))</f>
        <v/>
      </c>
      <c r="S370" s="8">
        <f>IF(COUNT(D370:P370)=0,"",MAX(D370:P370))</f>
        <v/>
      </c>
      <c r="T370" s="9">
        <f>IF(OR(Q370="",Q370=0),"",(S370-Q370)/Q370)</f>
        <v/>
      </c>
      <c r="U370" s="7">
        <f>IF(COUNT(D370:P370)=0,"",INDEX($D$1:$P$1,MATCH(MIN(D370:P370),D370:P370,0)))</f>
        <v/>
      </c>
      <c r="V370" s="8" t="n">
        <v>777.65</v>
      </c>
      <c r="W370" s="10" t="n">
        <v>1</v>
      </c>
    </row>
    <row r="371">
      <c r="A371" s="7" t="inlineStr">
        <is>
          <t>MAT-08-155</t>
        </is>
      </c>
      <c r="B371" s="4" t="inlineStr">
        <is>
          <t>Porcelanato de piso, 58 x 58 cm</t>
        </is>
      </c>
      <c r="C371" s="7" t="inlineStr">
        <is>
          <t>m²</t>
        </is>
      </c>
      <c r="D371" s="8" t="n">
        <v>998.99</v>
      </c>
      <c r="E371" s="8" t="n"/>
      <c r="F371" s="8" t="n"/>
      <c r="G371" s="8" t="n"/>
      <c r="H371" s="8" t="n">
        <v>1689.98</v>
      </c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>
        <f>IF(COUNT(D371:P371)=0,"",MIN(D371:P371))</f>
        <v/>
      </c>
      <c r="R371" s="8">
        <f>IF(COUNT(D371:P371)=0,"",MEDIAN(D371:P371))</f>
        <v/>
      </c>
      <c r="S371" s="8">
        <f>IF(COUNT(D371:P371)=0,"",MAX(D371:P371))</f>
        <v/>
      </c>
      <c r="T371" s="9">
        <f>IF(OR(Q371="",Q371=0),"",(S371-Q371)/Q371)</f>
        <v/>
      </c>
      <c r="U371" s="7">
        <f>IF(COUNT(D371:P371)=0,"",INDEX($D$1:$P$1,MATCH(MIN(D371:P371),D371:P371,0)))</f>
        <v/>
      </c>
      <c r="V371" s="8" t="n">
        <v>1344.49</v>
      </c>
      <c r="W371" s="10" t="n">
        <v>2</v>
      </c>
    </row>
    <row r="372">
      <c r="A372" s="7" t="inlineStr">
        <is>
          <t>MAT-08-156</t>
        </is>
      </c>
      <c r="B372" s="4" t="inlineStr">
        <is>
          <t>Porcelanato de piso, 60 x 30 cm</t>
        </is>
      </c>
      <c r="C372" s="7" t="inlineStr">
        <is>
          <t>m²</t>
        </is>
      </c>
      <c r="D372" s="8" t="n">
        <v>988.04</v>
      </c>
      <c r="E372" s="8" t="n"/>
      <c r="F372" s="8" t="n">
        <v>1789.91</v>
      </c>
      <c r="G372" s="8" t="n"/>
      <c r="H372" s="8" t="n">
        <v>1350.02</v>
      </c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>
        <f>IF(COUNT(D372:P372)=0,"",MIN(D372:P372))</f>
        <v/>
      </c>
      <c r="R372" s="8">
        <f>IF(COUNT(D372:P372)=0,"",MEDIAN(D372:P372))</f>
        <v/>
      </c>
      <c r="S372" s="8">
        <f>IF(COUNT(D372:P372)=0,"",MAX(D372:P372))</f>
        <v/>
      </c>
      <c r="T372" s="9">
        <f>IF(OR(Q372="",Q372=0),"",(S372-Q372)/Q372)</f>
        <v/>
      </c>
      <c r="U372" s="7">
        <f>IF(COUNT(D372:P372)=0,"",INDEX($D$1:$P$1,MATCH(MIN(D372:P372),D372:P372,0)))</f>
        <v/>
      </c>
      <c r="V372" s="8" t="n">
        <v>1349.62</v>
      </c>
      <c r="W372" s="10" t="n">
        <v>3</v>
      </c>
    </row>
    <row r="373">
      <c r="A373" s="7" t="inlineStr">
        <is>
          <t>MAT-08-157</t>
        </is>
      </c>
      <c r="B373" s="4" t="inlineStr">
        <is>
          <t>Porcelanato de piso, 60 x 60 cm</t>
        </is>
      </c>
      <c r="C373" s="7" t="inlineStr">
        <is>
          <t>m²</t>
        </is>
      </c>
      <c r="D373" s="8" t="n"/>
      <c r="E373" s="8" t="n"/>
      <c r="F373" s="8" t="n">
        <v>570.53</v>
      </c>
      <c r="G373" s="8" t="n"/>
      <c r="H373" s="8" t="n">
        <v>1190</v>
      </c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>
        <f>IF(COUNT(D373:P373)=0,"",MIN(D373:P373))</f>
        <v/>
      </c>
      <c r="R373" s="8">
        <f>IF(COUNT(D373:P373)=0,"",MEDIAN(D373:P373))</f>
        <v/>
      </c>
      <c r="S373" s="8">
        <f>IF(COUNT(D373:P373)=0,"",MAX(D373:P373))</f>
        <v/>
      </c>
      <c r="T373" s="9">
        <f>IF(OR(Q373="",Q373=0),"",(S373-Q373)/Q373)</f>
        <v/>
      </c>
      <c r="U373" s="7">
        <f>IF(COUNT(D373:P373)=0,"",INDEX($D$1:$P$1,MATCH(MIN(D373:P373),D373:P373,0)))</f>
        <v/>
      </c>
      <c r="V373" s="8" t="n">
        <v>1190</v>
      </c>
      <c r="W373" s="10" t="n">
        <v>2</v>
      </c>
    </row>
    <row r="374">
      <c r="A374" s="7" t="inlineStr">
        <is>
          <t>MAT-08-158</t>
        </is>
      </c>
      <c r="B374" s="4" t="inlineStr">
        <is>
          <t>Porcelanato de piso, 75 x 75 cm</t>
        </is>
      </c>
      <c r="C374" s="7" t="inlineStr">
        <is>
          <t>m²</t>
        </is>
      </c>
      <c r="D374" s="8" t="n"/>
      <c r="E374" s="8" t="n"/>
      <c r="F374" s="8" t="n">
        <v>690.22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>
        <f>IF(COUNT(D374:P374)=0,"",MIN(D374:P374))</f>
        <v/>
      </c>
      <c r="R374" s="8">
        <f>IF(COUNT(D374:P374)=0,"",MEDIAN(D374:P374))</f>
        <v/>
      </c>
      <c r="S374" s="8">
        <f>IF(COUNT(D374:P374)=0,"",MAX(D374:P374))</f>
        <v/>
      </c>
      <c r="T374" s="9">
        <f>IF(OR(Q374="",Q374=0),"",(S374-Q374)/Q374)</f>
        <v/>
      </c>
      <c r="U374" s="7">
        <f>IF(COUNT(D374:P374)=0,"",INDEX($D$1:$P$1,MATCH(MIN(D374:P374),D374:P374,0)))</f>
        <v/>
      </c>
      <c r="V374" s="8" t="n">
        <v>983.85</v>
      </c>
      <c r="W374" s="10" t="n">
        <v>1</v>
      </c>
    </row>
    <row r="375">
      <c r="A375" s="7" t="inlineStr">
        <is>
          <t>MAT-08-159</t>
        </is>
      </c>
      <c r="B375" s="4" t="inlineStr">
        <is>
          <t>Porcelanato de piso, 80 x 80 cm</t>
        </is>
      </c>
      <c r="C375" s="7" t="inlineStr">
        <is>
          <t>m²</t>
        </is>
      </c>
      <c r="D375" s="8" t="n"/>
      <c r="E375" s="8" t="n"/>
      <c r="F375" s="8" t="n">
        <v>877.6900000000001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>
        <f>IF(COUNT(D375:P375)=0,"",MIN(D375:P375))</f>
        <v/>
      </c>
      <c r="R375" s="8">
        <f>IF(COUNT(D375:P375)=0,"",MEDIAN(D375:P375))</f>
        <v/>
      </c>
      <c r="S375" s="8">
        <f>IF(COUNT(D375:P375)=0,"",MAX(D375:P375))</f>
        <v/>
      </c>
      <c r="T375" s="9">
        <f>IF(OR(Q375="",Q375=0),"",(S375-Q375)/Q375)</f>
        <v/>
      </c>
      <c r="U375" s="7">
        <f>IF(COUNT(D375:P375)=0,"",INDEX($D$1:$P$1,MATCH(MIN(D375:P375),D375:P375,0)))</f>
        <v/>
      </c>
      <c r="V375" s="8" t="n">
        <v>1035.67</v>
      </c>
      <c r="W375" s="10" t="n">
        <v>1</v>
      </c>
    </row>
    <row r="376">
      <c r="A376" s="7" t="inlineStr">
        <is>
          <t>MAT-08-160</t>
        </is>
      </c>
      <c r="B376" s="4" t="inlineStr">
        <is>
          <t>Porcelanato de piso, 85 x 22 cm</t>
        </is>
      </c>
      <c r="C376" s="7" t="inlineStr">
        <is>
          <t>m²</t>
        </is>
      </c>
      <c r="D376" s="8" t="n">
        <v>2473.17</v>
      </c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>
        <f>IF(COUNT(D376:P376)=0,"",MIN(D376:P376))</f>
        <v/>
      </c>
      <c r="R376" s="8">
        <f>IF(COUNT(D376:P376)=0,"",MEDIAN(D376:P376))</f>
        <v/>
      </c>
      <c r="S376" s="8">
        <f>IF(COUNT(D376:P376)=0,"",MAX(D376:P376))</f>
        <v/>
      </c>
      <c r="T376" s="9">
        <f>IF(OR(Q376="",Q376=0),"",(S376-Q376)/Q376)</f>
        <v/>
      </c>
      <c r="U376" s="7">
        <f>IF(COUNT(D376:P376)=0,"",INDEX($D$1:$P$1,MATCH(MIN(D376:P376),D376:P376,0)))</f>
        <v/>
      </c>
      <c r="V376" s="8" t="n">
        <v>2473.17</v>
      </c>
      <c r="W376" s="10" t="n">
        <v>1</v>
      </c>
    </row>
    <row r="377">
      <c r="A377" s="7" t="inlineStr">
        <is>
          <t>MAT-08-161</t>
        </is>
      </c>
      <c r="B377" s="4" t="inlineStr">
        <is>
          <t>Porcelanato de piso, 90 x 15 cm</t>
        </is>
      </c>
      <c r="C377" s="7" t="inlineStr">
        <is>
          <t>m²</t>
        </is>
      </c>
      <c r="D377" s="8" t="n">
        <v>1156.35</v>
      </c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>
        <f>IF(COUNT(D377:P377)=0,"",MIN(D377:P377))</f>
        <v/>
      </c>
      <c r="R377" s="8">
        <f>IF(COUNT(D377:P377)=0,"",MEDIAN(D377:P377))</f>
        <v/>
      </c>
      <c r="S377" s="8">
        <f>IF(COUNT(D377:P377)=0,"",MAX(D377:P377))</f>
        <v/>
      </c>
      <c r="T377" s="9">
        <f>IF(OR(Q377="",Q377=0),"",(S377-Q377)/Q377)</f>
        <v/>
      </c>
      <c r="U377" s="7">
        <f>IF(COUNT(D377:P377)=0,"",INDEX($D$1:$P$1,MATCH(MIN(D377:P377),D377:P377,0)))</f>
        <v/>
      </c>
      <c r="V377" s="8" t="n">
        <v>1187.6</v>
      </c>
      <c r="W377" s="10" t="n">
        <v>1</v>
      </c>
    </row>
    <row r="378">
      <c r="A378" s="7" t="inlineStr">
        <is>
          <t>MAT-08-162</t>
        </is>
      </c>
      <c r="B378" s="4" t="inlineStr">
        <is>
          <t>Porcelanato de piso, 90 x 22.5 cm</t>
        </is>
      </c>
      <c r="C378" s="7" t="inlineStr">
        <is>
          <t>m²</t>
        </is>
      </c>
      <c r="D378" s="8" t="n"/>
      <c r="E378" s="8" t="n"/>
      <c r="F378" s="8" t="n"/>
      <c r="G378" s="8" t="n"/>
      <c r="H378" s="8" t="n">
        <v>1589.97</v>
      </c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>
        <f>IF(COUNT(D378:P378)=0,"",MIN(D378:P378))</f>
        <v/>
      </c>
      <c r="R378" s="8">
        <f>IF(COUNT(D378:P378)=0,"",MEDIAN(D378:P378))</f>
        <v/>
      </c>
      <c r="S378" s="8">
        <f>IF(COUNT(D378:P378)=0,"",MAX(D378:P378))</f>
        <v/>
      </c>
      <c r="T378" s="9">
        <f>IF(OR(Q378="",Q378=0),"",(S378-Q378)/Q378)</f>
        <v/>
      </c>
      <c r="U378" s="7">
        <f>IF(COUNT(D378:P378)=0,"",INDEX($D$1:$P$1,MATCH(MIN(D378:P378),D378:P378,0)))</f>
        <v/>
      </c>
      <c r="V378" s="8" t="n">
        <v>1619.97</v>
      </c>
      <c r="W378" s="10" t="n">
        <v>1</v>
      </c>
    </row>
    <row r="379">
      <c r="A379" s="7" t="inlineStr">
        <is>
          <t>MAT-08-163</t>
        </is>
      </c>
      <c r="B379" s="4" t="inlineStr">
        <is>
          <t>Porcelanato de piso, 90 x 45 cm</t>
        </is>
      </c>
      <c r="C379" s="7" t="inlineStr">
        <is>
          <t>m²</t>
        </is>
      </c>
      <c r="D379" s="8" t="n">
        <v>818.71</v>
      </c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>
        <f>IF(COUNT(D379:P379)=0,"",MIN(D379:P379))</f>
        <v/>
      </c>
      <c r="R379" s="8">
        <f>IF(COUNT(D379:P379)=0,"",MEDIAN(D379:P379))</f>
        <v/>
      </c>
      <c r="S379" s="8">
        <f>IF(COUNT(D379:P379)=0,"",MAX(D379:P379))</f>
        <v/>
      </c>
      <c r="T379" s="9">
        <f>IF(OR(Q379="",Q379=0),"",(S379-Q379)/Q379)</f>
        <v/>
      </c>
      <c r="U379" s="7">
        <f>IF(COUNT(D379:P379)=0,"",INDEX($D$1:$P$1,MATCH(MIN(D379:P379),D379:P379,0)))</f>
        <v/>
      </c>
      <c r="V379" s="8" t="n">
        <v>1636.87</v>
      </c>
      <c r="W379" s="10" t="n">
        <v>1</v>
      </c>
    </row>
    <row r="380">
      <c r="A380" s="7" t="inlineStr">
        <is>
          <t>MAT-08-164</t>
        </is>
      </c>
      <c r="B380" s="4" t="inlineStr">
        <is>
          <t>Porcelanato de piso, 90 x 90 cm</t>
        </is>
      </c>
      <c r="C380" s="7" t="inlineStr">
        <is>
          <t>m²</t>
        </is>
      </c>
      <c r="D380" s="8" t="n"/>
      <c r="E380" s="8" t="n"/>
      <c r="F380" s="8" t="n">
        <v>1329.83</v>
      </c>
      <c r="G380" s="8" t="n"/>
      <c r="H380" s="8" t="n">
        <v>2950</v>
      </c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>
        <f>IF(COUNT(D380:P380)=0,"",MIN(D380:P380))</f>
        <v/>
      </c>
      <c r="R380" s="8">
        <f>IF(COUNT(D380:P380)=0,"",MEDIAN(D380:P380))</f>
        <v/>
      </c>
      <c r="S380" s="8">
        <f>IF(COUNT(D380:P380)=0,"",MAX(D380:P380))</f>
        <v/>
      </c>
      <c r="T380" s="9">
        <f>IF(OR(Q380="",Q380=0),"",(S380-Q380)/Q380)</f>
        <v/>
      </c>
      <c r="U380" s="7">
        <f>IF(COUNT(D380:P380)=0,"",INDEX($D$1:$P$1,MATCH(MIN(D380:P380),D380:P380,0)))</f>
        <v/>
      </c>
      <c r="V380" s="8" t="n">
        <v>1935.46</v>
      </c>
      <c r="W380" s="10" t="n">
        <v>2</v>
      </c>
    </row>
    <row r="381">
      <c r="A381" s="7" t="inlineStr">
        <is>
          <t>MAT-08-165</t>
        </is>
      </c>
      <c r="B381" s="4" t="inlineStr">
        <is>
          <t>Porcelanato de piso y pared, 100 x 30 cm</t>
        </is>
      </c>
      <c r="C381" s="7" t="inlineStr">
        <is>
          <t>m²</t>
        </is>
      </c>
      <c r="D381" s="8" t="n">
        <v>1782.68</v>
      </c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>
        <f>IF(COUNT(D381:P381)=0,"",MIN(D381:P381))</f>
        <v/>
      </c>
      <c r="R381" s="8">
        <f>IF(COUNT(D381:P381)=0,"",MEDIAN(D381:P381))</f>
        <v/>
      </c>
      <c r="S381" s="8">
        <f>IF(COUNT(D381:P381)=0,"",MAX(D381:P381))</f>
        <v/>
      </c>
      <c r="T381" s="9">
        <f>IF(OR(Q381="",Q381=0),"",(S381-Q381)/Q381)</f>
        <v/>
      </c>
      <c r="U381" s="7">
        <f>IF(COUNT(D381:P381)=0,"",INDEX($D$1:$P$1,MATCH(MIN(D381:P381),D381:P381,0)))</f>
        <v/>
      </c>
      <c r="V381" s="8" t="n">
        <v>2196.18</v>
      </c>
      <c r="W381" s="10" t="n">
        <v>1</v>
      </c>
    </row>
    <row r="382">
      <c r="A382" s="7" t="inlineStr">
        <is>
          <t>MAT-08-166</t>
        </is>
      </c>
      <c r="B382" s="4" t="inlineStr">
        <is>
          <t>Porcelanato de piso y pared, 100 x 33 cm</t>
        </is>
      </c>
      <c r="C382" s="7" t="inlineStr">
        <is>
          <t>m²</t>
        </is>
      </c>
      <c r="D382" s="8" t="n">
        <v>1466.73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>
        <f>IF(COUNT(D382:P382)=0,"",MIN(D382:P382))</f>
        <v/>
      </c>
      <c r="R382" s="8">
        <f>IF(COUNT(D382:P382)=0,"",MEDIAN(D382:P382))</f>
        <v/>
      </c>
      <c r="S382" s="8">
        <f>IF(COUNT(D382:P382)=0,"",MAX(D382:P382))</f>
        <v/>
      </c>
      <c r="T382" s="9">
        <f>IF(OR(Q382="",Q382=0),"",(S382-Q382)/Q382)</f>
        <v/>
      </c>
      <c r="U382" s="7">
        <f>IF(COUNT(D382:P382)=0,"",INDEX($D$1:$P$1,MATCH(MIN(D382:P382),D382:P382,0)))</f>
        <v/>
      </c>
      <c r="V382" s="8" t="n">
        <v>1493.28</v>
      </c>
      <c r="W382" s="10" t="n">
        <v>1</v>
      </c>
    </row>
    <row r="383">
      <c r="A383" s="7" t="inlineStr">
        <is>
          <t>MAT-08-167</t>
        </is>
      </c>
      <c r="B383" s="4" t="inlineStr">
        <is>
          <t>Porcelanato de piso y pared, 100 x 50 cm</t>
        </is>
      </c>
      <c r="C383" s="7" t="inlineStr">
        <is>
          <t>m²</t>
        </is>
      </c>
      <c r="D383" s="8" t="n">
        <v>1801.82</v>
      </c>
      <c r="E383" s="8" t="n"/>
      <c r="F383" s="8" t="n">
        <v>1296.43</v>
      </c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>
        <f>IF(COUNT(D383:P383)=0,"",MIN(D383:P383))</f>
        <v/>
      </c>
      <c r="R383" s="8">
        <f>IF(COUNT(D383:P383)=0,"",MEDIAN(D383:P383))</f>
        <v/>
      </c>
      <c r="S383" s="8">
        <f>IF(COUNT(D383:P383)=0,"",MAX(D383:P383))</f>
        <v/>
      </c>
      <c r="T383" s="9">
        <f>IF(OR(Q383="",Q383=0),"",(S383-Q383)/Q383)</f>
        <v/>
      </c>
      <c r="U383" s="7">
        <f>IF(COUNT(D383:P383)=0,"",INDEX($D$1:$P$1,MATCH(MIN(D383:P383),D383:P383,0)))</f>
        <v/>
      </c>
      <c r="V383" s="8" t="n">
        <v>1801.82</v>
      </c>
      <c r="W383" s="10" t="n">
        <v>2</v>
      </c>
    </row>
    <row r="384">
      <c r="A384" s="7" t="inlineStr">
        <is>
          <t>MAT-08-168</t>
        </is>
      </c>
      <c r="B384" s="4" t="inlineStr">
        <is>
          <t>Porcelanato de piso y pared, 120 x 11 cm</t>
        </is>
      </c>
      <c r="C384" s="7" t="inlineStr">
        <is>
          <t>m²</t>
        </is>
      </c>
      <c r="D384" s="8" t="n"/>
      <c r="E384" s="8" t="n"/>
      <c r="F384" s="8" t="n">
        <v>1900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>
        <f>IF(COUNT(D384:P384)=0,"",MIN(D384:P384))</f>
        <v/>
      </c>
      <c r="R384" s="8">
        <f>IF(COUNT(D384:P384)=0,"",MEDIAN(D384:P384))</f>
        <v/>
      </c>
      <c r="S384" s="8">
        <f>IF(COUNT(D384:P384)=0,"",MAX(D384:P384))</f>
        <v/>
      </c>
      <c r="T384" s="9">
        <f>IF(OR(Q384="",Q384=0),"",(S384-Q384)/Q384)</f>
        <v/>
      </c>
      <c r="U384" s="7">
        <f>IF(COUNT(D384:P384)=0,"",INDEX($D$1:$P$1,MATCH(MIN(D384:P384),D384:P384,0)))</f>
        <v/>
      </c>
      <c r="V384" s="8" t="n">
        <v>2242</v>
      </c>
      <c r="W384" s="10" t="n">
        <v>1</v>
      </c>
    </row>
    <row r="385">
      <c r="A385" s="7" t="inlineStr">
        <is>
          <t>MAT-08-169</t>
        </is>
      </c>
      <c r="B385" s="4" t="inlineStr">
        <is>
          <t>Porcelanato de piso y pared, 120 x 120 cm</t>
        </is>
      </c>
      <c r="C385" s="7" t="inlineStr">
        <is>
          <t>m²</t>
        </is>
      </c>
      <c r="D385" s="8" t="n">
        <v>2945.45</v>
      </c>
      <c r="E385" s="8" t="n"/>
      <c r="F385" s="8" t="n">
        <v>2151.08</v>
      </c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>
        <f>IF(COUNT(D385:P385)=0,"",MIN(D385:P385))</f>
        <v/>
      </c>
      <c r="R385" s="8">
        <f>IF(COUNT(D385:P385)=0,"",MEDIAN(D385:P385))</f>
        <v/>
      </c>
      <c r="S385" s="8">
        <f>IF(COUNT(D385:P385)=0,"",MAX(D385:P385))</f>
        <v/>
      </c>
      <c r="T385" s="9">
        <f>IF(OR(Q385="",Q385=0),"",(S385-Q385)/Q385)</f>
        <v/>
      </c>
      <c r="U385" s="7">
        <f>IF(COUNT(D385:P385)=0,"",INDEX($D$1:$P$1,MATCH(MIN(D385:P385),D385:P385,0)))</f>
        <v/>
      </c>
      <c r="V385" s="8" t="n">
        <v>2885.43</v>
      </c>
      <c r="W385" s="10" t="n">
        <v>2</v>
      </c>
    </row>
    <row r="386">
      <c r="A386" s="7" t="inlineStr">
        <is>
          <t>MAT-08-170</t>
        </is>
      </c>
      <c r="B386" s="4" t="inlineStr">
        <is>
          <t>Porcelanato de piso y pared, 120 x 20 cm</t>
        </is>
      </c>
      <c r="C386" s="7" t="inlineStr">
        <is>
          <t>m²</t>
        </is>
      </c>
      <c r="D386" s="8" t="n">
        <v>1658</v>
      </c>
      <c r="E386" s="8" t="n"/>
      <c r="F386" s="8" t="n">
        <v>1084.19</v>
      </c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>
        <f>IF(COUNT(D386:P386)=0,"",MIN(D386:P386))</f>
        <v/>
      </c>
      <c r="R386" s="8">
        <f>IF(COUNT(D386:P386)=0,"",MEDIAN(D386:P386))</f>
        <v/>
      </c>
      <c r="S386" s="8">
        <f>IF(COUNT(D386:P386)=0,"",MAX(D386:P386))</f>
        <v/>
      </c>
      <c r="T386" s="9">
        <f>IF(OR(Q386="",Q386=0),"",(S386-Q386)/Q386)</f>
        <v/>
      </c>
      <c r="U386" s="7">
        <f>IF(COUNT(D386:P386)=0,"",INDEX($D$1:$P$1,MATCH(MIN(D386:P386),D386:P386,0)))</f>
        <v/>
      </c>
      <c r="V386" s="8" t="n">
        <v>2095.03</v>
      </c>
      <c r="W386" s="10" t="n">
        <v>2</v>
      </c>
    </row>
    <row r="387">
      <c r="A387" s="7" t="inlineStr">
        <is>
          <t>MAT-08-171</t>
        </is>
      </c>
      <c r="B387" s="4" t="inlineStr">
        <is>
          <t>Porcelanato de piso y pared, 120 x 40 cm</t>
        </is>
      </c>
      <c r="C387" s="7" t="inlineStr">
        <is>
          <t>m²</t>
        </is>
      </c>
      <c r="D387" s="8" t="n">
        <v>3697.64</v>
      </c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>
        <f>IF(COUNT(D387:P387)=0,"",MIN(D387:P387))</f>
        <v/>
      </c>
      <c r="R387" s="8">
        <f>IF(COUNT(D387:P387)=0,"",MEDIAN(D387:P387))</f>
        <v/>
      </c>
      <c r="S387" s="8">
        <f>IF(COUNT(D387:P387)=0,"",MAX(D387:P387))</f>
        <v/>
      </c>
      <c r="T387" s="9">
        <f>IF(OR(Q387="",Q387=0),"",(S387-Q387)/Q387)</f>
        <v/>
      </c>
      <c r="U387" s="7">
        <f>IF(COUNT(D387:P387)=0,"",INDEX($D$1:$P$1,MATCH(MIN(D387:P387),D387:P387,0)))</f>
        <v/>
      </c>
      <c r="V387" s="8" t="n">
        <v>3697.64</v>
      </c>
      <c r="W387" s="10" t="n">
        <v>1</v>
      </c>
    </row>
    <row r="388">
      <c r="A388" s="7" t="inlineStr">
        <is>
          <t>MAT-08-172</t>
        </is>
      </c>
      <c r="B388" s="4" t="inlineStr">
        <is>
          <t>Porcelanato de piso y pared, 120 x 60 cm</t>
        </is>
      </c>
      <c r="C388" s="7" t="inlineStr">
        <is>
          <t>m²</t>
        </is>
      </c>
      <c r="D388" s="8" t="n">
        <v>819.97</v>
      </c>
      <c r="E388" s="8" t="n"/>
      <c r="F388" s="8" t="n">
        <v>909.23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>
        <f>IF(COUNT(D388:P388)=0,"",MIN(D388:P388))</f>
        <v/>
      </c>
      <c r="R388" s="8">
        <f>IF(COUNT(D388:P388)=0,"",MEDIAN(D388:P388))</f>
        <v/>
      </c>
      <c r="S388" s="8">
        <f>IF(COUNT(D388:P388)=0,"",MAX(D388:P388))</f>
        <v/>
      </c>
      <c r="T388" s="9">
        <f>IF(OR(Q388="",Q388=0),"",(S388-Q388)/Q388)</f>
        <v/>
      </c>
      <c r="U388" s="7">
        <f>IF(COUNT(D388:P388)=0,"",INDEX($D$1:$P$1,MATCH(MIN(D388:P388),D388:P388,0)))</f>
        <v/>
      </c>
      <c r="V388" s="8" t="n">
        <v>2098.99</v>
      </c>
      <c r="W388" s="10" t="n">
        <v>2</v>
      </c>
    </row>
    <row r="389">
      <c r="A389" s="7" t="inlineStr">
        <is>
          <t>MAT-08-173</t>
        </is>
      </c>
      <c r="B389" s="4" t="inlineStr">
        <is>
          <t>Porcelanato de piso y pared, 15 x 15 cm</t>
        </is>
      </c>
      <c r="C389" s="7" t="inlineStr">
        <is>
          <t>m²</t>
        </is>
      </c>
      <c r="D389" s="8" t="n"/>
      <c r="E389" s="8" t="n"/>
      <c r="F389" s="8" t="n">
        <v>2228.77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>
        <f>IF(COUNT(D389:P389)=0,"",MIN(D389:P389))</f>
        <v/>
      </c>
      <c r="R389" s="8">
        <f>IF(COUNT(D389:P389)=0,"",MEDIAN(D389:P389))</f>
        <v/>
      </c>
      <c r="S389" s="8">
        <f>IF(COUNT(D389:P389)=0,"",MAX(D389:P389))</f>
        <v/>
      </c>
      <c r="T389" s="9">
        <f>IF(OR(Q389="",Q389=0),"",(S389-Q389)/Q389)</f>
        <v/>
      </c>
      <c r="U389" s="7">
        <f>IF(COUNT(D389:P389)=0,"",INDEX($D$1:$P$1,MATCH(MIN(D389:P389),D389:P389,0)))</f>
        <v/>
      </c>
      <c r="V389" s="8" t="n">
        <v>2629.95</v>
      </c>
      <c r="W389" s="10" t="n">
        <v>1</v>
      </c>
    </row>
    <row r="390">
      <c r="A390" s="7" t="inlineStr">
        <is>
          <t>MAT-08-174</t>
        </is>
      </c>
      <c r="B390" s="4" t="inlineStr">
        <is>
          <t>Porcelanato de piso y pared, 160 x 80 cm</t>
        </is>
      </c>
      <c r="C390" s="7" t="inlineStr">
        <is>
          <t>m²</t>
        </is>
      </c>
      <c r="D390" s="8" t="n"/>
      <c r="E390" s="8" t="n"/>
      <c r="F390" s="8" t="n">
        <v>2039.29</v>
      </c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>
        <f>IF(COUNT(D390:P390)=0,"",MIN(D390:P390))</f>
        <v/>
      </c>
      <c r="R390" s="8">
        <f>IF(COUNT(D390:P390)=0,"",MEDIAN(D390:P390))</f>
        <v/>
      </c>
      <c r="S390" s="8">
        <f>IF(COUNT(D390:P390)=0,"",MAX(D390:P390))</f>
        <v/>
      </c>
      <c r="T390" s="9">
        <f>IF(OR(Q390="",Q390=0),"",(S390-Q390)/Q390)</f>
        <v/>
      </c>
      <c r="U390" s="7">
        <f>IF(COUNT(D390:P390)=0,"",INDEX($D$1:$P$1,MATCH(MIN(D390:P390),D390:P390,0)))</f>
        <v/>
      </c>
      <c r="V390" s="8" t="n">
        <v>2406.36</v>
      </c>
      <c r="W390" s="10" t="n">
        <v>1</v>
      </c>
    </row>
    <row r="391">
      <c r="A391" s="7" t="inlineStr">
        <is>
          <t>MAT-08-175</t>
        </is>
      </c>
      <c r="B391" s="4" t="inlineStr">
        <is>
          <t>Porcelanato de piso y pared, 180 x 80 cm</t>
        </is>
      </c>
      <c r="C391" s="7" t="inlineStr">
        <is>
          <t>m²</t>
        </is>
      </c>
      <c r="D391" s="8" t="n"/>
      <c r="E391" s="8" t="n"/>
      <c r="F391" s="8" t="n">
        <v>4724.25</v>
      </c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>
        <f>IF(COUNT(D391:P391)=0,"",MIN(D391:P391))</f>
        <v/>
      </c>
      <c r="R391" s="8">
        <f>IF(COUNT(D391:P391)=0,"",MEDIAN(D391:P391))</f>
        <v/>
      </c>
      <c r="S391" s="8">
        <f>IF(COUNT(D391:P391)=0,"",MAX(D391:P391))</f>
        <v/>
      </c>
      <c r="T391" s="9">
        <f>IF(OR(Q391="",Q391=0),"",(S391-Q391)/Q391)</f>
        <v/>
      </c>
      <c r="U391" s="7">
        <f>IF(COUNT(D391:P391)=0,"",INDEX($D$1:$P$1,MATCH(MIN(D391:P391),D391:P391,0)))</f>
        <v/>
      </c>
      <c r="V391" s="8" t="n">
        <v>5709.64</v>
      </c>
      <c r="W391" s="10" t="n">
        <v>1</v>
      </c>
    </row>
    <row r="392">
      <c r="A392" s="7" t="inlineStr">
        <is>
          <t>MAT-08-176</t>
        </is>
      </c>
      <c r="B392" s="4" t="inlineStr">
        <is>
          <t>Porcelanato de piso y pared, 180 x 90 cm</t>
        </is>
      </c>
      <c r="C392" s="7" t="inlineStr">
        <is>
          <t>m²</t>
        </is>
      </c>
      <c r="D392" s="8" t="n">
        <v>3376.66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>
        <f>IF(COUNT(D392:P392)=0,"",MIN(D392:P392))</f>
        <v/>
      </c>
      <c r="R392" s="8">
        <f>IF(COUNT(D392:P392)=0,"",MEDIAN(D392:P392))</f>
        <v/>
      </c>
      <c r="S392" s="8">
        <f>IF(COUNT(D392:P392)=0,"",MAX(D392:P392))</f>
        <v/>
      </c>
      <c r="T392" s="9">
        <f>IF(OR(Q392="",Q392=0),"",(S392-Q392)/Q392)</f>
        <v/>
      </c>
      <c r="U392" s="7">
        <f>IF(COUNT(D392:P392)=0,"",INDEX($D$1:$P$1,MATCH(MIN(D392:P392),D392:P392,0)))</f>
        <v/>
      </c>
      <c r="V392" s="8" t="n">
        <v>3376.66</v>
      </c>
      <c r="W392" s="10" t="n">
        <v>1</v>
      </c>
    </row>
    <row r="393">
      <c r="A393" s="7" t="inlineStr">
        <is>
          <t>MAT-08-177</t>
        </is>
      </c>
      <c r="B393" s="4" t="inlineStr">
        <is>
          <t>Porcelanato de piso y pared, 23 x 20 cm</t>
        </is>
      </c>
      <c r="C393" s="7" t="inlineStr">
        <is>
          <t>m²</t>
        </is>
      </c>
      <c r="D393" s="8" t="n"/>
      <c r="E393" s="8" t="n"/>
      <c r="F393" s="8" t="n">
        <v>2075.61</v>
      </c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>
        <f>IF(COUNT(D393:P393)=0,"",MIN(D393:P393))</f>
        <v/>
      </c>
      <c r="R393" s="8">
        <f>IF(COUNT(D393:P393)=0,"",MEDIAN(D393:P393))</f>
        <v/>
      </c>
      <c r="S393" s="8">
        <f>IF(COUNT(D393:P393)=0,"",MAX(D393:P393))</f>
        <v/>
      </c>
      <c r="T393" s="9">
        <f>IF(OR(Q393="",Q393=0),"",(S393-Q393)/Q393)</f>
        <v/>
      </c>
      <c r="U393" s="7">
        <f>IF(COUNT(D393:P393)=0,"",INDEX($D$1:$P$1,MATCH(MIN(D393:P393),D393:P393,0)))</f>
        <v/>
      </c>
      <c r="V393" s="8" t="n">
        <v>2449.22</v>
      </c>
      <c r="W393" s="10" t="n">
        <v>1</v>
      </c>
    </row>
    <row r="394">
      <c r="A394" s="7" t="inlineStr">
        <is>
          <t>MAT-08-178</t>
        </is>
      </c>
      <c r="B394" s="4" t="inlineStr">
        <is>
          <t>Porcelanato de piso y pared, 240 x 120 cm</t>
        </is>
      </c>
      <c r="C394" s="7" t="inlineStr">
        <is>
          <t>m²</t>
        </is>
      </c>
      <c r="D394" s="8" t="n"/>
      <c r="E394" s="8" t="n"/>
      <c r="F394" s="8" t="n">
        <v>5783.22</v>
      </c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>
        <f>IF(COUNT(D394:P394)=0,"",MIN(D394:P394))</f>
        <v/>
      </c>
      <c r="R394" s="8">
        <f>IF(COUNT(D394:P394)=0,"",MEDIAN(D394:P394))</f>
        <v/>
      </c>
      <c r="S394" s="8">
        <f>IF(COUNT(D394:P394)=0,"",MAX(D394:P394))</f>
        <v/>
      </c>
      <c r="T394" s="9">
        <f>IF(OR(Q394="",Q394=0),"",(S394-Q394)/Q394)</f>
        <v/>
      </c>
      <c r="U394" s="7">
        <f>IF(COUNT(D394:P394)=0,"",INDEX($D$1:$P$1,MATCH(MIN(D394:P394),D394:P394,0)))</f>
        <v/>
      </c>
      <c r="V394" s="8" t="n">
        <v>7223.87</v>
      </c>
      <c r="W394" s="10" t="n">
        <v>1</v>
      </c>
    </row>
    <row r="395">
      <c r="A395" s="7" t="inlineStr">
        <is>
          <t>MAT-08-179</t>
        </is>
      </c>
      <c r="B395" s="4" t="inlineStr">
        <is>
          <t>Porcelanato de piso y pared, 270 x 120 cm</t>
        </is>
      </c>
      <c r="C395" s="7" t="inlineStr">
        <is>
          <t>m²</t>
        </is>
      </c>
      <c r="D395" s="8" t="n"/>
      <c r="E395" s="8" t="n"/>
      <c r="F395" s="8" t="n">
        <v>4879.76</v>
      </c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>
        <f>IF(COUNT(D395:P395)=0,"",MIN(D395:P395))</f>
        <v/>
      </c>
      <c r="R395" s="8">
        <f>IF(COUNT(D395:P395)=0,"",MEDIAN(D395:P395))</f>
        <v/>
      </c>
      <c r="S395" s="8">
        <f>IF(COUNT(D395:P395)=0,"",MAX(D395:P395))</f>
        <v/>
      </c>
      <c r="T395" s="9">
        <f>IF(OR(Q395="",Q395=0),"",(S395-Q395)/Q395)</f>
        <v/>
      </c>
      <c r="U395" s="7">
        <f>IF(COUNT(D395:P395)=0,"",INDEX($D$1:$P$1,MATCH(MIN(D395:P395),D395:P395,0)))</f>
        <v/>
      </c>
      <c r="V395" s="8" t="n">
        <v>5758.12</v>
      </c>
      <c r="W395" s="10" t="n">
        <v>1</v>
      </c>
    </row>
    <row r="396">
      <c r="A396" s="7" t="inlineStr">
        <is>
          <t>MAT-08-180</t>
        </is>
      </c>
      <c r="B396" s="4" t="inlineStr">
        <is>
          <t>Porcelanato de piso y pared, 280 x 120 cm</t>
        </is>
      </c>
      <c r="C396" s="7" t="inlineStr">
        <is>
          <t>m²</t>
        </is>
      </c>
      <c r="D396" s="8" t="n"/>
      <c r="E396" s="8" t="n"/>
      <c r="F396" s="8" t="n">
        <v>5799.85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>
        <f>IF(COUNT(D396:P396)=0,"",MIN(D396:P396))</f>
        <v/>
      </c>
      <c r="R396" s="8">
        <f>IF(COUNT(D396:P396)=0,"",MEDIAN(D396:P396))</f>
        <v/>
      </c>
      <c r="S396" s="8">
        <f>IF(COUNT(D396:P396)=0,"",MAX(D396:P396))</f>
        <v/>
      </c>
      <c r="T396" s="9">
        <f>IF(OR(Q396="",Q396=0),"",(S396-Q396)/Q396)</f>
        <v/>
      </c>
      <c r="U396" s="7">
        <f>IF(COUNT(D396:P396)=0,"",INDEX($D$1:$P$1,MATCH(MIN(D396:P396),D396:P396,0)))</f>
        <v/>
      </c>
      <c r="V396" s="8" t="n">
        <v>7278.68</v>
      </c>
      <c r="W396" s="10" t="n">
        <v>1</v>
      </c>
    </row>
    <row r="397">
      <c r="A397" s="7" t="inlineStr">
        <is>
          <t>MAT-08-181</t>
        </is>
      </c>
      <c r="B397" s="4" t="inlineStr">
        <is>
          <t>Porcelanato de piso y pared, 30 x 10 cm</t>
        </is>
      </c>
      <c r="C397" s="7" t="inlineStr">
        <is>
          <t>m²</t>
        </is>
      </c>
      <c r="D397" s="8" t="n"/>
      <c r="E397" s="8" t="n"/>
      <c r="F397" s="8" t="n">
        <v>2402.66</v>
      </c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>
        <f>IF(COUNT(D397:P397)=0,"",MIN(D397:P397))</f>
        <v/>
      </c>
      <c r="R397" s="8">
        <f>IF(COUNT(D397:P397)=0,"",MEDIAN(D397:P397))</f>
        <v/>
      </c>
      <c r="S397" s="8">
        <f>IF(COUNT(D397:P397)=0,"",MAX(D397:P397))</f>
        <v/>
      </c>
      <c r="T397" s="9">
        <f>IF(OR(Q397="",Q397=0),"",(S397-Q397)/Q397)</f>
        <v/>
      </c>
      <c r="U397" s="7">
        <f>IF(COUNT(D397:P397)=0,"",INDEX($D$1:$P$1,MATCH(MIN(D397:P397),D397:P397,0)))</f>
        <v/>
      </c>
      <c r="V397" s="8" t="n">
        <v>2835.14</v>
      </c>
      <c r="W397" s="10" t="n">
        <v>1</v>
      </c>
    </row>
    <row r="398">
      <c r="A398" s="7" t="inlineStr">
        <is>
          <t>MAT-08-182</t>
        </is>
      </c>
      <c r="B398" s="4" t="inlineStr">
        <is>
          <t>Porcelanato de piso y pared, 30 x 30 cm</t>
        </is>
      </c>
      <c r="C398" s="7" t="inlineStr">
        <is>
          <t>m²</t>
        </is>
      </c>
      <c r="D398" s="8" t="n">
        <v>812.1</v>
      </c>
      <c r="E398" s="8" t="n"/>
      <c r="F398" s="8" t="n">
        <v>2244.92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>
        <f>IF(COUNT(D398:P398)=0,"",MIN(D398:P398))</f>
        <v/>
      </c>
      <c r="R398" s="8">
        <f>IF(COUNT(D398:P398)=0,"",MEDIAN(D398:P398))</f>
        <v/>
      </c>
      <c r="S398" s="8">
        <f>IF(COUNT(D398:P398)=0,"",MAX(D398:P398))</f>
        <v/>
      </c>
      <c r="T398" s="9">
        <f>IF(OR(Q398="",Q398=0),"",(S398-Q398)/Q398)</f>
        <v/>
      </c>
      <c r="U398" s="7">
        <f>IF(COUNT(D398:P398)=0,"",INDEX($D$1:$P$1,MATCH(MIN(D398:P398),D398:P398,0)))</f>
        <v/>
      </c>
      <c r="V398" s="8" t="n">
        <v>2649.01</v>
      </c>
      <c r="W398" s="10" t="n">
        <v>2</v>
      </c>
    </row>
    <row r="399">
      <c r="A399" s="7" t="inlineStr">
        <is>
          <t>MAT-08-183</t>
        </is>
      </c>
      <c r="B399" s="4" t="inlineStr">
        <is>
          <t>Porcelanato de piso y pared, 300 x 100 cm</t>
        </is>
      </c>
      <c r="C399" s="7" t="inlineStr">
        <is>
          <t>m²</t>
        </is>
      </c>
      <c r="D399" s="8" t="n"/>
      <c r="E399" s="8" t="n"/>
      <c r="F399" s="8" t="n">
        <v>6154.42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>
        <f>IF(COUNT(D399:P399)=0,"",MIN(D399:P399))</f>
        <v/>
      </c>
      <c r="R399" s="8">
        <f>IF(COUNT(D399:P399)=0,"",MEDIAN(D399:P399))</f>
        <v/>
      </c>
      <c r="S399" s="8">
        <f>IF(COUNT(D399:P399)=0,"",MAX(D399:P399))</f>
        <v/>
      </c>
      <c r="T399" s="9">
        <f>IF(OR(Q399="",Q399=0),"",(S399-Q399)/Q399)</f>
        <v/>
      </c>
      <c r="U399" s="7">
        <f>IF(COUNT(D399:P399)=0,"",INDEX($D$1:$P$1,MATCH(MIN(D399:P399),D399:P399,0)))</f>
        <v/>
      </c>
      <c r="V399" s="8" t="n">
        <v>7262.22</v>
      </c>
      <c r="W399" s="10" t="n">
        <v>1</v>
      </c>
    </row>
    <row r="400">
      <c r="A400" s="7" t="inlineStr">
        <is>
          <t>MAT-08-184</t>
        </is>
      </c>
      <c r="B400" s="4" t="inlineStr">
        <is>
          <t>Porcelanato de piso y pared, 300 x 150 cm</t>
        </is>
      </c>
      <c r="C400" s="7" t="inlineStr">
        <is>
          <t>m²</t>
        </is>
      </c>
      <c r="D400" s="8" t="n"/>
      <c r="E400" s="8" t="n"/>
      <c r="F400" s="8" t="n">
        <v>6081.64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>
        <f>IF(COUNT(D400:P400)=0,"",MIN(D400:P400))</f>
        <v/>
      </c>
      <c r="R400" s="8">
        <f>IF(COUNT(D400:P400)=0,"",MEDIAN(D400:P400))</f>
        <v/>
      </c>
      <c r="S400" s="8">
        <f>IF(COUNT(D400:P400)=0,"",MAX(D400:P400))</f>
        <v/>
      </c>
      <c r="T400" s="9">
        <f>IF(OR(Q400="",Q400=0),"",(S400-Q400)/Q400)</f>
        <v/>
      </c>
      <c r="U400" s="7">
        <f>IF(COUNT(D400:P400)=0,"",INDEX($D$1:$P$1,MATCH(MIN(D400:P400),D400:P400,0)))</f>
        <v/>
      </c>
      <c r="V400" s="8" t="n">
        <v>9310.93</v>
      </c>
      <c r="W400" s="10" t="n">
        <v>1</v>
      </c>
    </row>
    <row r="401">
      <c r="A401" s="7" t="inlineStr">
        <is>
          <t>MAT-08-185</t>
        </is>
      </c>
      <c r="B401" s="4" t="inlineStr">
        <is>
          <t>Porcelanato de piso y pared, 324 x 160 cm</t>
        </is>
      </c>
      <c r="C401" s="7" t="inlineStr">
        <is>
          <t>m²</t>
        </is>
      </c>
      <c r="D401" s="8" t="n"/>
      <c r="E401" s="8" t="n"/>
      <c r="F401" s="8" t="n">
        <v>3496.15</v>
      </c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>
        <f>IF(COUNT(D401:P401)=0,"",MIN(D401:P401))</f>
        <v/>
      </c>
      <c r="R401" s="8">
        <f>IF(COUNT(D401:P401)=0,"",MEDIAN(D401:P401))</f>
        <v/>
      </c>
      <c r="S401" s="8">
        <f>IF(COUNT(D401:P401)=0,"",MAX(D401:P401))</f>
        <v/>
      </c>
      <c r="T401" s="9">
        <f>IF(OR(Q401="",Q401=0),"",(S401-Q401)/Q401)</f>
        <v/>
      </c>
      <c r="U401" s="7">
        <f>IF(COUNT(D401:P401)=0,"",INDEX($D$1:$P$1,MATCH(MIN(D401:P401),D401:P401,0)))</f>
        <v/>
      </c>
      <c r="V401" s="8" t="n">
        <v>14792.34</v>
      </c>
      <c r="W401" s="10" t="n">
        <v>1</v>
      </c>
    </row>
    <row r="402">
      <c r="A402" s="7" t="inlineStr">
        <is>
          <t>MAT-08-186</t>
        </is>
      </c>
      <c r="B402" s="4" t="inlineStr">
        <is>
          <t>Porcelanato de piso y pared, 45 x 45 cm</t>
        </is>
      </c>
      <c r="C402" s="7" t="inlineStr">
        <is>
          <t>m²</t>
        </is>
      </c>
      <c r="D402" s="8" t="n">
        <v>710.61</v>
      </c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>
        <f>IF(COUNT(D402:P402)=0,"",MIN(D402:P402))</f>
        <v/>
      </c>
      <c r="R402" s="8">
        <f>IF(COUNT(D402:P402)=0,"",MEDIAN(D402:P402))</f>
        <v/>
      </c>
      <c r="S402" s="8">
        <f>IF(COUNT(D402:P402)=0,"",MAX(D402:P402))</f>
        <v/>
      </c>
      <c r="T402" s="9">
        <f>IF(OR(Q402="",Q402=0),"",(S402-Q402)/Q402)</f>
        <v/>
      </c>
      <c r="U402" s="7">
        <f>IF(COUNT(D402:P402)=0,"",INDEX($D$1:$P$1,MATCH(MIN(D402:P402),D402:P402,0)))</f>
        <v/>
      </c>
      <c r="V402" s="8" t="n">
        <v>764.38</v>
      </c>
      <c r="W402" s="10" t="n">
        <v>1</v>
      </c>
    </row>
    <row r="403">
      <c r="A403" s="7" t="inlineStr">
        <is>
          <t>MAT-08-187</t>
        </is>
      </c>
      <c r="B403" s="4" t="inlineStr">
        <is>
          <t>Porcelanato de piso y pared, 55 x 33 cm</t>
        </is>
      </c>
      <c r="C403" s="7" t="inlineStr">
        <is>
          <t>m²</t>
        </is>
      </c>
      <c r="D403" s="8" t="n">
        <v>839.97</v>
      </c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>
        <f>IF(COUNT(D403:P403)=0,"",MIN(D403:P403))</f>
        <v/>
      </c>
      <c r="R403" s="8">
        <f>IF(COUNT(D403:P403)=0,"",MEDIAN(D403:P403))</f>
        <v/>
      </c>
      <c r="S403" s="8">
        <f>IF(COUNT(D403:P403)=0,"",MAX(D403:P403))</f>
        <v/>
      </c>
      <c r="T403" s="9">
        <f>IF(OR(Q403="",Q403=0),"",(S403-Q403)/Q403)</f>
        <v/>
      </c>
      <c r="U403" s="7">
        <f>IF(COUNT(D403:P403)=0,"",INDEX($D$1:$P$1,MATCH(MIN(D403:P403),D403:P403,0)))</f>
        <v/>
      </c>
      <c r="V403" s="8" t="n">
        <v>839.97</v>
      </c>
      <c r="W403" s="10" t="n">
        <v>1</v>
      </c>
    </row>
    <row r="404">
      <c r="A404" s="7" t="inlineStr">
        <is>
          <t>MAT-08-188</t>
        </is>
      </c>
      <c r="B404" s="4" t="inlineStr">
        <is>
          <t>Porcelanato de piso y pared, 58 x 58 cm</t>
        </is>
      </c>
      <c r="C404" s="7" t="inlineStr">
        <is>
          <t>m²</t>
        </is>
      </c>
      <c r="D404" s="8" t="n">
        <v>2571.44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>
        <f>IF(COUNT(D404:P404)=0,"",MIN(D404:P404))</f>
        <v/>
      </c>
      <c r="R404" s="8">
        <f>IF(COUNT(D404:P404)=0,"",MEDIAN(D404:P404))</f>
        <v/>
      </c>
      <c r="S404" s="8">
        <f>IF(COUNT(D404:P404)=0,"",MAX(D404:P404))</f>
        <v/>
      </c>
      <c r="T404" s="9">
        <f>IF(OR(Q404="",Q404=0),"",(S404-Q404)/Q404)</f>
        <v/>
      </c>
      <c r="U404" s="7">
        <f>IF(COUNT(D404:P404)=0,"",INDEX($D$1:$P$1,MATCH(MIN(D404:P404),D404:P404,0)))</f>
        <v/>
      </c>
      <c r="V404" s="8" t="n">
        <v>2571.44</v>
      </c>
      <c r="W404" s="10" t="n">
        <v>1</v>
      </c>
    </row>
    <row r="405">
      <c r="A405" s="7" t="inlineStr">
        <is>
          <t>MAT-08-189</t>
        </is>
      </c>
      <c r="B405" s="4" t="inlineStr">
        <is>
          <t>Porcelanato de piso y pared, 60 x 20 cm</t>
        </is>
      </c>
      <c r="C405" s="7" t="inlineStr">
        <is>
          <t>m²</t>
        </is>
      </c>
      <c r="D405" s="8" t="n">
        <v>482.11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>
        <f>IF(COUNT(D405:P405)=0,"",MIN(D405:P405))</f>
        <v/>
      </c>
      <c r="R405" s="8">
        <f>IF(COUNT(D405:P405)=0,"",MEDIAN(D405:P405))</f>
        <v/>
      </c>
      <c r="S405" s="8">
        <f>IF(COUNT(D405:P405)=0,"",MAX(D405:P405))</f>
        <v/>
      </c>
      <c r="T405" s="9">
        <f>IF(OR(Q405="",Q405=0),"",(S405-Q405)/Q405)</f>
        <v/>
      </c>
      <c r="U405" s="7">
        <f>IF(COUNT(D405:P405)=0,"",INDEX($D$1:$P$1,MATCH(MIN(D405:P405),D405:P405,0)))</f>
        <v/>
      </c>
      <c r="V405" s="8" t="n">
        <v>482.11</v>
      </c>
      <c r="W405" s="10" t="n">
        <v>1</v>
      </c>
    </row>
    <row r="406">
      <c r="A406" s="7" t="inlineStr">
        <is>
          <t>MAT-08-190</t>
        </is>
      </c>
      <c r="B406" s="4" t="inlineStr">
        <is>
          <t>Porcelanato de piso y pared, 60 x 30 cm</t>
        </is>
      </c>
      <c r="C406" s="7" t="inlineStr">
        <is>
          <t>m²</t>
        </is>
      </c>
      <c r="D406" s="8" t="n">
        <v>1049.58</v>
      </c>
      <c r="E406" s="8" t="n"/>
      <c r="F406" s="8" t="n">
        <v>660</v>
      </c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>
        <f>IF(COUNT(D406:P406)=0,"",MIN(D406:P406))</f>
        <v/>
      </c>
      <c r="R406" s="8">
        <f>IF(COUNT(D406:P406)=0,"",MEDIAN(D406:P406))</f>
        <v/>
      </c>
      <c r="S406" s="8">
        <f>IF(COUNT(D406:P406)=0,"",MAX(D406:P406))</f>
        <v/>
      </c>
      <c r="T406" s="9">
        <f>IF(OR(Q406="",Q406=0),"",(S406-Q406)/Q406)</f>
        <v/>
      </c>
      <c r="U406" s="7">
        <f>IF(COUNT(D406:P406)=0,"",INDEX($D$1:$P$1,MATCH(MIN(D406:P406),D406:P406,0)))</f>
        <v/>
      </c>
      <c r="V406" s="8" t="n">
        <v>1371.18</v>
      </c>
      <c r="W406" s="10" t="n">
        <v>2</v>
      </c>
    </row>
    <row r="407">
      <c r="A407" s="7" t="inlineStr">
        <is>
          <t>MAT-08-191</t>
        </is>
      </c>
      <c r="B407" s="4" t="inlineStr">
        <is>
          <t>Porcelanato de piso y pared, 60 x 60 cm</t>
        </is>
      </c>
      <c r="C407" s="7" t="inlineStr">
        <is>
          <t>m²</t>
        </is>
      </c>
      <c r="D407" s="8" t="n">
        <v>518.13</v>
      </c>
      <c r="E407" s="8" t="n"/>
      <c r="F407" s="8" t="n">
        <v>1003.78</v>
      </c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>
        <f>IF(COUNT(D407:P407)=0,"",MIN(D407:P407))</f>
        <v/>
      </c>
      <c r="R407" s="8">
        <f>IF(COUNT(D407:P407)=0,"",MEDIAN(D407:P407))</f>
        <v/>
      </c>
      <c r="S407" s="8">
        <f>IF(COUNT(D407:P407)=0,"",MAX(D407:P407))</f>
        <v/>
      </c>
      <c r="T407" s="9">
        <f>IF(OR(Q407="",Q407=0),"",(S407-Q407)/Q407)</f>
        <v/>
      </c>
      <c r="U407" s="7">
        <f>IF(COUNT(D407:P407)=0,"",INDEX($D$1:$P$1,MATCH(MIN(D407:P407),D407:P407,0)))</f>
        <v/>
      </c>
      <c r="V407" s="8" t="n">
        <v>1318</v>
      </c>
      <c r="W407" s="10" t="n">
        <v>2</v>
      </c>
    </row>
    <row r="408">
      <c r="A408" s="7" t="inlineStr">
        <is>
          <t>MAT-08-192</t>
        </is>
      </c>
      <c r="B408" s="4" t="inlineStr">
        <is>
          <t>Porcelanato de piso y pared, 75 x 25 cm</t>
        </is>
      </c>
      <c r="C408" s="7" t="inlineStr">
        <is>
          <t>m²</t>
        </is>
      </c>
      <c r="D408" s="8" t="n">
        <v>1146.06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>
        <f>IF(COUNT(D408:P408)=0,"",MIN(D408:P408))</f>
        <v/>
      </c>
      <c r="R408" s="8">
        <f>IF(COUNT(D408:P408)=0,"",MEDIAN(D408:P408))</f>
        <v/>
      </c>
      <c r="S408" s="8">
        <f>IF(COUNT(D408:P408)=0,"",MAX(D408:P408))</f>
        <v/>
      </c>
      <c r="T408" s="9">
        <f>IF(OR(Q408="",Q408=0),"",(S408-Q408)/Q408)</f>
        <v/>
      </c>
      <c r="U408" s="7">
        <f>IF(COUNT(D408:P408)=0,"",INDEX($D$1:$P$1,MATCH(MIN(D408:P408),D408:P408,0)))</f>
        <v/>
      </c>
      <c r="V408" s="8" t="n">
        <v>1403.05</v>
      </c>
      <c r="W408" s="10" t="n">
        <v>1</v>
      </c>
    </row>
    <row r="409">
      <c r="A409" s="7" t="inlineStr">
        <is>
          <t>MAT-08-193</t>
        </is>
      </c>
      <c r="B409" s="4" t="inlineStr">
        <is>
          <t>Porcelanato de piso y pared, 75 x 75 cm</t>
        </is>
      </c>
      <c r="C409" s="7" t="inlineStr">
        <is>
          <t>m²</t>
        </is>
      </c>
      <c r="D409" s="8" t="n"/>
      <c r="E409" s="8" t="n"/>
      <c r="F409" s="8" t="n">
        <v>1186.47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>
        <f>IF(COUNT(D409:P409)=0,"",MIN(D409:P409))</f>
        <v/>
      </c>
      <c r="R409" s="8">
        <f>IF(COUNT(D409:P409)=0,"",MEDIAN(D409:P409))</f>
        <v/>
      </c>
      <c r="S409" s="8">
        <f>IF(COUNT(D409:P409)=0,"",MAX(D409:P409))</f>
        <v/>
      </c>
      <c r="T409" s="9">
        <f>IF(OR(Q409="",Q409=0),"",(S409-Q409)/Q409)</f>
        <v/>
      </c>
      <c r="U409" s="7">
        <f>IF(COUNT(D409:P409)=0,"",INDEX($D$1:$P$1,MATCH(MIN(D409:P409),D409:P409,0)))</f>
        <v/>
      </c>
      <c r="V409" s="8" t="n">
        <v>1400.04</v>
      </c>
      <c r="W409" s="10" t="n">
        <v>1</v>
      </c>
    </row>
    <row r="410">
      <c r="A410" s="7" t="inlineStr">
        <is>
          <t>MAT-08-194</t>
        </is>
      </c>
      <c r="B410" s="4" t="inlineStr">
        <is>
          <t>Porcelanato de piso y pared, 80 x 80 cm</t>
        </is>
      </c>
      <c r="C410" s="7" t="inlineStr">
        <is>
          <t>m²</t>
        </is>
      </c>
      <c r="D410" s="8" t="n"/>
      <c r="E410" s="8" t="n"/>
      <c r="F410" s="8" t="n">
        <v>1122.23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>
        <f>IF(COUNT(D410:P410)=0,"",MIN(D410:P410))</f>
        <v/>
      </c>
      <c r="R410" s="8">
        <f>IF(COUNT(D410:P410)=0,"",MEDIAN(D410:P410))</f>
        <v/>
      </c>
      <c r="S410" s="8">
        <f>IF(COUNT(D410:P410)=0,"",MAX(D410:P410))</f>
        <v/>
      </c>
      <c r="T410" s="9">
        <f>IF(OR(Q410="",Q410=0),"",(S410-Q410)/Q410)</f>
        <v/>
      </c>
      <c r="U410" s="7">
        <f>IF(COUNT(D410:P410)=0,"",INDEX($D$1:$P$1,MATCH(MIN(D410:P410),D410:P410,0)))</f>
        <v/>
      </c>
      <c r="V410" s="8" t="n">
        <v>1662.02</v>
      </c>
      <c r="W410" s="10" t="n">
        <v>1</v>
      </c>
    </row>
    <row r="411">
      <c r="A411" s="7" t="inlineStr">
        <is>
          <t>MAT-08-195</t>
        </is>
      </c>
      <c r="B411" s="4" t="inlineStr">
        <is>
          <t>Porcelanato de piso y pared, 90 x 15 cm</t>
        </is>
      </c>
      <c r="C411" s="7" t="inlineStr">
        <is>
          <t>m²</t>
        </is>
      </c>
      <c r="D411" s="8" t="n">
        <v>1835.57</v>
      </c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>
        <f>IF(COUNT(D411:P411)=0,"",MIN(D411:P411))</f>
        <v/>
      </c>
      <c r="R411" s="8">
        <f>IF(COUNT(D411:P411)=0,"",MEDIAN(D411:P411))</f>
        <v/>
      </c>
      <c r="S411" s="8">
        <f>IF(COUNT(D411:P411)=0,"",MAX(D411:P411))</f>
        <v/>
      </c>
      <c r="T411" s="9">
        <f>IF(OR(Q411="",Q411=0),"",(S411-Q411)/Q411)</f>
        <v/>
      </c>
      <c r="U411" s="7">
        <f>IF(COUNT(D411:P411)=0,"",INDEX($D$1:$P$1,MATCH(MIN(D411:P411),D411:P411,0)))</f>
        <v/>
      </c>
      <c r="V411" s="8" t="n">
        <v>1835.57</v>
      </c>
      <c r="W411" s="10" t="n">
        <v>1</v>
      </c>
    </row>
    <row r="412">
      <c r="A412" s="7" t="inlineStr">
        <is>
          <t>MAT-08-196</t>
        </is>
      </c>
      <c r="B412" s="4" t="inlineStr">
        <is>
          <t>Porcelanato de piso y pared, 90 x 20 cm</t>
        </is>
      </c>
      <c r="C412" s="7" t="inlineStr">
        <is>
          <t>m²</t>
        </is>
      </c>
      <c r="D412" s="8" t="n"/>
      <c r="E412" s="8" t="n"/>
      <c r="F412" s="8" t="n">
        <v>1398.19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>
        <f>IF(COUNT(D412:P412)=0,"",MIN(D412:P412))</f>
        <v/>
      </c>
      <c r="R412" s="8">
        <f>IF(COUNT(D412:P412)=0,"",MEDIAN(D412:P412))</f>
        <v/>
      </c>
      <c r="S412" s="8">
        <f>IF(COUNT(D412:P412)=0,"",MAX(D412:P412))</f>
        <v/>
      </c>
      <c r="T412" s="9">
        <f>IF(OR(Q412="",Q412=0),"",(S412-Q412)/Q412)</f>
        <v/>
      </c>
      <c r="U412" s="7">
        <f>IF(COUNT(D412:P412)=0,"",INDEX($D$1:$P$1,MATCH(MIN(D412:P412),D412:P412,0)))</f>
        <v/>
      </c>
      <c r="V412" s="8" t="n">
        <v>1649.86</v>
      </c>
      <c r="W412" s="10" t="n">
        <v>1</v>
      </c>
    </row>
    <row r="413">
      <c r="A413" s="7" t="inlineStr">
        <is>
          <t>MAT-08-197</t>
        </is>
      </c>
      <c r="B413" s="4" t="inlineStr">
        <is>
          <t>Porcelanato de piso y pared, 90 x 30 cm</t>
        </is>
      </c>
      <c r="C413" s="7" t="inlineStr">
        <is>
          <t>m²</t>
        </is>
      </c>
      <c r="D413" s="8" t="n">
        <v>2210.12</v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>
        <f>IF(COUNT(D413:P413)=0,"",MIN(D413:P413))</f>
        <v/>
      </c>
      <c r="R413" s="8">
        <f>IF(COUNT(D413:P413)=0,"",MEDIAN(D413:P413))</f>
        <v/>
      </c>
      <c r="S413" s="8">
        <f>IF(COUNT(D413:P413)=0,"",MAX(D413:P413))</f>
        <v/>
      </c>
      <c r="T413" s="9">
        <f>IF(OR(Q413="",Q413=0),"",(S413-Q413)/Q413)</f>
        <v/>
      </c>
      <c r="U413" s="7">
        <f>IF(COUNT(D413:P413)=0,"",INDEX($D$1:$P$1,MATCH(MIN(D413:P413),D413:P413,0)))</f>
        <v/>
      </c>
      <c r="V413" s="8" t="n">
        <v>2210.12</v>
      </c>
      <c r="W413" s="10" t="n">
        <v>1</v>
      </c>
    </row>
    <row r="414">
      <c r="A414" s="7" t="inlineStr">
        <is>
          <t>MAT-08-198</t>
        </is>
      </c>
      <c r="B414" s="4" t="inlineStr">
        <is>
          <t>Porcelanato de piso y pared, 90 x 45 cm</t>
        </is>
      </c>
      <c r="C414" s="7" t="inlineStr">
        <is>
          <t>m²</t>
        </is>
      </c>
      <c r="D414" s="8" t="n">
        <v>1630.87</v>
      </c>
      <c r="E414" s="8" t="n"/>
      <c r="F414" s="8" t="n">
        <v>5147.23</v>
      </c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>
        <f>IF(COUNT(D414:P414)=0,"",MIN(D414:P414))</f>
        <v/>
      </c>
      <c r="R414" s="8">
        <f>IF(COUNT(D414:P414)=0,"",MEDIAN(D414:P414))</f>
        <v/>
      </c>
      <c r="S414" s="8">
        <f>IF(COUNT(D414:P414)=0,"",MAX(D414:P414))</f>
        <v/>
      </c>
      <c r="T414" s="9">
        <f>IF(OR(Q414="",Q414=0),"",(S414-Q414)/Q414)</f>
        <v/>
      </c>
      <c r="U414" s="7">
        <f>IF(COUNT(D414:P414)=0,"",INDEX($D$1:$P$1,MATCH(MIN(D414:P414),D414:P414,0)))</f>
        <v/>
      </c>
      <c r="V414" s="8" t="n">
        <v>2022.08</v>
      </c>
      <c r="W414" s="10" t="n">
        <v>2</v>
      </c>
    </row>
    <row r="415">
      <c r="A415" s="7" t="inlineStr">
        <is>
          <t>MAT-08-199</t>
        </is>
      </c>
      <c r="B415" s="4" t="inlineStr">
        <is>
          <t>Porcelanato de piso y pared, 90 x 90 cm</t>
        </is>
      </c>
      <c r="C415" s="7" t="inlineStr">
        <is>
          <t>m²</t>
        </is>
      </c>
      <c r="D415" s="8" t="n"/>
      <c r="E415" s="8" t="n"/>
      <c r="F415" s="8" t="n">
        <v>1836.68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>
        <f>IF(COUNT(D415:P415)=0,"",MIN(D415:P415))</f>
        <v/>
      </c>
      <c r="R415" s="8">
        <f>IF(COUNT(D415:P415)=0,"",MEDIAN(D415:P415))</f>
        <v/>
      </c>
      <c r="S415" s="8">
        <f>IF(COUNT(D415:P415)=0,"",MAX(D415:P415))</f>
        <v/>
      </c>
      <c r="T415" s="9">
        <f>IF(OR(Q415="",Q415=0),"",(S415-Q415)/Q415)</f>
        <v/>
      </c>
      <c r="U415" s="7">
        <f>IF(COUNT(D415:P415)=0,"",INDEX($D$1:$P$1,MATCH(MIN(D415:P415),D415:P415,0)))</f>
        <v/>
      </c>
      <c r="V415" s="8" t="n">
        <v>2167.28</v>
      </c>
      <c r="W415" s="10" t="n">
        <v>1</v>
      </c>
    </row>
    <row r="416">
      <c r="A416" s="7" t="inlineStr">
        <is>
          <t>MAT-08-200</t>
        </is>
      </c>
      <c r="B416" s="4" t="inlineStr">
        <is>
          <t>Mosaico cerámico en malla, 2.5 x 2.5 cm</t>
        </is>
      </c>
      <c r="C416" s="7" t="inlineStr">
        <is>
          <t>m²</t>
        </is>
      </c>
      <c r="D416" s="8" t="n"/>
      <c r="E416" s="8" t="n"/>
      <c r="F416" s="8" t="n"/>
      <c r="G416" s="8" t="n"/>
      <c r="H416" s="8" t="n">
        <v>495</v>
      </c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>
        <f>IF(COUNT(D416:P416)=0,"",MIN(D416:P416))</f>
        <v/>
      </c>
      <c r="R416" s="8">
        <f>IF(COUNT(D416:P416)=0,"",MEDIAN(D416:P416))</f>
        <v/>
      </c>
      <c r="S416" s="8">
        <f>IF(COUNT(D416:P416)=0,"",MAX(D416:P416))</f>
        <v/>
      </c>
      <c r="T416" s="9">
        <f>IF(OR(Q416="",Q416=0),"",(S416-Q416)/Q416)</f>
        <v/>
      </c>
      <c r="U416" s="7">
        <f>IF(COUNT(D416:P416)=0,"",INDEX($D$1:$P$1,MATCH(MIN(D416:P416),D416:P416,0)))</f>
        <v/>
      </c>
      <c r="V416" s="8" t="n">
        <v>495</v>
      </c>
      <c r="W416" s="10" t="n">
        <v>1</v>
      </c>
    </row>
    <row r="417">
      <c r="A417" s="7" t="inlineStr">
        <is>
          <t>MAT-08-201</t>
        </is>
      </c>
      <c r="B417" s="4" t="inlineStr">
        <is>
          <t>Mosaico cerámico en malla, 20 x 20 cm</t>
        </is>
      </c>
      <c r="C417" s="7" t="inlineStr">
        <is>
          <t>m²</t>
        </is>
      </c>
      <c r="D417" s="8" t="n"/>
      <c r="E417" s="8" t="n"/>
      <c r="F417" s="8" t="n"/>
      <c r="G417" s="8" t="n"/>
      <c r="H417" s="8" t="n">
        <v>1099.76</v>
      </c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>
        <f>IF(COUNT(D417:P417)=0,"",MIN(D417:P417))</f>
        <v/>
      </c>
      <c r="R417" s="8">
        <f>IF(COUNT(D417:P417)=0,"",MEDIAN(D417:P417))</f>
        <v/>
      </c>
      <c r="S417" s="8">
        <f>IF(COUNT(D417:P417)=0,"",MAX(D417:P417))</f>
        <v/>
      </c>
      <c r="T417" s="9">
        <f>IF(OR(Q417="",Q417=0),"",(S417-Q417)/Q417)</f>
        <v/>
      </c>
      <c r="U417" s="7">
        <f>IF(COUNT(D417:P417)=0,"",INDEX($D$1:$P$1,MATCH(MIN(D417:P417),D417:P417,0)))</f>
        <v/>
      </c>
      <c r="V417" s="8" t="n">
        <v>1099.76</v>
      </c>
      <c r="W417" s="10" t="n">
        <v>1</v>
      </c>
    </row>
    <row r="418">
      <c r="A418" s="7" t="inlineStr">
        <is>
          <t>MAT-08-202</t>
        </is>
      </c>
      <c r="B418" s="4" t="inlineStr">
        <is>
          <t>Mosaico cerámico en malla, 30 x 25 cm</t>
        </is>
      </c>
      <c r="C418" s="7" t="inlineStr">
        <is>
          <t>m²</t>
        </is>
      </c>
      <c r="D418" s="8" t="n"/>
      <c r="E418" s="8" t="n"/>
      <c r="F418" s="8" t="n">
        <v>947.36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>
        <f>IF(COUNT(D418:P418)=0,"",MIN(D418:P418))</f>
        <v/>
      </c>
      <c r="R418" s="8">
        <f>IF(COUNT(D418:P418)=0,"",MEDIAN(D418:P418))</f>
        <v/>
      </c>
      <c r="S418" s="8">
        <f>IF(COUNT(D418:P418)=0,"",MAX(D418:P418))</f>
        <v/>
      </c>
      <c r="T418" s="9">
        <f>IF(OR(Q418="",Q418=0),"",(S418-Q418)/Q418)</f>
        <v/>
      </c>
      <c r="U418" s="7">
        <f>IF(COUNT(D418:P418)=0,"",INDEX($D$1:$P$1,MATCH(MIN(D418:P418),D418:P418,0)))</f>
        <v/>
      </c>
      <c r="V418" s="8" t="n">
        <v>1818.95</v>
      </c>
      <c r="W418" s="10" t="n">
        <v>1</v>
      </c>
    </row>
    <row r="419">
      <c r="A419" s="7" t="inlineStr">
        <is>
          <t>MAT-08-203</t>
        </is>
      </c>
      <c r="B419" s="4" t="inlineStr">
        <is>
          <t>Mosaico cerámico en malla, 30 x 30 cm</t>
        </is>
      </c>
      <c r="C419" s="7" t="inlineStr">
        <is>
          <t>m²</t>
        </is>
      </c>
      <c r="D419" s="8" t="n">
        <v>1844.8</v>
      </c>
      <c r="E419" s="8" t="n"/>
      <c r="F419" s="8" t="n">
        <v>1414.01</v>
      </c>
      <c r="G419" s="8" t="n"/>
      <c r="H419" s="8" t="n">
        <v>156.94</v>
      </c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>
        <f>IF(COUNT(D419:P419)=0,"",MIN(D419:P419))</f>
        <v/>
      </c>
      <c r="R419" s="8">
        <f>IF(COUNT(D419:P419)=0,"",MEDIAN(D419:P419))</f>
        <v/>
      </c>
      <c r="S419" s="8">
        <f>IF(COUNT(D419:P419)=0,"",MAX(D419:P419))</f>
        <v/>
      </c>
      <c r="T419" s="9">
        <f>IF(OR(Q419="",Q419=0),"",(S419-Q419)/Q419)</f>
        <v/>
      </c>
      <c r="U419" s="7">
        <f>IF(COUNT(D419:P419)=0,"",INDEX($D$1:$P$1,MATCH(MIN(D419:P419),D419:P419,0)))</f>
        <v/>
      </c>
      <c r="V419" s="8" t="n">
        <v>2863.5</v>
      </c>
      <c r="W419" s="10" t="n">
        <v>3</v>
      </c>
    </row>
    <row r="420">
      <c r="A420" s="7" t="inlineStr">
        <is>
          <t>MAT-08-204</t>
        </is>
      </c>
      <c r="B420" s="4" t="inlineStr">
        <is>
          <t>Mosaico cerámico en malla, 33 x 30 cm</t>
        </is>
      </c>
      <c r="C420" s="7" t="inlineStr">
        <is>
          <t>m²</t>
        </is>
      </c>
      <c r="D420" s="8" t="n">
        <v>4369.31</v>
      </c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>
        <f>IF(COUNT(D420:P420)=0,"",MIN(D420:P420))</f>
        <v/>
      </c>
      <c r="R420" s="8">
        <f>IF(COUNT(D420:P420)=0,"",MEDIAN(D420:P420))</f>
        <v/>
      </c>
      <c r="S420" s="8">
        <f>IF(COUNT(D420:P420)=0,"",MAX(D420:P420))</f>
        <v/>
      </c>
      <c r="T420" s="9">
        <f>IF(OR(Q420="",Q420=0),"",(S420-Q420)/Q420)</f>
        <v/>
      </c>
      <c r="U420" s="7">
        <f>IF(COUNT(D420:P420)=0,"",INDEX($D$1:$P$1,MATCH(MIN(D420:P420),D420:P420,0)))</f>
        <v/>
      </c>
      <c r="V420" s="8" t="n">
        <v>4636.17</v>
      </c>
      <c r="W420" s="10" t="n">
        <v>1</v>
      </c>
    </row>
    <row r="421">
      <c r="A421" s="7" t="inlineStr">
        <is>
          <t>MAT-08-205</t>
        </is>
      </c>
      <c r="B421" s="4" t="inlineStr">
        <is>
          <t>Mosaico cerámico en malla, 33 x 33 cm</t>
        </is>
      </c>
      <c r="C421" s="7" t="inlineStr">
        <is>
          <t>m²</t>
        </is>
      </c>
      <c r="D421" s="8" t="n">
        <v>1318.5</v>
      </c>
      <c r="E421" s="8" t="n"/>
      <c r="F421" s="8" t="n"/>
      <c r="G421" s="8" t="n"/>
      <c r="H421" s="8" t="n">
        <v>325</v>
      </c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>
        <f>IF(COUNT(D421:P421)=0,"",MIN(D421:P421))</f>
        <v/>
      </c>
      <c r="R421" s="8">
        <f>IF(COUNT(D421:P421)=0,"",MEDIAN(D421:P421))</f>
        <v/>
      </c>
      <c r="S421" s="8">
        <f>IF(COUNT(D421:P421)=0,"",MAX(D421:P421))</f>
        <v/>
      </c>
      <c r="T421" s="9">
        <f>IF(OR(Q421="",Q421=0),"",(S421-Q421)/Q421)</f>
        <v/>
      </c>
      <c r="U421" s="7">
        <f>IF(COUNT(D421:P421)=0,"",INDEX($D$1:$P$1,MATCH(MIN(D421:P421),D421:P421,0)))</f>
        <v/>
      </c>
      <c r="V421" s="8" t="n">
        <v>1349.37</v>
      </c>
      <c r="W421" s="10" t="n">
        <v>2</v>
      </c>
    </row>
    <row r="422">
      <c r="A422" s="7" t="inlineStr">
        <is>
          <t>MAT-08-206</t>
        </is>
      </c>
      <c r="B422" s="4" t="inlineStr">
        <is>
          <t>Mosaico cerámico en malla, 40 x 10 cm</t>
        </is>
      </c>
      <c r="C422" s="7" t="inlineStr">
        <is>
          <t>m²</t>
        </is>
      </c>
      <c r="D422" s="8" t="n"/>
      <c r="E422" s="8" t="n"/>
      <c r="F422" s="8" t="n">
        <v>2176.74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>
        <f>IF(COUNT(D422:P422)=0,"",MIN(D422:P422))</f>
        <v/>
      </c>
      <c r="R422" s="8">
        <f>IF(COUNT(D422:P422)=0,"",MEDIAN(D422:P422))</f>
        <v/>
      </c>
      <c r="S422" s="8">
        <f>IF(COUNT(D422:P422)=0,"",MAX(D422:P422))</f>
        <v/>
      </c>
      <c r="T422" s="9">
        <f>IF(OR(Q422="",Q422=0),"",(S422-Q422)/Q422)</f>
        <v/>
      </c>
      <c r="U422" s="7">
        <f>IF(COUNT(D422:P422)=0,"",INDEX($D$1:$P$1,MATCH(MIN(D422:P422),D422:P422,0)))</f>
        <v/>
      </c>
      <c r="V422" s="8" t="n">
        <v>2768.79</v>
      </c>
      <c r="W422" s="10" t="n">
        <v>1</v>
      </c>
    </row>
    <row r="423">
      <c r="A423" s="7" t="inlineStr">
        <is>
          <t>MAT-08-207</t>
        </is>
      </c>
      <c r="B423" s="4" t="inlineStr">
        <is>
          <t>Mosaico cerámico en malla, 45 x 30 cm</t>
        </is>
      </c>
      <c r="C423" s="7" t="inlineStr">
        <is>
          <t>m²</t>
        </is>
      </c>
      <c r="D423" s="8" t="n"/>
      <c r="E423" s="8" t="n"/>
      <c r="F423" s="8" t="n"/>
      <c r="G423" s="8" t="n"/>
      <c r="H423" s="8" t="n">
        <v>650</v>
      </c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>
        <f>IF(COUNT(D423:P423)=0,"",MIN(D423:P423))</f>
        <v/>
      </c>
      <c r="R423" s="8">
        <f>IF(COUNT(D423:P423)=0,"",MEDIAN(D423:P423))</f>
        <v/>
      </c>
      <c r="S423" s="8">
        <f>IF(COUNT(D423:P423)=0,"",MAX(D423:P423))</f>
        <v/>
      </c>
      <c r="T423" s="9">
        <f>IF(OR(Q423="",Q423=0),"",(S423-Q423)/Q423)</f>
        <v/>
      </c>
      <c r="U423" s="7">
        <f>IF(COUNT(D423:P423)=0,"",INDEX($D$1:$P$1,MATCH(MIN(D423:P423),D423:P423,0)))</f>
        <v/>
      </c>
      <c r="V423" s="8" t="n">
        <v>650</v>
      </c>
      <c r="W423" s="10" t="n">
        <v>1</v>
      </c>
    </row>
    <row r="424">
      <c r="A424" s="7" t="inlineStr">
        <is>
          <t>MAT-08-208</t>
        </is>
      </c>
      <c r="B424" s="4" t="inlineStr">
        <is>
          <t>Mosaico cerámico en malla, 45 x 45 cm</t>
        </is>
      </c>
      <c r="C424" s="7" t="inlineStr">
        <is>
          <t>m²</t>
        </is>
      </c>
      <c r="D424" s="8" t="n">
        <v>789.64</v>
      </c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>
        <f>IF(COUNT(D424:P424)=0,"",MIN(D424:P424))</f>
        <v/>
      </c>
      <c r="R424" s="8">
        <f>IF(COUNT(D424:P424)=0,"",MEDIAN(D424:P424))</f>
        <v/>
      </c>
      <c r="S424" s="8">
        <f>IF(COUNT(D424:P424)=0,"",MAX(D424:P424))</f>
        <v/>
      </c>
      <c r="T424" s="9">
        <f>IF(OR(Q424="",Q424=0),"",(S424-Q424)/Q424)</f>
        <v/>
      </c>
      <c r="U424" s="7">
        <f>IF(COUNT(D424:P424)=0,"",INDEX($D$1:$P$1,MATCH(MIN(D424:P424),D424:P424,0)))</f>
        <v/>
      </c>
      <c r="V424" s="8" t="n">
        <v>789.64</v>
      </c>
      <c r="W424" s="10" t="n">
        <v>1</v>
      </c>
    </row>
    <row r="425">
      <c r="A425" s="7" t="inlineStr">
        <is>
          <t>MAT-08-209</t>
        </is>
      </c>
      <c r="B425" s="4" t="inlineStr">
        <is>
          <t>Mosaico cerámico en malla, 5 x 5 cm</t>
        </is>
      </c>
      <c r="C425" s="7" t="inlineStr">
        <is>
          <t>m²</t>
        </is>
      </c>
      <c r="D425" s="8" t="n"/>
      <c r="E425" s="8" t="n"/>
      <c r="F425" s="8" t="n"/>
      <c r="G425" s="8" t="n"/>
      <c r="H425" s="8" t="n">
        <v>590</v>
      </c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>
        <f>IF(COUNT(D425:P425)=0,"",MIN(D425:P425))</f>
        <v/>
      </c>
      <c r="R425" s="8">
        <f>IF(COUNT(D425:P425)=0,"",MEDIAN(D425:P425))</f>
        <v/>
      </c>
      <c r="S425" s="8">
        <f>IF(COUNT(D425:P425)=0,"",MAX(D425:P425))</f>
        <v/>
      </c>
      <c r="T425" s="9">
        <f>IF(OR(Q425="",Q425=0),"",(S425-Q425)/Q425)</f>
        <v/>
      </c>
      <c r="U425" s="7">
        <f>IF(COUNT(D425:P425)=0,"",INDEX($D$1:$P$1,MATCH(MIN(D425:P425),D425:P425,0)))</f>
        <v/>
      </c>
      <c r="V425" s="8" t="n">
        <v>790</v>
      </c>
      <c r="W425" s="10" t="n">
        <v>1</v>
      </c>
    </row>
    <row r="426">
      <c r="A426" s="7" t="inlineStr">
        <is>
          <t>MAT-08-210</t>
        </is>
      </c>
      <c r="B426" s="4" t="inlineStr">
        <is>
          <t>Mosaico cerámico en malla, 60 x 15 cm</t>
        </is>
      </c>
      <c r="C426" s="7" t="inlineStr">
        <is>
          <t>m²</t>
        </is>
      </c>
      <c r="D426" s="8" t="n"/>
      <c r="E426" s="8" t="n"/>
      <c r="F426" s="8" t="n"/>
      <c r="G426" s="8" t="n"/>
      <c r="H426" s="8" t="n">
        <v>2290.15</v>
      </c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>
        <f>IF(COUNT(D426:P426)=0,"",MIN(D426:P426))</f>
        <v/>
      </c>
      <c r="R426" s="8">
        <f>IF(COUNT(D426:P426)=0,"",MEDIAN(D426:P426))</f>
        <v/>
      </c>
      <c r="S426" s="8">
        <f>IF(COUNT(D426:P426)=0,"",MAX(D426:P426))</f>
        <v/>
      </c>
      <c r="T426" s="9">
        <f>IF(OR(Q426="",Q426=0),"",(S426-Q426)/Q426)</f>
        <v/>
      </c>
      <c r="U426" s="7">
        <f>IF(COUNT(D426:P426)=0,"",INDEX($D$1:$P$1,MATCH(MIN(D426:P426),D426:P426,0)))</f>
        <v/>
      </c>
      <c r="V426" s="8" t="n">
        <v>3110.82</v>
      </c>
      <c r="W426" s="10" t="n">
        <v>1</v>
      </c>
    </row>
    <row r="427">
      <c r="A427" s="7" t="inlineStr">
        <is>
          <t>MAT-08-211</t>
        </is>
      </c>
      <c r="B427" s="4" t="inlineStr">
        <is>
          <t>Mosaico cerámico en malla, 60 x 20 cm</t>
        </is>
      </c>
      <c r="C427" s="7" t="inlineStr">
        <is>
          <t>m²</t>
        </is>
      </c>
      <c r="D427" s="8" t="n">
        <v>743.62</v>
      </c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>
        <f>IF(COUNT(D427:P427)=0,"",MIN(D427:P427))</f>
        <v/>
      </c>
      <c r="R427" s="8">
        <f>IF(COUNT(D427:P427)=0,"",MEDIAN(D427:P427))</f>
        <v/>
      </c>
      <c r="S427" s="8">
        <f>IF(COUNT(D427:P427)=0,"",MAX(D427:P427))</f>
        <v/>
      </c>
      <c r="T427" s="9">
        <f>IF(OR(Q427="",Q427=0),"",(S427-Q427)/Q427)</f>
        <v/>
      </c>
      <c r="U427" s="7">
        <f>IF(COUNT(D427:P427)=0,"",INDEX($D$1:$P$1,MATCH(MIN(D427:P427),D427:P427,0)))</f>
        <v/>
      </c>
      <c r="V427" s="8" t="n">
        <v>743.62</v>
      </c>
      <c r="W427" s="10" t="n">
        <v>1</v>
      </c>
    </row>
    <row r="428">
      <c r="A428" s="7" t="inlineStr">
        <is>
          <t>MAT-08-212</t>
        </is>
      </c>
      <c r="B428" s="4" t="inlineStr">
        <is>
          <t>Mosaico cerámico en malla, 7.5 x 7.5 cm</t>
        </is>
      </c>
      <c r="C428" s="7" t="inlineStr">
        <is>
          <t>m²</t>
        </is>
      </c>
      <c r="D428" s="8" t="n"/>
      <c r="E428" s="8" t="n"/>
      <c r="F428" s="8" t="n">
        <v>1454.78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>
        <f>IF(COUNT(D428:P428)=0,"",MIN(D428:P428))</f>
        <v/>
      </c>
      <c r="R428" s="8">
        <f>IF(COUNT(D428:P428)=0,"",MEDIAN(D428:P428))</f>
        <v/>
      </c>
      <c r="S428" s="8">
        <f>IF(COUNT(D428:P428)=0,"",MAX(D428:P428))</f>
        <v/>
      </c>
      <c r="T428" s="9">
        <f>IF(OR(Q428="",Q428=0),"",(S428-Q428)/Q428)</f>
        <v/>
      </c>
      <c r="U428" s="7">
        <f>IF(COUNT(D428:P428)=0,"",INDEX($D$1:$P$1,MATCH(MIN(D428:P428),D428:P428,0)))</f>
        <v/>
      </c>
      <c r="V428" s="8" t="n">
        <v>1771.16</v>
      </c>
      <c r="W428" s="10" t="n">
        <v>1</v>
      </c>
    </row>
    <row r="429">
      <c r="A429" s="7" t="inlineStr">
        <is>
          <t>MAT-08-213</t>
        </is>
      </c>
      <c r="B429" s="4" t="inlineStr">
        <is>
          <t>Peldaño cerámico recto, 120 x 30 cm</t>
        </is>
      </c>
      <c r="C429" s="7" t="inlineStr">
        <is>
          <t>unidad</t>
        </is>
      </c>
      <c r="D429" s="8" t="n">
        <v>1719.56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>
        <f>IF(COUNT(D429:P429)=0,"",MIN(D429:P429))</f>
        <v/>
      </c>
      <c r="R429" s="8">
        <f>IF(COUNT(D429:P429)=0,"",MEDIAN(D429:P429))</f>
        <v/>
      </c>
      <c r="S429" s="8">
        <f>IF(COUNT(D429:P429)=0,"",MAX(D429:P429))</f>
        <v/>
      </c>
      <c r="T429" s="9">
        <f>IF(OR(Q429="",Q429=0),"",(S429-Q429)/Q429)</f>
        <v/>
      </c>
      <c r="U429" s="7">
        <f>IF(COUNT(D429:P429)=0,"",INDEX($D$1:$P$1,MATCH(MIN(D429:P429),D429:P429,0)))</f>
        <v/>
      </c>
      <c r="V429" s="8" t="n">
        <v>2028.35</v>
      </c>
      <c r="W429" s="10" t="n">
        <v>1</v>
      </c>
    </row>
    <row r="430">
      <c r="A430" s="7" t="inlineStr">
        <is>
          <t>MAT-08-214</t>
        </is>
      </c>
      <c r="B430" s="4" t="inlineStr">
        <is>
          <t>Peldaño cerámico recto, 120 x 33 cm</t>
        </is>
      </c>
      <c r="C430" s="7" t="inlineStr">
        <is>
          <t>unidad</t>
        </is>
      </c>
      <c r="D430" s="8" t="n">
        <v>3607.11</v>
      </c>
      <c r="E430" s="8" t="n"/>
      <c r="F430" s="8" t="n"/>
      <c r="G430" s="8" t="n"/>
      <c r="H430" s="8" t="n">
        <v>8990</v>
      </c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>
        <f>IF(COUNT(D430:P430)=0,"",MIN(D430:P430))</f>
        <v/>
      </c>
      <c r="R430" s="8">
        <f>IF(COUNT(D430:P430)=0,"",MEDIAN(D430:P430))</f>
        <v/>
      </c>
      <c r="S430" s="8">
        <f>IF(COUNT(D430:P430)=0,"",MAX(D430:P430))</f>
        <v/>
      </c>
      <c r="T430" s="9">
        <f>IF(OR(Q430="",Q430=0),"",(S430-Q430)/Q430)</f>
        <v/>
      </c>
      <c r="U430" s="7">
        <f>IF(COUNT(D430:P430)=0,"",INDEX($D$1:$P$1,MATCH(MIN(D430:P430),D430:P430,0)))</f>
        <v/>
      </c>
      <c r="V430" s="8" t="n">
        <v>5478.1</v>
      </c>
      <c r="W430" s="10" t="n">
        <v>2</v>
      </c>
    </row>
    <row r="431">
      <c r="A431" s="7" t="inlineStr">
        <is>
          <t>MAT-08-215</t>
        </is>
      </c>
      <c r="B431" s="4" t="inlineStr">
        <is>
          <t>Set de huella y contrahuella, 1 cm</t>
        </is>
      </c>
      <c r="C431" s="7" t="inlineStr">
        <is>
          <t>juego</t>
        </is>
      </c>
      <c r="D431" s="8" t="n">
        <v>1266.29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>
        <f>IF(COUNT(D431:P431)=0,"",MIN(D431:P431))</f>
        <v/>
      </c>
      <c r="R431" s="8">
        <f>IF(COUNT(D431:P431)=0,"",MEDIAN(D431:P431))</f>
        <v/>
      </c>
      <c r="S431" s="8">
        <f>IF(COUNT(D431:P431)=0,"",MAX(D431:P431))</f>
        <v/>
      </c>
      <c r="T431" s="9">
        <f>IF(OR(Q431="",Q431=0),"",(S431-Q431)/Q431)</f>
        <v/>
      </c>
      <c r="U431" s="7">
        <f>IF(COUNT(D431:P431)=0,"",INDEX($D$1:$P$1,MATCH(MIN(D431:P431),D431:P431,0)))</f>
        <v/>
      </c>
      <c r="V431" s="8" t="n">
        <v>1427.79</v>
      </c>
      <c r="W431" s="10" t="n">
        <v>1</v>
      </c>
    </row>
    <row r="432">
      <c r="A432" s="7" t="inlineStr">
        <is>
          <t>MAT-08-216</t>
        </is>
      </c>
      <c r="B432" s="4" t="inlineStr">
        <is>
          <t>Set de huella y contrahuella, 120 cm</t>
        </is>
      </c>
      <c r="C432" s="7" t="inlineStr">
        <is>
          <t>juego</t>
        </is>
      </c>
      <c r="D432" s="8" t="n">
        <v>1170.21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>
        <f>IF(COUNT(D432:P432)=0,"",MIN(D432:P432))</f>
        <v/>
      </c>
      <c r="R432" s="8">
        <f>IF(COUNT(D432:P432)=0,"",MEDIAN(D432:P432))</f>
        <v/>
      </c>
      <c r="S432" s="8">
        <f>IF(COUNT(D432:P432)=0,"",MAX(D432:P432))</f>
        <v/>
      </c>
      <c r="T432" s="9">
        <f>IF(OR(Q432="",Q432=0),"",(S432-Q432)/Q432)</f>
        <v/>
      </c>
      <c r="U432" s="7">
        <f>IF(COUNT(D432:P432)=0,"",INDEX($D$1:$P$1,MATCH(MIN(D432:P432),D432:P432,0)))</f>
        <v/>
      </c>
      <c r="V432" s="8" t="n">
        <v>1218.66</v>
      </c>
      <c r="W432" s="10" t="n">
        <v>1</v>
      </c>
    </row>
    <row r="433">
      <c r="A433" s="7" t="inlineStr">
        <is>
          <t>MAT-08-217</t>
        </is>
      </c>
      <c r="B433" s="4" t="inlineStr">
        <is>
          <t>Borde para peldaño, 70 cm</t>
        </is>
      </c>
      <c r="C433" s="7" t="inlineStr">
        <is>
          <t>unidad</t>
        </is>
      </c>
      <c r="D433" s="8" t="n">
        <v>425.5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>
        <f>IF(COUNT(D433:P433)=0,"",MIN(D433:P433))</f>
        <v/>
      </c>
      <c r="R433" s="8">
        <f>IF(COUNT(D433:P433)=0,"",MEDIAN(D433:P433))</f>
        <v/>
      </c>
      <c r="S433" s="8">
        <f>IF(COUNT(D433:P433)=0,"",MAX(D433:P433))</f>
        <v/>
      </c>
      <c r="T433" s="9">
        <f>IF(OR(Q433="",Q433=0),"",(S433-Q433)/Q433)</f>
        <v/>
      </c>
      <c r="U433" s="7">
        <f>IF(COUNT(D433:P433)=0,"",INDEX($D$1:$P$1,MATCH(MIN(D433:P433),D433:P433,0)))</f>
        <v/>
      </c>
      <c r="V433" s="8" t="n">
        <v>443.77</v>
      </c>
      <c r="W433" s="10" t="n">
        <v>1</v>
      </c>
    </row>
    <row r="434">
      <c r="A434" s="7" t="inlineStr">
        <is>
          <t>MAT-08-218</t>
        </is>
      </c>
      <c r="B434" s="4" t="inlineStr">
        <is>
          <t>Rodapié de cerámica</t>
        </is>
      </c>
      <c r="C434" s="7" t="inlineStr">
        <is>
          <t>ml</t>
        </is>
      </c>
      <c r="D434" s="8" t="n"/>
      <c r="E434" s="8" t="n"/>
      <c r="F434" s="8" t="n"/>
      <c r="G434" s="8" t="n"/>
      <c r="H434" s="8" t="n">
        <v>189.99</v>
      </c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>
        <f>IF(COUNT(D434:P434)=0,"",MIN(D434:P434))</f>
        <v/>
      </c>
      <c r="R434" s="8">
        <f>IF(COUNT(D434:P434)=0,"",MEDIAN(D434:P434))</f>
        <v/>
      </c>
      <c r="S434" s="8">
        <f>IF(COUNT(D434:P434)=0,"",MAX(D434:P434))</f>
        <v/>
      </c>
      <c r="T434" s="9">
        <f>IF(OR(Q434="",Q434=0),"",(S434-Q434)/Q434)</f>
        <v/>
      </c>
      <c r="U434" s="7">
        <f>IF(COUNT(D434:P434)=0,"",INDEX($D$1:$P$1,MATCH(MIN(D434:P434),D434:P434,0)))</f>
        <v/>
      </c>
      <c r="V434" s="8" t="n">
        <v>189.99</v>
      </c>
      <c r="W434" s="10" t="n">
        <v>1</v>
      </c>
    </row>
    <row r="435">
      <c r="A435" s="7" t="inlineStr">
        <is>
          <t>MAT-08-219</t>
        </is>
      </c>
      <c r="B435" s="4" t="inlineStr">
        <is>
          <t>Rodapié de mármol</t>
        </is>
      </c>
      <c r="C435" s="7" t="inlineStr">
        <is>
          <t>ml</t>
        </is>
      </c>
      <c r="D435" s="8" t="n">
        <v>1395.33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>
        <f>IF(COUNT(D435:P435)=0,"",MIN(D435:P435))</f>
        <v/>
      </c>
      <c r="R435" s="8">
        <f>IF(COUNT(D435:P435)=0,"",MEDIAN(D435:P435))</f>
        <v/>
      </c>
      <c r="S435" s="8">
        <f>IF(COUNT(D435:P435)=0,"",MAX(D435:P435))</f>
        <v/>
      </c>
      <c r="T435" s="9">
        <f>IF(OR(Q435="",Q435=0),"",(S435-Q435)/Q435)</f>
        <v/>
      </c>
      <c r="U435" s="7">
        <f>IF(COUNT(D435:P435)=0,"",INDEX($D$1:$P$1,MATCH(MIN(D435:P435),D435:P435,0)))</f>
        <v/>
      </c>
      <c r="V435" s="8" t="n">
        <v>1395.33</v>
      </c>
      <c r="W435" s="10" t="n">
        <v>1</v>
      </c>
    </row>
    <row r="436">
      <c r="A436" s="7" t="inlineStr">
        <is>
          <t>MAT-08-220</t>
        </is>
      </c>
      <c r="B436" s="4" t="inlineStr">
        <is>
          <t>Rodapié de vinil</t>
        </is>
      </c>
      <c r="C436" s="7" t="inlineStr">
        <is>
          <t>ml</t>
        </is>
      </c>
      <c r="D436" s="8" t="n"/>
      <c r="E436" s="8" t="n"/>
      <c r="F436" s="8" t="n">
        <v>375.32</v>
      </c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>
        <f>IF(COUNT(D436:P436)=0,"",MIN(D436:P436))</f>
        <v/>
      </c>
      <c r="R436" s="8">
        <f>IF(COUNT(D436:P436)=0,"",MEDIAN(D436:P436))</f>
        <v/>
      </c>
      <c r="S436" s="8">
        <f>IF(COUNT(D436:P436)=0,"",MAX(D436:P436))</f>
        <v/>
      </c>
      <c r="T436" s="9">
        <f>IF(OR(Q436="",Q436=0),"",(S436-Q436)/Q436)</f>
        <v/>
      </c>
      <c r="U436" s="7">
        <f>IF(COUNT(D436:P436)=0,"",INDEX($D$1:$P$1,MATCH(MIN(D436:P436),D436:P436,0)))</f>
        <v/>
      </c>
      <c r="V436" s="8" t="n">
        <v>552.91</v>
      </c>
      <c r="W436" s="10" t="n">
        <v>1</v>
      </c>
    </row>
    <row r="437">
      <c r="A437" s="7" t="inlineStr">
        <is>
          <t>MAT-08-221</t>
        </is>
      </c>
      <c r="B437" s="4" t="inlineStr">
        <is>
          <t>Perfil de canto de acero inoxidable, 10 mm</t>
        </is>
      </c>
      <c r="C437" s="7" t="inlineStr">
        <is>
          <t>unidad</t>
        </is>
      </c>
      <c r="D437" s="8" t="n"/>
      <c r="E437" s="8" t="n"/>
      <c r="F437" s="8" t="n">
        <v>2112.54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>
        <f>IF(COUNT(D437:P437)=0,"",MIN(D437:P437))</f>
        <v/>
      </c>
      <c r="R437" s="8">
        <f>IF(COUNT(D437:P437)=0,"",MEDIAN(D437:P437))</f>
        <v/>
      </c>
      <c r="S437" s="8">
        <f>IF(COUNT(D437:P437)=0,"",MAX(D437:P437))</f>
        <v/>
      </c>
      <c r="T437" s="9">
        <f>IF(OR(Q437="",Q437=0),"",(S437-Q437)/Q437)</f>
        <v/>
      </c>
      <c r="U437" s="7">
        <f>IF(COUNT(D437:P437)=0,"",INDEX($D$1:$P$1,MATCH(MIN(D437:P437),D437:P437,0)))</f>
        <v/>
      </c>
      <c r="V437" s="8" t="n">
        <v>2878.24</v>
      </c>
      <c r="W437" s="10" t="n">
        <v>1</v>
      </c>
    </row>
    <row r="438">
      <c r="A438" s="7" t="inlineStr">
        <is>
          <t>MAT-08-222</t>
        </is>
      </c>
      <c r="B438" s="4" t="inlineStr">
        <is>
          <t>Perfil de canto de acero inoxidable, 12 mm</t>
        </is>
      </c>
      <c r="C438" s="7" t="inlineStr">
        <is>
          <t>unidad</t>
        </is>
      </c>
      <c r="D438" s="8" t="n">
        <v>832.63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>
        <f>IF(COUNT(D438:P438)=0,"",MIN(D438:P438))</f>
        <v/>
      </c>
      <c r="R438" s="8">
        <f>IF(COUNT(D438:P438)=0,"",MEDIAN(D438:P438))</f>
        <v/>
      </c>
      <c r="S438" s="8">
        <f>IF(COUNT(D438:P438)=0,"",MAX(D438:P438))</f>
        <v/>
      </c>
      <c r="T438" s="9">
        <f>IF(OR(Q438="",Q438=0),"",(S438-Q438)/Q438)</f>
        <v/>
      </c>
      <c r="U438" s="7">
        <f>IF(COUNT(D438:P438)=0,"",INDEX($D$1:$P$1,MATCH(MIN(D438:P438),D438:P438,0)))</f>
        <v/>
      </c>
      <c r="V438" s="8" t="n">
        <v>844.55</v>
      </c>
      <c r="W438" s="10" t="n">
        <v>1</v>
      </c>
    </row>
    <row r="439">
      <c r="A439" s="7" t="inlineStr">
        <is>
          <t>MAT-08-223</t>
        </is>
      </c>
      <c r="B439" s="4" t="inlineStr">
        <is>
          <t>Perfil de canto de acero inoxidable, 12.5 mm</t>
        </is>
      </c>
      <c r="C439" s="7" t="inlineStr">
        <is>
          <t>unidad</t>
        </is>
      </c>
      <c r="D439" s="8" t="n"/>
      <c r="E439" s="8" t="n"/>
      <c r="F439" s="8" t="n">
        <v>2897.42</v>
      </c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>
        <f>IF(COUNT(D439:P439)=0,"",MIN(D439:P439))</f>
        <v/>
      </c>
      <c r="R439" s="8">
        <f>IF(COUNT(D439:P439)=0,"",MEDIAN(D439:P439))</f>
        <v/>
      </c>
      <c r="S439" s="8">
        <f>IF(COUNT(D439:P439)=0,"",MAX(D439:P439))</f>
        <v/>
      </c>
      <c r="T439" s="9">
        <f>IF(OR(Q439="",Q439=0),"",(S439-Q439)/Q439)</f>
        <v/>
      </c>
      <c r="U439" s="7">
        <f>IF(COUNT(D439:P439)=0,"",INDEX($D$1:$P$1,MATCH(MIN(D439:P439),D439:P439,0)))</f>
        <v/>
      </c>
      <c r="V439" s="8" t="n">
        <v>3418.96</v>
      </c>
      <c r="W439" s="10" t="n">
        <v>1</v>
      </c>
    </row>
    <row r="440">
      <c r="A440" s="7" t="inlineStr">
        <is>
          <t>MAT-08-224</t>
        </is>
      </c>
      <c r="B440" s="4" t="inlineStr">
        <is>
          <t>Perfil de canto de aluminio, 10 mm</t>
        </is>
      </c>
      <c r="C440" s="7" t="inlineStr">
        <is>
          <t>unidad</t>
        </is>
      </c>
      <c r="D440" s="8" t="n">
        <v>573.59</v>
      </c>
      <c r="E440" s="8" t="n"/>
      <c r="F440" s="8" t="n">
        <v>942.34</v>
      </c>
      <c r="G440" s="8" t="n"/>
      <c r="H440" s="8" t="n">
        <v>890</v>
      </c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>
        <f>IF(COUNT(D440:P440)=0,"",MIN(D440:P440))</f>
        <v/>
      </c>
      <c r="R440" s="8">
        <f>IF(COUNT(D440:P440)=0,"",MEDIAN(D440:P440))</f>
        <v/>
      </c>
      <c r="S440" s="8">
        <f>IF(COUNT(D440:P440)=0,"",MAX(D440:P440))</f>
        <v/>
      </c>
      <c r="T440" s="9">
        <f>IF(OR(Q440="",Q440=0),"",(S440-Q440)/Q440)</f>
        <v/>
      </c>
      <c r="U440" s="7">
        <f>IF(COUNT(D440:P440)=0,"",INDEX($D$1:$P$1,MATCH(MIN(D440:P440),D440:P440,0)))</f>
        <v/>
      </c>
      <c r="V440" s="8" t="n">
        <v>1574.47</v>
      </c>
      <c r="W440" s="10" t="n">
        <v>3</v>
      </c>
    </row>
    <row r="441">
      <c r="A441" s="7" t="inlineStr">
        <is>
          <t>MAT-08-225</t>
        </is>
      </c>
      <c r="B441" s="4" t="inlineStr">
        <is>
          <t>Perfil de canto de aluminio, 12 mm</t>
        </is>
      </c>
      <c r="C441" s="7" t="inlineStr">
        <is>
          <t>unidad</t>
        </is>
      </c>
      <c r="D441" s="8" t="n">
        <v>521.95</v>
      </c>
      <c r="E441" s="8" t="n"/>
      <c r="F441" s="8" t="n"/>
      <c r="G441" s="8" t="n"/>
      <c r="H441" s="8" t="n">
        <v>649.99</v>
      </c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>
        <f>IF(COUNT(D441:P441)=0,"",MIN(D441:P441))</f>
        <v/>
      </c>
      <c r="R441" s="8">
        <f>IF(COUNT(D441:P441)=0,"",MEDIAN(D441:P441))</f>
        <v/>
      </c>
      <c r="S441" s="8">
        <f>IF(COUNT(D441:P441)=0,"",MAX(D441:P441))</f>
        <v/>
      </c>
      <c r="T441" s="9">
        <f>IF(OR(Q441="",Q441=0),"",(S441-Q441)/Q441)</f>
        <v/>
      </c>
      <c r="U441" s="7">
        <f>IF(COUNT(D441:P441)=0,"",INDEX($D$1:$P$1,MATCH(MIN(D441:P441),D441:P441,0)))</f>
        <v/>
      </c>
      <c r="V441" s="8" t="n">
        <v>2100</v>
      </c>
      <c r="W441" s="10" t="n">
        <v>2</v>
      </c>
    </row>
    <row r="442">
      <c r="A442" s="7" t="inlineStr">
        <is>
          <t>MAT-08-226</t>
        </is>
      </c>
      <c r="B442" s="4" t="inlineStr">
        <is>
          <t>Perfil de canto de aluminio, 12.5 mm</t>
        </is>
      </c>
      <c r="C442" s="7" t="inlineStr">
        <is>
          <t>unidad</t>
        </is>
      </c>
      <c r="D442" s="8" t="n"/>
      <c r="E442" s="8" t="n"/>
      <c r="F442" s="8" t="n"/>
      <c r="G442" s="8" t="n"/>
      <c r="H442" s="8" t="n">
        <v>2100</v>
      </c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>
        <f>IF(COUNT(D442:P442)=0,"",MIN(D442:P442))</f>
        <v/>
      </c>
      <c r="R442" s="8">
        <f>IF(COUNT(D442:P442)=0,"",MEDIAN(D442:P442))</f>
        <v/>
      </c>
      <c r="S442" s="8">
        <f>IF(COUNT(D442:P442)=0,"",MAX(D442:P442))</f>
        <v/>
      </c>
      <c r="T442" s="9">
        <f>IF(OR(Q442="",Q442=0),"",(S442-Q442)/Q442)</f>
        <v/>
      </c>
      <c r="U442" s="7">
        <f>IF(COUNT(D442:P442)=0,"",INDEX($D$1:$P$1,MATCH(MIN(D442:P442),D442:P442,0)))</f>
        <v/>
      </c>
      <c r="V442" s="8" t="n">
        <v>2241.28</v>
      </c>
      <c r="W442" s="10" t="n">
        <v>1</v>
      </c>
    </row>
    <row r="443">
      <c r="A443" s="7" t="inlineStr">
        <is>
          <t>MAT-08-227</t>
        </is>
      </c>
      <c r="B443" s="4" t="inlineStr">
        <is>
          <t>Perfil de canto de aluminio, 13 mm</t>
        </is>
      </c>
      <c r="C443" s="7" t="inlineStr">
        <is>
          <t>unidad</t>
        </is>
      </c>
      <c r="D443" s="8" t="n"/>
      <c r="E443" s="8" t="n"/>
      <c r="F443" s="8" t="n"/>
      <c r="G443" s="8" t="n"/>
      <c r="H443" s="8" t="n">
        <v>1699.99</v>
      </c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>
        <f>IF(COUNT(D443:P443)=0,"",MIN(D443:P443))</f>
        <v/>
      </c>
      <c r="R443" s="8">
        <f>IF(COUNT(D443:P443)=0,"",MEDIAN(D443:P443))</f>
        <v/>
      </c>
      <c r="S443" s="8">
        <f>IF(COUNT(D443:P443)=0,"",MAX(D443:P443))</f>
        <v/>
      </c>
      <c r="T443" s="9">
        <f>IF(OR(Q443="",Q443=0),"",(S443-Q443)/Q443)</f>
        <v/>
      </c>
      <c r="U443" s="7">
        <f>IF(COUNT(D443:P443)=0,"",INDEX($D$1:$P$1,MATCH(MIN(D443:P443),D443:P443,0)))</f>
        <v/>
      </c>
      <c r="V443" s="8" t="n">
        <v>1699.99</v>
      </c>
      <c r="W443" s="10" t="n">
        <v>1</v>
      </c>
    </row>
    <row r="444">
      <c r="A444" s="7" t="inlineStr">
        <is>
          <t>MAT-08-228</t>
        </is>
      </c>
      <c r="B444" s="4" t="inlineStr">
        <is>
          <t>Perfil de canto de aluminio, 2.7 mm</t>
        </is>
      </c>
      <c r="C444" s="7" t="inlineStr">
        <is>
          <t>unidad</t>
        </is>
      </c>
      <c r="D444" s="8" t="n"/>
      <c r="E444" s="8" t="n"/>
      <c r="F444" s="8" t="n"/>
      <c r="G444" s="8" t="n"/>
      <c r="H444" s="8" t="n">
        <v>2500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>
        <f>IF(COUNT(D444:P444)=0,"",MIN(D444:P444))</f>
        <v/>
      </c>
      <c r="R444" s="8">
        <f>IF(COUNT(D444:P444)=0,"",MEDIAN(D444:P444))</f>
        <v/>
      </c>
      <c r="S444" s="8">
        <f>IF(COUNT(D444:P444)=0,"",MAX(D444:P444))</f>
        <v/>
      </c>
      <c r="T444" s="9">
        <f>IF(OR(Q444="",Q444=0),"",(S444-Q444)/Q444)</f>
        <v/>
      </c>
      <c r="U444" s="7">
        <f>IF(COUNT(D444:P444)=0,"",INDEX($D$1:$P$1,MATCH(MIN(D444:P444),D444:P444,0)))</f>
        <v/>
      </c>
      <c r="V444" s="8" t="n">
        <v>2500</v>
      </c>
      <c r="W444" s="10" t="n">
        <v>1</v>
      </c>
    </row>
    <row r="445">
      <c r="A445" s="7" t="inlineStr">
        <is>
          <t>MAT-08-229</t>
        </is>
      </c>
      <c r="B445" s="4" t="inlineStr">
        <is>
          <t>Perfil de canto de aluminio, 20 mm</t>
        </is>
      </c>
      <c r="C445" s="7" t="inlineStr">
        <is>
          <t>unidad</t>
        </is>
      </c>
      <c r="D445" s="8" t="n">
        <v>775.1900000000001</v>
      </c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>
        <f>IF(COUNT(D445:P445)=0,"",MIN(D445:P445))</f>
        <v/>
      </c>
      <c r="R445" s="8">
        <f>IF(COUNT(D445:P445)=0,"",MEDIAN(D445:P445))</f>
        <v/>
      </c>
      <c r="S445" s="8">
        <f>IF(COUNT(D445:P445)=0,"",MAX(D445:P445))</f>
        <v/>
      </c>
      <c r="T445" s="9">
        <f>IF(OR(Q445="",Q445=0),"",(S445-Q445)/Q445)</f>
        <v/>
      </c>
      <c r="U445" s="7">
        <f>IF(COUNT(D445:P445)=0,"",INDEX($D$1:$P$1,MATCH(MIN(D445:P445),D445:P445,0)))</f>
        <v/>
      </c>
      <c r="V445" s="8" t="n">
        <v>1024.48</v>
      </c>
      <c r="W445" s="10" t="n">
        <v>1</v>
      </c>
    </row>
    <row r="446">
      <c r="A446" s="7" t="inlineStr">
        <is>
          <t>MAT-08-230</t>
        </is>
      </c>
      <c r="B446" s="4" t="inlineStr">
        <is>
          <t>Perfil de canto de aluminio, 25 mm</t>
        </is>
      </c>
      <c r="C446" s="7" t="inlineStr">
        <is>
          <t>unidad</t>
        </is>
      </c>
      <c r="D446" s="8" t="n">
        <v>627.91</v>
      </c>
      <c r="E446" s="8" t="n"/>
      <c r="F446" s="8" t="n"/>
      <c r="G446" s="8" t="n"/>
      <c r="H446" s="8" t="n">
        <v>1750</v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>
        <f>IF(COUNT(D446:P446)=0,"",MIN(D446:P446))</f>
        <v/>
      </c>
      <c r="R446" s="8">
        <f>IF(COUNT(D446:P446)=0,"",MEDIAN(D446:P446))</f>
        <v/>
      </c>
      <c r="S446" s="8">
        <f>IF(COUNT(D446:P446)=0,"",MAX(D446:P446))</f>
        <v/>
      </c>
      <c r="T446" s="9">
        <f>IF(OR(Q446="",Q446=0),"",(S446-Q446)/Q446)</f>
        <v/>
      </c>
      <c r="U446" s="7">
        <f>IF(COUNT(D446:P446)=0,"",INDEX($D$1:$P$1,MATCH(MIN(D446:P446),D446:P446,0)))</f>
        <v/>
      </c>
      <c r="V446" s="8" t="n">
        <v>2161.21</v>
      </c>
      <c r="W446" s="10" t="n">
        <v>2</v>
      </c>
    </row>
    <row r="447">
      <c r="A447" s="7" t="inlineStr">
        <is>
          <t>MAT-08-231</t>
        </is>
      </c>
      <c r="B447" s="4" t="inlineStr">
        <is>
          <t>Perfil de canto de aluminio, 70 mm</t>
        </is>
      </c>
      <c r="C447" s="7" t="inlineStr">
        <is>
          <t>unidad</t>
        </is>
      </c>
      <c r="D447" s="8" t="n"/>
      <c r="E447" s="8" t="n"/>
      <c r="F447" s="8" t="n"/>
      <c r="G447" s="8" t="n"/>
      <c r="H447" s="8" t="n">
        <v>3400</v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>
        <f>IF(COUNT(D447:P447)=0,"",MIN(D447:P447))</f>
        <v/>
      </c>
      <c r="R447" s="8">
        <f>IF(COUNT(D447:P447)=0,"",MEDIAN(D447:P447))</f>
        <v/>
      </c>
      <c r="S447" s="8">
        <f>IF(COUNT(D447:P447)=0,"",MAX(D447:P447))</f>
        <v/>
      </c>
      <c r="T447" s="9">
        <f>IF(OR(Q447="",Q447=0),"",(S447-Q447)/Q447)</f>
        <v/>
      </c>
      <c r="U447" s="7">
        <f>IF(COUNT(D447:P447)=0,"",INDEX($D$1:$P$1,MATCH(MIN(D447:P447),D447:P447,0)))</f>
        <v/>
      </c>
      <c r="V447" s="8" t="n">
        <v>4875</v>
      </c>
      <c r="W447" s="10" t="n">
        <v>1</v>
      </c>
    </row>
    <row r="448">
      <c r="A448" s="7" t="inlineStr">
        <is>
          <t>MAT-08-232</t>
        </is>
      </c>
      <c r="B448" s="4" t="inlineStr">
        <is>
          <t>Perfil de canto de aluminio, 9 mm</t>
        </is>
      </c>
      <c r="C448" s="7" t="inlineStr">
        <is>
          <t>unidad</t>
        </is>
      </c>
      <c r="D448" s="8" t="n"/>
      <c r="E448" s="8" t="n"/>
      <c r="F448" s="8" t="n"/>
      <c r="G448" s="8" t="n"/>
      <c r="H448" s="8" t="n">
        <v>1189.99</v>
      </c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>
        <f>IF(COUNT(D448:P448)=0,"",MIN(D448:P448))</f>
        <v/>
      </c>
      <c r="R448" s="8">
        <f>IF(COUNT(D448:P448)=0,"",MEDIAN(D448:P448))</f>
        <v/>
      </c>
      <c r="S448" s="8">
        <f>IF(COUNT(D448:P448)=0,"",MAX(D448:P448))</f>
        <v/>
      </c>
      <c r="T448" s="9">
        <f>IF(OR(Q448="",Q448=0),"",(S448-Q448)/Q448)</f>
        <v/>
      </c>
      <c r="U448" s="7">
        <f>IF(COUNT(D448:P448)=0,"",INDEX($D$1:$P$1,MATCH(MIN(D448:P448),D448:P448,0)))</f>
        <v/>
      </c>
      <c r="V448" s="8" t="n">
        <v>1189.99</v>
      </c>
      <c r="W448" s="10" t="n">
        <v>1</v>
      </c>
    </row>
    <row r="449">
      <c r="A449" s="7" t="inlineStr">
        <is>
          <t>MAT-08-233</t>
        </is>
      </c>
      <c r="B449" s="4" t="inlineStr">
        <is>
          <t>Perfil de canto de fibra vegetal, 10 mm</t>
        </is>
      </c>
      <c r="C449" s="7" t="inlineStr">
        <is>
          <t>unidad</t>
        </is>
      </c>
      <c r="D449" s="8" t="n">
        <v>365.33</v>
      </c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>
        <f>IF(COUNT(D449:P449)=0,"",MIN(D449:P449))</f>
        <v/>
      </c>
      <c r="R449" s="8">
        <f>IF(COUNT(D449:P449)=0,"",MEDIAN(D449:P449))</f>
        <v/>
      </c>
      <c r="S449" s="8">
        <f>IF(COUNT(D449:P449)=0,"",MAX(D449:P449))</f>
        <v/>
      </c>
      <c r="T449" s="9">
        <f>IF(OR(Q449="",Q449=0),"",(S449-Q449)/Q449)</f>
        <v/>
      </c>
      <c r="U449" s="7">
        <f>IF(COUNT(D449:P449)=0,"",INDEX($D$1:$P$1,MATCH(MIN(D449:P449),D449:P449,0)))</f>
        <v/>
      </c>
      <c r="V449" s="8" t="n">
        <v>396.66</v>
      </c>
      <c r="W449" s="10" t="n">
        <v>1</v>
      </c>
    </row>
    <row r="450">
      <c r="A450" s="7" t="inlineStr">
        <is>
          <t>MAT-08-234</t>
        </is>
      </c>
      <c r="B450" s="4" t="inlineStr">
        <is>
          <t>Perfil de canto de latón, 10 mm</t>
        </is>
      </c>
      <c r="C450" s="7" t="inlineStr">
        <is>
          <t>unidad</t>
        </is>
      </c>
      <c r="D450" s="8" t="n"/>
      <c r="E450" s="8" t="n"/>
      <c r="F450" s="8" t="n"/>
      <c r="G450" s="8" t="n"/>
      <c r="H450" s="8" t="n">
        <v>3254.44</v>
      </c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>
        <f>IF(COUNT(D450:P450)=0,"",MIN(D450:P450))</f>
        <v/>
      </c>
      <c r="R450" s="8">
        <f>IF(COUNT(D450:P450)=0,"",MEDIAN(D450:P450))</f>
        <v/>
      </c>
      <c r="S450" s="8">
        <f>IF(COUNT(D450:P450)=0,"",MAX(D450:P450))</f>
        <v/>
      </c>
      <c r="T450" s="9">
        <f>IF(OR(Q450="",Q450=0),"",(S450-Q450)/Q450)</f>
        <v/>
      </c>
      <c r="U450" s="7">
        <f>IF(COUNT(D450:P450)=0,"",INDEX($D$1:$P$1,MATCH(MIN(D450:P450),D450:P450,0)))</f>
        <v/>
      </c>
      <c r="V450" s="8" t="n">
        <v>3254.44</v>
      </c>
      <c r="W450" s="10" t="n">
        <v>1</v>
      </c>
    </row>
    <row r="451">
      <c r="A451" s="7" t="inlineStr">
        <is>
          <t>MAT-08-235</t>
        </is>
      </c>
      <c r="B451" s="4" t="inlineStr">
        <is>
          <t>Perfil de canto de PVC, 10 mm</t>
        </is>
      </c>
      <c r="C451" s="7" t="inlineStr">
        <is>
          <t>unidad</t>
        </is>
      </c>
      <c r="D451" s="8" t="n"/>
      <c r="E451" s="8" t="n"/>
      <c r="F451" s="8" t="n">
        <v>291.88</v>
      </c>
      <c r="G451" s="8" t="n"/>
      <c r="H451" s="8" t="n">
        <v>590</v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>
        <f>IF(COUNT(D451:P451)=0,"",MIN(D451:P451))</f>
        <v/>
      </c>
      <c r="R451" s="8">
        <f>IF(COUNT(D451:P451)=0,"",MEDIAN(D451:P451))</f>
        <v/>
      </c>
      <c r="S451" s="8">
        <f>IF(COUNT(D451:P451)=0,"",MAX(D451:P451))</f>
        <v/>
      </c>
      <c r="T451" s="9">
        <f>IF(OR(Q451="",Q451=0),"",(S451-Q451)/Q451)</f>
        <v/>
      </c>
      <c r="U451" s="7">
        <f>IF(COUNT(D451:P451)=0,"",INDEX($D$1:$P$1,MATCH(MIN(D451:P451),D451:P451,0)))</f>
        <v/>
      </c>
      <c r="V451" s="8" t="n">
        <v>391.85</v>
      </c>
      <c r="W451" s="10" t="n">
        <v>2</v>
      </c>
    </row>
    <row r="452">
      <c r="A452" s="7" t="inlineStr">
        <is>
          <t>MAT-08-236</t>
        </is>
      </c>
      <c r="B452" s="4" t="inlineStr">
        <is>
          <t>Perfil de canto de PVC, 5 mm</t>
        </is>
      </c>
      <c r="C452" s="7" t="inlineStr">
        <is>
          <t>unidad</t>
        </is>
      </c>
      <c r="D452" s="8" t="n">
        <v>66.68000000000001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>
        <f>IF(COUNT(D452:P452)=0,"",MIN(D452:P452))</f>
        <v/>
      </c>
      <c r="R452" s="8">
        <f>IF(COUNT(D452:P452)=0,"",MEDIAN(D452:P452))</f>
        <v/>
      </c>
      <c r="S452" s="8">
        <f>IF(COUNT(D452:P452)=0,"",MAX(D452:P452))</f>
        <v/>
      </c>
      <c r="T452" s="9">
        <f>IF(OR(Q452="",Q452=0),"",(S452-Q452)/Q452)</f>
        <v/>
      </c>
      <c r="U452" s="7">
        <f>IF(COUNT(D452:P452)=0,"",INDEX($D$1:$P$1,MATCH(MIN(D452:P452),D452:P452,0)))</f>
        <v/>
      </c>
      <c r="V452" s="8" t="n">
        <v>67.81999999999999</v>
      </c>
      <c r="W452" s="10" t="n">
        <v>1</v>
      </c>
    </row>
    <row r="453">
      <c r="A453" s="7" t="inlineStr">
        <is>
          <t>MAT-08-237</t>
        </is>
      </c>
      <c r="B453" s="4" t="inlineStr">
        <is>
          <t>Perfil de canto de PVC, 8 mm</t>
        </is>
      </c>
      <c r="C453" s="7" t="inlineStr">
        <is>
          <t>unidad</t>
        </is>
      </c>
      <c r="D453" s="8" t="n"/>
      <c r="E453" s="8" t="n"/>
      <c r="F453" s="8" t="n"/>
      <c r="G453" s="8" t="n">
        <v>248</v>
      </c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>
        <f>IF(COUNT(D453:P453)=0,"",MIN(D453:P453))</f>
        <v/>
      </c>
      <c r="R453" s="8">
        <f>IF(COUNT(D453:P453)=0,"",MEDIAN(D453:P453))</f>
        <v/>
      </c>
      <c r="S453" s="8">
        <f>IF(COUNT(D453:P453)=0,"",MAX(D453:P453))</f>
        <v/>
      </c>
      <c r="T453" s="9">
        <f>IF(OR(Q453="",Q453=0),"",(S453-Q453)/Q453)</f>
        <v/>
      </c>
      <c r="U453" s="7">
        <f>IF(COUNT(D453:P453)=0,"",INDEX($D$1:$P$1,MATCH(MIN(D453:P453),D453:P453,0)))</f>
        <v/>
      </c>
      <c r="V453" s="8" t="n">
        <v>248</v>
      </c>
      <c r="W453" s="10" t="n">
        <v>1</v>
      </c>
    </row>
    <row r="454">
      <c r="A454" s="7" t="inlineStr">
        <is>
          <t>MAT-08-238</t>
        </is>
      </c>
      <c r="B454" s="4" t="inlineStr">
        <is>
          <t>Perfil de canto de PVC, 8.5 mm</t>
        </is>
      </c>
      <c r="C454" s="7" t="inlineStr">
        <is>
          <t>unidad</t>
        </is>
      </c>
      <c r="D454" s="8" t="n">
        <v>66.61</v>
      </c>
      <c r="E454" s="8" t="n"/>
      <c r="F454" s="8" t="n"/>
      <c r="G454" s="8" t="n"/>
      <c r="H454" s="8" t="n">
        <v>224.99</v>
      </c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>
        <f>IF(COUNT(D454:P454)=0,"",MIN(D454:P454))</f>
        <v/>
      </c>
      <c r="R454" s="8">
        <f>IF(COUNT(D454:P454)=0,"",MEDIAN(D454:P454))</f>
        <v/>
      </c>
      <c r="S454" s="8">
        <f>IF(COUNT(D454:P454)=0,"",MAX(D454:P454))</f>
        <v/>
      </c>
      <c r="T454" s="9">
        <f>IF(OR(Q454="",Q454=0),"",(S454-Q454)/Q454)</f>
        <v/>
      </c>
      <c r="U454" s="7">
        <f>IF(COUNT(D454:P454)=0,"",INDEX($D$1:$P$1,MATCH(MIN(D454:P454),D454:P454,0)))</f>
        <v/>
      </c>
      <c r="V454" s="8" t="n">
        <v>68.95</v>
      </c>
      <c r="W454" s="10" t="n">
        <v>2</v>
      </c>
    </row>
    <row r="455">
      <c r="A455" s="7" t="inlineStr">
        <is>
          <t>MAT-08-239</t>
        </is>
      </c>
      <c r="B455" s="4" t="inlineStr">
        <is>
          <t>Junta de dilatación de aluminio, 12 mm</t>
        </is>
      </c>
      <c r="C455" s="7" t="inlineStr">
        <is>
          <t>unidad</t>
        </is>
      </c>
      <c r="D455" s="8" t="n"/>
      <c r="E455" s="8" t="n"/>
      <c r="F455" s="8" t="n"/>
      <c r="G455" s="8" t="n"/>
      <c r="H455" s="8" t="n">
        <v>5822.12</v>
      </c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>
        <f>IF(COUNT(D455:P455)=0,"",MIN(D455:P455))</f>
        <v/>
      </c>
      <c r="R455" s="8">
        <f>IF(COUNT(D455:P455)=0,"",MEDIAN(D455:P455))</f>
        <v/>
      </c>
      <c r="S455" s="8">
        <f>IF(COUNT(D455:P455)=0,"",MAX(D455:P455))</f>
        <v/>
      </c>
      <c r="T455" s="9">
        <f>IF(OR(Q455="",Q455=0),"",(S455-Q455)/Q455)</f>
        <v/>
      </c>
      <c r="U455" s="7">
        <f>IF(COUNT(D455:P455)=0,"",INDEX($D$1:$P$1,MATCH(MIN(D455:P455),D455:P455,0)))</f>
        <v/>
      </c>
      <c r="V455" s="8" t="n">
        <v>7649.35</v>
      </c>
      <c r="W455" s="10" t="n">
        <v>1</v>
      </c>
    </row>
    <row r="456">
      <c r="A456" s="7" t="inlineStr">
        <is>
          <t>MAT-08-240</t>
        </is>
      </c>
      <c r="B456" s="4" t="inlineStr">
        <is>
          <t>Junta de dilatación de aluminio, 14 mm</t>
        </is>
      </c>
      <c r="C456" s="7" t="inlineStr">
        <is>
          <t>unidad</t>
        </is>
      </c>
      <c r="D456" s="8" t="n"/>
      <c r="E456" s="8" t="n"/>
      <c r="F456" s="8" t="n"/>
      <c r="G456" s="8" t="n"/>
      <c r="H456" s="8" t="n">
        <v>1589.99</v>
      </c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>
        <f>IF(COUNT(D456:P456)=0,"",MIN(D456:P456))</f>
        <v/>
      </c>
      <c r="R456" s="8">
        <f>IF(COUNT(D456:P456)=0,"",MEDIAN(D456:P456))</f>
        <v/>
      </c>
      <c r="S456" s="8">
        <f>IF(COUNT(D456:P456)=0,"",MAX(D456:P456))</f>
        <v/>
      </c>
      <c r="T456" s="9">
        <f>IF(OR(Q456="",Q456=0),"",(S456-Q456)/Q456)</f>
        <v/>
      </c>
      <c r="U456" s="7">
        <f>IF(COUNT(D456:P456)=0,"",INDEX($D$1:$P$1,MATCH(MIN(D456:P456),D456:P456,0)))</f>
        <v/>
      </c>
      <c r="V456" s="8" t="n">
        <v>1589.99</v>
      </c>
      <c r="W456" s="10" t="n">
        <v>1</v>
      </c>
    </row>
    <row r="457">
      <c r="A457" s="7" t="inlineStr">
        <is>
          <t>MAT-08-241</t>
        </is>
      </c>
      <c r="B457" s="4" t="inlineStr">
        <is>
          <t>Junta de dilatación de aluminio, 26 mm</t>
        </is>
      </c>
      <c r="C457" s="7" t="inlineStr">
        <is>
          <t>unidad</t>
        </is>
      </c>
      <c r="D457" s="8" t="n"/>
      <c r="E457" s="8" t="n"/>
      <c r="F457" s="8" t="n"/>
      <c r="G457" s="8" t="n"/>
      <c r="H457" s="8" t="n">
        <v>6400</v>
      </c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>
        <f>IF(COUNT(D457:P457)=0,"",MIN(D457:P457))</f>
        <v/>
      </c>
      <c r="R457" s="8">
        <f>IF(COUNT(D457:P457)=0,"",MEDIAN(D457:P457))</f>
        <v/>
      </c>
      <c r="S457" s="8">
        <f>IF(COUNT(D457:P457)=0,"",MAX(D457:P457))</f>
        <v/>
      </c>
      <c r="T457" s="9">
        <f>IF(OR(Q457="",Q457=0),"",(S457-Q457)/Q457)</f>
        <v/>
      </c>
      <c r="U457" s="7">
        <f>IF(COUNT(D457:P457)=0,"",INDEX($D$1:$P$1,MATCH(MIN(D457:P457),D457:P457,0)))</f>
        <v/>
      </c>
      <c r="V457" s="8" t="n">
        <v>6400</v>
      </c>
      <c r="W457" s="10" t="n">
        <v>1</v>
      </c>
    </row>
    <row r="458">
      <c r="A458" s="7" t="inlineStr">
        <is>
          <t>MAT-08-242</t>
        </is>
      </c>
      <c r="B458" s="4" t="inlineStr">
        <is>
          <t>Junta de dilatación de PVC, 25 mm</t>
        </is>
      </c>
      <c r="C458" s="7" t="inlineStr">
        <is>
          <t>unidad</t>
        </is>
      </c>
      <c r="D458" s="8" t="n"/>
      <c r="E458" s="8" t="n"/>
      <c r="F458" s="8" t="n"/>
      <c r="G458" s="8" t="n"/>
      <c r="H458" s="8" t="n">
        <v>1100</v>
      </c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>
        <f>IF(COUNT(D458:P458)=0,"",MIN(D458:P458))</f>
        <v/>
      </c>
      <c r="R458" s="8">
        <f>IF(COUNT(D458:P458)=0,"",MEDIAN(D458:P458))</f>
        <v/>
      </c>
      <c r="S458" s="8">
        <f>IF(COUNT(D458:P458)=0,"",MAX(D458:P458))</f>
        <v/>
      </c>
      <c r="T458" s="9">
        <f>IF(OR(Q458="",Q458=0),"",(S458-Q458)/Q458)</f>
        <v/>
      </c>
      <c r="U458" s="7">
        <f>IF(COUNT(D458:P458)=0,"",INDEX($D$1:$P$1,MATCH(MIN(D458:P458),D458:P458,0)))</f>
        <v/>
      </c>
      <c r="V458" s="8" t="n">
        <v>1100</v>
      </c>
      <c r="W458" s="10" t="n">
        <v>1</v>
      </c>
    </row>
    <row r="459">
      <c r="A459" s="7" t="inlineStr">
        <is>
          <t>MAT-08-243</t>
        </is>
      </c>
      <c r="B459" s="4" t="inlineStr">
        <is>
          <t>Junta de dilatación de PVC, 8 mm</t>
        </is>
      </c>
      <c r="C459" s="7" t="inlineStr">
        <is>
          <t>unidad</t>
        </is>
      </c>
      <c r="D459" s="8" t="n"/>
      <c r="E459" s="8" t="n"/>
      <c r="F459" s="8" t="n"/>
      <c r="G459" s="8" t="n"/>
      <c r="H459" s="8" t="n">
        <v>490</v>
      </c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>
        <f>IF(COUNT(D459:P459)=0,"",MIN(D459:P459))</f>
        <v/>
      </c>
      <c r="R459" s="8">
        <f>IF(COUNT(D459:P459)=0,"",MEDIAN(D459:P459))</f>
        <v/>
      </c>
      <c r="S459" s="8">
        <f>IF(COUNT(D459:P459)=0,"",MAX(D459:P459))</f>
        <v/>
      </c>
      <c r="T459" s="9">
        <f>IF(OR(Q459="",Q459=0),"",(S459-Q459)/Q459)</f>
        <v/>
      </c>
      <c r="U459" s="7">
        <f>IF(COUNT(D459:P459)=0,"",INDEX($D$1:$P$1,MATCH(MIN(D459:P459),D459:P459,0)))</f>
        <v/>
      </c>
      <c r="V459" s="8" t="n">
        <v>720</v>
      </c>
      <c r="W459" s="10" t="n">
        <v>1</v>
      </c>
    </row>
    <row r="460">
      <c r="A460" s="7" t="inlineStr">
        <is>
          <t>MAT-08-244</t>
        </is>
      </c>
      <c r="B460" s="4" t="inlineStr">
        <is>
          <t>Perfil de peldaño de aluminio, 12 mm</t>
        </is>
      </c>
      <c r="C460" s="7" t="inlineStr">
        <is>
          <t>unidad</t>
        </is>
      </c>
      <c r="D460" s="8" t="n"/>
      <c r="E460" s="8" t="n"/>
      <c r="F460" s="8" t="n"/>
      <c r="G460" s="8" t="n"/>
      <c r="H460" s="8" t="n">
        <v>2190</v>
      </c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>
        <f>IF(COUNT(D460:P460)=0,"",MIN(D460:P460))</f>
        <v/>
      </c>
      <c r="R460" s="8">
        <f>IF(COUNT(D460:P460)=0,"",MEDIAN(D460:P460))</f>
        <v/>
      </c>
      <c r="S460" s="8">
        <f>IF(COUNT(D460:P460)=0,"",MAX(D460:P460))</f>
        <v/>
      </c>
      <c r="T460" s="9">
        <f>IF(OR(Q460="",Q460=0),"",(S460-Q460)/Q460)</f>
        <v/>
      </c>
      <c r="U460" s="7">
        <f>IF(COUNT(D460:P460)=0,"",INDEX($D$1:$P$1,MATCH(MIN(D460:P460),D460:P460,0)))</f>
        <v/>
      </c>
      <c r="V460" s="8" t="n">
        <v>3592.5</v>
      </c>
      <c r="W460" s="10" t="n">
        <v>1</v>
      </c>
    </row>
    <row r="461">
      <c r="A461" s="7" t="inlineStr">
        <is>
          <t>MAT-08-245</t>
        </is>
      </c>
      <c r="B461" s="4" t="inlineStr">
        <is>
          <t>Perfil de peldaño de aluminio, 48 mm</t>
        </is>
      </c>
      <c r="C461" s="7" t="inlineStr">
        <is>
          <t>unidad</t>
        </is>
      </c>
      <c r="D461" s="8" t="n"/>
      <c r="E461" s="8" t="n"/>
      <c r="F461" s="8" t="n"/>
      <c r="G461" s="8" t="n"/>
      <c r="H461" s="8" t="n">
        <v>6525</v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>
        <f>IF(COUNT(D461:P461)=0,"",MIN(D461:P461))</f>
        <v/>
      </c>
      <c r="R461" s="8">
        <f>IF(COUNT(D461:P461)=0,"",MEDIAN(D461:P461))</f>
        <v/>
      </c>
      <c r="S461" s="8">
        <f>IF(COUNT(D461:P461)=0,"",MAX(D461:P461))</f>
        <v/>
      </c>
      <c r="T461" s="9">
        <f>IF(OR(Q461="",Q461=0),"",(S461-Q461)/Q461)</f>
        <v/>
      </c>
      <c r="U461" s="7">
        <f>IF(COUNT(D461:P461)=0,"",INDEX($D$1:$P$1,MATCH(MIN(D461:P461),D461:P461,0)))</f>
        <v/>
      </c>
      <c r="V461" s="8" t="n">
        <v>6525</v>
      </c>
      <c r="W461" s="10" t="n">
        <v>1</v>
      </c>
    </row>
    <row r="462">
      <c r="A462" s="7" t="inlineStr">
        <is>
          <t>MAT-08-246</t>
        </is>
      </c>
      <c r="B462" s="4" t="inlineStr">
        <is>
          <t>Perfil de peldaño de aluminio, 65 mm</t>
        </is>
      </c>
      <c r="C462" s="7" t="inlineStr">
        <is>
          <t>unidad</t>
        </is>
      </c>
      <c r="D462" s="8" t="n"/>
      <c r="E462" s="8" t="n"/>
      <c r="F462" s="8" t="n"/>
      <c r="G462" s="8" t="n"/>
      <c r="H462" s="8" t="n">
        <v>4893.46</v>
      </c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>
        <f>IF(COUNT(D462:P462)=0,"",MIN(D462:P462))</f>
        <v/>
      </c>
      <c r="R462" s="8">
        <f>IF(COUNT(D462:P462)=0,"",MEDIAN(D462:P462))</f>
        <v/>
      </c>
      <c r="S462" s="8">
        <f>IF(COUNT(D462:P462)=0,"",MAX(D462:P462))</f>
        <v/>
      </c>
      <c r="T462" s="9">
        <f>IF(OR(Q462="",Q462=0),"",(S462-Q462)/Q462)</f>
        <v/>
      </c>
      <c r="U462" s="7">
        <f>IF(COUNT(D462:P462)=0,"",INDEX($D$1:$P$1,MATCH(MIN(D462:P462),D462:P462,0)))</f>
        <v/>
      </c>
      <c r="V462" s="8" t="n">
        <v>4893.46</v>
      </c>
      <c r="W462" s="10" t="n">
        <v>1</v>
      </c>
    </row>
    <row r="463">
      <c r="A463" s="7" t="inlineStr">
        <is>
          <t>MAT-08-247</t>
        </is>
      </c>
      <c r="B463" s="4" t="inlineStr">
        <is>
          <t>Cruceta para cerámica 1.5 mm, funda de 100</t>
        </is>
      </c>
      <c r="C463" s="7" t="inlineStr">
        <is>
          <t>funda</t>
        </is>
      </c>
      <c r="D463" s="8" t="n">
        <v>47.83</v>
      </c>
      <c r="E463" s="8" t="n"/>
      <c r="F463" s="8" t="n"/>
      <c r="G463" s="8" t="n"/>
      <c r="H463" s="8" t="n">
        <v>100.01</v>
      </c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>
        <f>IF(COUNT(D463:P463)=0,"",MIN(D463:P463))</f>
        <v/>
      </c>
      <c r="R463" s="8">
        <f>IF(COUNT(D463:P463)=0,"",MEDIAN(D463:P463))</f>
        <v/>
      </c>
      <c r="S463" s="8">
        <f>IF(COUNT(D463:P463)=0,"",MAX(D463:P463))</f>
        <v/>
      </c>
      <c r="T463" s="9">
        <f>IF(OR(Q463="",Q463=0),"",(S463-Q463)/Q463)</f>
        <v/>
      </c>
      <c r="U463" s="7">
        <f>IF(COUNT(D463:P463)=0,"",INDEX($D$1:$P$1,MATCH(MIN(D463:P463),D463:P463,0)))</f>
        <v/>
      </c>
      <c r="V463" s="8" t="n">
        <v>73.92</v>
      </c>
      <c r="W463" s="10" t="n">
        <v>2</v>
      </c>
    </row>
    <row r="464">
      <c r="A464" s="7" t="inlineStr">
        <is>
          <t>MAT-08-248</t>
        </is>
      </c>
      <c r="B464" s="4" t="inlineStr">
        <is>
          <t>Cruceta para cerámica 1.5 mm, funda de 250</t>
        </is>
      </c>
      <c r="C464" s="7" t="inlineStr">
        <is>
          <t>funda</t>
        </is>
      </c>
      <c r="D464" s="8" t="n"/>
      <c r="E464" s="8" t="n"/>
      <c r="F464" s="8" t="n"/>
      <c r="G464" s="8" t="n"/>
      <c r="H464" s="8" t="n">
        <v>114.99</v>
      </c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>
        <f>IF(COUNT(D464:P464)=0,"",MIN(D464:P464))</f>
        <v/>
      </c>
      <c r="R464" s="8">
        <f>IF(COUNT(D464:P464)=0,"",MEDIAN(D464:P464))</f>
        <v/>
      </c>
      <c r="S464" s="8">
        <f>IF(COUNT(D464:P464)=0,"",MAX(D464:P464))</f>
        <v/>
      </c>
      <c r="T464" s="9">
        <f>IF(OR(Q464="",Q464=0),"",(S464-Q464)/Q464)</f>
        <v/>
      </c>
      <c r="U464" s="7">
        <f>IF(COUNT(D464:P464)=0,"",INDEX($D$1:$P$1,MATCH(MIN(D464:P464),D464:P464,0)))</f>
        <v/>
      </c>
      <c r="V464" s="8" t="n">
        <v>114.99</v>
      </c>
      <c r="W464" s="10" t="n">
        <v>1</v>
      </c>
    </row>
    <row r="465">
      <c r="A465" s="7" t="inlineStr">
        <is>
          <t>MAT-08-249</t>
        </is>
      </c>
      <c r="B465" s="4" t="inlineStr">
        <is>
          <t>Cruceta para cerámica 1.5 mm, funda de 300</t>
        </is>
      </c>
      <c r="C465" s="7" t="inlineStr">
        <is>
          <t>funda</t>
        </is>
      </c>
      <c r="D465" s="8" t="n">
        <v>233.76</v>
      </c>
      <c r="E465" s="8" t="n"/>
      <c r="F465" s="8" t="n"/>
      <c r="G465" s="8" t="n">
        <v>165</v>
      </c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>
        <f>IF(COUNT(D465:P465)=0,"",MIN(D465:P465))</f>
        <v/>
      </c>
      <c r="R465" s="8">
        <f>IF(COUNT(D465:P465)=0,"",MEDIAN(D465:P465))</f>
        <v/>
      </c>
      <c r="S465" s="8">
        <f>IF(COUNT(D465:P465)=0,"",MAX(D465:P465))</f>
        <v/>
      </c>
      <c r="T465" s="9">
        <f>IF(OR(Q465="",Q465=0),"",(S465-Q465)/Q465)</f>
        <v/>
      </c>
      <c r="U465" s="7">
        <f>IF(COUNT(D465:P465)=0,"",INDEX($D$1:$P$1,MATCH(MIN(D465:P465),D465:P465,0)))</f>
        <v/>
      </c>
      <c r="V465" s="8" t="n">
        <v>281.88</v>
      </c>
      <c r="W465" s="10" t="n">
        <v>2</v>
      </c>
    </row>
    <row r="466">
      <c r="A466" s="7" t="inlineStr">
        <is>
          <t>MAT-08-250</t>
        </is>
      </c>
      <c r="B466" s="4" t="inlineStr">
        <is>
          <t>Cruceta para cerámica 1 mm, funda de 100</t>
        </is>
      </c>
      <c r="C466" s="7" t="inlineStr">
        <is>
          <t>funda</t>
        </is>
      </c>
      <c r="D466" s="8" t="n">
        <v>42.56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>
        <f>IF(COUNT(D466:P466)=0,"",MIN(D466:P466))</f>
        <v/>
      </c>
      <c r="R466" s="8">
        <f>IF(COUNT(D466:P466)=0,"",MEDIAN(D466:P466))</f>
        <v/>
      </c>
      <c r="S466" s="8">
        <f>IF(COUNT(D466:P466)=0,"",MAX(D466:P466))</f>
        <v/>
      </c>
      <c r="T466" s="9">
        <f>IF(OR(Q466="",Q466=0),"",(S466-Q466)/Q466)</f>
        <v/>
      </c>
      <c r="U466" s="7">
        <f>IF(COUNT(D466:P466)=0,"",INDEX($D$1:$P$1,MATCH(MIN(D466:P466),D466:P466,0)))</f>
        <v/>
      </c>
      <c r="V466" s="8" t="n">
        <v>42.56</v>
      </c>
      <c r="W466" s="10" t="n">
        <v>1</v>
      </c>
    </row>
    <row r="467">
      <c r="A467" s="7" t="inlineStr">
        <is>
          <t>MAT-08-251</t>
        </is>
      </c>
      <c r="B467" s="4" t="inlineStr">
        <is>
          <t>Cruceta para cerámica 1 mm, funda de 300</t>
        </is>
      </c>
      <c r="C467" s="7" t="inlineStr">
        <is>
          <t>funda</t>
        </is>
      </c>
      <c r="D467" s="8" t="n">
        <v>10608.65</v>
      </c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>
        <f>IF(COUNT(D467:P467)=0,"",MIN(D467:P467))</f>
        <v/>
      </c>
      <c r="R467" s="8">
        <f>IF(COUNT(D467:P467)=0,"",MEDIAN(D467:P467))</f>
        <v/>
      </c>
      <c r="S467" s="8">
        <f>IF(COUNT(D467:P467)=0,"",MAX(D467:P467))</f>
        <v/>
      </c>
      <c r="T467" s="9">
        <f>IF(OR(Q467="",Q467=0),"",(S467-Q467)/Q467)</f>
        <v/>
      </c>
      <c r="U467" s="7">
        <f>IF(COUNT(D467:P467)=0,"",INDEX($D$1:$P$1,MATCH(MIN(D467:P467),D467:P467,0)))</f>
        <v/>
      </c>
      <c r="V467" s="8" t="n">
        <v>10608.65</v>
      </c>
      <c r="W467" s="10" t="n">
        <v>1</v>
      </c>
    </row>
    <row r="468">
      <c r="A468" s="7" t="inlineStr">
        <is>
          <t>MAT-08-252</t>
        </is>
      </c>
      <c r="B468" s="4" t="inlineStr">
        <is>
          <t>Cruceta para cerámica 2 mm, funda de 100</t>
        </is>
      </c>
      <c r="C468" s="7" t="inlineStr">
        <is>
          <t>funda</t>
        </is>
      </c>
      <c r="D468" s="8" t="n">
        <v>52.3</v>
      </c>
      <c r="E468" s="8" t="n"/>
      <c r="F468" s="8" t="n"/>
      <c r="G468" s="8" t="n"/>
      <c r="H468" s="8" t="n">
        <v>100.01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>
        <f>IF(COUNT(D468:P468)=0,"",MIN(D468:P468))</f>
        <v/>
      </c>
      <c r="R468" s="8">
        <f>IF(COUNT(D468:P468)=0,"",MEDIAN(D468:P468))</f>
        <v/>
      </c>
      <c r="S468" s="8">
        <f>IF(COUNT(D468:P468)=0,"",MAX(D468:P468))</f>
        <v/>
      </c>
      <c r="T468" s="9">
        <f>IF(OR(Q468="",Q468=0),"",(S468-Q468)/Q468)</f>
        <v/>
      </c>
      <c r="U468" s="7">
        <f>IF(COUNT(D468:P468)=0,"",INDEX($D$1:$P$1,MATCH(MIN(D468:P468),D468:P468,0)))</f>
        <v/>
      </c>
      <c r="V468" s="8" t="n">
        <v>76.16</v>
      </c>
      <c r="W468" s="10" t="n">
        <v>2</v>
      </c>
    </row>
    <row r="469">
      <c r="A469" s="7" t="inlineStr">
        <is>
          <t>MAT-08-253</t>
        </is>
      </c>
      <c r="B469" s="4" t="inlineStr">
        <is>
          <t>Cruceta para cerámica 2 mm, funda de 300</t>
        </is>
      </c>
      <c r="C469" s="7" t="inlineStr">
        <is>
          <t>funda</t>
        </is>
      </c>
      <c r="D469" s="8" t="n">
        <v>12274.78</v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>
        <f>IF(COUNT(D469:P469)=0,"",MIN(D469:P469))</f>
        <v/>
      </c>
      <c r="R469" s="8">
        <f>IF(COUNT(D469:P469)=0,"",MEDIAN(D469:P469))</f>
        <v/>
      </c>
      <c r="S469" s="8">
        <f>IF(COUNT(D469:P469)=0,"",MAX(D469:P469))</f>
        <v/>
      </c>
      <c r="T469" s="9">
        <f>IF(OR(Q469="",Q469=0),"",(S469-Q469)/Q469)</f>
        <v/>
      </c>
      <c r="U469" s="7">
        <f>IF(COUNT(D469:P469)=0,"",INDEX($D$1:$P$1,MATCH(MIN(D469:P469),D469:P469,0)))</f>
        <v/>
      </c>
      <c r="V469" s="8" t="n">
        <v>12274.78</v>
      </c>
      <c r="W469" s="10" t="n">
        <v>1</v>
      </c>
    </row>
    <row r="470">
      <c r="A470" s="7" t="inlineStr">
        <is>
          <t>MAT-08-254</t>
        </is>
      </c>
      <c r="B470" s="4" t="inlineStr">
        <is>
          <t>Cruceta para cerámica 2 mm, funda de 500</t>
        </is>
      </c>
      <c r="C470" s="7" t="inlineStr">
        <is>
          <t>funda</t>
        </is>
      </c>
      <c r="D470" s="8" t="n"/>
      <c r="E470" s="8" t="n"/>
      <c r="F470" s="8" t="n">
        <v>315.32</v>
      </c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>
        <f>IF(COUNT(D470:P470)=0,"",MIN(D470:P470))</f>
        <v/>
      </c>
      <c r="R470" s="8">
        <f>IF(COUNT(D470:P470)=0,"",MEDIAN(D470:P470))</f>
        <v/>
      </c>
      <c r="S470" s="8">
        <f>IF(COUNT(D470:P470)=0,"",MAX(D470:P470))</f>
        <v/>
      </c>
      <c r="T470" s="9">
        <f>IF(OR(Q470="",Q470=0),"",(S470-Q470)/Q470)</f>
        <v/>
      </c>
      <c r="U470" s="7">
        <f>IF(COUNT(D470:P470)=0,"",INDEX($D$1:$P$1,MATCH(MIN(D470:P470),D470:P470,0)))</f>
        <v/>
      </c>
      <c r="V470" s="8" t="n">
        <v>374.71</v>
      </c>
      <c r="W470" s="10" t="n">
        <v>1</v>
      </c>
    </row>
    <row r="471">
      <c r="A471" s="7" t="inlineStr">
        <is>
          <t>MAT-08-255</t>
        </is>
      </c>
      <c r="B471" s="4" t="inlineStr">
        <is>
          <t>Cruceta para cerámica 3 mm, funda de 100</t>
        </is>
      </c>
      <c r="C471" s="7" t="inlineStr">
        <is>
          <t>funda</t>
        </is>
      </c>
      <c r="D471" s="8" t="n">
        <v>61.54</v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>
        <f>IF(COUNT(D471:P471)=0,"",MIN(D471:P471))</f>
        <v/>
      </c>
      <c r="R471" s="8">
        <f>IF(COUNT(D471:P471)=0,"",MEDIAN(D471:P471))</f>
        <v/>
      </c>
      <c r="S471" s="8">
        <f>IF(COUNT(D471:P471)=0,"",MAX(D471:P471))</f>
        <v/>
      </c>
      <c r="T471" s="9">
        <f>IF(OR(Q471="",Q471=0),"",(S471-Q471)/Q471)</f>
        <v/>
      </c>
      <c r="U471" s="7">
        <f>IF(COUNT(D471:P471)=0,"",INDEX($D$1:$P$1,MATCH(MIN(D471:P471),D471:P471,0)))</f>
        <v/>
      </c>
      <c r="V471" s="8" t="n">
        <v>61.54</v>
      </c>
      <c r="W471" s="10" t="n">
        <v>1</v>
      </c>
    </row>
    <row r="472">
      <c r="A472" s="7" t="inlineStr">
        <is>
          <t>MAT-08-256</t>
        </is>
      </c>
      <c r="B472" s="4" t="inlineStr">
        <is>
          <t>Cruceta para cerámica 3 mm, funda de 200</t>
        </is>
      </c>
      <c r="C472" s="7" t="inlineStr">
        <is>
          <t>funda</t>
        </is>
      </c>
      <c r="D472" s="8" t="n">
        <v>252.59</v>
      </c>
      <c r="E472" s="8" t="n"/>
      <c r="F472" s="8" t="n"/>
      <c r="G472" s="8" t="n">
        <v>340</v>
      </c>
      <c r="H472" s="8" t="n">
        <v>249.99</v>
      </c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>
        <f>IF(COUNT(D472:P472)=0,"",MIN(D472:P472))</f>
        <v/>
      </c>
      <c r="R472" s="8">
        <f>IF(COUNT(D472:P472)=0,"",MEDIAN(D472:P472))</f>
        <v/>
      </c>
      <c r="S472" s="8">
        <f>IF(COUNT(D472:P472)=0,"",MAX(D472:P472))</f>
        <v/>
      </c>
      <c r="T472" s="9">
        <f>IF(OR(Q472="",Q472=0),"",(S472-Q472)/Q472)</f>
        <v/>
      </c>
      <c r="U472" s="7">
        <f>IF(COUNT(D472:P472)=0,"",INDEX($D$1:$P$1,MATCH(MIN(D472:P472),D472:P472,0)))</f>
        <v/>
      </c>
      <c r="V472" s="8" t="n">
        <v>252.59</v>
      </c>
      <c r="W472" s="10" t="n">
        <v>3</v>
      </c>
    </row>
    <row r="473">
      <c r="A473" s="7" t="inlineStr">
        <is>
          <t>MAT-08-257</t>
        </is>
      </c>
      <c r="B473" s="4" t="inlineStr">
        <is>
          <t>Cruceta para cerámica 4 mm, funda de 100</t>
        </is>
      </c>
      <c r="C473" s="7" t="inlineStr">
        <is>
          <t>funda</t>
        </is>
      </c>
      <c r="D473" s="8" t="n">
        <v>72.83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>
        <f>IF(COUNT(D473:P473)=0,"",MIN(D473:P473))</f>
        <v/>
      </c>
      <c r="R473" s="8">
        <f>IF(COUNT(D473:P473)=0,"",MEDIAN(D473:P473))</f>
        <v/>
      </c>
      <c r="S473" s="8">
        <f>IF(COUNT(D473:P473)=0,"",MAX(D473:P473))</f>
        <v/>
      </c>
      <c r="T473" s="9">
        <f>IF(OR(Q473="",Q473=0),"",(S473-Q473)/Q473)</f>
        <v/>
      </c>
      <c r="U473" s="7">
        <f>IF(COUNT(D473:P473)=0,"",INDEX($D$1:$P$1,MATCH(MIN(D473:P473),D473:P473,0)))</f>
        <v/>
      </c>
      <c r="V473" s="8" t="n">
        <v>72.83</v>
      </c>
      <c r="W473" s="10" t="n">
        <v>1</v>
      </c>
    </row>
    <row r="474">
      <c r="A474" s="7" t="inlineStr">
        <is>
          <t>MAT-08-258</t>
        </is>
      </c>
      <c r="B474" s="4" t="inlineStr">
        <is>
          <t>Cruceta para cerámica 4 mm, funda de 200</t>
        </is>
      </c>
      <c r="C474" s="7" t="inlineStr">
        <is>
          <t>funda</t>
        </is>
      </c>
      <c r="D474" s="8" t="n">
        <v>7235.96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>
        <f>IF(COUNT(D474:P474)=0,"",MIN(D474:P474))</f>
        <v/>
      </c>
      <c r="R474" s="8">
        <f>IF(COUNT(D474:P474)=0,"",MEDIAN(D474:P474))</f>
        <v/>
      </c>
      <c r="S474" s="8">
        <f>IF(COUNT(D474:P474)=0,"",MAX(D474:P474))</f>
        <v/>
      </c>
      <c r="T474" s="9">
        <f>IF(OR(Q474="",Q474=0),"",(S474-Q474)/Q474)</f>
        <v/>
      </c>
      <c r="U474" s="7">
        <f>IF(COUNT(D474:P474)=0,"",INDEX($D$1:$P$1,MATCH(MIN(D474:P474),D474:P474,0)))</f>
        <v/>
      </c>
      <c r="V474" s="8" t="n">
        <v>7235.96</v>
      </c>
      <c r="W474" s="10" t="n">
        <v>1</v>
      </c>
    </row>
    <row r="475">
      <c r="A475" s="7" t="inlineStr">
        <is>
          <t>MAT-08-259</t>
        </is>
      </c>
      <c r="B475" s="4" t="inlineStr">
        <is>
          <t>Cruceta para cerámica 5 mm, funda de 100</t>
        </is>
      </c>
      <c r="C475" s="7" t="inlineStr">
        <is>
          <t>funda</t>
        </is>
      </c>
      <c r="D475" s="8" t="n">
        <v>81.06999999999999</v>
      </c>
      <c r="E475" s="8" t="n"/>
      <c r="F475" s="8" t="n"/>
      <c r="G475" s="8" t="n">
        <v>390</v>
      </c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>
        <f>IF(COUNT(D475:P475)=0,"",MIN(D475:P475))</f>
        <v/>
      </c>
      <c r="R475" s="8">
        <f>IF(COUNT(D475:P475)=0,"",MEDIAN(D475:P475))</f>
        <v/>
      </c>
      <c r="S475" s="8">
        <f>IF(COUNT(D475:P475)=0,"",MAX(D475:P475))</f>
        <v/>
      </c>
      <c r="T475" s="9">
        <f>IF(OR(Q475="",Q475=0),"",(S475-Q475)/Q475)</f>
        <v/>
      </c>
      <c r="U475" s="7">
        <f>IF(COUNT(D475:P475)=0,"",INDEX($D$1:$P$1,MATCH(MIN(D475:P475),D475:P475,0)))</f>
        <v/>
      </c>
      <c r="V475" s="8" t="n">
        <v>235.54</v>
      </c>
      <c r="W475" s="10" t="n">
        <v>2</v>
      </c>
    </row>
    <row r="476">
      <c r="A476" s="7" t="inlineStr">
        <is>
          <t>MAT-08-260</t>
        </is>
      </c>
      <c r="B476" s="4" t="inlineStr">
        <is>
          <t>Cruceta para cerámica 6 mm, funda de 100</t>
        </is>
      </c>
      <c r="C476" s="7" t="inlineStr">
        <is>
          <t>funda</t>
        </is>
      </c>
      <c r="D476" s="8" t="n">
        <v>78.89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>
        <f>IF(COUNT(D476:P476)=0,"",MIN(D476:P476))</f>
        <v/>
      </c>
      <c r="R476" s="8">
        <f>IF(COUNT(D476:P476)=0,"",MEDIAN(D476:P476))</f>
        <v/>
      </c>
      <c r="S476" s="8">
        <f>IF(COUNT(D476:P476)=0,"",MAX(D476:P476))</f>
        <v/>
      </c>
      <c r="T476" s="9">
        <f>IF(OR(Q476="",Q476=0),"",(S476-Q476)/Q476)</f>
        <v/>
      </c>
      <c r="U476" s="7">
        <f>IF(COUNT(D476:P476)=0,"",INDEX($D$1:$P$1,MATCH(MIN(D476:P476),D476:P476,0)))</f>
        <v/>
      </c>
      <c r="V476" s="8" t="n">
        <v>78.89</v>
      </c>
      <c r="W476" s="10" t="n">
        <v>1</v>
      </c>
    </row>
    <row r="477">
      <c r="A477" s="7" t="inlineStr">
        <is>
          <t>MAT-08-261</t>
        </is>
      </c>
      <c r="B477" s="4" t="inlineStr">
        <is>
          <t>Calzo de nivelación para cerámica 0.5 mm</t>
        </is>
      </c>
      <c r="C477" s="7" t="inlineStr">
        <is>
          <t>funda</t>
        </is>
      </c>
      <c r="D477" s="8" t="n">
        <v>919.9400000000001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>
        <f>IF(COUNT(D477:P477)=0,"",MIN(D477:P477))</f>
        <v/>
      </c>
      <c r="R477" s="8">
        <f>IF(COUNT(D477:P477)=0,"",MEDIAN(D477:P477))</f>
        <v/>
      </c>
      <c r="S477" s="8">
        <f>IF(COUNT(D477:P477)=0,"",MAX(D477:P477))</f>
        <v/>
      </c>
      <c r="T477" s="9">
        <f>IF(OR(Q477="",Q477=0),"",(S477-Q477)/Q477)</f>
        <v/>
      </c>
      <c r="U477" s="7">
        <f>IF(COUNT(D477:P477)=0,"",INDEX($D$1:$P$1,MATCH(MIN(D477:P477),D477:P477,0)))</f>
        <v/>
      </c>
      <c r="V477" s="8" t="n">
        <v>919.9400000000001</v>
      </c>
      <c r="W477" s="10" t="n">
        <v>1</v>
      </c>
    </row>
    <row r="478">
      <c r="A478" s="7" t="inlineStr">
        <is>
          <t>MAT-08-262</t>
        </is>
      </c>
      <c r="B478" s="4" t="inlineStr">
        <is>
          <t>Calzo de nivelación para cerámica 1 mm</t>
        </is>
      </c>
      <c r="C478" s="7" t="inlineStr">
        <is>
          <t>funda</t>
        </is>
      </c>
      <c r="D478" s="8" t="n">
        <v>767.39</v>
      </c>
      <c r="E478" s="8" t="n"/>
      <c r="F478" s="8" t="n">
        <v>404.16</v>
      </c>
      <c r="G478" s="8" t="n"/>
      <c r="H478" s="8" t="n">
        <v>1490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>
        <f>IF(COUNT(D478:P478)=0,"",MIN(D478:P478))</f>
        <v/>
      </c>
      <c r="R478" s="8">
        <f>IF(COUNT(D478:P478)=0,"",MEDIAN(D478:P478))</f>
        <v/>
      </c>
      <c r="S478" s="8">
        <f>IF(COUNT(D478:P478)=0,"",MAX(D478:P478))</f>
        <v/>
      </c>
      <c r="T478" s="9">
        <f>IF(OR(Q478="",Q478=0),"",(S478-Q478)/Q478)</f>
        <v/>
      </c>
      <c r="U478" s="7">
        <f>IF(COUNT(D478:P478)=0,"",INDEX($D$1:$P$1,MATCH(MIN(D478:P478),D478:P478,0)))</f>
        <v/>
      </c>
      <c r="V478" s="8" t="n">
        <v>767.39</v>
      </c>
      <c r="W478" s="10" t="n">
        <v>3</v>
      </c>
    </row>
    <row r="479">
      <c r="A479" s="7" t="inlineStr">
        <is>
          <t>MAT-08-263</t>
        </is>
      </c>
      <c r="B479" s="4" t="inlineStr">
        <is>
          <t>Calzo de nivelación para cerámica 1.5 mm</t>
        </is>
      </c>
      <c r="C479" s="7" t="inlineStr">
        <is>
          <t>funda</t>
        </is>
      </c>
      <c r="D479" s="8" t="n">
        <v>487.49</v>
      </c>
      <c r="E479" s="8" t="n"/>
      <c r="F479" s="8" t="n">
        <v>387.97</v>
      </c>
      <c r="G479" s="8" t="n"/>
      <c r="H479" s="8" t="n">
        <v>1490</v>
      </c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>
        <f>IF(COUNT(D479:P479)=0,"",MIN(D479:P479))</f>
        <v/>
      </c>
      <c r="R479" s="8">
        <f>IF(COUNT(D479:P479)=0,"",MEDIAN(D479:P479))</f>
        <v/>
      </c>
      <c r="S479" s="8">
        <f>IF(COUNT(D479:P479)=0,"",MAX(D479:P479))</f>
        <v/>
      </c>
      <c r="T479" s="9">
        <f>IF(OR(Q479="",Q479=0),"",(S479-Q479)/Q479)</f>
        <v/>
      </c>
      <c r="U479" s="7">
        <f>IF(COUNT(D479:P479)=0,"",INDEX($D$1:$P$1,MATCH(MIN(D479:P479),D479:P479,0)))</f>
        <v/>
      </c>
      <c r="V479" s="8" t="n">
        <v>487.49</v>
      </c>
      <c r="W479" s="10" t="n">
        <v>3</v>
      </c>
    </row>
    <row r="480">
      <c r="A480" s="7" t="inlineStr">
        <is>
          <t>MAT-08-264</t>
        </is>
      </c>
      <c r="B480" s="4" t="inlineStr">
        <is>
          <t>Calzo de nivelación para cerámica 2 mm</t>
        </is>
      </c>
      <c r="C480" s="7" t="inlineStr">
        <is>
          <t>funda</t>
        </is>
      </c>
      <c r="D480" s="8" t="n">
        <v>767.39</v>
      </c>
      <c r="E480" s="8" t="n"/>
      <c r="F480" s="8" t="n">
        <v>404.16</v>
      </c>
      <c r="G480" s="8" t="n"/>
      <c r="H480" s="8" t="n">
        <v>1350</v>
      </c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>
        <f>IF(COUNT(D480:P480)=0,"",MIN(D480:P480))</f>
        <v/>
      </c>
      <c r="R480" s="8">
        <f>IF(COUNT(D480:P480)=0,"",MEDIAN(D480:P480))</f>
        <v/>
      </c>
      <c r="S480" s="8">
        <f>IF(COUNT(D480:P480)=0,"",MAX(D480:P480))</f>
        <v/>
      </c>
      <c r="T480" s="9">
        <f>IF(OR(Q480="",Q480=0),"",(S480-Q480)/Q480)</f>
        <v/>
      </c>
      <c r="U480" s="7">
        <f>IF(COUNT(D480:P480)=0,"",INDEX($D$1:$P$1,MATCH(MIN(D480:P480),D480:P480,0)))</f>
        <v/>
      </c>
      <c r="V480" s="8" t="n">
        <v>1058.7</v>
      </c>
      <c r="W480" s="10" t="n">
        <v>3</v>
      </c>
    </row>
    <row r="481">
      <c r="A481" s="7" t="inlineStr">
        <is>
          <t>MAT-08-265</t>
        </is>
      </c>
      <c r="B481" s="4" t="inlineStr">
        <is>
          <t>Calzo de nivelación para cerámica 3 mm</t>
        </is>
      </c>
      <c r="C481" s="7" t="inlineStr">
        <is>
          <t>funda</t>
        </is>
      </c>
      <c r="D481" s="8" t="n">
        <v>873.47</v>
      </c>
      <c r="E481" s="8" t="n"/>
      <c r="F481" s="8" t="n">
        <v>370.76</v>
      </c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>
        <f>IF(COUNT(D481:P481)=0,"",MIN(D481:P481))</f>
        <v/>
      </c>
      <c r="R481" s="8">
        <f>IF(COUNT(D481:P481)=0,"",MEDIAN(D481:P481))</f>
        <v/>
      </c>
      <c r="S481" s="8">
        <f>IF(COUNT(D481:P481)=0,"",MAX(D481:P481))</f>
        <v/>
      </c>
      <c r="T481" s="9">
        <f>IF(OR(Q481="",Q481=0),"",(S481-Q481)/Q481)</f>
        <v/>
      </c>
      <c r="U481" s="7">
        <f>IF(COUNT(D481:P481)=0,"",INDEX($D$1:$P$1,MATCH(MIN(D481:P481),D481:P481,0)))</f>
        <v/>
      </c>
      <c r="V481" s="8" t="n">
        <v>655.48</v>
      </c>
      <c r="W481" s="10" t="n">
        <v>2</v>
      </c>
    </row>
    <row r="482">
      <c r="A482" s="7" t="inlineStr">
        <is>
          <t>MAT-08-266</t>
        </is>
      </c>
      <c r="B482" s="4" t="inlineStr">
        <is>
          <t>Clip de nivelación para cerámica 1 mm</t>
        </is>
      </c>
      <c r="C482" s="7" t="inlineStr">
        <is>
          <t>funda</t>
        </is>
      </c>
      <c r="D482" s="8" t="n">
        <v>144.94</v>
      </c>
      <c r="E482" s="8" t="n"/>
      <c r="F482" s="8" t="n">
        <v>422.52</v>
      </c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>
        <f>IF(COUNT(D482:P482)=0,"",MIN(D482:P482))</f>
        <v/>
      </c>
      <c r="R482" s="8">
        <f>IF(COUNT(D482:P482)=0,"",MEDIAN(D482:P482))</f>
        <v/>
      </c>
      <c r="S482" s="8">
        <f>IF(COUNT(D482:P482)=0,"",MAX(D482:P482))</f>
        <v/>
      </c>
      <c r="T482" s="9">
        <f>IF(OR(Q482="",Q482=0),"",(S482-Q482)/Q482)</f>
        <v/>
      </c>
      <c r="U482" s="7">
        <f>IF(COUNT(D482:P482)=0,"",INDEX($D$1:$P$1,MATCH(MIN(D482:P482),D482:P482,0)))</f>
        <v/>
      </c>
      <c r="V482" s="8" t="n">
        <v>1094.69</v>
      </c>
      <c r="W482" s="10" t="n">
        <v>2</v>
      </c>
    </row>
    <row r="483">
      <c r="A483" s="7" t="inlineStr">
        <is>
          <t>MAT-08-267</t>
        </is>
      </c>
      <c r="B483" s="4" t="inlineStr">
        <is>
          <t>Clip de nivelación para cerámica 1.5 mm</t>
        </is>
      </c>
      <c r="C483" s="7" t="inlineStr">
        <is>
          <t>funda</t>
        </is>
      </c>
      <c r="D483" s="8" t="n">
        <v>144.94</v>
      </c>
      <c r="E483" s="8" t="n"/>
      <c r="F483" s="8" t="n"/>
      <c r="G483" s="8" t="n"/>
      <c r="H483" s="8" t="n">
        <v>295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>
        <f>IF(COUNT(D483:P483)=0,"",MIN(D483:P483))</f>
        <v/>
      </c>
      <c r="R483" s="8">
        <f>IF(COUNT(D483:P483)=0,"",MEDIAN(D483:P483))</f>
        <v/>
      </c>
      <c r="S483" s="8">
        <f>IF(COUNT(D483:P483)=0,"",MAX(D483:P483))</f>
        <v/>
      </c>
      <c r="T483" s="9">
        <f>IF(OR(Q483="",Q483=0),"",(S483-Q483)/Q483)</f>
        <v/>
      </c>
      <c r="U483" s="7">
        <f>IF(COUNT(D483:P483)=0,"",INDEX($D$1:$P$1,MATCH(MIN(D483:P483),D483:P483,0)))</f>
        <v/>
      </c>
      <c r="V483" s="8" t="n">
        <v>219.97</v>
      </c>
      <c r="W483" s="10" t="n">
        <v>2</v>
      </c>
    </row>
    <row r="484">
      <c r="A484" s="7" t="inlineStr">
        <is>
          <t>MAT-08-268</t>
        </is>
      </c>
      <c r="B484" s="4" t="inlineStr">
        <is>
          <t>Clip de nivelación para cerámica 2 mm</t>
        </is>
      </c>
      <c r="C484" s="7" t="inlineStr">
        <is>
          <t>funda</t>
        </is>
      </c>
      <c r="D484" s="8" t="n">
        <v>144.94</v>
      </c>
      <c r="E484" s="8" t="n"/>
      <c r="F484" s="8" t="n">
        <v>422.52</v>
      </c>
      <c r="G484" s="8" t="n"/>
      <c r="H484" s="8" t="n">
        <v>249.99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>
        <f>IF(COUNT(D484:P484)=0,"",MIN(D484:P484))</f>
        <v/>
      </c>
      <c r="R484" s="8">
        <f>IF(COUNT(D484:P484)=0,"",MEDIAN(D484:P484))</f>
        <v/>
      </c>
      <c r="S484" s="8">
        <f>IF(COUNT(D484:P484)=0,"",MAX(D484:P484))</f>
        <v/>
      </c>
      <c r="T484" s="9">
        <f>IF(OR(Q484="",Q484=0),"",(S484-Q484)/Q484)</f>
        <v/>
      </c>
      <c r="U484" s="7">
        <f>IF(COUNT(D484:P484)=0,"",INDEX($D$1:$P$1,MATCH(MIN(D484:P484),D484:P484,0)))</f>
        <v/>
      </c>
      <c r="V484" s="8" t="n">
        <v>1768.33</v>
      </c>
      <c r="W484" s="10" t="n">
        <v>3</v>
      </c>
    </row>
    <row r="485">
      <c r="A485" s="7" t="inlineStr">
        <is>
          <t>MAT-08-269</t>
        </is>
      </c>
      <c r="B485" s="4" t="inlineStr">
        <is>
          <t>Clip de nivelación para cerámica 3 mm</t>
        </is>
      </c>
      <c r="C485" s="7" t="inlineStr">
        <is>
          <t>funda</t>
        </is>
      </c>
      <c r="D485" s="8" t="n"/>
      <c r="E485" s="8" t="n"/>
      <c r="F485" s="8" t="n">
        <v>405.61</v>
      </c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>
        <f>IF(COUNT(D485:P485)=0,"",MIN(D485:P485))</f>
        <v/>
      </c>
      <c r="R485" s="8">
        <f>IF(COUNT(D485:P485)=0,"",MEDIAN(D485:P485))</f>
        <v/>
      </c>
      <c r="S485" s="8">
        <f>IF(COUNT(D485:P485)=0,"",MAX(D485:P485))</f>
        <v/>
      </c>
      <c r="T485" s="9">
        <f>IF(OR(Q485="",Q485=0),"",(S485-Q485)/Q485)</f>
        <v/>
      </c>
      <c r="U485" s="7">
        <f>IF(COUNT(D485:P485)=0,"",INDEX($D$1:$P$1,MATCH(MIN(D485:P485),D485:P485,0)))</f>
        <v/>
      </c>
      <c r="V485" s="8" t="n">
        <v>1758.39</v>
      </c>
      <c r="W485" s="10" t="n">
        <v>1</v>
      </c>
    </row>
    <row r="486">
      <c r="A486" s="7" t="inlineStr">
        <is>
          <t>MAT-08-270</t>
        </is>
      </c>
      <c r="B486" s="4" t="inlineStr">
        <is>
          <t>Cuña de nivelación para cerámica</t>
        </is>
      </c>
      <c r="C486" s="7" t="inlineStr">
        <is>
          <t>funda</t>
        </is>
      </c>
      <c r="D486" s="8" t="n">
        <v>358.87</v>
      </c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>
        <f>IF(COUNT(D486:P486)=0,"",MIN(D486:P486))</f>
        <v/>
      </c>
      <c r="R486" s="8">
        <f>IF(COUNT(D486:P486)=0,"",MEDIAN(D486:P486))</f>
        <v/>
      </c>
      <c r="S486" s="8">
        <f>IF(COUNT(D486:P486)=0,"",MAX(D486:P486))</f>
        <v/>
      </c>
      <c r="T486" s="9">
        <f>IF(OR(Q486="",Q486=0),"",(S486-Q486)/Q486)</f>
        <v/>
      </c>
      <c r="U486" s="7">
        <f>IF(COUNT(D486:P486)=0,"",INDEX($D$1:$P$1,MATCH(MIN(D486:P486),D486:P486,0)))</f>
        <v/>
      </c>
      <c r="V486" s="8" t="n">
        <v>602.14</v>
      </c>
      <c r="W486" s="10" t="n">
        <v>1</v>
      </c>
    </row>
    <row r="487">
      <c r="A487" s="7" t="inlineStr">
        <is>
          <t>MAT-08-271</t>
        </is>
      </c>
      <c r="B487" s="4" t="inlineStr">
        <is>
          <t>Panel de vinil para pared, 4.5 mm</t>
        </is>
      </c>
      <c r="C487" s="7" t="inlineStr">
        <is>
          <t>m²</t>
        </is>
      </c>
      <c r="D487" s="8" t="n"/>
      <c r="E487" s="8" t="n"/>
      <c r="F487" s="8" t="n">
        <v>857.6799999999999</v>
      </c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>
        <f>IF(COUNT(D487:P487)=0,"",MIN(D487:P487))</f>
        <v/>
      </c>
      <c r="R487" s="8">
        <f>IF(COUNT(D487:P487)=0,"",MEDIAN(D487:P487))</f>
        <v/>
      </c>
      <c r="S487" s="8">
        <f>IF(COUNT(D487:P487)=0,"",MAX(D487:P487))</f>
        <v/>
      </c>
      <c r="T487" s="9">
        <f>IF(OR(Q487="",Q487=0),"",(S487-Q487)/Q487)</f>
        <v/>
      </c>
      <c r="U487" s="7">
        <f>IF(COUNT(D487:P487)=0,"",INDEX($D$1:$P$1,MATCH(MIN(D487:P487),D487:P487,0)))</f>
        <v/>
      </c>
      <c r="V487" s="8" t="n">
        <v>1537.07</v>
      </c>
      <c r="W487" s="10" t="n">
        <v>1</v>
      </c>
    </row>
    <row r="488">
      <c r="A488" s="7" t="inlineStr">
        <is>
          <t>MAT-08-272</t>
        </is>
      </c>
      <c r="B488" s="4" t="inlineStr">
        <is>
          <t>Adoquín de hormigón tipo cuadrado</t>
        </is>
      </c>
      <c r="C488" s="7" t="inlineStr">
        <is>
          <t>m²</t>
        </is>
      </c>
      <c r="D488" s="8" t="n">
        <v>874.38</v>
      </c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>
        <f>IF(COUNT(D488:P488)=0,"",MIN(D488:P488))</f>
        <v/>
      </c>
      <c r="R488" s="8">
        <f>IF(COUNT(D488:P488)=0,"",MEDIAN(D488:P488))</f>
        <v/>
      </c>
      <c r="S488" s="8">
        <f>IF(COUNT(D488:P488)=0,"",MAX(D488:P488))</f>
        <v/>
      </c>
      <c r="T488" s="9">
        <f>IF(OR(Q488="",Q488=0),"",(S488-Q488)/Q488)</f>
        <v/>
      </c>
      <c r="U488" s="7">
        <f>IF(COUNT(D488:P488)=0,"",INDEX($D$1:$P$1,MATCH(MIN(D488:P488),D488:P488,0)))</f>
        <v/>
      </c>
      <c r="V488" s="8" t="n">
        <v>874.38</v>
      </c>
      <c r="W488" s="10" t="n">
        <v>1</v>
      </c>
    </row>
    <row r="489">
      <c r="A489" s="7" t="inlineStr">
        <is>
          <t>MAT-08-273</t>
        </is>
      </c>
      <c r="B489" s="4" t="inlineStr">
        <is>
          <t>Adoquín de hormigón tipo flecha</t>
        </is>
      </c>
      <c r="C489" s="7" t="inlineStr">
        <is>
          <t>m²</t>
        </is>
      </c>
      <c r="D489" s="8" t="n">
        <v>812.28</v>
      </c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>
        <f>IF(COUNT(D489:P489)=0,"",MIN(D489:P489))</f>
        <v/>
      </c>
      <c r="R489" s="8">
        <f>IF(COUNT(D489:P489)=0,"",MEDIAN(D489:P489))</f>
        <v/>
      </c>
      <c r="S489" s="8">
        <f>IF(COUNT(D489:P489)=0,"",MAX(D489:P489))</f>
        <v/>
      </c>
      <c r="T489" s="9">
        <f>IF(OR(Q489="",Q489=0),"",(S489-Q489)/Q489)</f>
        <v/>
      </c>
      <c r="U489" s="7">
        <f>IF(COUNT(D489:P489)=0,"",INDEX($D$1:$P$1,MATCH(MIN(D489:P489),D489:P489,0)))</f>
        <v/>
      </c>
      <c r="V489" s="8" t="n">
        <v>812.28</v>
      </c>
      <c r="W489" s="10" t="n">
        <v>1</v>
      </c>
    </row>
    <row r="490">
      <c r="A490" s="7" t="inlineStr">
        <is>
          <t>MAT-08-274</t>
        </is>
      </c>
      <c r="B490" s="4" t="inlineStr">
        <is>
          <t>Adoquín de hormigón tipo ladrillo</t>
        </is>
      </c>
      <c r="C490" s="7" t="inlineStr">
        <is>
          <t>m²</t>
        </is>
      </c>
      <c r="D490" s="8" t="n">
        <v>850</v>
      </c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>
        <f>IF(COUNT(D490:P490)=0,"",MIN(D490:P490))</f>
        <v/>
      </c>
      <c r="R490" s="8">
        <f>IF(COUNT(D490:P490)=0,"",MEDIAN(D490:P490))</f>
        <v/>
      </c>
      <c r="S490" s="8">
        <f>IF(COUNT(D490:P490)=0,"",MAX(D490:P490))</f>
        <v/>
      </c>
      <c r="T490" s="9">
        <f>IF(OR(Q490="",Q490=0),"",(S490-Q490)/Q490)</f>
        <v/>
      </c>
      <c r="U490" s="7">
        <f>IF(COUNT(D490:P490)=0,"",INDEX($D$1:$P$1,MATCH(MIN(D490:P490),D490:P490,0)))</f>
        <v/>
      </c>
      <c r="V490" s="8" t="n">
        <v>850</v>
      </c>
      <c r="W490" s="10" t="n">
        <v>1</v>
      </c>
    </row>
    <row r="491">
      <c r="A491" s="7" t="inlineStr">
        <is>
          <t>MAT-08-275</t>
        </is>
      </c>
      <c r="B491" s="4" t="inlineStr">
        <is>
          <t>Adoquín de hormigón tipo raqueta</t>
        </is>
      </c>
      <c r="C491" s="7" t="inlineStr">
        <is>
          <t>m²</t>
        </is>
      </c>
      <c r="D491" s="8" t="n">
        <v>872.87</v>
      </c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>
        <f>IF(COUNT(D491:P491)=0,"",MIN(D491:P491))</f>
        <v/>
      </c>
      <c r="R491" s="8">
        <f>IF(COUNT(D491:P491)=0,"",MEDIAN(D491:P491))</f>
        <v/>
      </c>
      <c r="S491" s="8">
        <f>IF(COUNT(D491:P491)=0,"",MAX(D491:P491))</f>
        <v/>
      </c>
      <c r="T491" s="9">
        <f>IF(OR(Q491="",Q491=0),"",(S491-Q491)/Q491)</f>
        <v/>
      </c>
      <c r="U491" s="7">
        <f>IF(COUNT(D491:P491)=0,"",INDEX($D$1:$P$1,MATCH(MIN(D491:P491),D491:P491,0)))</f>
        <v/>
      </c>
      <c r="V491" s="8" t="n">
        <v>872.87</v>
      </c>
      <c r="W491" s="10" t="n">
        <v>1</v>
      </c>
    </row>
    <row r="492">
      <c r="A492" s="7" t="inlineStr">
        <is>
          <t>MAT-08-276</t>
        </is>
      </c>
      <c r="B492" s="4" t="inlineStr">
        <is>
          <t>Polvo de color para mosaico amarillo comercial, 1 lb</t>
        </is>
      </c>
      <c r="C492" s="7" t="inlineStr">
        <is>
          <t>unidad</t>
        </is>
      </c>
      <c r="D492" s="8" t="n">
        <v>55.94</v>
      </c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>
        <f>IF(COUNT(D492:P492)=0,"",MIN(D492:P492))</f>
        <v/>
      </c>
      <c r="R492" s="8">
        <f>IF(COUNT(D492:P492)=0,"",MEDIAN(D492:P492))</f>
        <v/>
      </c>
      <c r="S492" s="8">
        <f>IF(COUNT(D492:P492)=0,"",MAX(D492:P492))</f>
        <v/>
      </c>
      <c r="T492" s="9">
        <f>IF(OR(Q492="",Q492=0),"",(S492-Q492)/Q492)</f>
        <v/>
      </c>
      <c r="U492" s="7">
        <f>IF(COUNT(D492:P492)=0,"",INDEX($D$1:$P$1,MATCH(MIN(D492:P492),D492:P492,0)))</f>
        <v/>
      </c>
      <c r="V492" s="8" t="n">
        <v>55.94</v>
      </c>
      <c r="W492" s="10" t="n">
        <v>1</v>
      </c>
    </row>
    <row r="493">
      <c r="A493" s="7" t="inlineStr">
        <is>
          <t>MAT-08-277</t>
        </is>
      </c>
      <c r="B493" s="4" t="inlineStr">
        <is>
          <t>Polvo de color para mosaico amarillo industrial, 1 lb</t>
        </is>
      </c>
      <c r="C493" s="7" t="inlineStr">
        <is>
          <t>unidad</t>
        </is>
      </c>
      <c r="D493" s="8" t="n">
        <v>153.81</v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>
        <f>IF(COUNT(D493:P493)=0,"",MIN(D493:P493))</f>
        <v/>
      </c>
      <c r="R493" s="8">
        <f>IF(COUNT(D493:P493)=0,"",MEDIAN(D493:P493))</f>
        <v/>
      </c>
      <c r="S493" s="8">
        <f>IF(COUNT(D493:P493)=0,"",MAX(D493:P493))</f>
        <v/>
      </c>
      <c r="T493" s="9">
        <f>IF(OR(Q493="",Q493=0),"",(S493-Q493)/Q493)</f>
        <v/>
      </c>
      <c r="U493" s="7">
        <f>IF(COUNT(D493:P493)=0,"",INDEX($D$1:$P$1,MATCH(MIN(D493:P493),D493:P493,0)))</f>
        <v/>
      </c>
      <c r="V493" s="8" t="n">
        <v>153.81</v>
      </c>
      <c r="W493" s="10" t="n">
        <v>1</v>
      </c>
    </row>
    <row r="494">
      <c r="A494" s="7" t="inlineStr">
        <is>
          <t>MAT-08-278</t>
        </is>
      </c>
      <c r="B494" s="4" t="inlineStr">
        <is>
          <t>Polvo de color para mosaico azul comercial, 1 lb</t>
        </is>
      </c>
      <c r="C494" s="7" t="inlineStr">
        <is>
          <t>unidad</t>
        </is>
      </c>
      <c r="D494" s="8" t="n">
        <v>82.72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>
        <f>IF(COUNT(D494:P494)=0,"",MIN(D494:P494))</f>
        <v/>
      </c>
      <c r="R494" s="8">
        <f>IF(COUNT(D494:P494)=0,"",MEDIAN(D494:P494))</f>
        <v/>
      </c>
      <c r="S494" s="8">
        <f>IF(COUNT(D494:P494)=0,"",MAX(D494:P494))</f>
        <v/>
      </c>
      <c r="T494" s="9">
        <f>IF(OR(Q494="",Q494=0),"",(S494-Q494)/Q494)</f>
        <v/>
      </c>
      <c r="U494" s="7">
        <f>IF(COUNT(D494:P494)=0,"",INDEX($D$1:$P$1,MATCH(MIN(D494:P494),D494:P494,0)))</f>
        <v/>
      </c>
      <c r="V494" s="8" t="n">
        <v>82.72</v>
      </c>
      <c r="W494" s="10" t="n">
        <v>1</v>
      </c>
    </row>
    <row r="495">
      <c r="A495" s="7" t="inlineStr">
        <is>
          <t>MAT-08-279</t>
        </is>
      </c>
      <c r="B495" s="4" t="inlineStr">
        <is>
          <t>Polvo de color para mosaico azul industrial, 1 lb</t>
        </is>
      </c>
      <c r="C495" s="7" t="inlineStr">
        <is>
          <t>unidad</t>
        </is>
      </c>
      <c r="D495" s="8" t="n">
        <v>162.49</v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>
        <f>IF(COUNT(D495:P495)=0,"",MIN(D495:P495))</f>
        <v/>
      </c>
      <c r="R495" s="8">
        <f>IF(COUNT(D495:P495)=0,"",MEDIAN(D495:P495))</f>
        <v/>
      </c>
      <c r="S495" s="8">
        <f>IF(COUNT(D495:P495)=0,"",MAX(D495:P495))</f>
        <v/>
      </c>
      <c r="T495" s="9">
        <f>IF(OR(Q495="",Q495=0),"",(S495-Q495)/Q495)</f>
        <v/>
      </c>
      <c r="U495" s="7">
        <f>IF(COUNT(D495:P495)=0,"",INDEX($D$1:$P$1,MATCH(MIN(D495:P495),D495:P495,0)))</f>
        <v/>
      </c>
      <c r="V495" s="8" t="n">
        <v>162.49</v>
      </c>
      <c r="W495" s="10" t="n">
        <v>1</v>
      </c>
    </row>
    <row r="496">
      <c r="A496" s="7" t="inlineStr">
        <is>
          <t>MAT-08-280</t>
        </is>
      </c>
      <c r="B496" s="4" t="inlineStr">
        <is>
          <t>Polvo de color para mosaico negro comercial, 1 lb</t>
        </is>
      </c>
      <c r="C496" s="7" t="inlineStr">
        <is>
          <t>unidad</t>
        </is>
      </c>
      <c r="D496" s="8" t="n">
        <v>90.79000000000001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>
        <f>IF(COUNT(D496:P496)=0,"",MIN(D496:P496))</f>
        <v/>
      </c>
      <c r="R496" s="8">
        <f>IF(COUNT(D496:P496)=0,"",MEDIAN(D496:P496))</f>
        <v/>
      </c>
      <c r="S496" s="8">
        <f>IF(COUNT(D496:P496)=0,"",MAX(D496:P496))</f>
        <v/>
      </c>
      <c r="T496" s="9">
        <f>IF(OR(Q496="",Q496=0),"",(S496-Q496)/Q496)</f>
        <v/>
      </c>
      <c r="U496" s="7">
        <f>IF(COUNT(D496:P496)=0,"",INDEX($D$1:$P$1,MATCH(MIN(D496:P496),D496:P496,0)))</f>
        <v/>
      </c>
      <c r="V496" s="8" t="n">
        <v>90.79000000000001</v>
      </c>
      <c r="W496" s="10" t="n">
        <v>1</v>
      </c>
    </row>
    <row r="497">
      <c r="A497" s="7" t="inlineStr">
        <is>
          <t>MAT-08-281</t>
        </is>
      </c>
      <c r="B497" s="4" t="inlineStr">
        <is>
          <t>Polvo de color para mosaico negro industrial, 1 lb</t>
        </is>
      </c>
      <c r="C497" s="7" t="inlineStr">
        <is>
          <t>unidad</t>
        </is>
      </c>
      <c r="D497" s="8" t="n">
        <v>129.29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>
        <f>IF(COUNT(D497:P497)=0,"",MIN(D497:P497))</f>
        <v/>
      </c>
      <c r="R497" s="8">
        <f>IF(COUNT(D497:P497)=0,"",MEDIAN(D497:P497))</f>
        <v/>
      </c>
      <c r="S497" s="8">
        <f>IF(COUNT(D497:P497)=0,"",MAX(D497:P497))</f>
        <v/>
      </c>
      <c r="T497" s="9">
        <f>IF(OR(Q497="",Q497=0),"",(S497-Q497)/Q497)</f>
        <v/>
      </c>
      <c r="U497" s="7">
        <f>IF(COUNT(D497:P497)=0,"",INDEX($D$1:$P$1,MATCH(MIN(D497:P497),D497:P497,0)))</f>
        <v/>
      </c>
      <c r="V497" s="8" t="n">
        <v>129.29</v>
      </c>
      <c r="W497" s="10" t="n">
        <v>1</v>
      </c>
    </row>
    <row r="498">
      <c r="A498" s="7" t="inlineStr">
        <is>
          <t>MAT-08-282</t>
        </is>
      </c>
      <c r="B498" s="4" t="inlineStr">
        <is>
          <t>Polvo de color para mosaico rojo comercial, 1 lb</t>
        </is>
      </c>
      <c r="C498" s="7" t="inlineStr">
        <is>
          <t>unidad</t>
        </is>
      </c>
      <c r="D498" s="8" t="n">
        <v>66.5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>
        <f>IF(COUNT(D498:P498)=0,"",MIN(D498:P498))</f>
        <v/>
      </c>
      <c r="R498" s="8">
        <f>IF(COUNT(D498:P498)=0,"",MEDIAN(D498:P498))</f>
        <v/>
      </c>
      <c r="S498" s="8">
        <f>IF(COUNT(D498:P498)=0,"",MAX(D498:P498))</f>
        <v/>
      </c>
      <c r="T498" s="9">
        <f>IF(OR(Q498="",Q498=0),"",(S498-Q498)/Q498)</f>
        <v/>
      </c>
      <c r="U498" s="7">
        <f>IF(COUNT(D498:P498)=0,"",INDEX($D$1:$P$1,MATCH(MIN(D498:P498),D498:P498,0)))</f>
        <v/>
      </c>
      <c r="V498" s="8" t="n">
        <v>66.5</v>
      </c>
      <c r="W498" s="10" t="n">
        <v>1</v>
      </c>
    </row>
    <row r="499">
      <c r="A499" s="7" t="inlineStr">
        <is>
          <t>MAT-08-283</t>
        </is>
      </c>
      <c r="B499" s="4" t="inlineStr">
        <is>
          <t>Polvo de color para mosaico rojo industrial, 1 lb</t>
        </is>
      </c>
      <c r="C499" s="7" t="inlineStr">
        <is>
          <t>unidad</t>
        </is>
      </c>
      <c r="D499" s="8" t="n">
        <v>106.37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>
        <f>IF(COUNT(D499:P499)=0,"",MIN(D499:P499))</f>
        <v/>
      </c>
      <c r="R499" s="8">
        <f>IF(COUNT(D499:P499)=0,"",MEDIAN(D499:P499))</f>
        <v/>
      </c>
      <c r="S499" s="8">
        <f>IF(COUNT(D499:P499)=0,"",MAX(D499:P499))</f>
        <v/>
      </c>
      <c r="T499" s="9">
        <f>IF(OR(Q499="",Q499=0),"",(S499-Q499)/Q499)</f>
        <v/>
      </c>
      <c r="U499" s="7">
        <f>IF(COUNT(D499:P499)=0,"",INDEX($D$1:$P$1,MATCH(MIN(D499:P499),D499:P499,0)))</f>
        <v/>
      </c>
      <c r="V499" s="8" t="n">
        <v>106.37</v>
      </c>
      <c r="W499" s="10" t="n">
        <v>1</v>
      </c>
    </row>
    <row r="500">
      <c r="A500" s="7" t="inlineStr">
        <is>
          <t>MAT-08-284</t>
        </is>
      </c>
      <c r="B500" s="4" t="inlineStr">
        <is>
          <t>Polvo de color para mosaico verde comercial, 1 lb</t>
        </is>
      </c>
      <c r="C500" s="7" t="inlineStr">
        <is>
          <t>unidad</t>
        </is>
      </c>
      <c r="D500" s="8" t="n">
        <v>78.84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>
        <f>IF(COUNT(D500:P500)=0,"",MIN(D500:P500))</f>
        <v/>
      </c>
      <c r="R500" s="8">
        <f>IF(COUNT(D500:P500)=0,"",MEDIAN(D500:P500))</f>
        <v/>
      </c>
      <c r="S500" s="8">
        <f>IF(COUNT(D500:P500)=0,"",MAX(D500:P500))</f>
        <v/>
      </c>
      <c r="T500" s="9">
        <f>IF(OR(Q500="",Q500=0),"",(S500-Q500)/Q500)</f>
        <v/>
      </c>
      <c r="U500" s="7">
        <f>IF(COUNT(D500:P500)=0,"",INDEX($D$1:$P$1,MATCH(MIN(D500:P500),D500:P500,0)))</f>
        <v/>
      </c>
      <c r="V500" s="8" t="n">
        <v>78.84</v>
      </c>
      <c r="W500" s="10" t="n">
        <v>1</v>
      </c>
    </row>
    <row r="501">
      <c r="A501" s="7" t="inlineStr">
        <is>
          <t>MAT-08-285</t>
        </is>
      </c>
      <c r="B501" s="4" t="inlineStr">
        <is>
          <t>Polvo de color para mosaico verde industrial, 1 lb</t>
        </is>
      </c>
      <c r="C501" s="7" t="inlineStr">
        <is>
          <t>unidad</t>
        </is>
      </c>
      <c r="D501" s="8" t="n">
        <v>180.39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>
        <f>IF(COUNT(D501:P501)=0,"",MIN(D501:P501))</f>
        <v/>
      </c>
      <c r="R501" s="8">
        <f>IF(COUNT(D501:P501)=0,"",MEDIAN(D501:P501))</f>
        <v/>
      </c>
      <c r="S501" s="8">
        <f>IF(COUNT(D501:P501)=0,"",MAX(D501:P501))</f>
        <v/>
      </c>
      <c r="T501" s="9">
        <f>IF(OR(Q501="",Q501=0),"",(S501-Q501)/Q501)</f>
        <v/>
      </c>
      <c r="U501" s="7">
        <f>IF(COUNT(D501:P501)=0,"",INDEX($D$1:$P$1,MATCH(MIN(D501:P501),D501:P501,0)))</f>
        <v/>
      </c>
      <c r="V501" s="8" t="n">
        <v>180.39</v>
      </c>
      <c r="W501" s="10" t="n">
        <v>1</v>
      </c>
    </row>
    <row r="502">
      <c r="A502" s="7" t="inlineStr">
        <is>
          <t>MAT-08-286</t>
        </is>
      </c>
      <c r="B502" s="4" t="inlineStr">
        <is>
          <t>Polvo de color para mosaico amarillo industrial, 3 lb</t>
        </is>
      </c>
      <c r="C502" s="7" t="inlineStr">
        <is>
          <t>unidad</t>
        </is>
      </c>
      <c r="D502" s="8" t="n">
        <v>460.92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>
        <f>IF(COUNT(D502:P502)=0,"",MIN(D502:P502))</f>
        <v/>
      </c>
      <c r="R502" s="8">
        <f>IF(COUNT(D502:P502)=0,"",MEDIAN(D502:P502))</f>
        <v/>
      </c>
      <c r="S502" s="8">
        <f>IF(COUNT(D502:P502)=0,"",MAX(D502:P502))</f>
        <v/>
      </c>
      <c r="T502" s="9">
        <f>IF(OR(Q502="",Q502=0),"",(S502-Q502)/Q502)</f>
        <v/>
      </c>
      <c r="U502" s="7">
        <f>IF(COUNT(D502:P502)=0,"",INDEX($D$1:$P$1,MATCH(MIN(D502:P502),D502:P502,0)))</f>
        <v/>
      </c>
      <c r="V502" s="8" t="n">
        <v>460.92</v>
      </c>
      <c r="W502" s="10" t="n">
        <v>1</v>
      </c>
    </row>
    <row r="503">
      <c r="A503" s="7" t="inlineStr">
        <is>
          <t>MAT-08-287</t>
        </is>
      </c>
      <c r="B503" s="4" t="inlineStr">
        <is>
          <t>Polvo de color para mosaico amarillo comercial, 5 lb</t>
        </is>
      </c>
      <c r="C503" s="7" t="inlineStr">
        <is>
          <t>unidad</t>
        </is>
      </c>
      <c r="D503" s="8" t="n">
        <v>280.64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>
        <f>IF(COUNT(D503:P503)=0,"",MIN(D503:P503))</f>
        <v/>
      </c>
      <c r="R503" s="8">
        <f>IF(COUNT(D503:P503)=0,"",MEDIAN(D503:P503))</f>
        <v/>
      </c>
      <c r="S503" s="8">
        <f>IF(COUNT(D503:P503)=0,"",MAX(D503:P503))</f>
        <v/>
      </c>
      <c r="T503" s="9">
        <f>IF(OR(Q503="",Q503=0),"",(S503-Q503)/Q503)</f>
        <v/>
      </c>
      <c r="U503" s="7">
        <f>IF(COUNT(D503:P503)=0,"",INDEX($D$1:$P$1,MATCH(MIN(D503:P503),D503:P503,0)))</f>
        <v/>
      </c>
      <c r="V503" s="8" t="n">
        <v>280.64</v>
      </c>
      <c r="W503" s="10" t="n">
        <v>1</v>
      </c>
    </row>
    <row r="504">
      <c r="A504" s="7" t="inlineStr">
        <is>
          <t>MAT-08-288</t>
        </is>
      </c>
      <c r="B504" s="4" t="inlineStr">
        <is>
          <t>Polvo de color para mosaico azul comercial, 5 lb</t>
        </is>
      </c>
      <c r="C504" s="7" t="inlineStr">
        <is>
          <t>unidad</t>
        </is>
      </c>
      <c r="D504" s="8" t="n">
        <v>367.96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>
        <f>IF(COUNT(D504:P504)=0,"",MIN(D504:P504))</f>
        <v/>
      </c>
      <c r="R504" s="8">
        <f>IF(COUNT(D504:P504)=0,"",MEDIAN(D504:P504))</f>
        <v/>
      </c>
      <c r="S504" s="8">
        <f>IF(COUNT(D504:P504)=0,"",MAX(D504:P504))</f>
        <v/>
      </c>
      <c r="T504" s="9">
        <f>IF(OR(Q504="",Q504=0),"",(S504-Q504)/Q504)</f>
        <v/>
      </c>
      <c r="U504" s="7">
        <f>IF(COUNT(D504:P504)=0,"",INDEX($D$1:$P$1,MATCH(MIN(D504:P504),D504:P504,0)))</f>
        <v/>
      </c>
      <c r="V504" s="8" t="n">
        <v>367.96</v>
      </c>
      <c r="W504" s="10" t="n">
        <v>1</v>
      </c>
    </row>
    <row r="505">
      <c r="A505" s="7" t="inlineStr">
        <is>
          <t>MAT-08-289</t>
        </is>
      </c>
      <c r="B505" s="4" t="inlineStr">
        <is>
          <t>Polvo de color para mosaico azul industrial, 5 lb</t>
        </is>
      </c>
      <c r="C505" s="7" t="inlineStr">
        <is>
          <t>unidad</t>
        </is>
      </c>
      <c r="D505" s="8" t="n">
        <v>813.47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>
        <f>IF(COUNT(D505:P505)=0,"",MIN(D505:P505))</f>
        <v/>
      </c>
      <c r="R505" s="8">
        <f>IF(COUNT(D505:P505)=0,"",MEDIAN(D505:P505))</f>
        <v/>
      </c>
      <c r="S505" s="8">
        <f>IF(COUNT(D505:P505)=0,"",MAX(D505:P505))</f>
        <v/>
      </c>
      <c r="T505" s="9">
        <f>IF(OR(Q505="",Q505=0),"",(S505-Q505)/Q505)</f>
        <v/>
      </c>
      <c r="U505" s="7">
        <f>IF(COUNT(D505:P505)=0,"",INDEX($D$1:$P$1,MATCH(MIN(D505:P505),D505:P505,0)))</f>
        <v/>
      </c>
      <c r="V505" s="8" t="n">
        <v>813.47</v>
      </c>
      <c r="W505" s="10" t="n">
        <v>1</v>
      </c>
    </row>
    <row r="506">
      <c r="A506" s="7" t="inlineStr">
        <is>
          <t>MAT-08-290</t>
        </is>
      </c>
      <c r="B506" s="4" t="inlineStr">
        <is>
          <t>Polvo de color para mosaico negro comercial, 5 lb</t>
        </is>
      </c>
      <c r="C506" s="7" t="inlineStr">
        <is>
          <t>unidad</t>
        </is>
      </c>
      <c r="D506" s="8" t="n">
        <v>406.73</v>
      </c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>
        <f>IF(COUNT(D506:P506)=0,"",MIN(D506:P506))</f>
        <v/>
      </c>
      <c r="R506" s="8">
        <f>IF(COUNT(D506:P506)=0,"",MEDIAN(D506:P506))</f>
        <v/>
      </c>
      <c r="S506" s="8">
        <f>IF(COUNT(D506:P506)=0,"",MAX(D506:P506))</f>
        <v/>
      </c>
      <c r="T506" s="9">
        <f>IF(OR(Q506="",Q506=0),"",(S506-Q506)/Q506)</f>
        <v/>
      </c>
      <c r="U506" s="7">
        <f>IF(COUNT(D506:P506)=0,"",INDEX($D$1:$P$1,MATCH(MIN(D506:P506),D506:P506,0)))</f>
        <v/>
      </c>
      <c r="V506" s="8" t="n">
        <v>406.73</v>
      </c>
      <c r="W506" s="10" t="n">
        <v>1</v>
      </c>
    </row>
    <row r="507">
      <c r="A507" s="7" t="inlineStr">
        <is>
          <t>MAT-08-291</t>
        </is>
      </c>
      <c r="B507" s="4" t="inlineStr">
        <is>
          <t>Polvo de color para mosaico negro industrial, 5 lb</t>
        </is>
      </c>
      <c r="C507" s="7" t="inlineStr">
        <is>
          <t>unidad</t>
        </is>
      </c>
      <c r="D507" s="8" t="n">
        <v>647.51</v>
      </c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>
        <f>IF(COUNT(D507:P507)=0,"",MIN(D507:P507))</f>
        <v/>
      </c>
      <c r="R507" s="8">
        <f>IF(COUNT(D507:P507)=0,"",MEDIAN(D507:P507))</f>
        <v/>
      </c>
      <c r="S507" s="8">
        <f>IF(COUNT(D507:P507)=0,"",MAX(D507:P507))</f>
        <v/>
      </c>
      <c r="T507" s="9">
        <f>IF(OR(Q507="",Q507=0),"",(S507-Q507)/Q507)</f>
        <v/>
      </c>
      <c r="U507" s="7">
        <f>IF(COUNT(D507:P507)=0,"",INDEX($D$1:$P$1,MATCH(MIN(D507:P507),D507:P507,0)))</f>
        <v/>
      </c>
      <c r="V507" s="8" t="n">
        <v>647.51</v>
      </c>
      <c r="W507" s="10" t="n">
        <v>1</v>
      </c>
    </row>
    <row r="508">
      <c r="A508" s="7" t="inlineStr">
        <is>
          <t>MAT-08-292</t>
        </is>
      </c>
      <c r="B508" s="4" t="inlineStr">
        <is>
          <t>Polvo de color para mosaico rojo comercial, 5 lb</t>
        </is>
      </c>
      <c r="C508" s="7" t="inlineStr">
        <is>
          <t>unidad</t>
        </is>
      </c>
      <c r="D508" s="8" t="n">
        <v>333.56</v>
      </c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>
        <f>IF(COUNT(D508:P508)=0,"",MIN(D508:P508))</f>
        <v/>
      </c>
      <c r="R508" s="8">
        <f>IF(COUNT(D508:P508)=0,"",MEDIAN(D508:P508))</f>
        <v/>
      </c>
      <c r="S508" s="8">
        <f>IF(COUNT(D508:P508)=0,"",MAX(D508:P508))</f>
        <v/>
      </c>
      <c r="T508" s="9">
        <f>IF(OR(Q508="",Q508=0),"",(S508-Q508)/Q508)</f>
        <v/>
      </c>
      <c r="U508" s="7">
        <f>IF(COUNT(D508:P508)=0,"",INDEX($D$1:$P$1,MATCH(MIN(D508:P508),D508:P508,0)))</f>
        <v/>
      </c>
      <c r="V508" s="8" t="n">
        <v>333.56</v>
      </c>
      <c r="W508" s="10" t="n">
        <v>1</v>
      </c>
    </row>
    <row r="509">
      <c r="A509" s="7" t="inlineStr">
        <is>
          <t>MAT-08-293</t>
        </is>
      </c>
      <c r="B509" s="4" t="inlineStr">
        <is>
          <t>Polvo de color para mosaico rojo industrial, 5 lb</t>
        </is>
      </c>
      <c r="C509" s="7" t="inlineStr">
        <is>
          <t>unidad</t>
        </is>
      </c>
      <c r="D509" s="8" t="n">
        <v>472.9</v>
      </c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>
        <f>IF(COUNT(D509:P509)=0,"",MIN(D509:P509))</f>
        <v/>
      </c>
      <c r="R509" s="8">
        <f>IF(COUNT(D509:P509)=0,"",MEDIAN(D509:P509))</f>
        <v/>
      </c>
      <c r="S509" s="8">
        <f>IF(COUNT(D509:P509)=0,"",MAX(D509:P509))</f>
        <v/>
      </c>
      <c r="T509" s="9">
        <f>IF(OR(Q509="",Q509=0),"",(S509-Q509)/Q509)</f>
        <v/>
      </c>
      <c r="U509" s="7">
        <f>IF(COUNT(D509:P509)=0,"",INDEX($D$1:$P$1,MATCH(MIN(D509:P509),D509:P509,0)))</f>
        <v/>
      </c>
      <c r="V509" s="8" t="n">
        <v>472.9</v>
      </c>
      <c r="W509" s="10" t="n">
        <v>1</v>
      </c>
    </row>
    <row r="510">
      <c r="A510" s="7" t="inlineStr">
        <is>
          <t>MAT-08-294</t>
        </is>
      </c>
      <c r="B510" s="4" t="inlineStr">
        <is>
          <t>Polvo de color para mosaico verde comercial, 5 lb</t>
        </is>
      </c>
      <c r="C510" s="7" t="inlineStr">
        <is>
          <t>unidad</t>
        </is>
      </c>
      <c r="D510" s="8" t="n">
        <v>350.7</v>
      </c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>
        <f>IF(COUNT(D510:P510)=0,"",MIN(D510:P510))</f>
        <v/>
      </c>
      <c r="R510" s="8">
        <f>IF(COUNT(D510:P510)=0,"",MEDIAN(D510:P510))</f>
        <v/>
      </c>
      <c r="S510" s="8">
        <f>IF(COUNT(D510:P510)=0,"",MAX(D510:P510))</f>
        <v/>
      </c>
      <c r="T510" s="9">
        <f>IF(OR(Q510="",Q510=0),"",(S510-Q510)/Q510)</f>
        <v/>
      </c>
      <c r="U510" s="7">
        <f>IF(COUNT(D510:P510)=0,"",INDEX($D$1:$P$1,MATCH(MIN(D510:P510),D510:P510,0)))</f>
        <v/>
      </c>
      <c r="V510" s="8" t="n">
        <v>350.7</v>
      </c>
      <c r="W510" s="10" t="n">
        <v>1</v>
      </c>
    </row>
    <row r="511">
      <c r="A511" s="7" t="inlineStr">
        <is>
          <t>MAT-08-295</t>
        </is>
      </c>
      <c r="B511" s="4" t="inlineStr">
        <is>
          <t>Polvo de color para mosaico verde industrial, 5 lb</t>
        </is>
      </c>
      <c r="C511" s="7" t="inlineStr">
        <is>
          <t>unidad</t>
        </is>
      </c>
      <c r="D511" s="8" t="n">
        <v>902.88</v>
      </c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>
        <f>IF(COUNT(D511:P511)=0,"",MIN(D511:P511))</f>
        <v/>
      </c>
      <c r="R511" s="8">
        <f>IF(COUNT(D511:P511)=0,"",MEDIAN(D511:P511))</f>
        <v/>
      </c>
      <c r="S511" s="8">
        <f>IF(COUNT(D511:P511)=0,"",MAX(D511:P511))</f>
        <v/>
      </c>
      <c r="T511" s="9">
        <f>IF(OR(Q511="",Q511=0),"",(S511-Q511)/Q511)</f>
        <v/>
      </c>
      <c r="U511" s="7">
        <f>IF(COUNT(D511:P511)=0,"",INDEX($D$1:$P$1,MATCH(MIN(D511:P511),D511:P511,0)))</f>
        <v/>
      </c>
      <c r="V511" s="8" t="n">
        <v>902.88</v>
      </c>
      <c r="W511" s="10" t="n">
        <v>1</v>
      </c>
    </row>
    <row r="512">
      <c r="A512" s="7" t="inlineStr">
        <is>
          <t>MAT-08-296</t>
        </is>
      </c>
      <c r="B512" s="4" t="inlineStr">
        <is>
          <t>Polvo de color para mosaico amarillo comercial, 55 lb</t>
        </is>
      </c>
      <c r="C512" s="7" t="inlineStr">
        <is>
          <t>funda</t>
        </is>
      </c>
      <c r="D512" s="8" t="n">
        <v>3195.68</v>
      </c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>
        <f>IF(COUNT(D512:P512)=0,"",MIN(D512:P512))</f>
        <v/>
      </c>
      <c r="R512" s="8">
        <f>IF(COUNT(D512:P512)=0,"",MEDIAN(D512:P512))</f>
        <v/>
      </c>
      <c r="S512" s="8">
        <f>IF(COUNT(D512:P512)=0,"",MAX(D512:P512))</f>
        <v/>
      </c>
      <c r="T512" s="9">
        <f>IF(OR(Q512="",Q512=0),"",(S512-Q512)/Q512)</f>
        <v/>
      </c>
      <c r="U512" s="7">
        <f>IF(COUNT(D512:P512)=0,"",INDEX($D$1:$P$1,MATCH(MIN(D512:P512),D512:P512,0)))</f>
        <v/>
      </c>
      <c r="V512" s="8" t="n">
        <v>3195.68</v>
      </c>
      <c r="W512" s="10" t="n">
        <v>1</v>
      </c>
    </row>
    <row r="513">
      <c r="A513" s="7" t="inlineStr">
        <is>
          <t>MAT-08-297</t>
        </is>
      </c>
      <c r="B513" s="4" t="inlineStr">
        <is>
          <t>Polvo de color para mosaico amarillo industrial, 55 lb</t>
        </is>
      </c>
      <c r="C513" s="7" t="inlineStr">
        <is>
          <t>funda</t>
        </is>
      </c>
      <c r="D513" s="8" t="n">
        <v>7742.13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>
        <f>IF(COUNT(D513:P513)=0,"",MIN(D513:P513))</f>
        <v/>
      </c>
      <c r="R513" s="8">
        <f>IF(COUNT(D513:P513)=0,"",MEDIAN(D513:P513))</f>
        <v/>
      </c>
      <c r="S513" s="8">
        <f>IF(COUNT(D513:P513)=0,"",MAX(D513:P513))</f>
        <v/>
      </c>
      <c r="T513" s="9">
        <f>IF(OR(Q513="",Q513=0),"",(S513-Q513)/Q513)</f>
        <v/>
      </c>
      <c r="U513" s="7">
        <f>IF(COUNT(D513:P513)=0,"",INDEX($D$1:$P$1,MATCH(MIN(D513:P513),D513:P513,0)))</f>
        <v/>
      </c>
      <c r="V513" s="8" t="n">
        <v>7742.13</v>
      </c>
      <c r="W513" s="10" t="n">
        <v>1</v>
      </c>
    </row>
    <row r="514">
      <c r="A514" s="7" t="inlineStr">
        <is>
          <t>MAT-08-298</t>
        </is>
      </c>
      <c r="B514" s="4" t="inlineStr">
        <is>
          <t>Polvo de color para mosaico azul comercial, 55 lb</t>
        </is>
      </c>
      <c r="C514" s="7" t="inlineStr">
        <is>
          <t>funda</t>
        </is>
      </c>
      <c r="D514" s="8" t="n">
        <v>4220.23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>
        <f>IF(COUNT(D514:P514)=0,"",MIN(D514:P514))</f>
        <v/>
      </c>
      <c r="R514" s="8">
        <f>IF(COUNT(D514:P514)=0,"",MEDIAN(D514:P514))</f>
        <v/>
      </c>
      <c r="S514" s="8">
        <f>IF(COUNT(D514:P514)=0,"",MAX(D514:P514))</f>
        <v/>
      </c>
      <c r="T514" s="9">
        <f>IF(OR(Q514="",Q514=0),"",(S514-Q514)/Q514)</f>
        <v/>
      </c>
      <c r="U514" s="7">
        <f>IF(COUNT(D514:P514)=0,"",INDEX($D$1:$P$1,MATCH(MIN(D514:P514),D514:P514,0)))</f>
        <v/>
      </c>
      <c r="V514" s="8" t="n">
        <v>4220.23</v>
      </c>
      <c r="W514" s="10" t="n">
        <v>1</v>
      </c>
    </row>
    <row r="515">
      <c r="A515" s="7" t="inlineStr">
        <is>
          <t>MAT-08-299</t>
        </is>
      </c>
      <c r="B515" s="4" t="inlineStr">
        <is>
          <t>Polvo de color para mosaico azul industrial, 55 lb</t>
        </is>
      </c>
      <c r="C515" s="7" t="inlineStr">
        <is>
          <t>funda</t>
        </is>
      </c>
      <c r="D515" s="8" t="n">
        <v>8183.45</v>
      </c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>
        <f>IF(COUNT(D515:P515)=0,"",MIN(D515:P515))</f>
        <v/>
      </c>
      <c r="R515" s="8">
        <f>IF(COUNT(D515:P515)=0,"",MEDIAN(D515:P515))</f>
        <v/>
      </c>
      <c r="S515" s="8">
        <f>IF(COUNT(D515:P515)=0,"",MAX(D515:P515))</f>
        <v/>
      </c>
      <c r="T515" s="9">
        <f>IF(OR(Q515="",Q515=0),"",(S515-Q515)/Q515)</f>
        <v/>
      </c>
      <c r="U515" s="7">
        <f>IF(COUNT(D515:P515)=0,"",INDEX($D$1:$P$1,MATCH(MIN(D515:P515),D515:P515,0)))</f>
        <v/>
      </c>
      <c r="V515" s="8" t="n">
        <v>8183.45</v>
      </c>
      <c r="W515" s="10" t="n">
        <v>1</v>
      </c>
    </row>
    <row r="516">
      <c r="A516" s="7" t="inlineStr">
        <is>
          <t>MAT-08-300</t>
        </is>
      </c>
      <c r="B516" s="4" t="inlineStr">
        <is>
          <t>Polvo de color para mosaico negro comercial, 55 lb</t>
        </is>
      </c>
      <c r="C516" s="7" t="inlineStr">
        <is>
          <t>funda</t>
        </is>
      </c>
      <c r="D516" s="8" t="n">
        <v>4640.79</v>
      </c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>
        <f>IF(COUNT(D516:P516)=0,"",MIN(D516:P516))</f>
        <v/>
      </c>
      <c r="R516" s="8">
        <f>IF(COUNT(D516:P516)=0,"",MEDIAN(D516:P516))</f>
        <v/>
      </c>
      <c r="S516" s="8">
        <f>IF(COUNT(D516:P516)=0,"",MAX(D516:P516))</f>
        <v/>
      </c>
      <c r="T516" s="9">
        <f>IF(OR(Q516="",Q516=0),"",(S516-Q516)/Q516)</f>
        <v/>
      </c>
      <c r="U516" s="7">
        <f>IF(COUNT(D516:P516)=0,"",INDEX($D$1:$P$1,MATCH(MIN(D516:P516),D516:P516,0)))</f>
        <v/>
      </c>
      <c r="V516" s="8" t="n">
        <v>4640.79</v>
      </c>
      <c r="W516" s="10" t="n">
        <v>1</v>
      </c>
    </row>
    <row r="517">
      <c r="A517" s="7" t="inlineStr">
        <is>
          <t>MAT-08-301</t>
        </is>
      </c>
      <c r="B517" s="4" t="inlineStr">
        <is>
          <t>Polvo de color para mosaico negro industrial, 55 lb</t>
        </is>
      </c>
      <c r="C517" s="7" t="inlineStr">
        <is>
          <t>funda</t>
        </is>
      </c>
      <c r="D517" s="8" t="n">
        <v>6521.15</v>
      </c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>
        <f>IF(COUNT(D517:P517)=0,"",MIN(D517:P517))</f>
        <v/>
      </c>
      <c r="R517" s="8">
        <f>IF(COUNT(D517:P517)=0,"",MEDIAN(D517:P517))</f>
        <v/>
      </c>
      <c r="S517" s="8">
        <f>IF(COUNT(D517:P517)=0,"",MAX(D517:P517))</f>
        <v/>
      </c>
      <c r="T517" s="9">
        <f>IF(OR(Q517="",Q517=0),"",(S517-Q517)/Q517)</f>
        <v/>
      </c>
      <c r="U517" s="7">
        <f>IF(COUNT(D517:P517)=0,"",INDEX($D$1:$P$1,MATCH(MIN(D517:P517),D517:P517,0)))</f>
        <v/>
      </c>
      <c r="V517" s="8" t="n">
        <v>6521.15</v>
      </c>
      <c r="W517" s="10" t="n">
        <v>1</v>
      </c>
    </row>
    <row r="518">
      <c r="A518" s="7" t="inlineStr">
        <is>
          <t>MAT-08-302</t>
        </is>
      </c>
      <c r="B518" s="4" t="inlineStr">
        <is>
          <t>Polvo de color para mosaico rojo comercial, 55 lb</t>
        </is>
      </c>
      <c r="C518" s="7" t="inlineStr">
        <is>
          <t>funda</t>
        </is>
      </c>
      <c r="D518" s="8" t="n">
        <v>3350.57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>
        <f>IF(COUNT(D518:P518)=0,"",MIN(D518:P518))</f>
        <v/>
      </c>
      <c r="R518" s="8">
        <f>IF(COUNT(D518:P518)=0,"",MEDIAN(D518:P518))</f>
        <v/>
      </c>
      <c r="S518" s="8">
        <f>IF(COUNT(D518:P518)=0,"",MAX(D518:P518))</f>
        <v/>
      </c>
      <c r="T518" s="9">
        <f>IF(OR(Q518="",Q518=0),"",(S518-Q518)/Q518)</f>
        <v/>
      </c>
      <c r="U518" s="7">
        <f>IF(COUNT(D518:P518)=0,"",INDEX($D$1:$P$1,MATCH(MIN(D518:P518),D518:P518,0)))</f>
        <v/>
      </c>
      <c r="V518" s="8" t="n">
        <v>3350.57</v>
      </c>
      <c r="W518" s="10" t="n">
        <v>1</v>
      </c>
    </row>
    <row r="519">
      <c r="A519" s="7" t="inlineStr">
        <is>
          <t>MAT-08-303</t>
        </is>
      </c>
      <c r="B519" s="4" t="inlineStr">
        <is>
          <t>Polvo de color para mosaico rojo industrial, 55 lb</t>
        </is>
      </c>
      <c r="C519" s="7" t="inlineStr">
        <is>
          <t>funda</t>
        </is>
      </c>
      <c r="D519" s="8" t="n">
        <v>5451.6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>
        <f>IF(COUNT(D519:P519)=0,"",MIN(D519:P519))</f>
        <v/>
      </c>
      <c r="R519" s="8">
        <f>IF(COUNT(D519:P519)=0,"",MEDIAN(D519:P519))</f>
        <v/>
      </c>
      <c r="S519" s="8">
        <f>IF(COUNT(D519:P519)=0,"",MAX(D519:P519))</f>
        <v/>
      </c>
      <c r="T519" s="9">
        <f>IF(OR(Q519="",Q519=0),"",(S519-Q519)/Q519)</f>
        <v/>
      </c>
      <c r="U519" s="7">
        <f>IF(COUNT(D519:P519)=0,"",INDEX($D$1:$P$1,MATCH(MIN(D519:P519),D519:P519,0)))</f>
        <v/>
      </c>
      <c r="V519" s="8" t="n">
        <v>5451.6</v>
      </c>
      <c r="W519" s="10" t="n">
        <v>1</v>
      </c>
    </row>
    <row r="520">
      <c r="A520" s="7" t="inlineStr">
        <is>
          <t>MAT-08-304</t>
        </is>
      </c>
      <c r="B520" s="4" t="inlineStr">
        <is>
          <t>Polvo de color para mosaico verde comercial, 55 lb</t>
        </is>
      </c>
      <c r="C520" s="7" t="inlineStr">
        <is>
          <t>funda</t>
        </is>
      </c>
      <c r="D520" s="8" t="n">
        <v>4017.75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>
        <f>IF(COUNT(D520:P520)=0,"",MIN(D520:P520))</f>
        <v/>
      </c>
      <c r="R520" s="8">
        <f>IF(COUNT(D520:P520)=0,"",MEDIAN(D520:P520))</f>
        <v/>
      </c>
      <c r="S520" s="8">
        <f>IF(COUNT(D520:P520)=0,"",MAX(D520:P520))</f>
        <v/>
      </c>
      <c r="T520" s="9">
        <f>IF(OR(Q520="",Q520=0),"",(S520-Q520)/Q520)</f>
        <v/>
      </c>
      <c r="U520" s="7">
        <f>IF(COUNT(D520:P520)=0,"",INDEX($D$1:$P$1,MATCH(MIN(D520:P520),D520:P520,0)))</f>
        <v/>
      </c>
      <c r="V520" s="8" t="n">
        <v>4017.75</v>
      </c>
      <c r="W520" s="10" t="n">
        <v>1</v>
      </c>
    </row>
    <row r="521">
      <c r="A521" s="7" t="inlineStr">
        <is>
          <t>MAT-08-305</t>
        </is>
      </c>
      <c r="B521" s="4" t="inlineStr">
        <is>
          <t>Polvo de color para mosaico verde industrial, 55 lb</t>
        </is>
      </c>
      <c r="C521" s="7" t="inlineStr">
        <is>
          <t>funda</t>
        </is>
      </c>
      <c r="D521" s="8" t="n">
        <v>9092.93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>
        <f>IF(COUNT(D521:P521)=0,"",MIN(D521:P521))</f>
        <v/>
      </c>
      <c r="R521" s="8">
        <f>IF(COUNT(D521:P521)=0,"",MEDIAN(D521:P521))</f>
        <v/>
      </c>
      <c r="S521" s="8">
        <f>IF(COUNT(D521:P521)=0,"",MAX(D521:P521))</f>
        <v/>
      </c>
      <c r="T521" s="9">
        <f>IF(OR(Q521="",Q521=0),"",(S521-Q521)/Q521)</f>
        <v/>
      </c>
      <c r="U521" s="7">
        <f>IF(COUNT(D521:P521)=0,"",INDEX($D$1:$P$1,MATCH(MIN(D521:P521),D521:P521,0)))</f>
        <v/>
      </c>
      <c r="V521" s="8" t="n">
        <v>9092.93</v>
      </c>
      <c r="W521" s="10" t="n">
        <v>1</v>
      </c>
    </row>
    <row r="522">
      <c r="A522" s="7" t="inlineStr">
        <is>
          <t>MAT-09-009</t>
        </is>
      </c>
      <c r="B522" s="4" t="inlineStr">
        <is>
          <t>Cabezal de ducha</t>
        </is>
      </c>
      <c r="C522" s="7" t="inlineStr">
        <is>
          <t>unidad</t>
        </is>
      </c>
      <c r="D522" s="8" t="n">
        <v>195.95</v>
      </c>
      <c r="E522" s="8" t="n"/>
      <c r="F522" s="8" t="n">
        <v>2758.62</v>
      </c>
      <c r="G522" s="8" t="n">
        <v>322</v>
      </c>
      <c r="H522" s="8" t="n">
        <v>2924.04</v>
      </c>
      <c r="I522" s="8" t="n">
        <v>150</v>
      </c>
      <c r="J522" s="8" t="n"/>
      <c r="K522" s="8" t="n"/>
      <c r="L522" s="8" t="n"/>
      <c r="M522" s="8" t="n"/>
      <c r="N522" s="8" t="n"/>
      <c r="O522" s="8" t="n"/>
      <c r="P522" s="8" t="n"/>
      <c r="Q522" s="8">
        <f>IF(COUNT(D522:P522)=0,"",MIN(D522:P522))</f>
        <v/>
      </c>
      <c r="R522" s="8">
        <f>IF(COUNT(D522:P522)=0,"",MEDIAN(D522:P522))</f>
        <v/>
      </c>
      <c r="S522" s="8">
        <f>IF(COUNT(D522:P522)=0,"",MAX(D522:P522))</f>
        <v/>
      </c>
      <c r="T522" s="9">
        <f>IF(OR(Q522="",Q522=0),"",(S522-Q522)/Q522)</f>
        <v/>
      </c>
      <c r="U522" s="7">
        <f>IF(COUNT(D522:P522)=0,"",INDEX($D$1:$P$1,MATCH(MIN(D522:P522),D522:P522,0)))</f>
        <v/>
      </c>
      <c r="V522" s="8" t="n">
        <v>1522.5</v>
      </c>
      <c r="W522" s="10" t="n">
        <v>5</v>
      </c>
    </row>
    <row r="523">
      <c r="A523" s="7" t="inlineStr">
        <is>
          <t>MAT-09-010</t>
        </is>
      </c>
      <c r="B523" s="4" t="inlineStr">
        <is>
          <t>Ducha teléfono</t>
        </is>
      </c>
      <c r="C523" s="7" t="inlineStr">
        <is>
          <t>unidad</t>
        </is>
      </c>
      <c r="D523" s="8" t="n">
        <v>267.91</v>
      </c>
      <c r="E523" s="8" t="n">
        <v>238.61</v>
      </c>
      <c r="F523" s="8" t="n">
        <v>3361.49</v>
      </c>
      <c r="G523" s="8" t="n">
        <v>494</v>
      </c>
      <c r="H523" s="8" t="n"/>
      <c r="I523" s="8" t="n">
        <v>450</v>
      </c>
      <c r="J523" s="8" t="n"/>
      <c r="K523" s="8" t="n"/>
      <c r="L523" s="8" t="n"/>
      <c r="M523" s="8" t="n"/>
      <c r="N523" s="8" t="n"/>
      <c r="O523" s="8" t="n"/>
      <c r="P523" s="8" t="n"/>
      <c r="Q523" s="8">
        <f>IF(COUNT(D523:P523)=0,"",MIN(D523:P523))</f>
        <v/>
      </c>
      <c r="R523" s="8">
        <f>IF(COUNT(D523:P523)=0,"",MEDIAN(D523:P523))</f>
        <v/>
      </c>
      <c r="S523" s="8">
        <f>IF(COUNT(D523:P523)=0,"",MAX(D523:P523))</f>
        <v/>
      </c>
      <c r="T523" s="9">
        <f>IF(OR(Q523="",Q523=0),"",(S523-Q523)/Q523)</f>
        <v/>
      </c>
      <c r="U523" s="7">
        <f>IF(COUNT(D523:P523)=0,"",INDEX($D$1:$P$1,MATCH(MIN(D523:P523),D523:P523,0)))</f>
        <v/>
      </c>
      <c r="V523" s="8" t="n">
        <v>685</v>
      </c>
      <c r="W523" s="10" t="n">
        <v>5</v>
      </c>
    </row>
    <row r="524">
      <c r="A524" s="7" t="inlineStr">
        <is>
          <t>MAT-09-011</t>
        </is>
      </c>
      <c r="B524" s="4" t="inlineStr">
        <is>
          <t>Columna de ducha</t>
        </is>
      </c>
      <c r="C524" s="7" t="inlineStr">
        <is>
          <t>unidad</t>
        </is>
      </c>
      <c r="D524" s="8" t="n">
        <v>11281.28</v>
      </c>
      <c r="E524" s="8" t="n"/>
      <c r="F524" s="8" t="n">
        <v>2894.96</v>
      </c>
      <c r="G524" s="8" t="n">
        <v>6343</v>
      </c>
      <c r="H524" s="8" t="n">
        <v>900</v>
      </c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>
        <f>IF(COUNT(D524:P524)=0,"",MIN(D524:P524))</f>
        <v/>
      </c>
      <c r="R524" s="8">
        <f>IF(COUNT(D524:P524)=0,"",MEDIAN(D524:P524))</f>
        <v/>
      </c>
      <c r="S524" s="8">
        <f>IF(COUNT(D524:P524)=0,"",MAX(D524:P524))</f>
        <v/>
      </c>
      <c r="T524" s="9">
        <f>IF(OR(Q524="",Q524=0),"",(S524-Q524)/Q524)</f>
        <v/>
      </c>
      <c r="U524" s="7">
        <f>IF(COUNT(D524:P524)=0,"",INDEX($D$1:$P$1,MATCH(MIN(D524:P524),D524:P524,0)))</f>
        <v/>
      </c>
      <c r="V524" s="8" t="n">
        <v>17325</v>
      </c>
      <c r="W524" s="10" t="n">
        <v>4</v>
      </c>
    </row>
    <row r="525">
      <c r="A525" s="7" t="inlineStr">
        <is>
          <t>MAT-09-012</t>
        </is>
      </c>
      <c r="B525" s="4" t="inlineStr">
        <is>
          <t>Columna de ducha</t>
        </is>
      </c>
      <c r="C525" s="7" t="inlineStr">
        <is>
          <t>unidad</t>
        </is>
      </c>
      <c r="D525" s="8" t="n">
        <v>553.61</v>
      </c>
      <c r="E525" s="8" t="n"/>
      <c r="F525" s="8" t="n">
        <v>2847.67</v>
      </c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>
        <f>IF(COUNT(D525:P525)=0,"",MIN(D525:P525))</f>
        <v/>
      </c>
      <c r="R525" s="8">
        <f>IF(COUNT(D525:P525)=0,"",MEDIAN(D525:P525))</f>
        <v/>
      </c>
      <c r="S525" s="8">
        <f>IF(COUNT(D525:P525)=0,"",MAX(D525:P525))</f>
        <v/>
      </c>
      <c r="T525" s="9">
        <f>IF(OR(Q525="",Q525=0),"",(S525-Q525)/Q525)</f>
        <v/>
      </c>
      <c r="U525" s="7">
        <f>IF(COUNT(D525:P525)=0,"",INDEX($D$1:$P$1,MATCH(MIN(D525:P525),D525:P525,0)))</f>
        <v/>
      </c>
      <c r="V525" s="8" t="n">
        <v>10189.3</v>
      </c>
      <c r="W525" s="10" t="n">
        <v>2</v>
      </c>
    </row>
    <row r="526">
      <c r="A526" s="7" t="inlineStr">
        <is>
          <t>MAT-09-013</t>
        </is>
      </c>
      <c r="B526" s="4" t="inlineStr">
        <is>
          <t>Brazo de ducha</t>
        </is>
      </c>
      <c r="C526" s="7" t="inlineStr">
        <is>
          <t>unidad</t>
        </is>
      </c>
      <c r="D526" s="8" t="n">
        <v>108.23</v>
      </c>
      <c r="E526" s="8" t="n"/>
      <c r="F526" s="8" t="n">
        <v>868.64</v>
      </c>
      <c r="G526" s="8" t="n">
        <v>247</v>
      </c>
      <c r="H526" s="8" t="n">
        <v>1390</v>
      </c>
      <c r="I526" s="8" t="n">
        <v>349</v>
      </c>
      <c r="J526" s="8" t="n"/>
      <c r="K526" s="8" t="n"/>
      <c r="L526" s="8" t="n"/>
      <c r="M526" s="8" t="n"/>
      <c r="N526" s="8" t="n"/>
      <c r="O526" s="8" t="n"/>
      <c r="P526" s="8" t="n"/>
      <c r="Q526" s="8">
        <f>IF(COUNT(D526:P526)=0,"",MIN(D526:P526))</f>
        <v/>
      </c>
      <c r="R526" s="8">
        <f>IF(COUNT(D526:P526)=0,"",MEDIAN(D526:P526))</f>
        <v/>
      </c>
      <c r="S526" s="8">
        <f>IF(COUNT(D526:P526)=0,"",MAX(D526:P526))</f>
        <v/>
      </c>
      <c r="T526" s="9">
        <f>IF(OR(Q526="",Q526=0),"",(S526-Q526)/Q526)</f>
        <v/>
      </c>
      <c r="U526" s="7">
        <f>IF(COUNT(D526:P526)=0,"",INDEX($D$1:$P$1,MATCH(MIN(D526:P526),D526:P526,0)))</f>
        <v/>
      </c>
      <c r="V526" s="8" t="n">
        <v>1025</v>
      </c>
      <c r="W526" s="10" t="n">
        <v>5</v>
      </c>
    </row>
    <row r="527">
      <c r="A527" s="7" t="inlineStr">
        <is>
          <t>MAT-09-014</t>
        </is>
      </c>
      <c r="B527" s="4" t="inlineStr">
        <is>
          <t>Mezcladora, de baño</t>
        </is>
      </c>
      <c r="C527" s="7" t="inlineStr">
        <is>
          <t>unidad</t>
        </is>
      </c>
      <c r="D527" s="8" t="n"/>
      <c r="E527" s="8" t="n">
        <v>580</v>
      </c>
      <c r="F527" s="8" t="n">
        <v>1168.86</v>
      </c>
      <c r="G527" s="8" t="n">
        <v>486</v>
      </c>
      <c r="H527" s="8" t="n">
        <v>1070</v>
      </c>
      <c r="I527" s="8" t="n">
        <v>340</v>
      </c>
      <c r="J527" s="8" t="n"/>
      <c r="K527" s="8" t="n"/>
      <c r="L527" s="8" t="n"/>
      <c r="M527" s="8" t="n"/>
      <c r="N527" s="8" t="n"/>
      <c r="O527" s="8" t="n"/>
      <c r="P527" s="8" t="n"/>
      <c r="Q527" s="8">
        <f>IF(COUNT(D527:P527)=0,"",MIN(D527:P527))</f>
        <v/>
      </c>
      <c r="R527" s="8">
        <f>IF(COUNT(D527:P527)=0,"",MEDIAN(D527:P527))</f>
        <v/>
      </c>
      <c r="S527" s="8">
        <f>IF(COUNT(D527:P527)=0,"",MAX(D527:P527))</f>
        <v/>
      </c>
      <c r="T527" s="9">
        <f>IF(OR(Q527="",Q527=0),"",(S527-Q527)/Q527)</f>
        <v/>
      </c>
      <c r="U527" s="7">
        <f>IF(COUNT(D527:P527)=0,"",INDEX($D$1:$P$1,MATCH(MIN(D527:P527),D527:P527,0)))</f>
        <v/>
      </c>
      <c r="V527" s="8" t="n">
        <v>5264.28</v>
      </c>
      <c r="W527" s="10" t="n">
        <v>5</v>
      </c>
    </row>
    <row r="528">
      <c r="A528" s="7" t="inlineStr">
        <is>
          <t>MAT-09-015</t>
        </is>
      </c>
      <c r="B528" s="4" t="inlineStr">
        <is>
          <t>Mezcladora, de baño, con sensor</t>
        </is>
      </c>
      <c r="C528" s="7" t="inlineStr">
        <is>
          <t>unidad</t>
        </is>
      </c>
      <c r="D528" s="8" t="n"/>
      <c r="E528" s="8" t="n">
        <v>1225</v>
      </c>
      <c r="F528" s="8" t="n">
        <v>2660.81</v>
      </c>
      <c r="G528" s="8" t="n"/>
      <c r="H528" s="8" t="n">
        <v>3832.64</v>
      </c>
      <c r="I528" s="8" t="n">
        <v>740</v>
      </c>
      <c r="J528" s="8" t="n"/>
      <c r="K528" s="8" t="n"/>
      <c r="L528" s="8" t="n"/>
      <c r="M528" s="8" t="n"/>
      <c r="N528" s="8" t="n"/>
      <c r="O528" s="8" t="n"/>
      <c r="P528" s="8" t="n"/>
      <c r="Q528" s="8">
        <f>IF(COUNT(D528:P528)=0,"",MIN(D528:P528))</f>
        <v/>
      </c>
      <c r="R528" s="8">
        <f>IF(COUNT(D528:P528)=0,"",MEDIAN(D528:P528))</f>
        <v/>
      </c>
      <c r="S528" s="8">
        <f>IF(COUNT(D528:P528)=0,"",MAX(D528:P528))</f>
        <v/>
      </c>
      <c r="T528" s="9">
        <f>IF(OR(Q528="",Q528=0),"",(S528-Q528)/Q528)</f>
        <v/>
      </c>
      <c r="U528" s="7">
        <f>IF(COUNT(D528:P528)=0,"",INDEX($D$1:$P$1,MATCH(MIN(D528:P528),D528:P528,0)))</f>
        <v/>
      </c>
      <c r="V528" s="8" t="n">
        <v>6437.22</v>
      </c>
      <c r="W528" s="10" t="n">
        <v>4</v>
      </c>
    </row>
    <row r="529">
      <c r="A529" s="7" t="inlineStr">
        <is>
          <t>MAT-09-016</t>
        </is>
      </c>
      <c r="B529" s="4" t="inlineStr">
        <is>
          <t>Mezcladora, de fregadero</t>
        </is>
      </c>
      <c r="C529" s="7" t="inlineStr">
        <is>
          <t>unidad</t>
        </is>
      </c>
      <c r="D529" s="8" t="n"/>
      <c r="E529" s="8" t="n">
        <v>805</v>
      </c>
      <c r="F529" s="8" t="n">
        <v>1633.85</v>
      </c>
      <c r="G529" s="8" t="n">
        <v>695</v>
      </c>
      <c r="H529" s="8" t="n">
        <v>1199.99</v>
      </c>
      <c r="I529" s="8" t="n">
        <v>230</v>
      </c>
      <c r="J529" s="8" t="n"/>
      <c r="K529" s="8" t="n"/>
      <c r="L529" s="8" t="n"/>
      <c r="M529" s="8" t="n"/>
      <c r="N529" s="8" t="n"/>
      <c r="O529" s="8" t="n"/>
      <c r="P529" s="8" t="n"/>
      <c r="Q529" s="8">
        <f>IF(COUNT(D529:P529)=0,"",MIN(D529:P529))</f>
        <v/>
      </c>
      <c r="R529" s="8">
        <f>IF(COUNT(D529:P529)=0,"",MEDIAN(D529:P529))</f>
        <v/>
      </c>
      <c r="S529" s="8">
        <f>IF(COUNT(D529:P529)=0,"",MAX(D529:P529))</f>
        <v/>
      </c>
      <c r="T529" s="9">
        <f>IF(OR(Q529="",Q529=0),"",(S529-Q529)/Q529)</f>
        <v/>
      </c>
      <c r="U529" s="7">
        <f>IF(COUNT(D529:P529)=0,"",INDEX($D$1:$P$1,MATCH(MIN(D529:P529),D529:P529,0)))</f>
        <v/>
      </c>
      <c r="V529" s="8" t="n">
        <v>3801.77</v>
      </c>
      <c r="W529" s="10" t="n">
        <v>5</v>
      </c>
    </row>
    <row r="530">
      <c r="A530" s="7" t="inlineStr">
        <is>
          <t>MAT-09-017</t>
        </is>
      </c>
      <c r="B530" s="4" t="inlineStr">
        <is>
          <t>Mezcladora de ducha</t>
        </is>
      </c>
      <c r="C530" s="7" t="inlineStr">
        <is>
          <t>unidad</t>
        </is>
      </c>
      <c r="D530" s="8" t="n">
        <v>2603.89</v>
      </c>
      <c r="E530" s="8" t="n">
        <v>1295</v>
      </c>
      <c r="F530" s="8" t="n">
        <v>2347.43</v>
      </c>
      <c r="G530" s="8" t="n">
        <v>945</v>
      </c>
      <c r="H530" s="8" t="n">
        <v>2200</v>
      </c>
      <c r="I530" s="8" t="n">
        <v>1215</v>
      </c>
      <c r="J530" s="8" t="n"/>
      <c r="K530" s="8" t="n"/>
      <c r="L530" s="8" t="n"/>
      <c r="M530" s="8" t="n"/>
      <c r="N530" s="8" t="n"/>
      <c r="O530" s="8" t="n"/>
      <c r="P530" s="8" t="n"/>
      <c r="Q530" s="8">
        <f>IF(COUNT(D530:P530)=0,"",MIN(D530:P530))</f>
        <v/>
      </c>
      <c r="R530" s="8">
        <f>IF(COUNT(D530:P530)=0,"",MEDIAN(D530:P530))</f>
        <v/>
      </c>
      <c r="S530" s="8">
        <f>IF(COUNT(D530:P530)=0,"",MAX(D530:P530))</f>
        <v/>
      </c>
      <c r="T530" s="9">
        <f>IF(OR(Q530="",Q530=0),"",(S530-Q530)/Q530)</f>
        <v/>
      </c>
      <c r="U530" s="7">
        <f>IF(COUNT(D530:P530)=0,"",INDEX($D$1:$P$1,MATCH(MIN(D530:P530),D530:P530,0)))</f>
        <v/>
      </c>
      <c r="V530" s="8" t="n">
        <v>10458.36</v>
      </c>
      <c r="W530" s="10" t="n">
        <v>6</v>
      </c>
    </row>
    <row r="531">
      <c r="A531" s="7" t="inlineStr">
        <is>
          <t>MAT-09-018</t>
        </is>
      </c>
      <c r="B531" s="4" t="inlineStr">
        <is>
          <t>Manguera para ducha teléfono</t>
        </is>
      </c>
      <c r="C531" s="7" t="inlineStr">
        <is>
          <t>unidad</t>
        </is>
      </c>
      <c r="D531" s="8" t="n">
        <v>256.18</v>
      </c>
      <c r="E531" s="8" t="n"/>
      <c r="F531" s="8" t="n">
        <v>269.5</v>
      </c>
      <c r="G531" s="8" t="n">
        <v>525</v>
      </c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>
        <f>IF(COUNT(D531:P531)=0,"",MIN(D531:P531))</f>
        <v/>
      </c>
      <c r="R531" s="8">
        <f>IF(COUNT(D531:P531)=0,"",MEDIAN(D531:P531))</f>
        <v/>
      </c>
      <c r="S531" s="8">
        <f>IF(COUNT(D531:P531)=0,"",MAX(D531:P531))</f>
        <v/>
      </c>
      <c r="T531" s="9">
        <f>IF(OR(Q531="",Q531=0),"",(S531-Q531)/Q531)</f>
        <v/>
      </c>
      <c r="U531" s="7">
        <f>IF(COUNT(D531:P531)=0,"",INDEX($D$1:$P$1,MATCH(MIN(D531:P531),D531:P531,0)))</f>
        <v/>
      </c>
      <c r="V531" s="8" t="n">
        <v>747.45</v>
      </c>
      <c r="W531" s="10" t="n">
        <v>3</v>
      </c>
    </row>
    <row r="532">
      <c r="A532" s="7" t="inlineStr">
        <is>
          <t>MAT-09-019</t>
        </is>
      </c>
      <c r="B532" s="4" t="inlineStr">
        <is>
          <t>Regulador de gas de doble tanque</t>
        </is>
      </c>
      <c r="C532" s="7" t="inlineStr">
        <is>
          <t>unidad</t>
        </is>
      </c>
      <c r="D532" s="8" t="n"/>
      <c r="E532" s="8" t="n"/>
      <c r="F532" s="8" t="n"/>
      <c r="G532" s="8" t="n">
        <v>1139</v>
      </c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>
        <f>IF(COUNT(D532:P532)=0,"",MIN(D532:P532))</f>
        <v/>
      </c>
      <c r="R532" s="8">
        <f>IF(COUNT(D532:P532)=0,"",MEDIAN(D532:P532))</f>
        <v/>
      </c>
      <c r="S532" s="8">
        <f>IF(COUNT(D532:P532)=0,"",MAX(D532:P532))</f>
        <v/>
      </c>
      <c r="T532" s="9">
        <f>IF(OR(Q532="",Q532=0),"",(S532-Q532)/Q532)</f>
        <v/>
      </c>
      <c r="U532" s="7">
        <f>IF(COUNT(D532:P532)=0,"",INDEX($D$1:$P$1,MATCH(MIN(D532:P532),D532:P532,0)))</f>
        <v/>
      </c>
      <c r="V532" s="8" t="n">
        <v>1139</v>
      </c>
      <c r="W532" s="10" t="n">
        <v>1</v>
      </c>
    </row>
    <row r="533">
      <c r="A533" s="7" t="inlineStr">
        <is>
          <t>MAT-09-020</t>
        </is>
      </c>
      <c r="B533" s="4" t="inlineStr">
        <is>
          <t>Regulador de gas grande</t>
        </is>
      </c>
      <c r="C533" s="7" t="inlineStr">
        <is>
          <t>unidad</t>
        </is>
      </c>
      <c r="D533" s="8" t="n"/>
      <c r="E533" s="8" t="n"/>
      <c r="F533" s="8" t="n"/>
      <c r="G533" s="8" t="n">
        <v>326</v>
      </c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>
        <f>IF(COUNT(D533:P533)=0,"",MIN(D533:P533))</f>
        <v/>
      </c>
      <c r="R533" s="8">
        <f>IF(COUNT(D533:P533)=0,"",MEDIAN(D533:P533))</f>
        <v/>
      </c>
      <c r="S533" s="8">
        <f>IF(COUNT(D533:P533)=0,"",MAX(D533:P533))</f>
        <v/>
      </c>
      <c r="T533" s="9">
        <f>IF(OR(Q533="",Q533=0),"",(S533-Q533)/Q533)</f>
        <v/>
      </c>
      <c r="U533" s="7">
        <f>IF(COUNT(D533:P533)=0,"",INDEX($D$1:$P$1,MATCH(MIN(D533:P533),D533:P533,0)))</f>
        <v/>
      </c>
      <c r="V533" s="8" t="n">
        <v>656</v>
      </c>
      <c r="W533" s="10" t="n">
        <v>1</v>
      </c>
    </row>
    <row r="534">
      <c r="A534" s="7" t="inlineStr">
        <is>
          <t>MAT-09-021</t>
        </is>
      </c>
      <c r="B534" s="4" t="inlineStr">
        <is>
          <t>Regulador de gas pequeño</t>
        </is>
      </c>
      <c r="C534" s="7" t="inlineStr">
        <is>
          <t>unidad</t>
        </is>
      </c>
      <c r="D534" s="8" t="n"/>
      <c r="E534" s="8" t="n"/>
      <c r="F534" s="8" t="n"/>
      <c r="G534" s="8" t="n">
        <v>259</v>
      </c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>
        <f>IF(COUNT(D534:P534)=0,"",MIN(D534:P534))</f>
        <v/>
      </c>
      <c r="R534" s="8">
        <f>IF(COUNT(D534:P534)=0,"",MEDIAN(D534:P534))</f>
        <v/>
      </c>
      <c r="S534" s="8">
        <f>IF(COUNT(D534:P534)=0,"",MAX(D534:P534))</f>
        <v/>
      </c>
      <c r="T534" s="9">
        <f>IF(OR(Q534="",Q534=0),"",(S534-Q534)/Q534)</f>
        <v/>
      </c>
      <c r="U534" s="7">
        <f>IF(COUNT(D534:P534)=0,"",INDEX($D$1:$P$1,MATCH(MIN(D534:P534),D534:P534,0)))</f>
        <v/>
      </c>
      <c r="V534" s="8" t="n">
        <v>509.5</v>
      </c>
      <c r="W534" s="10" t="n">
        <v>1</v>
      </c>
    </row>
    <row r="535">
      <c r="A535" s="7" t="inlineStr">
        <is>
          <t>MAT-09-022</t>
        </is>
      </c>
      <c r="B535" s="4" t="inlineStr">
        <is>
          <t>Pig tail para conexión de gas</t>
        </is>
      </c>
      <c r="C535" s="7" t="inlineStr">
        <is>
          <t>unidad</t>
        </is>
      </c>
      <c r="D535" s="8" t="n"/>
      <c r="E535" s="8" t="n"/>
      <c r="F535" s="8" t="n"/>
      <c r="G535" s="8" t="n">
        <v>299</v>
      </c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>
        <f>IF(COUNT(D535:P535)=0,"",MIN(D535:P535))</f>
        <v/>
      </c>
      <c r="R535" s="8">
        <f>IF(COUNT(D535:P535)=0,"",MEDIAN(D535:P535))</f>
        <v/>
      </c>
      <c r="S535" s="8">
        <f>IF(COUNT(D535:P535)=0,"",MAX(D535:P535))</f>
        <v/>
      </c>
      <c r="T535" s="9">
        <f>IF(OR(Q535="",Q535=0),"",(S535-Q535)/Q535)</f>
        <v/>
      </c>
      <c r="U535" s="7">
        <f>IF(COUNT(D535:P535)=0,"",INDEX($D$1:$P$1,MATCH(MIN(D535:P535),D535:P535,0)))</f>
        <v/>
      </c>
      <c r="V535" s="8" t="n">
        <v>489.5</v>
      </c>
      <c r="W535" s="10" t="n">
        <v>1</v>
      </c>
    </row>
    <row r="536">
      <c r="A536" s="7" t="inlineStr">
        <is>
          <t>MAT-09-023</t>
        </is>
      </c>
      <c r="B536" s="4" t="inlineStr">
        <is>
          <t>Llave para tanque de gas 7/8"</t>
        </is>
      </c>
      <c r="C536" s="7" t="inlineStr">
        <is>
          <t>unidad</t>
        </is>
      </c>
      <c r="D536" s="8" t="n"/>
      <c r="E536" s="8" t="n"/>
      <c r="F536" s="8" t="n"/>
      <c r="G536" s="8" t="n">
        <v>377</v>
      </c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>
        <f>IF(COUNT(D536:P536)=0,"",MIN(D536:P536))</f>
        <v/>
      </c>
      <c r="R536" s="8">
        <f>IF(COUNT(D536:P536)=0,"",MEDIAN(D536:P536))</f>
        <v/>
      </c>
      <c r="S536" s="8">
        <f>IF(COUNT(D536:P536)=0,"",MAX(D536:P536))</f>
        <v/>
      </c>
      <c r="T536" s="9">
        <f>IF(OR(Q536="",Q536=0),"",(S536-Q536)/Q536)</f>
        <v/>
      </c>
      <c r="U536" s="7">
        <f>IF(COUNT(D536:P536)=0,"",INDEX($D$1:$P$1,MATCH(MIN(D536:P536),D536:P536,0)))</f>
        <v/>
      </c>
      <c r="V536" s="8" t="n">
        <v>377</v>
      </c>
      <c r="W536" s="10" t="n">
        <v>1</v>
      </c>
    </row>
    <row r="537">
      <c r="A537" s="7" t="inlineStr">
        <is>
          <t>MAT-09-024</t>
        </is>
      </c>
      <c r="B537" s="4" t="inlineStr">
        <is>
          <t>Bomba centrífuga de 1 HP</t>
        </is>
      </c>
      <c r="C537" s="7" t="inlineStr">
        <is>
          <t>unidad</t>
        </is>
      </c>
      <c r="D537" s="8" t="n"/>
      <c r="E537" s="8" t="n">
        <v>6802</v>
      </c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>
        <f>IF(COUNT(D537:P537)=0,"",MIN(D537:P537))</f>
        <v/>
      </c>
      <c r="R537" s="8">
        <f>IF(COUNT(D537:P537)=0,"",MEDIAN(D537:P537))</f>
        <v/>
      </c>
      <c r="S537" s="8">
        <f>IF(COUNT(D537:P537)=0,"",MAX(D537:P537))</f>
        <v/>
      </c>
      <c r="T537" s="9">
        <f>IF(OR(Q537="",Q537=0),"",(S537-Q537)/Q537)</f>
        <v/>
      </c>
      <c r="U537" s="7">
        <f>IF(COUNT(D537:P537)=0,"",INDEX($D$1:$P$1,MATCH(MIN(D537:P537),D537:P537,0)))</f>
        <v/>
      </c>
      <c r="V537" s="8" t="n">
        <v>8923.5</v>
      </c>
      <c r="W537" s="10" t="n">
        <v>1</v>
      </c>
    </row>
    <row r="538">
      <c r="A538" s="7" t="inlineStr">
        <is>
          <t>MAT-09-025</t>
        </is>
      </c>
      <c r="B538" s="4" t="inlineStr">
        <is>
          <t>Bomba centrífuga de 1 1/3 HP</t>
        </is>
      </c>
      <c r="C538" s="7" t="inlineStr">
        <is>
          <t>unidad</t>
        </is>
      </c>
      <c r="D538" s="8" t="n"/>
      <c r="E538" s="8" t="n"/>
      <c r="F538" s="8" t="n"/>
      <c r="G538" s="8" t="n"/>
      <c r="H538" s="8" t="n"/>
      <c r="I538" s="8" t="n">
        <v>11205</v>
      </c>
      <c r="J538" s="8" t="n"/>
      <c r="K538" s="8" t="n"/>
      <c r="L538" s="8" t="n"/>
      <c r="M538" s="8" t="n"/>
      <c r="N538" s="8" t="n"/>
      <c r="O538" s="8" t="n"/>
      <c r="P538" s="8" t="n"/>
      <c r="Q538" s="8">
        <f>IF(COUNT(D538:P538)=0,"",MIN(D538:P538))</f>
        <v/>
      </c>
      <c r="R538" s="8">
        <f>IF(COUNT(D538:P538)=0,"",MEDIAN(D538:P538))</f>
        <v/>
      </c>
      <c r="S538" s="8">
        <f>IF(COUNT(D538:P538)=0,"",MAX(D538:P538))</f>
        <v/>
      </c>
      <c r="T538" s="9">
        <f>IF(OR(Q538="",Q538=0),"",(S538-Q538)/Q538)</f>
        <v/>
      </c>
      <c r="U538" s="7">
        <f>IF(COUNT(D538:P538)=0,"",INDEX($D$1:$P$1,MATCH(MIN(D538:P538),D538:P538,0)))</f>
        <v/>
      </c>
      <c r="V538" s="8" t="n">
        <v>11205</v>
      </c>
      <c r="W538" s="10" t="n">
        <v>1</v>
      </c>
    </row>
    <row r="539">
      <c r="A539" s="7" t="inlineStr">
        <is>
          <t>MAT-09-026</t>
        </is>
      </c>
      <c r="B539" s="4" t="inlineStr">
        <is>
          <t>Bomba centrífuga de 1/2 HP</t>
        </is>
      </c>
      <c r="C539" s="7" t="inlineStr">
        <is>
          <t>unidad</t>
        </is>
      </c>
      <c r="D539" s="8" t="n"/>
      <c r="E539" s="8" t="n">
        <v>4732</v>
      </c>
      <c r="F539" s="8" t="n"/>
      <c r="G539" s="8" t="n"/>
      <c r="H539" s="8" t="n"/>
      <c r="I539" s="8" t="n">
        <v>7989</v>
      </c>
      <c r="J539" s="8" t="n"/>
      <c r="K539" s="8" t="n"/>
      <c r="L539" s="8" t="n"/>
      <c r="M539" s="8" t="n"/>
      <c r="N539" s="8" t="n"/>
      <c r="O539" s="8" t="n"/>
      <c r="P539" s="8" t="n"/>
      <c r="Q539" s="8">
        <f>IF(COUNT(D539:P539)=0,"",MIN(D539:P539))</f>
        <v/>
      </c>
      <c r="R539" s="8">
        <f>IF(COUNT(D539:P539)=0,"",MEDIAN(D539:P539))</f>
        <v/>
      </c>
      <c r="S539" s="8">
        <f>IF(COUNT(D539:P539)=0,"",MAX(D539:P539))</f>
        <v/>
      </c>
      <c r="T539" s="9">
        <f>IF(OR(Q539="",Q539=0),"",(S539-Q539)/Q539)</f>
        <v/>
      </c>
      <c r="U539" s="7">
        <f>IF(COUNT(D539:P539)=0,"",INDEX($D$1:$P$1,MATCH(MIN(D539:P539),D539:P539,0)))</f>
        <v/>
      </c>
      <c r="V539" s="8" t="n">
        <v>7989</v>
      </c>
      <c r="W539" s="10" t="n">
        <v>2</v>
      </c>
    </row>
    <row r="540">
      <c r="A540" s="7" t="inlineStr">
        <is>
          <t>MAT-09-027</t>
        </is>
      </c>
      <c r="B540" s="4" t="inlineStr">
        <is>
          <t>Bomba centrífuga de 1.5 HP</t>
        </is>
      </c>
      <c r="C540" s="7" t="inlineStr">
        <is>
          <t>unidad</t>
        </is>
      </c>
      <c r="D540" s="8" t="n"/>
      <c r="E540" s="8" t="n">
        <v>8100</v>
      </c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>
        <f>IF(COUNT(D540:P540)=0,"",MIN(D540:P540))</f>
        <v/>
      </c>
      <c r="R540" s="8">
        <f>IF(COUNT(D540:P540)=0,"",MEDIAN(D540:P540))</f>
        <v/>
      </c>
      <c r="S540" s="8">
        <f>IF(COUNT(D540:P540)=0,"",MAX(D540:P540))</f>
        <v/>
      </c>
      <c r="T540" s="9">
        <f>IF(OR(Q540="",Q540=0),"",(S540-Q540)/Q540)</f>
        <v/>
      </c>
      <c r="U540" s="7">
        <f>IF(COUNT(D540:P540)=0,"",INDEX($D$1:$P$1,MATCH(MIN(D540:P540),D540:P540,0)))</f>
        <v/>
      </c>
      <c r="V540" s="8" t="n">
        <v>13164.5</v>
      </c>
      <c r="W540" s="10" t="n">
        <v>1</v>
      </c>
    </row>
    <row r="541">
      <c r="A541" s="7" t="inlineStr">
        <is>
          <t>MAT-09-028</t>
        </is>
      </c>
      <c r="B541" s="4" t="inlineStr">
        <is>
          <t>Bomba centrífuga de 15 HP</t>
        </is>
      </c>
      <c r="C541" s="7" t="inlineStr">
        <is>
          <t>unidad</t>
        </is>
      </c>
      <c r="D541" s="8" t="n"/>
      <c r="E541" s="8" t="n"/>
      <c r="F541" s="8" t="n"/>
      <c r="G541" s="8" t="n"/>
      <c r="H541" s="8" t="n"/>
      <c r="I541" s="8" t="n">
        <v>30539</v>
      </c>
      <c r="J541" s="8" t="n"/>
      <c r="K541" s="8" t="n"/>
      <c r="L541" s="8" t="n"/>
      <c r="M541" s="8" t="n"/>
      <c r="N541" s="8" t="n"/>
      <c r="O541" s="8" t="n"/>
      <c r="P541" s="8" t="n"/>
      <c r="Q541" s="8">
        <f>IF(COUNT(D541:P541)=0,"",MIN(D541:P541))</f>
        <v/>
      </c>
      <c r="R541" s="8">
        <f>IF(COUNT(D541:P541)=0,"",MEDIAN(D541:P541))</f>
        <v/>
      </c>
      <c r="S541" s="8">
        <f>IF(COUNT(D541:P541)=0,"",MAX(D541:P541))</f>
        <v/>
      </c>
      <c r="T541" s="9">
        <f>IF(OR(Q541="",Q541=0),"",(S541-Q541)/Q541)</f>
        <v/>
      </c>
      <c r="U541" s="7">
        <f>IF(COUNT(D541:P541)=0,"",INDEX($D$1:$P$1,MATCH(MIN(D541:P541),D541:P541,0)))</f>
        <v/>
      </c>
      <c r="V541" s="8" t="n">
        <v>30539</v>
      </c>
      <c r="W541" s="10" t="n">
        <v>1</v>
      </c>
    </row>
    <row r="542">
      <c r="A542" s="7" t="inlineStr">
        <is>
          <t>MAT-09-029</t>
        </is>
      </c>
      <c r="B542" s="4" t="inlineStr">
        <is>
          <t>Bomba centrífuga de 2 HP</t>
        </is>
      </c>
      <c r="C542" s="7" t="inlineStr">
        <is>
          <t>unidad</t>
        </is>
      </c>
      <c r="D542" s="8" t="n"/>
      <c r="E542" s="8" t="n">
        <v>20409</v>
      </c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>
        <f>IF(COUNT(D542:P542)=0,"",MIN(D542:P542))</f>
        <v/>
      </c>
      <c r="R542" s="8">
        <f>IF(COUNT(D542:P542)=0,"",MEDIAN(D542:P542))</f>
        <v/>
      </c>
      <c r="S542" s="8">
        <f>IF(COUNT(D542:P542)=0,"",MAX(D542:P542))</f>
        <v/>
      </c>
      <c r="T542" s="9">
        <f>IF(OR(Q542="",Q542=0),"",(S542-Q542)/Q542)</f>
        <v/>
      </c>
      <c r="U542" s="7">
        <f>IF(COUNT(D542:P542)=0,"",INDEX($D$1:$P$1,MATCH(MIN(D542:P542),D542:P542,0)))</f>
        <v/>
      </c>
      <c r="V542" s="8" t="n">
        <v>23097</v>
      </c>
      <c r="W542" s="10" t="n">
        <v>1</v>
      </c>
    </row>
    <row r="543">
      <c r="A543" s="7" t="inlineStr">
        <is>
          <t>MAT-09-030</t>
        </is>
      </c>
      <c r="B543" s="4" t="inlineStr">
        <is>
          <t>Bomba centrífuga de 3 HP</t>
        </is>
      </c>
      <c r="C543" s="7" t="inlineStr">
        <is>
          <t>unidad</t>
        </is>
      </c>
      <c r="D543" s="8" t="n"/>
      <c r="E543" s="8" t="n">
        <v>23699</v>
      </c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>
        <f>IF(COUNT(D543:P543)=0,"",MIN(D543:P543))</f>
        <v/>
      </c>
      <c r="R543" s="8">
        <f>IF(COUNT(D543:P543)=0,"",MEDIAN(D543:P543))</f>
        <v/>
      </c>
      <c r="S543" s="8">
        <f>IF(COUNT(D543:P543)=0,"",MAX(D543:P543))</f>
        <v/>
      </c>
      <c r="T543" s="9">
        <f>IF(OR(Q543="",Q543=0),"",(S543-Q543)/Q543)</f>
        <v/>
      </c>
      <c r="U543" s="7">
        <f>IF(COUNT(D543:P543)=0,"",INDEX($D$1:$P$1,MATCH(MIN(D543:P543),D543:P543,0)))</f>
        <v/>
      </c>
      <c r="V543" s="8" t="n">
        <v>23699</v>
      </c>
      <c r="W543" s="10" t="n">
        <v>1</v>
      </c>
    </row>
    <row r="544">
      <c r="A544" s="7" t="inlineStr">
        <is>
          <t>MAT-09-031</t>
        </is>
      </c>
      <c r="B544" s="4" t="inlineStr">
        <is>
          <t>Bomba centrífuga de 3/4 HP</t>
        </is>
      </c>
      <c r="C544" s="7" t="inlineStr">
        <is>
          <t>unidad</t>
        </is>
      </c>
      <c r="D544" s="8" t="n"/>
      <c r="E544" s="8" t="n"/>
      <c r="F544" s="8" t="n"/>
      <c r="G544" s="8" t="n"/>
      <c r="H544" s="8" t="n"/>
      <c r="I544" s="8" t="n">
        <v>7849</v>
      </c>
      <c r="J544" s="8" t="n"/>
      <c r="K544" s="8" t="n"/>
      <c r="L544" s="8" t="n"/>
      <c r="M544" s="8" t="n"/>
      <c r="N544" s="8" t="n"/>
      <c r="O544" s="8" t="n"/>
      <c r="P544" s="8" t="n"/>
      <c r="Q544" s="8">
        <f>IF(COUNT(D544:P544)=0,"",MIN(D544:P544))</f>
        <v/>
      </c>
      <c r="R544" s="8">
        <f>IF(COUNT(D544:P544)=0,"",MEDIAN(D544:P544))</f>
        <v/>
      </c>
      <c r="S544" s="8">
        <f>IF(COUNT(D544:P544)=0,"",MAX(D544:P544))</f>
        <v/>
      </c>
      <c r="T544" s="9">
        <f>IF(OR(Q544="",Q544=0),"",(S544-Q544)/Q544)</f>
        <v/>
      </c>
      <c r="U544" s="7">
        <f>IF(COUNT(D544:P544)=0,"",INDEX($D$1:$P$1,MATCH(MIN(D544:P544),D544:P544,0)))</f>
        <v/>
      </c>
      <c r="V544" s="8" t="n">
        <v>8672</v>
      </c>
      <c r="W544" s="10" t="n">
        <v>1</v>
      </c>
    </row>
    <row r="545">
      <c r="A545" s="7" t="inlineStr">
        <is>
          <t>MAT-09-032</t>
        </is>
      </c>
      <c r="B545" s="4" t="inlineStr">
        <is>
          <t>Bomba centrífuga de 6 1/2 HP</t>
        </is>
      </c>
      <c r="C545" s="7" t="inlineStr">
        <is>
          <t>unidad</t>
        </is>
      </c>
      <c r="D545" s="8" t="n"/>
      <c r="E545" s="8" t="n"/>
      <c r="F545" s="8" t="n"/>
      <c r="G545" s="8" t="n"/>
      <c r="H545" s="8" t="n"/>
      <c r="I545" s="8" t="n">
        <v>13189</v>
      </c>
      <c r="J545" s="8" t="n"/>
      <c r="K545" s="8" t="n"/>
      <c r="L545" s="8" t="n"/>
      <c r="M545" s="8" t="n"/>
      <c r="N545" s="8" t="n"/>
      <c r="O545" s="8" t="n"/>
      <c r="P545" s="8" t="n"/>
      <c r="Q545" s="8">
        <f>IF(COUNT(D545:P545)=0,"",MIN(D545:P545))</f>
        <v/>
      </c>
      <c r="R545" s="8">
        <f>IF(COUNT(D545:P545)=0,"",MEDIAN(D545:P545))</f>
        <v/>
      </c>
      <c r="S545" s="8">
        <f>IF(COUNT(D545:P545)=0,"",MAX(D545:P545))</f>
        <v/>
      </c>
      <c r="T545" s="9">
        <f>IF(OR(Q545="",Q545=0),"",(S545-Q545)/Q545)</f>
        <v/>
      </c>
      <c r="U545" s="7">
        <f>IF(COUNT(D545:P545)=0,"",INDEX($D$1:$P$1,MATCH(MIN(D545:P545),D545:P545,0)))</f>
        <v/>
      </c>
      <c r="V545" s="8" t="n">
        <v>13189</v>
      </c>
      <c r="W545" s="10" t="n">
        <v>1</v>
      </c>
    </row>
    <row r="546">
      <c r="A546" s="7" t="inlineStr">
        <is>
          <t>MAT-09-033</t>
        </is>
      </c>
      <c r="B546" s="4" t="inlineStr">
        <is>
          <t>Bomba de cisterna de 1/2 HP</t>
        </is>
      </c>
      <c r="C546" s="7" t="inlineStr">
        <is>
          <t>unidad</t>
        </is>
      </c>
      <c r="D546" s="8" t="n"/>
      <c r="E546" s="8" t="n"/>
      <c r="F546" s="8" t="n"/>
      <c r="G546" s="8" t="n">
        <v>7106</v>
      </c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>
        <f>IF(COUNT(D546:P546)=0,"",MIN(D546:P546))</f>
        <v/>
      </c>
      <c r="R546" s="8">
        <f>IF(COUNT(D546:P546)=0,"",MEDIAN(D546:P546))</f>
        <v/>
      </c>
      <c r="S546" s="8">
        <f>IF(COUNT(D546:P546)=0,"",MAX(D546:P546))</f>
        <v/>
      </c>
      <c r="T546" s="9">
        <f>IF(OR(Q546="",Q546=0),"",(S546-Q546)/Q546)</f>
        <v/>
      </c>
      <c r="U546" s="7">
        <f>IF(COUNT(D546:P546)=0,"",INDEX($D$1:$P$1,MATCH(MIN(D546:P546),D546:P546,0)))</f>
        <v/>
      </c>
      <c r="V546" s="8" t="n">
        <v>7106</v>
      </c>
      <c r="W546" s="10" t="n">
        <v>1</v>
      </c>
    </row>
    <row r="547">
      <c r="A547" s="7" t="inlineStr">
        <is>
          <t>MAT-09-034</t>
        </is>
      </c>
      <c r="B547" s="4" t="inlineStr">
        <is>
          <t>Bomba ladrona de 1/2 HP</t>
        </is>
      </c>
      <c r="C547" s="7" t="inlineStr">
        <is>
          <t>unidad</t>
        </is>
      </c>
      <c r="D547" s="8" t="n"/>
      <c r="E547" s="8" t="n"/>
      <c r="F547" s="8" t="n"/>
      <c r="G547" s="8" t="n">
        <v>2670</v>
      </c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>
        <f>IF(COUNT(D547:P547)=0,"",MIN(D547:P547))</f>
        <v/>
      </c>
      <c r="R547" s="8">
        <f>IF(COUNT(D547:P547)=0,"",MEDIAN(D547:P547))</f>
        <v/>
      </c>
      <c r="S547" s="8">
        <f>IF(COUNT(D547:P547)=0,"",MAX(D547:P547))</f>
        <v/>
      </c>
      <c r="T547" s="9">
        <f>IF(OR(Q547="",Q547=0),"",(S547-Q547)/Q547)</f>
        <v/>
      </c>
      <c r="U547" s="7">
        <f>IF(COUNT(D547:P547)=0,"",INDEX($D$1:$P$1,MATCH(MIN(D547:P547),D547:P547,0)))</f>
        <v/>
      </c>
      <c r="V547" s="8" t="n">
        <v>3957</v>
      </c>
      <c r="W547" s="10" t="n">
        <v>1</v>
      </c>
    </row>
    <row r="548">
      <c r="A548" s="7" t="inlineStr">
        <is>
          <t>MAT-09-035</t>
        </is>
      </c>
      <c r="B548" s="4" t="inlineStr">
        <is>
          <t>Bomba periférica de 1 HP</t>
        </is>
      </c>
      <c r="C548" s="7" t="inlineStr">
        <is>
          <t>unidad</t>
        </is>
      </c>
      <c r="D548" s="8" t="n"/>
      <c r="E548" s="8" t="n"/>
      <c r="F548" s="8" t="n"/>
      <c r="G548" s="8" t="n"/>
      <c r="H548" s="8" t="n"/>
      <c r="I548" s="8" t="n">
        <v>5719</v>
      </c>
      <c r="J548" s="8" t="n"/>
      <c r="K548" s="8" t="n"/>
      <c r="L548" s="8" t="n"/>
      <c r="M548" s="8" t="n"/>
      <c r="N548" s="8" t="n"/>
      <c r="O548" s="8" t="n"/>
      <c r="P548" s="8" t="n"/>
      <c r="Q548" s="8">
        <f>IF(COUNT(D548:P548)=0,"",MIN(D548:P548))</f>
        <v/>
      </c>
      <c r="R548" s="8">
        <f>IF(COUNT(D548:P548)=0,"",MEDIAN(D548:P548))</f>
        <v/>
      </c>
      <c r="S548" s="8">
        <f>IF(COUNT(D548:P548)=0,"",MAX(D548:P548))</f>
        <v/>
      </c>
      <c r="T548" s="9">
        <f>IF(OR(Q548="",Q548=0),"",(S548-Q548)/Q548)</f>
        <v/>
      </c>
      <c r="U548" s="7">
        <f>IF(COUNT(D548:P548)=0,"",INDEX($D$1:$P$1,MATCH(MIN(D548:P548),D548:P548,0)))</f>
        <v/>
      </c>
      <c r="V548" s="8" t="n">
        <v>5719</v>
      </c>
      <c r="W548" s="10" t="n">
        <v>1</v>
      </c>
    </row>
    <row r="549">
      <c r="A549" s="7" t="inlineStr">
        <is>
          <t>MAT-09-036</t>
        </is>
      </c>
      <c r="B549" s="4" t="inlineStr">
        <is>
          <t>Bomba periférica de 1/2 HP</t>
        </is>
      </c>
      <c r="C549" s="7" t="inlineStr">
        <is>
          <t>unidad</t>
        </is>
      </c>
      <c r="D549" s="8" t="n"/>
      <c r="E549" s="8" t="n"/>
      <c r="F549" s="8" t="n"/>
      <c r="G549" s="8" t="n"/>
      <c r="H549" s="8" t="n"/>
      <c r="I549" s="8" t="n">
        <v>1995</v>
      </c>
      <c r="J549" s="8" t="n"/>
      <c r="K549" s="8" t="n"/>
      <c r="L549" s="8" t="n"/>
      <c r="M549" s="8" t="n"/>
      <c r="N549" s="8" t="n"/>
      <c r="O549" s="8" t="n"/>
      <c r="P549" s="8" t="n"/>
      <c r="Q549" s="8">
        <f>IF(COUNT(D549:P549)=0,"",MIN(D549:P549))</f>
        <v/>
      </c>
      <c r="R549" s="8">
        <f>IF(COUNT(D549:P549)=0,"",MEDIAN(D549:P549))</f>
        <v/>
      </c>
      <c r="S549" s="8">
        <f>IF(COUNT(D549:P549)=0,"",MAX(D549:P549))</f>
        <v/>
      </c>
      <c r="T549" s="9">
        <f>IF(OR(Q549="",Q549=0),"",(S549-Q549)/Q549)</f>
        <v/>
      </c>
      <c r="U549" s="7">
        <f>IF(COUNT(D549:P549)=0,"",INDEX($D$1:$P$1,MATCH(MIN(D549:P549),D549:P549,0)))</f>
        <v/>
      </c>
      <c r="V549" s="8" t="n">
        <v>1995</v>
      </c>
      <c r="W549" s="10" t="n">
        <v>1</v>
      </c>
    </row>
    <row r="550">
      <c r="A550" s="7" t="inlineStr">
        <is>
          <t>MAT-09-037</t>
        </is>
      </c>
      <c r="B550" s="4" t="inlineStr">
        <is>
          <t>Bomba periférica de 3/4 HP</t>
        </is>
      </c>
      <c r="C550" s="7" t="inlineStr">
        <is>
          <t>unidad</t>
        </is>
      </c>
      <c r="D550" s="8" t="n"/>
      <c r="E550" s="8" t="n"/>
      <c r="F550" s="8" t="n"/>
      <c r="G550" s="8" t="n"/>
      <c r="H550" s="8" t="n"/>
      <c r="I550" s="8" t="n">
        <v>5079</v>
      </c>
      <c r="J550" s="8" t="n"/>
      <c r="K550" s="8" t="n"/>
      <c r="L550" s="8" t="n"/>
      <c r="M550" s="8" t="n"/>
      <c r="N550" s="8" t="n"/>
      <c r="O550" s="8" t="n"/>
      <c r="P550" s="8" t="n"/>
      <c r="Q550" s="8">
        <f>IF(COUNT(D550:P550)=0,"",MIN(D550:P550))</f>
        <v/>
      </c>
      <c r="R550" s="8">
        <f>IF(COUNT(D550:P550)=0,"",MEDIAN(D550:P550))</f>
        <v/>
      </c>
      <c r="S550" s="8">
        <f>IF(COUNT(D550:P550)=0,"",MAX(D550:P550))</f>
        <v/>
      </c>
      <c r="T550" s="9">
        <f>IF(OR(Q550="",Q550=0),"",(S550-Q550)/Q550)</f>
        <v/>
      </c>
      <c r="U550" s="7">
        <f>IF(COUNT(D550:P550)=0,"",INDEX($D$1:$P$1,MATCH(MIN(D550:P550),D550:P550,0)))</f>
        <v/>
      </c>
      <c r="V550" s="8" t="n">
        <v>5079</v>
      </c>
      <c r="W550" s="10" t="n">
        <v>1</v>
      </c>
    </row>
    <row r="551">
      <c r="A551" s="7" t="inlineStr">
        <is>
          <t>MAT-09-038</t>
        </is>
      </c>
      <c r="B551" s="4" t="inlineStr">
        <is>
          <t>Bomba presurizadora de 1/2 HP</t>
        </is>
      </c>
      <c r="C551" s="7" t="inlineStr">
        <is>
          <t>unidad</t>
        </is>
      </c>
      <c r="D551" s="8" t="n"/>
      <c r="E551" s="8" t="n"/>
      <c r="F551" s="8" t="n"/>
      <c r="G551" s="8" t="n">
        <v>5075</v>
      </c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>
        <f>IF(COUNT(D551:P551)=0,"",MIN(D551:P551))</f>
        <v/>
      </c>
      <c r="R551" s="8">
        <f>IF(COUNT(D551:P551)=0,"",MEDIAN(D551:P551))</f>
        <v/>
      </c>
      <c r="S551" s="8">
        <f>IF(COUNT(D551:P551)=0,"",MAX(D551:P551))</f>
        <v/>
      </c>
      <c r="T551" s="9">
        <f>IF(OR(Q551="",Q551=0),"",(S551-Q551)/Q551)</f>
        <v/>
      </c>
      <c r="U551" s="7">
        <f>IF(COUNT(D551:P551)=0,"",INDEX($D$1:$P$1,MATCH(MIN(D551:P551),D551:P551,0)))</f>
        <v/>
      </c>
      <c r="V551" s="8" t="n">
        <v>5075</v>
      </c>
      <c r="W551" s="10" t="n">
        <v>1</v>
      </c>
    </row>
    <row r="552">
      <c r="A552" s="7" t="inlineStr">
        <is>
          <t>MAT-09-039</t>
        </is>
      </c>
      <c r="B552" s="4" t="inlineStr">
        <is>
          <t>Bomba presurizadora de 1/3 HP</t>
        </is>
      </c>
      <c r="C552" s="7" t="inlineStr">
        <is>
          <t>unidad</t>
        </is>
      </c>
      <c r="D552" s="8" t="n"/>
      <c r="E552" s="8" t="n"/>
      <c r="F552" s="8" t="n"/>
      <c r="G552" s="8" t="n">
        <v>4914</v>
      </c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>
        <f>IF(COUNT(D552:P552)=0,"",MIN(D552:P552))</f>
        <v/>
      </c>
      <c r="R552" s="8">
        <f>IF(COUNT(D552:P552)=0,"",MEDIAN(D552:P552))</f>
        <v/>
      </c>
      <c r="S552" s="8">
        <f>IF(COUNT(D552:P552)=0,"",MAX(D552:P552))</f>
        <v/>
      </c>
      <c r="T552" s="9">
        <f>IF(OR(Q552="",Q552=0),"",(S552-Q552)/Q552)</f>
        <v/>
      </c>
      <c r="U552" s="7">
        <f>IF(COUNT(D552:P552)=0,"",INDEX($D$1:$P$1,MATCH(MIN(D552:P552),D552:P552,0)))</f>
        <v/>
      </c>
      <c r="V552" s="8" t="n">
        <v>4914</v>
      </c>
      <c r="W552" s="10" t="n">
        <v>1</v>
      </c>
    </row>
    <row r="553">
      <c r="A553" s="7" t="inlineStr">
        <is>
          <t>MAT-09-040</t>
        </is>
      </c>
      <c r="B553" s="4" t="inlineStr">
        <is>
          <t>Bomba presurizadora de 1/6 HP</t>
        </is>
      </c>
      <c r="C553" s="7" t="inlineStr">
        <is>
          <t>unidad</t>
        </is>
      </c>
      <c r="D553" s="8" t="n"/>
      <c r="E553" s="8" t="n"/>
      <c r="F553" s="8" t="n"/>
      <c r="G553" s="8" t="n">
        <v>2911</v>
      </c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>
        <f>IF(COUNT(D553:P553)=0,"",MIN(D553:P553))</f>
        <v/>
      </c>
      <c r="R553" s="8">
        <f>IF(COUNT(D553:P553)=0,"",MEDIAN(D553:P553))</f>
        <v/>
      </c>
      <c r="S553" s="8">
        <f>IF(COUNT(D553:P553)=0,"",MAX(D553:P553))</f>
        <v/>
      </c>
      <c r="T553" s="9">
        <f>IF(OR(Q553="",Q553=0),"",(S553-Q553)/Q553)</f>
        <v/>
      </c>
      <c r="U553" s="7">
        <f>IF(COUNT(D553:P553)=0,"",INDEX($D$1:$P$1,MATCH(MIN(D553:P553),D553:P553,0)))</f>
        <v/>
      </c>
      <c r="V553" s="8" t="n">
        <v>2911</v>
      </c>
      <c r="W553" s="10" t="n">
        <v>1</v>
      </c>
    </row>
    <row r="554">
      <c r="A554" s="7" t="inlineStr">
        <is>
          <t>MAT-09-041</t>
        </is>
      </c>
      <c r="B554" s="4" t="inlineStr">
        <is>
          <t>Bomba sumergible de 1 HP</t>
        </is>
      </c>
      <c r="C554" s="7" t="inlineStr">
        <is>
          <t>unidad</t>
        </is>
      </c>
      <c r="D554" s="8" t="n"/>
      <c r="E554" s="8" t="n">
        <v>5512</v>
      </c>
      <c r="F554" s="8" t="n"/>
      <c r="G554" s="8" t="n"/>
      <c r="H554" s="8" t="n"/>
      <c r="I554" s="8" t="n">
        <v>1920</v>
      </c>
      <c r="J554" s="8" t="n"/>
      <c r="K554" s="8" t="n"/>
      <c r="L554" s="8" t="n"/>
      <c r="M554" s="8" t="n"/>
      <c r="N554" s="8" t="n"/>
      <c r="O554" s="8" t="n"/>
      <c r="P554" s="8" t="n"/>
      <c r="Q554" s="8">
        <f>IF(COUNT(D554:P554)=0,"",MIN(D554:P554))</f>
        <v/>
      </c>
      <c r="R554" s="8">
        <f>IF(COUNT(D554:P554)=0,"",MEDIAN(D554:P554))</f>
        <v/>
      </c>
      <c r="S554" s="8">
        <f>IF(COUNT(D554:P554)=0,"",MAX(D554:P554))</f>
        <v/>
      </c>
      <c r="T554" s="9">
        <f>IF(OR(Q554="",Q554=0),"",(S554-Q554)/Q554)</f>
        <v/>
      </c>
      <c r="U554" s="7">
        <f>IF(COUNT(D554:P554)=0,"",INDEX($D$1:$P$1,MATCH(MIN(D554:P554),D554:P554,0)))</f>
        <v/>
      </c>
      <c r="V554" s="8" t="n">
        <v>7860</v>
      </c>
      <c r="W554" s="10" t="n">
        <v>2</v>
      </c>
    </row>
    <row r="555">
      <c r="A555" s="7" t="inlineStr">
        <is>
          <t>MAT-09-042</t>
        </is>
      </c>
      <c r="B555" s="4" t="inlineStr">
        <is>
          <t>Bomba sumergible de 1 1/2 HP</t>
        </is>
      </c>
      <c r="C555" s="7" t="inlineStr">
        <is>
          <t>unidad</t>
        </is>
      </c>
      <c r="D555" s="8" t="n"/>
      <c r="E555" s="8" t="n">
        <v>6623</v>
      </c>
      <c r="F555" s="8" t="n"/>
      <c r="G555" s="8" t="n"/>
      <c r="H555" s="8" t="n"/>
      <c r="I555" s="8" t="n">
        <v>14569</v>
      </c>
      <c r="J555" s="8" t="n"/>
      <c r="K555" s="8" t="n"/>
      <c r="L555" s="8" t="n"/>
      <c r="M555" s="8" t="n"/>
      <c r="N555" s="8" t="n"/>
      <c r="O555" s="8" t="n"/>
      <c r="P555" s="8" t="n"/>
      <c r="Q555" s="8">
        <f>IF(COUNT(D555:P555)=0,"",MIN(D555:P555))</f>
        <v/>
      </c>
      <c r="R555" s="8">
        <f>IF(COUNT(D555:P555)=0,"",MEDIAN(D555:P555))</f>
        <v/>
      </c>
      <c r="S555" s="8">
        <f>IF(COUNT(D555:P555)=0,"",MAX(D555:P555))</f>
        <v/>
      </c>
      <c r="T555" s="9">
        <f>IF(OR(Q555="",Q555=0),"",(S555-Q555)/Q555)</f>
        <v/>
      </c>
      <c r="U555" s="7">
        <f>IF(COUNT(D555:P555)=0,"",INDEX($D$1:$P$1,MATCH(MIN(D555:P555),D555:P555,0)))</f>
        <v/>
      </c>
      <c r="V555" s="8" t="n">
        <v>13484</v>
      </c>
      <c r="W555" s="10" t="n">
        <v>2</v>
      </c>
    </row>
    <row r="556">
      <c r="A556" s="7" t="inlineStr">
        <is>
          <t>MAT-09-043</t>
        </is>
      </c>
      <c r="B556" s="4" t="inlineStr">
        <is>
          <t>Bomba sumergible de 1/2 HP</t>
        </is>
      </c>
      <c r="C556" s="7" t="inlineStr">
        <is>
          <t>unidad</t>
        </is>
      </c>
      <c r="D556" s="8" t="n"/>
      <c r="E556" s="8" t="n">
        <v>5881</v>
      </c>
      <c r="F556" s="8" t="n"/>
      <c r="G556" s="8" t="n"/>
      <c r="H556" s="8" t="n"/>
      <c r="I556" s="8" t="n">
        <v>2835</v>
      </c>
      <c r="J556" s="8" t="n"/>
      <c r="K556" s="8" t="n"/>
      <c r="L556" s="8" t="n"/>
      <c r="M556" s="8" t="n"/>
      <c r="N556" s="8" t="n"/>
      <c r="O556" s="8" t="n"/>
      <c r="P556" s="8" t="n"/>
      <c r="Q556" s="8">
        <f>IF(COUNT(D556:P556)=0,"",MIN(D556:P556))</f>
        <v/>
      </c>
      <c r="R556" s="8">
        <f>IF(COUNT(D556:P556)=0,"",MEDIAN(D556:P556))</f>
        <v/>
      </c>
      <c r="S556" s="8">
        <f>IF(COUNT(D556:P556)=0,"",MAX(D556:P556))</f>
        <v/>
      </c>
      <c r="T556" s="9">
        <f>IF(OR(Q556="",Q556=0),"",(S556-Q556)/Q556)</f>
        <v/>
      </c>
      <c r="U556" s="7">
        <f>IF(COUNT(D556:P556)=0,"",INDEX($D$1:$P$1,MATCH(MIN(D556:P556),D556:P556,0)))</f>
        <v/>
      </c>
      <c r="V556" s="8" t="n">
        <v>8167.5</v>
      </c>
      <c r="W556" s="10" t="n">
        <v>2</v>
      </c>
    </row>
    <row r="557">
      <c r="A557" s="7" t="inlineStr">
        <is>
          <t>MAT-09-044</t>
        </is>
      </c>
      <c r="B557" s="4" t="inlineStr">
        <is>
          <t>Bomba sumergible de 1.5 HP</t>
        </is>
      </c>
      <c r="C557" s="7" t="inlineStr">
        <is>
          <t>unidad</t>
        </is>
      </c>
      <c r="D557" s="8" t="n"/>
      <c r="E557" s="8" t="n">
        <v>77553</v>
      </c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>
        <f>IF(COUNT(D557:P557)=0,"",MIN(D557:P557))</f>
        <v/>
      </c>
      <c r="R557" s="8">
        <f>IF(COUNT(D557:P557)=0,"",MEDIAN(D557:P557))</f>
        <v/>
      </c>
      <c r="S557" s="8">
        <f>IF(COUNT(D557:P557)=0,"",MAX(D557:P557))</f>
        <v/>
      </c>
      <c r="T557" s="9">
        <f>IF(OR(Q557="",Q557=0),"",(S557-Q557)/Q557)</f>
        <v/>
      </c>
      <c r="U557" s="7">
        <f>IF(COUNT(D557:P557)=0,"",INDEX($D$1:$P$1,MATCH(MIN(D557:P557),D557:P557,0)))</f>
        <v/>
      </c>
      <c r="V557" s="8" t="n">
        <v>77553</v>
      </c>
      <c r="W557" s="10" t="n">
        <v>1</v>
      </c>
    </row>
    <row r="558">
      <c r="A558" s="7" t="inlineStr">
        <is>
          <t>MAT-09-045</t>
        </is>
      </c>
      <c r="B558" s="4" t="inlineStr">
        <is>
          <t>Bomba sumergible de 1/6 HP</t>
        </is>
      </c>
      <c r="C558" s="7" t="inlineStr">
        <is>
          <t>unidad</t>
        </is>
      </c>
      <c r="D558" s="8" t="n"/>
      <c r="E558" s="8" t="n">
        <v>21812</v>
      </c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>
        <f>IF(COUNT(D558:P558)=0,"",MIN(D558:P558))</f>
        <v/>
      </c>
      <c r="R558" s="8">
        <f>IF(COUNT(D558:P558)=0,"",MEDIAN(D558:P558))</f>
        <v/>
      </c>
      <c r="S558" s="8">
        <f>IF(COUNT(D558:P558)=0,"",MAX(D558:P558))</f>
        <v/>
      </c>
      <c r="T558" s="9">
        <f>IF(OR(Q558="",Q558=0),"",(S558-Q558)/Q558)</f>
        <v/>
      </c>
      <c r="U558" s="7">
        <f>IF(COUNT(D558:P558)=0,"",INDEX($D$1:$P$1,MATCH(MIN(D558:P558),D558:P558,0)))</f>
        <v/>
      </c>
      <c r="V558" s="8" t="n">
        <v>21812</v>
      </c>
      <c r="W558" s="10" t="n">
        <v>1</v>
      </c>
    </row>
    <row r="559">
      <c r="A559" s="7" t="inlineStr">
        <is>
          <t>MAT-09-046</t>
        </is>
      </c>
      <c r="B559" s="4" t="inlineStr">
        <is>
          <t>Bomba sumergible de 10 HP</t>
        </is>
      </c>
      <c r="C559" s="7" t="inlineStr">
        <is>
          <t>unidad</t>
        </is>
      </c>
      <c r="D559" s="8" t="n"/>
      <c r="E559" s="8" t="n">
        <v>56995</v>
      </c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>
        <f>IF(COUNT(D559:P559)=0,"",MIN(D559:P559))</f>
        <v/>
      </c>
      <c r="R559" s="8">
        <f>IF(COUNT(D559:P559)=0,"",MEDIAN(D559:P559))</f>
        <v/>
      </c>
      <c r="S559" s="8">
        <f>IF(COUNT(D559:P559)=0,"",MAX(D559:P559))</f>
        <v/>
      </c>
      <c r="T559" s="9">
        <f>IF(OR(Q559="",Q559=0),"",(S559-Q559)/Q559)</f>
        <v/>
      </c>
      <c r="U559" s="7">
        <f>IF(COUNT(D559:P559)=0,"",INDEX($D$1:$P$1,MATCH(MIN(D559:P559),D559:P559,0)))</f>
        <v/>
      </c>
      <c r="V559" s="8" t="n">
        <v>56995</v>
      </c>
      <c r="W559" s="10" t="n">
        <v>1</v>
      </c>
    </row>
    <row r="560">
      <c r="A560" s="7" t="inlineStr">
        <is>
          <t>MAT-09-047</t>
        </is>
      </c>
      <c r="B560" s="4" t="inlineStr">
        <is>
          <t>Bomba sumergible de 2 HP</t>
        </is>
      </c>
      <c r="C560" s="7" t="inlineStr">
        <is>
          <t>unidad</t>
        </is>
      </c>
      <c r="D560" s="8" t="n"/>
      <c r="E560" s="8" t="n">
        <v>12859</v>
      </c>
      <c r="F560" s="8" t="n"/>
      <c r="G560" s="8" t="n"/>
      <c r="H560" s="8" t="n"/>
      <c r="I560" s="8" t="n">
        <v>16615</v>
      </c>
      <c r="J560" s="8" t="n"/>
      <c r="K560" s="8" t="n"/>
      <c r="L560" s="8" t="n"/>
      <c r="M560" s="8" t="n"/>
      <c r="N560" s="8" t="n"/>
      <c r="O560" s="8" t="n"/>
      <c r="P560" s="8" t="n"/>
      <c r="Q560" s="8">
        <f>IF(COUNT(D560:P560)=0,"",MIN(D560:P560))</f>
        <v/>
      </c>
      <c r="R560" s="8">
        <f>IF(COUNT(D560:P560)=0,"",MEDIAN(D560:P560))</f>
        <v/>
      </c>
      <c r="S560" s="8">
        <f>IF(COUNT(D560:P560)=0,"",MAX(D560:P560))</f>
        <v/>
      </c>
      <c r="T560" s="9">
        <f>IF(OR(Q560="",Q560=0),"",(S560-Q560)/Q560)</f>
        <v/>
      </c>
      <c r="U560" s="7">
        <f>IF(COUNT(D560:P560)=0,"",INDEX($D$1:$P$1,MATCH(MIN(D560:P560),D560:P560,0)))</f>
        <v/>
      </c>
      <c r="V560" s="8" t="n">
        <v>20127</v>
      </c>
      <c r="W560" s="10" t="n">
        <v>2</v>
      </c>
    </row>
    <row r="561">
      <c r="A561" s="7" t="inlineStr">
        <is>
          <t>MAT-09-048</t>
        </is>
      </c>
      <c r="B561" s="4" t="inlineStr">
        <is>
          <t>Bomba sumergible de 3 HP</t>
        </is>
      </c>
      <c r="C561" s="7" t="inlineStr">
        <is>
          <t>unidad</t>
        </is>
      </c>
      <c r="D561" s="8" t="n"/>
      <c r="E561" s="8" t="n">
        <v>17345</v>
      </c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>
        <f>IF(COUNT(D561:P561)=0,"",MIN(D561:P561))</f>
        <v/>
      </c>
      <c r="R561" s="8">
        <f>IF(COUNT(D561:P561)=0,"",MEDIAN(D561:P561))</f>
        <v/>
      </c>
      <c r="S561" s="8">
        <f>IF(COUNT(D561:P561)=0,"",MAX(D561:P561))</f>
        <v/>
      </c>
      <c r="T561" s="9">
        <f>IF(OR(Q561="",Q561=0),"",(S561-Q561)/Q561)</f>
        <v/>
      </c>
      <c r="U561" s="7">
        <f>IF(COUNT(D561:P561)=0,"",INDEX($D$1:$P$1,MATCH(MIN(D561:P561),D561:P561,0)))</f>
        <v/>
      </c>
      <c r="V561" s="8" t="n">
        <v>23492.5</v>
      </c>
      <c r="W561" s="10" t="n">
        <v>1</v>
      </c>
    </row>
    <row r="562">
      <c r="A562" s="7" t="inlineStr">
        <is>
          <t>MAT-09-049</t>
        </is>
      </c>
      <c r="B562" s="4" t="inlineStr">
        <is>
          <t>Bomba sumergible de 3/4 HP</t>
        </is>
      </c>
      <c r="C562" s="7" t="inlineStr">
        <is>
          <t>unidad</t>
        </is>
      </c>
      <c r="D562" s="8" t="n"/>
      <c r="E562" s="8" t="n">
        <v>5215</v>
      </c>
      <c r="F562" s="8" t="n"/>
      <c r="G562" s="8" t="n"/>
      <c r="H562" s="8" t="n"/>
      <c r="I562" s="8" t="n">
        <v>2999</v>
      </c>
      <c r="J562" s="8" t="n"/>
      <c r="K562" s="8" t="n"/>
      <c r="L562" s="8" t="n"/>
      <c r="M562" s="8" t="n"/>
      <c r="N562" s="8" t="n"/>
      <c r="O562" s="8" t="n"/>
      <c r="P562" s="8" t="n"/>
      <c r="Q562" s="8">
        <f>IF(COUNT(D562:P562)=0,"",MIN(D562:P562))</f>
        <v/>
      </c>
      <c r="R562" s="8">
        <f>IF(COUNT(D562:P562)=0,"",MEDIAN(D562:P562))</f>
        <v/>
      </c>
      <c r="S562" s="8">
        <f>IF(COUNT(D562:P562)=0,"",MAX(D562:P562))</f>
        <v/>
      </c>
      <c r="T562" s="9">
        <f>IF(OR(Q562="",Q562=0),"",(S562-Q562)/Q562)</f>
        <v/>
      </c>
      <c r="U562" s="7">
        <f>IF(COUNT(D562:P562)=0,"",INDEX($D$1:$P$1,MATCH(MIN(D562:P562),D562:P562,0)))</f>
        <v/>
      </c>
      <c r="V562" s="8" t="n">
        <v>8599</v>
      </c>
      <c r="W562" s="10" t="n">
        <v>2</v>
      </c>
    </row>
    <row r="563">
      <c r="A563" s="7" t="inlineStr">
        <is>
          <t>MAT-09-050</t>
        </is>
      </c>
      <c r="B563" s="4" t="inlineStr">
        <is>
          <t>Bomba sumergible de 5.5 HP</t>
        </is>
      </c>
      <c r="C563" s="7" t="inlineStr">
        <is>
          <t>unidad</t>
        </is>
      </c>
      <c r="D563" s="8" t="n"/>
      <c r="E563" s="8" t="n">
        <v>27049</v>
      </c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>
        <f>IF(COUNT(D563:P563)=0,"",MIN(D563:P563))</f>
        <v/>
      </c>
      <c r="R563" s="8">
        <f>IF(COUNT(D563:P563)=0,"",MEDIAN(D563:P563))</f>
        <v/>
      </c>
      <c r="S563" s="8">
        <f>IF(COUNT(D563:P563)=0,"",MAX(D563:P563))</f>
        <v/>
      </c>
      <c r="T563" s="9">
        <f>IF(OR(Q563="",Q563=0),"",(S563-Q563)/Q563)</f>
        <v/>
      </c>
      <c r="U563" s="7">
        <f>IF(COUNT(D563:P563)=0,"",INDEX($D$1:$P$1,MATCH(MIN(D563:P563),D563:P563,0)))</f>
        <v/>
      </c>
      <c r="V563" s="8" t="n">
        <v>27049</v>
      </c>
      <c r="W563" s="10" t="n">
        <v>1</v>
      </c>
    </row>
    <row r="564">
      <c r="A564" s="7" t="inlineStr">
        <is>
          <t>MAT-09-051</t>
        </is>
      </c>
      <c r="B564" s="4" t="inlineStr">
        <is>
          <t>Tanque presurizado de 24 litros</t>
        </is>
      </c>
      <c r="C564" s="7" t="inlineStr">
        <is>
          <t>unidad</t>
        </is>
      </c>
      <c r="D564" s="8" t="n"/>
      <c r="E564" s="8" t="n"/>
      <c r="F564" s="8" t="n"/>
      <c r="G564" s="8" t="n">
        <v>1825</v>
      </c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>
        <f>IF(COUNT(D564:P564)=0,"",MIN(D564:P564))</f>
        <v/>
      </c>
      <c r="R564" s="8">
        <f>IF(COUNT(D564:P564)=0,"",MEDIAN(D564:P564))</f>
        <v/>
      </c>
      <c r="S564" s="8">
        <f>IF(COUNT(D564:P564)=0,"",MAX(D564:P564))</f>
        <v/>
      </c>
      <c r="T564" s="9">
        <f>IF(OR(Q564="",Q564=0),"",(S564-Q564)/Q564)</f>
        <v/>
      </c>
      <c r="U564" s="7">
        <f>IF(COUNT(D564:P564)=0,"",INDEX($D$1:$P$1,MATCH(MIN(D564:P564),D564:P564,0)))</f>
        <v/>
      </c>
      <c r="V564" s="8" t="n">
        <v>1825</v>
      </c>
      <c r="W564" s="10" t="n">
        <v>1</v>
      </c>
    </row>
    <row r="565">
      <c r="A565" s="7" t="inlineStr">
        <is>
          <t>MAT-09-052</t>
        </is>
      </c>
      <c r="B565" s="4" t="inlineStr">
        <is>
          <t>Interruptor automático de presión 20–40 PSI</t>
        </is>
      </c>
      <c r="C565" s="7" t="inlineStr">
        <is>
          <t>unidad</t>
        </is>
      </c>
      <c r="D565" s="8" t="n"/>
      <c r="E565" s="8" t="n"/>
      <c r="F565" s="8" t="n"/>
      <c r="G565" s="8" t="n">
        <v>1666</v>
      </c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>
        <f>IF(COUNT(D565:P565)=0,"",MIN(D565:P565))</f>
        <v/>
      </c>
      <c r="R565" s="8">
        <f>IF(COUNT(D565:P565)=0,"",MEDIAN(D565:P565))</f>
        <v/>
      </c>
      <c r="S565" s="8">
        <f>IF(COUNT(D565:P565)=0,"",MAX(D565:P565))</f>
        <v/>
      </c>
      <c r="T565" s="9">
        <f>IF(OR(Q565="",Q565=0),"",(S565-Q565)/Q565)</f>
        <v/>
      </c>
      <c r="U565" s="7">
        <f>IF(COUNT(D565:P565)=0,"",INDEX($D$1:$P$1,MATCH(MIN(D565:P565),D565:P565,0)))</f>
        <v/>
      </c>
      <c r="V565" s="8" t="n">
        <v>1666</v>
      </c>
      <c r="W565" s="10" t="n">
        <v>1</v>
      </c>
    </row>
    <row r="566">
      <c r="A566" s="7" t="inlineStr">
        <is>
          <t>MAT-09-053</t>
        </is>
      </c>
      <c r="B566" s="4" t="inlineStr">
        <is>
          <t>Interruptor automático de presión 30–50 PSI</t>
        </is>
      </c>
      <c r="C566" s="7" t="inlineStr">
        <is>
          <t>unidad</t>
        </is>
      </c>
      <c r="D566" s="8" t="n"/>
      <c r="E566" s="8" t="n"/>
      <c r="F566" s="8" t="n"/>
      <c r="G566" s="8" t="n">
        <v>1631</v>
      </c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>
        <f>IF(COUNT(D566:P566)=0,"",MIN(D566:P566))</f>
        <v/>
      </c>
      <c r="R566" s="8">
        <f>IF(COUNT(D566:P566)=0,"",MEDIAN(D566:P566))</f>
        <v/>
      </c>
      <c r="S566" s="8">
        <f>IF(COUNT(D566:P566)=0,"",MAX(D566:P566))</f>
        <v/>
      </c>
      <c r="T566" s="9">
        <f>IF(OR(Q566="",Q566=0),"",(S566-Q566)/Q566)</f>
        <v/>
      </c>
      <c r="U566" s="7">
        <f>IF(COUNT(D566:P566)=0,"",INDEX($D$1:$P$1,MATCH(MIN(D566:P566),D566:P566,0)))</f>
        <v/>
      </c>
      <c r="V566" s="8" t="n">
        <v>1631</v>
      </c>
      <c r="W566" s="10" t="n">
        <v>1</v>
      </c>
    </row>
    <row r="567">
      <c r="A567" s="7" t="inlineStr">
        <is>
          <t>MAT-09-054</t>
        </is>
      </c>
      <c r="B567" s="4" t="inlineStr">
        <is>
          <t>Interruptor automático de presión 40–60 PSI</t>
        </is>
      </c>
      <c r="C567" s="7" t="inlineStr">
        <is>
          <t>unidad</t>
        </is>
      </c>
      <c r="D567" s="8" t="n"/>
      <c r="E567" s="8" t="n"/>
      <c r="F567" s="8" t="n"/>
      <c r="G567" s="8" t="n">
        <v>1688</v>
      </c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>
        <f>IF(COUNT(D567:P567)=0,"",MIN(D567:P567))</f>
        <v/>
      </c>
      <c r="R567" s="8">
        <f>IF(COUNT(D567:P567)=0,"",MEDIAN(D567:P567))</f>
        <v/>
      </c>
      <c r="S567" s="8">
        <f>IF(COUNT(D567:P567)=0,"",MAX(D567:P567))</f>
        <v/>
      </c>
      <c r="T567" s="9">
        <f>IF(OR(Q567="",Q567=0),"",(S567-Q567)/Q567)</f>
        <v/>
      </c>
      <c r="U567" s="7">
        <f>IF(COUNT(D567:P567)=0,"",INDEX($D$1:$P$1,MATCH(MIN(D567:P567),D567:P567,0)))</f>
        <v/>
      </c>
      <c r="V567" s="8" t="n">
        <v>1688</v>
      </c>
      <c r="W567" s="10" t="n">
        <v>1</v>
      </c>
    </row>
    <row r="568">
      <c r="A568" s="7" t="inlineStr">
        <is>
          <t>MAT-09-055</t>
        </is>
      </c>
      <c r="B568" s="4" t="inlineStr">
        <is>
          <t>Interruptor de flotante eléctrico</t>
        </is>
      </c>
      <c r="C568" s="7" t="inlineStr">
        <is>
          <t>unidad</t>
        </is>
      </c>
      <c r="D568" s="8" t="n"/>
      <c r="E568" s="8" t="n"/>
      <c r="F568" s="8" t="n"/>
      <c r="G568" s="8" t="n">
        <v>690</v>
      </c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>
        <f>IF(COUNT(D568:P568)=0,"",MIN(D568:P568))</f>
        <v/>
      </c>
      <c r="R568" s="8">
        <f>IF(COUNT(D568:P568)=0,"",MEDIAN(D568:P568))</f>
        <v/>
      </c>
      <c r="S568" s="8">
        <f>IF(COUNT(D568:P568)=0,"",MAX(D568:P568))</f>
        <v/>
      </c>
      <c r="T568" s="9">
        <f>IF(OR(Q568="",Q568=0),"",(S568-Q568)/Q568)</f>
        <v/>
      </c>
      <c r="U568" s="7">
        <f>IF(COUNT(D568:P568)=0,"",INDEX($D$1:$P$1,MATCH(MIN(D568:P568),D568:P568,0)))</f>
        <v/>
      </c>
      <c r="V568" s="8" t="n">
        <v>1072</v>
      </c>
      <c r="W568" s="10" t="n">
        <v>1</v>
      </c>
    </row>
    <row r="569">
      <c r="A569" s="7" t="inlineStr">
        <is>
          <t>MAT-09-056</t>
        </is>
      </c>
      <c r="B569" s="4" t="inlineStr">
        <is>
          <t>Control automático de bomba 1"</t>
        </is>
      </c>
      <c r="C569" s="7" t="inlineStr">
        <is>
          <t>unidad</t>
        </is>
      </c>
      <c r="D569" s="8" t="n"/>
      <c r="E569" s="8" t="n"/>
      <c r="F569" s="8" t="n"/>
      <c r="G569" s="8" t="n">
        <v>3178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>
        <f>IF(COUNT(D569:P569)=0,"",MIN(D569:P569))</f>
        <v/>
      </c>
      <c r="R569" s="8">
        <f>IF(COUNT(D569:P569)=0,"",MEDIAN(D569:P569))</f>
        <v/>
      </c>
      <c r="S569" s="8">
        <f>IF(COUNT(D569:P569)=0,"",MAX(D569:P569))</f>
        <v/>
      </c>
      <c r="T569" s="9">
        <f>IF(OR(Q569="",Q569=0),"",(S569-Q569)/Q569)</f>
        <v/>
      </c>
      <c r="U569" s="7">
        <f>IF(COUNT(D569:P569)=0,"",INDEX($D$1:$P$1,MATCH(MIN(D569:P569),D569:P569,0)))</f>
        <v/>
      </c>
      <c r="V569" s="8" t="n">
        <v>3178</v>
      </c>
      <c r="W569" s="10" t="n">
        <v>1</v>
      </c>
    </row>
    <row r="570">
      <c r="A570" s="7" t="inlineStr">
        <is>
          <t>MAT-09-057</t>
        </is>
      </c>
      <c r="B570" s="4" t="inlineStr">
        <is>
          <t>Manómetro de glicerina de 150 PSI</t>
        </is>
      </c>
      <c r="C570" s="7" t="inlineStr">
        <is>
          <t>unidad</t>
        </is>
      </c>
      <c r="D570" s="8" t="n"/>
      <c r="E570" s="8" t="n"/>
      <c r="F570" s="8" t="n"/>
      <c r="G570" s="8" t="n">
        <v>990</v>
      </c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>
        <f>IF(COUNT(D570:P570)=0,"",MIN(D570:P570))</f>
        <v/>
      </c>
      <c r="R570" s="8">
        <f>IF(COUNT(D570:P570)=0,"",MEDIAN(D570:P570))</f>
        <v/>
      </c>
      <c r="S570" s="8">
        <f>IF(COUNT(D570:P570)=0,"",MAX(D570:P570))</f>
        <v/>
      </c>
      <c r="T570" s="9">
        <f>IF(OR(Q570="",Q570=0),"",(S570-Q570)/Q570)</f>
        <v/>
      </c>
      <c r="U570" s="7">
        <f>IF(COUNT(D570:P570)=0,"",INDEX($D$1:$P$1,MATCH(MIN(D570:P570),D570:P570,0)))</f>
        <v/>
      </c>
      <c r="V570" s="8" t="n">
        <v>990</v>
      </c>
      <c r="W570" s="10" t="n">
        <v>1</v>
      </c>
    </row>
    <row r="571">
      <c r="A571" s="7" t="inlineStr">
        <is>
          <t>MAT-09-058</t>
        </is>
      </c>
      <c r="B571" s="4" t="inlineStr">
        <is>
          <t>Manómetro de glicerina de 90 PSI</t>
        </is>
      </c>
      <c r="C571" s="7" t="inlineStr">
        <is>
          <t>unidad</t>
        </is>
      </c>
      <c r="D571" s="8" t="n"/>
      <c r="E571" s="8" t="n"/>
      <c r="F571" s="8" t="n"/>
      <c r="G571" s="8" t="n">
        <v>905</v>
      </c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>
        <f>IF(COUNT(D571:P571)=0,"",MIN(D571:P571))</f>
        <v/>
      </c>
      <c r="R571" s="8">
        <f>IF(COUNT(D571:P571)=0,"",MEDIAN(D571:P571))</f>
        <v/>
      </c>
      <c r="S571" s="8">
        <f>IF(COUNT(D571:P571)=0,"",MAX(D571:P571))</f>
        <v/>
      </c>
      <c r="T571" s="9">
        <f>IF(OR(Q571="",Q571=0),"",(S571-Q571)/Q571)</f>
        <v/>
      </c>
      <c r="U571" s="7">
        <f>IF(COUNT(D571:P571)=0,"",INDEX($D$1:$P$1,MATCH(MIN(D571:P571),D571:P571,0)))</f>
        <v/>
      </c>
      <c r="V571" s="8" t="n">
        <v>905</v>
      </c>
      <c r="W571" s="10" t="n">
        <v>1</v>
      </c>
    </row>
    <row r="572">
      <c r="A572" s="7" t="inlineStr">
        <is>
          <t>MAT-09-059</t>
        </is>
      </c>
      <c r="B572" s="4" t="inlineStr">
        <is>
          <t>Manómetro seco de 90 PSI</t>
        </is>
      </c>
      <c r="C572" s="7" t="inlineStr">
        <is>
          <t>unidad</t>
        </is>
      </c>
      <c r="D572" s="8" t="n"/>
      <c r="E572" s="8" t="n"/>
      <c r="F572" s="8" t="n"/>
      <c r="G572" s="8" t="n">
        <v>407</v>
      </c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>
        <f>IF(COUNT(D572:P572)=0,"",MIN(D572:P572))</f>
        <v/>
      </c>
      <c r="R572" s="8">
        <f>IF(COUNT(D572:P572)=0,"",MEDIAN(D572:P572))</f>
        <v/>
      </c>
      <c r="S572" s="8">
        <f>IF(COUNT(D572:P572)=0,"",MAX(D572:P572))</f>
        <v/>
      </c>
      <c r="T572" s="9">
        <f>IF(OR(Q572="",Q572=0),"",(S572-Q572)/Q572)</f>
        <v/>
      </c>
      <c r="U572" s="7">
        <f>IF(COUNT(D572:P572)=0,"",INDEX($D$1:$P$1,MATCH(MIN(D572:P572),D572:P572,0)))</f>
        <v/>
      </c>
      <c r="V572" s="8" t="n">
        <v>407</v>
      </c>
      <c r="W572" s="10" t="n">
        <v>1</v>
      </c>
    </row>
    <row r="573">
      <c r="A573" s="7" t="inlineStr">
        <is>
          <t>MAT-09-060</t>
        </is>
      </c>
      <c r="B573" s="4" t="inlineStr">
        <is>
          <t>Calentador de agua a gas de 8 litros por minuto</t>
        </is>
      </c>
      <c r="C573" s="7" t="inlineStr">
        <is>
          <t>unidad</t>
        </is>
      </c>
      <c r="D573" s="8" t="n"/>
      <c r="E573" s="8" t="n"/>
      <c r="F573" s="8" t="n"/>
      <c r="G573" s="8" t="n">
        <v>5395</v>
      </c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>
        <f>IF(COUNT(D573:P573)=0,"",MIN(D573:P573))</f>
        <v/>
      </c>
      <c r="R573" s="8">
        <f>IF(COUNT(D573:P573)=0,"",MEDIAN(D573:P573))</f>
        <v/>
      </c>
      <c r="S573" s="8">
        <f>IF(COUNT(D573:P573)=0,"",MAX(D573:P573))</f>
        <v/>
      </c>
      <c r="T573" s="9">
        <f>IF(OR(Q573="",Q573=0),"",(S573-Q573)/Q573)</f>
        <v/>
      </c>
      <c r="U573" s="7">
        <f>IF(COUNT(D573:P573)=0,"",INDEX($D$1:$P$1,MATCH(MIN(D573:P573),D573:P573,0)))</f>
        <v/>
      </c>
      <c r="V573" s="8" t="n">
        <v>10670</v>
      </c>
      <c r="W573" s="10" t="n">
        <v>1</v>
      </c>
    </row>
    <row r="574">
      <c r="A574" s="7" t="inlineStr">
        <is>
          <t>MAT-09-061</t>
        </is>
      </c>
      <c r="B574" s="4" t="inlineStr">
        <is>
          <t>Calentador de agua eléctrico de 6 galones</t>
        </is>
      </c>
      <c r="C574" s="7" t="inlineStr">
        <is>
          <t>unidad</t>
        </is>
      </c>
      <c r="D574" s="8" t="n"/>
      <c r="E574" s="8" t="n"/>
      <c r="F574" s="8" t="n"/>
      <c r="G574" s="8" t="n">
        <v>10291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>
        <f>IF(COUNT(D574:P574)=0,"",MIN(D574:P574))</f>
        <v/>
      </c>
      <c r="R574" s="8">
        <f>IF(COUNT(D574:P574)=0,"",MEDIAN(D574:P574))</f>
        <v/>
      </c>
      <c r="S574" s="8">
        <f>IF(COUNT(D574:P574)=0,"",MAX(D574:P574))</f>
        <v/>
      </c>
      <c r="T574" s="9">
        <f>IF(OR(Q574="",Q574=0),"",(S574-Q574)/Q574)</f>
        <v/>
      </c>
      <c r="U574" s="7">
        <f>IF(COUNT(D574:P574)=0,"",INDEX($D$1:$P$1,MATCH(MIN(D574:P574),D574:P574,0)))</f>
        <v/>
      </c>
      <c r="V574" s="8" t="n">
        <v>10291</v>
      </c>
      <c r="W574" s="10" t="n">
        <v>1</v>
      </c>
    </row>
    <row r="575">
      <c r="A575" s="7" t="inlineStr">
        <is>
          <t>MAT-09-062</t>
        </is>
      </c>
      <c r="B575" s="4" t="inlineStr">
        <is>
          <t>Calentador de agua eléctrico de 7 kW</t>
        </is>
      </c>
      <c r="C575" s="7" t="inlineStr">
        <is>
          <t>unidad</t>
        </is>
      </c>
      <c r="D575" s="8" t="n"/>
      <c r="E575" s="8" t="n"/>
      <c r="F575" s="8" t="n"/>
      <c r="G575" s="8" t="n">
        <v>20503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>
        <f>IF(COUNT(D575:P575)=0,"",MIN(D575:P575))</f>
        <v/>
      </c>
      <c r="R575" s="8">
        <f>IF(COUNT(D575:P575)=0,"",MEDIAN(D575:P575))</f>
        <v/>
      </c>
      <c r="S575" s="8">
        <f>IF(COUNT(D575:P575)=0,"",MAX(D575:P575))</f>
        <v/>
      </c>
      <c r="T575" s="9">
        <f>IF(OR(Q575="",Q575=0),"",(S575-Q575)/Q575)</f>
        <v/>
      </c>
      <c r="U575" s="7">
        <f>IF(COUNT(D575:P575)=0,"",INDEX($D$1:$P$1,MATCH(MIN(D575:P575),D575:P575,0)))</f>
        <v/>
      </c>
      <c r="V575" s="8" t="n">
        <v>20503</v>
      </c>
      <c r="W575" s="10" t="n">
        <v>1</v>
      </c>
    </row>
    <row r="576">
      <c r="A576" s="7" t="inlineStr">
        <is>
          <t>MAT-09-063</t>
        </is>
      </c>
      <c r="B576" s="4" t="inlineStr">
        <is>
          <t>Calentador de agua eléctrico de 8 galones</t>
        </is>
      </c>
      <c r="C576" s="7" t="inlineStr">
        <is>
          <t>unidad</t>
        </is>
      </c>
      <c r="D576" s="8" t="n"/>
      <c r="E576" s="8" t="n"/>
      <c r="F576" s="8" t="n"/>
      <c r="G576" s="8" t="n">
        <v>11717</v>
      </c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>
        <f>IF(COUNT(D576:P576)=0,"",MIN(D576:P576))</f>
        <v/>
      </c>
      <c r="R576" s="8">
        <f>IF(COUNT(D576:P576)=0,"",MEDIAN(D576:P576))</f>
        <v/>
      </c>
      <c r="S576" s="8">
        <f>IF(COUNT(D576:P576)=0,"",MAX(D576:P576))</f>
        <v/>
      </c>
      <c r="T576" s="9">
        <f>IF(OR(Q576="",Q576=0),"",(S576-Q576)/Q576)</f>
        <v/>
      </c>
      <c r="U576" s="7">
        <f>IF(COUNT(D576:P576)=0,"",INDEX($D$1:$P$1,MATCH(MIN(D576:P576),D576:P576,0)))</f>
        <v/>
      </c>
      <c r="V576" s="8" t="n">
        <v>11717</v>
      </c>
      <c r="W576" s="10" t="n">
        <v>1</v>
      </c>
    </row>
    <row r="577">
      <c r="A577" s="7" t="inlineStr">
        <is>
          <t>MAT-09-064</t>
        </is>
      </c>
      <c r="B577" s="4" t="inlineStr">
        <is>
          <t>Cisterna de fibra de vidrio de 120 galones</t>
        </is>
      </c>
      <c r="C577" s="7" t="inlineStr">
        <is>
          <t>unidad</t>
        </is>
      </c>
      <c r="D577" s="8" t="n"/>
      <c r="E577" s="8" t="n"/>
      <c r="F577" s="8" t="n"/>
      <c r="G577" s="8" t="n">
        <v>17755</v>
      </c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>
        <f>IF(COUNT(D577:P577)=0,"",MIN(D577:P577))</f>
        <v/>
      </c>
      <c r="R577" s="8">
        <f>IF(COUNT(D577:P577)=0,"",MEDIAN(D577:P577))</f>
        <v/>
      </c>
      <c r="S577" s="8">
        <f>IF(COUNT(D577:P577)=0,"",MAX(D577:P577))</f>
        <v/>
      </c>
      <c r="T577" s="9">
        <f>IF(OR(Q577="",Q577=0),"",(S577-Q577)/Q577)</f>
        <v/>
      </c>
      <c r="U577" s="7">
        <f>IF(COUNT(D577:P577)=0,"",INDEX($D$1:$P$1,MATCH(MIN(D577:P577),D577:P577,0)))</f>
        <v/>
      </c>
      <c r="V577" s="8" t="n">
        <v>17755</v>
      </c>
      <c r="W577" s="10" t="n">
        <v>1</v>
      </c>
    </row>
    <row r="578">
      <c r="A578" s="7" t="inlineStr">
        <is>
          <t>MAT-09-065</t>
        </is>
      </c>
      <c r="B578" s="4" t="inlineStr">
        <is>
          <t>Cisterna de fibra de vidrio de 30 galones</t>
        </is>
      </c>
      <c r="C578" s="7" t="inlineStr">
        <is>
          <t>unidad</t>
        </is>
      </c>
      <c r="D578" s="8" t="n"/>
      <c r="E578" s="8" t="n"/>
      <c r="F578" s="8" t="n"/>
      <c r="G578" s="8" t="n">
        <v>5101</v>
      </c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>
        <f>IF(COUNT(D578:P578)=0,"",MIN(D578:P578))</f>
        <v/>
      </c>
      <c r="R578" s="8">
        <f>IF(COUNT(D578:P578)=0,"",MEDIAN(D578:P578))</f>
        <v/>
      </c>
      <c r="S578" s="8">
        <f>IF(COUNT(D578:P578)=0,"",MAX(D578:P578))</f>
        <v/>
      </c>
      <c r="T578" s="9">
        <f>IF(OR(Q578="",Q578=0),"",(S578-Q578)/Q578)</f>
        <v/>
      </c>
      <c r="U578" s="7">
        <f>IF(COUNT(D578:P578)=0,"",INDEX($D$1:$P$1,MATCH(MIN(D578:P578),D578:P578,0)))</f>
        <v/>
      </c>
      <c r="V578" s="8" t="n">
        <v>5101</v>
      </c>
      <c r="W578" s="10" t="n">
        <v>1</v>
      </c>
    </row>
    <row r="579">
      <c r="A579" s="7" t="inlineStr">
        <is>
          <t>MAT-09-066</t>
        </is>
      </c>
      <c r="B579" s="4" t="inlineStr">
        <is>
          <t>Cisterna de fibra de vidrio de 42 galones</t>
        </is>
      </c>
      <c r="C579" s="7" t="inlineStr">
        <is>
          <t>unidad</t>
        </is>
      </c>
      <c r="D579" s="8" t="n"/>
      <c r="E579" s="8" t="n"/>
      <c r="F579" s="8" t="n"/>
      <c r="G579" s="8" t="n">
        <v>7487</v>
      </c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>
        <f>IF(COUNT(D579:P579)=0,"",MIN(D579:P579))</f>
        <v/>
      </c>
      <c r="R579" s="8">
        <f>IF(COUNT(D579:P579)=0,"",MEDIAN(D579:P579))</f>
        <v/>
      </c>
      <c r="S579" s="8">
        <f>IF(COUNT(D579:P579)=0,"",MAX(D579:P579))</f>
        <v/>
      </c>
      <c r="T579" s="9">
        <f>IF(OR(Q579="",Q579=0),"",(S579-Q579)/Q579)</f>
        <v/>
      </c>
      <c r="U579" s="7">
        <f>IF(COUNT(D579:P579)=0,"",INDEX($D$1:$P$1,MATCH(MIN(D579:P579),D579:P579,0)))</f>
        <v/>
      </c>
      <c r="V579" s="8" t="n">
        <v>10852</v>
      </c>
      <c r="W579" s="10" t="n">
        <v>1</v>
      </c>
    </row>
    <row r="580">
      <c r="A580" s="7" t="inlineStr">
        <is>
          <t>MAT-09-067</t>
        </is>
      </c>
      <c r="B580" s="4" t="inlineStr">
        <is>
          <t>Cisterna de fibra de vidrio de 60 galones</t>
        </is>
      </c>
      <c r="C580" s="7" t="inlineStr">
        <is>
          <t>unidad</t>
        </is>
      </c>
      <c r="D580" s="8" t="n"/>
      <c r="E580" s="8" t="n"/>
      <c r="F580" s="8" t="n"/>
      <c r="G580" s="8" t="n">
        <v>10496</v>
      </c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>
        <f>IF(COUNT(D580:P580)=0,"",MIN(D580:P580))</f>
        <v/>
      </c>
      <c r="R580" s="8">
        <f>IF(COUNT(D580:P580)=0,"",MEDIAN(D580:P580))</f>
        <v/>
      </c>
      <c r="S580" s="8">
        <f>IF(COUNT(D580:P580)=0,"",MAX(D580:P580))</f>
        <v/>
      </c>
      <c r="T580" s="9">
        <f>IF(OR(Q580="",Q580=0),"",(S580-Q580)/Q580)</f>
        <v/>
      </c>
      <c r="U580" s="7">
        <f>IF(COUNT(D580:P580)=0,"",INDEX($D$1:$P$1,MATCH(MIN(D580:P580),D580:P580,0)))</f>
        <v/>
      </c>
      <c r="V580" s="8" t="n">
        <v>12989</v>
      </c>
      <c r="W580" s="10" t="n">
        <v>1</v>
      </c>
    </row>
    <row r="581">
      <c r="A581" s="7" t="inlineStr">
        <is>
          <t>MAT-09-068</t>
        </is>
      </c>
      <c r="B581" s="4" t="inlineStr">
        <is>
          <t>Cisterna de fibra de vidrio de 82 galones</t>
        </is>
      </c>
      <c r="C581" s="7" t="inlineStr">
        <is>
          <t>unidad</t>
        </is>
      </c>
      <c r="D581" s="8" t="n"/>
      <c r="E581" s="8" t="n"/>
      <c r="F581" s="8" t="n"/>
      <c r="G581" s="8" t="n">
        <v>9895</v>
      </c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>
        <f>IF(COUNT(D581:P581)=0,"",MIN(D581:P581))</f>
        <v/>
      </c>
      <c r="R581" s="8">
        <f>IF(COUNT(D581:P581)=0,"",MEDIAN(D581:P581))</f>
        <v/>
      </c>
      <c r="S581" s="8">
        <f>IF(COUNT(D581:P581)=0,"",MAX(D581:P581))</f>
        <v/>
      </c>
      <c r="T581" s="9">
        <f>IF(OR(Q581="",Q581=0),"",(S581-Q581)/Q581)</f>
        <v/>
      </c>
      <c r="U581" s="7">
        <f>IF(COUNT(D581:P581)=0,"",INDEX($D$1:$P$1,MATCH(MIN(D581:P581),D581:P581,0)))</f>
        <v/>
      </c>
      <c r="V581" s="8" t="n">
        <v>9895</v>
      </c>
      <c r="W581" s="10" t="n">
        <v>1</v>
      </c>
    </row>
    <row r="582">
      <c r="A582" s="7" t="inlineStr">
        <is>
          <t>MAT-09-069</t>
        </is>
      </c>
      <c r="B582" s="4" t="inlineStr">
        <is>
          <t>Tinaco de 1000 galones</t>
        </is>
      </c>
      <c r="C582" s="7" t="inlineStr">
        <is>
          <t>unidad</t>
        </is>
      </c>
      <c r="D582" s="8" t="n"/>
      <c r="E582" s="8" t="n">
        <v>35835</v>
      </c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>
        <f>IF(COUNT(D582:P582)=0,"",MIN(D582:P582))</f>
        <v/>
      </c>
      <c r="R582" s="8">
        <f>IF(COUNT(D582:P582)=0,"",MEDIAN(D582:P582))</f>
        <v/>
      </c>
      <c r="S582" s="8">
        <f>IF(COUNT(D582:P582)=0,"",MAX(D582:P582))</f>
        <v/>
      </c>
      <c r="T582" s="9">
        <f>IF(OR(Q582="",Q582=0),"",(S582-Q582)/Q582)</f>
        <v/>
      </c>
      <c r="U582" s="7">
        <f>IF(COUNT(D582:P582)=0,"",INDEX($D$1:$P$1,MATCH(MIN(D582:P582),D582:P582,0)))</f>
        <v/>
      </c>
      <c r="V582" s="8" t="n">
        <v>35835</v>
      </c>
      <c r="W582" s="10" t="n">
        <v>1</v>
      </c>
    </row>
    <row r="583">
      <c r="A583" s="7" t="inlineStr">
        <is>
          <t>MAT-09-070</t>
        </is>
      </c>
      <c r="B583" s="4" t="inlineStr">
        <is>
          <t>Tinaco de 1100 galones</t>
        </is>
      </c>
      <c r="C583" s="7" t="inlineStr">
        <is>
          <t>unidad</t>
        </is>
      </c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>
        <v>41115</v>
      </c>
      <c r="M583" s="8" t="n"/>
      <c r="N583" s="8" t="n"/>
      <c r="O583" s="8" t="n"/>
      <c r="P583" s="8" t="n"/>
      <c r="Q583" s="8">
        <f>IF(COUNT(D583:P583)=0,"",MIN(D583:P583))</f>
        <v/>
      </c>
      <c r="R583" s="8">
        <f>IF(COUNT(D583:P583)=0,"",MEDIAN(D583:P583))</f>
        <v/>
      </c>
      <c r="S583" s="8">
        <f>IF(COUNT(D583:P583)=0,"",MAX(D583:P583))</f>
        <v/>
      </c>
      <c r="T583" s="9">
        <f>IF(OR(Q583="",Q583=0),"",(S583-Q583)/Q583)</f>
        <v/>
      </c>
      <c r="U583" s="7">
        <f>IF(COUNT(D583:P583)=0,"",INDEX($D$1:$P$1,MATCH(MIN(D583:P583),D583:P583,0)))</f>
        <v/>
      </c>
      <c r="V583" s="8" t="n">
        <v>41115</v>
      </c>
      <c r="W583" s="10" t="n">
        <v>1</v>
      </c>
    </row>
    <row r="584">
      <c r="A584" s="7" t="inlineStr">
        <is>
          <t>MAT-09-071</t>
        </is>
      </c>
      <c r="B584" s="4" t="inlineStr">
        <is>
          <t>Tinaco de 145 galones</t>
        </is>
      </c>
      <c r="C584" s="7" t="inlineStr">
        <is>
          <t>unidad</t>
        </is>
      </c>
      <c r="D584" s="8" t="n"/>
      <c r="E584" s="8" t="n">
        <v>4990</v>
      </c>
      <c r="F584" s="8" t="n"/>
      <c r="G584" s="8" t="n"/>
      <c r="H584" s="8" t="n"/>
      <c r="I584" s="8" t="n"/>
      <c r="J584" s="8" t="n"/>
      <c r="K584" s="8" t="n"/>
      <c r="L584" s="8" t="n">
        <v>5385</v>
      </c>
      <c r="M584" s="8" t="n"/>
      <c r="N584" s="8" t="n"/>
      <c r="O584" s="8" t="n"/>
      <c r="P584" s="8" t="n"/>
      <c r="Q584" s="8">
        <f>IF(COUNT(D584:P584)=0,"",MIN(D584:P584))</f>
        <v/>
      </c>
      <c r="R584" s="8">
        <f>IF(COUNT(D584:P584)=0,"",MEDIAN(D584:P584))</f>
        <v/>
      </c>
      <c r="S584" s="8">
        <f>IF(COUNT(D584:P584)=0,"",MAX(D584:P584))</f>
        <v/>
      </c>
      <c r="T584" s="9">
        <f>IF(OR(Q584="",Q584=0),"",(S584-Q584)/Q584)</f>
        <v/>
      </c>
      <c r="U584" s="7">
        <f>IF(COUNT(D584:P584)=0,"",INDEX($D$1:$P$1,MATCH(MIN(D584:P584),D584:P584,0)))</f>
        <v/>
      </c>
      <c r="V584" s="8" t="n">
        <v>5385</v>
      </c>
      <c r="W584" s="10" t="n">
        <v>2</v>
      </c>
    </row>
    <row r="585">
      <c r="A585" s="7" t="inlineStr">
        <is>
          <t>MAT-09-072</t>
        </is>
      </c>
      <c r="B585" s="4" t="inlineStr">
        <is>
          <t>Tinaco de 200 galones</t>
        </is>
      </c>
      <c r="C585" s="7" t="inlineStr">
        <is>
          <t>unidad</t>
        </is>
      </c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>
        <v>10469.3</v>
      </c>
      <c r="M585" s="8" t="n"/>
      <c r="N585" s="8" t="n"/>
      <c r="O585" s="8" t="n"/>
      <c r="P585" s="8" t="n"/>
      <c r="Q585" s="8">
        <f>IF(COUNT(D585:P585)=0,"",MIN(D585:P585))</f>
        <v/>
      </c>
      <c r="R585" s="8">
        <f>IF(COUNT(D585:P585)=0,"",MEDIAN(D585:P585))</f>
        <v/>
      </c>
      <c r="S585" s="8">
        <f>IF(COUNT(D585:P585)=0,"",MAX(D585:P585))</f>
        <v/>
      </c>
      <c r="T585" s="9">
        <f>IF(OR(Q585="",Q585=0),"",(S585-Q585)/Q585)</f>
        <v/>
      </c>
      <c r="U585" s="7">
        <f>IF(COUNT(D585:P585)=0,"",INDEX($D$1:$P$1,MATCH(MIN(D585:P585),D585:P585,0)))</f>
        <v/>
      </c>
      <c r="V585" s="8" t="n">
        <v>10469.3</v>
      </c>
      <c r="W585" s="10" t="n">
        <v>1</v>
      </c>
    </row>
    <row r="586">
      <c r="A586" s="7" t="inlineStr">
        <is>
          <t>MAT-09-073</t>
        </is>
      </c>
      <c r="B586" s="4" t="inlineStr">
        <is>
          <t>Tinaco de 215 galones</t>
        </is>
      </c>
      <c r="C586" s="7" t="inlineStr">
        <is>
          <t>unidad</t>
        </is>
      </c>
      <c r="D586" s="8" t="n"/>
      <c r="E586" s="8" t="n">
        <v>6325</v>
      </c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>
        <f>IF(COUNT(D586:P586)=0,"",MIN(D586:P586))</f>
        <v/>
      </c>
      <c r="R586" s="8">
        <f>IF(COUNT(D586:P586)=0,"",MEDIAN(D586:P586))</f>
        <v/>
      </c>
      <c r="S586" s="8">
        <f>IF(COUNT(D586:P586)=0,"",MAX(D586:P586))</f>
        <v/>
      </c>
      <c r="T586" s="9">
        <f>IF(OR(Q586="",Q586=0),"",(S586-Q586)/Q586)</f>
        <v/>
      </c>
      <c r="U586" s="7">
        <f>IF(COUNT(D586:P586)=0,"",INDEX($D$1:$P$1,MATCH(MIN(D586:P586),D586:P586,0)))</f>
        <v/>
      </c>
      <c r="V586" s="8" t="n">
        <v>6325</v>
      </c>
      <c r="W586" s="10" t="n">
        <v>1</v>
      </c>
    </row>
    <row r="587">
      <c r="A587" s="7" t="inlineStr">
        <is>
          <t>MAT-09-074</t>
        </is>
      </c>
      <c r="B587" s="4" t="inlineStr">
        <is>
          <t>Tinaco de 250 galones</t>
        </is>
      </c>
      <c r="C587" s="7" t="inlineStr">
        <is>
          <t>unidad</t>
        </is>
      </c>
      <c r="D587" s="8" t="n"/>
      <c r="E587" s="8" t="n">
        <v>7125</v>
      </c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>
        <f>IF(COUNT(D587:P587)=0,"",MIN(D587:P587))</f>
        <v/>
      </c>
      <c r="R587" s="8">
        <f>IF(COUNT(D587:P587)=0,"",MEDIAN(D587:P587))</f>
        <v/>
      </c>
      <c r="S587" s="8">
        <f>IF(COUNT(D587:P587)=0,"",MAX(D587:P587))</f>
        <v/>
      </c>
      <c r="T587" s="9">
        <f>IF(OR(Q587="",Q587=0),"",(S587-Q587)/Q587)</f>
        <v/>
      </c>
      <c r="U587" s="7">
        <f>IF(COUNT(D587:P587)=0,"",INDEX($D$1:$P$1,MATCH(MIN(D587:P587),D587:P587,0)))</f>
        <v/>
      </c>
      <c r="V587" s="8" t="n">
        <v>7125</v>
      </c>
      <c r="W587" s="10" t="n">
        <v>1</v>
      </c>
    </row>
    <row r="588">
      <c r="A588" s="7" t="inlineStr">
        <is>
          <t>MAT-09-075</t>
        </is>
      </c>
      <c r="B588" s="4" t="inlineStr">
        <is>
          <t>Tinaco de 255 galones</t>
        </is>
      </c>
      <c r="C588" s="7" t="inlineStr">
        <is>
          <t>unidad</t>
        </is>
      </c>
      <c r="D588" s="8" t="n"/>
      <c r="E588" s="8" t="n">
        <v>7664</v>
      </c>
      <c r="F588" s="8" t="n"/>
      <c r="G588" s="8" t="n"/>
      <c r="H588" s="8" t="n"/>
      <c r="I588" s="8" t="n">
        <v>8375</v>
      </c>
      <c r="J588" s="8" t="n"/>
      <c r="K588" s="8" t="n"/>
      <c r="L588" s="8" t="n"/>
      <c r="M588" s="8" t="n"/>
      <c r="N588" s="8" t="n"/>
      <c r="O588" s="8" t="n"/>
      <c r="P588" s="8" t="n"/>
      <c r="Q588" s="8">
        <f>IF(COUNT(D588:P588)=0,"",MIN(D588:P588))</f>
        <v/>
      </c>
      <c r="R588" s="8">
        <f>IF(COUNT(D588:P588)=0,"",MEDIAN(D588:P588))</f>
        <v/>
      </c>
      <c r="S588" s="8">
        <f>IF(COUNT(D588:P588)=0,"",MAX(D588:P588))</f>
        <v/>
      </c>
      <c r="T588" s="9">
        <f>IF(OR(Q588="",Q588=0),"",(S588-Q588)/Q588)</f>
        <v/>
      </c>
      <c r="U588" s="7">
        <f>IF(COUNT(D588:P588)=0,"",INDEX($D$1:$P$1,MATCH(MIN(D588:P588),D588:P588,0)))</f>
        <v/>
      </c>
      <c r="V588" s="8" t="n">
        <v>8019.5</v>
      </c>
      <c r="W588" s="10" t="n">
        <v>2</v>
      </c>
    </row>
    <row r="589">
      <c r="A589" s="7" t="inlineStr">
        <is>
          <t>MAT-09-076</t>
        </is>
      </c>
      <c r="B589" s="4" t="inlineStr">
        <is>
          <t>Tinaco de 265 galones</t>
        </is>
      </c>
      <c r="C589" s="7" t="inlineStr">
        <is>
          <t>unidad</t>
        </is>
      </c>
      <c r="D589" s="8" t="n"/>
      <c r="E589" s="8" t="n">
        <v>8050</v>
      </c>
      <c r="F589" s="8" t="n"/>
      <c r="G589" s="8" t="n">
        <v>9555</v>
      </c>
      <c r="H589" s="8" t="n"/>
      <c r="I589" s="8" t="n"/>
      <c r="J589" s="8" t="n"/>
      <c r="K589" s="8" t="n"/>
      <c r="L589" s="8" t="n">
        <v>8585</v>
      </c>
      <c r="M589" s="8" t="n"/>
      <c r="N589" s="8" t="n"/>
      <c r="O589" s="8" t="n"/>
      <c r="P589" s="8" t="n"/>
      <c r="Q589" s="8">
        <f>IF(COUNT(D589:P589)=0,"",MIN(D589:P589))</f>
        <v/>
      </c>
      <c r="R589" s="8">
        <f>IF(COUNT(D589:P589)=0,"",MEDIAN(D589:P589))</f>
        <v/>
      </c>
      <c r="S589" s="8">
        <f>IF(COUNT(D589:P589)=0,"",MAX(D589:P589))</f>
        <v/>
      </c>
      <c r="T589" s="9">
        <f>IF(OR(Q589="",Q589=0),"",(S589-Q589)/Q589)</f>
        <v/>
      </c>
      <c r="U589" s="7">
        <f>IF(COUNT(D589:P589)=0,"",INDEX($D$1:$P$1,MATCH(MIN(D589:P589),D589:P589,0)))</f>
        <v/>
      </c>
      <c r="V589" s="8" t="n">
        <v>8585</v>
      </c>
      <c r="W589" s="10" t="n">
        <v>3</v>
      </c>
    </row>
    <row r="590">
      <c r="A590" s="7" t="inlineStr">
        <is>
          <t>MAT-09-077</t>
        </is>
      </c>
      <c r="B590" s="4" t="inlineStr">
        <is>
          <t>Tinaco de 295 galones</t>
        </is>
      </c>
      <c r="C590" s="7" t="inlineStr">
        <is>
          <t>unidad</t>
        </is>
      </c>
      <c r="D590" s="8" t="n"/>
      <c r="E590" s="8" t="n">
        <v>8105</v>
      </c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>
        <f>IF(COUNT(D590:P590)=0,"",MIN(D590:P590))</f>
        <v/>
      </c>
      <c r="R590" s="8">
        <f>IF(COUNT(D590:P590)=0,"",MEDIAN(D590:P590))</f>
        <v/>
      </c>
      <c r="S590" s="8">
        <f>IF(COUNT(D590:P590)=0,"",MAX(D590:P590))</f>
        <v/>
      </c>
      <c r="T590" s="9">
        <f>IF(OR(Q590="",Q590=0),"",(S590-Q590)/Q590)</f>
        <v/>
      </c>
      <c r="U590" s="7">
        <f>IF(COUNT(D590:P590)=0,"",INDEX($D$1:$P$1,MATCH(MIN(D590:P590),D590:P590,0)))</f>
        <v/>
      </c>
      <c r="V590" s="8" t="n">
        <v>8105</v>
      </c>
      <c r="W590" s="10" t="n">
        <v>1</v>
      </c>
    </row>
    <row r="591">
      <c r="A591" s="7" t="inlineStr">
        <is>
          <t>MAT-09-078</t>
        </is>
      </c>
      <c r="B591" s="4" t="inlineStr">
        <is>
          <t>Tinaco de 300 galones</t>
        </is>
      </c>
      <c r="C591" s="7" t="inlineStr">
        <is>
          <t>unidad</t>
        </is>
      </c>
      <c r="D591" s="8" t="n"/>
      <c r="E591" s="8" t="n">
        <v>7995</v>
      </c>
      <c r="F591" s="8" t="n"/>
      <c r="G591" s="8" t="n"/>
      <c r="H591" s="8" t="n"/>
      <c r="I591" s="8" t="n"/>
      <c r="J591" s="8" t="n"/>
      <c r="K591" s="8" t="n"/>
      <c r="L591" s="8" t="n">
        <v>9660</v>
      </c>
      <c r="M591" s="8" t="n"/>
      <c r="N591" s="8" t="n"/>
      <c r="O591" s="8" t="n"/>
      <c r="P591" s="8" t="n"/>
      <c r="Q591" s="8">
        <f>IF(COUNT(D591:P591)=0,"",MIN(D591:P591))</f>
        <v/>
      </c>
      <c r="R591" s="8">
        <f>IF(COUNT(D591:P591)=0,"",MEDIAN(D591:P591))</f>
        <v/>
      </c>
      <c r="S591" s="8">
        <f>IF(COUNT(D591:P591)=0,"",MAX(D591:P591))</f>
        <v/>
      </c>
      <c r="T591" s="9">
        <f>IF(OR(Q591="",Q591=0),"",(S591-Q591)/Q591)</f>
        <v/>
      </c>
      <c r="U591" s="7">
        <f>IF(COUNT(D591:P591)=0,"",INDEX($D$1:$P$1,MATCH(MIN(D591:P591),D591:P591,0)))</f>
        <v/>
      </c>
      <c r="V591" s="8" t="n">
        <v>9660</v>
      </c>
      <c r="W591" s="10" t="n">
        <v>2</v>
      </c>
    </row>
    <row r="592">
      <c r="A592" s="7" t="inlineStr">
        <is>
          <t>MAT-09-079</t>
        </is>
      </c>
      <c r="B592" s="4" t="inlineStr">
        <is>
          <t>Tinaco de 350 galones</t>
        </is>
      </c>
      <c r="C592" s="7" t="inlineStr">
        <is>
          <t>unidad</t>
        </is>
      </c>
      <c r="D592" s="8" t="n"/>
      <c r="E592" s="8" t="n">
        <v>9335</v>
      </c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>
        <f>IF(COUNT(D592:P592)=0,"",MIN(D592:P592))</f>
        <v/>
      </c>
      <c r="R592" s="8">
        <f>IF(COUNT(D592:P592)=0,"",MEDIAN(D592:P592))</f>
        <v/>
      </c>
      <c r="S592" s="8">
        <f>IF(COUNT(D592:P592)=0,"",MAX(D592:P592))</f>
        <v/>
      </c>
      <c r="T592" s="9">
        <f>IF(OR(Q592="",Q592=0),"",(S592-Q592)/Q592)</f>
        <v/>
      </c>
      <c r="U592" s="7">
        <f>IF(COUNT(D592:P592)=0,"",INDEX($D$1:$P$1,MATCH(MIN(D592:P592),D592:P592,0)))</f>
        <v/>
      </c>
      <c r="V592" s="8" t="n">
        <v>9335</v>
      </c>
      <c r="W592" s="10" t="n">
        <v>1</v>
      </c>
    </row>
    <row r="593">
      <c r="A593" s="7" t="inlineStr">
        <is>
          <t>MAT-09-080</t>
        </is>
      </c>
      <c r="B593" s="4" t="inlineStr">
        <is>
          <t>Tinaco de 400 galones</t>
        </is>
      </c>
      <c r="C593" s="7" t="inlineStr">
        <is>
          <t>unidad</t>
        </is>
      </c>
      <c r="D593" s="8" t="n"/>
      <c r="E593" s="8" t="n">
        <v>13140</v>
      </c>
      <c r="F593" s="8" t="n"/>
      <c r="G593" s="8" t="n"/>
      <c r="H593" s="8" t="n"/>
      <c r="I593" s="8" t="n"/>
      <c r="J593" s="8" t="n"/>
      <c r="K593" s="8" t="n"/>
      <c r="L593" s="8" t="n">
        <v>12125</v>
      </c>
      <c r="M593" s="8" t="n"/>
      <c r="N593" s="8" t="n"/>
      <c r="O593" s="8" t="n"/>
      <c r="P593" s="8" t="n"/>
      <c r="Q593" s="8">
        <f>IF(COUNT(D593:P593)=0,"",MIN(D593:P593))</f>
        <v/>
      </c>
      <c r="R593" s="8">
        <f>IF(COUNT(D593:P593)=0,"",MEDIAN(D593:P593))</f>
        <v/>
      </c>
      <c r="S593" s="8">
        <f>IF(COUNT(D593:P593)=0,"",MAX(D593:P593))</f>
        <v/>
      </c>
      <c r="T593" s="9">
        <f>IF(OR(Q593="",Q593=0),"",(S593-Q593)/Q593)</f>
        <v/>
      </c>
      <c r="U593" s="7">
        <f>IF(COUNT(D593:P593)=0,"",INDEX($D$1:$P$1,MATCH(MIN(D593:P593),D593:P593,0)))</f>
        <v/>
      </c>
      <c r="V593" s="8" t="n">
        <v>13140</v>
      </c>
      <c r="W593" s="10" t="n">
        <v>2</v>
      </c>
    </row>
    <row r="594">
      <c r="A594" s="7" t="inlineStr">
        <is>
          <t>MAT-09-081</t>
        </is>
      </c>
      <c r="B594" s="4" t="inlineStr">
        <is>
          <t>Tinaco de 500 galones</t>
        </is>
      </c>
      <c r="C594" s="7" t="inlineStr">
        <is>
          <t>unidad</t>
        </is>
      </c>
      <c r="D594" s="8" t="n"/>
      <c r="E594" s="8" t="n">
        <v>12940</v>
      </c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>
        <f>IF(COUNT(D594:P594)=0,"",MIN(D594:P594))</f>
        <v/>
      </c>
      <c r="R594" s="8">
        <f>IF(COUNT(D594:P594)=0,"",MEDIAN(D594:P594))</f>
        <v/>
      </c>
      <c r="S594" s="8">
        <f>IF(COUNT(D594:P594)=0,"",MAX(D594:P594))</f>
        <v/>
      </c>
      <c r="T594" s="9">
        <f>IF(OR(Q594="",Q594=0),"",(S594-Q594)/Q594)</f>
        <v/>
      </c>
      <c r="U594" s="7">
        <f>IF(COUNT(D594:P594)=0,"",INDEX($D$1:$P$1,MATCH(MIN(D594:P594),D594:P594,0)))</f>
        <v/>
      </c>
      <c r="V594" s="8" t="n">
        <v>12940</v>
      </c>
      <c r="W594" s="10" t="n">
        <v>1</v>
      </c>
    </row>
    <row r="595">
      <c r="A595" s="7" t="inlineStr">
        <is>
          <t>MAT-09-082</t>
        </is>
      </c>
      <c r="B595" s="4" t="inlineStr">
        <is>
          <t>Tinaco de 5000 galones</t>
        </is>
      </c>
      <c r="C595" s="7" t="inlineStr">
        <is>
          <t>unidad</t>
        </is>
      </c>
      <c r="D595" s="8" t="n"/>
      <c r="E595" s="8" t="n">
        <v>292790</v>
      </c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>
        <f>IF(COUNT(D595:P595)=0,"",MIN(D595:P595))</f>
        <v/>
      </c>
      <c r="R595" s="8">
        <f>IF(COUNT(D595:P595)=0,"",MEDIAN(D595:P595))</f>
        <v/>
      </c>
      <c r="S595" s="8">
        <f>IF(COUNT(D595:P595)=0,"",MAX(D595:P595))</f>
        <v/>
      </c>
      <c r="T595" s="9">
        <f>IF(OR(Q595="",Q595=0),"",(S595-Q595)/Q595)</f>
        <v/>
      </c>
      <c r="U595" s="7">
        <f>IF(COUNT(D595:P595)=0,"",INDEX($D$1:$P$1,MATCH(MIN(D595:P595),D595:P595,0)))</f>
        <v/>
      </c>
      <c r="V595" s="8" t="n">
        <v>292790</v>
      </c>
      <c r="W595" s="10" t="n">
        <v>1</v>
      </c>
    </row>
    <row r="596">
      <c r="A596" s="7" t="inlineStr">
        <is>
          <t>MAT-09-083</t>
        </is>
      </c>
      <c r="B596" s="4" t="inlineStr">
        <is>
          <t>Tinaco de 530 galones</t>
        </is>
      </c>
      <c r="C596" s="7" t="inlineStr">
        <is>
          <t>unidad</t>
        </is>
      </c>
      <c r="D596" s="8" t="n"/>
      <c r="E596" s="8" t="n">
        <v>14980</v>
      </c>
      <c r="F596" s="8" t="n"/>
      <c r="G596" s="8" t="n">
        <v>18535</v>
      </c>
      <c r="H596" s="8" t="n"/>
      <c r="I596" s="8" t="n"/>
      <c r="J596" s="8" t="n"/>
      <c r="K596" s="8" t="n"/>
      <c r="L596" s="8" t="n">
        <v>15331.46</v>
      </c>
      <c r="M596" s="8" t="n"/>
      <c r="N596" s="8" t="n"/>
      <c r="O596" s="8" t="n"/>
      <c r="P596" s="8" t="n"/>
      <c r="Q596" s="8">
        <f>IF(COUNT(D596:P596)=0,"",MIN(D596:P596))</f>
        <v/>
      </c>
      <c r="R596" s="8">
        <f>IF(COUNT(D596:P596)=0,"",MEDIAN(D596:P596))</f>
        <v/>
      </c>
      <c r="S596" s="8">
        <f>IF(COUNT(D596:P596)=0,"",MAX(D596:P596))</f>
        <v/>
      </c>
      <c r="T596" s="9">
        <f>IF(OR(Q596="",Q596=0),"",(S596-Q596)/Q596)</f>
        <v/>
      </c>
      <c r="U596" s="7">
        <f>IF(COUNT(D596:P596)=0,"",INDEX($D$1:$P$1,MATCH(MIN(D596:P596),D596:P596,0)))</f>
        <v/>
      </c>
      <c r="V596" s="8" t="n">
        <v>15223.23</v>
      </c>
      <c r="W596" s="10" t="n">
        <v>3</v>
      </c>
    </row>
    <row r="597">
      <c r="A597" s="7" t="inlineStr">
        <is>
          <t>MAT-09-085</t>
        </is>
      </c>
      <c r="B597" s="4" t="inlineStr">
        <is>
          <t>Tapa de cisterna de aluminio 24 x 24 pulgadas</t>
        </is>
      </c>
      <c r="C597" s="7" t="inlineStr">
        <is>
          <t>unidad</t>
        </is>
      </c>
      <c r="D597" s="8" t="n"/>
      <c r="E597" s="8" t="n"/>
      <c r="F597" s="8" t="n"/>
      <c r="G597" s="8" t="n">
        <v>3313</v>
      </c>
      <c r="H597" s="8" t="n"/>
      <c r="I597" s="8" t="n"/>
      <c r="J597" s="8" t="n"/>
      <c r="K597" s="8" t="n"/>
      <c r="L597" s="8" t="n">
        <v>3795</v>
      </c>
      <c r="M597" s="8" t="n"/>
      <c r="N597" s="8" t="n"/>
      <c r="O597" s="8" t="n"/>
      <c r="P597" s="8" t="n"/>
      <c r="Q597" s="8">
        <f>IF(COUNT(D597:P597)=0,"",MIN(D597:P597))</f>
        <v/>
      </c>
      <c r="R597" s="8">
        <f>IF(COUNT(D597:P597)=0,"",MEDIAN(D597:P597))</f>
        <v/>
      </c>
      <c r="S597" s="8">
        <f>IF(COUNT(D597:P597)=0,"",MAX(D597:P597))</f>
        <v/>
      </c>
      <c r="T597" s="9">
        <f>IF(OR(Q597="",Q597=0),"",(S597-Q597)/Q597)</f>
        <v/>
      </c>
      <c r="U597" s="7">
        <f>IF(COUNT(D597:P597)=0,"",INDEX($D$1:$P$1,MATCH(MIN(D597:P597),D597:P597,0)))</f>
        <v/>
      </c>
      <c r="V597" s="8" t="n">
        <v>3554</v>
      </c>
      <c r="W597" s="10" t="n">
        <v>2</v>
      </c>
    </row>
    <row r="598">
      <c r="A598" s="7" t="inlineStr">
        <is>
          <t>MAT-09-086</t>
        </is>
      </c>
      <c r="B598" s="4" t="inlineStr">
        <is>
          <t>Tapa de cisterna de aluminio 30 x 30 pulgadas</t>
        </is>
      </c>
      <c r="C598" s="7" t="inlineStr">
        <is>
          <t>unidad</t>
        </is>
      </c>
      <c r="D598" s="8" t="n"/>
      <c r="E598" s="8" t="n"/>
      <c r="F598" s="8" t="n"/>
      <c r="G598" s="8" t="n">
        <v>4503</v>
      </c>
      <c r="H598" s="8" t="n"/>
      <c r="I598" s="8" t="n"/>
      <c r="J598" s="8" t="n"/>
      <c r="K598" s="8" t="n"/>
      <c r="L598" s="8" t="n">
        <v>4745</v>
      </c>
      <c r="M598" s="8" t="n"/>
      <c r="N598" s="8" t="n"/>
      <c r="O598" s="8" t="n"/>
      <c r="P598" s="8" t="n"/>
      <c r="Q598" s="8">
        <f>IF(COUNT(D598:P598)=0,"",MIN(D598:P598))</f>
        <v/>
      </c>
      <c r="R598" s="8">
        <f>IF(COUNT(D598:P598)=0,"",MEDIAN(D598:P598))</f>
        <v/>
      </c>
      <c r="S598" s="8">
        <f>IF(COUNT(D598:P598)=0,"",MAX(D598:P598))</f>
        <v/>
      </c>
      <c r="T598" s="9">
        <f>IF(OR(Q598="",Q598=0),"",(S598-Q598)/Q598)</f>
        <v/>
      </c>
      <c r="U598" s="7">
        <f>IF(COUNT(D598:P598)=0,"",INDEX($D$1:$P$1,MATCH(MIN(D598:P598),D598:P598,0)))</f>
        <v/>
      </c>
      <c r="V598" s="8" t="n">
        <v>4624</v>
      </c>
      <c r="W598" s="10" t="n">
        <v>2</v>
      </c>
    </row>
    <row r="599">
      <c r="A599" s="7" t="inlineStr">
        <is>
          <t>MAT-09-087</t>
        </is>
      </c>
      <c r="B599" s="4" t="inlineStr">
        <is>
          <t>Tapa de cisterna de aluminio 33 x 33 pulgadas</t>
        </is>
      </c>
      <c r="C599" s="7" t="inlineStr">
        <is>
          <t>unidad</t>
        </is>
      </c>
      <c r="D599" s="8" t="n"/>
      <c r="E599" s="8" t="n"/>
      <c r="F599" s="8" t="n"/>
      <c r="G599" s="8" t="n">
        <v>3995</v>
      </c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>
        <f>IF(COUNT(D599:P599)=0,"",MIN(D599:P599))</f>
        <v/>
      </c>
      <c r="R599" s="8">
        <f>IF(COUNT(D599:P599)=0,"",MEDIAN(D599:P599))</f>
        <v/>
      </c>
      <c r="S599" s="8">
        <f>IF(COUNT(D599:P599)=0,"",MAX(D599:P599))</f>
        <v/>
      </c>
      <c r="T599" s="9">
        <f>IF(OR(Q599="",Q599=0),"",(S599-Q599)/Q599)</f>
        <v/>
      </c>
      <c r="U599" s="7">
        <f>IF(COUNT(D599:P599)=0,"",INDEX($D$1:$P$1,MATCH(MIN(D599:P599),D599:P599,0)))</f>
        <v/>
      </c>
      <c r="V599" s="8" t="n">
        <v>3995</v>
      </c>
      <c r="W599" s="10" t="n">
        <v>1</v>
      </c>
    </row>
    <row r="600">
      <c r="A600" s="7" t="inlineStr">
        <is>
          <t>MAT-09-088</t>
        </is>
      </c>
      <c r="B600" s="4" t="inlineStr">
        <is>
          <t>Boya para válvula de cisterna, 120 mm</t>
        </is>
      </c>
      <c r="C600" s="7" t="inlineStr">
        <is>
          <t>unidad</t>
        </is>
      </c>
      <c r="D600" s="8" t="n"/>
      <c r="E600" s="8" t="n"/>
      <c r="F600" s="8" t="n"/>
      <c r="G600" s="8" t="n">
        <v>295</v>
      </c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>
        <f>IF(COUNT(D600:P600)=0,"",MIN(D600:P600))</f>
        <v/>
      </c>
      <c r="R600" s="8">
        <f>IF(COUNT(D600:P600)=0,"",MEDIAN(D600:P600))</f>
        <v/>
      </c>
      <c r="S600" s="8">
        <f>IF(COUNT(D600:P600)=0,"",MAX(D600:P600))</f>
        <v/>
      </c>
      <c r="T600" s="9">
        <f>IF(OR(Q600="",Q600=0),"",(S600-Q600)/Q600)</f>
        <v/>
      </c>
      <c r="U600" s="7">
        <f>IF(COUNT(D600:P600)=0,"",INDEX($D$1:$P$1,MATCH(MIN(D600:P600),D600:P600,0)))</f>
        <v/>
      </c>
      <c r="V600" s="8" t="n">
        <v>295</v>
      </c>
      <c r="W600" s="10" t="n">
        <v>1</v>
      </c>
    </row>
    <row r="601">
      <c r="A601" s="7" t="inlineStr">
        <is>
          <t>MAT-09-089</t>
        </is>
      </c>
      <c r="B601" s="4" t="inlineStr">
        <is>
          <t>Boya para válvula de cisterna, 150 mm</t>
        </is>
      </c>
      <c r="C601" s="7" t="inlineStr">
        <is>
          <t>unidad</t>
        </is>
      </c>
      <c r="D601" s="8" t="n"/>
      <c r="E601" s="8" t="n"/>
      <c r="F601" s="8" t="n"/>
      <c r="G601" s="8" t="n">
        <v>375</v>
      </c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>
        <f>IF(COUNT(D601:P601)=0,"",MIN(D601:P601))</f>
        <v/>
      </c>
      <c r="R601" s="8">
        <f>IF(COUNT(D601:P601)=0,"",MEDIAN(D601:P601))</f>
        <v/>
      </c>
      <c r="S601" s="8">
        <f>IF(COUNT(D601:P601)=0,"",MAX(D601:P601))</f>
        <v/>
      </c>
      <c r="T601" s="9">
        <f>IF(OR(Q601="",Q601=0),"",(S601-Q601)/Q601)</f>
        <v/>
      </c>
      <c r="U601" s="7">
        <f>IF(COUNT(D601:P601)=0,"",INDEX($D$1:$P$1,MATCH(MIN(D601:P601),D601:P601,0)))</f>
        <v/>
      </c>
      <c r="V601" s="8" t="n">
        <v>375</v>
      </c>
      <c r="W601" s="10" t="n">
        <v>1</v>
      </c>
    </row>
    <row r="602">
      <c r="A602" s="7" t="inlineStr">
        <is>
          <t>MAT-09-090</t>
        </is>
      </c>
      <c r="B602" s="4" t="inlineStr">
        <is>
          <t>Boya para válvula de cisterna, 90 mm</t>
        </is>
      </c>
      <c r="C602" s="7" t="inlineStr">
        <is>
          <t>unidad</t>
        </is>
      </c>
      <c r="D602" s="8" t="n"/>
      <c r="E602" s="8" t="n"/>
      <c r="F602" s="8" t="n"/>
      <c r="G602" s="8" t="n">
        <v>160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>
        <f>IF(COUNT(D602:P602)=0,"",MIN(D602:P602))</f>
        <v/>
      </c>
      <c r="R602" s="8">
        <f>IF(COUNT(D602:P602)=0,"",MEDIAN(D602:P602))</f>
        <v/>
      </c>
      <c r="S602" s="8">
        <f>IF(COUNT(D602:P602)=0,"",MAX(D602:P602))</f>
        <v/>
      </c>
      <c r="T602" s="9">
        <f>IF(OR(Q602="",Q602=0),"",(S602-Q602)/Q602)</f>
        <v/>
      </c>
      <c r="U602" s="7">
        <f>IF(COUNT(D602:P602)=0,"",INDEX($D$1:$P$1,MATCH(MIN(D602:P602),D602:P602,0)))</f>
        <v/>
      </c>
      <c r="V602" s="8" t="n">
        <v>160</v>
      </c>
      <c r="W602" s="10" t="n">
        <v>1</v>
      </c>
    </row>
    <row r="603">
      <c r="A603" s="7" t="inlineStr">
        <is>
          <t>MAT-09-091</t>
        </is>
      </c>
      <c r="B603" s="4" t="inlineStr">
        <is>
          <t>Fregadero de un pozo, 10 x 9 pulgadas</t>
        </is>
      </c>
      <c r="C603" s="7" t="inlineStr">
        <is>
          <t>unidad</t>
        </is>
      </c>
      <c r="D603" s="8" t="n"/>
      <c r="E603" s="8" t="n"/>
      <c r="F603" s="8" t="n"/>
      <c r="G603" s="8" t="n"/>
      <c r="H603" s="8" t="n">
        <v>4000</v>
      </c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>
        <f>IF(COUNT(D603:P603)=0,"",MIN(D603:P603))</f>
        <v/>
      </c>
      <c r="R603" s="8">
        <f>IF(COUNT(D603:P603)=0,"",MEDIAN(D603:P603))</f>
        <v/>
      </c>
      <c r="S603" s="8">
        <f>IF(COUNT(D603:P603)=0,"",MAX(D603:P603))</f>
        <v/>
      </c>
      <c r="T603" s="9">
        <f>IF(OR(Q603="",Q603=0),"",(S603-Q603)/Q603)</f>
        <v/>
      </c>
      <c r="U603" s="7">
        <f>IF(COUNT(D603:P603)=0,"",INDEX($D$1:$P$1,MATCH(MIN(D603:P603),D603:P603,0)))</f>
        <v/>
      </c>
      <c r="V603" s="8" t="n">
        <v>4000</v>
      </c>
      <c r="W603" s="10" t="n">
        <v>1</v>
      </c>
    </row>
    <row r="604">
      <c r="A604" s="7" t="inlineStr">
        <is>
          <t>MAT-09-092</t>
        </is>
      </c>
      <c r="B604" s="4" t="inlineStr">
        <is>
          <t>Fregadero de un pozo, 15 x 15 pulgadas</t>
        </is>
      </c>
      <c r="C604" s="7" t="inlineStr">
        <is>
          <t>unidad</t>
        </is>
      </c>
      <c r="D604" s="8" t="n"/>
      <c r="E604" s="8" t="n"/>
      <c r="F604" s="8" t="n"/>
      <c r="G604" s="8" t="n">
        <v>1425</v>
      </c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>
        <f>IF(COUNT(D604:P604)=0,"",MIN(D604:P604))</f>
        <v/>
      </c>
      <c r="R604" s="8">
        <f>IF(COUNT(D604:P604)=0,"",MEDIAN(D604:P604))</f>
        <v/>
      </c>
      <c r="S604" s="8">
        <f>IF(COUNT(D604:P604)=0,"",MAX(D604:P604))</f>
        <v/>
      </c>
      <c r="T604" s="9">
        <f>IF(OR(Q604="",Q604=0),"",(S604-Q604)/Q604)</f>
        <v/>
      </c>
      <c r="U604" s="7">
        <f>IF(COUNT(D604:P604)=0,"",INDEX($D$1:$P$1,MATCH(MIN(D604:P604),D604:P604,0)))</f>
        <v/>
      </c>
      <c r="V604" s="8" t="n">
        <v>1425</v>
      </c>
      <c r="W604" s="10" t="n">
        <v>1</v>
      </c>
    </row>
    <row r="605">
      <c r="A605" s="7" t="inlineStr">
        <is>
          <t>MAT-09-093</t>
        </is>
      </c>
      <c r="B605" s="4" t="inlineStr">
        <is>
          <t>Fregadero de un pozo, 16 x 13 pulgadas</t>
        </is>
      </c>
      <c r="C605" s="7" t="inlineStr">
        <is>
          <t>unidad</t>
        </is>
      </c>
      <c r="D605" s="8" t="n"/>
      <c r="E605" s="8" t="n"/>
      <c r="F605" s="8" t="n">
        <v>2764.6</v>
      </c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>
        <f>IF(COUNT(D605:P605)=0,"",MIN(D605:P605))</f>
        <v/>
      </c>
      <c r="R605" s="8">
        <f>IF(COUNT(D605:P605)=0,"",MEDIAN(D605:P605))</f>
        <v/>
      </c>
      <c r="S605" s="8">
        <f>IF(COUNT(D605:P605)=0,"",MAX(D605:P605))</f>
        <v/>
      </c>
      <c r="T605" s="9">
        <f>IF(OR(Q605="",Q605=0),"",(S605-Q605)/Q605)</f>
        <v/>
      </c>
      <c r="U605" s="7">
        <f>IF(COUNT(D605:P605)=0,"",INDEX($D$1:$P$1,MATCH(MIN(D605:P605),D605:P605,0)))</f>
        <v/>
      </c>
      <c r="V605" s="8" t="n">
        <v>3262.23</v>
      </c>
      <c r="W605" s="10" t="n">
        <v>1</v>
      </c>
    </row>
    <row r="606">
      <c r="A606" s="7" t="inlineStr">
        <is>
          <t>MAT-09-094</t>
        </is>
      </c>
      <c r="B606" s="4" t="inlineStr">
        <is>
          <t>Fregadero de un pozo, 19 x 13 pulgadas</t>
        </is>
      </c>
      <c r="C606" s="7" t="inlineStr">
        <is>
          <t>unidad</t>
        </is>
      </c>
      <c r="D606" s="8" t="n"/>
      <c r="E606" s="8" t="n"/>
      <c r="F606" s="8" t="n">
        <v>2753.38</v>
      </c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>
        <f>IF(COUNT(D606:P606)=0,"",MIN(D606:P606))</f>
        <v/>
      </c>
      <c r="R606" s="8">
        <f>IF(COUNT(D606:P606)=0,"",MEDIAN(D606:P606))</f>
        <v/>
      </c>
      <c r="S606" s="8">
        <f>IF(COUNT(D606:P606)=0,"",MAX(D606:P606))</f>
        <v/>
      </c>
      <c r="T606" s="9">
        <f>IF(OR(Q606="",Q606=0),"",(S606-Q606)/Q606)</f>
        <v/>
      </c>
      <c r="U606" s="7">
        <f>IF(COUNT(D606:P606)=0,"",INDEX($D$1:$P$1,MATCH(MIN(D606:P606),D606:P606,0)))</f>
        <v/>
      </c>
      <c r="V606" s="8" t="n">
        <v>3248.99</v>
      </c>
      <c r="W606" s="10" t="n">
        <v>1</v>
      </c>
    </row>
    <row r="607">
      <c r="A607" s="7" t="inlineStr">
        <is>
          <t>MAT-09-095</t>
        </is>
      </c>
      <c r="B607" s="4" t="inlineStr">
        <is>
          <t>Fregadero de un pozo, 20 x 16 pulgadas</t>
        </is>
      </c>
      <c r="C607" s="7" t="inlineStr">
        <is>
          <t>unidad</t>
        </is>
      </c>
      <c r="D607" s="8" t="n"/>
      <c r="E607" s="8" t="n"/>
      <c r="F607" s="8" t="n">
        <v>16794.81</v>
      </c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>
        <f>IF(COUNT(D607:P607)=0,"",MIN(D607:P607))</f>
        <v/>
      </c>
      <c r="R607" s="8">
        <f>IF(COUNT(D607:P607)=0,"",MEDIAN(D607:P607))</f>
        <v/>
      </c>
      <c r="S607" s="8">
        <f>IF(COUNT(D607:P607)=0,"",MAX(D607:P607))</f>
        <v/>
      </c>
      <c r="T607" s="9">
        <f>IF(OR(Q607="",Q607=0),"",(S607-Q607)/Q607)</f>
        <v/>
      </c>
      <c r="U607" s="7">
        <f>IF(COUNT(D607:P607)=0,"",INDEX($D$1:$P$1,MATCH(MIN(D607:P607),D607:P607,0)))</f>
        <v/>
      </c>
      <c r="V607" s="8" t="n">
        <v>19817.88</v>
      </c>
      <c r="W607" s="10" t="n">
        <v>1</v>
      </c>
    </row>
    <row r="608">
      <c r="A608" s="7" t="inlineStr">
        <is>
          <t>MAT-09-096</t>
        </is>
      </c>
      <c r="B608" s="4" t="inlineStr">
        <is>
          <t>Fregadero de un pozo, 22 x 13 pulgadas</t>
        </is>
      </c>
      <c r="C608" s="7" t="inlineStr">
        <is>
          <t>unidad</t>
        </is>
      </c>
      <c r="D608" s="8" t="n"/>
      <c r="E608" s="8" t="n"/>
      <c r="F608" s="8" t="n">
        <v>4600.63</v>
      </c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>
        <f>IF(COUNT(D608:P608)=0,"",MIN(D608:P608))</f>
        <v/>
      </c>
      <c r="R608" s="8">
        <f>IF(COUNT(D608:P608)=0,"",MEDIAN(D608:P608))</f>
        <v/>
      </c>
      <c r="S608" s="8">
        <f>IF(COUNT(D608:P608)=0,"",MAX(D608:P608))</f>
        <v/>
      </c>
      <c r="T608" s="9">
        <f>IF(OR(Q608="",Q608=0),"",(S608-Q608)/Q608)</f>
        <v/>
      </c>
      <c r="U608" s="7">
        <f>IF(COUNT(D608:P608)=0,"",INDEX($D$1:$P$1,MATCH(MIN(D608:P608),D608:P608,0)))</f>
        <v/>
      </c>
      <c r="V608" s="8" t="n">
        <v>5428.74</v>
      </c>
      <c r="W608" s="10" t="n">
        <v>1</v>
      </c>
    </row>
    <row r="609">
      <c r="A609" s="7" t="inlineStr">
        <is>
          <t>MAT-09-097</t>
        </is>
      </c>
      <c r="B609" s="4" t="inlineStr">
        <is>
          <t>Fregadero de un pozo, 24 x 19 pulgadas</t>
        </is>
      </c>
      <c r="C609" s="7" t="inlineStr">
        <is>
          <t>unidad</t>
        </is>
      </c>
      <c r="D609" s="8" t="n"/>
      <c r="E609" s="8" t="n"/>
      <c r="F609" s="8" t="n">
        <v>15492.89</v>
      </c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>
        <f>IF(COUNT(D609:P609)=0,"",MIN(D609:P609))</f>
        <v/>
      </c>
      <c r="R609" s="8">
        <f>IF(COUNT(D609:P609)=0,"",MEDIAN(D609:P609))</f>
        <v/>
      </c>
      <c r="S609" s="8">
        <f>IF(COUNT(D609:P609)=0,"",MAX(D609:P609))</f>
        <v/>
      </c>
      <c r="T609" s="9">
        <f>IF(OR(Q609="",Q609=0),"",(S609-Q609)/Q609)</f>
        <v/>
      </c>
      <c r="U609" s="7">
        <f>IF(COUNT(D609:P609)=0,"",INDEX($D$1:$P$1,MATCH(MIN(D609:P609),D609:P609,0)))</f>
        <v/>
      </c>
      <c r="V609" s="8" t="n">
        <v>18281.61</v>
      </c>
      <c r="W609" s="10" t="n">
        <v>1</v>
      </c>
    </row>
    <row r="610">
      <c r="A610" s="7" t="inlineStr">
        <is>
          <t>MAT-09-098</t>
        </is>
      </c>
      <c r="B610" s="4" t="inlineStr">
        <is>
          <t>Fregadero de un pozo, 28 x 16 pulgadas</t>
        </is>
      </c>
      <c r="C610" s="7" t="inlineStr">
        <is>
          <t>unidad</t>
        </is>
      </c>
      <c r="D610" s="8" t="n"/>
      <c r="E610" s="8" t="n"/>
      <c r="F610" s="8" t="n">
        <v>18365.37</v>
      </c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>
        <f>IF(COUNT(D610:P610)=0,"",MIN(D610:P610))</f>
        <v/>
      </c>
      <c r="R610" s="8">
        <f>IF(COUNT(D610:P610)=0,"",MEDIAN(D610:P610))</f>
        <v/>
      </c>
      <c r="S610" s="8">
        <f>IF(COUNT(D610:P610)=0,"",MAX(D610:P610))</f>
        <v/>
      </c>
      <c r="T610" s="9">
        <f>IF(OR(Q610="",Q610=0),"",(S610-Q610)/Q610)</f>
        <v/>
      </c>
      <c r="U610" s="7">
        <f>IF(COUNT(D610:P610)=0,"",INDEX($D$1:$P$1,MATCH(MIN(D610:P610),D610:P610,0)))</f>
        <v/>
      </c>
      <c r="V610" s="8" t="n">
        <v>21671.14</v>
      </c>
      <c r="W610" s="10" t="n">
        <v>1</v>
      </c>
    </row>
    <row r="611">
      <c r="A611" s="7" t="inlineStr">
        <is>
          <t>MAT-09-099</t>
        </is>
      </c>
      <c r="B611" s="4" t="inlineStr">
        <is>
          <t>Fregadero de un pozo, 29 x 16 pulgadas</t>
        </is>
      </c>
      <c r="C611" s="7" t="inlineStr">
        <is>
          <t>unidad</t>
        </is>
      </c>
      <c r="D611" s="8" t="n"/>
      <c r="E611" s="8" t="n"/>
      <c r="F611" s="8" t="n">
        <v>23956.99</v>
      </c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>
        <f>IF(COUNT(D611:P611)=0,"",MIN(D611:P611))</f>
        <v/>
      </c>
      <c r="R611" s="8">
        <f>IF(COUNT(D611:P611)=0,"",MEDIAN(D611:P611))</f>
        <v/>
      </c>
      <c r="S611" s="8">
        <f>IF(COUNT(D611:P611)=0,"",MAX(D611:P611))</f>
        <v/>
      </c>
      <c r="T611" s="9">
        <f>IF(OR(Q611="",Q611=0),"",(S611-Q611)/Q611)</f>
        <v/>
      </c>
      <c r="U611" s="7">
        <f>IF(COUNT(D611:P611)=0,"",INDEX($D$1:$P$1,MATCH(MIN(D611:P611),D611:P611,0)))</f>
        <v/>
      </c>
      <c r="V611" s="8" t="n">
        <v>28269.25</v>
      </c>
      <c r="W611" s="10" t="n">
        <v>1</v>
      </c>
    </row>
    <row r="612">
      <c r="A612" s="7" t="inlineStr">
        <is>
          <t>MAT-09-100</t>
        </is>
      </c>
      <c r="B612" s="4" t="inlineStr">
        <is>
          <t>Fregadero de un pozo, 31 x 20 pulgadas</t>
        </is>
      </c>
      <c r="C612" s="7" t="inlineStr">
        <is>
          <t>unidad</t>
        </is>
      </c>
      <c r="D612" s="8" t="n"/>
      <c r="E612" s="8" t="n"/>
      <c r="F612" s="8" t="n"/>
      <c r="G612" s="8" t="n"/>
      <c r="H612" s="8" t="n"/>
      <c r="I612" s="8" t="n">
        <v>1635</v>
      </c>
      <c r="J612" s="8" t="n"/>
      <c r="K612" s="8" t="n"/>
      <c r="L612" s="8" t="n"/>
      <c r="M612" s="8" t="n"/>
      <c r="N612" s="8" t="n"/>
      <c r="O612" s="8" t="n"/>
      <c r="P612" s="8" t="n"/>
      <c r="Q612" s="8">
        <f>IF(COUNT(D612:P612)=0,"",MIN(D612:P612))</f>
        <v/>
      </c>
      <c r="R612" s="8">
        <f>IF(COUNT(D612:P612)=0,"",MEDIAN(D612:P612))</f>
        <v/>
      </c>
      <c r="S612" s="8">
        <f>IF(COUNT(D612:P612)=0,"",MAX(D612:P612))</f>
        <v/>
      </c>
      <c r="T612" s="9">
        <f>IF(OR(Q612="",Q612=0),"",(S612-Q612)/Q612)</f>
        <v/>
      </c>
      <c r="U612" s="7">
        <f>IF(COUNT(D612:P612)=0,"",INDEX($D$1:$P$1,MATCH(MIN(D612:P612),D612:P612,0)))</f>
        <v/>
      </c>
      <c r="V612" s="8" t="n">
        <v>1635</v>
      </c>
      <c r="W612" s="10" t="n">
        <v>1</v>
      </c>
    </row>
    <row r="613">
      <c r="A613" s="7" t="inlineStr">
        <is>
          <t>MAT-09-101</t>
        </is>
      </c>
      <c r="B613" s="4" t="inlineStr">
        <is>
          <t>Fregadero de un pozo, 8 x 8 pulgadas</t>
        </is>
      </c>
      <c r="C613" s="7" t="inlineStr">
        <is>
          <t>unidad</t>
        </is>
      </c>
      <c r="D613" s="8" t="n"/>
      <c r="E613" s="8" t="n"/>
      <c r="F613" s="8" t="n"/>
      <c r="G613" s="8" t="n"/>
      <c r="H613" s="8" t="n">
        <v>74.84999999999999</v>
      </c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>
        <f>IF(COUNT(D613:P613)=0,"",MIN(D613:P613))</f>
        <v/>
      </c>
      <c r="R613" s="8">
        <f>IF(COUNT(D613:P613)=0,"",MEDIAN(D613:P613))</f>
        <v/>
      </c>
      <c r="S613" s="8">
        <f>IF(COUNT(D613:P613)=0,"",MAX(D613:P613))</f>
        <v/>
      </c>
      <c r="T613" s="9">
        <f>IF(OR(Q613="",Q613=0),"",(S613-Q613)/Q613)</f>
        <v/>
      </c>
      <c r="U613" s="7">
        <f>IF(COUNT(D613:P613)=0,"",INDEX($D$1:$P$1,MATCH(MIN(D613:P613),D613:P613,0)))</f>
        <v/>
      </c>
      <c r="V613" s="8" t="n">
        <v>74.84999999999999</v>
      </c>
      <c r="W613" s="10" t="n">
        <v>1</v>
      </c>
    </row>
    <row r="614">
      <c r="A614" s="7" t="inlineStr">
        <is>
          <t>MAT-09-102</t>
        </is>
      </c>
      <c r="B614" s="4" t="inlineStr">
        <is>
          <t>Fregadero de un pozo, 9 x 7 pulgadas</t>
        </is>
      </c>
      <c r="C614" s="7" t="inlineStr">
        <is>
          <t>unidad</t>
        </is>
      </c>
      <c r="D614" s="8" t="n"/>
      <c r="E614" s="8" t="n"/>
      <c r="F614" s="8" t="n"/>
      <c r="G614" s="8" t="n"/>
      <c r="H614" s="8" t="n">
        <v>5265.16</v>
      </c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>
        <f>IF(COUNT(D614:P614)=0,"",MIN(D614:P614))</f>
        <v/>
      </c>
      <c r="R614" s="8">
        <f>IF(COUNT(D614:P614)=0,"",MEDIAN(D614:P614))</f>
        <v/>
      </c>
      <c r="S614" s="8">
        <f>IF(COUNT(D614:P614)=0,"",MAX(D614:P614))</f>
        <v/>
      </c>
      <c r="T614" s="9">
        <f>IF(OR(Q614="",Q614=0),"",(S614-Q614)/Q614)</f>
        <v/>
      </c>
      <c r="U614" s="7">
        <f>IF(COUNT(D614:P614)=0,"",INDEX($D$1:$P$1,MATCH(MIN(D614:P614),D614:P614,0)))</f>
        <v/>
      </c>
      <c r="V614" s="8" t="n">
        <v>5265.16</v>
      </c>
      <c r="W614" s="10" t="n">
        <v>1</v>
      </c>
    </row>
    <row r="615">
      <c r="A615" s="7" t="inlineStr">
        <is>
          <t>MAT-09-103</t>
        </is>
      </c>
      <c r="B615" s="4" t="inlineStr">
        <is>
          <t>Fregadero de un pozo, medida estándar</t>
        </is>
      </c>
      <c r="C615" s="7" t="inlineStr">
        <is>
          <t>unidad</t>
        </is>
      </c>
      <c r="D615" s="8" t="n"/>
      <c r="E615" s="8" t="n"/>
      <c r="F615" s="8" t="n"/>
      <c r="G615" s="8" t="n">
        <v>3040</v>
      </c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>
        <f>IF(COUNT(D615:P615)=0,"",MIN(D615:P615))</f>
        <v/>
      </c>
      <c r="R615" s="8">
        <f>IF(COUNT(D615:P615)=0,"",MEDIAN(D615:P615))</f>
        <v/>
      </c>
      <c r="S615" s="8">
        <f>IF(COUNT(D615:P615)=0,"",MAX(D615:P615))</f>
        <v/>
      </c>
      <c r="T615" s="9">
        <f>IF(OR(Q615="",Q615=0),"",(S615-Q615)/Q615)</f>
        <v/>
      </c>
      <c r="U615" s="7">
        <f>IF(COUNT(D615:P615)=0,"",INDEX($D$1:$P$1,MATCH(MIN(D615:P615),D615:P615,0)))</f>
        <v/>
      </c>
      <c r="V615" s="8" t="n">
        <v>3040</v>
      </c>
      <c r="W615" s="10" t="n">
        <v>1</v>
      </c>
    </row>
    <row r="616">
      <c r="A616" s="7" t="inlineStr">
        <is>
          <t>MAT-09-104</t>
        </is>
      </c>
      <c r="B616" s="4" t="inlineStr">
        <is>
          <t>Fregadero de 2 pozos, 28 x 16 pulgadas</t>
        </is>
      </c>
      <c r="C616" s="7" t="inlineStr">
        <is>
          <t>unidad</t>
        </is>
      </c>
      <c r="D616" s="8" t="n"/>
      <c r="E616" s="8" t="n"/>
      <c r="F616" s="8" t="n">
        <v>11376</v>
      </c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>
        <f>IF(COUNT(D616:P616)=0,"",MIN(D616:P616))</f>
        <v/>
      </c>
      <c r="R616" s="8">
        <f>IF(COUNT(D616:P616)=0,"",MEDIAN(D616:P616))</f>
        <v/>
      </c>
      <c r="S616" s="8">
        <f>IF(COUNT(D616:P616)=0,"",MAX(D616:P616))</f>
        <v/>
      </c>
      <c r="T616" s="9">
        <f>IF(OR(Q616="",Q616=0),"",(S616-Q616)/Q616)</f>
        <v/>
      </c>
      <c r="U616" s="7">
        <f>IF(COUNT(D616:P616)=0,"",INDEX($D$1:$P$1,MATCH(MIN(D616:P616),D616:P616,0)))</f>
        <v/>
      </c>
      <c r="V616" s="8" t="n">
        <v>13423.68</v>
      </c>
      <c r="W616" s="10" t="n">
        <v>1</v>
      </c>
    </row>
    <row r="617">
      <c r="A617" s="7" t="inlineStr">
        <is>
          <t>MAT-09-105</t>
        </is>
      </c>
      <c r="B617" s="4" t="inlineStr">
        <is>
          <t>Fregadero de 2 pozos, 31 x 18 pulgadas</t>
        </is>
      </c>
      <c r="C617" s="7" t="inlineStr">
        <is>
          <t>unidad</t>
        </is>
      </c>
      <c r="D617" s="8" t="n"/>
      <c r="E617" s="8" t="n"/>
      <c r="F617" s="8" t="n">
        <v>18165.28</v>
      </c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>
        <f>IF(COUNT(D617:P617)=0,"",MIN(D617:P617))</f>
        <v/>
      </c>
      <c r="R617" s="8">
        <f>IF(COUNT(D617:P617)=0,"",MEDIAN(D617:P617))</f>
        <v/>
      </c>
      <c r="S617" s="8">
        <f>IF(COUNT(D617:P617)=0,"",MAX(D617:P617))</f>
        <v/>
      </c>
      <c r="T617" s="9">
        <f>IF(OR(Q617="",Q617=0),"",(S617-Q617)/Q617)</f>
        <v/>
      </c>
      <c r="U617" s="7">
        <f>IF(COUNT(D617:P617)=0,"",INDEX($D$1:$P$1,MATCH(MIN(D617:P617),D617:P617,0)))</f>
        <v/>
      </c>
      <c r="V617" s="8" t="n">
        <v>37416.26</v>
      </c>
      <c r="W617" s="10" t="n">
        <v>1</v>
      </c>
    </row>
    <row r="618">
      <c r="A618" s="7" t="inlineStr">
        <is>
          <t>MAT-09-106</t>
        </is>
      </c>
      <c r="B618" s="4" t="inlineStr">
        <is>
          <t>Fregadero de 2 pozos, 31 x 19 pulgadas</t>
        </is>
      </c>
      <c r="C618" s="7" t="inlineStr">
        <is>
          <t>unidad</t>
        </is>
      </c>
      <c r="D618" s="8" t="n"/>
      <c r="E618" s="8" t="n"/>
      <c r="F618" s="8" t="n">
        <v>17852.79</v>
      </c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>
        <f>IF(COUNT(D618:P618)=0,"",MIN(D618:P618))</f>
        <v/>
      </c>
      <c r="R618" s="8">
        <f>IF(COUNT(D618:P618)=0,"",MEDIAN(D618:P618))</f>
        <v/>
      </c>
      <c r="S618" s="8">
        <f>IF(COUNT(D618:P618)=0,"",MAX(D618:P618))</f>
        <v/>
      </c>
      <c r="T618" s="9">
        <f>IF(OR(Q618="",Q618=0),"",(S618-Q618)/Q618)</f>
        <v/>
      </c>
      <c r="U618" s="7">
        <f>IF(COUNT(D618:P618)=0,"",INDEX($D$1:$P$1,MATCH(MIN(D618:P618),D618:P618,0)))</f>
        <v/>
      </c>
      <c r="V618" s="8" t="n">
        <v>21066.29</v>
      </c>
      <c r="W618" s="10" t="n">
        <v>1</v>
      </c>
    </row>
    <row r="619">
      <c r="A619" s="7" t="inlineStr">
        <is>
          <t>MAT-09-107</t>
        </is>
      </c>
      <c r="B619" s="4" t="inlineStr">
        <is>
          <t>Fregadero de 2 pozos, 31 x 20 pulgadas</t>
        </is>
      </c>
      <c r="C619" s="7" t="inlineStr">
        <is>
          <t>unidad</t>
        </is>
      </c>
      <c r="D619" s="8" t="n"/>
      <c r="E619" s="8" t="n"/>
      <c r="F619" s="8" t="n">
        <v>5594.18</v>
      </c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>
        <f>IF(COUNT(D619:P619)=0,"",MIN(D619:P619))</f>
        <v/>
      </c>
      <c r="R619" s="8">
        <f>IF(COUNT(D619:P619)=0,"",MEDIAN(D619:P619))</f>
        <v/>
      </c>
      <c r="S619" s="8">
        <f>IF(COUNT(D619:P619)=0,"",MAX(D619:P619))</f>
        <v/>
      </c>
      <c r="T619" s="9">
        <f>IF(OR(Q619="",Q619=0),"",(S619-Q619)/Q619)</f>
        <v/>
      </c>
      <c r="U619" s="7">
        <f>IF(COUNT(D619:P619)=0,"",INDEX($D$1:$P$1,MATCH(MIN(D619:P619),D619:P619,0)))</f>
        <v/>
      </c>
      <c r="V619" s="8" t="n">
        <v>13464.3</v>
      </c>
      <c r="W619" s="10" t="n">
        <v>1</v>
      </c>
    </row>
    <row r="620">
      <c r="A620" s="7" t="inlineStr">
        <is>
          <t>MAT-09-108</t>
        </is>
      </c>
      <c r="B620" s="4" t="inlineStr">
        <is>
          <t>Fregadero de 2 pozos, 33 x 14 pulgadas</t>
        </is>
      </c>
      <c r="C620" s="7" t="inlineStr">
        <is>
          <t>unidad</t>
        </is>
      </c>
      <c r="D620" s="8" t="n"/>
      <c r="E620" s="8" t="n"/>
      <c r="F620" s="8" t="n">
        <v>11166.49</v>
      </c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>
        <f>IF(COUNT(D620:P620)=0,"",MIN(D620:P620))</f>
        <v/>
      </c>
      <c r="R620" s="8">
        <f>IF(COUNT(D620:P620)=0,"",MEDIAN(D620:P620))</f>
        <v/>
      </c>
      <c r="S620" s="8">
        <f>IF(COUNT(D620:P620)=0,"",MAX(D620:P620))</f>
        <v/>
      </c>
      <c r="T620" s="9">
        <f>IF(OR(Q620="",Q620=0),"",(S620-Q620)/Q620)</f>
        <v/>
      </c>
      <c r="U620" s="7">
        <f>IF(COUNT(D620:P620)=0,"",INDEX($D$1:$P$1,MATCH(MIN(D620:P620),D620:P620,0)))</f>
        <v/>
      </c>
      <c r="V620" s="8" t="n">
        <v>13176.46</v>
      </c>
      <c r="W620" s="10" t="n">
        <v>1</v>
      </c>
    </row>
    <row r="621">
      <c r="A621" s="7" t="inlineStr">
        <is>
          <t>MAT-09-109</t>
        </is>
      </c>
      <c r="B621" s="4" t="inlineStr">
        <is>
          <t>Fregadero de 2 pozos, 33 x 19 pulgadas</t>
        </is>
      </c>
      <c r="C621" s="7" t="inlineStr">
        <is>
          <t>unidad</t>
        </is>
      </c>
      <c r="D621" s="8" t="n"/>
      <c r="E621" s="8" t="n"/>
      <c r="F621" s="8" t="n"/>
      <c r="G621" s="8" t="n">
        <v>3285</v>
      </c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>
        <f>IF(COUNT(D621:P621)=0,"",MIN(D621:P621))</f>
        <v/>
      </c>
      <c r="R621" s="8">
        <f>IF(COUNT(D621:P621)=0,"",MEDIAN(D621:P621))</f>
        <v/>
      </c>
      <c r="S621" s="8">
        <f>IF(COUNT(D621:P621)=0,"",MAX(D621:P621))</f>
        <v/>
      </c>
      <c r="T621" s="9">
        <f>IF(OR(Q621="",Q621=0),"",(S621-Q621)/Q621)</f>
        <v/>
      </c>
      <c r="U621" s="7">
        <f>IF(COUNT(D621:P621)=0,"",INDEX($D$1:$P$1,MATCH(MIN(D621:P621),D621:P621,0)))</f>
        <v/>
      </c>
      <c r="V621" s="8" t="n">
        <v>3285</v>
      </c>
      <c r="W621" s="10" t="n">
        <v>1</v>
      </c>
    </row>
    <row r="622">
      <c r="A622" s="7" t="inlineStr">
        <is>
          <t>MAT-09-110</t>
        </is>
      </c>
      <c r="B622" s="4" t="inlineStr">
        <is>
          <t>Fregadero de 2 pozos, 33 x 22 pulgadas</t>
        </is>
      </c>
      <c r="C622" s="7" t="inlineStr">
        <is>
          <t>unidad</t>
        </is>
      </c>
      <c r="D622" s="8" t="n"/>
      <c r="E622" s="8" t="n"/>
      <c r="F622" s="8" t="n"/>
      <c r="G622" s="8" t="n">
        <v>6540</v>
      </c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>
        <f>IF(COUNT(D622:P622)=0,"",MIN(D622:P622))</f>
        <v/>
      </c>
      <c r="R622" s="8">
        <f>IF(COUNT(D622:P622)=0,"",MEDIAN(D622:P622))</f>
        <v/>
      </c>
      <c r="S622" s="8">
        <f>IF(COUNT(D622:P622)=0,"",MAX(D622:P622))</f>
        <v/>
      </c>
      <c r="T622" s="9">
        <f>IF(OR(Q622="",Q622=0),"",(S622-Q622)/Q622)</f>
        <v/>
      </c>
      <c r="U622" s="7">
        <f>IF(COUNT(D622:P622)=0,"",INDEX($D$1:$P$1,MATCH(MIN(D622:P622),D622:P622,0)))</f>
        <v/>
      </c>
      <c r="V622" s="8" t="n">
        <v>6540</v>
      </c>
      <c r="W622" s="10" t="n">
        <v>1</v>
      </c>
    </row>
    <row r="623">
      <c r="A623" s="7" t="inlineStr">
        <is>
          <t>MAT-09-111</t>
        </is>
      </c>
      <c r="B623" s="4" t="inlineStr">
        <is>
          <t>Fregadero de 2 pozos, 34 x 17 pulgadas</t>
        </is>
      </c>
      <c r="C623" s="7" t="inlineStr">
        <is>
          <t>unidad</t>
        </is>
      </c>
      <c r="D623" s="8" t="n"/>
      <c r="E623" s="8" t="n"/>
      <c r="F623" s="8" t="n"/>
      <c r="G623" s="8" t="n"/>
      <c r="H623" s="8" t="n">
        <v>45860</v>
      </c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>
        <f>IF(COUNT(D623:P623)=0,"",MIN(D623:P623))</f>
        <v/>
      </c>
      <c r="R623" s="8">
        <f>IF(COUNT(D623:P623)=0,"",MEDIAN(D623:P623))</f>
        <v/>
      </c>
      <c r="S623" s="8">
        <f>IF(COUNT(D623:P623)=0,"",MAX(D623:P623))</f>
        <v/>
      </c>
      <c r="T623" s="9">
        <f>IF(OR(Q623="",Q623=0),"",(S623-Q623)/Q623)</f>
        <v/>
      </c>
      <c r="U623" s="7">
        <f>IF(COUNT(D623:P623)=0,"",INDEX($D$1:$P$1,MATCH(MIN(D623:P623),D623:P623,0)))</f>
        <v/>
      </c>
      <c r="V623" s="8" t="n">
        <v>45860</v>
      </c>
      <c r="W623" s="10" t="n">
        <v>1</v>
      </c>
    </row>
    <row r="624">
      <c r="A624" s="7" t="inlineStr">
        <is>
          <t>MAT-09-112</t>
        </is>
      </c>
      <c r="B624" s="4" t="inlineStr">
        <is>
          <t>Fregadero de 2 pozos, 34 x 18 pulgadas</t>
        </is>
      </c>
      <c r="C624" s="7" t="inlineStr">
        <is>
          <t>unidad</t>
        </is>
      </c>
      <c r="D624" s="8" t="n"/>
      <c r="E624" s="8" t="n"/>
      <c r="F624" s="8" t="n">
        <v>17194.13</v>
      </c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>
        <f>IF(COUNT(D624:P624)=0,"",MIN(D624:P624))</f>
        <v/>
      </c>
      <c r="R624" s="8">
        <f>IF(COUNT(D624:P624)=0,"",MEDIAN(D624:P624))</f>
        <v/>
      </c>
      <c r="S624" s="8">
        <f>IF(COUNT(D624:P624)=0,"",MAX(D624:P624))</f>
        <v/>
      </c>
      <c r="T624" s="9">
        <f>IF(OR(Q624="",Q624=0),"",(S624-Q624)/Q624)</f>
        <v/>
      </c>
      <c r="U624" s="7">
        <f>IF(COUNT(D624:P624)=0,"",INDEX($D$1:$P$1,MATCH(MIN(D624:P624),D624:P624,0)))</f>
        <v/>
      </c>
      <c r="V624" s="8" t="n">
        <v>20289.07</v>
      </c>
      <c r="W624" s="10" t="n">
        <v>1</v>
      </c>
    </row>
    <row r="625">
      <c r="A625" s="7" t="inlineStr">
        <is>
          <t>MAT-09-113</t>
        </is>
      </c>
      <c r="B625" s="4" t="inlineStr">
        <is>
          <t>Fregadero de 2 pozos, 47 x 20 pulgadas</t>
        </is>
      </c>
      <c r="C625" s="7" t="inlineStr">
        <is>
          <t>unidad</t>
        </is>
      </c>
      <c r="D625" s="8" t="n"/>
      <c r="E625" s="8" t="n"/>
      <c r="F625" s="8" t="n"/>
      <c r="G625" s="8" t="n"/>
      <c r="H625" s="8" t="n"/>
      <c r="I625" s="8" t="n">
        <v>6665</v>
      </c>
      <c r="J625" s="8" t="n"/>
      <c r="K625" s="8" t="n"/>
      <c r="L625" s="8" t="n"/>
      <c r="M625" s="8" t="n"/>
      <c r="N625" s="8" t="n"/>
      <c r="O625" s="8" t="n"/>
      <c r="P625" s="8" t="n"/>
      <c r="Q625" s="8">
        <f>IF(COUNT(D625:P625)=0,"",MIN(D625:P625))</f>
        <v/>
      </c>
      <c r="R625" s="8">
        <f>IF(COUNT(D625:P625)=0,"",MEDIAN(D625:P625))</f>
        <v/>
      </c>
      <c r="S625" s="8">
        <f>IF(COUNT(D625:P625)=0,"",MAX(D625:P625))</f>
        <v/>
      </c>
      <c r="T625" s="9">
        <f>IF(OR(Q625="",Q625=0),"",(S625-Q625)/Q625)</f>
        <v/>
      </c>
      <c r="U625" s="7">
        <f>IF(COUNT(D625:P625)=0,"",INDEX($D$1:$P$1,MATCH(MIN(D625:P625),D625:P625,0)))</f>
        <v/>
      </c>
      <c r="V625" s="8" t="n">
        <v>6672.5</v>
      </c>
      <c r="W625" s="10" t="n">
        <v>1</v>
      </c>
    </row>
    <row r="626">
      <c r="A626" s="7" t="inlineStr">
        <is>
          <t>MAT-09-114</t>
        </is>
      </c>
      <c r="B626" s="4" t="inlineStr">
        <is>
          <t>Llave de bebedero</t>
        </is>
      </c>
      <c r="C626" s="7" t="inlineStr">
        <is>
          <t>unidad</t>
        </is>
      </c>
      <c r="D626" s="8" t="n"/>
      <c r="E626" s="8" t="n"/>
      <c r="F626" s="8" t="n"/>
      <c r="G626" s="8" t="n">
        <v>205</v>
      </c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>
        <f>IF(COUNT(D626:P626)=0,"",MIN(D626:P626))</f>
        <v/>
      </c>
      <c r="R626" s="8">
        <f>IF(COUNT(D626:P626)=0,"",MEDIAN(D626:P626))</f>
        <v/>
      </c>
      <c r="S626" s="8">
        <f>IF(COUNT(D626:P626)=0,"",MAX(D626:P626))</f>
        <v/>
      </c>
      <c r="T626" s="9">
        <f>IF(OR(Q626="",Q626=0),"",(S626-Q626)/Q626)</f>
        <v/>
      </c>
      <c r="U626" s="7">
        <f>IF(COUNT(D626:P626)=0,"",INDEX($D$1:$P$1,MATCH(MIN(D626:P626),D626:P626,0)))</f>
        <v/>
      </c>
      <c r="V626" s="8" t="n">
        <v>217.5</v>
      </c>
      <c r="W626" s="10" t="n">
        <v>1</v>
      </c>
    </row>
    <row r="627">
      <c r="A627" s="7" t="inlineStr">
        <is>
          <t>MAT-10-017</t>
        </is>
      </c>
      <c r="B627" s="4" t="inlineStr">
        <is>
          <t>Bombillo ahorrador de 105 W</t>
        </is>
      </c>
      <c r="C627" s="7" t="inlineStr">
        <is>
          <t>unidad</t>
        </is>
      </c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>
        <v>785</v>
      </c>
      <c r="M627" s="8" t="n"/>
      <c r="N627" s="8" t="n"/>
      <c r="O627" s="8" t="n"/>
      <c r="P627" s="8" t="n"/>
      <c r="Q627" s="8">
        <f>IF(COUNT(D627:P627)=0,"",MIN(D627:P627))</f>
        <v/>
      </c>
      <c r="R627" s="8">
        <f>IF(COUNT(D627:P627)=0,"",MEDIAN(D627:P627))</f>
        <v/>
      </c>
      <c r="S627" s="8">
        <f>IF(COUNT(D627:P627)=0,"",MAX(D627:P627))</f>
        <v/>
      </c>
      <c r="T627" s="9">
        <f>IF(OR(Q627="",Q627=0),"",(S627-Q627)/Q627)</f>
        <v/>
      </c>
      <c r="U627" s="7">
        <f>IF(COUNT(D627:P627)=0,"",INDEX($D$1:$P$1,MATCH(MIN(D627:P627),D627:P627,0)))</f>
        <v/>
      </c>
      <c r="V627" s="8" t="n">
        <v>785</v>
      </c>
      <c r="W627" s="10" t="n">
        <v>1</v>
      </c>
    </row>
    <row r="628">
      <c r="A628" s="7" t="inlineStr">
        <is>
          <t>MAT-10-018</t>
        </is>
      </c>
      <c r="B628" s="4" t="inlineStr">
        <is>
          <t>Bombillo ahorrador de 11 W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>
        <v>100</v>
      </c>
      <c r="M628" s="8" t="n"/>
      <c r="N628" s="8" t="n"/>
      <c r="O628" s="8" t="n"/>
      <c r="P628" s="8" t="n"/>
      <c r="Q628" s="8">
        <f>IF(COUNT(D628:P628)=0,"",MIN(D628:P628))</f>
        <v/>
      </c>
      <c r="R628" s="8">
        <f>IF(COUNT(D628:P628)=0,"",MEDIAN(D628:P628))</f>
        <v/>
      </c>
      <c r="S628" s="8">
        <f>IF(COUNT(D628:P628)=0,"",MAX(D628:P628))</f>
        <v/>
      </c>
      <c r="T628" s="9">
        <f>IF(OR(Q628="",Q628=0),"",(S628-Q628)/Q628)</f>
        <v/>
      </c>
      <c r="U628" s="7">
        <f>IF(COUNT(D628:P628)=0,"",INDEX($D$1:$P$1,MATCH(MIN(D628:P628),D628:P628,0)))</f>
        <v/>
      </c>
      <c r="V628" s="8" t="n">
        <v>100</v>
      </c>
      <c r="W628" s="10" t="n">
        <v>1</v>
      </c>
    </row>
    <row r="629">
      <c r="A629" s="7" t="inlineStr">
        <is>
          <t>MAT-10-019</t>
        </is>
      </c>
      <c r="B629" s="4" t="inlineStr">
        <is>
          <t>Bombillo ahorrador de 15 W</t>
        </is>
      </c>
      <c r="C629" s="7" t="inlineStr">
        <is>
          <t>unidad</t>
        </is>
      </c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>
        <v>100</v>
      </c>
      <c r="M629" s="8" t="n"/>
      <c r="N629" s="8" t="n"/>
      <c r="O629" s="8" t="n"/>
      <c r="P629" s="8" t="n"/>
      <c r="Q629" s="8">
        <f>IF(COUNT(D629:P629)=0,"",MIN(D629:P629))</f>
        <v/>
      </c>
      <c r="R629" s="8">
        <f>IF(COUNT(D629:P629)=0,"",MEDIAN(D629:P629))</f>
        <v/>
      </c>
      <c r="S629" s="8">
        <f>IF(COUNT(D629:P629)=0,"",MAX(D629:P629))</f>
        <v/>
      </c>
      <c r="T629" s="9">
        <f>IF(OR(Q629="",Q629=0),"",(S629-Q629)/Q629)</f>
        <v/>
      </c>
      <c r="U629" s="7">
        <f>IF(COUNT(D629:P629)=0,"",INDEX($D$1:$P$1,MATCH(MIN(D629:P629),D629:P629,0)))</f>
        <v/>
      </c>
      <c r="V629" s="8" t="n">
        <v>100</v>
      </c>
      <c r="W629" s="10" t="n">
        <v>1</v>
      </c>
    </row>
    <row r="630">
      <c r="A630" s="7" t="inlineStr">
        <is>
          <t>MAT-10-020</t>
        </is>
      </c>
      <c r="B630" s="4" t="inlineStr">
        <is>
          <t>Bombillo ahorrador de 25 W</t>
        </is>
      </c>
      <c r="C630" s="7" t="inlineStr">
        <is>
          <t>unidad</t>
        </is>
      </c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>
        <v>100</v>
      </c>
      <c r="M630" s="8" t="n"/>
      <c r="N630" s="8" t="n"/>
      <c r="O630" s="8" t="n"/>
      <c r="P630" s="8" t="n"/>
      <c r="Q630" s="8">
        <f>IF(COUNT(D630:P630)=0,"",MIN(D630:P630))</f>
        <v/>
      </c>
      <c r="R630" s="8">
        <f>IF(COUNT(D630:P630)=0,"",MEDIAN(D630:P630))</f>
        <v/>
      </c>
      <c r="S630" s="8">
        <f>IF(COUNT(D630:P630)=0,"",MAX(D630:P630))</f>
        <v/>
      </c>
      <c r="T630" s="9">
        <f>IF(OR(Q630="",Q630=0),"",(S630-Q630)/Q630)</f>
        <v/>
      </c>
      <c r="U630" s="7">
        <f>IF(COUNT(D630:P630)=0,"",INDEX($D$1:$P$1,MATCH(MIN(D630:P630),D630:P630,0)))</f>
        <v/>
      </c>
      <c r="V630" s="8" t="n">
        <v>100</v>
      </c>
      <c r="W630" s="10" t="n">
        <v>1</v>
      </c>
    </row>
    <row r="631">
      <c r="A631" s="7" t="inlineStr">
        <is>
          <t>MAT-10-021</t>
        </is>
      </c>
      <c r="B631" s="4" t="inlineStr">
        <is>
          <t>Bombillo ahorrador de 45 W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>
        <v>313.56</v>
      </c>
      <c r="M631" s="8" t="n"/>
      <c r="N631" s="8" t="n"/>
      <c r="O631" s="8" t="n"/>
      <c r="P631" s="8" t="n"/>
      <c r="Q631" s="8">
        <f>IF(COUNT(D631:P631)=0,"",MIN(D631:P631))</f>
        <v/>
      </c>
      <c r="R631" s="8">
        <f>IF(COUNT(D631:P631)=0,"",MEDIAN(D631:P631))</f>
        <v/>
      </c>
      <c r="S631" s="8">
        <f>IF(COUNT(D631:P631)=0,"",MAX(D631:P631))</f>
        <v/>
      </c>
      <c r="T631" s="9">
        <f>IF(OR(Q631="",Q631=0),"",(S631-Q631)/Q631)</f>
        <v/>
      </c>
      <c r="U631" s="7">
        <f>IF(COUNT(D631:P631)=0,"",INDEX($D$1:$P$1,MATCH(MIN(D631:P631),D631:P631,0)))</f>
        <v/>
      </c>
      <c r="V631" s="8" t="n">
        <v>313.56</v>
      </c>
      <c r="W631" s="10" t="n">
        <v>1</v>
      </c>
    </row>
    <row r="632">
      <c r="A632" s="7" t="inlineStr">
        <is>
          <t>MAT-10-022</t>
        </is>
      </c>
      <c r="B632" s="4" t="inlineStr">
        <is>
          <t>Bombillo ahorrador de 7 W</t>
        </is>
      </c>
      <c r="C632" s="7" t="inlineStr">
        <is>
          <t>unidad</t>
        </is>
      </c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>
        <v>100</v>
      </c>
      <c r="M632" s="8" t="n"/>
      <c r="N632" s="8" t="n"/>
      <c r="O632" s="8" t="n"/>
      <c r="P632" s="8" t="n"/>
      <c r="Q632" s="8">
        <f>IF(COUNT(D632:P632)=0,"",MIN(D632:P632))</f>
        <v/>
      </c>
      <c r="R632" s="8">
        <f>IF(COUNT(D632:P632)=0,"",MEDIAN(D632:P632))</f>
        <v/>
      </c>
      <c r="S632" s="8">
        <f>IF(COUNT(D632:P632)=0,"",MAX(D632:P632))</f>
        <v/>
      </c>
      <c r="T632" s="9">
        <f>IF(OR(Q632="",Q632=0),"",(S632-Q632)/Q632)</f>
        <v/>
      </c>
      <c r="U632" s="7">
        <f>IF(COUNT(D632:P632)=0,"",INDEX($D$1:$P$1,MATCH(MIN(D632:P632),D632:P632,0)))</f>
        <v/>
      </c>
      <c r="V632" s="8" t="n">
        <v>100</v>
      </c>
      <c r="W632" s="10" t="n">
        <v>1</v>
      </c>
    </row>
    <row r="633">
      <c r="A633" s="7" t="inlineStr">
        <is>
          <t>MAT-10-023</t>
        </is>
      </c>
      <c r="B633" s="4" t="inlineStr">
        <is>
          <t>Bombillo ahorrador de 85 W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>
        <v>795</v>
      </c>
      <c r="M633" s="8" t="n"/>
      <c r="N633" s="8" t="n"/>
      <c r="O633" s="8" t="n"/>
      <c r="P633" s="8" t="n"/>
      <c r="Q633" s="8">
        <f>IF(COUNT(D633:P633)=0,"",MIN(D633:P633))</f>
        <v/>
      </c>
      <c r="R633" s="8">
        <f>IF(COUNT(D633:P633)=0,"",MEDIAN(D633:P633))</f>
        <v/>
      </c>
      <c r="S633" s="8">
        <f>IF(COUNT(D633:P633)=0,"",MAX(D633:P633))</f>
        <v/>
      </c>
      <c r="T633" s="9">
        <f>IF(OR(Q633="",Q633=0),"",(S633-Q633)/Q633)</f>
        <v/>
      </c>
      <c r="U633" s="7">
        <f>IF(COUNT(D633:P633)=0,"",INDEX($D$1:$P$1,MATCH(MIN(D633:P633),D633:P633,0)))</f>
        <v/>
      </c>
      <c r="V633" s="8" t="n">
        <v>795</v>
      </c>
      <c r="W633" s="10" t="n">
        <v>1</v>
      </c>
    </row>
    <row r="634">
      <c r="A634" s="7" t="inlineStr">
        <is>
          <t>MAT-10-024</t>
        </is>
      </c>
      <c r="B634" s="4" t="inlineStr">
        <is>
          <t>Bombillo bajo consumo de 11 W</t>
        </is>
      </c>
      <c r="C634" s="7" t="inlineStr">
        <is>
          <t>unidad</t>
        </is>
      </c>
      <c r="D634" s="8" t="n"/>
      <c r="E634" s="8" t="n">
        <v>95</v>
      </c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>
        <f>IF(COUNT(D634:P634)=0,"",MIN(D634:P634))</f>
        <v/>
      </c>
      <c r="R634" s="8">
        <f>IF(COUNT(D634:P634)=0,"",MEDIAN(D634:P634))</f>
        <v/>
      </c>
      <c r="S634" s="8">
        <f>IF(COUNT(D634:P634)=0,"",MAX(D634:P634))</f>
        <v/>
      </c>
      <c r="T634" s="9">
        <f>IF(OR(Q634="",Q634=0),"",(S634-Q634)/Q634)</f>
        <v/>
      </c>
      <c r="U634" s="7">
        <f>IF(COUNT(D634:P634)=0,"",INDEX($D$1:$P$1,MATCH(MIN(D634:P634),D634:P634,0)))</f>
        <v/>
      </c>
      <c r="V634" s="8" t="n">
        <v>95</v>
      </c>
      <c r="W634" s="10" t="n">
        <v>1</v>
      </c>
    </row>
    <row r="635">
      <c r="A635" s="7" t="inlineStr">
        <is>
          <t>MAT-10-025</t>
        </is>
      </c>
      <c r="B635" s="4" t="inlineStr">
        <is>
          <t>Bombillo bajo consumo de 13 W</t>
        </is>
      </c>
      <c r="C635" s="7" t="inlineStr">
        <is>
          <t>unidad</t>
        </is>
      </c>
      <c r="D635" s="8" t="n"/>
      <c r="E635" s="8" t="n">
        <v>102</v>
      </c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>
        <f>IF(COUNT(D635:P635)=0,"",MIN(D635:P635))</f>
        <v/>
      </c>
      <c r="R635" s="8">
        <f>IF(COUNT(D635:P635)=0,"",MEDIAN(D635:P635))</f>
        <v/>
      </c>
      <c r="S635" s="8">
        <f>IF(COUNT(D635:P635)=0,"",MAX(D635:P635))</f>
        <v/>
      </c>
      <c r="T635" s="9">
        <f>IF(OR(Q635="",Q635=0),"",(S635-Q635)/Q635)</f>
        <v/>
      </c>
      <c r="U635" s="7">
        <f>IF(COUNT(D635:P635)=0,"",INDEX($D$1:$P$1,MATCH(MIN(D635:P635),D635:P635,0)))</f>
        <v/>
      </c>
      <c r="V635" s="8" t="n">
        <v>102</v>
      </c>
      <c r="W635" s="10" t="n">
        <v>1</v>
      </c>
    </row>
    <row r="636">
      <c r="A636" s="7" t="inlineStr">
        <is>
          <t>MAT-10-026</t>
        </is>
      </c>
      <c r="B636" s="4" t="inlineStr">
        <is>
          <t>Bombillo bajo consumo de 15 W</t>
        </is>
      </c>
      <c r="C636" s="7" t="inlineStr">
        <is>
          <t>unidad</t>
        </is>
      </c>
      <c r="D636" s="8" t="n"/>
      <c r="E636" s="8" t="n">
        <v>106</v>
      </c>
      <c r="F636" s="8" t="n"/>
      <c r="G636" s="8" t="n"/>
      <c r="H636" s="8" t="n"/>
      <c r="I636" s="8" t="n">
        <v>85</v>
      </c>
      <c r="J636" s="8" t="n"/>
      <c r="K636" s="8" t="n"/>
      <c r="L636" s="8" t="n"/>
      <c r="M636" s="8" t="n"/>
      <c r="N636" s="8" t="n"/>
      <c r="O636" s="8" t="n"/>
      <c r="P636" s="8" t="n"/>
      <c r="Q636" s="8">
        <f>IF(COUNT(D636:P636)=0,"",MIN(D636:P636))</f>
        <v/>
      </c>
      <c r="R636" s="8">
        <f>IF(COUNT(D636:P636)=0,"",MEDIAN(D636:P636))</f>
        <v/>
      </c>
      <c r="S636" s="8">
        <f>IF(COUNT(D636:P636)=0,"",MAX(D636:P636))</f>
        <v/>
      </c>
      <c r="T636" s="9">
        <f>IF(OR(Q636="",Q636=0),"",(S636-Q636)/Q636)</f>
        <v/>
      </c>
      <c r="U636" s="7">
        <f>IF(COUNT(D636:P636)=0,"",INDEX($D$1:$P$1,MATCH(MIN(D636:P636),D636:P636,0)))</f>
        <v/>
      </c>
      <c r="V636" s="8" t="n">
        <v>115.5</v>
      </c>
      <c r="W636" s="10" t="n">
        <v>2</v>
      </c>
    </row>
    <row r="637">
      <c r="A637" s="7" t="inlineStr">
        <is>
          <t>MAT-10-027</t>
        </is>
      </c>
      <c r="B637" s="4" t="inlineStr">
        <is>
          <t>Bombillo bajo consumo de 20 W</t>
        </is>
      </c>
      <c r="C637" s="7" t="inlineStr">
        <is>
          <t>unidad</t>
        </is>
      </c>
      <c r="D637" s="8" t="n"/>
      <c r="E637" s="8" t="n">
        <v>110</v>
      </c>
      <c r="F637" s="8" t="n"/>
      <c r="G637" s="8" t="n"/>
      <c r="H637" s="8" t="n"/>
      <c r="I637" s="8" t="n">
        <v>135</v>
      </c>
      <c r="J637" s="8" t="n"/>
      <c r="K637" s="8" t="n"/>
      <c r="L637" s="8" t="n"/>
      <c r="M637" s="8" t="n"/>
      <c r="N637" s="8" t="n"/>
      <c r="O637" s="8" t="n"/>
      <c r="P637" s="8" t="n"/>
      <c r="Q637" s="8">
        <f>IF(COUNT(D637:P637)=0,"",MIN(D637:P637))</f>
        <v/>
      </c>
      <c r="R637" s="8">
        <f>IF(COUNT(D637:P637)=0,"",MEDIAN(D637:P637))</f>
        <v/>
      </c>
      <c r="S637" s="8">
        <f>IF(COUNT(D637:P637)=0,"",MAX(D637:P637))</f>
        <v/>
      </c>
      <c r="T637" s="9">
        <f>IF(OR(Q637="",Q637=0),"",(S637-Q637)/Q637)</f>
        <v/>
      </c>
      <c r="U637" s="7">
        <f>IF(COUNT(D637:P637)=0,"",INDEX($D$1:$P$1,MATCH(MIN(D637:P637),D637:P637,0)))</f>
        <v/>
      </c>
      <c r="V637" s="8" t="n">
        <v>135</v>
      </c>
      <c r="W637" s="10" t="n">
        <v>2</v>
      </c>
    </row>
    <row r="638">
      <c r="A638" s="7" t="inlineStr">
        <is>
          <t>MAT-10-028</t>
        </is>
      </c>
      <c r="B638" s="4" t="inlineStr">
        <is>
          <t>Bombillo bajo consumo de 24 W</t>
        </is>
      </c>
      <c r="C638" s="7" t="inlineStr">
        <is>
          <t>unidad</t>
        </is>
      </c>
      <c r="D638" s="8" t="n"/>
      <c r="E638" s="8" t="n"/>
      <c r="F638" s="8" t="n"/>
      <c r="G638" s="8" t="n"/>
      <c r="H638" s="8" t="n"/>
      <c r="I638" s="8" t="n">
        <v>145</v>
      </c>
      <c r="J638" s="8" t="n"/>
      <c r="K638" s="8" t="n"/>
      <c r="L638" s="8" t="n"/>
      <c r="M638" s="8" t="n"/>
      <c r="N638" s="8" t="n"/>
      <c r="O638" s="8" t="n"/>
      <c r="P638" s="8" t="n"/>
      <c r="Q638" s="8">
        <f>IF(COUNT(D638:P638)=0,"",MIN(D638:P638))</f>
        <v/>
      </c>
      <c r="R638" s="8">
        <f>IF(COUNT(D638:P638)=0,"",MEDIAN(D638:P638))</f>
        <v/>
      </c>
      <c r="S638" s="8">
        <f>IF(COUNT(D638:P638)=0,"",MAX(D638:P638))</f>
        <v/>
      </c>
      <c r="T638" s="9">
        <f>IF(OR(Q638="",Q638=0),"",(S638-Q638)/Q638)</f>
        <v/>
      </c>
      <c r="U638" s="7">
        <f>IF(COUNT(D638:P638)=0,"",INDEX($D$1:$P$1,MATCH(MIN(D638:P638),D638:P638,0)))</f>
        <v/>
      </c>
      <c r="V638" s="8" t="n">
        <v>145</v>
      </c>
      <c r="W638" s="10" t="n">
        <v>1</v>
      </c>
    </row>
    <row r="639">
      <c r="A639" s="7" t="inlineStr">
        <is>
          <t>MAT-10-029</t>
        </is>
      </c>
      <c r="B639" s="4" t="inlineStr">
        <is>
          <t>Bombillo bajo consumo de 45 W</t>
        </is>
      </c>
      <c r="C639" s="7" t="inlineStr">
        <is>
          <t>unidad</t>
        </is>
      </c>
      <c r="D639" s="8" t="n"/>
      <c r="E639" s="8" t="n">
        <v>595</v>
      </c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>
        <f>IF(COUNT(D639:P639)=0,"",MIN(D639:P639))</f>
        <v/>
      </c>
      <c r="R639" s="8">
        <f>IF(COUNT(D639:P639)=0,"",MEDIAN(D639:P639))</f>
        <v/>
      </c>
      <c r="S639" s="8">
        <f>IF(COUNT(D639:P639)=0,"",MAX(D639:P639))</f>
        <v/>
      </c>
      <c r="T639" s="9">
        <f>IF(OR(Q639="",Q639=0),"",(S639-Q639)/Q639)</f>
        <v/>
      </c>
      <c r="U639" s="7">
        <f>IF(COUNT(D639:P639)=0,"",INDEX($D$1:$P$1,MATCH(MIN(D639:P639),D639:P639,0)))</f>
        <v/>
      </c>
      <c r="V639" s="8" t="n">
        <v>595</v>
      </c>
      <c r="W639" s="10" t="n">
        <v>1</v>
      </c>
    </row>
    <row r="640">
      <c r="A640" s="7" t="inlineStr">
        <is>
          <t>MAT-10-030</t>
        </is>
      </c>
      <c r="B640" s="4" t="inlineStr">
        <is>
          <t>Bombillo halógeno de 50 W</t>
        </is>
      </c>
      <c r="C640" s="7" t="inlineStr">
        <is>
          <t>unidad</t>
        </is>
      </c>
      <c r="D640" s="8" t="n"/>
      <c r="E640" s="8" t="n">
        <v>122</v>
      </c>
      <c r="F640" s="8" t="n"/>
      <c r="G640" s="8" t="n"/>
      <c r="H640" s="8" t="n"/>
      <c r="I640" s="8" t="n">
        <v>59</v>
      </c>
      <c r="J640" s="8" t="n"/>
      <c r="K640" s="8" t="n"/>
      <c r="L640" s="8" t="n"/>
      <c r="M640" s="8" t="n"/>
      <c r="N640" s="8" t="n"/>
      <c r="O640" s="8" t="n"/>
      <c r="P640" s="8" t="n"/>
      <c r="Q640" s="8">
        <f>IF(COUNT(D640:P640)=0,"",MIN(D640:P640))</f>
        <v/>
      </c>
      <c r="R640" s="8">
        <f>IF(COUNT(D640:P640)=0,"",MEDIAN(D640:P640))</f>
        <v/>
      </c>
      <c r="S640" s="8">
        <f>IF(COUNT(D640:P640)=0,"",MAX(D640:P640))</f>
        <v/>
      </c>
      <c r="T640" s="9">
        <f>IF(OR(Q640="",Q640=0),"",(S640-Q640)/Q640)</f>
        <v/>
      </c>
      <c r="U640" s="7">
        <f>IF(COUNT(D640:P640)=0,"",INDEX($D$1:$P$1,MATCH(MIN(D640:P640),D640:P640,0)))</f>
        <v/>
      </c>
      <c r="V640" s="8" t="n">
        <v>70</v>
      </c>
      <c r="W640" s="10" t="n">
        <v>2</v>
      </c>
    </row>
    <row r="641">
      <c r="A641" s="7" t="inlineStr">
        <is>
          <t>MAT-10-031</t>
        </is>
      </c>
      <c r="B641" s="4" t="inlineStr">
        <is>
          <t>Bombillo halógeno de 75 W</t>
        </is>
      </c>
      <c r="C641" s="7" t="inlineStr">
        <is>
          <t>unidad</t>
        </is>
      </c>
      <c r="D641" s="8" t="n"/>
      <c r="E641" s="8" t="n">
        <v>234</v>
      </c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>
        <f>IF(COUNT(D641:P641)=0,"",MIN(D641:P641))</f>
        <v/>
      </c>
      <c r="R641" s="8">
        <f>IF(COUNT(D641:P641)=0,"",MEDIAN(D641:P641))</f>
        <v/>
      </c>
      <c r="S641" s="8">
        <f>IF(COUNT(D641:P641)=0,"",MAX(D641:P641))</f>
        <v/>
      </c>
      <c r="T641" s="9">
        <f>IF(OR(Q641="",Q641=0),"",(S641-Q641)/Q641)</f>
        <v/>
      </c>
      <c r="U641" s="7">
        <f>IF(COUNT(D641:P641)=0,"",INDEX($D$1:$P$1,MATCH(MIN(D641:P641),D641:P641,0)))</f>
        <v/>
      </c>
      <c r="V641" s="8" t="n">
        <v>234</v>
      </c>
      <c r="W641" s="10" t="n">
        <v>1</v>
      </c>
    </row>
    <row r="642">
      <c r="A642" s="7" t="inlineStr">
        <is>
          <t>MAT-10-032</t>
        </is>
      </c>
      <c r="B642" s="4" t="inlineStr">
        <is>
          <t>Bombillo incandescente de 100 W</t>
        </is>
      </c>
      <c r="C642" s="7" t="inlineStr">
        <is>
          <t>unidad</t>
        </is>
      </c>
      <c r="D642" s="8" t="n"/>
      <c r="E642" s="8" t="n">
        <v>41</v>
      </c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>
        <f>IF(COUNT(D642:P642)=0,"",MIN(D642:P642))</f>
        <v/>
      </c>
      <c r="R642" s="8">
        <f>IF(COUNT(D642:P642)=0,"",MEDIAN(D642:P642))</f>
        <v/>
      </c>
      <c r="S642" s="8">
        <f>IF(COUNT(D642:P642)=0,"",MAX(D642:P642))</f>
        <v/>
      </c>
      <c r="T642" s="9">
        <f>IF(OR(Q642="",Q642=0),"",(S642-Q642)/Q642)</f>
        <v/>
      </c>
      <c r="U642" s="7">
        <f>IF(COUNT(D642:P642)=0,"",INDEX($D$1:$P$1,MATCH(MIN(D642:P642),D642:P642,0)))</f>
        <v/>
      </c>
      <c r="V642" s="8" t="n">
        <v>41</v>
      </c>
      <c r="W642" s="10" t="n">
        <v>1</v>
      </c>
    </row>
    <row r="643">
      <c r="A643" s="7" t="inlineStr">
        <is>
          <t>MAT-10-033</t>
        </is>
      </c>
      <c r="B643" s="4" t="inlineStr">
        <is>
          <t>Bombillo incandescente de 11 W</t>
        </is>
      </c>
      <c r="C643" s="7" t="inlineStr">
        <is>
          <t>unidad</t>
        </is>
      </c>
      <c r="D643" s="8" t="n"/>
      <c r="E643" s="8" t="n"/>
      <c r="F643" s="8" t="n"/>
      <c r="G643" s="8" t="n"/>
      <c r="H643" s="8" t="n"/>
      <c r="I643" s="8" t="n">
        <v>50</v>
      </c>
      <c r="J643" s="8" t="n"/>
      <c r="K643" s="8" t="n"/>
      <c r="L643" s="8" t="n"/>
      <c r="M643" s="8" t="n"/>
      <c r="N643" s="8" t="n"/>
      <c r="O643" s="8" t="n"/>
      <c r="P643" s="8" t="n"/>
      <c r="Q643" s="8">
        <f>IF(COUNT(D643:P643)=0,"",MIN(D643:P643))</f>
        <v/>
      </c>
      <c r="R643" s="8">
        <f>IF(COUNT(D643:P643)=0,"",MEDIAN(D643:P643))</f>
        <v/>
      </c>
      <c r="S643" s="8">
        <f>IF(COUNT(D643:P643)=0,"",MAX(D643:P643))</f>
        <v/>
      </c>
      <c r="T643" s="9">
        <f>IF(OR(Q643="",Q643=0),"",(S643-Q643)/Q643)</f>
        <v/>
      </c>
      <c r="U643" s="7">
        <f>IF(COUNT(D643:P643)=0,"",INDEX($D$1:$P$1,MATCH(MIN(D643:P643),D643:P643,0)))</f>
        <v/>
      </c>
      <c r="V643" s="8" t="n">
        <v>50</v>
      </c>
      <c r="W643" s="10" t="n">
        <v>1</v>
      </c>
    </row>
    <row r="644">
      <c r="A644" s="7" t="inlineStr">
        <is>
          <t>MAT-10-034</t>
        </is>
      </c>
      <c r="B644" s="4" t="inlineStr">
        <is>
          <t>Bombillo incandescente de 15 W</t>
        </is>
      </c>
      <c r="C644" s="7" t="inlineStr">
        <is>
          <t>unidad</t>
        </is>
      </c>
      <c r="D644" s="8" t="n"/>
      <c r="E644" s="8" t="n">
        <v>148</v>
      </c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>
        <f>IF(COUNT(D644:P644)=0,"",MIN(D644:P644))</f>
        <v/>
      </c>
      <c r="R644" s="8">
        <f>IF(COUNT(D644:P644)=0,"",MEDIAN(D644:P644))</f>
        <v/>
      </c>
      <c r="S644" s="8">
        <f>IF(COUNT(D644:P644)=0,"",MAX(D644:P644))</f>
        <v/>
      </c>
      <c r="T644" s="9">
        <f>IF(OR(Q644="",Q644=0),"",(S644-Q644)/Q644)</f>
        <v/>
      </c>
      <c r="U644" s="7">
        <f>IF(COUNT(D644:P644)=0,"",INDEX($D$1:$P$1,MATCH(MIN(D644:P644),D644:P644,0)))</f>
        <v/>
      </c>
      <c r="V644" s="8" t="n">
        <v>148</v>
      </c>
      <c r="W644" s="10" t="n">
        <v>1</v>
      </c>
    </row>
    <row r="645">
      <c r="A645" s="7" t="inlineStr">
        <is>
          <t>MAT-10-035</t>
        </is>
      </c>
      <c r="B645" s="4" t="inlineStr">
        <is>
          <t>Bombillo incandescente de 25 W</t>
        </is>
      </c>
      <c r="C645" s="7" t="inlineStr">
        <is>
          <t>unidad</t>
        </is>
      </c>
      <c r="D645" s="8" t="n"/>
      <c r="E645" s="8" t="n">
        <v>98</v>
      </c>
      <c r="F645" s="8" t="n"/>
      <c r="G645" s="8" t="n"/>
      <c r="H645" s="8" t="n"/>
      <c r="I645" s="8" t="n"/>
      <c r="J645" s="8" t="n"/>
      <c r="K645" s="8" t="n"/>
      <c r="L645" s="8" t="n">
        <v>85</v>
      </c>
      <c r="M645" s="8" t="n"/>
      <c r="N645" s="8" t="n"/>
      <c r="O645" s="8" t="n"/>
      <c r="P645" s="8" t="n"/>
      <c r="Q645" s="8">
        <f>IF(COUNT(D645:P645)=0,"",MIN(D645:P645))</f>
        <v/>
      </c>
      <c r="R645" s="8">
        <f>IF(COUNT(D645:P645)=0,"",MEDIAN(D645:P645))</f>
        <v/>
      </c>
      <c r="S645" s="8">
        <f>IF(COUNT(D645:P645)=0,"",MAX(D645:P645))</f>
        <v/>
      </c>
      <c r="T645" s="9">
        <f>IF(OR(Q645="",Q645=0),"",(S645-Q645)/Q645)</f>
        <v/>
      </c>
      <c r="U645" s="7">
        <f>IF(COUNT(D645:P645)=0,"",INDEX($D$1:$P$1,MATCH(MIN(D645:P645),D645:P645,0)))</f>
        <v/>
      </c>
      <c r="V645" s="8" t="n">
        <v>106.5</v>
      </c>
      <c r="W645" s="10" t="n">
        <v>2</v>
      </c>
    </row>
    <row r="646">
      <c r="A646" s="7" t="inlineStr">
        <is>
          <t>MAT-10-036</t>
        </is>
      </c>
      <c r="B646" s="4" t="inlineStr">
        <is>
          <t>Bombillo incandescente de 250 W</t>
        </is>
      </c>
      <c r="C646" s="7" t="inlineStr">
        <is>
          <t>unidad</t>
        </is>
      </c>
      <c r="D646" s="8" t="n"/>
      <c r="E646" s="8" t="n">
        <v>628</v>
      </c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>
        <f>IF(COUNT(D646:P646)=0,"",MIN(D646:P646))</f>
        <v/>
      </c>
      <c r="R646" s="8">
        <f>IF(COUNT(D646:P646)=0,"",MEDIAN(D646:P646))</f>
        <v/>
      </c>
      <c r="S646" s="8">
        <f>IF(COUNT(D646:P646)=0,"",MAX(D646:P646))</f>
        <v/>
      </c>
      <c r="T646" s="9">
        <f>IF(OR(Q646="",Q646=0),"",(S646-Q646)/Q646)</f>
        <v/>
      </c>
      <c r="U646" s="7">
        <f>IF(COUNT(D646:P646)=0,"",INDEX($D$1:$P$1,MATCH(MIN(D646:P646),D646:P646,0)))</f>
        <v/>
      </c>
      <c r="V646" s="8" t="n">
        <v>628</v>
      </c>
      <c r="W646" s="10" t="n">
        <v>1</v>
      </c>
    </row>
    <row r="647">
      <c r="A647" s="7" t="inlineStr">
        <is>
          <t>MAT-10-037</t>
        </is>
      </c>
      <c r="B647" s="4" t="inlineStr">
        <is>
          <t>Bombillo incandescente de 40 W</t>
        </is>
      </c>
      <c r="C647" s="7" t="inlineStr">
        <is>
          <t>unidad</t>
        </is>
      </c>
      <c r="D647" s="8" t="n"/>
      <c r="E647" s="8" t="n">
        <v>97</v>
      </c>
      <c r="F647" s="8" t="n"/>
      <c r="G647" s="8" t="n"/>
      <c r="H647" s="8" t="n"/>
      <c r="I647" s="8" t="n">
        <v>120</v>
      </c>
      <c r="J647" s="8" t="n"/>
      <c r="K647" s="8" t="n"/>
      <c r="L647" s="8" t="n">
        <v>80</v>
      </c>
      <c r="M647" s="8" t="n"/>
      <c r="N647" s="8" t="n"/>
      <c r="O647" s="8" t="n"/>
      <c r="P647" s="8" t="n"/>
      <c r="Q647" s="8">
        <f>IF(COUNT(D647:P647)=0,"",MIN(D647:P647))</f>
        <v/>
      </c>
      <c r="R647" s="8">
        <f>IF(COUNT(D647:P647)=0,"",MEDIAN(D647:P647))</f>
        <v/>
      </c>
      <c r="S647" s="8">
        <f>IF(COUNT(D647:P647)=0,"",MAX(D647:P647))</f>
        <v/>
      </c>
      <c r="T647" s="9">
        <f>IF(OR(Q647="",Q647=0),"",(S647-Q647)/Q647)</f>
        <v/>
      </c>
      <c r="U647" s="7">
        <f>IF(COUNT(D647:P647)=0,"",INDEX($D$1:$P$1,MATCH(MIN(D647:P647),D647:P647,0)))</f>
        <v/>
      </c>
      <c r="V647" s="8" t="n">
        <v>122</v>
      </c>
      <c r="W647" s="10" t="n">
        <v>3</v>
      </c>
    </row>
    <row r="648">
      <c r="A648" s="7" t="inlineStr">
        <is>
          <t>MAT-10-038</t>
        </is>
      </c>
      <c r="B648" s="4" t="inlineStr">
        <is>
          <t>Bombillo incandescente de 50 W</t>
        </is>
      </c>
      <c r="C648" s="7" t="inlineStr">
        <is>
          <t>unidad</t>
        </is>
      </c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>
        <v>235.06</v>
      </c>
      <c r="M648" s="8" t="n"/>
      <c r="N648" s="8" t="n"/>
      <c r="O648" s="8" t="n"/>
      <c r="P648" s="8" t="n"/>
      <c r="Q648" s="8">
        <f>IF(COUNT(D648:P648)=0,"",MIN(D648:P648))</f>
        <v/>
      </c>
      <c r="R648" s="8">
        <f>IF(COUNT(D648:P648)=0,"",MEDIAN(D648:P648))</f>
        <v/>
      </c>
      <c r="S648" s="8">
        <f>IF(COUNT(D648:P648)=0,"",MAX(D648:P648))</f>
        <v/>
      </c>
      <c r="T648" s="9">
        <f>IF(OR(Q648="",Q648=0),"",(S648-Q648)/Q648)</f>
        <v/>
      </c>
      <c r="U648" s="7">
        <f>IF(COUNT(D648:P648)=0,"",INDEX($D$1:$P$1,MATCH(MIN(D648:P648),D648:P648,0)))</f>
        <v/>
      </c>
      <c r="V648" s="8" t="n">
        <v>235.06</v>
      </c>
      <c r="W648" s="10" t="n">
        <v>1</v>
      </c>
    </row>
    <row r="649">
      <c r="A649" s="7" t="inlineStr">
        <is>
          <t>MAT-10-039</t>
        </is>
      </c>
      <c r="B649" s="4" t="inlineStr">
        <is>
          <t>Bombillo incandescente de 75 W</t>
        </is>
      </c>
      <c r="C649" s="7" t="inlineStr">
        <is>
          <t>unidad</t>
        </is>
      </c>
      <c r="D649" s="8" t="n"/>
      <c r="E649" s="8" t="n">
        <v>42</v>
      </c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>
        <f>IF(COUNT(D649:P649)=0,"",MIN(D649:P649))</f>
        <v/>
      </c>
      <c r="R649" s="8">
        <f>IF(COUNT(D649:P649)=0,"",MEDIAN(D649:P649))</f>
        <v/>
      </c>
      <c r="S649" s="8">
        <f>IF(COUNT(D649:P649)=0,"",MAX(D649:P649))</f>
        <v/>
      </c>
      <c r="T649" s="9">
        <f>IF(OR(Q649="",Q649=0),"",(S649-Q649)/Q649)</f>
        <v/>
      </c>
      <c r="U649" s="7">
        <f>IF(COUNT(D649:P649)=0,"",INDEX($D$1:$P$1,MATCH(MIN(D649:P649),D649:P649,0)))</f>
        <v/>
      </c>
      <c r="V649" s="8" t="n">
        <v>42</v>
      </c>
      <c r="W649" s="10" t="n">
        <v>1</v>
      </c>
    </row>
    <row r="650">
      <c r="A650" s="7" t="inlineStr">
        <is>
          <t>MAT-10-041</t>
        </is>
      </c>
      <c r="B650" s="4" t="inlineStr">
        <is>
          <t>Bombillo LED de 1.2 W</t>
        </is>
      </c>
      <c r="C650" s="7" t="inlineStr">
        <is>
          <t>unidad</t>
        </is>
      </c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>
        <v>40</v>
      </c>
      <c r="M650" s="8" t="n"/>
      <c r="N650" s="8" t="n"/>
      <c r="O650" s="8" t="n"/>
      <c r="P650" s="8" t="n"/>
      <c r="Q650" s="8">
        <f>IF(COUNT(D650:P650)=0,"",MIN(D650:P650))</f>
        <v/>
      </c>
      <c r="R650" s="8">
        <f>IF(COUNT(D650:P650)=0,"",MEDIAN(D650:P650))</f>
        <v/>
      </c>
      <c r="S650" s="8">
        <f>IF(COUNT(D650:P650)=0,"",MAX(D650:P650))</f>
        <v/>
      </c>
      <c r="T650" s="9">
        <f>IF(OR(Q650="",Q650=0),"",(S650-Q650)/Q650)</f>
        <v/>
      </c>
      <c r="U650" s="7">
        <f>IF(COUNT(D650:P650)=0,"",INDEX($D$1:$P$1,MATCH(MIN(D650:P650),D650:P650,0)))</f>
        <v/>
      </c>
      <c r="V650" s="8" t="n">
        <v>40</v>
      </c>
      <c r="W650" s="10" t="n">
        <v>1</v>
      </c>
    </row>
    <row r="651">
      <c r="A651" s="7" t="inlineStr">
        <is>
          <t>MAT-10-042</t>
        </is>
      </c>
      <c r="B651" s="4" t="inlineStr">
        <is>
          <t>Bombillo led de 1.6 W</t>
        </is>
      </c>
      <c r="C651" s="7" t="inlineStr">
        <is>
          <t>unidad</t>
        </is>
      </c>
      <c r="D651" s="8" t="n"/>
      <c r="E651" s="8" t="n">
        <v>530</v>
      </c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>
        <f>IF(COUNT(D651:P651)=0,"",MIN(D651:P651))</f>
        <v/>
      </c>
      <c r="R651" s="8">
        <f>IF(COUNT(D651:P651)=0,"",MEDIAN(D651:P651))</f>
        <v/>
      </c>
      <c r="S651" s="8">
        <f>IF(COUNT(D651:P651)=0,"",MAX(D651:P651))</f>
        <v/>
      </c>
      <c r="T651" s="9">
        <f>IF(OR(Q651="",Q651=0),"",(S651-Q651)/Q651)</f>
        <v/>
      </c>
      <c r="U651" s="7">
        <f>IF(COUNT(D651:P651)=0,"",INDEX($D$1:$P$1,MATCH(MIN(D651:P651),D651:P651,0)))</f>
        <v/>
      </c>
      <c r="V651" s="8" t="n">
        <v>648.5</v>
      </c>
      <c r="W651" s="10" t="n">
        <v>1</v>
      </c>
    </row>
    <row r="652">
      <c r="A652" s="7" t="inlineStr">
        <is>
          <t>MAT-10-043</t>
        </is>
      </c>
      <c r="B652" s="4" t="inlineStr">
        <is>
          <t>Bombillo LED de 10 W</t>
        </is>
      </c>
      <c r="C652" s="7" t="inlineStr">
        <is>
          <t>unidad</t>
        </is>
      </c>
      <c r="D652" s="8" t="n"/>
      <c r="E652" s="8" t="n">
        <v>159</v>
      </c>
      <c r="F652" s="8" t="n"/>
      <c r="G652" s="8" t="n"/>
      <c r="H652" s="8" t="n"/>
      <c r="I652" s="8" t="n">
        <v>215</v>
      </c>
      <c r="J652" s="8" t="n"/>
      <c r="K652" s="8" t="n"/>
      <c r="L652" s="8" t="n">
        <v>170</v>
      </c>
      <c r="M652" s="8" t="n"/>
      <c r="N652" s="8" t="n"/>
      <c r="O652" s="8" t="n"/>
      <c r="P652" s="8" t="n"/>
      <c r="Q652" s="8">
        <f>IF(COUNT(D652:P652)=0,"",MIN(D652:P652))</f>
        <v/>
      </c>
      <c r="R652" s="8">
        <f>IF(COUNT(D652:P652)=0,"",MEDIAN(D652:P652))</f>
        <v/>
      </c>
      <c r="S652" s="8">
        <f>IF(COUNT(D652:P652)=0,"",MAX(D652:P652))</f>
        <v/>
      </c>
      <c r="T652" s="9">
        <f>IF(OR(Q652="",Q652=0),"",(S652-Q652)/Q652)</f>
        <v/>
      </c>
      <c r="U652" s="7">
        <f>IF(COUNT(D652:P652)=0,"",INDEX($D$1:$P$1,MATCH(MIN(D652:P652),D652:P652,0)))</f>
        <v/>
      </c>
      <c r="V652" s="8" t="n">
        <v>215</v>
      </c>
      <c r="W652" s="10" t="n">
        <v>3</v>
      </c>
    </row>
    <row r="653">
      <c r="A653" s="7" t="inlineStr">
        <is>
          <t>MAT-10-044</t>
        </is>
      </c>
      <c r="B653" s="4" t="inlineStr">
        <is>
          <t>Bombillo led de 100 W</t>
        </is>
      </c>
      <c r="C653" s="7" t="inlineStr">
        <is>
          <t>unidad</t>
        </is>
      </c>
      <c r="D653" s="8" t="n"/>
      <c r="E653" s="8" t="n">
        <v>1825</v>
      </c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>
        <f>IF(COUNT(D653:P653)=0,"",MIN(D653:P653))</f>
        <v/>
      </c>
      <c r="R653" s="8">
        <f>IF(COUNT(D653:P653)=0,"",MEDIAN(D653:P653))</f>
        <v/>
      </c>
      <c r="S653" s="8">
        <f>IF(COUNT(D653:P653)=0,"",MAX(D653:P653))</f>
        <v/>
      </c>
      <c r="T653" s="9">
        <f>IF(OR(Q653="",Q653=0),"",(S653-Q653)/Q653)</f>
        <v/>
      </c>
      <c r="U653" s="7">
        <f>IF(COUNT(D653:P653)=0,"",INDEX($D$1:$P$1,MATCH(MIN(D653:P653),D653:P653,0)))</f>
        <v/>
      </c>
      <c r="V653" s="8" t="n">
        <v>1825</v>
      </c>
      <c r="W653" s="10" t="n">
        <v>1</v>
      </c>
    </row>
    <row r="654">
      <c r="A654" s="7" t="inlineStr">
        <is>
          <t>MAT-10-045</t>
        </is>
      </c>
      <c r="B654" s="4" t="inlineStr">
        <is>
          <t>Bombillo LED de 11 W</t>
        </is>
      </c>
      <c r="C654" s="7" t="inlineStr">
        <is>
          <t>unidad</t>
        </is>
      </c>
      <c r="D654" s="8" t="n"/>
      <c r="E654" s="8" t="n">
        <v>515</v>
      </c>
      <c r="F654" s="8" t="n"/>
      <c r="G654" s="8" t="n"/>
      <c r="H654" s="8" t="n"/>
      <c r="I654" s="8" t="n"/>
      <c r="J654" s="8" t="n"/>
      <c r="K654" s="8" t="n"/>
      <c r="L654" s="8" t="n">
        <v>190</v>
      </c>
      <c r="M654" s="8" t="n"/>
      <c r="N654" s="8" t="n"/>
      <c r="O654" s="8" t="n"/>
      <c r="P654" s="8" t="n"/>
      <c r="Q654" s="8">
        <f>IF(COUNT(D654:P654)=0,"",MIN(D654:P654))</f>
        <v/>
      </c>
      <c r="R654" s="8">
        <f>IF(COUNT(D654:P654)=0,"",MEDIAN(D654:P654))</f>
        <v/>
      </c>
      <c r="S654" s="8">
        <f>IF(COUNT(D654:P654)=0,"",MAX(D654:P654))</f>
        <v/>
      </c>
      <c r="T654" s="9">
        <f>IF(OR(Q654="",Q654=0),"",(S654-Q654)/Q654)</f>
        <v/>
      </c>
      <c r="U654" s="7">
        <f>IF(COUNT(D654:P654)=0,"",INDEX($D$1:$P$1,MATCH(MIN(D654:P654),D654:P654,0)))</f>
        <v/>
      </c>
      <c r="V654" s="8" t="n">
        <v>515</v>
      </c>
      <c r="W654" s="10" t="n">
        <v>2</v>
      </c>
    </row>
    <row r="655">
      <c r="A655" s="7" t="inlineStr">
        <is>
          <t>MAT-10-046</t>
        </is>
      </c>
      <c r="B655" s="4" t="inlineStr">
        <is>
          <t>Bombillo LED de 12 W</t>
        </is>
      </c>
      <c r="C655" s="7" t="inlineStr">
        <is>
          <t>unidad</t>
        </is>
      </c>
      <c r="D655" s="8" t="n"/>
      <c r="E655" s="8" t="n">
        <v>75</v>
      </c>
      <c r="F655" s="8" t="n"/>
      <c r="G655" s="8" t="n"/>
      <c r="H655" s="8" t="n"/>
      <c r="I655" s="8" t="n">
        <v>220</v>
      </c>
      <c r="J655" s="8" t="n">
        <v>106</v>
      </c>
      <c r="K655" s="8" t="n"/>
      <c r="L655" s="8" t="n">
        <v>60</v>
      </c>
      <c r="M655" s="8" t="n"/>
      <c r="N655" s="8" t="n"/>
      <c r="O655" s="8" t="n"/>
      <c r="P655" s="8" t="n"/>
      <c r="Q655" s="8">
        <f>IF(COUNT(D655:P655)=0,"",MIN(D655:P655))</f>
        <v/>
      </c>
      <c r="R655" s="8">
        <f>IF(COUNT(D655:P655)=0,"",MEDIAN(D655:P655))</f>
        <v/>
      </c>
      <c r="S655" s="8">
        <f>IF(COUNT(D655:P655)=0,"",MAX(D655:P655))</f>
        <v/>
      </c>
      <c r="T655" s="9">
        <f>IF(OR(Q655="",Q655=0),"",(S655-Q655)/Q655)</f>
        <v/>
      </c>
      <c r="U655" s="7">
        <f>IF(COUNT(D655:P655)=0,"",INDEX($D$1:$P$1,MATCH(MIN(D655:P655),D655:P655,0)))</f>
        <v/>
      </c>
      <c r="V655" s="8" t="n">
        <v>202</v>
      </c>
      <c r="W655" s="10" t="n">
        <v>4</v>
      </c>
    </row>
    <row r="656">
      <c r="A656" s="7" t="inlineStr">
        <is>
          <t>MAT-10-047</t>
        </is>
      </c>
      <c r="B656" s="4" t="inlineStr">
        <is>
          <t>Bombillo led de 125 W</t>
        </is>
      </c>
      <c r="C656" s="7" t="inlineStr">
        <is>
          <t>unidad</t>
        </is>
      </c>
      <c r="D656" s="8" t="n"/>
      <c r="E656" s="8" t="n"/>
      <c r="F656" s="8" t="n"/>
      <c r="G656" s="8" t="n"/>
      <c r="H656" s="8" t="n"/>
      <c r="I656" s="8" t="n">
        <v>295</v>
      </c>
      <c r="J656" s="8" t="n"/>
      <c r="K656" s="8" t="n"/>
      <c r="L656" s="8" t="n"/>
      <c r="M656" s="8" t="n"/>
      <c r="N656" s="8" t="n"/>
      <c r="O656" s="8" t="n"/>
      <c r="P656" s="8" t="n"/>
      <c r="Q656" s="8">
        <f>IF(COUNT(D656:P656)=0,"",MIN(D656:P656))</f>
        <v/>
      </c>
      <c r="R656" s="8">
        <f>IF(COUNT(D656:P656)=0,"",MEDIAN(D656:P656))</f>
        <v/>
      </c>
      <c r="S656" s="8">
        <f>IF(COUNT(D656:P656)=0,"",MAX(D656:P656))</f>
        <v/>
      </c>
      <c r="T656" s="9">
        <f>IF(OR(Q656="",Q656=0),"",(S656-Q656)/Q656)</f>
        <v/>
      </c>
      <c r="U656" s="7">
        <f>IF(COUNT(D656:P656)=0,"",INDEX($D$1:$P$1,MATCH(MIN(D656:P656),D656:P656,0)))</f>
        <v/>
      </c>
      <c r="V656" s="8" t="n">
        <v>295</v>
      </c>
      <c r="W656" s="10" t="n">
        <v>1</v>
      </c>
    </row>
    <row r="657">
      <c r="A657" s="7" t="inlineStr">
        <is>
          <t>MAT-10-048</t>
        </is>
      </c>
      <c r="B657" s="4" t="inlineStr">
        <is>
          <t>Bombillo led de 13 W</t>
        </is>
      </c>
      <c r="C657" s="7" t="inlineStr">
        <is>
          <t>unidad</t>
        </is>
      </c>
      <c r="D657" s="8" t="n"/>
      <c r="E657" s="8" t="n">
        <v>245</v>
      </c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>
        <f>IF(COUNT(D657:P657)=0,"",MIN(D657:P657))</f>
        <v/>
      </c>
      <c r="R657" s="8">
        <f>IF(COUNT(D657:P657)=0,"",MEDIAN(D657:P657))</f>
        <v/>
      </c>
      <c r="S657" s="8">
        <f>IF(COUNT(D657:P657)=0,"",MAX(D657:P657))</f>
        <v/>
      </c>
      <c r="T657" s="9">
        <f>IF(OR(Q657="",Q657=0),"",(S657-Q657)/Q657)</f>
        <v/>
      </c>
      <c r="U657" s="7">
        <f>IF(COUNT(D657:P657)=0,"",INDEX($D$1:$P$1,MATCH(MIN(D657:P657),D657:P657,0)))</f>
        <v/>
      </c>
      <c r="V657" s="8" t="n">
        <v>245</v>
      </c>
      <c r="W657" s="10" t="n">
        <v>1</v>
      </c>
    </row>
    <row r="658">
      <c r="A658" s="7" t="inlineStr">
        <is>
          <t>MAT-10-049</t>
        </is>
      </c>
      <c r="B658" s="4" t="inlineStr">
        <is>
          <t>Bombillo LED de 14 W</t>
        </is>
      </c>
      <c r="C658" s="7" t="inlineStr">
        <is>
          <t>unidad</t>
        </is>
      </c>
      <c r="D658" s="8" t="n"/>
      <c r="E658" s="8" t="n">
        <v>218</v>
      </c>
      <c r="F658" s="8" t="n"/>
      <c r="G658" s="8" t="n"/>
      <c r="H658" s="8" t="n"/>
      <c r="I658" s="8" t="n">
        <v>69</v>
      </c>
      <c r="J658" s="8" t="n"/>
      <c r="K658" s="8" t="n"/>
      <c r="L658" s="8" t="n">
        <v>240</v>
      </c>
      <c r="M658" s="8" t="n"/>
      <c r="N658" s="8" t="n"/>
      <c r="O658" s="8" t="n"/>
      <c r="P658" s="8" t="n"/>
      <c r="Q658" s="8">
        <f>IF(COUNT(D658:P658)=0,"",MIN(D658:P658))</f>
        <v/>
      </c>
      <c r="R658" s="8">
        <f>IF(COUNT(D658:P658)=0,"",MEDIAN(D658:P658))</f>
        <v/>
      </c>
      <c r="S658" s="8">
        <f>IF(COUNT(D658:P658)=0,"",MAX(D658:P658))</f>
        <v/>
      </c>
      <c r="T658" s="9">
        <f>IF(OR(Q658="",Q658=0),"",(S658-Q658)/Q658)</f>
        <v/>
      </c>
      <c r="U658" s="7">
        <f>IF(COUNT(D658:P658)=0,"",INDEX($D$1:$P$1,MATCH(MIN(D658:P658),D658:P658,0)))</f>
        <v/>
      </c>
      <c r="V658" s="8" t="n">
        <v>240</v>
      </c>
      <c r="W658" s="10" t="n">
        <v>3</v>
      </c>
    </row>
    <row r="659">
      <c r="A659" s="7" t="inlineStr">
        <is>
          <t>MAT-10-050</t>
        </is>
      </c>
      <c r="B659" s="4" t="inlineStr">
        <is>
          <t>Bombillo LED de 15 W</t>
        </is>
      </c>
      <c r="C659" s="7" t="inlineStr">
        <is>
          <t>unidad</t>
        </is>
      </c>
      <c r="D659" s="8" t="n"/>
      <c r="E659" s="8" t="n">
        <v>35</v>
      </c>
      <c r="F659" s="8" t="n"/>
      <c r="G659" s="8" t="n"/>
      <c r="H659" s="8" t="n"/>
      <c r="I659" s="8" t="n"/>
      <c r="J659" s="8" t="n">
        <v>142</v>
      </c>
      <c r="K659" s="8" t="n"/>
      <c r="L659" s="8" t="n">
        <v>130</v>
      </c>
      <c r="M659" s="8" t="n"/>
      <c r="N659" s="8" t="n"/>
      <c r="O659" s="8" t="n"/>
      <c r="P659" s="8" t="n"/>
      <c r="Q659" s="8">
        <f>IF(COUNT(D659:P659)=0,"",MIN(D659:P659))</f>
        <v/>
      </c>
      <c r="R659" s="8">
        <f>IF(COUNT(D659:P659)=0,"",MEDIAN(D659:P659))</f>
        <v/>
      </c>
      <c r="S659" s="8">
        <f>IF(COUNT(D659:P659)=0,"",MAX(D659:P659))</f>
        <v/>
      </c>
      <c r="T659" s="9">
        <f>IF(OR(Q659="",Q659=0),"",(S659-Q659)/Q659)</f>
        <v/>
      </c>
      <c r="U659" s="7">
        <f>IF(COUNT(D659:P659)=0,"",INDEX($D$1:$P$1,MATCH(MIN(D659:P659),D659:P659,0)))</f>
        <v/>
      </c>
      <c r="V659" s="8" t="n">
        <v>140</v>
      </c>
      <c r="W659" s="10" t="n">
        <v>3</v>
      </c>
    </row>
    <row r="660">
      <c r="A660" s="7" t="inlineStr">
        <is>
          <t>MAT-10-051</t>
        </is>
      </c>
      <c r="B660" s="4" t="inlineStr">
        <is>
          <t>Bombillo LED de 18 W</t>
        </is>
      </c>
      <c r="C660" s="7" t="inlineStr">
        <is>
          <t>unidad</t>
        </is>
      </c>
      <c r="D660" s="8" t="n"/>
      <c r="E660" s="8" t="n">
        <v>95</v>
      </c>
      <c r="F660" s="8" t="n"/>
      <c r="G660" s="8" t="n"/>
      <c r="H660" s="8" t="n"/>
      <c r="I660" s="8" t="n">
        <v>129</v>
      </c>
      <c r="J660" s="8" t="n"/>
      <c r="K660" s="8" t="n"/>
      <c r="L660" s="8" t="n">
        <v>260</v>
      </c>
      <c r="M660" s="8" t="n"/>
      <c r="N660" s="8" t="n"/>
      <c r="O660" s="8" t="n"/>
      <c r="P660" s="8" t="n"/>
      <c r="Q660" s="8">
        <f>IF(COUNT(D660:P660)=0,"",MIN(D660:P660))</f>
        <v/>
      </c>
      <c r="R660" s="8">
        <f>IF(COUNT(D660:P660)=0,"",MEDIAN(D660:P660))</f>
        <v/>
      </c>
      <c r="S660" s="8">
        <f>IF(COUNT(D660:P660)=0,"",MAX(D660:P660))</f>
        <v/>
      </c>
      <c r="T660" s="9">
        <f>IF(OR(Q660="",Q660=0),"",(S660-Q660)/Q660)</f>
        <v/>
      </c>
      <c r="U660" s="7">
        <f>IF(COUNT(D660:P660)=0,"",INDEX($D$1:$P$1,MATCH(MIN(D660:P660),D660:P660,0)))</f>
        <v/>
      </c>
      <c r="V660" s="8" t="n">
        <v>132</v>
      </c>
      <c r="W660" s="10" t="n">
        <v>3</v>
      </c>
    </row>
    <row r="661">
      <c r="A661" s="7" t="inlineStr">
        <is>
          <t>MAT-10-052</t>
        </is>
      </c>
      <c r="B661" s="4" t="inlineStr">
        <is>
          <t>Bombillo led de 2 W</t>
        </is>
      </c>
      <c r="C661" s="7" t="inlineStr">
        <is>
          <t>unidad</t>
        </is>
      </c>
      <c r="D661" s="8" t="n"/>
      <c r="E661" s="8" t="n">
        <v>265</v>
      </c>
      <c r="F661" s="8" t="n"/>
      <c r="G661" s="8" t="n"/>
      <c r="H661" s="8" t="n"/>
      <c r="I661" s="8" t="n">
        <v>250</v>
      </c>
      <c r="J661" s="8" t="n"/>
      <c r="K661" s="8" t="n"/>
      <c r="L661" s="8" t="n"/>
      <c r="M661" s="8" t="n"/>
      <c r="N661" s="8" t="n"/>
      <c r="O661" s="8" t="n"/>
      <c r="P661" s="8" t="n"/>
      <c r="Q661" s="8">
        <f>IF(COUNT(D661:P661)=0,"",MIN(D661:P661))</f>
        <v/>
      </c>
      <c r="R661" s="8">
        <f>IF(COUNT(D661:P661)=0,"",MEDIAN(D661:P661))</f>
        <v/>
      </c>
      <c r="S661" s="8">
        <f>IF(COUNT(D661:P661)=0,"",MAX(D661:P661))</f>
        <v/>
      </c>
      <c r="T661" s="9">
        <f>IF(OR(Q661="",Q661=0),"",(S661-Q661)/Q661)</f>
        <v/>
      </c>
      <c r="U661" s="7">
        <f>IF(COUNT(D661:P661)=0,"",INDEX($D$1:$P$1,MATCH(MIN(D661:P661),D661:P661,0)))</f>
        <v/>
      </c>
      <c r="V661" s="8" t="n">
        <v>265</v>
      </c>
      <c r="W661" s="10" t="n">
        <v>2</v>
      </c>
    </row>
    <row r="662">
      <c r="A662" s="7" t="inlineStr">
        <is>
          <t>MAT-10-053</t>
        </is>
      </c>
      <c r="B662" s="4" t="inlineStr">
        <is>
          <t>Bombillo LED de 2.5 W</t>
        </is>
      </c>
      <c r="C662" s="7" t="inlineStr">
        <is>
          <t>unidad</t>
        </is>
      </c>
      <c r="D662" s="8" t="n"/>
      <c r="E662" s="8" t="n">
        <v>265</v>
      </c>
      <c r="F662" s="8" t="n"/>
      <c r="G662" s="8" t="n"/>
      <c r="H662" s="8" t="n"/>
      <c r="I662" s="8" t="n"/>
      <c r="J662" s="8" t="n"/>
      <c r="K662" s="8" t="n"/>
      <c r="L662" s="8" t="n">
        <v>310</v>
      </c>
      <c r="M662" s="8" t="n"/>
      <c r="N662" s="8" t="n"/>
      <c r="O662" s="8" t="n"/>
      <c r="P662" s="8" t="n"/>
      <c r="Q662" s="8">
        <f>IF(COUNT(D662:P662)=0,"",MIN(D662:P662))</f>
        <v/>
      </c>
      <c r="R662" s="8">
        <f>IF(COUNT(D662:P662)=0,"",MEDIAN(D662:P662))</f>
        <v/>
      </c>
      <c r="S662" s="8">
        <f>IF(COUNT(D662:P662)=0,"",MAX(D662:P662))</f>
        <v/>
      </c>
      <c r="T662" s="9">
        <f>IF(OR(Q662="",Q662=0),"",(S662-Q662)/Q662)</f>
        <v/>
      </c>
      <c r="U662" s="7">
        <f>IF(COUNT(D662:P662)=0,"",INDEX($D$1:$P$1,MATCH(MIN(D662:P662),D662:P662,0)))</f>
        <v/>
      </c>
      <c r="V662" s="8" t="n">
        <v>265</v>
      </c>
      <c r="W662" s="10" t="n">
        <v>2</v>
      </c>
    </row>
    <row r="663">
      <c r="A663" s="7" t="inlineStr">
        <is>
          <t>MAT-10-054</t>
        </is>
      </c>
      <c r="B663" s="4" t="inlineStr">
        <is>
          <t>Bombillo led de 20 W</t>
        </is>
      </c>
      <c r="C663" s="7" t="inlineStr">
        <is>
          <t>unidad</t>
        </is>
      </c>
      <c r="D663" s="8" t="n"/>
      <c r="E663" s="8" t="n">
        <v>215</v>
      </c>
      <c r="F663" s="8" t="n"/>
      <c r="G663" s="8" t="n"/>
      <c r="H663" s="8" t="n"/>
      <c r="I663" s="8" t="n">
        <v>149</v>
      </c>
      <c r="J663" s="8" t="n"/>
      <c r="K663" s="8" t="n"/>
      <c r="L663" s="8" t="n"/>
      <c r="M663" s="8" t="n"/>
      <c r="N663" s="8" t="n"/>
      <c r="O663" s="8" t="n"/>
      <c r="P663" s="8" t="n"/>
      <c r="Q663" s="8">
        <f>IF(COUNT(D663:P663)=0,"",MIN(D663:P663))</f>
        <v/>
      </c>
      <c r="R663" s="8">
        <f>IF(COUNT(D663:P663)=0,"",MEDIAN(D663:P663))</f>
        <v/>
      </c>
      <c r="S663" s="8">
        <f>IF(COUNT(D663:P663)=0,"",MAX(D663:P663))</f>
        <v/>
      </c>
      <c r="T663" s="9">
        <f>IF(OR(Q663="",Q663=0),"",(S663-Q663)/Q663)</f>
        <v/>
      </c>
      <c r="U663" s="7">
        <f>IF(COUNT(D663:P663)=0,"",INDEX($D$1:$P$1,MATCH(MIN(D663:P663),D663:P663,0)))</f>
        <v/>
      </c>
      <c r="V663" s="8" t="n">
        <v>222.5</v>
      </c>
      <c r="W663" s="10" t="n">
        <v>2</v>
      </c>
    </row>
    <row r="664">
      <c r="A664" s="7" t="inlineStr">
        <is>
          <t>MAT-10-055</t>
        </is>
      </c>
      <c r="B664" s="4" t="inlineStr">
        <is>
          <t>Bombillo led de 25 W</t>
        </is>
      </c>
      <c r="C664" s="7" t="inlineStr">
        <is>
          <t>unidad</t>
        </is>
      </c>
      <c r="D664" s="8" t="n"/>
      <c r="E664" s="8" t="n"/>
      <c r="F664" s="8" t="n"/>
      <c r="G664" s="8" t="n"/>
      <c r="H664" s="8" t="n"/>
      <c r="I664" s="8" t="n">
        <v>199</v>
      </c>
      <c r="J664" s="8" t="n"/>
      <c r="K664" s="8" t="n"/>
      <c r="L664" s="8" t="n"/>
      <c r="M664" s="8" t="n"/>
      <c r="N664" s="8" t="n"/>
      <c r="O664" s="8" t="n"/>
      <c r="P664" s="8" t="n"/>
      <c r="Q664" s="8">
        <f>IF(COUNT(D664:P664)=0,"",MIN(D664:P664))</f>
        <v/>
      </c>
      <c r="R664" s="8">
        <f>IF(COUNT(D664:P664)=0,"",MEDIAN(D664:P664))</f>
        <v/>
      </c>
      <c r="S664" s="8">
        <f>IF(COUNT(D664:P664)=0,"",MAX(D664:P664))</f>
        <v/>
      </c>
      <c r="T664" s="9">
        <f>IF(OR(Q664="",Q664=0),"",(S664-Q664)/Q664)</f>
        <v/>
      </c>
      <c r="U664" s="7">
        <f>IF(COUNT(D664:P664)=0,"",INDEX($D$1:$P$1,MATCH(MIN(D664:P664),D664:P664,0)))</f>
        <v/>
      </c>
      <c r="V664" s="8" t="n">
        <v>214</v>
      </c>
      <c r="W664" s="10" t="n">
        <v>1</v>
      </c>
    </row>
    <row r="665">
      <c r="A665" s="7" t="inlineStr">
        <is>
          <t>MAT-10-056</t>
        </is>
      </c>
      <c r="B665" s="4" t="inlineStr">
        <is>
          <t>Bombillo led de 28 W</t>
        </is>
      </c>
      <c r="C665" s="7" t="inlineStr">
        <is>
          <t>unidad</t>
        </is>
      </c>
      <c r="D665" s="8" t="n"/>
      <c r="E665" s="8" t="n">
        <v>455</v>
      </c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>
        <f>IF(COUNT(D665:P665)=0,"",MIN(D665:P665))</f>
        <v/>
      </c>
      <c r="R665" s="8">
        <f>IF(COUNT(D665:P665)=0,"",MEDIAN(D665:P665))</f>
        <v/>
      </c>
      <c r="S665" s="8">
        <f>IF(COUNT(D665:P665)=0,"",MAX(D665:P665))</f>
        <v/>
      </c>
      <c r="T665" s="9">
        <f>IF(OR(Q665="",Q665=0),"",(S665-Q665)/Q665)</f>
        <v/>
      </c>
      <c r="U665" s="7">
        <f>IF(COUNT(D665:P665)=0,"",INDEX($D$1:$P$1,MATCH(MIN(D665:P665),D665:P665,0)))</f>
        <v/>
      </c>
      <c r="V665" s="8" t="n">
        <v>455</v>
      </c>
      <c r="W665" s="10" t="n">
        <v>1</v>
      </c>
    </row>
    <row r="666">
      <c r="A666" s="7" t="inlineStr">
        <is>
          <t>MAT-10-057</t>
        </is>
      </c>
      <c r="B666" s="4" t="inlineStr">
        <is>
          <t>Bombillo LED de 3 W</t>
        </is>
      </c>
      <c r="C666" s="7" t="inlineStr">
        <is>
          <t>unidad</t>
        </is>
      </c>
      <c r="D666" s="8" t="n"/>
      <c r="E666" s="8" t="n">
        <v>195</v>
      </c>
      <c r="F666" s="8" t="n"/>
      <c r="G666" s="8" t="n"/>
      <c r="H666" s="8" t="n"/>
      <c r="I666" s="8" t="n">
        <v>50</v>
      </c>
      <c r="J666" s="8" t="n">
        <v>140</v>
      </c>
      <c r="K666" s="8" t="n"/>
      <c r="L666" s="8" t="n">
        <v>150</v>
      </c>
      <c r="M666" s="8" t="n"/>
      <c r="N666" s="8" t="n"/>
      <c r="O666" s="8" t="n"/>
      <c r="P666" s="8" t="n"/>
      <c r="Q666" s="8">
        <f>IF(COUNT(D666:P666)=0,"",MIN(D666:P666))</f>
        <v/>
      </c>
      <c r="R666" s="8">
        <f>IF(COUNT(D666:P666)=0,"",MEDIAN(D666:P666))</f>
        <v/>
      </c>
      <c r="S666" s="8">
        <f>IF(COUNT(D666:P666)=0,"",MAX(D666:P666))</f>
        <v/>
      </c>
      <c r="T666" s="9">
        <f>IF(OR(Q666="",Q666=0),"",(S666-Q666)/Q666)</f>
        <v/>
      </c>
      <c r="U666" s="7">
        <f>IF(COUNT(D666:P666)=0,"",INDEX($D$1:$P$1,MATCH(MIN(D666:P666),D666:P666,0)))</f>
        <v/>
      </c>
      <c r="V666" s="8" t="n">
        <v>150</v>
      </c>
      <c r="W666" s="10" t="n">
        <v>4</v>
      </c>
    </row>
    <row r="667">
      <c r="A667" s="7" t="inlineStr">
        <is>
          <t>MAT-10-058</t>
        </is>
      </c>
      <c r="B667" s="4" t="inlineStr">
        <is>
          <t>Bombillo led de 3.5 W</t>
        </is>
      </c>
      <c r="C667" s="7" t="inlineStr">
        <is>
          <t>unidad</t>
        </is>
      </c>
      <c r="D667" s="8" t="n"/>
      <c r="E667" s="8" t="n"/>
      <c r="F667" s="8" t="n"/>
      <c r="G667" s="8" t="n"/>
      <c r="H667" s="8" t="n"/>
      <c r="I667" s="8" t="n">
        <v>474.36</v>
      </c>
      <c r="J667" s="8" t="n"/>
      <c r="K667" s="8" t="n"/>
      <c r="L667" s="8" t="n"/>
      <c r="M667" s="8" t="n"/>
      <c r="N667" s="8" t="n"/>
      <c r="O667" s="8" t="n"/>
      <c r="P667" s="8" t="n"/>
      <c r="Q667" s="8">
        <f>IF(COUNT(D667:P667)=0,"",MIN(D667:P667))</f>
        <v/>
      </c>
      <c r="R667" s="8">
        <f>IF(COUNT(D667:P667)=0,"",MEDIAN(D667:P667))</f>
        <v/>
      </c>
      <c r="S667" s="8">
        <f>IF(COUNT(D667:P667)=0,"",MAX(D667:P667))</f>
        <v/>
      </c>
      <c r="T667" s="9">
        <f>IF(OR(Q667="",Q667=0),"",(S667-Q667)/Q667)</f>
        <v/>
      </c>
      <c r="U667" s="7">
        <f>IF(COUNT(D667:P667)=0,"",INDEX($D$1:$P$1,MATCH(MIN(D667:P667),D667:P667,0)))</f>
        <v/>
      </c>
      <c r="V667" s="8" t="n">
        <v>474.36</v>
      </c>
      <c r="W667" s="10" t="n">
        <v>1</v>
      </c>
    </row>
    <row r="668">
      <c r="A668" s="7" t="inlineStr">
        <is>
          <t>MAT-10-059</t>
        </is>
      </c>
      <c r="B668" s="4" t="inlineStr">
        <is>
          <t>Bombillo LED de 30 W</t>
        </is>
      </c>
      <c r="C668" s="7" t="inlineStr">
        <is>
          <t>unidad</t>
        </is>
      </c>
      <c r="D668" s="8" t="n"/>
      <c r="E668" s="8" t="n">
        <v>123</v>
      </c>
      <c r="F668" s="8" t="n"/>
      <c r="G668" s="8" t="n"/>
      <c r="H668" s="8" t="n"/>
      <c r="I668" s="8" t="n"/>
      <c r="J668" s="8" t="n"/>
      <c r="K668" s="8" t="n"/>
      <c r="L668" s="8" t="n">
        <v>595</v>
      </c>
      <c r="M668" s="8" t="n"/>
      <c r="N668" s="8" t="n"/>
      <c r="O668" s="8" t="n"/>
      <c r="P668" s="8" t="n"/>
      <c r="Q668" s="8">
        <f>IF(COUNT(D668:P668)=0,"",MIN(D668:P668))</f>
        <v/>
      </c>
      <c r="R668" s="8">
        <f>IF(COUNT(D668:P668)=0,"",MEDIAN(D668:P668))</f>
        <v/>
      </c>
      <c r="S668" s="8">
        <f>IF(COUNT(D668:P668)=0,"",MAX(D668:P668))</f>
        <v/>
      </c>
      <c r="T668" s="9">
        <f>IF(OR(Q668="",Q668=0),"",(S668-Q668)/Q668)</f>
        <v/>
      </c>
      <c r="U668" s="7">
        <f>IF(COUNT(D668:P668)=0,"",INDEX($D$1:$P$1,MATCH(MIN(D668:P668),D668:P668,0)))</f>
        <v/>
      </c>
      <c r="V668" s="8" t="n">
        <v>385</v>
      </c>
      <c r="W668" s="10" t="n">
        <v>2</v>
      </c>
    </row>
    <row r="669">
      <c r="A669" s="7" t="inlineStr">
        <is>
          <t>MAT-10-060</t>
        </is>
      </c>
      <c r="B669" s="4" t="inlineStr">
        <is>
          <t>Bombillo LED de 35 W</t>
        </is>
      </c>
      <c r="C669" s="7" t="inlineStr">
        <is>
          <t>unidad</t>
        </is>
      </c>
      <c r="D669" s="8" t="n"/>
      <c r="E669" s="8" t="n"/>
      <c r="F669" s="8" t="n"/>
      <c r="G669" s="8" t="n"/>
      <c r="H669" s="8" t="n"/>
      <c r="I669" s="8" t="n">
        <v>339</v>
      </c>
      <c r="J669" s="8" t="n"/>
      <c r="K669" s="8" t="n"/>
      <c r="L669" s="8" t="n">
        <v>1195</v>
      </c>
      <c r="M669" s="8" t="n"/>
      <c r="N669" s="8" t="n"/>
      <c r="O669" s="8" t="n"/>
      <c r="P669" s="8" t="n"/>
      <c r="Q669" s="8">
        <f>IF(COUNT(D669:P669)=0,"",MIN(D669:P669))</f>
        <v/>
      </c>
      <c r="R669" s="8">
        <f>IF(COUNT(D669:P669)=0,"",MEDIAN(D669:P669))</f>
        <v/>
      </c>
      <c r="S669" s="8">
        <f>IF(COUNT(D669:P669)=0,"",MAX(D669:P669))</f>
        <v/>
      </c>
      <c r="T669" s="9">
        <f>IF(OR(Q669="",Q669=0),"",(S669-Q669)/Q669)</f>
        <v/>
      </c>
      <c r="U669" s="7">
        <f>IF(COUNT(D669:P669)=0,"",INDEX($D$1:$P$1,MATCH(MIN(D669:P669),D669:P669,0)))</f>
        <v/>
      </c>
      <c r="V669" s="8" t="n">
        <v>767</v>
      </c>
      <c r="W669" s="10" t="n">
        <v>2</v>
      </c>
    </row>
    <row r="670">
      <c r="A670" s="7" t="inlineStr">
        <is>
          <t>MAT-10-061</t>
        </is>
      </c>
      <c r="B670" s="4" t="inlineStr">
        <is>
          <t>Bombillo LED de 4 W</t>
        </is>
      </c>
      <c r="C670" s="7" t="inlineStr">
        <is>
          <t>unidad</t>
        </is>
      </c>
      <c r="D670" s="8" t="n"/>
      <c r="E670" s="8" t="n">
        <v>186</v>
      </c>
      <c r="F670" s="8" t="n"/>
      <c r="G670" s="8" t="n"/>
      <c r="H670" s="8" t="n"/>
      <c r="I670" s="8" t="n"/>
      <c r="J670" s="8" t="n">
        <v>130</v>
      </c>
      <c r="K670" s="8" t="n"/>
      <c r="L670" s="8" t="n">
        <v>64.98999999999999</v>
      </c>
      <c r="M670" s="8" t="n"/>
      <c r="N670" s="8" t="n"/>
      <c r="O670" s="8" t="n"/>
      <c r="P670" s="8" t="n"/>
      <c r="Q670" s="8">
        <f>IF(COUNT(D670:P670)=0,"",MIN(D670:P670))</f>
        <v/>
      </c>
      <c r="R670" s="8">
        <f>IF(COUNT(D670:P670)=0,"",MEDIAN(D670:P670))</f>
        <v/>
      </c>
      <c r="S670" s="8">
        <f>IF(COUNT(D670:P670)=0,"",MAX(D670:P670))</f>
        <v/>
      </c>
      <c r="T670" s="9">
        <f>IF(OR(Q670="",Q670=0),"",(S670-Q670)/Q670)</f>
        <v/>
      </c>
      <c r="U670" s="7">
        <f>IF(COUNT(D670:P670)=0,"",INDEX($D$1:$P$1,MATCH(MIN(D670:P670),D670:P670,0)))</f>
        <v/>
      </c>
      <c r="V670" s="8" t="n">
        <v>180</v>
      </c>
      <c r="W670" s="10" t="n">
        <v>3</v>
      </c>
    </row>
    <row r="671">
      <c r="A671" s="7" t="inlineStr">
        <is>
          <t>MAT-10-062</t>
        </is>
      </c>
      <c r="B671" s="4" t="inlineStr">
        <is>
          <t>Bombillo LED de 4.9 W</t>
        </is>
      </c>
      <c r="C671" s="7" t="inlineStr">
        <is>
          <t>unidad</t>
        </is>
      </c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>
        <v>105</v>
      </c>
      <c r="M671" s="8" t="n"/>
      <c r="N671" s="8" t="n"/>
      <c r="O671" s="8" t="n"/>
      <c r="P671" s="8" t="n"/>
      <c r="Q671" s="8">
        <f>IF(COUNT(D671:P671)=0,"",MIN(D671:P671))</f>
        <v/>
      </c>
      <c r="R671" s="8">
        <f>IF(COUNT(D671:P671)=0,"",MEDIAN(D671:P671))</f>
        <v/>
      </c>
      <c r="S671" s="8">
        <f>IF(COUNT(D671:P671)=0,"",MAX(D671:P671))</f>
        <v/>
      </c>
      <c r="T671" s="9">
        <f>IF(OR(Q671="",Q671=0),"",(S671-Q671)/Q671)</f>
        <v/>
      </c>
      <c r="U671" s="7">
        <f>IF(COUNT(D671:P671)=0,"",INDEX($D$1:$P$1,MATCH(MIN(D671:P671),D671:P671,0)))</f>
        <v/>
      </c>
      <c r="V671" s="8" t="n">
        <v>105</v>
      </c>
      <c r="W671" s="10" t="n">
        <v>1</v>
      </c>
    </row>
    <row r="672">
      <c r="A672" s="7" t="inlineStr">
        <is>
          <t>MAT-10-063</t>
        </is>
      </c>
      <c r="B672" s="4" t="inlineStr">
        <is>
          <t>Bombillo LED de 40 W</t>
        </is>
      </c>
      <c r="C672" s="7" t="inlineStr">
        <is>
          <t>unidad</t>
        </is>
      </c>
      <c r="D672" s="8" t="n"/>
      <c r="E672" s="8" t="n">
        <v>490</v>
      </c>
      <c r="F672" s="8" t="n"/>
      <c r="G672" s="8" t="n"/>
      <c r="H672" s="8" t="n"/>
      <c r="I672" s="8" t="n">
        <v>470</v>
      </c>
      <c r="J672" s="8" t="n"/>
      <c r="K672" s="8" t="n"/>
      <c r="L672" s="8" t="n">
        <v>709.99</v>
      </c>
      <c r="M672" s="8" t="n"/>
      <c r="N672" s="8" t="n"/>
      <c r="O672" s="8" t="n"/>
      <c r="P672" s="8" t="n"/>
      <c r="Q672" s="8">
        <f>IF(COUNT(D672:P672)=0,"",MIN(D672:P672))</f>
        <v/>
      </c>
      <c r="R672" s="8">
        <f>IF(COUNT(D672:P672)=0,"",MEDIAN(D672:P672))</f>
        <v/>
      </c>
      <c r="S672" s="8">
        <f>IF(COUNT(D672:P672)=0,"",MAX(D672:P672))</f>
        <v/>
      </c>
      <c r="T672" s="9">
        <f>IF(OR(Q672="",Q672=0),"",(S672-Q672)/Q672)</f>
        <v/>
      </c>
      <c r="U672" s="7">
        <f>IF(COUNT(D672:P672)=0,"",INDEX($D$1:$P$1,MATCH(MIN(D672:P672),D672:P672,0)))</f>
        <v/>
      </c>
      <c r="V672" s="8" t="n">
        <v>500</v>
      </c>
      <c r="W672" s="10" t="n">
        <v>3</v>
      </c>
    </row>
    <row r="673">
      <c r="A673" s="7" t="inlineStr">
        <is>
          <t>MAT-10-064</t>
        </is>
      </c>
      <c r="B673" s="4" t="inlineStr">
        <is>
          <t>Bombillo LED de 5 W</t>
        </is>
      </c>
      <c r="C673" s="7" t="inlineStr">
        <is>
          <t>unidad</t>
        </is>
      </c>
      <c r="D673" s="8" t="n"/>
      <c r="E673" s="8" t="n">
        <v>47.45</v>
      </c>
      <c r="F673" s="8" t="n"/>
      <c r="G673" s="8" t="n"/>
      <c r="H673" s="8" t="n"/>
      <c r="I673" s="8" t="n">
        <v>123</v>
      </c>
      <c r="J673" s="8" t="n">
        <v>58</v>
      </c>
      <c r="K673" s="8" t="n"/>
      <c r="L673" s="8" t="n">
        <v>272.01</v>
      </c>
      <c r="M673" s="8" t="n"/>
      <c r="N673" s="8" t="n"/>
      <c r="O673" s="8" t="n"/>
      <c r="P673" s="8" t="n"/>
      <c r="Q673" s="8">
        <f>IF(COUNT(D673:P673)=0,"",MIN(D673:P673))</f>
        <v/>
      </c>
      <c r="R673" s="8">
        <f>IF(COUNT(D673:P673)=0,"",MEDIAN(D673:P673))</f>
        <v/>
      </c>
      <c r="S673" s="8">
        <f>IF(COUNT(D673:P673)=0,"",MAX(D673:P673))</f>
        <v/>
      </c>
      <c r="T673" s="9">
        <f>IF(OR(Q673="",Q673=0),"",(S673-Q673)/Q673)</f>
        <v/>
      </c>
      <c r="U673" s="7">
        <f>IF(COUNT(D673:P673)=0,"",INDEX($D$1:$P$1,MATCH(MIN(D673:P673),D673:P673,0)))</f>
        <v/>
      </c>
      <c r="V673" s="8" t="n">
        <v>180</v>
      </c>
      <c r="W673" s="10" t="n">
        <v>4</v>
      </c>
    </row>
    <row r="674">
      <c r="A674" s="7" t="inlineStr">
        <is>
          <t>MAT-10-065</t>
        </is>
      </c>
      <c r="B674" s="4" t="inlineStr">
        <is>
          <t>Bombillo LED de 50 W</t>
        </is>
      </c>
      <c r="C674" s="7" t="inlineStr">
        <is>
          <t>unidad</t>
        </is>
      </c>
      <c r="D674" s="8" t="n"/>
      <c r="E674" s="8" t="n">
        <v>166</v>
      </c>
      <c r="F674" s="8" t="n"/>
      <c r="G674" s="8" t="n"/>
      <c r="H674" s="8" t="n"/>
      <c r="I674" s="8" t="n"/>
      <c r="J674" s="8" t="n"/>
      <c r="K674" s="8" t="n"/>
      <c r="L674" s="8" t="n">
        <v>990</v>
      </c>
      <c r="M674" s="8" t="n"/>
      <c r="N674" s="8" t="n"/>
      <c r="O674" s="8" t="n"/>
      <c r="P674" s="8" t="n"/>
      <c r="Q674" s="8">
        <f>IF(COUNT(D674:P674)=0,"",MIN(D674:P674))</f>
        <v/>
      </c>
      <c r="R674" s="8">
        <f>IF(COUNT(D674:P674)=0,"",MEDIAN(D674:P674))</f>
        <v/>
      </c>
      <c r="S674" s="8">
        <f>IF(COUNT(D674:P674)=0,"",MAX(D674:P674))</f>
        <v/>
      </c>
      <c r="T674" s="9">
        <f>IF(OR(Q674="",Q674=0),"",(S674-Q674)/Q674)</f>
        <v/>
      </c>
      <c r="U674" s="7">
        <f>IF(COUNT(D674:P674)=0,"",INDEX($D$1:$P$1,MATCH(MIN(D674:P674),D674:P674,0)))</f>
        <v/>
      </c>
      <c r="V674" s="8" t="n">
        <v>492.5</v>
      </c>
      <c r="W674" s="10" t="n">
        <v>2</v>
      </c>
    </row>
    <row r="675">
      <c r="A675" s="7" t="inlineStr">
        <is>
          <t>MAT-10-066</t>
        </is>
      </c>
      <c r="B675" s="4" t="inlineStr">
        <is>
          <t>Bombillo LED de 55 W</t>
        </is>
      </c>
      <c r="C675" s="7" t="inlineStr">
        <is>
          <t>unidad</t>
        </is>
      </c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>
        <v>1724.99</v>
      </c>
      <c r="M675" s="8" t="n"/>
      <c r="N675" s="8" t="n"/>
      <c r="O675" s="8" t="n"/>
      <c r="P675" s="8" t="n"/>
      <c r="Q675" s="8">
        <f>IF(COUNT(D675:P675)=0,"",MIN(D675:P675))</f>
        <v/>
      </c>
      <c r="R675" s="8">
        <f>IF(COUNT(D675:P675)=0,"",MEDIAN(D675:P675))</f>
        <v/>
      </c>
      <c r="S675" s="8">
        <f>IF(COUNT(D675:P675)=0,"",MAX(D675:P675))</f>
        <v/>
      </c>
      <c r="T675" s="9">
        <f>IF(OR(Q675="",Q675=0),"",(S675-Q675)/Q675)</f>
        <v/>
      </c>
      <c r="U675" s="7">
        <f>IF(COUNT(D675:P675)=0,"",INDEX($D$1:$P$1,MATCH(MIN(D675:P675),D675:P675,0)))</f>
        <v/>
      </c>
      <c r="V675" s="8" t="n">
        <v>1724.99</v>
      </c>
      <c r="W675" s="10" t="n">
        <v>1</v>
      </c>
    </row>
    <row r="676">
      <c r="A676" s="7" t="inlineStr">
        <is>
          <t>MAT-10-067</t>
        </is>
      </c>
      <c r="B676" s="4" t="inlineStr">
        <is>
          <t>Bombillo LED de 6 W</t>
        </is>
      </c>
      <c r="C676" s="7" t="inlineStr">
        <is>
          <t>unidad</t>
        </is>
      </c>
      <c r="D676" s="8" t="n"/>
      <c r="E676" s="8" t="n">
        <v>65</v>
      </c>
      <c r="F676" s="8" t="n"/>
      <c r="G676" s="8" t="n"/>
      <c r="H676" s="8" t="n"/>
      <c r="I676" s="8" t="n">
        <v>65</v>
      </c>
      <c r="J676" s="8" t="n">
        <v>130</v>
      </c>
      <c r="K676" s="8" t="n"/>
      <c r="L676" s="8" t="n">
        <v>70</v>
      </c>
      <c r="M676" s="8" t="n"/>
      <c r="N676" s="8" t="n"/>
      <c r="O676" s="8" t="n"/>
      <c r="P676" s="8" t="n"/>
      <c r="Q676" s="8">
        <f>IF(COUNT(D676:P676)=0,"",MIN(D676:P676))</f>
        <v/>
      </c>
      <c r="R676" s="8">
        <f>IF(COUNT(D676:P676)=0,"",MEDIAN(D676:P676))</f>
        <v/>
      </c>
      <c r="S676" s="8">
        <f>IF(COUNT(D676:P676)=0,"",MAX(D676:P676))</f>
        <v/>
      </c>
      <c r="T676" s="9">
        <f>IF(OR(Q676="",Q676=0),"",(S676-Q676)/Q676)</f>
        <v/>
      </c>
      <c r="U676" s="7">
        <f>IF(COUNT(D676:P676)=0,"",INDEX($D$1:$P$1,MATCH(MIN(D676:P676),D676:P676,0)))</f>
        <v/>
      </c>
      <c r="V676" s="8" t="n">
        <v>185</v>
      </c>
      <c r="W676" s="10" t="n">
        <v>4</v>
      </c>
    </row>
    <row r="677">
      <c r="A677" s="7" t="inlineStr">
        <is>
          <t>MAT-10-068</t>
        </is>
      </c>
      <c r="B677" s="4" t="inlineStr">
        <is>
          <t>Bombillo led de 6.5 W</t>
        </is>
      </c>
      <c r="C677" s="7" t="inlineStr">
        <is>
          <t>unidad</t>
        </is>
      </c>
      <c r="D677" s="8" t="n"/>
      <c r="E677" s="8" t="n">
        <v>370</v>
      </c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>
        <f>IF(COUNT(D677:P677)=0,"",MIN(D677:P677))</f>
        <v/>
      </c>
      <c r="R677" s="8">
        <f>IF(COUNT(D677:P677)=0,"",MEDIAN(D677:P677))</f>
        <v/>
      </c>
      <c r="S677" s="8">
        <f>IF(COUNT(D677:P677)=0,"",MAX(D677:P677))</f>
        <v/>
      </c>
      <c r="T677" s="9">
        <f>IF(OR(Q677="",Q677=0),"",(S677-Q677)/Q677)</f>
        <v/>
      </c>
      <c r="U677" s="7">
        <f>IF(COUNT(D677:P677)=0,"",INDEX($D$1:$P$1,MATCH(MIN(D677:P677),D677:P677,0)))</f>
        <v/>
      </c>
      <c r="V677" s="8" t="n">
        <v>370</v>
      </c>
      <c r="W677" s="10" t="n">
        <v>1</v>
      </c>
    </row>
    <row r="678">
      <c r="A678" s="7" t="inlineStr">
        <is>
          <t>MAT-10-069</t>
        </is>
      </c>
      <c r="B678" s="4" t="inlineStr">
        <is>
          <t>Bombillo led de 65 W</t>
        </is>
      </c>
      <c r="C678" s="7" t="inlineStr">
        <is>
          <t>unidad</t>
        </is>
      </c>
      <c r="D678" s="8" t="n"/>
      <c r="E678" s="8" t="n">
        <v>341</v>
      </c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>
        <f>IF(COUNT(D678:P678)=0,"",MIN(D678:P678))</f>
        <v/>
      </c>
      <c r="R678" s="8">
        <f>IF(COUNT(D678:P678)=0,"",MEDIAN(D678:P678))</f>
        <v/>
      </c>
      <c r="S678" s="8">
        <f>IF(COUNT(D678:P678)=0,"",MAX(D678:P678))</f>
        <v/>
      </c>
      <c r="T678" s="9">
        <f>IF(OR(Q678="",Q678=0),"",(S678-Q678)/Q678)</f>
        <v/>
      </c>
      <c r="U678" s="7">
        <f>IF(COUNT(D678:P678)=0,"",INDEX($D$1:$P$1,MATCH(MIN(D678:P678),D678:P678,0)))</f>
        <v/>
      </c>
      <c r="V678" s="8" t="n">
        <v>341</v>
      </c>
      <c r="W678" s="10" t="n">
        <v>1</v>
      </c>
    </row>
    <row r="679">
      <c r="A679" s="7" t="inlineStr">
        <is>
          <t>MAT-10-070</t>
        </is>
      </c>
      <c r="B679" s="4" t="inlineStr">
        <is>
          <t>Bombillo LED de 7 W</t>
        </is>
      </c>
      <c r="C679" s="7" t="inlineStr">
        <is>
          <t>unidad</t>
        </is>
      </c>
      <c r="D679" s="8" t="n"/>
      <c r="E679" s="8" t="n">
        <v>101</v>
      </c>
      <c r="F679" s="8" t="n"/>
      <c r="G679" s="8" t="n"/>
      <c r="H679" s="8" t="n"/>
      <c r="I679" s="8" t="n"/>
      <c r="J679" s="8" t="n">
        <v>77</v>
      </c>
      <c r="K679" s="8" t="n"/>
      <c r="L679" s="8" t="n">
        <v>105</v>
      </c>
      <c r="M679" s="8" t="n"/>
      <c r="N679" s="8" t="n"/>
      <c r="O679" s="8" t="n"/>
      <c r="P679" s="8" t="n"/>
      <c r="Q679" s="8">
        <f>IF(COUNT(D679:P679)=0,"",MIN(D679:P679))</f>
        <v/>
      </c>
      <c r="R679" s="8">
        <f>IF(COUNT(D679:P679)=0,"",MEDIAN(D679:P679))</f>
        <v/>
      </c>
      <c r="S679" s="8">
        <f>IF(COUNT(D679:P679)=0,"",MAX(D679:P679))</f>
        <v/>
      </c>
      <c r="T679" s="9">
        <f>IF(OR(Q679="",Q679=0),"",(S679-Q679)/Q679)</f>
        <v/>
      </c>
      <c r="U679" s="7">
        <f>IF(COUNT(D679:P679)=0,"",INDEX($D$1:$P$1,MATCH(MIN(D679:P679),D679:P679,0)))</f>
        <v/>
      </c>
      <c r="V679" s="8" t="n">
        <v>103</v>
      </c>
      <c r="W679" s="10" t="n">
        <v>3</v>
      </c>
    </row>
    <row r="680">
      <c r="A680" s="7" t="inlineStr">
        <is>
          <t>MAT-10-071</t>
        </is>
      </c>
      <c r="B680" s="4" t="inlineStr">
        <is>
          <t>Bombillo led de 8 W</t>
        </is>
      </c>
      <c r="C680" s="7" t="inlineStr">
        <is>
          <t>unidad</t>
        </is>
      </c>
      <c r="D680" s="8" t="n"/>
      <c r="E680" s="8" t="n">
        <v>75</v>
      </c>
      <c r="F680" s="8" t="n"/>
      <c r="G680" s="8" t="n"/>
      <c r="H680" s="8" t="n"/>
      <c r="I680" s="8" t="n">
        <v>160</v>
      </c>
      <c r="J680" s="8" t="n">
        <v>341</v>
      </c>
      <c r="K680" s="8" t="n"/>
      <c r="L680" s="8" t="n"/>
      <c r="M680" s="8" t="n"/>
      <c r="N680" s="8" t="n"/>
      <c r="O680" s="8" t="n"/>
      <c r="P680" s="8" t="n"/>
      <c r="Q680" s="8">
        <f>IF(COUNT(D680:P680)=0,"",MIN(D680:P680))</f>
        <v/>
      </c>
      <c r="R680" s="8">
        <f>IF(COUNT(D680:P680)=0,"",MEDIAN(D680:P680))</f>
        <v/>
      </c>
      <c r="S680" s="8">
        <f>IF(COUNT(D680:P680)=0,"",MAX(D680:P680))</f>
        <v/>
      </c>
      <c r="T680" s="9">
        <f>IF(OR(Q680="",Q680=0),"",(S680-Q680)/Q680)</f>
        <v/>
      </c>
      <c r="U680" s="7">
        <f>IF(COUNT(D680:P680)=0,"",INDEX($D$1:$P$1,MATCH(MIN(D680:P680),D680:P680,0)))</f>
        <v/>
      </c>
      <c r="V680" s="8" t="n">
        <v>220</v>
      </c>
      <c r="W680" s="10" t="n">
        <v>3</v>
      </c>
    </row>
    <row r="681">
      <c r="A681" s="7" t="inlineStr">
        <is>
          <t>MAT-10-072</t>
        </is>
      </c>
      <c r="B681" s="4" t="inlineStr">
        <is>
          <t>Bombillo LED de 9 W</t>
        </is>
      </c>
      <c r="C681" s="7" t="inlineStr">
        <is>
          <t>unidad</t>
        </is>
      </c>
      <c r="D681" s="8" t="n"/>
      <c r="E681" s="8" t="n">
        <v>77</v>
      </c>
      <c r="F681" s="8" t="n"/>
      <c r="G681" s="8" t="n"/>
      <c r="H681" s="8" t="n"/>
      <c r="I681" s="8" t="n">
        <v>170</v>
      </c>
      <c r="J681" s="8" t="n">
        <v>83</v>
      </c>
      <c r="K681" s="8" t="n"/>
      <c r="L681" s="8" t="n">
        <v>105</v>
      </c>
      <c r="M681" s="8" t="n"/>
      <c r="N681" s="8" t="n"/>
      <c r="O681" s="8" t="n"/>
      <c r="P681" s="8" t="n"/>
      <c r="Q681" s="8">
        <f>IF(COUNT(D681:P681)=0,"",MIN(D681:P681))</f>
        <v/>
      </c>
      <c r="R681" s="8">
        <f>IF(COUNT(D681:P681)=0,"",MEDIAN(D681:P681))</f>
        <v/>
      </c>
      <c r="S681" s="8">
        <f>IF(COUNT(D681:P681)=0,"",MAX(D681:P681))</f>
        <v/>
      </c>
      <c r="T681" s="9">
        <f>IF(OR(Q681="",Q681=0),"",(S681-Q681)/Q681)</f>
        <v/>
      </c>
      <c r="U681" s="7">
        <f>IF(COUNT(D681:P681)=0,"",INDEX($D$1:$P$1,MATCH(MIN(D681:P681),D681:P681,0)))</f>
        <v/>
      </c>
      <c r="V681" s="8" t="n">
        <v>105</v>
      </c>
      <c r="W681" s="10" t="n">
        <v>4</v>
      </c>
    </row>
    <row r="682">
      <c r="A682" s="7" t="inlineStr">
        <is>
          <t>MAT-10-073</t>
        </is>
      </c>
      <c r="B682" s="4" t="inlineStr">
        <is>
          <t>Bombillo led de 9.5 W</t>
        </is>
      </c>
      <c r="C682" s="7" t="inlineStr">
        <is>
          <t>unidad</t>
        </is>
      </c>
      <c r="D682" s="8" t="n"/>
      <c r="E682" s="8" t="n">
        <v>171</v>
      </c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>
        <f>IF(COUNT(D682:P682)=0,"",MIN(D682:P682))</f>
        <v/>
      </c>
      <c r="R682" s="8">
        <f>IF(COUNT(D682:P682)=0,"",MEDIAN(D682:P682))</f>
        <v/>
      </c>
      <c r="S682" s="8">
        <f>IF(COUNT(D682:P682)=0,"",MAX(D682:P682))</f>
        <v/>
      </c>
      <c r="T682" s="9">
        <f>IF(OR(Q682="",Q682=0),"",(S682-Q682)/Q682)</f>
        <v/>
      </c>
      <c r="U682" s="7">
        <f>IF(COUNT(D682:P682)=0,"",INDEX($D$1:$P$1,MATCH(MIN(D682:P682),D682:P682,0)))</f>
        <v/>
      </c>
      <c r="V682" s="8" t="n">
        <v>182</v>
      </c>
      <c r="W682" s="10" t="n">
        <v>1</v>
      </c>
    </row>
    <row r="683">
      <c r="A683" s="7" t="inlineStr">
        <is>
          <t>MAT-10-074</t>
        </is>
      </c>
      <c r="B683" s="4" t="inlineStr">
        <is>
          <t>Panel LED empotrado cuadrado de 18 W</t>
        </is>
      </c>
      <c r="C683" s="7" t="inlineStr">
        <is>
          <t>unidad</t>
        </is>
      </c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>
        <v>340.01</v>
      </c>
      <c r="M683" s="8" t="n"/>
      <c r="N683" s="8" t="n"/>
      <c r="O683" s="8" t="n"/>
      <c r="P683" s="8" t="n"/>
      <c r="Q683" s="8">
        <f>IF(COUNT(D683:P683)=0,"",MIN(D683:P683))</f>
        <v/>
      </c>
      <c r="R683" s="8">
        <f>IF(COUNT(D683:P683)=0,"",MEDIAN(D683:P683))</f>
        <v/>
      </c>
      <c r="S683" s="8">
        <f>IF(COUNT(D683:P683)=0,"",MAX(D683:P683))</f>
        <v/>
      </c>
      <c r="T683" s="9">
        <f>IF(OR(Q683="",Q683=0),"",(S683-Q683)/Q683)</f>
        <v/>
      </c>
      <c r="U683" s="7">
        <f>IF(COUNT(D683:P683)=0,"",INDEX($D$1:$P$1,MATCH(MIN(D683:P683),D683:P683,0)))</f>
        <v/>
      </c>
      <c r="V683" s="8" t="n">
        <v>340.01</v>
      </c>
      <c r="W683" s="10" t="n">
        <v>1</v>
      </c>
    </row>
    <row r="684">
      <c r="A684" s="7" t="inlineStr">
        <is>
          <t>MAT-10-075</t>
        </is>
      </c>
      <c r="B684" s="4" t="inlineStr">
        <is>
          <t>Panel LED empotrado cuadrado de 3 W</t>
        </is>
      </c>
      <c r="C684" s="7" t="inlineStr">
        <is>
          <t>unidad</t>
        </is>
      </c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>
        <v>240</v>
      </c>
      <c r="M684" s="8" t="n"/>
      <c r="N684" s="8" t="n"/>
      <c r="O684" s="8" t="n"/>
      <c r="P684" s="8" t="n"/>
      <c r="Q684" s="8">
        <f>IF(COUNT(D684:P684)=0,"",MIN(D684:P684))</f>
        <v/>
      </c>
      <c r="R684" s="8">
        <f>IF(COUNT(D684:P684)=0,"",MEDIAN(D684:P684))</f>
        <v/>
      </c>
      <c r="S684" s="8">
        <f>IF(COUNT(D684:P684)=0,"",MAX(D684:P684))</f>
        <v/>
      </c>
      <c r="T684" s="9">
        <f>IF(OR(Q684="",Q684=0),"",(S684-Q684)/Q684)</f>
        <v/>
      </c>
      <c r="U684" s="7">
        <f>IF(COUNT(D684:P684)=0,"",INDEX($D$1:$P$1,MATCH(MIN(D684:P684),D684:P684,0)))</f>
        <v/>
      </c>
      <c r="V684" s="8" t="n">
        <v>240</v>
      </c>
      <c r="W684" s="10" t="n">
        <v>1</v>
      </c>
    </row>
    <row r="685">
      <c r="A685" s="7" t="inlineStr">
        <is>
          <t>MAT-10-076</t>
        </is>
      </c>
      <c r="B685" s="4" t="inlineStr">
        <is>
          <t>Panel LED empotrado redondo de 12 W</t>
        </is>
      </c>
      <c r="C685" s="7" t="inlineStr">
        <is>
          <t>unidad</t>
        </is>
      </c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>
        <v>304.99</v>
      </c>
      <c r="M685" s="8" t="n"/>
      <c r="N685" s="8" t="n"/>
      <c r="O685" s="8" t="n"/>
      <c r="P685" s="8" t="n"/>
      <c r="Q685" s="8">
        <f>IF(COUNT(D685:P685)=0,"",MIN(D685:P685))</f>
        <v/>
      </c>
      <c r="R685" s="8">
        <f>IF(COUNT(D685:P685)=0,"",MEDIAN(D685:P685))</f>
        <v/>
      </c>
      <c r="S685" s="8">
        <f>IF(COUNT(D685:P685)=0,"",MAX(D685:P685))</f>
        <v/>
      </c>
      <c r="T685" s="9">
        <f>IF(OR(Q685="",Q685=0),"",(S685-Q685)/Q685)</f>
        <v/>
      </c>
      <c r="U685" s="7">
        <f>IF(COUNT(D685:P685)=0,"",INDEX($D$1:$P$1,MATCH(MIN(D685:P685),D685:P685,0)))</f>
        <v/>
      </c>
      <c r="V685" s="8" t="n">
        <v>304.99</v>
      </c>
      <c r="W685" s="10" t="n">
        <v>1</v>
      </c>
    </row>
    <row r="686">
      <c r="A686" s="7" t="inlineStr">
        <is>
          <t>MAT-10-077</t>
        </is>
      </c>
      <c r="B686" s="4" t="inlineStr">
        <is>
          <t>Panel LED empotrado redondo de 18 W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>
        <v>290</v>
      </c>
      <c r="M686" s="8" t="n"/>
      <c r="N686" s="8" t="n"/>
      <c r="O686" s="8" t="n"/>
      <c r="P686" s="8" t="n"/>
      <c r="Q686" s="8">
        <f>IF(COUNT(D686:P686)=0,"",MIN(D686:P686))</f>
        <v/>
      </c>
      <c r="R686" s="8">
        <f>IF(COUNT(D686:P686)=0,"",MEDIAN(D686:P686))</f>
        <v/>
      </c>
      <c r="S686" s="8">
        <f>IF(COUNT(D686:P686)=0,"",MAX(D686:P686))</f>
        <v/>
      </c>
      <c r="T686" s="9">
        <f>IF(OR(Q686="",Q686=0),"",(S686-Q686)/Q686)</f>
        <v/>
      </c>
      <c r="U686" s="7">
        <f>IF(COUNT(D686:P686)=0,"",INDEX($D$1:$P$1,MATCH(MIN(D686:P686),D686:P686,0)))</f>
        <v/>
      </c>
      <c r="V686" s="8" t="n">
        <v>290</v>
      </c>
      <c r="W686" s="10" t="n">
        <v>1</v>
      </c>
    </row>
    <row r="687">
      <c r="A687" s="7" t="inlineStr">
        <is>
          <t>MAT-10-078</t>
        </is>
      </c>
      <c r="B687" s="4" t="inlineStr">
        <is>
          <t>Panel LED empotrado redondo de 24 W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>
        <v>650</v>
      </c>
      <c r="M687" s="8" t="n"/>
      <c r="N687" s="8" t="n"/>
      <c r="O687" s="8" t="n"/>
      <c r="P687" s="8" t="n"/>
      <c r="Q687" s="8">
        <f>IF(COUNT(D687:P687)=0,"",MIN(D687:P687))</f>
        <v/>
      </c>
      <c r="R687" s="8">
        <f>IF(COUNT(D687:P687)=0,"",MEDIAN(D687:P687))</f>
        <v/>
      </c>
      <c r="S687" s="8">
        <f>IF(COUNT(D687:P687)=0,"",MAX(D687:P687))</f>
        <v/>
      </c>
      <c r="T687" s="9">
        <f>IF(OR(Q687="",Q687=0),"",(S687-Q687)/Q687)</f>
        <v/>
      </c>
      <c r="U687" s="7">
        <f>IF(COUNT(D687:P687)=0,"",INDEX($D$1:$P$1,MATCH(MIN(D687:P687),D687:P687,0)))</f>
        <v/>
      </c>
      <c r="V687" s="8" t="n">
        <v>650</v>
      </c>
      <c r="W687" s="10" t="n">
        <v>1</v>
      </c>
    </row>
    <row r="688">
      <c r="A688" s="7" t="inlineStr">
        <is>
          <t>MAT-10-079</t>
        </is>
      </c>
      <c r="B688" s="4" t="inlineStr">
        <is>
          <t>Panel LED empotrar cuadrado de 10 W</t>
        </is>
      </c>
      <c r="C688" s="7" t="inlineStr">
        <is>
          <t>unidad</t>
        </is>
      </c>
      <c r="D688" s="8" t="n"/>
      <c r="E688" s="8" t="n">
        <v>845</v>
      </c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>
        <f>IF(COUNT(D688:P688)=0,"",MIN(D688:P688))</f>
        <v/>
      </c>
      <c r="R688" s="8">
        <f>IF(COUNT(D688:P688)=0,"",MEDIAN(D688:P688))</f>
        <v/>
      </c>
      <c r="S688" s="8">
        <f>IF(COUNT(D688:P688)=0,"",MAX(D688:P688))</f>
        <v/>
      </c>
      <c r="T688" s="9">
        <f>IF(OR(Q688="",Q688=0),"",(S688-Q688)/Q688)</f>
        <v/>
      </c>
      <c r="U688" s="7">
        <f>IF(COUNT(D688:P688)=0,"",INDEX($D$1:$P$1,MATCH(MIN(D688:P688),D688:P688,0)))</f>
        <v/>
      </c>
      <c r="V688" s="8" t="n">
        <v>845</v>
      </c>
      <c r="W688" s="10" t="n">
        <v>1</v>
      </c>
    </row>
    <row r="689">
      <c r="A689" s="7" t="inlineStr">
        <is>
          <t>MAT-10-080</t>
        </is>
      </c>
      <c r="B689" s="4" t="inlineStr">
        <is>
          <t>Panel LED empotrar cuadrado de 11.5 W</t>
        </is>
      </c>
      <c r="C689" s="7" t="inlineStr">
        <is>
          <t>unidad</t>
        </is>
      </c>
      <c r="D689" s="8" t="n"/>
      <c r="E689" s="8" t="n">
        <v>465</v>
      </c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>
        <f>IF(COUNT(D689:P689)=0,"",MIN(D689:P689))</f>
        <v/>
      </c>
      <c r="R689" s="8">
        <f>IF(COUNT(D689:P689)=0,"",MEDIAN(D689:P689))</f>
        <v/>
      </c>
      <c r="S689" s="8">
        <f>IF(COUNT(D689:P689)=0,"",MAX(D689:P689))</f>
        <v/>
      </c>
      <c r="T689" s="9">
        <f>IF(OR(Q689="",Q689=0),"",(S689-Q689)/Q689)</f>
        <v/>
      </c>
      <c r="U689" s="7">
        <f>IF(COUNT(D689:P689)=0,"",INDEX($D$1:$P$1,MATCH(MIN(D689:P689),D689:P689,0)))</f>
        <v/>
      </c>
      <c r="V689" s="8" t="n">
        <v>926</v>
      </c>
      <c r="W689" s="10" t="n">
        <v>1</v>
      </c>
    </row>
    <row r="690">
      <c r="A690" s="7" t="inlineStr">
        <is>
          <t>MAT-10-081</t>
        </is>
      </c>
      <c r="B690" s="4" t="inlineStr">
        <is>
          <t>Panel LED empotrar cuadrado de 12 W</t>
        </is>
      </c>
      <c r="C690" s="7" t="inlineStr">
        <is>
          <t>unidad</t>
        </is>
      </c>
      <c r="D690" s="8" t="n"/>
      <c r="E690" s="8" t="n">
        <v>170</v>
      </c>
      <c r="F690" s="8" t="n"/>
      <c r="G690" s="8" t="n"/>
      <c r="H690" s="8" t="n"/>
      <c r="I690" s="8" t="n">
        <v>245</v>
      </c>
      <c r="J690" s="8" t="n"/>
      <c r="K690" s="8" t="n"/>
      <c r="L690" s="8" t="n"/>
      <c r="M690" s="8" t="n"/>
      <c r="N690" s="8" t="n"/>
      <c r="O690" s="8" t="n"/>
      <c r="P690" s="8" t="n"/>
      <c r="Q690" s="8">
        <f>IF(COUNT(D690:P690)=0,"",MIN(D690:P690))</f>
        <v/>
      </c>
      <c r="R690" s="8">
        <f>IF(COUNT(D690:P690)=0,"",MEDIAN(D690:P690))</f>
        <v/>
      </c>
      <c r="S690" s="8">
        <f>IF(COUNT(D690:P690)=0,"",MAX(D690:P690))</f>
        <v/>
      </c>
      <c r="T690" s="9">
        <f>IF(OR(Q690="",Q690=0),"",(S690-Q690)/Q690)</f>
        <v/>
      </c>
      <c r="U690" s="7">
        <f>IF(COUNT(D690:P690)=0,"",INDEX($D$1:$P$1,MATCH(MIN(D690:P690),D690:P690,0)))</f>
        <v/>
      </c>
      <c r="V690" s="8" t="n">
        <v>245</v>
      </c>
      <c r="W690" s="10" t="n">
        <v>2</v>
      </c>
    </row>
    <row r="691">
      <c r="A691" s="7" t="inlineStr">
        <is>
          <t>MAT-10-082</t>
        </is>
      </c>
      <c r="B691" s="4" t="inlineStr">
        <is>
          <t>Panel LED empotrar cuadrado de 15 W</t>
        </is>
      </c>
      <c r="C691" s="7" t="inlineStr">
        <is>
          <t>unidad</t>
        </is>
      </c>
      <c r="D691" s="8" t="n"/>
      <c r="E691" s="8" t="n">
        <v>1764</v>
      </c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>
        <f>IF(COUNT(D691:P691)=0,"",MIN(D691:P691))</f>
        <v/>
      </c>
      <c r="R691" s="8">
        <f>IF(COUNT(D691:P691)=0,"",MEDIAN(D691:P691))</f>
        <v/>
      </c>
      <c r="S691" s="8">
        <f>IF(COUNT(D691:P691)=0,"",MAX(D691:P691))</f>
        <v/>
      </c>
      <c r="T691" s="9">
        <f>IF(OR(Q691="",Q691=0),"",(S691-Q691)/Q691)</f>
        <v/>
      </c>
      <c r="U691" s="7">
        <f>IF(COUNT(D691:P691)=0,"",INDEX($D$1:$P$1,MATCH(MIN(D691:P691),D691:P691,0)))</f>
        <v/>
      </c>
      <c r="V691" s="8" t="n">
        <v>1764</v>
      </c>
      <c r="W691" s="10" t="n">
        <v>1</v>
      </c>
    </row>
    <row r="692">
      <c r="A692" s="7" t="inlineStr">
        <is>
          <t>MAT-10-083</t>
        </is>
      </c>
      <c r="B692" s="4" t="inlineStr">
        <is>
          <t>Panel LED empotrar cuadrado de 18 W</t>
        </is>
      </c>
      <c r="C692" s="7" t="inlineStr">
        <is>
          <t>unidad</t>
        </is>
      </c>
      <c r="D692" s="8" t="n"/>
      <c r="E692" s="8" t="n">
        <v>390</v>
      </c>
      <c r="F692" s="8" t="n"/>
      <c r="G692" s="8" t="n"/>
      <c r="H692" s="8" t="n"/>
      <c r="I692" s="8" t="n">
        <v>349</v>
      </c>
      <c r="J692" s="8" t="n"/>
      <c r="K692" s="8" t="n"/>
      <c r="L692" s="8" t="n"/>
      <c r="M692" s="8" t="n"/>
      <c r="N692" s="8" t="n"/>
      <c r="O692" s="8" t="n"/>
      <c r="P692" s="8" t="n"/>
      <c r="Q692" s="8">
        <f>IF(COUNT(D692:P692)=0,"",MIN(D692:P692))</f>
        <v/>
      </c>
      <c r="R692" s="8">
        <f>IF(COUNT(D692:P692)=0,"",MEDIAN(D692:P692))</f>
        <v/>
      </c>
      <c r="S692" s="8">
        <f>IF(COUNT(D692:P692)=0,"",MAX(D692:P692))</f>
        <v/>
      </c>
      <c r="T692" s="9">
        <f>IF(OR(Q692="",Q692=0),"",(S692-Q692)/Q692)</f>
        <v/>
      </c>
      <c r="U692" s="7">
        <f>IF(COUNT(D692:P692)=0,"",INDEX($D$1:$P$1,MATCH(MIN(D692:P692),D692:P692,0)))</f>
        <v/>
      </c>
      <c r="V692" s="8" t="n">
        <v>439.5</v>
      </c>
      <c r="W692" s="10" t="n">
        <v>2</v>
      </c>
    </row>
    <row r="693">
      <c r="A693" s="7" t="inlineStr">
        <is>
          <t>MAT-10-084</t>
        </is>
      </c>
      <c r="B693" s="4" t="inlineStr">
        <is>
          <t>Panel LED empotrar cuadrado de 22 W</t>
        </is>
      </c>
      <c r="C693" s="7" t="inlineStr">
        <is>
          <t>unidad</t>
        </is>
      </c>
      <c r="D693" s="8" t="n"/>
      <c r="E693" s="8" t="n">
        <v>665</v>
      </c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>
        <f>IF(COUNT(D693:P693)=0,"",MIN(D693:P693))</f>
        <v/>
      </c>
      <c r="R693" s="8">
        <f>IF(COUNT(D693:P693)=0,"",MEDIAN(D693:P693))</f>
        <v/>
      </c>
      <c r="S693" s="8">
        <f>IF(COUNT(D693:P693)=0,"",MAX(D693:P693))</f>
        <v/>
      </c>
      <c r="T693" s="9">
        <f>IF(OR(Q693="",Q693=0),"",(S693-Q693)/Q693)</f>
        <v/>
      </c>
      <c r="U693" s="7">
        <f>IF(COUNT(D693:P693)=0,"",INDEX($D$1:$P$1,MATCH(MIN(D693:P693),D693:P693,0)))</f>
        <v/>
      </c>
      <c r="V693" s="8" t="n">
        <v>665</v>
      </c>
      <c r="W693" s="10" t="n">
        <v>1</v>
      </c>
    </row>
    <row r="694">
      <c r="A694" s="7" t="inlineStr">
        <is>
          <t>MAT-10-085</t>
        </is>
      </c>
      <c r="B694" s="4" t="inlineStr">
        <is>
          <t>Panel LED empotrar cuadrado de 24 W</t>
        </is>
      </c>
      <c r="C694" s="7" t="inlineStr">
        <is>
          <t>unidad</t>
        </is>
      </c>
      <c r="D694" s="8" t="n"/>
      <c r="E694" s="8" t="n">
        <v>699</v>
      </c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>
        <f>IF(COUNT(D694:P694)=0,"",MIN(D694:P694))</f>
        <v/>
      </c>
      <c r="R694" s="8">
        <f>IF(COUNT(D694:P694)=0,"",MEDIAN(D694:P694))</f>
        <v/>
      </c>
      <c r="S694" s="8">
        <f>IF(COUNT(D694:P694)=0,"",MAX(D694:P694))</f>
        <v/>
      </c>
      <c r="T694" s="9">
        <f>IF(OR(Q694="",Q694=0),"",(S694-Q694)/Q694)</f>
        <v/>
      </c>
      <c r="U694" s="7">
        <f>IF(COUNT(D694:P694)=0,"",INDEX($D$1:$P$1,MATCH(MIN(D694:P694),D694:P694,0)))</f>
        <v/>
      </c>
      <c r="V694" s="8" t="n">
        <v>699</v>
      </c>
      <c r="W694" s="10" t="n">
        <v>1</v>
      </c>
    </row>
    <row r="695">
      <c r="A695" s="7" t="inlineStr">
        <is>
          <t>MAT-10-086</t>
        </is>
      </c>
      <c r="B695" s="4" t="inlineStr">
        <is>
          <t>Panel LED empotrar cuadrado de 3 W</t>
        </is>
      </c>
      <c r="C695" s="7" t="inlineStr">
        <is>
          <t>unidad</t>
        </is>
      </c>
      <c r="D695" s="8" t="n"/>
      <c r="E695" s="8" t="n">
        <v>265</v>
      </c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>
        <f>IF(COUNT(D695:P695)=0,"",MIN(D695:P695))</f>
        <v/>
      </c>
      <c r="R695" s="8">
        <f>IF(COUNT(D695:P695)=0,"",MEDIAN(D695:P695))</f>
        <v/>
      </c>
      <c r="S695" s="8">
        <f>IF(COUNT(D695:P695)=0,"",MAX(D695:P695))</f>
        <v/>
      </c>
      <c r="T695" s="9">
        <f>IF(OR(Q695="",Q695=0),"",(S695-Q695)/Q695)</f>
        <v/>
      </c>
      <c r="U695" s="7">
        <f>IF(COUNT(D695:P695)=0,"",INDEX($D$1:$P$1,MATCH(MIN(D695:P695),D695:P695,0)))</f>
        <v/>
      </c>
      <c r="V695" s="8" t="n">
        <v>265</v>
      </c>
      <c r="W695" s="10" t="n">
        <v>1</v>
      </c>
    </row>
    <row r="696">
      <c r="A696" s="7" t="inlineStr">
        <is>
          <t>MAT-10-087</t>
        </is>
      </c>
      <c r="B696" s="4" t="inlineStr">
        <is>
          <t>Panel LED empotrar cuadrado de 36 W</t>
        </is>
      </c>
      <c r="C696" s="7" t="inlineStr">
        <is>
          <t>unidad</t>
        </is>
      </c>
      <c r="D696" s="8" t="n"/>
      <c r="E696" s="8" t="n">
        <v>1104</v>
      </c>
      <c r="F696" s="8" t="n"/>
      <c r="G696" s="8" t="n"/>
      <c r="H696" s="8" t="n"/>
      <c r="I696" s="8" t="n"/>
      <c r="J696" s="8" t="n">
        <v>1050</v>
      </c>
      <c r="K696" s="8" t="n"/>
      <c r="L696" s="8" t="n"/>
      <c r="M696" s="8" t="n"/>
      <c r="N696" s="8" t="n"/>
      <c r="O696" s="8" t="n"/>
      <c r="P696" s="8" t="n"/>
      <c r="Q696" s="8">
        <f>IF(COUNT(D696:P696)=0,"",MIN(D696:P696))</f>
        <v/>
      </c>
      <c r="R696" s="8">
        <f>IF(COUNT(D696:P696)=0,"",MEDIAN(D696:P696))</f>
        <v/>
      </c>
      <c r="S696" s="8">
        <f>IF(COUNT(D696:P696)=0,"",MAX(D696:P696))</f>
        <v/>
      </c>
      <c r="T696" s="9">
        <f>IF(OR(Q696="",Q696=0),"",(S696-Q696)/Q696)</f>
        <v/>
      </c>
      <c r="U696" s="7">
        <f>IF(COUNT(D696:P696)=0,"",INDEX($D$1:$P$1,MATCH(MIN(D696:P696),D696:P696,0)))</f>
        <v/>
      </c>
      <c r="V696" s="8" t="n">
        <v>1077</v>
      </c>
      <c r="W696" s="10" t="n">
        <v>2</v>
      </c>
    </row>
    <row r="697">
      <c r="A697" s="7" t="inlineStr">
        <is>
          <t>MAT-10-088</t>
        </is>
      </c>
      <c r="B697" s="4" t="inlineStr">
        <is>
          <t>Panel LED empotrar cuadrado de 4 W</t>
        </is>
      </c>
      <c r="C697" s="7" t="inlineStr">
        <is>
          <t>unidad</t>
        </is>
      </c>
      <c r="D697" s="8" t="n"/>
      <c r="E697" s="8" t="n">
        <v>245</v>
      </c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>
        <f>IF(COUNT(D697:P697)=0,"",MIN(D697:P697))</f>
        <v/>
      </c>
      <c r="R697" s="8">
        <f>IF(COUNT(D697:P697)=0,"",MEDIAN(D697:P697))</f>
        <v/>
      </c>
      <c r="S697" s="8">
        <f>IF(COUNT(D697:P697)=0,"",MAX(D697:P697))</f>
        <v/>
      </c>
      <c r="T697" s="9">
        <f>IF(OR(Q697="",Q697=0),"",(S697-Q697)/Q697)</f>
        <v/>
      </c>
      <c r="U697" s="7">
        <f>IF(COUNT(D697:P697)=0,"",INDEX($D$1:$P$1,MATCH(MIN(D697:P697),D697:P697,0)))</f>
        <v/>
      </c>
      <c r="V697" s="8" t="n">
        <v>245</v>
      </c>
      <c r="W697" s="10" t="n">
        <v>1</v>
      </c>
    </row>
    <row r="698">
      <c r="A698" s="7" t="inlineStr">
        <is>
          <t>MAT-10-089</t>
        </is>
      </c>
      <c r="B698" s="4" t="inlineStr">
        <is>
          <t>Panel LED empotrar cuadrado de 40 W</t>
        </is>
      </c>
      <c r="C698" s="7" t="inlineStr">
        <is>
          <t>unidad</t>
        </is>
      </c>
      <c r="D698" s="8" t="n"/>
      <c r="E698" s="8" t="n"/>
      <c r="F698" s="8" t="n"/>
      <c r="G698" s="8" t="n"/>
      <c r="H698" s="8" t="n"/>
      <c r="I698" s="8" t="n"/>
      <c r="J698" s="8" t="n">
        <v>1150</v>
      </c>
      <c r="K698" s="8" t="n"/>
      <c r="L698" s="8" t="n"/>
      <c r="M698" s="8" t="n"/>
      <c r="N698" s="8" t="n"/>
      <c r="O698" s="8" t="n"/>
      <c r="P698" s="8" t="n"/>
      <c r="Q698" s="8">
        <f>IF(COUNT(D698:P698)=0,"",MIN(D698:P698))</f>
        <v/>
      </c>
      <c r="R698" s="8">
        <f>IF(COUNT(D698:P698)=0,"",MEDIAN(D698:P698))</f>
        <v/>
      </c>
      <c r="S698" s="8">
        <f>IF(COUNT(D698:P698)=0,"",MAX(D698:P698))</f>
        <v/>
      </c>
      <c r="T698" s="9">
        <f>IF(OR(Q698="",Q698=0),"",(S698-Q698)/Q698)</f>
        <v/>
      </c>
      <c r="U698" s="7">
        <f>IF(COUNT(D698:P698)=0,"",INDEX($D$1:$P$1,MATCH(MIN(D698:P698),D698:P698,0)))</f>
        <v/>
      </c>
      <c r="V698" s="8" t="n">
        <v>1475</v>
      </c>
      <c r="W698" s="10" t="n">
        <v>1</v>
      </c>
    </row>
    <row r="699">
      <c r="A699" s="7" t="inlineStr">
        <is>
          <t>MAT-10-090</t>
        </is>
      </c>
      <c r="B699" s="4" t="inlineStr">
        <is>
          <t>Panel LED empotrar cuadrado de 6 W</t>
        </is>
      </c>
      <c r="C699" s="7" t="inlineStr">
        <is>
          <t>unidad</t>
        </is>
      </c>
      <c r="D699" s="8" t="n"/>
      <c r="E699" s="8" t="n">
        <v>241</v>
      </c>
      <c r="F699" s="8" t="n"/>
      <c r="G699" s="8" t="n"/>
      <c r="H699" s="8" t="n"/>
      <c r="I699" s="8" t="n">
        <v>159</v>
      </c>
      <c r="J699" s="8" t="n"/>
      <c r="K699" s="8" t="n"/>
      <c r="L699" s="8" t="n"/>
      <c r="M699" s="8" t="n"/>
      <c r="N699" s="8" t="n"/>
      <c r="O699" s="8" t="n"/>
      <c r="P699" s="8" t="n"/>
      <c r="Q699" s="8">
        <f>IF(COUNT(D699:P699)=0,"",MIN(D699:P699))</f>
        <v/>
      </c>
      <c r="R699" s="8">
        <f>IF(COUNT(D699:P699)=0,"",MEDIAN(D699:P699))</f>
        <v/>
      </c>
      <c r="S699" s="8">
        <f>IF(COUNT(D699:P699)=0,"",MAX(D699:P699))</f>
        <v/>
      </c>
      <c r="T699" s="9">
        <f>IF(OR(Q699="",Q699=0),"",(S699-Q699)/Q699)</f>
        <v/>
      </c>
      <c r="U699" s="7">
        <f>IF(COUNT(D699:P699)=0,"",INDEX($D$1:$P$1,MATCH(MIN(D699:P699),D699:P699,0)))</f>
        <v/>
      </c>
      <c r="V699" s="8" t="n">
        <v>241</v>
      </c>
      <c r="W699" s="10" t="n">
        <v>2</v>
      </c>
    </row>
    <row r="700">
      <c r="A700" s="7" t="inlineStr">
        <is>
          <t>MAT-10-091</t>
        </is>
      </c>
      <c r="B700" s="4" t="inlineStr">
        <is>
          <t>Panel LED empotrar cuadrado de 7 W</t>
        </is>
      </c>
      <c r="C700" s="7" t="inlineStr">
        <is>
          <t>unidad</t>
        </is>
      </c>
      <c r="D700" s="8" t="n"/>
      <c r="E700" s="8" t="n">
        <v>880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>
        <f>IF(COUNT(D700:P700)=0,"",MIN(D700:P700))</f>
        <v/>
      </c>
      <c r="R700" s="8">
        <f>IF(COUNT(D700:P700)=0,"",MEDIAN(D700:P700))</f>
        <v/>
      </c>
      <c r="S700" s="8">
        <f>IF(COUNT(D700:P700)=0,"",MAX(D700:P700))</f>
        <v/>
      </c>
      <c r="T700" s="9">
        <f>IF(OR(Q700="",Q700=0),"",(S700-Q700)/Q700)</f>
        <v/>
      </c>
      <c r="U700" s="7">
        <f>IF(COUNT(D700:P700)=0,"",INDEX($D$1:$P$1,MATCH(MIN(D700:P700),D700:P700,0)))</f>
        <v/>
      </c>
      <c r="V700" s="8" t="n">
        <v>895.5</v>
      </c>
      <c r="W700" s="10" t="n">
        <v>1</v>
      </c>
    </row>
    <row r="701">
      <c r="A701" s="7" t="inlineStr">
        <is>
          <t>MAT-10-092</t>
        </is>
      </c>
      <c r="B701" s="4" t="inlineStr">
        <is>
          <t>Panel LED empotrar cuadrado de 7.8 W</t>
        </is>
      </c>
      <c r="C701" s="7" t="inlineStr">
        <is>
          <t>unidad</t>
        </is>
      </c>
      <c r="D701" s="8" t="n"/>
      <c r="E701" s="8" t="n">
        <v>405</v>
      </c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>
        <f>IF(COUNT(D701:P701)=0,"",MIN(D701:P701))</f>
        <v/>
      </c>
      <c r="R701" s="8">
        <f>IF(COUNT(D701:P701)=0,"",MEDIAN(D701:P701))</f>
        <v/>
      </c>
      <c r="S701" s="8">
        <f>IF(COUNT(D701:P701)=0,"",MAX(D701:P701))</f>
        <v/>
      </c>
      <c r="T701" s="9">
        <f>IF(OR(Q701="",Q701=0),"",(S701-Q701)/Q701)</f>
        <v/>
      </c>
      <c r="U701" s="7">
        <f>IF(COUNT(D701:P701)=0,"",INDEX($D$1:$P$1,MATCH(MIN(D701:P701),D701:P701,0)))</f>
        <v/>
      </c>
      <c r="V701" s="8" t="n">
        <v>530.5</v>
      </c>
      <c r="W701" s="10" t="n">
        <v>1</v>
      </c>
    </row>
    <row r="702">
      <c r="A702" s="7" t="inlineStr">
        <is>
          <t>MAT-10-093</t>
        </is>
      </c>
      <c r="B702" s="4" t="inlineStr">
        <is>
          <t>Panel LED empotrar cuadrado de 9 W</t>
        </is>
      </c>
      <c r="C702" s="7" t="inlineStr">
        <is>
          <t>unidad</t>
        </is>
      </c>
      <c r="D702" s="8" t="n"/>
      <c r="E702" s="8" t="n">
        <v>1044</v>
      </c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>
        <f>IF(COUNT(D702:P702)=0,"",MIN(D702:P702))</f>
        <v/>
      </c>
      <c r="R702" s="8">
        <f>IF(COUNT(D702:P702)=0,"",MEDIAN(D702:P702))</f>
        <v/>
      </c>
      <c r="S702" s="8">
        <f>IF(COUNT(D702:P702)=0,"",MAX(D702:P702))</f>
        <v/>
      </c>
      <c r="T702" s="9">
        <f>IF(OR(Q702="",Q702=0),"",(S702-Q702)/Q702)</f>
        <v/>
      </c>
      <c r="U702" s="7">
        <f>IF(COUNT(D702:P702)=0,"",INDEX($D$1:$P$1,MATCH(MIN(D702:P702),D702:P702,0)))</f>
        <v/>
      </c>
      <c r="V702" s="8" t="n">
        <v>1054</v>
      </c>
      <c r="W702" s="10" t="n">
        <v>1</v>
      </c>
    </row>
    <row r="703">
      <c r="A703" s="7" t="inlineStr">
        <is>
          <t>MAT-10-094</t>
        </is>
      </c>
      <c r="B703" s="4" t="inlineStr">
        <is>
          <t>Panel LED empotrar redondo de 11.5 W</t>
        </is>
      </c>
      <c r="C703" s="7" t="inlineStr">
        <is>
          <t>unidad</t>
        </is>
      </c>
      <c r="D703" s="8" t="n"/>
      <c r="E703" s="8" t="n">
        <v>465</v>
      </c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>
        <f>IF(COUNT(D703:P703)=0,"",MIN(D703:P703))</f>
        <v/>
      </c>
      <c r="R703" s="8">
        <f>IF(COUNT(D703:P703)=0,"",MEDIAN(D703:P703))</f>
        <v/>
      </c>
      <c r="S703" s="8">
        <f>IF(COUNT(D703:P703)=0,"",MAX(D703:P703))</f>
        <v/>
      </c>
      <c r="T703" s="9">
        <f>IF(OR(Q703="",Q703=0),"",(S703-Q703)/Q703)</f>
        <v/>
      </c>
      <c r="U703" s="7">
        <f>IF(COUNT(D703:P703)=0,"",INDEX($D$1:$P$1,MATCH(MIN(D703:P703),D703:P703,0)))</f>
        <v/>
      </c>
      <c r="V703" s="8" t="n">
        <v>516.5</v>
      </c>
      <c r="W703" s="10" t="n">
        <v>1</v>
      </c>
    </row>
    <row r="704">
      <c r="A704" s="7" t="inlineStr">
        <is>
          <t>MAT-10-095</t>
        </is>
      </c>
      <c r="B704" s="4" t="inlineStr">
        <is>
          <t>Panel LED empotrar redondo de 11.6 W</t>
        </is>
      </c>
      <c r="C704" s="7" t="inlineStr">
        <is>
          <t>unidad</t>
        </is>
      </c>
      <c r="D704" s="8" t="n"/>
      <c r="E704" s="8" t="n">
        <v>1552</v>
      </c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>
        <f>IF(COUNT(D704:P704)=0,"",MIN(D704:P704))</f>
        <v/>
      </c>
      <c r="R704" s="8">
        <f>IF(COUNT(D704:P704)=0,"",MEDIAN(D704:P704))</f>
        <v/>
      </c>
      <c r="S704" s="8">
        <f>IF(COUNT(D704:P704)=0,"",MAX(D704:P704))</f>
        <v/>
      </c>
      <c r="T704" s="9">
        <f>IF(OR(Q704="",Q704=0),"",(S704-Q704)/Q704)</f>
        <v/>
      </c>
      <c r="U704" s="7">
        <f>IF(COUNT(D704:P704)=0,"",INDEX($D$1:$P$1,MATCH(MIN(D704:P704),D704:P704,0)))</f>
        <v/>
      </c>
      <c r="V704" s="8" t="n">
        <v>1552</v>
      </c>
      <c r="W704" s="10" t="n">
        <v>1</v>
      </c>
    </row>
    <row r="705">
      <c r="A705" s="7" t="inlineStr">
        <is>
          <t>MAT-10-096</t>
        </is>
      </c>
      <c r="B705" s="4" t="inlineStr">
        <is>
          <t>Panel LED empotrar redondo de 12 W</t>
        </is>
      </c>
      <c r="C705" s="7" t="inlineStr">
        <is>
          <t>unidad</t>
        </is>
      </c>
      <c r="D705" s="8" t="n"/>
      <c r="E705" s="8" t="n">
        <v>135</v>
      </c>
      <c r="F705" s="8" t="n"/>
      <c r="G705" s="8" t="n"/>
      <c r="H705" s="8" t="n"/>
      <c r="I705" s="8" t="n">
        <v>219</v>
      </c>
      <c r="J705" s="8" t="n">
        <v>210</v>
      </c>
      <c r="K705" s="8" t="n"/>
      <c r="L705" s="8" t="n"/>
      <c r="M705" s="8" t="n"/>
      <c r="N705" s="8" t="n"/>
      <c r="O705" s="8" t="n"/>
      <c r="P705" s="8" t="n"/>
      <c r="Q705" s="8">
        <f>IF(COUNT(D705:P705)=0,"",MIN(D705:P705))</f>
        <v/>
      </c>
      <c r="R705" s="8">
        <f>IF(COUNT(D705:P705)=0,"",MEDIAN(D705:P705))</f>
        <v/>
      </c>
      <c r="S705" s="8">
        <f>IF(COUNT(D705:P705)=0,"",MAX(D705:P705))</f>
        <v/>
      </c>
      <c r="T705" s="9">
        <f>IF(OR(Q705="",Q705=0),"",(S705-Q705)/Q705)</f>
        <v/>
      </c>
      <c r="U705" s="7">
        <f>IF(COUNT(D705:P705)=0,"",INDEX($D$1:$P$1,MATCH(MIN(D705:P705),D705:P705,0)))</f>
        <v/>
      </c>
      <c r="V705" s="8" t="n">
        <v>350</v>
      </c>
      <c r="W705" s="10" t="n">
        <v>3</v>
      </c>
    </row>
    <row r="706">
      <c r="A706" s="7" t="inlineStr">
        <is>
          <t>MAT-10-097</t>
        </is>
      </c>
      <c r="B706" s="4" t="inlineStr">
        <is>
          <t>Panel LED empotrar redondo de 15 W</t>
        </is>
      </c>
      <c r="C706" s="7" t="inlineStr">
        <is>
          <t>unidad</t>
        </is>
      </c>
      <c r="D706" s="8" t="n"/>
      <c r="E706" s="8" t="n"/>
      <c r="F706" s="8" t="n"/>
      <c r="G706" s="8" t="n"/>
      <c r="H706" s="8" t="n"/>
      <c r="I706" s="8" t="n"/>
      <c r="J706" s="8" t="n">
        <v>232</v>
      </c>
      <c r="K706" s="8" t="n"/>
      <c r="L706" s="8" t="n"/>
      <c r="M706" s="8" t="n"/>
      <c r="N706" s="8" t="n"/>
      <c r="O706" s="8" t="n"/>
      <c r="P706" s="8" t="n"/>
      <c r="Q706" s="8">
        <f>IF(COUNT(D706:P706)=0,"",MIN(D706:P706))</f>
        <v/>
      </c>
      <c r="R706" s="8">
        <f>IF(COUNT(D706:P706)=0,"",MEDIAN(D706:P706))</f>
        <v/>
      </c>
      <c r="S706" s="8">
        <f>IF(COUNT(D706:P706)=0,"",MAX(D706:P706))</f>
        <v/>
      </c>
      <c r="T706" s="9">
        <f>IF(OR(Q706="",Q706=0),"",(S706-Q706)/Q706)</f>
        <v/>
      </c>
      <c r="U706" s="7">
        <f>IF(COUNT(D706:P706)=0,"",INDEX($D$1:$P$1,MATCH(MIN(D706:P706),D706:P706,0)))</f>
        <v/>
      </c>
      <c r="V706" s="8" t="n">
        <v>232</v>
      </c>
      <c r="W706" s="10" t="n">
        <v>1</v>
      </c>
    </row>
    <row r="707">
      <c r="A707" s="7" t="inlineStr">
        <is>
          <t>MAT-10-098</t>
        </is>
      </c>
      <c r="B707" s="4" t="inlineStr">
        <is>
          <t>Panel LED empotrar redondo de 18 W</t>
        </is>
      </c>
      <c r="C707" s="7" t="inlineStr">
        <is>
          <t>unidad</t>
        </is>
      </c>
      <c r="D707" s="8" t="n"/>
      <c r="E707" s="8" t="n">
        <v>205</v>
      </c>
      <c r="F707" s="8" t="n"/>
      <c r="G707" s="8" t="n"/>
      <c r="H707" s="8" t="n"/>
      <c r="I707" s="8" t="n">
        <v>325</v>
      </c>
      <c r="J707" s="8" t="n">
        <v>310</v>
      </c>
      <c r="K707" s="8" t="n"/>
      <c r="L707" s="8" t="n"/>
      <c r="M707" s="8" t="n"/>
      <c r="N707" s="8" t="n"/>
      <c r="O707" s="8" t="n"/>
      <c r="P707" s="8" t="n"/>
      <c r="Q707" s="8">
        <f>IF(COUNT(D707:P707)=0,"",MIN(D707:P707))</f>
        <v/>
      </c>
      <c r="R707" s="8">
        <f>IF(COUNT(D707:P707)=0,"",MEDIAN(D707:P707))</f>
        <v/>
      </c>
      <c r="S707" s="8">
        <f>IF(COUNT(D707:P707)=0,"",MAX(D707:P707))</f>
        <v/>
      </c>
      <c r="T707" s="9">
        <f>IF(OR(Q707="",Q707=0),"",(S707-Q707)/Q707)</f>
        <v/>
      </c>
      <c r="U707" s="7">
        <f>IF(COUNT(D707:P707)=0,"",INDEX($D$1:$P$1,MATCH(MIN(D707:P707),D707:P707,0)))</f>
        <v/>
      </c>
      <c r="V707" s="8" t="n">
        <v>381</v>
      </c>
      <c r="W707" s="10" t="n">
        <v>3</v>
      </c>
    </row>
    <row r="708">
      <c r="A708" s="7" t="inlineStr">
        <is>
          <t>MAT-10-099</t>
        </is>
      </c>
      <c r="B708" s="4" t="inlineStr">
        <is>
          <t>Panel LED empotrar redondo de 22 W</t>
        </is>
      </c>
      <c r="C708" s="7" t="inlineStr">
        <is>
          <t>unidad</t>
        </is>
      </c>
      <c r="D708" s="8" t="n"/>
      <c r="E708" s="8" t="n">
        <v>660</v>
      </c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>
        <f>IF(COUNT(D708:P708)=0,"",MIN(D708:P708))</f>
        <v/>
      </c>
      <c r="R708" s="8">
        <f>IF(COUNT(D708:P708)=0,"",MEDIAN(D708:P708))</f>
        <v/>
      </c>
      <c r="S708" s="8">
        <f>IF(COUNT(D708:P708)=0,"",MAX(D708:P708))</f>
        <v/>
      </c>
      <c r="T708" s="9">
        <f>IF(OR(Q708="",Q708=0),"",(S708-Q708)/Q708)</f>
        <v/>
      </c>
      <c r="U708" s="7">
        <f>IF(COUNT(D708:P708)=0,"",INDEX($D$1:$P$1,MATCH(MIN(D708:P708),D708:P708,0)))</f>
        <v/>
      </c>
      <c r="V708" s="8" t="n">
        <v>786</v>
      </c>
      <c r="W708" s="10" t="n">
        <v>1</v>
      </c>
    </row>
    <row r="709">
      <c r="A709" s="7" t="inlineStr">
        <is>
          <t>MAT-10-100</t>
        </is>
      </c>
      <c r="B709" s="4" t="inlineStr">
        <is>
          <t>Panel LED empotrar redondo de 24 W</t>
        </is>
      </c>
      <c r="C709" s="7" t="inlineStr">
        <is>
          <t>unidad</t>
        </is>
      </c>
      <c r="D709" s="8" t="n"/>
      <c r="E709" s="8" t="n">
        <v>295</v>
      </c>
      <c r="F709" s="8" t="n"/>
      <c r="G709" s="8" t="n"/>
      <c r="H709" s="8" t="n"/>
      <c r="I709" s="8" t="n"/>
      <c r="J709" s="8" t="n">
        <v>470</v>
      </c>
      <c r="K709" s="8" t="n"/>
      <c r="L709" s="8" t="n"/>
      <c r="M709" s="8" t="n"/>
      <c r="N709" s="8" t="n"/>
      <c r="O709" s="8" t="n"/>
      <c r="P709" s="8" t="n"/>
      <c r="Q709" s="8">
        <f>IF(COUNT(D709:P709)=0,"",MIN(D709:P709))</f>
        <v/>
      </c>
      <c r="R709" s="8">
        <f>IF(COUNT(D709:P709)=0,"",MEDIAN(D709:P709))</f>
        <v/>
      </c>
      <c r="S709" s="8">
        <f>IF(COUNT(D709:P709)=0,"",MAX(D709:P709))</f>
        <v/>
      </c>
      <c r="T709" s="9">
        <f>IF(OR(Q709="",Q709=0),"",(S709-Q709)/Q709)</f>
        <v/>
      </c>
      <c r="U709" s="7">
        <f>IF(COUNT(D709:P709)=0,"",INDEX($D$1:$P$1,MATCH(MIN(D709:P709),D709:P709,0)))</f>
        <v/>
      </c>
      <c r="V709" s="8" t="n">
        <v>514</v>
      </c>
      <c r="W709" s="10" t="n">
        <v>2</v>
      </c>
    </row>
    <row r="710">
      <c r="A710" s="7" t="inlineStr">
        <is>
          <t>MAT-10-101</t>
        </is>
      </c>
      <c r="B710" s="4" t="inlineStr">
        <is>
          <t>Panel LED empotrar redondo de 25 W</t>
        </is>
      </c>
      <c r="C710" s="7" t="inlineStr">
        <is>
          <t>unidad</t>
        </is>
      </c>
      <c r="D710" s="8" t="n"/>
      <c r="E710" s="8" t="n">
        <v>630</v>
      </c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>
        <f>IF(COUNT(D710:P710)=0,"",MIN(D710:P710))</f>
        <v/>
      </c>
      <c r="R710" s="8">
        <f>IF(COUNT(D710:P710)=0,"",MEDIAN(D710:P710))</f>
        <v/>
      </c>
      <c r="S710" s="8">
        <f>IF(COUNT(D710:P710)=0,"",MAX(D710:P710))</f>
        <v/>
      </c>
      <c r="T710" s="9">
        <f>IF(OR(Q710="",Q710=0),"",(S710-Q710)/Q710)</f>
        <v/>
      </c>
      <c r="U710" s="7">
        <f>IF(COUNT(D710:P710)=0,"",INDEX($D$1:$P$1,MATCH(MIN(D710:P710),D710:P710,0)))</f>
        <v/>
      </c>
      <c r="V710" s="8" t="n">
        <v>646.5</v>
      </c>
      <c r="W710" s="10" t="n">
        <v>1</v>
      </c>
    </row>
    <row r="711">
      <c r="A711" s="7" t="inlineStr">
        <is>
          <t>MAT-10-102</t>
        </is>
      </c>
      <c r="B711" s="4" t="inlineStr">
        <is>
          <t>Panel LED empotrar redondo de 3 W</t>
        </is>
      </c>
      <c r="C711" s="7" t="inlineStr">
        <is>
          <t>unidad</t>
        </is>
      </c>
      <c r="D711" s="8" t="n"/>
      <c r="E711" s="8" t="n">
        <v>90</v>
      </c>
      <c r="F711" s="8" t="n"/>
      <c r="G711" s="8" t="n"/>
      <c r="H711" s="8" t="n"/>
      <c r="I711" s="8" t="n"/>
      <c r="J711" s="8" t="n">
        <v>120</v>
      </c>
      <c r="K711" s="8" t="n"/>
      <c r="L711" s="8" t="n"/>
      <c r="M711" s="8" t="n"/>
      <c r="N711" s="8" t="n"/>
      <c r="O711" s="8" t="n"/>
      <c r="P711" s="8" t="n"/>
      <c r="Q711" s="8">
        <f>IF(COUNT(D711:P711)=0,"",MIN(D711:P711))</f>
        <v/>
      </c>
      <c r="R711" s="8">
        <f>IF(COUNT(D711:P711)=0,"",MEDIAN(D711:P711))</f>
        <v/>
      </c>
      <c r="S711" s="8">
        <f>IF(COUNT(D711:P711)=0,"",MAX(D711:P711))</f>
        <v/>
      </c>
      <c r="T711" s="9">
        <f>IF(OR(Q711="",Q711=0),"",(S711-Q711)/Q711)</f>
        <v/>
      </c>
      <c r="U711" s="7">
        <f>IF(COUNT(D711:P711)=0,"",INDEX($D$1:$P$1,MATCH(MIN(D711:P711),D711:P711,0)))</f>
        <v/>
      </c>
      <c r="V711" s="8" t="n">
        <v>142.5</v>
      </c>
      <c r="W711" s="10" t="n">
        <v>2</v>
      </c>
    </row>
    <row r="712">
      <c r="A712" s="7" t="inlineStr">
        <is>
          <t>MAT-10-103</t>
        </is>
      </c>
      <c r="B712" s="4" t="inlineStr">
        <is>
          <t>Panel LED empotrar redondo de 36 W</t>
        </is>
      </c>
      <c r="C712" s="7" t="inlineStr">
        <is>
          <t>unidad</t>
        </is>
      </c>
      <c r="D712" s="8" t="n"/>
      <c r="E712" s="8" t="n">
        <v>808</v>
      </c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>
        <f>IF(COUNT(D712:P712)=0,"",MIN(D712:P712))</f>
        <v/>
      </c>
      <c r="R712" s="8">
        <f>IF(COUNT(D712:P712)=0,"",MEDIAN(D712:P712))</f>
        <v/>
      </c>
      <c r="S712" s="8">
        <f>IF(COUNT(D712:P712)=0,"",MAX(D712:P712))</f>
        <v/>
      </c>
      <c r="T712" s="9">
        <f>IF(OR(Q712="",Q712=0),"",(S712-Q712)/Q712)</f>
        <v/>
      </c>
      <c r="U712" s="7">
        <f>IF(COUNT(D712:P712)=0,"",INDEX($D$1:$P$1,MATCH(MIN(D712:P712),D712:P712,0)))</f>
        <v/>
      </c>
      <c r="V712" s="8" t="n">
        <v>808</v>
      </c>
      <c r="W712" s="10" t="n">
        <v>1</v>
      </c>
    </row>
    <row r="713">
      <c r="A713" s="7" t="inlineStr">
        <is>
          <t>MAT-10-104</t>
        </is>
      </c>
      <c r="B713" s="4" t="inlineStr">
        <is>
          <t>Panel LED empotrar redondo de 4 W</t>
        </is>
      </c>
      <c r="C713" s="7" t="inlineStr">
        <is>
          <t>unidad</t>
        </is>
      </c>
      <c r="D713" s="8" t="n"/>
      <c r="E713" s="8" t="n">
        <v>245</v>
      </c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>
        <f>IF(COUNT(D713:P713)=0,"",MIN(D713:P713))</f>
        <v/>
      </c>
      <c r="R713" s="8">
        <f>IF(COUNT(D713:P713)=0,"",MEDIAN(D713:P713))</f>
        <v/>
      </c>
      <c r="S713" s="8">
        <f>IF(COUNT(D713:P713)=0,"",MAX(D713:P713))</f>
        <v/>
      </c>
      <c r="T713" s="9">
        <f>IF(OR(Q713="",Q713=0),"",(S713-Q713)/Q713)</f>
        <v/>
      </c>
      <c r="U713" s="7">
        <f>IF(COUNT(D713:P713)=0,"",INDEX($D$1:$P$1,MATCH(MIN(D713:P713),D713:P713,0)))</f>
        <v/>
      </c>
      <c r="V713" s="8" t="n">
        <v>280</v>
      </c>
      <c r="W713" s="10" t="n">
        <v>1</v>
      </c>
    </row>
    <row r="714">
      <c r="A714" s="7" t="inlineStr">
        <is>
          <t>MAT-10-105</t>
        </is>
      </c>
      <c r="B714" s="4" t="inlineStr">
        <is>
          <t>Panel LED empotrar redondo de 40 W</t>
        </is>
      </c>
      <c r="C714" s="7" t="inlineStr">
        <is>
          <t>unidad</t>
        </is>
      </c>
      <c r="D714" s="8" t="n"/>
      <c r="E714" s="8" t="n"/>
      <c r="F714" s="8" t="n"/>
      <c r="G714" s="8" t="n"/>
      <c r="H714" s="8" t="n"/>
      <c r="I714" s="8" t="n"/>
      <c r="J714" s="8" t="n">
        <v>1600</v>
      </c>
      <c r="K714" s="8" t="n"/>
      <c r="L714" s="8" t="n"/>
      <c r="M714" s="8" t="n"/>
      <c r="N714" s="8" t="n"/>
      <c r="O714" s="8" t="n"/>
      <c r="P714" s="8" t="n"/>
      <c r="Q714" s="8">
        <f>IF(COUNT(D714:P714)=0,"",MIN(D714:P714))</f>
        <v/>
      </c>
      <c r="R714" s="8">
        <f>IF(COUNT(D714:P714)=0,"",MEDIAN(D714:P714))</f>
        <v/>
      </c>
      <c r="S714" s="8">
        <f>IF(COUNT(D714:P714)=0,"",MAX(D714:P714))</f>
        <v/>
      </c>
      <c r="T714" s="9">
        <f>IF(OR(Q714="",Q714=0),"",(S714-Q714)/Q714)</f>
        <v/>
      </c>
      <c r="U714" s="7">
        <f>IF(COUNT(D714:P714)=0,"",INDEX($D$1:$P$1,MATCH(MIN(D714:P714),D714:P714,0)))</f>
        <v/>
      </c>
      <c r="V714" s="8" t="n">
        <v>1600</v>
      </c>
      <c r="W714" s="10" t="n">
        <v>1</v>
      </c>
    </row>
    <row r="715">
      <c r="A715" s="7" t="inlineStr">
        <is>
          <t>MAT-10-106</t>
        </is>
      </c>
      <c r="B715" s="4" t="inlineStr">
        <is>
          <t>Panel LED empotrar redondo de 5 W</t>
        </is>
      </c>
      <c r="C715" s="7" t="inlineStr">
        <is>
          <t>unidad</t>
        </is>
      </c>
      <c r="D715" s="8" t="n"/>
      <c r="E715" s="8" t="n"/>
      <c r="F715" s="8" t="n"/>
      <c r="G715" s="8" t="n"/>
      <c r="H715" s="8" t="n"/>
      <c r="I715" s="8" t="n">
        <v>159</v>
      </c>
      <c r="J715" s="8" t="n"/>
      <c r="K715" s="8" t="n"/>
      <c r="L715" s="8" t="n"/>
      <c r="M715" s="8" t="n"/>
      <c r="N715" s="8" t="n"/>
      <c r="O715" s="8" t="n"/>
      <c r="P715" s="8" t="n"/>
      <c r="Q715" s="8">
        <f>IF(COUNT(D715:P715)=0,"",MIN(D715:P715))</f>
        <v/>
      </c>
      <c r="R715" s="8">
        <f>IF(COUNT(D715:P715)=0,"",MEDIAN(D715:P715))</f>
        <v/>
      </c>
      <c r="S715" s="8">
        <f>IF(COUNT(D715:P715)=0,"",MAX(D715:P715))</f>
        <v/>
      </c>
      <c r="T715" s="9">
        <f>IF(OR(Q715="",Q715=0),"",(S715-Q715)/Q715)</f>
        <v/>
      </c>
      <c r="U715" s="7">
        <f>IF(COUNT(D715:P715)=0,"",INDEX($D$1:$P$1,MATCH(MIN(D715:P715),D715:P715,0)))</f>
        <v/>
      </c>
      <c r="V715" s="8" t="n">
        <v>159</v>
      </c>
      <c r="W715" s="10" t="n">
        <v>1</v>
      </c>
    </row>
    <row r="716">
      <c r="A716" s="7" t="inlineStr">
        <is>
          <t>MAT-10-107</t>
        </is>
      </c>
      <c r="B716" s="4" t="inlineStr">
        <is>
          <t>Panel LED empotrar redondo de 6 W</t>
        </is>
      </c>
      <c r="C716" s="7" t="inlineStr">
        <is>
          <t>unidad</t>
        </is>
      </c>
      <c r="D716" s="8" t="n"/>
      <c r="E716" s="8" t="n">
        <v>95</v>
      </c>
      <c r="F716" s="8" t="n"/>
      <c r="G716" s="8" t="n"/>
      <c r="H716" s="8" t="n"/>
      <c r="I716" s="8" t="n">
        <v>155</v>
      </c>
      <c r="J716" s="8" t="n">
        <v>185</v>
      </c>
      <c r="K716" s="8" t="n"/>
      <c r="L716" s="8" t="n"/>
      <c r="M716" s="8" t="n"/>
      <c r="N716" s="8" t="n"/>
      <c r="O716" s="8" t="n"/>
      <c r="P716" s="8" t="n"/>
      <c r="Q716" s="8">
        <f>IF(COUNT(D716:P716)=0,"",MIN(D716:P716))</f>
        <v/>
      </c>
      <c r="R716" s="8">
        <f>IF(COUNT(D716:P716)=0,"",MEDIAN(D716:P716))</f>
        <v/>
      </c>
      <c r="S716" s="8">
        <f>IF(COUNT(D716:P716)=0,"",MAX(D716:P716))</f>
        <v/>
      </c>
      <c r="T716" s="9">
        <f>IF(OR(Q716="",Q716=0),"",(S716-Q716)/Q716)</f>
        <v/>
      </c>
      <c r="U716" s="7">
        <f>IF(COUNT(D716:P716)=0,"",INDEX($D$1:$P$1,MATCH(MIN(D716:P716),D716:P716,0)))</f>
        <v/>
      </c>
      <c r="V716" s="8" t="n">
        <v>189</v>
      </c>
      <c r="W716" s="10" t="n">
        <v>3</v>
      </c>
    </row>
    <row r="717">
      <c r="A717" s="7" t="inlineStr">
        <is>
          <t>MAT-10-108</t>
        </is>
      </c>
      <c r="B717" s="4" t="inlineStr">
        <is>
          <t>Panel LED empotrar redondo de 7 W</t>
        </is>
      </c>
      <c r="C717" s="7" t="inlineStr">
        <is>
          <t>unidad</t>
        </is>
      </c>
      <c r="D717" s="8" t="n"/>
      <c r="E717" s="8" t="n"/>
      <c r="F717" s="8" t="n"/>
      <c r="G717" s="8" t="n"/>
      <c r="H717" s="8" t="n"/>
      <c r="I717" s="8" t="n">
        <v>219</v>
      </c>
      <c r="J717" s="8" t="n"/>
      <c r="K717" s="8" t="n"/>
      <c r="L717" s="8" t="n"/>
      <c r="M717" s="8" t="n"/>
      <c r="N717" s="8" t="n"/>
      <c r="O717" s="8" t="n"/>
      <c r="P717" s="8" t="n"/>
      <c r="Q717" s="8">
        <f>IF(COUNT(D717:P717)=0,"",MIN(D717:P717))</f>
        <v/>
      </c>
      <c r="R717" s="8">
        <f>IF(COUNT(D717:P717)=0,"",MEDIAN(D717:P717))</f>
        <v/>
      </c>
      <c r="S717" s="8">
        <f>IF(COUNT(D717:P717)=0,"",MAX(D717:P717))</f>
        <v/>
      </c>
      <c r="T717" s="9">
        <f>IF(OR(Q717="",Q717=0),"",(S717-Q717)/Q717)</f>
        <v/>
      </c>
      <c r="U717" s="7">
        <f>IF(COUNT(D717:P717)=0,"",INDEX($D$1:$P$1,MATCH(MIN(D717:P717),D717:P717,0)))</f>
        <v/>
      </c>
      <c r="V717" s="8" t="n">
        <v>219</v>
      </c>
      <c r="W717" s="10" t="n">
        <v>1</v>
      </c>
    </row>
    <row r="718">
      <c r="A718" s="7" t="inlineStr">
        <is>
          <t>MAT-10-109</t>
        </is>
      </c>
      <c r="B718" s="4" t="inlineStr">
        <is>
          <t>Panel LED empotrar redondo de 7.8 W</t>
        </is>
      </c>
      <c r="C718" s="7" t="inlineStr">
        <is>
          <t>unidad</t>
        </is>
      </c>
      <c r="D718" s="8" t="n"/>
      <c r="E718" s="8" t="n">
        <v>335</v>
      </c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>
        <f>IF(COUNT(D718:P718)=0,"",MIN(D718:P718))</f>
        <v/>
      </c>
      <c r="R718" s="8">
        <f>IF(COUNT(D718:P718)=0,"",MEDIAN(D718:P718))</f>
        <v/>
      </c>
      <c r="S718" s="8">
        <f>IF(COUNT(D718:P718)=0,"",MAX(D718:P718))</f>
        <v/>
      </c>
      <c r="T718" s="9">
        <f>IF(OR(Q718="",Q718=0),"",(S718-Q718)/Q718)</f>
        <v/>
      </c>
      <c r="U718" s="7">
        <f>IF(COUNT(D718:P718)=0,"",INDEX($D$1:$P$1,MATCH(MIN(D718:P718),D718:P718,0)))</f>
        <v/>
      </c>
      <c r="V718" s="8" t="n">
        <v>385</v>
      </c>
      <c r="W718" s="10" t="n">
        <v>1</v>
      </c>
    </row>
    <row r="719">
      <c r="A719" s="7" t="inlineStr">
        <is>
          <t>MAT-10-110</t>
        </is>
      </c>
      <c r="B719" s="4" t="inlineStr">
        <is>
          <t>Panel LED empotrar redondo de 8.5 W</t>
        </is>
      </c>
      <c r="C719" s="7" t="inlineStr">
        <is>
          <t>unidad</t>
        </is>
      </c>
      <c r="D719" s="8" t="n"/>
      <c r="E719" s="8" t="n">
        <v>1268</v>
      </c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>
        <f>IF(COUNT(D719:P719)=0,"",MIN(D719:P719))</f>
        <v/>
      </c>
      <c r="R719" s="8">
        <f>IF(COUNT(D719:P719)=0,"",MEDIAN(D719:P719))</f>
        <v/>
      </c>
      <c r="S719" s="8">
        <f>IF(COUNT(D719:P719)=0,"",MAX(D719:P719))</f>
        <v/>
      </c>
      <c r="T719" s="9">
        <f>IF(OR(Q719="",Q719=0),"",(S719-Q719)/Q719)</f>
        <v/>
      </c>
      <c r="U719" s="7">
        <f>IF(COUNT(D719:P719)=0,"",INDEX($D$1:$P$1,MATCH(MIN(D719:P719),D719:P719,0)))</f>
        <v/>
      </c>
      <c r="V719" s="8" t="n">
        <v>1268</v>
      </c>
      <c r="W719" s="10" t="n">
        <v>1</v>
      </c>
    </row>
    <row r="720">
      <c r="A720" s="7" t="inlineStr">
        <is>
          <t>MAT-10-111</t>
        </is>
      </c>
      <c r="B720" s="4" t="inlineStr">
        <is>
          <t>Panel LED empotrar redondo de 9 W</t>
        </is>
      </c>
      <c r="C720" s="7" t="inlineStr">
        <is>
          <t>unidad</t>
        </is>
      </c>
      <c r="D720" s="8" t="n"/>
      <c r="E720" s="8" t="n">
        <v>120</v>
      </c>
      <c r="F720" s="8" t="n"/>
      <c r="G720" s="8" t="n"/>
      <c r="H720" s="8" t="n"/>
      <c r="I720" s="8" t="n"/>
      <c r="J720" s="8" t="n">
        <v>200</v>
      </c>
      <c r="K720" s="8" t="n"/>
      <c r="L720" s="8" t="n"/>
      <c r="M720" s="8" t="n"/>
      <c r="N720" s="8" t="n"/>
      <c r="O720" s="8" t="n"/>
      <c r="P720" s="8" t="n"/>
      <c r="Q720" s="8">
        <f>IF(COUNT(D720:P720)=0,"",MIN(D720:P720))</f>
        <v/>
      </c>
      <c r="R720" s="8">
        <f>IF(COUNT(D720:P720)=0,"",MEDIAN(D720:P720))</f>
        <v/>
      </c>
      <c r="S720" s="8">
        <f>IF(COUNT(D720:P720)=0,"",MAX(D720:P720))</f>
        <v/>
      </c>
      <c r="T720" s="9">
        <f>IF(OR(Q720="",Q720=0),"",(S720-Q720)/Q720)</f>
        <v/>
      </c>
      <c r="U720" s="7">
        <f>IF(COUNT(D720:P720)=0,"",INDEX($D$1:$P$1,MATCH(MIN(D720:P720),D720:P720,0)))</f>
        <v/>
      </c>
      <c r="V720" s="8" t="n">
        <v>310</v>
      </c>
      <c r="W720" s="10" t="n">
        <v>2</v>
      </c>
    </row>
    <row r="721">
      <c r="A721" s="7" t="inlineStr">
        <is>
          <t>MAT-10-112</t>
        </is>
      </c>
      <c r="B721" s="4" t="inlineStr">
        <is>
          <t>Panel LED empotrar redondo de 9.8 W</t>
        </is>
      </c>
      <c r="C721" s="7" t="inlineStr">
        <is>
          <t>unidad</t>
        </is>
      </c>
      <c r="D721" s="8" t="n"/>
      <c r="E721" s="8" t="n">
        <v>859</v>
      </c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>
        <f>IF(COUNT(D721:P721)=0,"",MIN(D721:P721))</f>
        <v/>
      </c>
      <c r="R721" s="8">
        <f>IF(COUNT(D721:P721)=0,"",MEDIAN(D721:P721))</f>
        <v/>
      </c>
      <c r="S721" s="8">
        <f>IF(COUNT(D721:P721)=0,"",MAX(D721:P721))</f>
        <v/>
      </c>
      <c r="T721" s="9">
        <f>IF(OR(Q721="",Q721=0),"",(S721-Q721)/Q721)</f>
        <v/>
      </c>
      <c r="U721" s="7">
        <f>IF(COUNT(D721:P721)=0,"",INDEX($D$1:$P$1,MATCH(MIN(D721:P721),D721:P721,0)))</f>
        <v/>
      </c>
      <c r="V721" s="8" t="n">
        <v>859</v>
      </c>
      <c r="W721" s="10" t="n">
        <v>1</v>
      </c>
    </row>
    <row r="722">
      <c r="A722" s="7" t="inlineStr">
        <is>
          <t>MAT-10-113</t>
        </is>
      </c>
      <c r="B722" s="4" t="inlineStr">
        <is>
          <t>Panel LED sobreponer cuadrado de 10.5 W</t>
        </is>
      </c>
      <c r="C722" s="7" t="inlineStr">
        <is>
          <t>unidad</t>
        </is>
      </c>
      <c r="D722" s="8" t="n"/>
      <c r="E722" s="8" t="n">
        <v>2536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>
        <f>IF(COUNT(D722:P722)=0,"",MIN(D722:P722))</f>
        <v/>
      </c>
      <c r="R722" s="8">
        <f>IF(COUNT(D722:P722)=0,"",MEDIAN(D722:P722))</f>
        <v/>
      </c>
      <c r="S722" s="8">
        <f>IF(COUNT(D722:P722)=0,"",MAX(D722:P722))</f>
        <v/>
      </c>
      <c r="T722" s="9">
        <f>IF(OR(Q722="",Q722=0),"",(S722-Q722)/Q722)</f>
        <v/>
      </c>
      <c r="U722" s="7">
        <f>IF(COUNT(D722:P722)=0,"",INDEX($D$1:$P$1,MATCH(MIN(D722:P722),D722:P722,0)))</f>
        <v/>
      </c>
      <c r="V722" s="8" t="n">
        <v>2536</v>
      </c>
      <c r="W722" s="10" t="n">
        <v>1</v>
      </c>
    </row>
    <row r="723">
      <c r="A723" s="7" t="inlineStr">
        <is>
          <t>MAT-10-114</t>
        </is>
      </c>
      <c r="B723" s="4" t="inlineStr">
        <is>
          <t>Panel LED sobreponer cuadrado de 11.5 W</t>
        </is>
      </c>
      <c r="C723" s="7" t="inlineStr">
        <is>
          <t>unidad</t>
        </is>
      </c>
      <c r="D723" s="8" t="n"/>
      <c r="E723" s="8" t="n">
        <v>535</v>
      </c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>
        <f>IF(COUNT(D723:P723)=0,"",MIN(D723:P723))</f>
        <v/>
      </c>
      <c r="R723" s="8">
        <f>IF(COUNT(D723:P723)=0,"",MEDIAN(D723:P723))</f>
        <v/>
      </c>
      <c r="S723" s="8">
        <f>IF(COUNT(D723:P723)=0,"",MAX(D723:P723))</f>
        <v/>
      </c>
      <c r="T723" s="9">
        <f>IF(OR(Q723="",Q723=0),"",(S723-Q723)/Q723)</f>
        <v/>
      </c>
      <c r="U723" s="7">
        <f>IF(COUNT(D723:P723)=0,"",INDEX($D$1:$P$1,MATCH(MIN(D723:P723),D723:P723,0)))</f>
        <v/>
      </c>
      <c r="V723" s="8" t="n">
        <v>535</v>
      </c>
      <c r="W723" s="10" t="n">
        <v>1</v>
      </c>
    </row>
    <row r="724">
      <c r="A724" s="7" t="inlineStr">
        <is>
          <t>MAT-10-115</t>
        </is>
      </c>
      <c r="B724" s="4" t="inlineStr">
        <is>
          <t>Panel LED sobreponer cuadrado de 12 W</t>
        </is>
      </c>
      <c r="C724" s="7" t="inlineStr">
        <is>
          <t>unidad</t>
        </is>
      </c>
      <c r="D724" s="8" t="n"/>
      <c r="E724" s="8" t="n">
        <v>220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>
        <f>IF(COUNT(D724:P724)=0,"",MIN(D724:P724))</f>
        <v/>
      </c>
      <c r="R724" s="8">
        <f>IF(COUNT(D724:P724)=0,"",MEDIAN(D724:P724))</f>
        <v/>
      </c>
      <c r="S724" s="8">
        <f>IF(COUNT(D724:P724)=0,"",MAX(D724:P724))</f>
        <v/>
      </c>
      <c r="T724" s="9">
        <f>IF(OR(Q724="",Q724=0),"",(S724-Q724)/Q724)</f>
        <v/>
      </c>
      <c r="U724" s="7">
        <f>IF(COUNT(D724:P724)=0,"",INDEX($D$1:$P$1,MATCH(MIN(D724:P724),D724:P724,0)))</f>
        <v/>
      </c>
      <c r="V724" s="8" t="n">
        <v>390</v>
      </c>
      <c r="W724" s="10" t="n">
        <v>1</v>
      </c>
    </row>
    <row r="725">
      <c r="A725" s="7" t="inlineStr">
        <is>
          <t>MAT-10-116</t>
        </is>
      </c>
      <c r="B725" s="4" t="inlineStr">
        <is>
          <t>Panel LED sobreponer cuadrado de 18 W</t>
        </is>
      </c>
      <c r="C725" s="7" t="inlineStr">
        <is>
          <t>unidad</t>
        </is>
      </c>
      <c r="D725" s="8" t="n"/>
      <c r="E725" s="8" t="n">
        <v>305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>
        <f>IF(COUNT(D725:P725)=0,"",MIN(D725:P725))</f>
        <v/>
      </c>
      <c r="R725" s="8">
        <f>IF(COUNT(D725:P725)=0,"",MEDIAN(D725:P725))</f>
        <v/>
      </c>
      <c r="S725" s="8">
        <f>IF(COUNT(D725:P725)=0,"",MAX(D725:P725))</f>
        <v/>
      </c>
      <c r="T725" s="9">
        <f>IF(OR(Q725="",Q725=0),"",(S725-Q725)/Q725)</f>
        <v/>
      </c>
      <c r="U725" s="7">
        <f>IF(COUNT(D725:P725)=0,"",INDEX($D$1:$P$1,MATCH(MIN(D725:P725),D725:P725,0)))</f>
        <v/>
      </c>
      <c r="V725" s="8" t="n">
        <v>390</v>
      </c>
      <c r="W725" s="10" t="n">
        <v>1</v>
      </c>
    </row>
    <row r="726">
      <c r="A726" s="7" t="inlineStr">
        <is>
          <t>MAT-10-117</t>
        </is>
      </c>
      <c r="B726" s="4" t="inlineStr">
        <is>
          <t>Panel LED sobreponer cuadrado de 22 W</t>
        </is>
      </c>
      <c r="C726" s="7" t="inlineStr">
        <is>
          <t>unidad</t>
        </is>
      </c>
      <c r="D726" s="8" t="n"/>
      <c r="E726" s="8" t="n">
        <v>760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>
        <f>IF(COUNT(D726:P726)=0,"",MIN(D726:P726))</f>
        <v/>
      </c>
      <c r="R726" s="8">
        <f>IF(COUNT(D726:P726)=0,"",MEDIAN(D726:P726))</f>
        <v/>
      </c>
      <c r="S726" s="8">
        <f>IF(COUNT(D726:P726)=0,"",MAX(D726:P726))</f>
        <v/>
      </c>
      <c r="T726" s="9">
        <f>IF(OR(Q726="",Q726=0),"",(S726-Q726)/Q726)</f>
        <v/>
      </c>
      <c r="U726" s="7">
        <f>IF(COUNT(D726:P726)=0,"",INDEX($D$1:$P$1,MATCH(MIN(D726:P726),D726:P726,0)))</f>
        <v/>
      </c>
      <c r="V726" s="8" t="n">
        <v>760</v>
      </c>
      <c r="W726" s="10" t="n">
        <v>1</v>
      </c>
    </row>
    <row r="727">
      <c r="A727" s="7" t="inlineStr">
        <is>
          <t>MAT-10-118</t>
        </is>
      </c>
      <c r="B727" s="4" t="inlineStr">
        <is>
          <t>Panel LED sobreponer cuadrado de 24 W</t>
        </is>
      </c>
      <c r="C727" s="7" t="inlineStr">
        <is>
          <t>unidad</t>
        </is>
      </c>
      <c r="D727" s="8" t="n"/>
      <c r="E727" s="8" t="n">
        <v>695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>
        <f>IF(COUNT(D727:P727)=0,"",MIN(D727:P727))</f>
        <v/>
      </c>
      <c r="R727" s="8">
        <f>IF(COUNT(D727:P727)=0,"",MEDIAN(D727:P727))</f>
        <v/>
      </c>
      <c r="S727" s="8">
        <f>IF(COUNT(D727:P727)=0,"",MAX(D727:P727))</f>
        <v/>
      </c>
      <c r="T727" s="9">
        <f>IF(OR(Q727="",Q727=0),"",(S727-Q727)/Q727)</f>
        <v/>
      </c>
      <c r="U727" s="7">
        <f>IF(COUNT(D727:P727)=0,"",INDEX($D$1:$P$1,MATCH(MIN(D727:P727),D727:P727,0)))</f>
        <v/>
      </c>
      <c r="V727" s="8" t="n">
        <v>695</v>
      </c>
      <c r="W727" s="10" t="n">
        <v>1</v>
      </c>
    </row>
    <row r="728">
      <c r="A728" s="7" t="inlineStr">
        <is>
          <t>MAT-10-119</t>
        </is>
      </c>
      <c r="B728" s="4" t="inlineStr">
        <is>
          <t>Panel LED sobreponer cuadrado de 36 W</t>
        </is>
      </c>
      <c r="C728" s="7" t="inlineStr">
        <is>
          <t>unidad</t>
        </is>
      </c>
      <c r="D728" s="8" t="n"/>
      <c r="E728" s="8" t="n">
        <v>1242</v>
      </c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>
        <f>IF(COUNT(D728:P728)=0,"",MIN(D728:P728))</f>
        <v/>
      </c>
      <c r="R728" s="8">
        <f>IF(COUNT(D728:P728)=0,"",MEDIAN(D728:P728))</f>
        <v/>
      </c>
      <c r="S728" s="8">
        <f>IF(COUNT(D728:P728)=0,"",MAX(D728:P728))</f>
        <v/>
      </c>
      <c r="T728" s="9">
        <f>IF(OR(Q728="",Q728=0),"",(S728-Q728)/Q728)</f>
        <v/>
      </c>
      <c r="U728" s="7">
        <f>IF(COUNT(D728:P728)=0,"",INDEX($D$1:$P$1,MATCH(MIN(D728:P728),D728:P728,0)))</f>
        <v/>
      </c>
      <c r="V728" s="8" t="n">
        <v>1242</v>
      </c>
      <c r="W728" s="10" t="n">
        <v>1</v>
      </c>
    </row>
    <row r="729">
      <c r="A729" s="7" t="inlineStr">
        <is>
          <t>MAT-10-120</t>
        </is>
      </c>
      <c r="B729" s="4" t="inlineStr">
        <is>
          <t>Panel LED sobreponer cuadrado de 6 W</t>
        </is>
      </c>
      <c r="C729" s="7" t="inlineStr">
        <is>
          <t>unidad</t>
        </is>
      </c>
      <c r="D729" s="8" t="n"/>
      <c r="E729" s="8" t="n">
        <v>375</v>
      </c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>
        <f>IF(COUNT(D729:P729)=0,"",MIN(D729:P729))</f>
        <v/>
      </c>
      <c r="R729" s="8">
        <f>IF(COUNT(D729:P729)=0,"",MEDIAN(D729:P729))</f>
        <v/>
      </c>
      <c r="S729" s="8">
        <f>IF(COUNT(D729:P729)=0,"",MAX(D729:P729))</f>
        <v/>
      </c>
      <c r="T729" s="9">
        <f>IF(OR(Q729="",Q729=0),"",(S729-Q729)/Q729)</f>
        <v/>
      </c>
      <c r="U729" s="7">
        <f>IF(COUNT(D729:P729)=0,"",INDEX($D$1:$P$1,MATCH(MIN(D729:P729),D729:P729,0)))</f>
        <v/>
      </c>
      <c r="V729" s="8" t="n">
        <v>375</v>
      </c>
      <c r="W729" s="10" t="n">
        <v>1</v>
      </c>
    </row>
    <row r="730">
      <c r="A730" s="7" t="inlineStr">
        <is>
          <t>MAT-10-121</t>
        </is>
      </c>
      <c r="B730" s="4" t="inlineStr">
        <is>
          <t>Panel LED sobreponer redondo de 10.5 W</t>
        </is>
      </c>
      <c r="C730" s="7" t="inlineStr">
        <is>
          <t>unidad</t>
        </is>
      </c>
      <c r="D730" s="8" t="n"/>
      <c r="E730" s="8" t="n">
        <v>1910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>
        <f>IF(COUNT(D730:P730)=0,"",MIN(D730:P730))</f>
        <v/>
      </c>
      <c r="R730" s="8">
        <f>IF(COUNT(D730:P730)=0,"",MEDIAN(D730:P730))</f>
        <v/>
      </c>
      <c r="S730" s="8">
        <f>IF(COUNT(D730:P730)=0,"",MAX(D730:P730))</f>
        <v/>
      </c>
      <c r="T730" s="9">
        <f>IF(OR(Q730="",Q730=0),"",(S730-Q730)/Q730)</f>
        <v/>
      </c>
      <c r="U730" s="7">
        <f>IF(COUNT(D730:P730)=0,"",INDEX($D$1:$P$1,MATCH(MIN(D730:P730),D730:P730,0)))</f>
        <v/>
      </c>
      <c r="V730" s="8" t="n">
        <v>2048.5</v>
      </c>
      <c r="W730" s="10" t="n">
        <v>1</v>
      </c>
    </row>
    <row r="731">
      <c r="A731" s="7" t="inlineStr">
        <is>
          <t>MAT-10-122</t>
        </is>
      </c>
      <c r="B731" s="4" t="inlineStr">
        <is>
          <t>Panel LED sobreponer redondo de 11.5 W</t>
        </is>
      </c>
      <c r="C731" s="7" t="inlineStr">
        <is>
          <t>unidad</t>
        </is>
      </c>
      <c r="D731" s="8" t="n"/>
      <c r="E731" s="8" t="n">
        <v>525</v>
      </c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>
        <f>IF(COUNT(D731:P731)=0,"",MIN(D731:P731))</f>
        <v/>
      </c>
      <c r="R731" s="8">
        <f>IF(COUNT(D731:P731)=0,"",MEDIAN(D731:P731))</f>
        <v/>
      </c>
      <c r="S731" s="8">
        <f>IF(COUNT(D731:P731)=0,"",MAX(D731:P731))</f>
        <v/>
      </c>
      <c r="T731" s="9">
        <f>IF(OR(Q731="",Q731=0),"",(S731-Q731)/Q731)</f>
        <v/>
      </c>
      <c r="U731" s="7">
        <f>IF(COUNT(D731:P731)=0,"",INDEX($D$1:$P$1,MATCH(MIN(D731:P731),D731:P731,0)))</f>
        <v/>
      </c>
      <c r="V731" s="8" t="n">
        <v>525</v>
      </c>
      <c r="W731" s="10" t="n">
        <v>1</v>
      </c>
    </row>
    <row r="732">
      <c r="A732" s="7" t="inlineStr">
        <is>
          <t>MAT-10-123</t>
        </is>
      </c>
      <c r="B732" s="4" t="inlineStr">
        <is>
          <t>Panel LED sobreponer redondo de 12 W</t>
        </is>
      </c>
      <c r="C732" s="7" t="inlineStr">
        <is>
          <t>unidad</t>
        </is>
      </c>
      <c r="D732" s="8" t="n"/>
      <c r="E732" s="8" t="n">
        <v>175</v>
      </c>
      <c r="F732" s="8" t="n"/>
      <c r="G732" s="8" t="n"/>
      <c r="H732" s="8" t="n"/>
      <c r="I732" s="8" t="n">
        <v>269</v>
      </c>
      <c r="J732" s="8" t="n"/>
      <c r="K732" s="8" t="n"/>
      <c r="L732" s="8" t="n"/>
      <c r="M732" s="8" t="n"/>
      <c r="N732" s="8" t="n"/>
      <c r="O732" s="8" t="n"/>
      <c r="P732" s="8" t="n"/>
      <c r="Q732" s="8">
        <f>IF(COUNT(D732:P732)=0,"",MIN(D732:P732))</f>
        <v/>
      </c>
      <c r="R732" s="8">
        <f>IF(COUNT(D732:P732)=0,"",MEDIAN(D732:P732))</f>
        <v/>
      </c>
      <c r="S732" s="8">
        <f>IF(COUNT(D732:P732)=0,"",MAX(D732:P732))</f>
        <v/>
      </c>
      <c r="T732" s="9">
        <f>IF(OR(Q732="",Q732=0),"",(S732-Q732)/Q732)</f>
        <v/>
      </c>
      <c r="U732" s="7">
        <f>IF(COUNT(D732:P732)=0,"",INDEX($D$1:$P$1,MATCH(MIN(D732:P732),D732:P732,0)))</f>
        <v/>
      </c>
      <c r="V732" s="8" t="n">
        <v>343</v>
      </c>
      <c r="W732" s="10" t="n">
        <v>2</v>
      </c>
    </row>
    <row r="733">
      <c r="A733" s="7" t="inlineStr">
        <is>
          <t>MAT-10-124</t>
        </is>
      </c>
      <c r="B733" s="4" t="inlineStr">
        <is>
          <t>Panel LED sobreponer redondo de 18 W</t>
        </is>
      </c>
      <c r="C733" s="7" t="inlineStr">
        <is>
          <t>unidad</t>
        </is>
      </c>
      <c r="D733" s="8" t="n"/>
      <c r="E733" s="8" t="n">
        <v>235</v>
      </c>
      <c r="F733" s="8" t="n"/>
      <c r="G733" s="8" t="n"/>
      <c r="H733" s="8" t="n"/>
      <c r="I733" s="8" t="n">
        <v>345</v>
      </c>
      <c r="J733" s="8" t="n"/>
      <c r="K733" s="8" t="n"/>
      <c r="L733" s="8" t="n"/>
      <c r="M733" s="8" t="n"/>
      <c r="N733" s="8" t="n"/>
      <c r="O733" s="8" t="n"/>
      <c r="P733" s="8" t="n"/>
      <c r="Q733" s="8">
        <f>IF(COUNT(D733:P733)=0,"",MIN(D733:P733))</f>
        <v/>
      </c>
      <c r="R733" s="8">
        <f>IF(COUNT(D733:P733)=0,"",MEDIAN(D733:P733))</f>
        <v/>
      </c>
      <c r="S733" s="8">
        <f>IF(COUNT(D733:P733)=0,"",MAX(D733:P733))</f>
        <v/>
      </c>
      <c r="T733" s="9">
        <f>IF(OR(Q733="",Q733=0),"",(S733-Q733)/Q733)</f>
        <v/>
      </c>
      <c r="U733" s="7">
        <f>IF(COUNT(D733:P733)=0,"",INDEX($D$1:$P$1,MATCH(MIN(D733:P733),D733:P733,0)))</f>
        <v/>
      </c>
      <c r="V733" s="8" t="n">
        <v>464</v>
      </c>
      <c r="W733" s="10" t="n">
        <v>2</v>
      </c>
    </row>
    <row r="734">
      <c r="A734" s="7" t="inlineStr">
        <is>
          <t>MAT-10-125</t>
        </is>
      </c>
      <c r="B734" s="4" t="inlineStr">
        <is>
          <t>Panel LED sobreponer redondo de 22 W</t>
        </is>
      </c>
      <c r="C734" s="7" t="inlineStr">
        <is>
          <t>unidad</t>
        </is>
      </c>
      <c r="D734" s="8" t="n"/>
      <c r="E734" s="8" t="n">
        <v>735</v>
      </c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>
        <f>IF(COUNT(D734:P734)=0,"",MIN(D734:P734))</f>
        <v/>
      </c>
      <c r="R734" s="8">
        <f>IF(COUNT(D734:P734)=0,"",MEDIAN(D734:P734))</f>
        <v/>
      </c>
      <c r="S734" s="8">
        <f>IF(COUNT(D734:P734)=0,"",MAX(D734:P734))</f>
        <v/>
      </c>
      <c r="T734" s="9">
        <f>IF(OR(Q734="",Q734=0),"",(S734-Q734)/Q734)</f>
        <v/>
      </c>
      <c r="U734" s="7">
        <f>IF(COUNT(D734:P734)=0,"",INDEX($D$1:$P$1,MATCH(MIN(D734:P734),D734:P734,0)))</f>
        <v/>
      </c>
      <c r="V734" s="8" t="n">
        <v>780</v>
      </c>
      <c r="W734" s="10" t="n">
        <v>1</v>
      </c>
    </row>
    <row r="735">
      <c r="A735" s="7" t="inlineStr">
        <is>
          <t>MAT-10-126</t>
        </is>
      </c>
      <c r="B735" s="4" t="inlineStr">
        <is>
          <t>Panel LED sobreponer redondo de 24 W</t>
        </is>
      </c>
      <c r="C735" s="7" t="inlineStr">
        <is>
          <t>unidad</t>
        </is>
      </c>
      <c r="D735" s="8" t="n"/>
      <c r="E735" s="8" t="n">
        <v>390</v>
      </c>
      <c r="F735" s="8" t="n"/>
      <c r="G735" s="8" t="n"/>
      <c r="H735" s="8" t="n"/>
      <c r="I735" s="8" t="n">
        <v>519</v>
      </c>
      <c r="J735" s="8" t="n"/>
      <c r="K735" s="8" t="n"/>
      <c r="L735" s="8" t="n"/>
      <c r="M735" s="8" t="n"/>
      <c r="N735" s="8" t="n"/>
      <c r="O735" s="8" t="n"/>
      <c r="P735" s="8" t="n"/>
      <c r="Q735" s="8">
        <f>IF(COUNT(D735:P735)=0,"",MIN(D735:P735))</f>
        <v/>
      </c>
      <c r="R735" s="8">
        <f>IF(COUNT(D735:P735)=0,"",MEDIAN(D735:P735))</f>
        <v/>
      </c>
      <c r="S735" s="8">
        <f>IF(COUNT(D735:P735)=0,"",MAX(D735:P735))</f>
        <v/>
      </c>
      <c r="T735" s="9">
        <f>IF(OR(Q735="",Q735=0),"",(S735-Q735)/Q735)</f>
        <v/>
      </c>
      <c r="U735" s="7">
        <f>IF(COUNT(D735:P735)=0,"",INDEX($D$1:$P$1,MATCH(MIN(D735:P735),D735:P735,0)))</f>
        <v/>
      </c>
      <c r="V735" s="8" t="n">
        <v>519</v>
      </c>
      <c r="W735" s="10" t="n">
        <v>2</v>
      </c>
    </row>
    <row r="736">
      <c r="A736" s="7" t="inlineStr">
        <is>
          <t>MAT-10-127</t>
        </is>
      </c>
      <c r="B736" s="4" t="inlineStr">
        <is>
          <t>Panel LED sobreponer redondo de 25 W</t>
        </is>
      </c>
      <c r="C736" s="7" t="inlineStr">
        <is>
          <t>unidad</t>
        </is>
      </c>
      <c r="D736" s="8" t="n"/>
      <c r="E736" s="8" t="n">
        <v>595</v>
      </c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>
        <f>IF(COUNT(D736:P736)=0,"",MIN(D736:P736))</f>
        <v/>
      </c>
      <c r="R736" s="8">
        <f>IF(COUNT(D736:P736)=0,"",MEDIAN(D736:P736))</f>
        <v/>
      </c>
      <c r="S736" s="8">
        <f>IF(COUNT(D736:P736)=0,"",MAX(D736:P736))</f>
        <v/>
      </c>
      <c r="T736" s="9">
        <f>IF(OR(Q736="",Q736=0),"",(S736-Q736)/Q736)</f>
        <v/>
      </c>
      <c r="U736" s="7">
        <f>IF(COUNT(D736:P736)=0,"",INDEX($D$1:$P$1,MATCH(MIN(D736:P736),D736:P736,0)))</f>
        <v/>
      </c>
      <c r="V736" s="8" t="n">
        <v>595</v>
      </c>
      <c r="W736" s="10" t="n">
        <v>1</v>
      </c>
    </row>
    <row r="737">
      <c r="A737" s="7" t="inlineStr">
        <is>
          <t>MAT-10-128</t>
        </is>
      </c>
      <c r="B737" s="4" t="inlineStr">
        <is>
          <t>Panel LED sobreponer redondo de 36 W</t>
        </is>
      </c>
      <c r="C737" s="7" t="inlineStr">
        <is>
          <t>unidad</t>
        </is>
      </c>
      <c r="D737" s="8" t="n"/>
      <c r="E737" s="8" t="n">
        <v>1290</v>
      </c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>
        <f>IF(COUNT(D737:P737)=0,"",MIN(D737:P737))</f>
        <v/>
      </c>
      <c r="R737" s="8">
        <f>IF(COUNT(D737:P737)=0,"",MEDIAN(D737:P737))</f>
        <v/>
      </c>
      <c r="S737" s="8">
        <f>IF(COUNT(D737:P737)=0,"",MAX(D737:P737))</f>
        <v/>
      </c>
      <c r="T737" s="9">
        <f>IF(OR(Q737="",Q737=0),"",(S737-Q737)/Q737)</f>
        <v/>
      </c>
      <c r="U737" s="7">
        <f>IF(COUNT(D737:P737)=0,"",INDEX($D$1:$P$1,MATCH(MIN(D737:P737),D737:P737,0)))</f>
        <v/>
      </c>
      <c r="V737" s="8" t="n">
        <v>1290</v>
      </c>
      <c r="W737" s="10" t="n">
        <v>1</v>
      </c>
    </row>
    <row r="738">
      <c r="A738" s="7" t="inlineStr">
        <is>
          <t>MAT-10-129</t>
        </is>
      </c>
      <c r="B738" s="4" t="inlineStr">
        <is>
          <t>Panel LED sobreponer redondo de 6 W</t>
        </is>
      </c>
      <c r="C738" s="7" t="inlineStr">
        <is>
          <t>unidad</t>
        </is>
      </c>
      <c r="D738" s="8" t="n"/>
      <c r="E738" s="8" t="n">
        <v>276</v>
      </c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>
        <f>IF(COUNT(D738:P738)=0,"",MIN(D738:P738))</f>
        <v/>
      </c>
      <c r="R738" s="8">
        <f>IF(COUNT(D738:P738)=0,"",MEDIAN(D738:P738))</f>
        <v/>
      </c>
      <c r="S738" s="8">
        <f>IF(COUNT(D738:P738)=0,"",MAX(D738:P738))</f>
        <v/>
      </c>
      <c r="T738" s="9">
        <f>IF(OR(Q738="",Q738=0),"",(S738-Q738)/Q738)</f>
        <v/>
      </c>
      <c r="U738" s="7">
        <f>IF(COUNT(D738:P738)=0,"",INDEX($D$1:$P$1,MATCH(MIN(D738:P738),D738:P738,0)))</f>
        <v/>
      </c>
      <c r="V738" s="8" t="n">
        <v>327</v>
      </c>
      <c r="W738" s="10" t="n">
        <v>1</v>
      </c>
    </row>
    <row r="739">
      <c r="A739" s="7" t="inlineStr">
        <is>
          <t>MAT-10-130</t>
        </is>
      </c>
      <c r="B739" s="4" t="inlineStr">
        <is>
          <t>Panel LED sobreponer redondo de 7.8 W</t>
        </is>
      </c>
      <c r="C739" s="7" t="inlineStr">
        <is>
          <t>unidad</t>
        </is>
      </c>
      <c r="D739" s="8" t="n"/>
      <c r="E739" s="8" t="n">
        <v>395</v>
      </c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>
        <f>IF(COUNT(D739:P739)=0,"",MIN(D739:P739))</f>
        <v/>
      </c>
      <c r="R739" s="8">
        <f>IF(COUNT(D739:P739)=0,"",MEDIAN(D739:P739))</f>
        <v/>
      </c>
      <c r="S739" s="8">
        <f>IF(COUNT(D739:P739)=0,"",MAX(D739:P739))</f>
        <v/>
      </c>
      <c r="T739" s="9">
        <f>IF(OR(Q739="",Q739=0),"",(S739-Q739)/Q739)</f>
        <v/>
      </c>
      <c r="U739" s="7">
        <f>IF(COUNT(D739:P739)=0,"",INDEX($D$1:$P$1,MATCH(MIN(D739:P739),D739:P739,0)))</f>
        <v/>
      </c>
      <c r="V739" s="8" t="n">
        <v>395</v>
      </c>
      <c r="W739" s="10" t="n">
        <v>1</v>
      </c>
    </row>
    <row r="740">
      <c r="A740" s="7" t="inlineStr">
        <is>
          <t>MAT-10-131</t>
        </is>
      </c>
      <c r="B740" s="4" t="inlineStr">
        <is>
          <t>Luminaria empotrada dirigible cuadrada</t>
        </is>
      </c>
      <c r="C740" s="7" t="inlineStr">
        <is>
          <t>unidad</t>
        </is>
      </c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>
        <v>190</v>
      </c>
      <c r="M740" s="8" t="n"/>
      <c r="N740" s="8" t="n"/>
      <c r="O740" s="8" t="n"/>
      <c r="P740" s="8" t="n"/>
      <c r="Q740" s="8">
        <f>IF(COUNT(D740:P740)=0,"",MIN(D740:P740))</f>
        <v/>
      </c>
      <c r="R740" s="8">
        <f>IF(COUNT(D740:P740)=0,"",MEDIAN(D740:P740))</f>
        <v/>
      </c>
      <c r="S740" s="8">
        <f>IF(COUNT(D740:P740)=0,"",MAX(D740:P740))</f>
        <v/>
      </c>
      <c r="T740" s="9">
        <f>IF(OR(Q740="",Q740=0),"",(S740-Q740)/Q740)</f>
        <v/>
      </c>
      <c r="U740" s="7">
        <f>IF(COUNT(D740:P740)=0,"",INDEX($D$1:$P$1,MATCH(MIN(D740:P740),D740:P740,0)))</f>
        <v/>
      </c>
      <c r="V740" s="8" t="n">
        <v>190</v>
      </c>
      <c r="W740" s="10" t="n">
        <v>1</v>
      </c>
    </row>
    <row r="741">
      <c r="A741" s="7" t="inlineStr">
        <is>
          <t>MAT-10-132</t>
        </is>
      </c>
      <c r="B741" s="4" t="inlineStr">
        <is>
          <t>Luminaria empotrada dirigible redonda</t>
        </is>
      </c>
      <c r="C741" s="7" t="inlineStr">
        <is>
          <t>unidad</t>
        </is>
      </c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>
        <v>190</v>
      </c>
      <c r="M741" s="8" t="n"/>
      <c r="N741" s="8" t="n"/>
      <c r="O741" s="8" t="n"/>
      <c r="P741" s="8" t="n"/>
      <c r="Q741" s="8">
        <f>IF(COUNT(D741:P741)=0,"",MIN(D741:P741))</f>
        <v/>
      </c>
      <c r="R741" s="8">
        <f>IF(COUNT(D741:P741)=0,"",MEDIAN(D741:P741))</f>
        <v/>
      </c>
      <c r="S741" s="8">
        <f>IF(COUNT(D741:P741)=0,"",MAX(D741:P741))</f>
        <v/>
      </c>
      <c r="T741" s="9">
        <f>IF(OR(Q741="",Q741=0),"",(S741-Q741)/Q741)</f>
        <v/>
      </c>
      <c r="U741" s="7">
        <f>IF(COUNT(D741:P741)=0,"",INDEX($D$1:$P$1,MATCH(MIN(D741:P741),D741:P741,0)))</f>
        <v/>
      </c>
      <c r="V741" s="8" t="n">
        <v>252.5</v>
      </c>
      <c r="W741" s="10" t="n">
        <v>1</v>
      </c>
    </row>
    <row r="742">
      <c r="A742" s="7" t="inlineStr">
        <is>
          <t>MAT-10-133</t>
        </is>
      </c>
      <c r="B742" s="4" t="inlineStr">
        <is>
          <t>Lámpara de emergencia recargable</t>
        </is>
      </c>
      <c r="C742" s="7" t="inlineStr">
        <is>
          <t>unidad</t>
        </is>
      </c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>
        <v>1015</v>
      </c>
      <c r="M742" s="8" t="n"/>
      <c r="N742" s="8" t="n"/>
      <c r="O742" s="8" t="n"/>
      <c r="P742" s="8" t="n"/>
      <c r="Q742" s="8">
        <f>IF(COUNT(D742:P742)=0,"",MIN(D742:P742))</f>
        <v/>
      </c>
      <c r="R742" s="8">
        <f>IF(COUNT(D742:P742)=0,"",MEDIAN(D742:P742))</f>
        <v/>
      </c>
      <c r="S742" s="8">
        <f>IF(COUNT(D742:P742)=0,"",MAX(D742:P742))</f>
        <v/>
      </c>
      <c r="T742" s="9">
        <f>IF(OR(Q742="",Q742=0),"",(S742-Q742)/Q742)</f>
        <v/>
      </c>
      <c r="U742" s="7">
        <f>IF(COUNT(D742:P742)=0,"",INDEX($D$1:$P$1,MATCH(MIN(D742:P742),D742:P742,0)))</f>
        <v/>
      </c>
      <c r="V742" s="8" t="n">
        <v>1015</v>
      </c>
      <c r="W742" s="10" t="n">
        <v>1</v>
      </c>
    </row>
    <row r="743">
      <c r="A743" s="7" t="inlineStr">
        <is>
          <t>MAT-10-134</t>
        </is>
      </c>
      <c r="B743" s="4" t="inlineStr">
        <is>
          <t>Reflector LED de 10 W</t>
        </is>
      </c>
      <c r="C743" s="7" t="inlineStr">
        <is>
          <t>unidad</t>
        </is>
      </c>
      <c r="D743" s="8" t="n"/>
      <c r="E743" s="8" t="n">
        <v>487</v>
      </c>
      <c r="F743" s="8" t="n"/>
      <c r="G743" s="8" t="n"/>
      <c r="H743" s="8" t="n"/>
      <c r="I743" s="8" t="n">
        <v>397.34</v>
      </c>
      <c r="J743" s="8" t="n">
        <v>400</v>
      </c>
      <c r="K743" s="8" t="n"/>
      <c r="L743" s="8" t="n">
        <v>475</v>
      </c>
      <c r="M743" s="8" t="n"/>
      <c r="N743" s="8" t="n"/>
      <c r="O743" s="8" t="n"/>
      <c r="P743" s="8" t="n"/>
      <c r="Q743" s="8">
        <f>IF(COUNT(D743:P743)=0,"",MIN(D743:P743))</f>
        <v/>
      </c>
      <c r="R743" s="8">
        <f>IF(COUNT(D743:P743)=0,"",MEDIAN(D743:P743))</f>
        <v/>
      </c>
      <c r="S743" s="8">
        <f>IF(COUNT(D743:P743)=0,"",MAX(D743:P743))</f>
        <v/>
      </c>
      <c r="T743" s="9">
        <f>IF(OR(Q743="",Q743=0),"",(S743-Q743)/Q743)</f>
        <v/>
      </c>
      <c r="U743" s="7">
        <f>IF(COUNT(D743:P743)=0,"",INDEX($D$1:$P$1,MATCH(MIN(D743:P743),D743:P743,0)))</f>
        <v/>
      </c>
      <c r="V743" s="8" t="n">
        <v>632</v>
      </c>
      <c r="W743" s="10" t="n">
        <v>4</v>
      </c>
    </row>
    <row r="744">
      <c r="A744" s="7" t="inlineStr">
        <is>
          <t>MAT-10-135</t>
        </is>
      </c>
      <c r="B744" s="4" t="inlineStr">
        <is>
          <t>Reflector LED de 100 W</t>
        </is>
      </c>
      <c r="C744" s="7" t="inlineStr">
        <is>
          <t>unidad</t>
        </is>
      </c>
      <c r="D744" s="8" t="n"/>
      <c r="E744" s="8" t="n">
        <v>1502</v>
      </c>
      <c r="F744" s="8" t="n"/>
      <c r="G744" s="8" t="n"/>
      <c r="H744" s="8" t="n"/>
      <c r="I744" s="8" t="n"/>
      <c r="J744" s="8" t="n">
        <v>1500</v>
      </c>
      <c r="K744" s="8" t="n"/>
      <c r="L744" s="8" t="n">
        <v>1940</v>
      </c>
      <c r="M744" s="8" t="n"/>
      <c r="N744" s="8" t="n"/>
      <c r="O744" s="8" t="n"/>
      <c r="P744" s="8" t="n"/>
      <c r="Q744" s="8">
        <f>IF(COUNT(D744:P744)=0,"",MIN(D744:P744))</f>
        <v/>
      </c>
      <c r="R744" s="8">
        <f>IF(COUNT(D744:P744)=0,"",MEDIAN(D744:P744))</f>
        <v/>
      </c>
      <c r="S744" s="8">
        <f>IF(COUNT(D744:P744)=0,"",MAX(D744:P744))</f>
        <v/>
      </c>
      <c r="T744" s="9">
        <f>IF(OR(Q744="",Q744=0),"",(S744-Q744)/Q744)</f>
        <v/>
      </c>
      <c r="U744" s="7">
        <f>IF(COUNT(D744:P744)=0,"",INDEX($D$1:$P$1,MATCH(MIN(D744:P744),D744:P744,0)))</f>
        <v/>
      </c>
      <c r="V744" s="8" t="n">
        <v>1990</v>
      </c>
      <c r="W744" s="10" t="n">
        <v>3</v>
      </c>
    </row>
    <row r="745">
      <c r="A745" s="7" t="inlineStr">
        <is>
          <t>MAT-10-136</t>
        </is>
      </c>
      <c r="B745" s="4" t="inlineStr">
        <is>
          <t>Reflector LED de 14 W</t>
        </is>
      </c>
      <c r="C745" s="7" t="inlineStr">
        <is>
          <t>unidad</t>
        </is>
      </c>
      <c r="D745" s="8" t="n"/>
      <c r="E745" s="8" t="n">
        <v>815</v>
      </c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>
        <f>IF(COUNT(D745:P745)=0,"",MIN(D745:P745))</f>
        <v/>
      </c>
      <c r="R745" s="8">
        <f>IF(COUNT(D745:P745)=0,"",MEDIAN(D745:P745))</f>
        <v/>
      </c>
      <c r="S745" s="8">
        <f>IF(COUNT(D745:P745)=0,"",MAX(D745:P745))</f>
        <v/>
      </c>
      <c r="T745" s="9">
        <f>IF(OR(Q745="",Q745=0),"",(S745-Q745)/Q745)</f>
        <v/>
      </c>
      <c r="U745" s="7">
        <f>IF(COUNT(D745:P745)=0,"",INDEX($D$1:$P$1,MATCH(MIN(D745:P745),D745:P745,0)))</f>
        <v/>
      </c>
      <c r="V745" s="8" t="n">
        <v>815</v>
      </c>
      <c r="W745" s="10" t="n">
        <v>1</v>
      </c>
    </row>
    <row r="746">
      <c r="A746" s="7" t="inlineStr">
        <is>
          <t>MAT-10-137</t>
        </is>
      </c>
      <c r="B746" s="4" t="inlineStr">
        <is>
          <t>Reflector LED de 150 W</t>
        </is>
      </c>
      <c r="C746" s="7" t="inlineStr">
        <is>
          <t>unidad</t>
        </is>
      </c>
      <c r="D746" s="8" t="n"/>
      <c r="E746" s="8" t="n">
        <v>1818</v>
      </c>
      <c r="F746" s="8" t="n"/>
      <c r="G746" s="8" t="n"/>
      <c r="H746" s="8" t="n"/>
      <c r="I746" s="8" t="n"/>
      <c r="J746" s="8" t="n">
        <v>2950</v>
      </c>
      <c r="K746" s="8" t="n"/>
      <c r="L746" s="8" t="n"/>
      <c r="M746" s="8" t="n"/>
      <c r="N746" s="8" t="n"/>
      <c r="O746" s="8" t="n"/>
      <c r="P746" s="8" t="n"/>
      <c r="Q746" s="8">
        <f>IF(COUNT(D746:P746)=0,"",MIN(D746:P746))</f>
        <v/>
      </c>
      <c r="R746" s="8">
        <f>IF(COUNT(D746:P746)=0,"",MEDIAN(D746:P746))</f>
        <v/>
      </c>
      <c r="S746" s="8">
        <f>IF(COUNT(D746:P746)=0,"",MAX(D746:P746))</f>
        <v/>
      </c>
      <c r="T746" s="9">
        <f>IF(OR(Q746="",Q746=0),"",(S746-Q746)/Q746)</f>
        <v/>
      </c>
      <c r="U746" s="7">
        <f>IF(COUNT(D746:P746)=0,"",INDEX($D$1:$P$1,MATCH(MIN(D746:P746),D746:P746,0)))</f>
        <v/>
      </c>
      <c r="V746" s="8" t="n">
        <v>3990</v>
      </c>
      <c r="W746" s="10" t="n">
        <v>2</v>
      </c>
    </row>
    <row r="747">
      <c r="A747" s="7" t="inlineStr">
        <is>
          <t>MAT-10-138</t>
        </is>
      </c>
      <c r="B747" s="4" t="inlineStr">
        <is>
          <t>Reflector LED de 16 W</t>
        </is>
      </c>
      <c r="C747" s="7" t="inlineStr">
        <is>
          <t>unidad</t>
        </is>
      </c>
      <c r="D747" s="8" t="n"/>
      <c r="E747" s="8" t="n">
        <v>2207</v>
      </c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>
        <f>IF(COUNT(D747:P747)=0,"",MIN(D747:P747))</f>
        <v/>
      </c>
      <c r="R747" s="8">
        <f>IF(COUNT(D747:P747)=0,"",MEDIAN(D747:P747))</f>
        <v/>
      </c>
      <c r="S747" s="8">
        <f>IF(COUNT(D747:P747)=0,"",MAX(D747:P747))</f>
        <v/>
      </c>
      <c r="T747" s="9">
        <f>IF(OR(Q747="",Q747=0),"",(S747-Q747)/Q747)</f>
        <v/>
      </c>
      <c r="U747" s="7">
        <f>IF(COUNT(D747:P747)=0,"",INDEX($D$1:$P$1,MATCH(MIN(D747:P747),D747:P747,0)))</f>
        <v/>
      </c>
      <c r="V747" s="8" t="n">
        <v>2207</v>
      </c>
      <c r="W747" s="10" t="n">
        <v>1</v>
      </c>
    </row>
    <row r="748">
      <c r="A748" s="7" t="inlineStr">
        <is>
          <t>MAT-10-139</t>
        </is>
      </c>
      <c r="B748" s="4" t="inlineStr">
        <is>
          <t>Reflector LED de 18 W</t>
        </is>
      </c>
      <c r="C748" s="7" t="inlineStr">
        <is>
          <t>unidad</t>
        </is>
      </c>
      <c r="D748" s="8" t="n"/>
      <c r="E748" s="8" t="n">
        <v>1062</v>
      </c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>
        <f>IF(COUNT(D748:P748)=0,"",MIN(D748:P748))</f>
        <v/>
      </c>
      <c r="R748" s="8">
        <f>IF(COUNT(D748:P748)=0,"",MEDIAN(D748:P748))</f>
        <v/>
      </c>
      <c r="S748" s="8">
        <f>IF(COUNT(D748:P748)=0,"",MAX(D748:P748))</f>
        <v/>
      </c>
      <c r="T748" s="9">
        <f>IF(OR(Q748="",Q748=0),"",(S748-Q748)/Q748)</f>
        <v/>
      </c>
      <c r="U748" s="7">
        <f>IF(COUNT(D748:P748)=0,"",INDEX($D$1:$P$1,MATCH(MIN(D748:P748),D748:P748,0)))</f>
        <v/>
      </c>
      <c r="V748" s="8" t="n">
        <v>1062</v>
      </c>
      <c r="W748" s="10" t="n">
        <v>1</v>
      </c>
    </row>
    <row r="749">
      <c r="A749" s="7" t="inlineStr">
        <is>
          <t>MAT-10-140</t>
        </is>
      </c>
      <c r="B749" s="4" t="inlineStr">
        <is>
          <t>Reflector LED de 20 W</t>
        </is>
      </c>
      <c r="C749" s="7" t="inlineStr">
        <is>
          <t>unidad</t>
        </is>
      </c>
      <c r="D749" s="8" t="n"/>
      <c r="E749" s="8" t="n">
        <v>899</v>
      </c>
      <c r="F749" s="8" t="n"/>
      <c r="G749" s="8" t="n"/>
      <c r="H749" s="8" t="n"/>
      <c r="I749" s="8" t="n">
        <v>462.51</v>
      </c>
      <c r="J749" s="8" t="n"/>
      <c r="K749" s="8" t="n"/>
      <c r="L749" s="8" t="n"/>
      <c r="M749" s="8" t="n"/>
      <c r="N749" s="8" t="n"/>
      <c r="O749" s="8" t="n"/>
      <c r="P749" s="8" t="n"/>
      <c r="Q749" s="8">
        <f>IF(COUNT(D749:P749)=0,"",MIN(D749:P749))</f>
        <v/>
      </c>
      <c r="R749" s="8">
        <f>IF(COUNT(D749:P749)=0,"",MEDIAN(D749:P749))</f>
        <v/>
      </c>
      <c r="S749" s="8">
        <f>IF(COUNT(D749:P749)=0,"",MAX(D749:P749))</f>
        <v/>
      </c>
      <c r="T749" s="9">
        <f>IF(OR(Q749="",Q749=0),"",(S749-Q749)/Q749)</f>
        <v/>
      </c>
      <c r="U749" s="7">
        <f>IF(COUNT(D749:P749)=0,"",INDEX($D$1:$P$1,MATCH(MIN(D749:P749),D749:P749,0)))</f>
        <v/>
      </c>
      <c r="V749" s="8" t="n">
        <v>1066.5</v>
      </c>
      <c r="W749" s="10" t="n">
        <v>2</v>
      </c>
    </row>
    <row r="750">
      <c r="A750" s="7" t="inlineStr">
        <is>
          <t>MAT-10-141</t>
        </is>
      </c>
      <c r="B750" s="4" t="inlineStr">
        <is>
          <t>Reflector LED de 200 W</t>
        </is>
      </c>
      <c r="C750" s="7" t="inlineStr">
        <is>
          <t>unidad</t>
        </is>
      </c>
      <c r="D750" s="8" t="n"/>
      <c r="E750" s="8" t="n">
        <v>5295</v>
      </c>
      <c r="F750" s="8" t="n"/>
      <c r="G750" s="8" t="n"/>
      <c r="H750" s="8" t="n"/>
      <c r="I750" s="8" t="n"/>
      <c r="J750" s="8" t="n">
        <v>3200</v>
      </c>
      <c r="K750" s="8" t="n"/>
      <c r="L750" s="8" t="n">
        <v>2335</v>
      </c>
      <c r="M750" s="8" t="n"/>
      <c r="N750" s="8" t="n"/>
      <c r="O750" s="8" t="n"/>
      <c r="P750" s="8" t="n"/>
      <c r="Q750" s="8">
        <f>IF(COUNT(D750:P750)=0,"",MIN(D750:P750))</f>
        <v/>
      </c>
      <c r="R750" s="8">
        <f>IF(COUNT(D750:P750)=0,"",MEDIAN(D750:P750))</f>
        <v/>
      </c>
      <c r="S750" s="8">
        <f>IF(COUNT(D750:P750)=0,"",MAX(D750:P750))</f>
        <v/>
      </c>
      <c r="T750" s="9">
        <f>IF(OR(Q750="",Q750=0),"",(S750-Q750)/Q750)</f>
        <v/>
      </c>
      <c r="U750" s="7">
        <f>IF(COUNT(D750:P750)=0,"",INDEX($D$1:$P$1,MATCH(MIN(D750:P750),D750:P750,0)))</f>
        <v/>
      </c>
      <c r="V750" s="8" t="n">
        <v>6750</v>
      </c>
      <c r="W750" s="10" t="n">
        <v>3</v>
      </c>
    </row>
    <row r="751">
      <c r="A751" s="7" t="inlineStr">
        <is>
          <t>MAT-10-142</t>
        </is>
      </c>
      <c r="B751" s="4" t="inlineStr">
        <is>
          <t>Reflector LED de 23 W</t>
        </is>
      </c>
      <c r="C751" s="7" t="inlineStr">
        <is>
          <t>unidad</t>
        </is>
      </c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>
        <v>455</v>
      </c>
      <c r="M751" s="8" t="n"/>
      <c r="N751" s="8" t="n"/>
      <c r="O751" s="8" t="n"/>
      <c r="P751" s="8" t="n"/>
      <c r="Q751" s="8">
        <f>IF(COUNT(D751:P751)=0,"",MIN(D751:P751))</f>
        <v/>
      </c>
      <c r="R751" s="8">
        <f>IF(COUNT(D751:P751)=0,"",MEDIAN(D751:P751))</f>
        <v/>
      </c>
      <c r="S751" s="8">
        <f>IF(COUNT(D751:P751)=0,"",MAX(D751:P751))</f>
        <v/>
      </c>
      <c r="T751" s="9">
        <f>IF(OR(Q751="",Q751=0),"",(S751-Q751)/Q751)</f>
        <v/>
      </c>
      <c r="U751" s="7">
        <f>IF(COUNT(D751:P751)=0,"",INDEX($D$1:$P$1,MATCH(MIN(D751:P751),D751:P751,0)))</f>
        <v/>
      </c>
      <c r="V751" s="8" t="n">
        <v>455</v>
      </c>
      <c r="W751" s="10" t="n">
        <v>1</v>
      </c>
    </row>
    <row r="752">
      <c r="A752" s="7" t="inlineStr">
        <is>
          <t>MAT-10-143</t>
        </is>
      </c>
      <c r="B752" s="4" t="inlineStr">
        <is>
          <t>Reflector LED de 250 W</t>
        </is>
      </c>
      <c r="C752" s="7" t="inlineStr">
        <is>
          <t>unidad</t>
        </is>
      </c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>
        <v>280</v>
      </c>
      <c r="M752" s="8" t="n"/>
      <c r="N752" s="8" t="n"/>
      <c r="O752" s="8" t="n"/>
      <c r="P752" s="8" t="n"/>
      <c r="Q752" s="8">
        <f>IF(COUNT(D752:P752)=0,"",MIN(D752:P752))</f>
        <v/>
      </c>
      <c r="R752" s="8">
        <f>IF(COUNT(D752:P752)=0,"",MEDIAN(D752:P752))</f>
        <v/>
      </c>
      <c r="S752" s="8">
        <f>IF(COUNT(D752:P752)=0,"",MAX(D752:P752))</f>
        <v/>
      </c>
      <c r="T752" s="9">
        <f>IF(OR(Q752="",Q752=0),"",(S752-Q752)/Q752)</f>
        <v/>
      </c>
      <c r="U752" s="7">
        <f>IF(COUNT(D752:P752)=0,"",INDEX($D$1:$P$1,MATCH(MIN(D752:P752),D752:P752,0)))</f>
        <v/>
      </c>
      <c r="V752" s="8" t="n">
        <v>580</v>
      </c>
      <c r="W752" s="10" t="n">
        <v>1</v>
      </c>
    </row>
    <row r="753">
      <c r="A753" s="7" t="inlineStr">
        <is>
          <t>MAT-10-144</t>
        </is>
      </c>
      <c r="B753" s="4" t="inlineStr">
        <is>
          <t>Reflector LED de 30 W</t>
        </is>
      </c>
      <c r="C753" s="7" t="inlineStr">
        <is>
          <t>unidad</t>
        </is>
      </c>
      <c r="D753" s="8" t="n"/>
      <c r="E753" s="8" t="n">
        <v>475</v>
      </c>
      <c r="F753" s="8" t="n"/>
      <c r="G753" s="8" t="n"/>
      <c r="H753" s="8" t="n"/>
      <c r="I753" s="8" t="n"/>
      <c r="J753" s="8" t="n">
        <v>650</v>
      </c>
      <c r="K753" s="8" t="n"/>
      <c r="L753" s="8" t="n">
        <v>620</v>
      </c>
      <c r="M753" s="8" t="n"/>
      <c r="N753" s="8" t="n"/>
      <c r="O753" s="8" t="n"/>
      <c r="P753" s="8" t="n"/>
      <c r="Q753" s="8">
        <f>IF(COUNT(D753:P753)=0,"",MIN(D753:P753))</f>
        <v/>
      </c>
      <c r="R753" s="8">
        <f>IF(COUNT(D753:P753)=0,"",MEDIAN(D753:P753))</f>
        <v/>
      </c>
      <c r="S753" s="8">
        <f>IF(COUNT(D753:P753)=0,"",MAX(D753:P753))</f>
        <v/>
      </c>
      <c r="T753" s="9">
        <f>IF(OR(Q753="",Q753=0),"",(S753-Q753)/Q753)</f>
        <v/>
      </c>
      <c r="U753" s="7">
        <f>IF(COUNT(D753:P753)=0,"",INDEX($D$1:$P$1,MATCH(MIN(D753:P753),D753:P753,0)))</f>
        <v/>
      </c>
      <c r="V753" s="8" t="n">
        <v>1145</v>
      </c>
      <c r="W753" s="10" t="n">
        <v>3</v>
      </c>
    </row>
    <row r="754">
      <c r="A754" s="7" t="inlineStr">
        <is>
          <t>MAT-10-145</t>
        </is>
      </c>
      <c r="B754" s="4" t="inlineStr">
        <is>
          <t>Reflector LED de 300 W</t>
        </is>
      </c>
      <c r="C754" s="7" t="inlineStr">
        <is>
          <t>unidad</t>
        </is>
      </c>
      <c r="D754" s="8" t="n"/>
      <c r="E754" s="8" t="n"/>
      <c r="F754" s="8" t="n"/>
      <c r="G754" s="8" t="n"/>
      <c r="H754" s="8" t="n"/>
      <c r="I754" s="8" t="n"/>
      <c r="J754" s="8" t="n">
        <v>5100</v>
      </c>
      <c r="K754" s="8" t="n"/>
      <c r="L754" s="8" t="n"/>
      <c r="M754" s="8" t="n"/>
      <c r="N754" s="8" t="n"/>
      <c r="O754" s="8" t="n"/>
      <c r="P754" s="8" t="n"/>
      <c r="Q754" s="8">
        <f>IF(COUNT(D754:P754)=0,"",MIN(D754:P754))</f>
        <v/>
      </c>
      <c r="R754" s="8">
        <f>IF(COUNT(D754:P754)=0,"",MEDIAN(D754:P754))</f>
        <v/>
      </c>
      <c r="S754" s="8">
        <f>IF(COUNT(D754:P754)=0,"",MAX(D754:P754))</f>
        <v/>
      </c>
      <c r="T754" s="9">
        <f>IF(OR(Q754="",Q754=0),"",(S754-Q754)/Q754)</f>
        <v/>
      </c>
      <c r="U754" s="7">
        <f>IF(COUNT(D754:P754)=0,"",INDEX($D$1:$P$1,MATCH(MIN(D754:P754),D754:P754,0)))</f>
        <v/>
      </c>
      <c r="V754" s="8" t="n">
        <v>7800</v>
      </c>
      <c r="W754" s="10" t="n">
        <v>1</v>
      </c>
    </row>
    <row r="755">
      <c r="A755" s="7" t="inlineStr">
        <is>
          <t>MAT-10-146</t>
        </is>
      </c>
      <c r="B755" s="4" t="inlineStr">
        <is>
          <t>Reflector LED de 4 W</t>
        </is>
      </c>
      <c r="C755" s="7" t="inlineStr">
        <is>
          <t>unidad</t>
        </is>
      </c>
      <c r="D755" s="8" t="n"/>
      <c r="E755" s="8" t="n">
        <v>88</v>
      </c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>
        <f>IF(COUNT(D755:P755)=0,"",MIN(D755:P755))</f>
        <v/>
      </c>
      <c r="R755" s="8">
        <f>IF(COUNT(D755:P755)=0,"",MEDIAN(D755:P755))</f>
        <v/>
      </c>
      <c r="S755" s="8">
        <f>IF(COUNT(D755:P755)=0,"",MAX(D755:P755))</f>
        <v/>
      </c>
      <c r="T755" s="9">
        <f>IF(OR(Q755="",Q755=0),"",(S755-Q755)/Q755)</f>
        <v/>
      </c>
      <c r="U755" s="7">
        <f>IF(COUNT(D755:P755)=0,"",INDEX($D$1:$P$1,MATCH(MIN(D755:P755),D755:P755,0)))</f>
        <v/>
      </c>
      <c r="V755" s="8" t="n">
        <v>221.5</v>
      </c>
      <c r="W755" s="10" t="n">
        <v>1</v>
      </c>
    </row>
    <row r="756">
      <c r="A756" s="7" t="inlineStr">
        <is>
          <t>MAT-10-147</t>
        </is>
      </c>
      <c r="B756" s="4" t="inlineStr">
        <is>
          <t>Reflector LED de 400 W</t>
        </is>
      </c>
      <c r="C756" s="7" t="inlineStr">
        <is>
          <t>unidad</t>
        </is>
      </c>
      <c r="D756" s="8" t="n"/>
      <c r="E756" s="8" t="n">
        <v>7058</v>
      </c>
      <c r="F756" s="8" t="n"/>
      <c r="G756" s="8" t="n"/>
      <c r="H756" s="8" t="n"/>
      <c r="I756" s="8" t="n"/>
      <c r="J756" s="8" t="n">
        <v>5900</v>
      </c>
      <c r="K756" s="8" t="n"/>
      <c r="L756" s="8" t="n"/>
      <c r="M756" s="8" t="n"/>
      <c r="N756" s="8" t="n"/>
      <c r="O756" s="8" t="n"/>
      <c r="P756" s="8" t="n"/>
      <c r="Q756" s="8">
        <f>IF(COUNT(D756:P756)=0,"",MIN(D756:P756))</f>
        <v/>
      </c>
      <c r="R756" s="8">
        <f>IF(COUNT(D756:P756)=0,"",MEDIAN(D756:P756))</f>
        <v/>
      </c>
      <c r="S756" s="8">
        <f>IF(COUNT(D756:P756)=0,"",MAX(D756:P756))</f>
        <v/>
      </c>
      <c r="T756" s="9">
        <f>IF(OR(Q756="",Q756=0),"",(S756-Q756)/Q756)</f>
        <v/>
      </c>
      <c r="U756" s="7">
        <f>IF(COUNT(D756:P756)=0,"",INDEX($D$1:$P$1,MATCH(MIN(D756:P756),D756:P756,0)))</f>
        <v/>
      </c>
      <c r="V756" s="8" t="n">
        <v>7058</v>
      </c>
      <c r="W756" s="10" t="n">
        <v>2</v>
      </c>
    </row>
    <row r="757">
      <c r="A757" s="7" t="inlineStr">
        <is>
          <t>MAT-10-148</t>
        </is>
      </c>
      <c r="B757" s="4" t="inlineStr">
        <is>
          <t>Reflector LED de 5 W</t>
        </is>
      </c>
      <c r="C757" s="7" t="inlineStr">
        <is>
          <t>unidad</t>
        </is>
      </c>
      <c r="D757" s="8" t="n"/>
      <c r="E757" s="8" t="n">
        <v>93</v>
      </c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>
        <f>IF(COUNT(D757:P757)=0,"",MIN(D757:P757))</f>
        <v/>
      </c>
      <c r="R757" s="8">
        <f>IF(COUNT(D757:P757)=0,"",MEDIAN(D757:P757))</f>
        <v/>
      </c>
      <c r="S757" s="8">
        <f>IF(COUNT(D757:P757)=0,"",MAX(D757:P757))</f>
        <v/>
      </c>
      <c r="T757" s="9">
        <f>IF(OR(Q757="",Q757=0),"",(S757-Q757)/Q757)</f>
        <v/>
      </c>
      <c r="U757" s="7">
        <f>IF(COUNT(D757:P757)=0,"",INDEX($D$1:$P$1,MATCH(MIN(D757:P757),D757:P757,0)))</f>
        <v/>
      </c>
      <c r="V757" s="8" t="n">
        <v>95</v>
      </c>
      <c r="W757" s="10" t="n">
        <v>1</v>
      </c>
    </row>
    <row r="758">
      <c r="A758" s="7" t="inlineStr">
        <is>
          <t>MAT-10-149</t>
        </is>
      </c>
      <c r="B758" s="4" t="inlineStr">
        <is>
          <t>Reflector LED de 50 W</t>
        </is>
      </c>
      <c r="C758" s="7" t="inlineStr">
        <is>
          <t>unidad</t>
        </is>
      </c>
      <c r="D758" s="8" t="n"/>
      <c r="E758" s="8" t="n">
        <v>645.63</v>
      </c>
      <c r="F758" s="8" t="n"/>
      <c r="G758" s="8" t="n"/>
      <c r="H758" s="8" t="n"/>
      <c r="I758" s="8" t="n"/>
      <c r="J758" s="8" t="n">
        <v>915</v>
      </c>
      <c r="K758" s="8" t="n"/>
      <c r="L758" s="8" t="n">
        <v>970</v>
      </c>
      <c r="M758" s="8" t="n"/>
      <c r="N758" s="8" t="n"/>
      <c r="O758" s="8" t="n"/>
      <c r="P758" s="8" t="n"/>
      <c r="Q758" s="8">
        <f>IF(COUNT(D758:P758)=0,"",MIN(D758:P758))</f>
        <v/>
      </c>
      <c r="R758" s="8">
        <f>IF(COUNT(D758:P758)=0,"",MEDIAN(D758:P758))</f>
        <v/>
      </c>
      <c r="S758" s="8">
        <f>IF(COUNT(D758:P758)=0,"",MAX(D758:P758))</f>
        <v/>
      </c>
      <c r="T758" s="9">
        <f>IF(OR(Q758="",Q758=0),"",(S758-Q758)/Q758)</f>
        <v/>
      </c>
      <c r="U758" s="7">
        <f>IF(COUNT(D758:P758)=0,"",INDEX($D$1:$P$1,MATCH(MIN(D758:P758),D758:P758,0)))</f>
        <v/>
      </c>
      <c r="V758" s="8" t="n">
        <v>1136</v>
      </c>
      <c r="W758" s="10" t="n">
        <v>3</v>
      </c>
    </row>
    <row r="759">
      <c r="A759" s="7" t="inlineStr">
        <is>
          <t>MAT-10-150</t>
        </is>
      </c>
      <c r="B759" s="4" t="inlineStr">
        <is>
          <t>Reflector LED de 500 W</t>
        </is>
      </c>
      <c r="C759" s="7" t="inlineStr">
        <is>
          <t>unidad</t>
        </is>
      </c>
      <c r="D759" s="8" t="n"/>
      <c r="E759" s="8" t="n"/>
      <c r="F759" s="8" t="n"/>
      <c r="G759" s="8" t="n"/>
      <c r="H759" s="8" t="n"/>
      <c r="I759" s="8" t="n"/>
      <c r="J759" s="8" t="n">
        <v>18000</v>
      </c>
      <c r="K759" s="8" t="n"/>
      <c r="L759" s="8" t="n"/>
      <c r="M759" s="8" t="n"/>
      <c r="N759" s="8" t="n"/>
      <c r="O759" s="8" t="n"/>
      <c r="P759" s="8" t="n"/>
      <c r="Q759" s="8">
        <f>IF(COUNT(D759:P759)=0,"",MIN(D759:P759))</f>
        <v/>
      </c>
      <c r="R759" s="8">
        <f>IF(COUNT(D759:P759)=0,"",MEDIAN(D759:P759))</f>
        <v/>
      </c>
      <c r="S759" s="8">
        <f>IF(COUNT(D759:P759)=0,"",MAX(D759:P759))</f>
        <v/>
      </c>
      <c r="T759" s="9">
        <f>IF(OR(Q759="",Q759=0),"",(S759-Q759)/Q759)</f>
        <v/>
      </c>
      <c r="U759" s="7">
        <f>IF(COUNT(D759:P759)=0,"",INDEX($D$1:$P$1,MATCH(MIN(D759:P759),D759:P759,0)))</f>
        <v/>
      </c>
      <c r="V759" s="8" t="n">
        <v>18000</v>
      </c>
      <c r="W759" s="10" t="n">
        <v>1</v>
      </c>
    </row>
    <row r="760">
      <c r="A760" s="7" t="inlineStr">
        <is>
          <t>MAT-10-151</t>
        </is>
      </c>
      <c r="B760" s="4" t="inlineStr">
        <is>
          <t>Reflector LED de 55 W</t>
        </is>
      </c>
      <c r="C760" s="7" t="inlineStr">
        <is>
          <t>unidad</t>
        </is>
      </c>
      <c r="D760" s="8" t="n"/>
      <c r="E760" s="8" t="n">
        <v>12101</v>
      </c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>
        <f>IF(COUNT(D760:P760)=0,"",MIN(D760:P760))</f>
        <v/>
      </c>
      <c r="R760" s="8">
        <f>IF(COUNT(D760:P760)=0,"",MEDIAN(D760:P760))</f>
        <v/>
      </c>
      <c r="S760" s="8">
        <f>IF(COUNT(D760:P760)=0,"",MAX(D760:P760))</f>
        <v/>
      </c>
      <c r="T760" s="9">
        <f>IF(OR(Q760="",Q760=0),"",(S760-Q760)/Q760)</f>
        <v/>
      </c>
      <c r="U760" s="7">
        <f>IF(COUNT(D760:P760)=0,"",INDEX($D$1:$P$1,MATCH(MIN(D760:P760),D760:P760,0)))</f>
        <v/>
      </c>
      <c r="V760" s="8" t="n">
        <v>12101</v>
      </c>
      <c r="W760" s="10" t="n">
        <v>1</v>
      </c>
    </row>
    <row r="761">
      <c r="A761" s="7" t="inlineStr">
        <is>
          <t>MAT-10-152</t>
        </is>
      </c>
      <c r="B761" s="4" t="inlineStr">
        <is>
          <t>Reflector LED de 6.5 W</t>
        </is>
      </c>
      <c r="C761" s="7" t="inlineStr">
        <is>
          <t>unidad</t>
        </is>
      </c>
      <c r="D761" s="8" t="n"/>
      <c r="E761" s="8" t="n">
        <v>472</v>
      </c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>
        <f>IF(COUNT(D761:P761)=0,"",MIN(D761:P761))</f>
        <v/>
      </c>
      <c r="R761" s="8">
        <f>IF(COUNT(D761:P761)=0,"",MEDIAN(D761:P761))</f>
        <v/>
      </c>
      <c r="S761" s="8">
        <f>IF(COUNT(D761:P761)=0,"",MAX(D761:P761))</f>
        <v/>
      </c>
      <c r="T761" s="9">
        <f>IF(OR(Q761="",Q761=0),"",(S761-Q761)/Q761)</f>
        <v/>
      </c>
      <c r="U761" s="7">
        <f>IF(COUNT(D761:P761)=0,"",INDEX($D$1:$P$1,MATCH(MIN(D761:P761),D761:P761,0)))</f>
        <v/>
      </c>
      <c r="V761" s="8" t="n">
        <v>472</v>
      </c>
      <c r="W761" s="10" t="n">
        <v>1</v>
      </c>
    </row>
    <row r="762">
      <c r="A762" s="7" t="inlineStr">
        <is>
          <t>MAT-10-153</t>
        </is>
      </c>
      <c r="B762" s="4" t="inlineStr">
        <is>
          <t>Reflector LED de 8 W</t>
        </is>
      </c>
      <c r="C762" s="7" t="inlineStr">
        <is>
          <t>unidad</t>
        </is>
      </c>
      <c r="D762" s="8" t="n"/>
      <c r="E762" s="8" t="n">
        <v>120</v>
      </c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>
        <f>IF(COUNT(D762:P762)=0,"",MIN(D762:P762))</f>
        <v/>
      </c>
      <c r="R762" s="8">
        <f>IF(COUNT(D762:P762)=0,"",MEDIAN(D762:P762))</f>
        <v/>
      </c>
      <c r="S762" s="8">
        <f>IF(COUNT(D762:P762)=0,"",MAX(D762:P762))</f>
        <v/>
      </c>
      <c r="T762" s="9">
        <f>IF(OR(Q762="",Q762=0),"",(S762-Q762)/Q762)</f>
        <v/>
      </c>
      <c r="U762" s="7">
        <f>IF(COUNT(D762:P762)=0,"",INDEX($D$1:$P$1,MATCH(MIN(D762:P762),D762:P762,0)))</f>
        <v/>
      </c>
      <c r="V762" s="8" t="n">
        <v>280</v>
      </c>
      <c r="W762" s="10" t="n">
        <v>1</v>
      </c>
    </row>
    <row r="763">
      <c r="A763" s="7" t="inlineStr">
        <is>
          <t>MAT-10-154</t>
        </is>
      </c>
      <c r="B763" s="4" t="inlineStr">
        <is>
          <t>Reflector LED de 8.5 W</t>
        </is>
      </c>
      <c r="C763" s="7" t="inlineStr">
        <is>
          <t>unidad</t>
        </is>
      </c>
      <c r="D763" s="8" t="n"/>
      <c r="E763" s="8" t="n">
        <v>319</v>
      </c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>
        <f>IF(COUNT(D763:P763)=0,"",MIN(D763:P763))</f>
        <v/>
      </c>
      <c r="R763" s="8">
        <f>IF(COUNT(D763:P763)=0,"",MEDIAN(D763:P763))</f>
        <v/>
      </c>
      <c r="S763" s="8">
        <f>IF(COUNT(D763:P763)=0,"",MAX(D763:P763))</f>
        <v/>
      </c>
      <c r="T763" s="9">
        <f>IF(OR(Q763="",Q763=0),"",(S763-Q763)/Q763)</f>
        <v/>
      </c>
      <c r="U763" s="7">
        <f>IF(COUNT(D763:P763)=0,"",INDEX($D$1:$P$1,MATCH(MIN(D763:P763),D763:P763,0)))</f>
        <v/>
      </c>
      <c r="V763" s="8" t="n">
        <v>319</v>
      </c>
      <c r="W763" s="10" t="n">
        <v>1</v>
      </c>
    </row>
    <row r="764">
      <c r="A764" s="7" t="inlineStr">
        <is>
          <t>MAT-10-156</t>
        </is>
      </c>
      <c r="B764" s="4" t="inlineStr">
        <is>
          <t>Tubo LED de 11 W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>
        <v>699</v>
      </c>
      <c r="J764" s="8" t="n"/>
      <c r="K764" s="8" t="n"/>
      <c r="L764" s="8" t="n"/>
      <c r="M764" s="8" t="n"/>
      <c r="N764" s="8" t="n"/>
      <c r="O764" s="8" t="n"/>
      <c r="P764" s="8" t="n"/>
      <c r="Q764" s="8">
        <f>IF(COUNT(D764:P764)=0,"",MIN(D764:P764))</f>
        <v/>
      </c>
      <c r="R764" s="8">
        <f>IF(COUNT(D764:P764)=0,"",MEDIAN(D764:P764))</f>
        <v/>
      </c>
      <c r="S764" s="8">
        <f>IF(COUNT(D764:P764)=0,"",MAX(D764:P764))</f>
        <v/>
      </c>
      <c r="T764" s="9">
        <f>IF(OR(Q764="",Q764=0),"",(S764-Q764)/Q764)</f>
        <v/>
      </c>
      <c r="U764" s="7">
        <f>IF(COUNT(D764:P764)=0,"",INDEX($D$1:$P$1,MATCH(MIN(D764:P764),D764:P764,0)))</f>
        <v/>
      </c>
      <c r="V764" s="8" t="n">
        <v>699</v>
      </c>
      <c r="W764" s="10" t="n">
        <v>1</v>
      </c>
    </row>
    <row r="765">
      <c r="A765" s="7" t="inlineStr">
        <is>
          <t>MAT-10-157</t>
        </is>
      </c>
      <c r="B765" s="4" t="inlineStr">
        <is>
          <t>Tubo LED de 12 W</t>
        </is>
      </c>
      <c r="C765" s="7" t="inlineStr">
        <is>
          <t>unidad</t>
        </is>
      </c>
      <c r="D765" s="8" t="n"/>
      <c r="E765" s="8" t="n"/>
      <c r="F765" s="8" t="n"/>
      <c r="G765" s="8" t="n"/>
      <c r="H765" s="8" t="n"/>
      <c r="I765" s="8" t="n"/>
      <c r="J765" s="8" t="n">
        <v>142</v>
      </c>
      <c r="K765" s="8" t="n"/>
      <c r="L765" s="8" t="n"/>
      <c r="M765" s="8" t="n"/>
      <c r="N765" s="8" t="n"/>
      <c r="O765" s="8" t="n"/>
      <c r="P765" s="8" t="n"/>
      <c r="Q765" s="8">
        <f>IF(COUNT(D765:P765)=0,"",MIN(D765:P765))</f>
        <v/>
      </c>
      <c r="R765" s="8">
        <f>IF(COUNT(D765:P765)=0,"",MEDIAN(D765:P765))</f>
        <v/>
      </c>
      <c r="S765" s="8">
        <f>IF(COUNT(D765:P765)=0,"",MAX(D765:P765))</f>
        <v/>
      </c>
      <c r="T765" s="9">
        <f>IF(OR(Q765="",Q765=0),"",(S765-Q765)/Q765)</f>
        <v/>
      </c>
      <c r="U765" s="7">
        <f>IF(COUNT(D765:P765)=0,"",INDEX($D$1:$P$1,MATCH(MIN(D765:P765),D765:P765,0)))</f>
        <v/>
      </c>
      <c r="V765" s="8" t="n">
        <v>142</v>
      </c>
      <c r="W765" s="10" t="n">
        <v>1</v>
      </c>
    </row>
    <row r="766">
      <c r="A766" s="7" t="inlineStr">
        <is>
          <t>MAT-10-158</t>
        </is>
      </c>
      <c r="B766" s="4" t="inlineStr">
        <is>
          <t>Tubo LED de 16 W</t>
        </is>
      </c>
      <c r="C766" s="7" t="inlineStr">
        <is>
          <t>unidad</t>
        </is>
      </c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>
        <v>249.99</v>
      </c>
      <c r="M766" s="8" t="n"/>
      <c r="N766" s="8" t="n"/>
      <c r="O766" s="8" t="n"/>
      <c r="P766" s="8" t="n"/>
      <c r="Q766" s="8">
        <f>IF(COUNT(D766:P766)=0,"",MIN(D766:P766))</f>
        <v/>
      </c>
      <c r="R766" s="8">
        <f>IF(COUNT(D766:P766)=0,"",MEDIAN(D766:P766))</f>
        <v/>
      </c>
      <c r="S766" s="8">
        <f>IF(COUNT(D766:P766)=0,"",MAX(D766:P766))</f>
        <v/>
      </c>
      <c r="T766" s="9">
        <f>IF(OR(Q766="",Q766=0),"",(S766-Q766)/Q766)</f>
        <v/>
      </c>
      <c r="U766" s="7">
        <f>IF(COUNT(D766:P766)=0,"",INDEX($D$1:$P$1,MATCH(MIN(D766:P766),D766:P766,0)))</f>
        <v/>
      </c>
      <c r="V766" s="8" t="n">
        <v>249.99</v>
      </c>
      <c r="W766" s="10" t="n">
        <v>1</v>
      </c>
    </row>
    <row r="767">
      <c r="A767" s="7" t="inlineStr">
        <is>
          <t>MAT-10-159</t>
        </is>
      </c>
      <c r="B767" s="4" t="inlineStr">
        <is>
          <t>Tubo LED de 18 W</t>
        </is>
      </c>
      <c r="C767" s="7" t="inlineStr">
        <is>
          <t>unidad</t>
        </is>
      </c>
      <c r="D767" s="8" t="n"/>
      <c r="E767" s="8" t="n"/>
      <c r="F767" s="8" t="n"/>
      <c r="G767" s="8" t="n"/>
      <c r="H767" s="8" t="n"/>
      <c r="I767" s="8" t="n"/>
      <c r="J767" s="8" t="n">
        <v>170</v>
      </c>
      <c r="K767" s="8" t="n"/>
      <c r="L767" s="8" t="n"/>
      <c r="M767" s="8" t="n"/>
      <c r="N767" s="8" t="n"/>
      <c r="O767" s="8" t="n"/>
      <c r="P767" s="8" t="n"/>
      <c r="Q767" s="8">
        <f>IF(COUNT(D767:P767)=0,"",MIN(D767:P767))</f>
        <v/>
      </c>
      <c r="R767" s="8">
        <f>IF(COUNT(D767:P767)=0,"",MEDIAN(D767:P767))</f>
        <v/>
      </c>
      <c r="S767" s="8">
        <f>IF(COUNT(D767:P767)=0,"",MAX(D767:P767))</f>
        <v/>
      </c>
      <c r="T767" s="9">
        <f>IF(OR(Q767="",Q767=0),"",(S767-Q767)/Q767)</f>
        <v/>
      </c>
      <c r="U767" s="7">
        <f>IF(COUNT(D767:P767)=0,"",INDEX($D$1:$P$1,MATCH(MIN(D767:P767),D767:P767,0)))</f>
        <v/>
      </c>
      <c r="V767" s="8" t="n">
        <v>177</v>
      </c>
      <c r="W767" s="10" t="n">
        <v>1</v>
      </c>
    </row>
    <row r="768">
      <c r="A768" s="7" t="inlineStr">
        <is>
          <t>MAT-10-160</t>
        </is>
      </c>
      <c r="B768" s="4" t="inlineStr">
        <is>
          <t>Tubo LED de 19 W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>
        <v>785</v>
      </c>
      <c r="J768" s="8" t="n"/>
      <c r="K768" s="8" t="n"/>
      <c r="L768" s="8" t="n"/>
      <c r="M768" s="8" t="n"/>
      <c r="N768" s="8" t="n"/>
      <c r="O768" s="8" t="n"/>
      <c r="P768" s="8" t="n"/>
      <c r="Q768" s="8">
        <f>IF(COUNT(D768:P768)=0,"",MIN(D768:P768))</f>
        <v/>
      </c>
      <c r="R768" s="8">
        <f>IF(COUNT(D768:P768)=0,"",MEDIAN(D768:P768))</f>
        <v/>
      </c>
      <c r="S768" s="8">
        <f>IF(COUNT(D768:P768)=0,"",MAX(D768:P768))</f>
        <v/>
      </c>
      <c r="T768" s="9">
        <f>IF(OR(Q768="",Q768=0),"",(S768-Q768)/Q768)</f>
        <v/>
      </c>
      <c r="U768" s="7">
        <f>IF(COUNT(D768:P768)=0,"",INDEX($D$1:$P$1,MATCH(MIN(D768:P768),D768:P768,0)))</f>
        <v/>
      </c>
      <c r="V768" s="8" t="n">
        <v>785</v>
      </c>
      <c r="W768" s="10" t="n">
        <v>1</v>
      </c>
    </row>
    <row r="769">
      <c r="A769" s="7" t="inlineStr">
        <is>
          <t>MAT-10-161</t>
        </is>
      </c>
      <c r="B769" s="4" t="inlineStr">
        <is>
          <t>Tubo LED de 20.5 W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>
        <v>264.99</v>
      </c>
      <c r="M769" s="8" t="n"/>
      <c r="N769" s="8" t="n"/>
      <c r="O769" s="8" t="n"/>
      <c r="P769" s="8" t="n"/>
      <c r="Q769" s="8">
        <f>IF(COUNT(D769:P769)=0,"",MIN(D769:P769))</f>
        <v/>
      </c>
      <c r="R769" s="8">
        <f>IF(COUNT(D769:P769)=0,"",MEDIAN(D769:P769))</f>
        <v/>
      </c>
      <c r="S769" s="8">
        <f>IF(COUNT(D769:P769)=0,"",MAX(D769:P769))</f>
        <v/>
      </c>
      <c r="T769" s="9">
        <f>IF(OR(Q769="",Q769=0),"",(S769-Q769)/Q769)</f>
        <v/>
      </c>
      <c r="U769" s="7">
        <f>IF(COUNT(D769:P769)=0,"",INDEX($D$1:$P$1,MATCH(MIN(D769:P769),D769:P769,0)))</f>
        <v/>
      </c>
      <c r="V769" s="8" t="n">
        <v>264.99</v>
      </c>
      <c r="W769" s="10" t="n">
        <v>1</v>
      </c>
    </row>
    <row r="770">
      <c r="A770" s="7" t="inlineStr">
        <is>
          <t>MAT-10-162</t>
        </is>
      </c>
      <c r="B770" s="4" t="inlineStr">
        <is>
          <t>Tubo LED de 22 W</t>
        </is>
      </c>
      <c r="C770" s="7" t="inlineStr">
        <is>
          <t>unidad</t>
        </is>
      </c>
      <c r="D770" s="8" t="n"/>
      <c r="E770" s="8" t="n"/>
      <c r="F770" s="8" t="n"/>
      <c r="G770" s="8" t="n"/>
      <c r="H770" s="8" t="n"/>
      <c r="I770" s="8" t="n"/>
      <c r="J770" s="8" t="n">
        <v>404</v>
      </c>
      <c r="K770" s="8" t="n"/>
      <c r="L770" s="8" t="n"/>
      <c r="M770" s="8" t="n"/>
      <c r="N770" s="8" t="n"/>
      <c r="O770" s="8" t="n"/>
      <c r="P770" s="8" t="n"/>
      <c r="Q770" s="8">
        <f>IF(COUNT(D770:P770)=0,"",MIN(D770:P770))</f>
        <v/>
      </c>
      <c r="R770" s="8">
        <f>IF(COUNT(D770:P770)=0,"",MEDIAN(D770:P770))</f>
        <v/>
      </c>
      <c r="S770" s="8">
        <f>IF(COUNT(D770:P770)=0,"",MAX(D770:P770))</f>
        <v/>
      </c>
      <c r="T770" s="9">
        <f>IF(OR(Q770="",Q770=0),"",(S770-Q770)/Q770)</f>
        <v/>
      </c>
      <c r="U770" s="7">
        <f>IF(COUNT(D770:P770)=0,"",INDEX($D$1:$P$1,MATCH(MIN(D770:P770),D770:P770,0)))</f>
        <v/>
      </c>
      <c r="V770" s="8" t="n">
        <v>404</v>
      </c>
      <c r="W770" s="10" t="n">
        <v>1</v>
      </c>
    </row>
    <row r="771">
      <c r="A771" s="7" t="inlineStr">
        <is>
          <t>MAT-10-163</t>
        </is>
      </c>
      <c r="B771" s="4" t="inlineStr">
        <is>
          <t>Tubo LED de 24 W</t>
        </is>
      </c>
      <c r="C771" s="7" t="inlineStr">
        <is>
          <t>unidad</t>
        </is>
      </c>
      <c r="D771" s="8" t="n"/>
      <c r="E771" s="8" t="n"/>
      <c r="F771" s="8" t="n"/>
      <c r="G771" s="8" t="n"/>
      <c r="H771" s="8" t="n"/>
      <c r="I771" s="8" t="n">
        <v>889</v>
      </c>
      <c r="J771" s="8" t="n"/>
      <c r="K771" s="8" t="n"/>
      <c r="L771" s="8" t="n"/>
      <c r="M771" s="8" t="n"/>
      <c r="N771" s="8" t="n"/>
      <c r="O771" s="8" t="n"/>
      <c r="P771" s="8" t="n"/>
      <c r="Q771" s="8">
        <f>IF(COUNT(D771:P771)=0,"",MIN(D771:P771))</f>
        <v/>
      </c>
      <c r="R771" s="8">
        <f>IF(COUNT(D771:P771)=0,"",MEDIAN(D771:P771))</f>
        <v/>
      </c>
      <c r="S771" s="8">
        <f>IF(COUNT(D771:P771)=0,"",MAX(D771:P771))</f>
        <v/>
      </c>
      <c r="T771" s="9">
        <f>IF(OR(Q771="",Q771=0),"",(S771-Q771)/Q771)</f>
        <v/>
      </c>
      <c r="U771" s="7">
        <f>IF(COUNT(D771:P771)=0,"",INDEX($D$1:$P$1,MATCH(MIN(D771:P771),D771:P771,0)))</f>
        <v/>
      </c>
      <c r="V771" s="8" t="n">
        <v>889</v>
      </c>
      <c r="W771" s="10" t="n">
        <v>1</v>
      </c>
    </row>
    <row r="772">
      <c r="A772" s="7" t="inlineStr">
        <is>
          <t>MAT-10-164</t>
        </is>
      </c>
      <c r="B772" s="4" t="inlineStr">
        <is>
          <t>Tubo LED de 30 W</t>
        </is>
      </c>
      <c r="C772" s="7" t="inlineStr">
        <is>
          <t>unidad</t>
        </is>
      </c>
      <c r="D772" s="8" t="n"/>
      <c r="E772" s="8" t="n"/>
      <c r="F772" s="8" t="n"/>
      <c r="G772" s="8" t="n"/>
      <c r="H772" s="8" t="n"/>
      <c r="I772" s="8" t="n"/>
      <c r="J772" s="8" t="n">
        <v>3000</v>
      </c>
      <c r="K772" s="8" t="n"/>
      <c r="L772" s="8" t="n"/>
      <c r="M772" s="8" t="n"/>
      <c r="N772" s="8" t="n"/>
      <c r="O772" s="8" t="n"/>
      <c r="P772" s="8" t="n"/>
      <c r="Q772" s="8">
        <f>IF(COUNT(D772:P772)=0,"",MIN(D772:P772))</f>
        <v/>
      </c>
      <c r="R772" s="8">
        <f>IF(COUNT(D772:P772)=0,"",MEDIAN(D772:P772))</f>
        <v/>
      </c>
      <c r="S772" s="8">
        <f>IF(COUNT(D772:P772)=0,"",MAX(D772:P772))</f>
        <v/>
      </c>
      <c r="T772" s="9">
        <f>IF(OR(Q772="",Q772=0),"",(S772-Q772)/Q772)</f>
        <v/>
      </c>
      <c r="U772" s="7">
        <f>IF(COUNT(D772:P772)=0,"",INDEX($D$1:$P$1,MATCH(MIN(D772:P772),D772:P772,0)))</f>
        <v/>
      </c>
      <c r="V772" s="8" t="n">
        <v>3000</v>
      </c>
      <c r="W772" s="10" t="n">
        <v>1</v>
      </c>
    </row>
    <row r="773">
      <c r="A773" s="7" t="inlineStr">
        <is>
          <t>MAT-10-165</t>
        </is>
      </c>
      <c r="B773" s="4" t="inlineStr">
        <is>
          <t>Tubo LED de 36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>
        <v>875</v>
      </c>
      <c r="J773" s="8" t="n">
        <v>650</v>
      </c>
      <c r="K773" s="8" t="n"/>
      <c r="L773" s="8" t="n"/>
      <c r="M773" s="8" t="n"/>
      <c r="N773" s="8" t="n"/>
      <c r="O773" s="8" t="n"/>
      <c r="P773" s="8" t="n"/>
      <c r="Q773" s="8">
        <f>IF(COUNT(D773:P773)=0,"",MIN(D773:P773))</f>
        <v/>
      </c>
      <c r="R773" s="8">
        <f>IF(COUNT(D773:P773)=0,"",MEDIAN(D773:P773))</f>
        <v/>
      </c>
      <c r="S773" s="8">
        <f>IF(COUNT(D773:P773)=0,"",MAX(D773:P773))</f>
        <v/>
      </c>
      <c r="T773" s="9">
        <f>IF(OR(Q773="",Q773=0),"",(S773-Q773)/Q773)</f>
        <v/>
      </c>
      <c r="U773" s="7">
        <f>IF(COUNT(D773:P773)=0,"",INDEX($D$1:$P$1,MATCH(MIN(D773:P773),D773:P773,0)))</f>
        <v/>
      </c>
      <c r="V773" s="8" t="n">
        <v>875</v>
      </c>
      <c r="W773" s="10" t="n">
        <v>2</v>
      </c>
    </row>
    <row r="774">
      <c r="A774" s="7" t="inlineStr">
        <is>
          <t>MAT-10-166</t>
        </is>
      </c>
      <c r="B774" s="4" t="inlineStr">
        <is>
          <t>Tubo LED de 6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>
        <v>505</v>
      </c>
      <c r="J774" s="8" t="n"/>
      <c r="K774" s="8" t="n"/>
      <c r="L774" s="8" t="n"/>
      <c r="M774" s="8" t="n"/>
      <c r="N774" s="8" t="n"/>
      <c r="O774" s="8" t="n"/>
      <c r="P774" s="8" t="n"/>
      <c r="Q774" s="8">
        <f>IF(COUNT(D774:P774)=0,"",MIN(D774:P774))</f>
        <v/>
      </c>
      <c r="R774" s="8">
        <f>IF(COUNT(D774:P774)=0,"",MEDIAN(D774:P774))</f>
        <v/>
      </c>
      <c r="S774" s="8">
        <f>IF(COUNT(D774:P774)=0,"",MAX(D774:P774))</f>
        <v/>
      </c>
      <c r="T774" s="9">
        <f>IF(OR(Q774="",Q774=0),"",(S774-Q774)/Q774)</f>
        <v/>
      </c>
      <c r="U774" s="7">
        <f>IF(COUNT(D774:P774)=0,"",INDEX($D$1:$P$1,MATCH(MIN(D774:P774),D774:P774,0)))</f>
        <v/>
      </c>
      <c r="V774" s="8" t="n">
        <v>505</v>
      </c>
      <c r="W774" s="10" t="n">
        <v>1</v>
      </c>
    </row>
    <row r="775">
      <c r="A775" s="7" t="inlineStr">
        <is>
          <t>MAT-10-167</t>
        </is>
      </c>
      <c r="B775" s="4" t="inlineStr">
        <is>
          <t>Tubo LED de 9 W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>
        <v>145</v>
      </c>
      <c r="J775" s="8" t="n">
        <v>120</v>
      </c>
      <c r="K775" s="8" t="n"/>
      <c r="L775" s="8" t="n"/>
      <c r="M775" s="8" t="n"/>
      <c r="N775" s="8" t="n"/>
      <c r="O775" s="8" t="n"/>
      <c r="P775" s="8" t="n"/>
      <c r="Q775" s="8">
        <f>IF(COUNT(D775:P775)=0,"",MIN(D775:P775))</f>
        <v/>
      </c>
      <c r="R775" s="8">
        <f>IF(COUNT(D775:P775)=0,"",MEDIAN(D775:P775))</f>
        <v/>
      </c>
      <c r="S775" s="8">
        <f>IF(COUNT(D775:P775)=0,"",MAX(D775:P775))</f>
        <v/>
      </c>
      <c r="T775" s="9">
        <f>IF(OR(Q775="",Q775=0),"",(S775-Q775)/Q775)</f>
        <v/>
      </c>
      <c r="U775" s="7">
        <f>IF(COUNT(D775:P775)=0,"",INDEX($D$1:$P$1,MATCH(MIN(D775:P775),D775:P775,0)))</f>
        <v/>
      </c>
      <c r="V775" s="8" t="n">
        <v>147.5</v>
      </c>
      <c r="W775" s="10" t="n">
        <v>2</v>
      </c>
    </row>
    <row r="776">
      <c r="A776" s="7" t="inlineStr">
        <is>
          <t>MAT-10-168</t>
        </is>
      </c>
      <c r="B776" s="4" t="inlineStr">
        <is>
          <t>Tubo LED de 9.9 W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>
        <v>210</v>
      </c>
      <c r="M776" s="8" t="n"/>
      <c r="N776" s="8" t="n"/>
      <c r="O776" s="8" t="n"/>
      <c r="P776" s="8" t="n"/>
      <c r="Q776" s="8">
        <f>IF(COUNT(D776:P776)=0,"",MIN(D776:P776))</f>
        <v/>
      </c>
      <c r="R776" s="8">
        <f>IF(COUNT(D776:P776)=0,"",MEDIAN(D776:P776))</f>
        <v/>
      </c>
      <c r="S776" s="8">
        <f>IF(COUNT(D776:P776)=0,"",MAX(D776:P776))</f>
        <v/>
      </c>
      <c r="T776" s="9">
        <f>IF(OR(Q776="",Q776=0),"",(S776-Q776)/Q776)</f>
        <v/>
      </c>
      <c r="U776" s="7">
        <f>IF(COUNT(D776:P776)=0,"",INDEX($D$1:$P$1,MATCH(MIN(D776:P776),D776:P776,0)))</f>
        <v/>
      </c>
      <c r="V776" s="8" t="n">
        <v>210</v>
      </c>
      <c r="W776" s="10" t="n">
        <v>1</v>
      </c>
    </row>
    <row r="777">
      <c r="A777" s="7" t="inlineStr">
        <is>
          <t>MAT-10-169</t>
        </is>
      </c>
      <c r="B777" s="4" t="inlineStr">
        <is>
          <t>Fotocelda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>
        <v>150</v>
      </c>
      <c r="M777" s="8" t="n"/>
      <c r="N777" s="8" t="n"/>
      <c r="O777" s="8" t="n"/>
      <c r="P777" s="8" t="n"/>
      <c r="Q777" s="8">
        <f>IF(COUNT(D777:P777)=0,"",MIN(D777:P777))</f>
        <v/>
      </c>
      <c r="R777" s="8">
        <f>IF(COUNT(D777:P777)=0,"",MEDIAN(D777:P777))</f>
        <v/>
      </c>
      <c r="S777" s="8">
        <f>IF(COUNT(D777:P777)=0,"",MAX(D777:P777))</f>
        <v/>
      </c>
      <c r="T777" s="9">
        <f>IF(OR(Q777="",Q777=0),"",(S777-Q777)/Q777)</f>
        <v/>
      </c>
      <c r="U777" s="7">
        <f>IF(COUNT(D777:P777)=0,"",INDEX($D$1:$P$1,MATCH(MIN(D777:P777),D777:P777,0)))</f>
        <v/>
      </c>
      <c r="V777" s="8" t="n">
        <v>235</v>
      </c>
      <c r="W777" s="10" t="n">
        <v>1</v>
      </c>
    </row>
    <row r="778">
      <c r="A778" s="7" t="inlineStr">
        <is>
          <t>MAT-10-170</t>
        </is>
      </c>
      <c r="B778" s="4" t="inlineStr">
        <is>
          <t>Portalámparas</t>
        </is>
      </c>
      <c r="C778" s="7" t="inlineStr">
        <is>
          <t>unidad</t>
        </is>
      </c>
      <c r="D778" s="8" t="n"/>
      <c r="E778" s="8" t="n"/>
      <c r="F778" s="8" t="n"/>
      <c r="G778" s="8" t="n"/>
      <c r="H778" s="8" t="n"/>
      <c r="I778" s="8" t="n">
        <v>35</v>
      </c>
      <c r="J778" s="8" t="n"/>
      <c r="K778" s="8" t="n"/>
      <c r="L778" s="8" t="n"/>
      <c r="M778" s="8" t="n"/>
      <c r="N778" s="8" t="n"/>
      <c r="O778" s="8" t="n"/>
      <c r="P778" s="8" t="n"/>
      <c r="Q778" s="8">
        <f>IF(COUNT(D778:P778)=0,"",MIN(D778:P778))</f>
        <v/>
      </c>
      <c r="R778" s="8">
        <f>IF(COUNT(D778:P778)=0,"",MEDIAN(D778:P778))</f>
        <v/>
      </c>
      <c r="S778" s="8">
        <f>IF(COUNT(D778:P778)=0,"",MAX(D778:P778))</f>
        <v/>
      </c>
      <c r="T778" s="9">
        <f>IF(OR(Q778="",Q778=0),"",(S778-Q778)/Q778)</f>
        <v/>
      </c>
      <c r="U778" s="7">
        <f>IF(COUNT(D778:P778)=0,"",INDEX($D$1:$P$1,MATCH(MIN(D778:P778),D778:P778,0)))</f>
        <v/>
      </c>
      <c r="V778" s="8" t="n">
        <v>52</v>
      </c>
      <c r="W778" s="10" t="n">
        <v>1</v>
      </c>
    </row>
    <row r="779">
      <c r="A779" s="7" t="inlineStr">
        <is>
          <t>MAT-10-171</t>
        </is>
      </c>
      <c r="B779" s="4" t="inlineStr">
        <is>
          <t>Portalámparas</t>
        </is>
      </c>
      <c r="C779" s="7" t="inlineStr">
        <is>
          <t>unidad</t>
        </is>
      </c>
      <c r="D779" s="8" t="n"/>
      <c r="E779" s="8" t="n"/>
      <c r="F779" s="8" t="n"/>
      <c r="G779" s="8" t="n"/>
      <c r="H779" s="8" t="n"/>
      <c r="I779" s="8" t="n">
        <v>29</v>
      </c>
      <c r="J779" s="8" t="n"/>
      <c r="K779" s="8" t="n"/>
      <c r="L779" s="8" t="n"/>
      <c r="M779" s="8" t="n"/>
      <c r="N779" s="8" t="n"/>
      <c r="O779" s="8" t="n"/>
      <c r="P779" s="8" t="n"/>
      <c r="Q779" s="8">
        <f>IF(COUNT(D779:P779)=0,"",MIN(D779:P779))</f>
        <v/>
      </c>
      <c r="R779" s="8">
        <f>IF(COUNT(D779:P779)=0,"",MEDIAN(D779:P779))</f>
        <v/>
      </c>
      <c r="S779" s="8">
        <f>IF(COUNT(D779:P779)=0,"",MAX(D779:P779))</f>
        <v/>
      </c>
      <c r="T779" s="9">
        <f>IF(OR(Q779="",Q779=0),"",(S779-Q779)/Q779)</f>
        <v/>
      </c>
      <c r="U779" s="7">
        <f>IF(COUNT(D779:P779)=0,"",INDEX($D$1:$P$1,MATCH(MIN(D779:P779),D779:P779,0)))</f>
        <v/>
      </c>
      <c r="V779" s="8" t="n">
        <v>45</v>
      </c>
      <c r="W779" s="10" t="n">
        <v>1</v>
      </c>
    </row>
    <row r="780">
      <c r="A780" s="7" t="inlineStr">
        <is>
          <t>MAT-10-172</t>
        </is>
      </c>
      <c r="B780" s="4" t="inlineStr">
        <is>
          <t>Roseta de techo</t>
        </is>
      </c>
      <c r="C780" s="7" t="inlineStr">
        <is>
          <t>unidad</t>
        </is>
      </c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>
        <v>115</v>
      </c>
      <c r="M780" s="8" t="n"/>
      <c r="N780" s="8" t="n"/>
      <c r="O780" s="8" t="n"/>
      <c r="P780" s="8" t="n"/>
      <c r="Q780" s="8">
        <f>IF(COUNT(D780:P780)=0,"",MIN(D780:P780))</f>
        <v/>
      </c>
      <c r="R780" s="8">
        <f>IF(COUNT(D780:P780)=0,"",MEDIAN(D780:P780))</f>
        <v/>
      </c>
      <c r="S780" s="8">
        <f>IF(COUNT(D780:P780)=0,"",MAX(D780:P780))</f>
        <v/>
      </c>
      <c r="T780" s="9">
        <f>IF(OR(Q780="",Q780=0),"",(S780-Q780)/Q780)</f>
        <v/>
      </c>
      <c r="U780" s="7">
        <f>IF(COUNT(D780:P780)=0,"",INDEX($D$1:$P$1,MATCH(MIN(D780:P780),D780:P780,0)))</f>
        <v/>
      </c>
      <c r="V780" s="8" t="n">
        <v>115</v>
      </c>
      <c r="W780" s="10" t="n">
        <v>1</v>
      </c>
    </row>
    <row r="781">
      <c r="A781" s="7" t="inlineStr">
        <is>
          <t>MAT-10-174</t>
        </is>
      </c>
      <c r="B781" s="4" t="inlineStr">
        <is>
          <t>Ojo de buey fijo de 10 W</t>
        </is>
      </c>
      <c r="C781" s="7" t="inlineStr">
        <is>
          <t>unidad</t>
        </is>
      </c>
      <c r="D781" s="8" t="n"/>
      <c r="E781" s="8" t="n"/>
      <c r="F781" s="8" t="n"/>
      <c r="G781" s="8" t="n"/>
      <c r="H781" s="8" t="n"/>
      <c r="I781" s="8" t="n"/>
      <c r="J781" s="8" t="n">
        <v>1000</v>
      </c>
      <c r="K781" s="8" t="n"/>
      <c r="L781" s="8" t="n"/>
      <c r="M781" s="8" t="n"/>
      <c r="N781" s="8" t="n"/>
      <c r="O781" s="8" t="n"/>
      <c r="P781" s="8" t="n"/>
      <c r="Q781" s="8">
        <f>IF(COUNT(D781:P781)=0,"",MIN(D781:P781))</f>
        <v/>
      </c>
      <c r="R781" s="8">
        <f>IF(COUNT(D781:P781)=0,"",MEDIAN(D781:P781))</f>
        <v/>
      </c>
      <c r="S781" s="8">
        <f>IF(COUNT(D781:P781)=0,"",MAX(D781:P781))</f>
        <v/>
      </c>
      <c r="T781" s="9">
        <f>IF(OR(Q781="",Q781=0),"",(S781-Q781)/Q781)</f>
        <v/>
      </c>
      <c r="U781" s="7">
        <f>IF(COUNT(D781:P781)=0,"",INDEX($D$1:$P$1,MATCH(MIN(D781:P781),D781:P781,0)))</f>
        <v/>
      </c>
      <c r="V781" s="8" t="n">
        <v>1000</v>
      </c>
      <c r="W781" s="10" t="n">
        <v>1</v>
      </c>
    </row>
    <row r="782">
      <c r="A782" s="7" t="inlineStr">
        <is>
          <t>MAT-10-175</t>
        </is>
      </c>
      <c r="B782" s="4" t="inlineStr">
        <is>
          <t>Ojo de buey fijo de 20 W</t>
        </is>
      </c>
      <c r="C782" s="7" t="inlineStr">
        <is>
          <t>unidad</t>
        </is>
      </c>
      <c r="D782" s="8" t="n"/>
      <c r="E782" s="8" t="n"/>
      <c r="F782" s="8" t="n"/>
      <c r="G782" s="8" t="n"/>
      <c r="H782" s="8" t="n"/>
      <c r="I782" s="8" t="n"/>
      <c r="J782" s="8" t="n">
        <v>1800</v>
      </c>
      <c r="K782" s="8" t="n"/>
      <c r="L782" s="8" t="n"/>
      <c r="M782" s="8" t="n"/>
      <c r="N782" s="8" t="n"/>
      <c r="O782" s="8" t="n"/>
      <c r="P782" s="8" t="n"/>
      <c r="Q782" s="8">
        <f>IF(COUNT(D782:P782)=0,"",MIN(D782:P782))</f>
        <v/>
      </c>
      <c r="R782" s="8">
        <f>IF(COUNT(D782:P782)=0,"",MEDIAN(D782:P782))</f>
        <v/>
      </c>
      <c r="S782" s="8">
        <f>IF(COUNT(D782:P782)=0,"",MAX(D782:P782))</f>
        <v/>
      </c>
      <c r="T782" s="9">
        <f>IF(OR(Q782="",Q782=0),"",(S782-Q782)/Q782)</f>
        <v/>
      </c>
      <c r="U782" s="7">
        <f>IF(COUNT(D782:P782)=0,"",INDEX($D$1:$P$1,MATCH(MIN(D782:P782),D782:P782,0)))</f>
        <v/>
      </c>
      <c r="V782" s="8" t="n">
        <v>1800</v>
      </c>
      <c r="W782" s="10" t="n">
        <v>1</v>
      </c>
    </row>
    <row r="783">
      <c r="A783" s="7" t="inlineStr">
        <is>
          <t>MAT-10-176</t>
        </is>
      </c>
      <c r="B783" s="4" t="inlineStr">
        <is>
          <t>Cinta LED blanca, rollo de 100 m</t>
        </is>
      </c>
      <c r="C783" s="7" t="inlineStr">
        <is>
          <t>rollo</t>
        </is>
      </c>
      <c r="D783" s="8" t="n"/>
      <c r="E783" s="8" t="n"/>
      <c r="F783" s="8" t="n"/>
      <c r="G783" s="8" t="n"/>
      <c r="H783" s="8" t="n"/>
      <c r="I783" s="8" t="n"/>
      <c r="J783" s="8" t="n">
        <v>110</v>
      </c>
      <c r="K783" s="8" t="n"/>
      <c r="L783" s="8" t="n"/>
      <c r="M783" s="8" t="n"/>
      <c r="N783" s="8" t="n"/>
      <c r="O783" s="8" t="n"/>
      <c r="P783" s="8" t="n"/>
      <c r="Q783" s="8">
        <f>IF(COUNT(D783:P783)=0,"",MIN(D783:P783))</f>
        <v/>
      </c>
      <c r="R783" s="8">
        <f>IF(COUNT(D783:P783)=0,"",MEDIAN(D783:P783))</f>
        <v/>
      </c>
      <c r="S783" s="8">
        <f>IF(COUNT(D783:P783)=0,"",MAX(D783:P783))</f>
        <v/>
      </c>
      <c r="T783" s="9">
        <f>IF(OR(Q783="",Q783=0),"",(S783-Q783)/Q783)</f>
        <v/>
      </c>
      <c r="U783" s="7">
        <f>IF(COUNT(D783:P783)=0,"",INDEX($D$1:$P$1,MATCH(MIN(D783:P783),D783:P783,0)))</f>
        <v/>
      </c>
      <c r="V783" s="8" t="n">
        <v>110</v>
      </c>
      <c r="W783" s="10" t="n">
        <v>1</v>
      </c>
    </row>
    <row r="784">
      <c r="A784" s="7" t="inlineStr">
        <is>
          <t>MAT-10-177</t>
        </is>
      </c>
      <c r="B784" s="4" t="inlineStr">
        <is>
          <t>Cinta LED blanca, rollo de 5 m</t>
        </is>
      </c>
      <c r="C784" s="7" t="inlineStr">
        <is>
          <t>rollo</t>
        </is>
      </c>
      <c r="D784" s="8" t="n"/>
      <c r="E784" s="8" t="n"/>
      <c r="F784" s="8" t="n"/>
      <c r="G784" s="8" t="n"/>
      <c r="H784" s="8" t="n"/>
      <c r="I784" s="8" t="n"/>
      <c r="J784" s="8" t="n">
        <v>900</v>
      </c>
      <c r="K784" s="8" t="n"/>
      <c r="L784" s="8" t="n"/>
      <c r="M784" s="8" t="n"/>
      <c r="N784" s="8" t="n"/>
      <c r="O784" s="8" t="n"/>
      <c r="P784" s="8" t="n"/>
      <c r="Q784" s="8">
        <f>IF(COUNT(D784:P784)=0,"",MIN(D784:P784))</f>
        <v/>
      </c>
      <c r="R784" s="8">
        <f>IF(COUNT(D784:P784)=0,"",MEDIAN(D784:P784))</f>
        <v/>
      </c>
      <c r="S784" s="8">
        <f>IF(COUNT(D784:P784)=0,"",MAX(D784:P784))</f>
        <v/>
      </c>
      <c r="T784" s="9">
        <f>IF(OR(Q784="",Q784=0),"",(S784-Q784)/Q784)</f>
        <v/>
      </c>
      <c r="U784" s="7">
        <f>IF(COUNT(D784:P784)=0,"",INDEX($D$1:$P$1,MATCH(MIN(D784:P784),D784:P784,0)))</f>
        <v/>
      </c>
      <c r="V784" s="8" t="n">
        <v>900</v>
      </c>
      <c r="W784" s="10" t="n">
        <v>1</v>
      </c>
    </row>
    <row r="785">
      <c r="A785" s="7" t="inlineStr">
        <is>
          <t>MAT-10-178</t>
        </is>
      </c>
      <c r="B785" s="4" t="inlineStr">
        <is>
          <t>Cinta LED neón, rollo de 100 m</t>
        </is>
      </c>
      <c r="C785" s="7" t="inlineStr">
        <is>
          <t>rollo</t>
        </is>
      </c>
      <c r="D785" s="8" t="n"/>
      <c r="E785" s="8" t="n"/>
      <c r="F785" s="8" t="n"/>
      <c r="G785" s="8" t="n"/>
      <c r="H785" s="8" t="n"/>
      <c r="I785" s="8" t="n"/>
      <c r="J785" s="8" t="n">
        <v>110</v>
      </c>
      <c r="K785" s="8" t="n"/>
      <c r="L785" s="8" t="n"/>
      <c r="M785" s="8" t="n"/>
      <c r="N785" s="8" t="n"/>
      <c r="O785" s="8" t="n"/>
      <c r="P785" s="8" t="n"/>
      <c r="Q785" s="8">
        <f>IF(COUNT(D785:P785)=0,"",MIN(D785:P785))</f>
        <v/>
      </c>
      <c r="R785" s="8">
        <f>IF(COUNT(D785:P785)=0,"",MEDIAN(D785:P785))</f>
        <v/>
      </c>
      <c r="S785" s="8">
        <f>IF(COUNT(D785:P785)=0,"",MAX(D785:P785))</f>
        <v/>
      </c>
      <c r="T785" s="9">
        <f>IF(OR(Q785="",Q785=0),"",(S785-Q785)/Q785)</f>
        <v/>
      </c>
      <c r="U785" s="7">
        <f>IF(COUNT(D785:P785)=0,"",INDEX($D$1:$P$1,MATCH(MIN(D785:P785),D785:P785,0)))</f>
        <v/>
      </c>
      <c r="V785" s="8" t="n">
        <v>142.5</v>
      </c>
      <c r="W785" s="10" t="n">
        <v>1</v>
      </c>
    </row>
    <row r="786">
      <c r="A786" s="7" t="inlineStr">
        <is>
          <t>MAT-10-179</t>
        </is>
      </c>
      <c r="B786" s="4" t="inlineStr">
        <is>
          <t>Cinta LED neón, rollo de 5 m</t>
        </is>
      </c>
      <c r="C786" s="7" t="inlineStr">
        <is>
          <t>rollo</t>
        </is>
      </c>
      <c r="D786" s="8" t="n"/>
      <c r="E786" s="8" t="n"/>
      <c r="F786" s="8" t="n"/>
      <c r="G786" s="8" t="n"/>
      <c r="H786" s="8" t="n"/>
      <c r="I786" s="8" t="n"/>
      <c r="J786" s="8" t="n">
        <v>1151</v>
      </c>
      <c r="K786" s="8" t="n"/>
      <c r="L786" s="8" t="n"/>
      <c r="M786" s="8" t="n"/>
      <c r="N786" s="8" t="n"/>
      <c r="O786" s="8" t="n"/>
      <c r="P786" s="8" t="n"/>
      <c r="Q786" s="8">
        <f>IF(COUNT(D786:P786)=0,"",MIN(D786:P786))</f>
        <v/>
      </c>
      <c r="R786" s="8">
        <f>IF(COUNT(D786:P786)=0,"",MEDIAN(D786:P786))</f>
        <v/>
      </c>
      <c r="S786" s="8">
        <f>IF(COUNT(D786:P786)=0,"",MAX(D786:P786))</f>
        <v/>
      </c>
      <c r="T786" s="9">
        <f>IF(OR(Q786="",Q786=0),"",(S786-Q786)/Q786)</f>
        <v/>
      </c>
      <c r="U786" s="7">
        <f>IF(COUNT(D786:P786)=0,"",INDEX($D$1:$P$1,MATCH(MIN(D786:P786),D786:P786,0)))</f>
        <v/>
      </c>
      <c r="V786" s="8" t="n">
        <v>1175.5</v>
      </c>
      <c r="W786" s="10" t="n">
        <v>1</v>
      </c>
    </row>
    <row r="787">
      <c r="A787" s="7" t="inlineStr">
        <is>
          <t>MAT-10-180</t>
        </is>
      </c>
      <c r="B787" s="4" t="inlineStr">
        <is>
          <t>Perfil de aluminio para cinta LED, esquinero, 2.5 m</t>
        </is>
      </c>
      <c r="C787" s="7" t="inlineStr">
        <is>
          <t>tramo</t>
        </is>
      </c>
      <c r="D787" s="8" t="n"/>
      <c r="E787" s="8" t="n"/>
      <c r="F787" s="8" t="n"/>
      <c r="G787" s="8" t="n"/>
      <c r="H787" s="8" t="n"/>
      <c r="I787" s="8" t="n"/>
      <c r="J787" s="8" t="n">
        <v>1500</v>
      </c>
      <c r="K787" s="8" t="n"/>
      <c r="L787" s="8" t="n"/>
      <c r="M787" s="8" t="n"/>
      <c r="N787" s="8" t="n"/>
      <c r="O787" s="8" t="n"/>
      <c r="P787" s="8" t="n"/>
      <c r="Q787" s="8">
        <f>IF(COUNT(D787:P787)=0,"",MIN(D787:P787))</f>
        <v/>
      </c>
      <c r="R787" s="8">
        <f>IF(COUNT(D787:P787)=0,"",MEDIAN(D787:P787))</f>
        <v/>
      </c>
      <c r="S787" s="8">
        <f>IF(COUNT(D787:P787)=0,"",MAX(D787:P787))</f>
        <v/>
      </c>
      <c r="T787" s="9">
        <f>IF(OR(Q787="",Q787=0),"",(S787-Q787)/Q787)</f>
        <v/>
      </c>
      <c r="U787" s="7">
        <f>IF(COUNT(D787:P787)=0,"",INDEX($D$1:$P$1,MATCH(MIN(D787:P787),D787:P787,0)))</f>
        <v/>
      </c>
      <c r="V787" s="8" t="n">
        <v>1500</v>
      </c>
      <c r="W787" s="10" t="n">
        <v>1</v>
      </c>
    </row>
    <row r="788">
      <c r="A788" s="7" t="inlineStr">
        <is>
          <t>MAT-10-182</t>
        </is>
      </c>
      <c r="B788" s="4" t="inlineStr">
        <is>
          <t>Fuente de poder para LED de 100 W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/>
      <c r="J788" s="8" t="n">
        <v>1000</v>
      </c>
      <c r="K788" s="8" t="n"/>
      <c r="L788" s="8" t="n"/>
      <c r="M788" s="8" t="n"/>
      <c r="N788" s="8" t="n"/>
      <c r="O788" s="8" t="n"/>
      <c r="P788" s="8" t="n"/>
      <c r="Q788" s="8">
        <f>IF(COUNT(D788:P788)=0,"",MIN(D788:P788))</f>
        <v/>
      </c>
      <c r="R788" s="8">
        <f>IF(COUNT(D788:P788)=0,"",MEDIAN(D788:P788))</f>
        <v/>
      </c>
      <c r="S788" s="8">
        <f>IF(COUNT(D788:P788)=0,"",MAX(D788:P788))</f>
        <v/>
      </c>
      <c r="T788" s="9">
        <f>IF(OR(Q788="",Q788=0),"",(S788-Q788)/Q788)</f>
        <v/>
      </c>
      <c r="U788" s="7">
        <f>IF(COUNT(D788:P788)=0,"",INDEX($D$1:$P$1,MATCH(MIN(D788:P788),D788:P788,0)))</f>
        <v/>
      </c>
      <c r="V788" s="8" t="n">
        <v>1365</v>
      </c>
      <c r="W788" s="10" t="n">
        <v>1</v>
      </c>
    </row>
    <row r="789">
      <c r="A789" s="7" t="inlineStr">
        <is>
          <t>MAT-10-183</t>
        </is>
      </c>
      <c r="B789" s="4" t="inlineStr">
        <is>
          <t>Fuente de poder para LED de 150 W</t>
        </is>
      </c>
      <c r="C789" s="7" t="inlineStr">
        <is>
          <t>unidad</t>
        </is>
      </c>
      <c r="D789" s="8" t="n"/>
      <c r="E789" s="8" t="n"/>
      <c r="F789" s="8" t="n"/>
      <c r="G789" s="8" t="n"/>
      <c r="H789" s="8" t="n"/>
      <c r="I789" s="8" t="n"/>
      <c r="J789" s="8" t="n">
        <v>1263</v>
      </c>
      <c r="K789" s="8" t="n"/>
      <c r="L789" s="8" t="n"/>
      <c r="M789" s="8" t="n"/>
      <c r="N789" s="8" t="n"/>
      <c r="O789" s="8" t="n"/>
      <c r="P789" s="8" t="n"/>
      <c r="Q789" s="8">
        <f>IF(COUNT(D789:P789)=0,"",MIN(D789:P789))</f>
        <v/>
      </c>
      <c r="R789" s="8">
        <f>IF(COUNT(D789:P789)=0,"",MEDIAN(D789:P789))</f>
        <v/>
      </c>
      <c r="S789" s="8">
        <f>IF(COUNT(D789:P789)=0,"",MAX(D789:P789))</f>
        <v/>
      </c>
      <c r="T789" s="9">
        <f>IF(OR(Q789="",Q789=0),"",(S789-Q789)/Q789)</f>
        <v/>
      </c>
      <c r="U789" s="7">
        <f>IF(COUNT(D789:P789)=0,"",INDEX($D$1:$P$1,MATCH(MIN(D789:P789),D789:P789,0)))</f>
        <v/>
      </c>
      <c r="V789" s="8" t="n">
        <v>1551.5</v>
      </c>
      <c r="W789" s="10" t="n">
        <v>1</v>
      </c>
    </row>
    <row r="790">
      <c r="A790" s="7" t="inlineStr">
        <is>
          <t>MAT-10-184</t>
        </is>
      </c>
      <c r="B790" s="4" t="inlineStr">
        <is>
          <t>Fuente de poder para LED de 200 W</t>
        </is>
      </c>
      <c r="C790" s="7" t="inlineStr">
        <is>
          <t>unidad</t>
        </is>
      </c>
      <c r="D790" s="8" t="n"/>
      <c r="E790" s="8" t="n"/>
      <c r="F790" s="8" t="n"/>
      <c r="G790" s="8" t="n"/>
      <c r="H790" s="8" t="n"/>
      <c r="I790" s="8" t="n"/>
      <c r="J790" s="8" t="n">
        <v>1723</v>
      </c>
      <c r="K790" s="8" t="n"/>
      <c r="L790" s="8" t="n"/>
      <c r="M790" s="8" t="n"/>
      <c r="N790" s="8" t="n"/>
      <c r="O790" s="8" t="n"/>
      <c r="P790" s="8" t="n"/>
      <c r="Q790" s="8">
        <f>IF(COUNT(D790:P790)=0,"",MIN(D790:P790))</f>
        <v/>
      </c>
      <c r="R790" s="8">
        <f>IF(COUNT(D790:P790)=0,"",MEDIAN(D790:P790))</f>
        <v/>
      </c>
      <c r="S790" s="8">
        <f>IF(COUNT(D790:P790)=0,"",MAX(D790:P790))</f>
        <v/>
      </c>
      <c r="T790" s="9">
        <f>IF(OR(Q790="",Q790=0),"",(S790-Q790)/Q790)</f>
        <v/>
      </c>
      <c r="U790" s="7">
        <f>IF(COUNT(D790:P790)=0,"",INDEX($D$1:$P$1,MATCH(MIN(D790:P790),D790:P790,0)))</f>
        <v/>
      </c>
      <c r="V790" s="8" t="n">
        <v>2006</v>
      </c>
      <c r="W790" s="10" t="n">
        <v>1</v>
      </c>
    </row>
    <row r="791">
      <c r="A791" s="7" t="inlineStr">
        <is>
          <t>MAT-10-185</t>
        </is>
      </c>
      <c r="B791" s="4" t="inlineStr">
        <is>
          <t>Fuente de poder para LED de 250 W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/>
      <c r="J791" s="8" t="n">
        <v>2006</v>
      </c>
      <c r="K791" s="8" t="n"/>
      <c r="L791" s="8" t="n"/>
      <c r="M791" s="8" t="n"/>
      <c r="N791" s="8" t="n"/>
      <c r="O791" s="8" t="n"/>
      <c r="P791" s="8" t="n"/>
      <c r="Q791" s="8">
        <f>IF(COUNT(D791:P791)=0,"",MIN(D791:P791))</f>
        <v/>
      </c>
      <c r="R791" s="8">
        <f>IF(COUNT(D791:P791)=0,"",MEDIAN(D791:P791))</f>
        <v/>
      </c>
      <c r="S791" s="8">
        <f>IF(COUNT(D791:P791)=0,"",MAX(D791:P791))</f>
        <v/>
      </c>
      <c r="T791" s="9">
        <f>IF(OR(Q791="",Q791=0),"",(S791-Q791)/Q791)</f>
        <v/>
      </c>
      <c r="U791" s="7">
        <f>IF(COUNT(D791:P791)=0,"",INDEX($D$1:$P$1,MATCH(MIN(D791:P791),D791:P791,0)))</f>
        <v/>
      </c>
      <c r="V791" s="8" t="n">
        <v>2006</v>
      </c>
      <c r="W791" s="10" t="n">
        <v>1</v>
      </c>
    </row>
    <row r="792">
      <c r="A792" s="7" t="inlineStr">
        <is>
          <t>MAT-10-186</t>
        </is>
      </c>
      <c r="B792" s="4" t="inlineStr">
        <is>
          <t>Fuente de poder para LED de 300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>
        <v>2071</v>
      </c>
      <c r="K792" s="8" t="n"/>
      <c r="L792" s="8" t="n"/>
      <c r="M792" s="8" t="n"/>
      <c r="N792" s="8" t="n"/>
      <c r="O792" s="8" t="n"/>
      <c r="P792" s="8" t="n"/>
      <c r="Q792" s="8">
        <f>IF(COUNT(D792:P792)=0,"",MIN(D792:P792))</f>
        <v/>
      </c>
      <c r="R792" s="8">
        <f>IF(COUNT(D792:P792)=0,"",MEDIAN(D792:P792))</f>
        <v/>
      </c>
      <c r="S792" s="8">
        <f>IF(COUNT(D792:P792)=0,"",MAX(D792:P792))</f>
        <v/>
      </c>
      <c r="T792" s="9">
        <f>IF(OR(Q792="",Q792=0),"",(S792-Q792)/Q792)</f>
        <v/>
      </c>
      <c r="U792" s="7">
        <f>IF(COUNT(D792:P792)=0,"",INDEX($D$1:$P$1,MATCH(MIN(D792:P792),D792:P792,0)))</f>
        <v/>
      </c>
      <c r="V792" s="8" t="n">
        <v>2071</v>
      </c>
      <c r="W792" s="10" t="n">
        <v>1</v>
      </c>
    </row>
    <row r="793">
      <c r="A793" s="7" t="inlineStr">
        <is>
          <t>MAT-10-187</t>
        </is>
      </c>
      <c r="B793" s="4" t="inlineStr">
        <is>
          <t>Fuente de poder para LED de 400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/>
      <c r="J793" s="8" t="n">
        <v>2431</v>
      </c>
      <c r="K793" s="8" t="n"/>
      <c r="L793" s="8" t="n"/>
      <c r="M793" s="8" t="n"/>
      <c r="N793" s="8" t="n"/>
      <c r="O793" s="8" t="n"/>
      <c r="P793" s="8" t="n"/>
      <c r="Q793" s="8">
        <f>IF(COUNT(D793:P793)=0,"",MIN(D793:P793))</f>
        <v/>
      </c>
      <c r="R793" s="8">
        <f>IF(COUNT(D793:P793)=0,"",MEDIAN(D793:P793))</f>
        <v/>
      </c>
      <c r="S793" s="8">
        <f>IF(COUNT(D793:P793)=0,"",MAX(D793:P793))</f>
        <v/>
      </c>
      <c r="T793" s="9">
        <f>IF(OR(Q793="",Q793=0),"",(S793-Q793)/Q793)</f>
        <v/>
      </c>
      <c r="U793" s="7">
        <f>IF(COUNT(D793:P793)=0,"",INDEX($D$1:$P$1,MATCH(MIN(D793:P793),D793:P793,0)))</f>
        <v/>
      </c>
      <c r="V793" s="8" t="n">
        <v>2431</v>
      </c>
      <c r="W793" s="10" t="n">
        <v>1</v>
      </c>
    </row>
    <row r="794">
      <c r="A794" s="7" t="inlineStr">
        <is>
          <t>MAT-10-188</t>
        </is>
      </c>
      <c r="B794" s="4" t="inlineStr">
        <is>
          <t>Fuente de poder para LED de 60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/>
      <c r="J794" s="8" t="n">
        <v>770</v>
      </c>
      <c r="K794" s="8" t="n"/>
      <c r="L794" s="8" t="n"/>
      <c r="M794" s="8" t="n"/>
      <c r="N794" s="8" t="n"/>
      <c r="O794" s="8" t="n"/>
      <c r="P794" s="8" t="n"/>
      <c r="Q794" s="8">
        <f>IF(COUNT(D794:P794)=0,"",MIN(D794:P794))</f>
        <v/>
      </c>
      <c r="R794" s="8">
        <f>IF(COUNT(D794:P794)=0,"",MEDIAN(D794:P794))</f>
        <v/>
      </c>
      <c r="S794" s="8">
        <f>IF(COUNT(D794:P794)=0,"",MAX(D794:P794))</f>
        <v/>
      </c>
      <c r="T794" s="9">
        <f>IF(OR(Q794="",Q794=0),"",(S794-Q794)/Q794)</f>
        <v/>
      </c>
      <c r="U794" s="7">
        <f>IF(COUNT(D794:P794)=0,"",INDEX($D$1:$P$1,MATCH(MIN(D794:P794),D794:P794,0)))</f>
        <v/>
      </c>
      <c r="V794" s="8" t="n">
        <v>770</v>
      </c>
      <c r="W794" s="10" t="n">
        <v>1</v>
      </c>
    </row>
    <row r="795">
      <c r="A795" s="7" t="inlineStr">
        <is>
          <t>MAT-10-189</t>
        </is>
      </c>
      <c r="B795" s="4" t="inlineStr">
        <is>
          <t>Campana LED industrial de 100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/>
      <c r="J795" s="8" t="n">
        <v>1500</v>
      </c>
      <c r="K795" s="8" t="n"/>
      <c r="L795" s="8" t="n"/>
      <c r="M795" s="8" t="n"/>
      <c r="N795" s="8" t="n"/>
      <c r="O795" s="8" t="n"/>
      <c r="P795" s="8" t="n"/>
      <c r="Q795" s="8">
        <f>IF(COUNT(D795:P795)=0,"",MIN(D795:P795))</f>
        <v/>
      </c>
      <c r="R795" s="8">
        <f>IF(COUNT(D795:P795)=0,"",MEDIAN(D795:P795))</f>
        <v/>
      </c>
      <c r="S795" s="8">
        <f>IF(COUNT(D795:P795)=0,"",MAX(D795:P795))</f>
        <v/>
      </c>
      <c r="T795" s="9">
        <f>IF(OR(Q795="",Q795=0),"",(S795-Q795)/Q795)</f>
        <v/>
      </c>
      <c r="U795" s="7">
        <f>IF(COUNT(D795:P795)=0,"",INDEX($D$1:$P$1,MATCH(MIN(D795:P795),D795:P795,0)))</f>
        <v/>
      </c>
      <c r="V795" s="8" t="n">
        <v>4162.5</v>
      </c>
      <c r="W795" s="10" t="n">
        <v>1</v>
      </c>
    </row>
    <row r="796">
      <c r="A796" s="7" t="inlineStr">
        <is>
          <t>MAT-10-190</t>
        </is>
      </c>
      <c r="B796" s="4" t="inlineStr">
        <is>
          <t>Campana LED industrial de 150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/>
      <c r="J796" s="8" t="n">
        <v>5830</v>
      </c>
      <c r="K796" s="8" t="n"/>
      <c r="L796" s="8" t="n"/>
      <c r="M796" s="8" t="n"/>
      <c r="N796" s="8" t="n"/>
      <c r="O796" s="8" t="n"/>
      <c r="P796" s="8" t="n"/>
      <c r="Q796" s="8">
        <f>IF(COUNT(D796:P796)=0,"",MIN(D796:P796))</f>
        <v/>
      </c>
      <c r="R796" s="8">
        <f>IF(COUNT(D796:P796)=0,"",MEDIAN(D796:P796))</f>
        <v/>
      </c>
      <c r="S796" s="8">
        <f>IF(COUNT(D796:P796)=0,"",MAX(D796:P796))</f>
        <v/>
      </c>
      <c r="T796" s="9">
        <f>IF(OR(Q796="",Q796=0),"",(S796-Q796)/Q796)</f>
        <v/>
      </c>
      <c r="U796" s="7">
        <f>IF(COUNT(D796:P796)=0,"",INDEX($D$1:$P$1,MATCH(MIN(D796:P796),D796:P796,0)))</f>
        <v/>
      </c>
      <c r="V796" s="8" t="n">
        <v>6365</v>
      </c>
      <c r="W796" s="10" t="n">
        <v>1</v>
      </c>
    </row>
    <row r="797">
      <c r="A797" s="7" t="inlineStr">
        <is>
          <t>MAT-10-191</t>
        </is>
      </c>
      <c r="B797" s="4" t="inlineStr">
        <is>
          <t>Campana LED industrial de 200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/>
      <c r="J797" s="8" t="n">
        <v>2500</v>
      </c>
      <c r="K797" s="8" t="n"/>
      <c r="L797" s="8" t="n"/>
      <c r="M797" s="8" t="n"/>
      <c r="N797" s="8" t="n"/>
      <c r="O797" s="8" t="n"/>
      <c r="P797" s="8" t="n"/>
      <c r="Q797" s="8">
        <f>IF(COUNT(D797:P797)=0,"",MIN(D797:P797))</f>
        <v/>
      </c>
      <c r="R797" s="8">
        <f>IF(COUNT(D797:P797)=0,"",MEDIAN(D797:P797))</f>
        <v/>
      </c>
      <c r="S797" s="8">
        <f>IF(COUNT(D797:P797)=0,"",MAX(D797:P797))</f>
        <v/>
      </c>
      <c r="T797" s="9">
        <f>IF(OR(Q797="",Q797=0),"",(S797-Q797)/Q797)</f>
        <v/>
      </c>
      <c r="U797" s="7">
        <f>IF(COUNT(D797:P797)=0,"",INDEX($D$1:$P$1,MATCH(MIN(D797:P797),D797:P797,0)))</f>
        <v/>
      </c>
      <c r="V797" s="8" t="n">
        <v>2500</v>
      </c>
      <c r="W797" s="10" t="n">
        <v>1</v>
      </c>
    </row>
    <row r="798">
      <c r="A798" s="7" t="inlineStr">
        <is>
          <t>MAT-10-192</t>
        </is>
      </c>
      <c r="B798" s="4" t="inlineStr">
        <is>
          <t>Campana LED industrial de 50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/>
      <c r="J798" s="8" t="n">
        <v>4000</v>
      </c>
      <c r="K798" s="8" t="n"/>
      <c r="L798" s="8" t="n"/>
      <c r="M798" s="8" t="n"/>
      <c r="N798" s="8" t="n"/>
      <c r="O798" s="8" t="n"/>
      <c r="P798" s="8" t="n"/>
      <c r="Q798" s="8">
        <f>IF(COUNT(D798:P798)=0,"",MIN(D798:P798))</f>
        <v/>
      </c>
      <c r="R798" s="8">
        <f>IF(COUNT(D798:P798)=0,"",MEDIAN(D798:P798))</f>
        <v/>
      </c>
      <c r="S798" s="8">
        <f>IF(COUNT(D798:P798)=0,"",MAX(D798:P798))</f>
        <v/>
      </c>
      <c r="T798" s="9">
        <f>IF(OR(Q798="",Q798=0),"",(S798-Q798)/Q798)</f>
        <v/>
      </c>
      <c r="U798" s="7">
        <f>IF(COUNT(D798:P798)=0,"",INDEX($D$1:$P$1,MATCH(MIN(D798:P798),D798:P798,0)))</f>
        <v/>
      </c>
      <c r="V798" s="8" t="n">
        <v>4045</v>
      </c>
      <c r="W798" s="10" t="n">
        <v>1</v>
      </c>
    </row>
    <row r="799">
      <c r="A799" s="7" t="inlineStr">
        <is>
          <t>MAT-10-193</t>
        </is>
      </c>
      <c r="B799" s="4" t="inlineStr">
        <is>
          <t>Campana LED industrial de 60 W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>
        <v>4500</v>
      </c>
      <c r="K799" s="8" t="n"/>
      <c r="L799" s="8" t="n"/>
      <c r="M799" s="8" t="n"/>
      <c r="N799" s="8" t="n"/>
      <c r="O799" s="8" t="n"/>
      <c r="P799" s="8" t="n"/>
      <c r="Q799" s="8">
        <f>IF(COUNT(D799:P799)=0,"",MIN(D799:P799))</f>
        <v/>
      </c>
      <c r="R799" s="8">
        <f>IF(COUNT(D799:P799)=0,"",MEDIAN(D799:P799))</f>
        <v/>
      </c>
      <c r="S799" s="8">
        <f>IF(COUNT(D799:P799)=0,"",MAX(D799:P799))</f>
        <v/>
      </c>
      <c r="T799" s="9">
        <f>IF(OR(Q799="",Q799=0),"",(S799-Q799)/Q799)</f>
        <v/>
      </c>
      <c r="U799" s="7">
        <f>IF(COUNT(D799:P799)=0,"",INDEX($D$1:$P$1,MATCH(MIN(D799:P799),D799:P799,0)))</f>
        <v/>
      </c>
      <c r="V799" s="8" t="n">
        <v>4500</v>
      </c>
      <c r="W799" s="10" t="n">
        <v>1</v>
      </c>
    </row>
    <row r="800">
      <c r="A800" s="7" t="inlineStr">
        <is>
          <t>MAT-10-194</t>
        </is>
      </c>
      <c r="B800" s="4" t="inlineStr">
        <is>
          <t>Interruptor con tomacorriente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>
        <v>465</v>
      </c>
      <c r="M800" s="8" t="n"/>
      <c r="N800" s="8" t="n"/>
      <c r="O800" s="8" t="n"/>
      <c r="P800" s="8" t="n"/>
      <c r="Q800" s="8">
        <f>IF(COUNT(D800:P800)=0,"",MIN(D800:P800))</f>
        <v/>
      </c>
      <c r="R800" s="8">
        <f>IF(COUNT(D800:P800)=0,"",MEDIAN(D800:P800))</f>
        <v/>
      </c>
      <c r="S800" s="8">
        <f>IF(COUNT(D800:P800)=0,"",MAX(D800:P800))</f>
        <v/>
      </c>
      <c r="T800" s="9">
        <f>IF(OR(Q800="",Q800=0),"",(S800-Q800)/Q800)</f>
        <v/>
      </c>
      <c r="U800" s="7">
        <f>IF(COUNT(D800:P800)=0,"",INDEX($D$1:$P$1,MATCH(MIN(D800:P800),D800:P800,0)))</f>
        <v/>
      </c>
      <c r="V800" s="8" t="n">
        <v>500</v>
      </c>
      <c r="W800" s="10" t="n">
        <v>1</v>
      </c>
    </row>
    <row r="801">
      <c r="A801" s="7" t="inlineStr">
        <is>
          <t>MAT-10-195</t>
        </is>
      </c>
      <c r="B801" s="4" t="inlineStr">
        <is>
          <t>Interruptor conmutador</t>
        </is>
      </c>
      <c r="C801" s="7" t="inlineStr">
        <is>
          <t>unidad</t>
        </is>
      </c>
      <c r="D801" s="8" t="n"/>
      <c r="E801" s="8" t="n">
        <v>14.74</v>
      </c>
      <c r="F801" s="8" t="n"/>
      <c r="G801" s="8" t="n"/>
      <c r="H801" s="8" t="n"/>
      <c r="I801" s="8" t="n">
        <v>45</v>
      </c>
      <c r="J801" s="8" t="n"/>
      <c r="K801" s="8" t="n"/>
      <c r="L801" s="8" t="n"/>
      <c r="M801" s="8" t="n"/>
      <c r="N801" s="8" t="n"/>
      <c r="O801" s="8" t="n"/>
      <c r="P801" s="8" t="n"/>
      <c r="Q801" s="8">
        <f>IF(COUNT(D801:P801)=0,"",MIN(D801:P801))</f>
        <v/>
      </c>
      <c r="R801" s="8">
        <f>IF(COUNT(D801:P801)=0,"",MEDIAN(D801:P801))</f>
        <v/>
      </c>
      <c r="S801" s="8">
        <f>IF(COUNT(D801:P801)=0,"",MAX(D801:P801))</f>
        <v/>
      </c>
      <c r="T801" s="9">
        <f>IF(OR(Q801="",Q801=0),"",(S801-Q801)/Q801)</f>
        <v/>
      </c>
      <c r="U801" s="7">
        <f>IF(COUNT(D801:P801)=0,"",INDEX($D$1:$P$1,MATCH(MIN(D801:P801),D801:P801,0)))</f>
        <v/>
      </c>
      <c r="V801" s="8" t="n">
        <v>191.22</v>
      </c>
      <c r="W801" s="10" t="n">
        <v>2</v>
      </c>
    </row>
    <row r="802">
      <c r="A802" s="7" t="inlineStr">
        <is>
          <t>MAT-10-196</t>
        </is>
      </c>
      <c r="B802" s="4" t="inlineStr">
        <is>
          <t>Interruptor de 3 vías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>
        <v>395</v>
      </c>
      <c r="M802" s="8" t="n"/>
      <c r="N802" s="8" t="n"/>
      <c r="O802" s="8" t="n"/>
      <c r="P802" s="8" t="n"/>
      <c r="Q802" s="8">
        <f>IF(COUNT(D802:P802)=0,"",MIN(D802:P802))</f>
        <v/>
      </c>
      <c r="R802" s="8">
        <f>IF(COUNT(D802:P802)=0,"",MEDIAN(D802:P802))</f>
        <v/>
      </c>
      <c r="S802" s="8">
        <f>IF(COUNT(D802:P802)=0,"",MAX(D802:P802))</f>
        <v/>
      </c>
      <c r="T802" s="9">
        <f>IF(OR(Q802="",Q802=0),"",(S802-Q802)/Q802)</f>
        <v/>
      </c>
      <c r="U802" s="7">
        <f>IF(COUNT(D802:P802)=0,"",INDEX($D$1:$P$1,MATCH(MIN(D802:P802),D802:P802,0)))</f>
        <v/>
      </c>
      <c r="V802" s="8" t="n">
        <v>542.5</v>
      </c>
      <c r="W802" s="10" t="n">
        <v>1</v>
      </c>
    </row>
    <row r="803">
      <c r="A803" s="7" t="inlineStr">
        <is>
          <t>MAT-10-197</t>
        </is>
      </c>
      <c r="B803" s="4" t="inlineStr">
        <is>
          <t>Interruptor de 4 vías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>
        <v>390</v>
      </c>
      <c r="M803" s="8" t="n"/>
      <c r="N803" s="8" t="n"/>
      <c r="O803" s="8" t="n"/>
      <c r="P803" s="8" t="n"/>
      <c r="Q803" s="8">
        <f>IF(COUNT(D803:P803)=0,"",MIN(D803:P803))</f>
        <v/>
      </c>
      <c r="R803" s="8">
        <f>IF(COUNT(D803:P803)=0,"",MEDIAN(D803:P803))</f>
        <v/>
      </c>
      <c r="S803" s="8">
        <f>IF(COUNT(D803:P803)=0,"",MAX(D803:P803))</f>
        <v/>
      </c>
      <c r="T803" s="9">
        <f>IF(OR(Q803="",Q803=0),"",(S803-Q803)/Q803)</f>
        <v/>
      </c>
      <c r="U803" s="7">
        <f>IF(COUNT(D803:P803)=0,"",INDEX($D$1:$P$1,MATCH(MIN(D803:P803),D803:P803,0)))</f>
        <v/>
      </c>
      <c r="V803" s="8" t="n">
        <v>467.5</v>
      </c>
      <c r="W803" s="10" t="n">
        <v>1</v>
      </c>
    </row>
    <row r="804">
      <c r="A804" s="7" t="inlineStr">
        <is>
          <t>MAT-10-198</t>
        </is>
      </c>
      <c r="B804" s="4" t="inlineStr">
        <is>
          <t>Interruptor dimmer</t>
        </is>
      </c>
      <c r="C804" s="7" t="inlineStr">
        <is>
          <t>unidad</t>
        </is>
      </c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>
        <v>960</v>
      </c>
      <c r="M804" s="8" t="n"/>
      <c r="N804" s="8" t="n"/>
      <c r="O804" s="8" t="n"/>
      <c r="P804" s="8" t="n"/>
      <c r="Q804" s="8">
        <f>IF(COUNT(D804:P804)=0,"",MIN(D804:P804))</f>
        <v/>
      </c>
      <c r="R804" s="8">
        <f>IF(COUNT(D804:P804)=0,"",MEDIAN(D804:P804))</f>
        <v/>
      </c>
      <c r="S804" s="8">
        <f>IF(COUNT(D804:P804)=0,"",MAX(D804:P804))</f>
        <v/>
      </c>
      <c r="T804" s="9">
        <f>IF(OR(Q804="",Q804=0),"",(S804-Q804)/Q804)</f>
        <v/>
      </c>
      <c r="U804" s="7">
        <f>IF(COUNT(D804:P804)=0,"",INDEX($D$1:$P$1,MATCH(MIN(D804:P804),D804:P804,0)))</f>
        <v/>
      </c>
      <c r="V804" s="8" t="n">
        <v>1112.5</v>
      </c>
      <c r="W804" s="10" t="n">
        <v>1</v>
      </c>
    </row>
    <row r="805">
      <c r="A805" s="7" t="inlineStr">
        <is>
          <t>MAT-10-199</t>
        </is>
      </c>
      <c r="B805" s="4" t="inlineStr">
        <is>
          <t>Interruptor doble</t>
        </is>
      </c>
      <c r="C805" s="7" t="inlineStr">
        <is>
          <t>unidad</t>
        </is>
      </c>
      <c r="D805" s="8" t="n"/>
      <c r="E805" s="8" t="n">
        <v>86</v>
      </c>
      <c r="F805" s="8" t="n"/>
      <c r="G805" s="8" t="n"/>
      <c r="H805" s="8" t="n"/>
      <c r="I805" s="8" t="n">
        <v>45</v>
      </c>
      <c r="J805" s="8" t="n"/>
      <c r="K805" s="8" t="n"/>
      <c r="L805" s="8" t="n">
        <v>145</v>
      </c>
      <c r="M805" s="8" t="n"/>
      <c r="N805" s="8" t="n"/>
      <c r="O805" s="8" t="n"/>
      <c r="P805" s="8" t="n"/>
      <c r="Q805" s="8">
        <f>IF(COUNT(D805:P805)=0,"",MIN(D805:P805))</f>
        <v/>
      </c>
      <c r="R805" s="8">
        <f>IF(COUNT(D805:P805)=0,"",MEDIAN(D805:P805))</f>
        <v/>
      </c>
      <c r="S805" s="8">
        <f>IF(COUNT(D805:P805)=0,"",MAX(D805:P805))</f>
        <v/>
      </c>
      <c r="T805" s="9">
        <f>IF(OR(Q805="",Q805=0),"",(S805-Q805)/Q805)</f>
        <v/>
      </c>
      <c r="U805" s="7">
        <f>IF(COUNT(D805:P805)=0,"",INDEX($D$1:$P$1,MATCH(MIN(D805:P805),D805:P805,0)))</f>
        <v/>
      </c>
      <c r="V805" s="8" t="n">
        <v>225</v>
      </c>
      <c r="W805" s="10" t="n">
        <v>3</v>
      </c>
    </row>
    <row r="806">
      <c r="A806" s="7" t="inlineStr">
        <is>
          <t>MAT-10-200</t>
        </is>
      </c>
      <c r="B806" s="4" t="inlineStr">
        <is>
          <t>Interruptor sencillo</t>
        </is>
      </c>
      <c r="C806" s="7" t="inlineStr">
        <is>
          <t>unidad</t>
        </is>
      </c>
      <c r="D806" s="8" t="n"/>
      <c r="E806" s="8" t="n">
        <v>49.48</v>
      </c>
      <c r="F806" s="8" t="n"/>
      <c r="G806" s="8" t="n"/>
      <c r="H806" s="8" t="n"/>
      <c r="I806" s="8" t="n">
        <v>30</v>
      </c>
      <c r="J806" s="8" t="n"/>
      <c r="K806" s="8" t="n"/>
      <c r="L806" s="8" t="n"/>
      <c r="M806" s="8" t="n"/>
      <c r="N806" s="8" t="n"/>
      <c r="O806" s="8" t="n"/>
      <c r="P806" s="8" t="n"/>
      <c r="Q806" s="8">
        <f>IF(COUNT(D806:P806)=0,"",MIN(D806:P806))</f>
        <v/>
      </c>
      <c r="R806" s="8">
        <f>IF(COUNT(D806:P806)=0,"",MEDIAN(D806:P806))</f>
        <v/>
      </c>
      <c r="S806" s="8">
        <f>IF(COUNT(D806:P806)=0,"",MAX(D806:P806))</f>
        <v/>
      </c>
      <c r="T806" s="9">
        <f>IF(OR(Q806="",Q806=0),"",(S806-Q806)/Q806)</f>
        <v/>
      </c>
      <c r="U806" s="7">
        <f>IF(COUNT(D806:P806)=0,"",INDEX($D$1:$P$1,MATCH(MIN(D806:P806),D806:P806,0)))</f>
        <v/>
      </c>
      <c r="V806" s="8" t="n">
        <v>99</v>
      </c>
      <c r="W806" s="10" t="n">
        <v>2</v>
      </c>
    </row>
    <row r="807">
      <c r="A807" s="7" t="inlineStr">
        <is>
          <t>MAT-10-201</t>
        </is>
      </c>
      <c r="B807" s="4" t="inlineStr">
        <is>
          <t>Interruptor triple</t>
        </is>
      </c>
      <c r="C807" s="7" t="inlineStr">
        <is>
          <t>unidad</t>
        </is>
      </c>
      <c r="D807" s="8" t="n"/>
      <c r="E807" s="8" t="n">
        <v>92</v>
      </c>
      <c r="F807" s="8" t="n"/>
      <c r="G807" s="8" t="n"/>
      <c r="H807" s="8" t="n"/>
      <c r="I807" s="8" t="n">
        <v>60</v>
      </c>
      <c r="J807" s="8" t="n"/>
      <c r="K807" s="8" t="n"/>
      <c r="L807" s="8" t="n">
        <v>325</v>
      </c>
      <c r="M807" s="8" t="n"/>
      <c r="N807" s="8" t="n"/>
      <c r="O807" s="8" t="n"/>
      <c r="P807" s="8" t="n"/>
      <c r="Q807" s="8">
        <f>IF(COUNT(D807:P807)=0,"",MIN(D807:P807))</f>
        <v/>
      </c>
      <c r="R807" s="8">
        <f>IF(COUNT(D807:P807)=0,"",MEDIAN(D807:P807))</f>
        <v/>
      </c>
      <c r="S807" s="8">
        <f>IF(COUNT(D807:P807)=0,"",MAX(D807:P807))</f>
        <v/>
      </c>
      <c r="T807" s="9">
        <f>IF(OR(Q807="",Q807=0),"",(S807-Q807)/Q807)</f>
        <v/>
      </c>
      <c r="U807" s="7">
        <f>IF(COUNT(D807:P807)=0,"",INDEX($D$1:$P$1,MATCH(MIN(D807:P807),D807:P807,0)))</f>
        <v/>
      </c>
      <c r="V807" s="8" t="n">
        <v>235</v>
      </c>
      <c r="W807" s="10" t="n">
        <v>3</v>
      </c>
    </row>
    <row r="808">
      <c r="A808" s="7" t="inlineStr">
        <is>
          <t>MAT-10-202</t>
        </is>
      </c>
      <c r="B808" s="4" t="inlineStr">
        <is>
          <t>Tomacorriente con USB</t>
        </is>
      </c>
      <c r="C808" s="7" t="inlineStr">
        <is>
          <t>unidad</t>
        </is>
      </c>
      <c r="D808" s="8" t="n"/>
      <c r="E808" s="8" t="n"/>
      <c r="F808" s="8" t="n"/>
      <c r="G808" s="8" t="n"/>
      <c r="H808" s="8" t="n"/>
      <c r="I808" s="8" t="n">
        <v>460</v>
      </c>
      <c r="J808" s="8" t="n"/>
      <c r="K808" s="8" t="n"/>
      <c r="L808" s="8" t="n">
        <v>1085</v>
      </c>
      <c r="M808" s="8" t="n"/>
      <c r="N808" s="8" t="n"/>
      <c r="O808" s="8" t="n"/>
      <c r="P808" s="8" t="n"/>
      <c r="Q808" s="8">
        <f>IF(COUNT(D808:P808)=0,"",MIN(D808:P808))</f>
        <v/>
      </c>
      <c r="R808" s="8">
        <f>IF(COUNT(D808:P808)=0,"",MEDIAN(D808:P808))</f>
        <v/>
      </c>
      <c r="S808" s="8">
        <f>IF(COUNT(D808:P808)=0,"",MAX(D808:P808))</f>
        <v/>
      </c>
      <c r="T808" s="9">
        <f>IF(OR(Q808="",Q808=0),"",(S808-Q808)/Q808)</f>
        <v/>
      </c>
      <c r="U808" s="7">
        <f>IF(COUNT(D808:P808)=0,"",INDEX($D$1:$P$1,MATCH(MIN(D808:P808),D808:P808,0)))</f>
        <v/>
      </c>
      <c r="V808" s="8" t="n">
        <v>550</v>
      </c>
      <c r="W808" s="10" t="n">
        <v>2</v>
      </c>
    </row>
    <row r="809">
      <c r="A809" s="7" t="inlineStr">
        <is>
          <t>MAT-10-203</t>
        </is>
      </c>
      <c r="B809" s="4" t="inlineStr">
        <is>
          <t>Tomacorriente doble</t>
        </is>
      </c>
      <c r="C809" s="7" t="inlineStr">
        <is>
          <t>unidad</t>
        </is>
      </c>
      <c r="D809" s="8" t="n"/>
      <c r="E809" s="8" t="n">
        <v>75</v>
      </c>
      <c r="F809" s="8" t="n"/>
      <c r="G809" s="8" t="n"/>
      <c r="H809" s="8" t="n"/>
      <c r="I809" s="8" t="n">
        <v>34</v>
      </c>
      <c r="J809" s="8" t="n"/>
      <c r="K809" s="8" t="n"/>
      <c r="L809" s="8" t="n"/>
      <c r="M809" s="8" t="n"/>
      <c r="N809" s="8" t="n"/>
      <c r="O809" s="8" t="n"/>
      <c r="P809" s="8" t="n"/>
      <c r="Q809" s="8">
        <f>IF(COUNT(D809:P809)=0,"",MIN(D809:P809))</f>
        <v/>
      </c>
      <c r="R809" s="8">
        <f>IF(COUNT(D809:P809)=0,"",MEDIAN(D809:P809))</f>
        <v/>
      </c>
      <c r="S809" s="8">
        <f>IF(COUNT(D809:P809)=0,"",MAX(D809:P809))</f>
        <v/>
      </c>
      <c r="T809" s="9">
        <f>IF(OR(Q809="",Q809=0),"",(S809-Q809)/Q809)</f>
        <v/>
      </c>
      <c r="U809" s="7">
        <f>IF(COUNT(D809:P809)=0,"",INDEX($D$1:$P$1,MATCH(MIN(D809:P809),D809:P809,0)))</f>
        <v/>
      </c>
      <c r="V809" s="8" t="n">
        <v>197</v>
      </c>
      <c r="W809" s="10" t="n">
        <v>2</v>
      </c>
    </row>
    <row r="810">
      <c r="A810" s="7" t="inlineStr">
        <is>
          <t>MAT-10-204</t>
        </is>
      </c>
      <c r="B810" s="4" t="inlineStr">
        <is>
          <t>Tomacorriente gfci</t>
        </is>
      </c>
      <c r="C810" s="7" t="inlineStr">
        <is>
          <t>unidad</t>
        </is>
      </c>
      <c r="D810" s="8" t="n"/>
      <c r="E810" s="8" t="n">
        <v>1467.04</v>
      </c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>
        <f>IF(COUNT(D810:P810)=0,"",MIN(D810:P810))</f>
        <v/>
      </c>
      <c r="R810" s="8">
        <f>IF(COUNT(D810:P810)=0,"",MEDIAN(D810:P810))</f>
        <v/>
      </c>
      <c r="S810" s="8">
        <f>IF(COUNT(D810:P810)=0,"",MAX(D810:P810))</f>
        <v/>
      </c>
      <c r="T810" s="9">
        <f>IF(OR(Q810="",Q810=0),"",(S810-Q810)/Q810)</f>
        <v/>
      </c>
      <c r="U810" s="7">
        <f>IF(COUNT(D810:P810)=0,"",INDEX($D$1:$P$1,MATCH(MIN(D810:P810),D810:P810,0)))</f>
        <v/>
      </c>
      <c r="V810" s="8" t="n">
        <v>2121.5</v>
      </c>
      <c r="W810" s="10" t="n">
        <v>1</v>
      </c>
    </row>
    <row r="811">
      <c r="A811" s="7" t="inlineStr">
        <is>
          <t>MAT-10-205</t>
        </is>
      </c>
      <c r="B811" s="4" t="inlineStr">
        <is>
          <t>Tomacorriente sencillo</t>
        </is>
      </c>
      <c r="C811" s="7" t="inlineStr">
        <is>
          <t>unidad</t>
        </is>
      </c>
      <c r="D811" s="8" t="n"/>
      <c r="E811" s="8" t="n">
        <v>210.98</v>
      </c>
      <c r="F811" s="8" t="n"/>
      <c r="G811" s="8" t="n"/>
      <c r="H811" s="8" t="n"/>
      <c r="I811" s="8" t="n">
        <v>39</v>
      </c>
      <c r="J811" s="8" t="n"/>
      <c r="K811" s="8" t="n"/>
      <c r="L811" s="8" t="n"/>
      <c r="M811" s="8" t="n"/>
      <c r="N811" s="8" t="n"/>
      <c r="O811" s="8" t="n"/>
      <c r="P811" s="8" t="n"/>
      <c r="Q811" s="8">
        <f>IF(COUNT(D811:P811)=0,"",MIN(D811:P811))</f>
        <v/>
      </c>
      <c r="R811" s="8">
        <f>IF(COUNT(D811:P811)=0,"",MEDIAN(D811:P811))</f>
        <v/>
      </c>
      <c r="S811" s="8">
        <f>IF(COUNT(D811:P811)=0,"",MAX(D811:P811))</f>
        <v/>
      </c>
      <c r="T811" s="9">
        <f>IF(OR(Q811="",Q811=0),"",(S811-Q811)/Q811)</f>
        <v/>
      </c>
      <c r="U811" s="7">
        <f>IF(COUNT(D811:P811)=0,"",INDEX($D$1:$P$1,MATCH(MIN(D811:P811),D811:P811,0)))</f>
        <v/>
      </c>
      <c r="V811" s="8" t="n">
        <v>70</v>
      </c>
      <c r="W811" s="10" t="n">
        <v>2</v>
      </c>
    </row>
    <row r="812">
      <c r="A812" s="7" t="inlineStr">
        <is>
          <t>MAT-10-206</t>
        </is>
      </c>
      <c r="B812" s="4" t="inlineStr">
        <is>
          <t>ciega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>
        <v>11</v>
      </c>
      <c r="J812" s="8" t="n"/>
      <c r="K812" s="8" t="n"/>
      <c r="L812" s="8" t="n"/>
      <c r="M812" s="8" t="n"/>
      <c r="N812" s="8" t="n"/>
      <c r="O812" s="8" t="n"/>
      <c r="P812" s="8" t="n"/>
      <c r="Q812" s="8">
        <f>IF(COUNT(D812:P812)=0,"",MIN(D812:P812))</f>
        <v/>
      </c>
      <c r="R812" s="8">
        <f>IF(COUNT(D812:P812)=0,"",MEDIAN(D812:P812))</f>
        <v/>
      </c>
      <c r="S812" s="8">
        <f>IF(COUNT(D812:P812)=0,"",MAX(D812:P812))</f>
        <v/>
      </c>
      <c r="T812" s="9">
        <f>IF(OR(Q812="",Q812=0),"",(S812-Q812)/Q812)</f>
        <v/>
      </c>
      <c r="U812" s="7">
        <f>IF(COUNT(D812:P812)=0,"",INDEX($D$1:$P$1,MATCH(MIN(D812:P812),D812:P812,0)))</f>
        <v/>
      </c>
      <c r="V812" s="8" t="n">
        <v>49</v>
      </c>
      <c r="W812" s="10" t="n">
        <v>1</v>
      </c>
    </row>
    <row r="813">
      <c r="A813" s="7" t="inlineStr">
        <is>
          <t>MAT-10-207</t>
        </is>
      </c>
      <c r="B813" s="4" t="inlineStr">
        <is>
          <t>doble</t>
        </is>
      </c>
      <c r="C813" s="7" t="inlineStr">
        <is>
          <t>unidad</t>
        </is>
      </c>
      <c r="D813" s="8" t="n"/>
      <c r="E813" s="8" t="n"/>
      <c r="F813" s="8" t="n"/>
      <c r="G813" s="8" t="n"/>
      <c r="H813" s="8" t="n"/>
      <c r="I813" s="8" t="n">
        <v>15</v>
      </c>
      <c r="J813" s="8" t="n"/>
      <c r="K813" s="8" t="n"/>
      <c r="L813" s="8" t="n"/>
      <c r="M813" s="8" t="n"/>
      <c r="N813" s="8" t="n"/>
      <c r="O813" s="8" t="n"/>
      <c r="P813" s="8" t="n"/>
      <c r="Q813" s="8">
        <f>IF(COUNT(D813:P813)=0,"",MIN(D813:P813))</f>
        <v/>
      </c>
      <c r="R813" s="8">
        <f>IF(COUNT(D813:P813)=0,"",MEDIAN(D813:P813))</f>
        <v/>
      </c>
      <c r="S813" s="8">
        <f>IF(COUNT(D813:P813)=0,"",MAX(D813:P813))</f>
        <v/>
      </c>
      <c r="T813" s="9">
        <f>IF(OR(Q813="",Q813=0),"",(S813-Q813)/Q813)</f>
        <v/>
      </c>
      <c r="U813" s="7">
        <f>IF(COUNT(D813:P813)=0,"",INDEX($D$1:$P$1,MATCH(MIN(D813:P813),D813:P813,0)))</f>
        <v/>
      </c>
      <c r="V813" s="8" t="n">
        <v>132.5</v>
      </c>
      <c r="W813" s="10" t="n">
        <v>1</v>
      </c>
    </row>
    <row r="814">
      <c r="A814" s="7" t="inlineStr">
        <is>
          <t>MAT-10-208</t>
        </is>
      </c>
      <c r="B814" s="4" t="inlineStr">
        <is>
          <t>Placa de 3 módulos</t>
        </is>
      </c>
      <c r="C814" s="7" t="inlineStr">
        <is>
          <t>unidad</t>
        </is>
      </c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>
        <v>85</v>
      </c>
      <c r="M814" s="8" t="n"/>
      <c r="N814" s="8" t="n"/>
      <c r="O814" s="8" t="n"/>
      <c r="P814" s="8" t="n"/>
      <c r="Q814" s="8">
        <f>IF(COUNT(D814:P814)=0,"",MIN(D814:P814))</f>
        <v/>
      </c>
      <c r="R814" s="8">
        <f>IF(COUNT(D814:P814)=0,"",MEDIAN(D814:P814))</f>
        <v/>
      </c>
      <c r="S814" s="8">
        <f>IF(COUNT(D814:P814)=0,"",MAX(D814:P814))</f>
        <v/>
      </c>
      <c r="T814" s="9">
        <f>IF(OR(Q814="",Q814=0),"",(S814-Q814)/Q814)</f>
        <v/>
      </c>
      <c r="U814" s="7">
        <f>IF(COUNT(D814:P814)=0,"",INDEX($D$1:$P$1,MATCH(MIN(D814:P814),D814:P814,0)))</f>
        <v/>
      </c>
      <c r="V814" s="8" t="n">
        <v>85</v>
      </c>
      <c r="W814" s="10" t="n">
        <v>1</v>
      </c>
    </row>
    <row r="815">
      <c r="A815" s="7" t="inlineStr">
        <is>
          <t>MAT-10-209</t>
        </is>
      </c>
      <c r="B815" s="4" t="inlineStr">
        <is>
          <t>Placa de 7 módulos</t>
        </is>
      </c>
      <c r="C815" s="7" t="inlineStr">
        <is>
          <t>unidad</t>
        </is>
      </c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>
        <v>1620</v>
      </c>
      <c r="M815" s="8" t="n"/>
      <c r="N815" s="8" t="n"/>
      <c r="O815" s="8" t="n"/>
      <c r="P815" s="8" t="n"/>
      <c r="Q815" s="8">
        <f>IF(COUNT(D815:P815)=0,"",MIN(D815:P815))</f>
        <v/>
      </c>
      <c r="R815" s="8">
        <f>IF(COUNT(D815:P815)=0,"",MEDIAN(D815:P815))</f>
        <v/>
      </c>
      <c r="S815" s="8">
        <f>IF(COUNT(D815:P815)=0,"",MAX(D815:P815))</f>
        <v/>
      </c>
      <c r="T815" s="9">
        <f>IF(OR(Q815="",Q815=0),"",(S815-Q815)/Q815)</f>
        <v/>
      </c>
      <c r="U815" s="7">
        <f>IF(COUNT(D815:P815)=0,"",INDEX($D$1:$P$1,MATCH(MIN(D815:P815),D815:P815,0)))</f>
        <v/>
      </c>
      <c r="V815" s="8" t="n">
        <v>1620</v>
      </c>
      <c r="W815" s="10" t="n">
        <v>1</v>
      </c>
    </row>
    <row r="816">
      <c r="A816" s="7" t="inlineStr">
        <is>
          <t>MAT-10-210</t>
        </is>
      </c>
      <c r="B816" s="4" t="inlineStr">
        <is>
          <t>Placa de pared de 2 huecos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>
        <v>9.99</v>
      </c>
      <c r="M816" s="8" t="n"/>
      <c r="N816" s="8" t="n"/>
      <c r="O816" s="8" t="n"/>
      <c r="P816" s="8" t="n"/>
      <c r="Q816" s="8">
        <f>IF(COUNT(D816:P816)=0,"",MIN(D816:P816))</f>
        <v/>
      </c>
      <c r="R816" s="8">
        <f>IF(COUNT(D816:P816)=0,"",MEDIAN(D816:P816))</f>
        <v/>
      </c>
      <c r="S816" s="8">
        <f>IF(COUNT(D816:P816)=0,"",MAX(D816:P816))</f>
        <v/>
      </c>
      <c r="T816" s="9">
        <f>IF(OR(Q816="",Q816=0),"",(S816-Q816)/Q816)</f>
        <v/>
      </c>
      <c r="U816" s="7">
        <f>IF(COUNT(D816:P816)=0,"",INDEX($D$1:$P$1,MATCH(MIN(D816:P816),D816:P816,0)))</f>
        <v/>
      </c>
      <c r="V816" s="8" t="n">
        <v>9.99</v>
      </c>
      <c r="W816" s="10" t="n">
        <v>1</v>
      </c>
    </row>
    <row r="817">
      <c r="A817" s="7" t="inlineStr">
        <is>
          <t>MAT-10-211</t>
        </is>
      </c>
      <c r="B817" s="4" t="inlineStr">
        <is>
          <t>sencilla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>
        <v>45</v>
      </c>
      <c r="J817" s="8" t="n"/>
      <c r="K817" s="8" t="n"/>
      <c r="L817" s="8" t="n"/>
      <c r="M817" s="8" t="n"/>
      <c r="N817" s="8" t="n"/>
      <c r="O817" s="8" t="n"/>
      <c r="P817" s="8" t="n"/>
      <c r="Q817" s="8">
        <f>IF(COUNT(D817:P817)=0,"",MIN(D817:P817))</f>
        <v/>
      </c>
      <c r="R817" s="8">
        <f>IF(COUNT(D817:P817)=0,"",MEDIAN(D817:P817))</f>
        <v/>
      </c>
      <c r="S817" s="8">
        <f>IF(COUNT(D817:P817)=0,"",MAX(D817:P817))</f>
        <v/>
      </c>
      <c r="T817" s="9">
        <f>IF(OR(Q817="",Q817=0),"",(S817-Q817)/Q817)</f>
        <v/>
      </c>
      <c r="U817" s="7">
        <f>IF(COUNT(D817:P817)=0,"",INDEX($D$1:$P$1,MATCH(MIN(D817:P817),D817:P817,0)))</f>
        <v/>
      </c>
      <c r="V817" s="8" t="n">
        <v>49</v>
      </c>
      <c r="W817" s="10" t="n">
        <v>1</v>
      </c>
    </row>
    <row r="818">
      <c r="A818" s="7" t="inlineStr">
        <is>
          <t>MAT-10-212</t>
        </is>
      </c>
      <c r="B818" s="4" t="inlineStr">
        <is>
          <t>Tapa ciega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>
        <v>115</v>
      </c>
      <c r="M818" s="8" t="n"/>
      <c r="N818" s="8" t="n"/>
      <c r="O818" s="8" t="n"/>
      <c r="P818" s="8" t="n"/>
      <c r="Q818" s="8">
        <f>IF(COUNT(D818:P818)=0,"",MIN(D818:P818))</f>
        <v/>
      </c>
      <c r="R818" s="8">
        <f>IF(COUNT(D818:P818)=0,"",MEDIAN(D818:P818))</f>
        <v/>
      </c>
      <c r="S818" s="8">
        <f>IF(COUNT(D818:P818)=0,"",MAX(D818:P818))</f>
        <v/>
      </c>
      <c r="T818" s="9">
        <f>IF(OR(Q818="",Q818=0),"",(S818-Q818)/Q818)</f>
        <v/>
      </c>
      <c r="U818" s="7">
        <f>IF(COUNT(D818:P818)=0,"",INDEX($D$1:$P$1,MATCH(MIN(D818:P818),D818:P818,0)))</f>
        <v/>
      </c>
      <c r="V818" s="8" t="n">
        <v>200</v>
      </c>
      <c r="W818" s="10" t="n">
        <v>1</v>
      </c>
    </row>
    <row r="819">
      <c r="A819" s="7" t="inlineStr">
        <is>
          <t>MAT-10-213</t>
        </is>
      </c>
      <c r="B819" s="4" t="inlineStr">
        <is>
          <t>Tapa para tomacorriente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>
        <v>25</v>
      </c>
      <c r="M819" s="8" t="n"/>
      <c r="N819" s="8" t="n"/>
      <c r="O819" s="8" t="n"/>
      <c r="P819" s="8" t="n"/>
      <c r="Q819" s="8">
        <f>IF(COUNT(D819:P819)=0,"",MIN(D819:P819))</f>
        <v/>
      </c>
      <c r="R819" s="8">
        <f>IF(COUNT(D819:P819)=0,"",MEDIAN(D819:P819))</f>
        <v/>
      </c>
      <c r="S819" s="8">
        <f>IF(COUNT(D819:P819)=0,"",MAX(D819:P819))</f>
        <v/>
      </c>
      <c r="T819" s="9">
        <f>IF(OR(Q819="",Q819=0),"",(S819-Q819)/Q819)</f>
        <v/>
      </c>
      <c r="U819" s="7">
        <f>IF(COUNT(D819:P819)=0,"",INDEX($D$1:$P$1,MATCH(MIN(D819:P819),D819:P819,0)))</f>
        <v/>
      </c>
      <c r="V819" s="8" t="n">
        <v>95</v>
      </c>
      <c r="W819" s="10" t="n">
        <v>1</v>
      </c>
    </row>
    <row r="820">
      <c r="A820" s="7" t="inlineStr">
        <is>
          <t>MAT-10-214</t>
        </is>
      </c>
      <c r="B820" s="4" t="inlineStr">
        <is>
          <t>triple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>
        <v>40</v>
      </c>
      <c r="J820" s="8" t="n"/>
      <c r="K820" s="8" t="n"/>
      <c r="L820" s="8" t="n"/>
      <c r="M820" s="8" t="n"/>
      <c r="N820" s="8" t="n"/>
      <c r="O820" s="8" t="n"/>
      <c r="P820" s="8" t="n"/>
      <c r="Q820" s="8">
        <f>IF(COUNT(D820:P820)=0,"",MIN(D820:P820))</f>
        <v/>
      </c>
      <c r="R820" s="8">
        <f>IF(COUNT(D820:P820)=0,"",MEDIAN(D820:P820))</f>
        <v/>
      </c>
      <c r="S820" s="8">
        <f>IF(COUNT(D820:P820)=0,"",MAX(D820:P820))</f>
        <v/>
      </c>
      <c r="T820" s="9">
        <f>IF(OR(Q820="",Q820=0),"",(S820-Q820)/Q820)</f>
        <v/>
      </c>
      <c r="U820" s="7">
        <f>IF(COUNT(D820:P820)=0,"",INDEX($D$1:$P$1,MATCH(MIN(D820:P820),D820:P820,0)))</f>
        <v/>
      </c>
      <c r="V820" s="8" t="n">
        <v>99</v>
      </c>
      <c r="W820" s="10" t="n">
        <v>1</v>
      </c>
    </row>
    <row r="821">
      <c r="A821" s="7" t="inlineStr">
        <is>
          <t>MAT-10-215</t>
        </is>
      </c>
      <c r="B821" s="4" t="inlineStr">
        <is>
          <t>Adaptador de enchufe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>
        <v>45.01</v>
      </c>
      <c r="M821" s="8" t="n"/>
      <c r="N821" s="8" t="n"/>
      <c r="O821" s="8" t="n"/>
      <c r="P821" s="8" t="n"/>
      <c r="Q821" s="8">
        <f>IF(COUNT(D821:P821)=0,"",MIN(D821:P821))</f>
        <v/>
      </c>
      <c r="R821" s="8">
        <f>IF(COUNT(D821:P821)=0,"",MEDIAN(D821:P821))</f>
        <v/>
      </c>
      <c r="S821" s="8">
        <f>IF(COUNT(D821:P821)=0,"",MAX(D821:P821))</f>
        <v/>
      </c>
      <c r="T821" s="9">
        <f>IF(OR(Q821="",Q821=0),"",(S821-Q821)/Q821)</f>
        <v/>
      </c>
      <c r="U821" s="7">
        <f>IF(COUNT(D821:P821)=0,"",INDEX($D$1:$P$1,MATCH(MIN(D821:P821),D821:P821,0)))</f>
        <v/>
      </c>
      <c r="V821" s="8" t="n">
        <v>112.5</v>
      </c>
      <c r="W821" s="10" t="n">
        <v>1</v>
      </c>
    </row>
    <row r="822">
      <c r="A822" s="7" t="inlineStr">
        <is>
          <t>MAT-10-216</t>
        </is>
      </c>
      <c r="B822" s="4" t="inlineStr">
        <is>
          <t>Enchufe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>
        <v>50</v>
      </c>
      <c r="M822" s="8" t="n"/>
      <c r="N822" s="8" t="n"/>
      <c r="O822" s="8" t="n"/>
      <c r="P822" s="8" t="n"/>
      <c r="Q822" s="8">
        <f>IF(COUNT(D822:P822)=0,"",MIN(D822:P822))</f>
        <v/>
      </c>
      <c r="R822" s="8">
        <f>IF(COUNT(D822:P822)=0,"",MEDIAN(D822:P822))</f>
        <v/>
      </c>
      <c r="S822" s="8">
        <f>IF(COUNT(D822:P822)=0,"",MAX(D822:P822))</f>
        <v/>
      </c>
      <c r="T822" s="9">
        <f>IF(OR(Q822="",Q822=0),"",(S822-Q822)/Q822)</f>
        <v/>
      </c>
      <c r="U822" s="7">
        <f>IF(COUNT(D822:P822)=0,"",INDEX($D$1:$P$1,MATCH(MIN(D822:P822),D822:P822,0)))</f>
        <v/>
      </c>
      <c r="V822" s="8" t="n">
        <v>57.5</v>
      </c>
      <c r="W822" s="10" t="n">
        <v>1</v>
      </c>
    </row>
    <row r="823">
      <c r="A823" s="7" t="inlineStr">
        <is>
          <t>MAT-10-217</t>
        </is>
      </c>
      <c r="B823" s="4" t="inlineStr">
        <is>
          <t>Breaker enchufable 1P de 15 A</t>
        </is>
      </c>
      <c r="C823" s="7" t="inlineStr">
        <is>
          <t>unidad</t>
        </is>
      </c>
      <c r="D823" s="8" t="n"/>
      <c r="E823" s="8" t="n">
        <v>430.24</v>
      </c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>
        <f>IF(COUNT(D823:P823)=0,"",MIN(D823:P823))</f>
        <v/>
      </c>
      <c r="R823" s="8">
        <f>IF(COUNT(D823:P823)=0,"",MEDIAN(D823:P823))</f>
        <v/>
      </c>
      <c r="S823" s="8">
        <f>IF(COUNT(D823:P823)=0,"",MAX(D823:P823))</f>
        <v/>
      </c>
      <c r="T823" s="9">
        <f>IF(OR(Q823="",Q823=0),"",(S823-Q823)/Q823)</f>
        <v/>
      </c>
      <c r="U823" s="7">
        <f>IF(COUNT(D823:P823)=0,"",INDEX($D$1:$P$1,MATCH(MIN(D823:P823),D823:P823,0)))</f>
        <v/>
      </c>
      <c r="V823" s="8" t="n">
        <v>447.27</v>
      </c>
      <c r="W823" s="10" t="n">
        <v>1</v>
      </c>
    </row>
    <row r="824">
      <c r="A824" s="7" t="inlineStr">
        <is>
          <t>MAT-10-218</t>
        </is>
      </c>
      <c r="B824" s="4" t="inlineStr">
        <is>
          <t>Breaker enchufable 1P de 15 A, formato fino</t>
        </is>
      </c>
      <c r="C824" s="7" t="inlineStr">
        <is>
          <t>unidad</t>
        </is>
      </c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>
        <v>485</v>
      </c>
      <c r="M824" s="8" t="n"/>
      <c r="N824" s="8" t="n"/>
      <c r="O824" s="8" t="n"/>
      <c r="P824" s="8" t="n"/>
      <c r="Q824" s="8">
        <f>IF(COUNT(D824:P824)=0,"",MIN(D824:P824))</f>
        <v/>
      </c>
      <c r="R824" s="8">
        <f>IF(COUNT(D824:P824)=0,"",MEDIAN(D824:P824))</f>
        <v/>
      </c>
      <c r="S824" s="8">
        <f>IF(COUNT(D824:P824)=0,"",MAX(D824:P824))</f>
        <v/>
      </c>
      <c r="T824" s="9">
        <f>IF(OR(Q824="",Q824=0),"",(S824-Q824)/Q824)</f>
        <v/>
      </c>
      <c r="U824" s="7">
        <f>IF(COUNT(D824:P824)=0,"",INDEX($D$1:$P$1,MATCH(MIN(D824:P824),D824:P824,0)))</f>
        <v/>
      </c>
      <c r="V824" s="8" t="n">
        <v>485</v>
      </c>
      <c r="W824" s="10" t="n">
        <v>1</v>
      </c>
    </row>
    <row r="825">
      <c r="A825" s="7" t="inlineStr">
        <is>
          <t>MAT-10-219</t>
        </is>
      </c>
      <c r="B825" s="4" t="inlineStr">
        <is>
          <t>Breaker enchufable 1P de 20 A</t>
        </is>
      </c>
      <c r="C825" s="7" t="inlineStr">
        <is>
          <t>unidad</t>
        </is>
      </c>
      <c r="D825" s="8" t="n"/>
      <c r="E825" s="8" t="n">
        <v>374.13</v>
      </c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>
        <f>IF(COUNT(D825:P825)=0,"",MIN(D825:P825))</f>
        <v/>
      </c>
      <c r="R825" s="8">
        <f>IF(COUNT(D825:P825)=0,"",MEDIAN(D825:P825))</f>
        <v/>
      </c>
      <c r="S825" s="8">
        <f>IF(COUNT(D825:P825)=0,"",MAX(D825:P825))</f>
        <v/>
      </c>
      <c r="T825" s="9">
        <f>IF(OR(Q825="",Q825=0),"",(S825-Q825)/Q825)</f>
        <v/>
      </c>
      <c r="U825" s="7">
        <f>IF(COUNT(D825:P825)=0,"",INDEX($D$1:$P$1,MATCH(MIN(D825:P825),D825:P825,0)))</f>
        <v/>
      </c>
      <c r="V825" s="8" t="n">
        <v>447.27</v>
      </c>
      <c r="W825" s="10" t="n">
        <v>1</v>
      </c>
    </row>
    <row r="826">
      <c r="A826" s="7" t="inlineStr">
        <is>
          <t>MAT-10-220</t>
        </is>
      </c>
      <c r="B826" s="4" t="inlineStr">
        <is>
          <t>Breaker enchufable 1P de 20 A, formato fino</t>
        </is>
      </c>
      <c r="C826" s="7" t="inlineStr">
        <is>
          <t>unidad</t>
        </is>
      </c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>
        <v>500</v>
      </c>
      <c r="M826" s="8" t="n"/>
      <c r="N826" s="8" t="n"/>
      <c r="O826" s="8" t="n"/>
      <c r="P826" s="8" t="n"/>
      <c r="Q826" s="8">
        <f>IF(COUNT(D826:P826)=0,"",MIN(D826:P826))</f>
        <v/>
      </c>
      <c r="R826" s="8">
        <f>IF(COUNT(D826:P826)=0,"",MEDIAN(D826:P826))</f>
        <v/>
      </c>
      <c r="S826" s="8">
        <f>IF(COUNT(D826:P826)=0,"",MAX(D826:P826))</f>
        <v/>
      </c>
      <c r="T826" s="9">
        <f>IF(OR(Q826="",Q826=0),"",(S826-Q826)/Q826)</f>
        <v/>
      </c>
      <c r="U826" s="7">
        <f>IF(COUNT(D826:P826)=0,"",INDEX($D$1:$P$1,MATCH(MIN(D826:P826),D826:P826,0)))</f>
        <v/>
      </c>
      <c r="V826" s="8" t="n">
        <v>500</v>
      </c>
      <c r="W826" s="10" t="n">
        <v>1</v>
      </c>
    </row>
    <row r="827">
      <c r="A827" s="7" t="inlineStr">
        <is>
          <t>MAT-10-221</t>
        </is>
      </c>
      <c r="B827" s="4" t="inlineStr">
        <is>
          <t>Breaker enchufable 1P de 30 A</t>
        </is>
      </c>
      <c r="C827" s="7" t="inlineStr">
        <is>
          <t>unidad</t>
        </is>
      </c>
      <c r="D827" s="8" t="n"/>
      <c r="E827" s="8" t="n">
        <v>374.1</v>
      </c>
      <c r="F827" s="8" t="n"/>
      <c r="G827" s="8" t="n"/>
      <c r="H827" s="8" t="n"/>
      <c r="I827" s="8" t="n"/>
      <c r="J827" s="8" t="n"/>
      <c r="K827" s="8" t="n"/>
      <c r="L827" s="8" t="n">
        <v>470.01</v>
      </c>
      <c r="M827" s="8" t="n"/>
      <c r="N827" s="8" t="n"/>
      <c r="O827" s="8" t="n"/>
      <c r="P827" s="8" t="n"/>
      <c r="Q827" s="8">
        <f>IF(COUNT(D827:P827)=0,"",MIN(D827:P827))</f>
        <v/>
      </c>
      <c r="R827" s="8">
        <f>IF(COUNT(D827:P827)=0,"",MEDIAN(D827:P827))</f>
        <v/>
      </c>
      <c r="S827" s="8">
        <f>IF(COUNT(D827:P827)=0,"",MAX(D827:P827))</f>
        <v/>
      </c>
      <c r="T827" s="9">
        <f>IF(OR(Q827="",Q827=0),"",(S827-Q827)/Q827)</f>
        <v/>
      </c>
      <c r="U827" s="7">
        <f>IF(COUNT(D827:P827)=0,"",INDEX($D$1:$P$1,MATCH(MIN(D827:P827),D827:P827,0)))</f>
        <v/>
      </c>
      <c r="V827" s="8" t="n">
        <v>447.28</v>
      </c>
      <c r="W827" s="10" t="n">
        <v>2</v>
      </c>
    </row>
    <row r="828">
      <c r="A828" s="7" t="inlineStr">
        <is>
          <t>MAT-10-222</t>
        </is>
      </c>
      <c r="B828" s="4" t="inlineStr">
        <is>
          <t>Breaker enchufable 1P de 30 A, formato fino</t>
        </is>
      </c>
      <c r="C828" s="7" t="inlineStr">
        <is>
          <t>unidad</t>
        </is>
      </c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>
        <v>505</v>
      </c>
      <c r="M828" s="8" t="n"/>
      <c r="N828" s="8" t="n"/>
      <c r="O828" s="8" t="n"/>
      <c r="P828" s="8" t="n"/>
      <c r="Q828" s="8">
        <f>IF(COUNT(D828:P828)=0,"",MIN(D828:P828))</f>
        <v/>
      </c>
      <c r="R828" s="8">
        <f>IF(COUNT(D828:P828)=0,"",MEDIAN(D828:P828))</f>
        <v/>
      </c>
      <c r="S828" s="8">
        <f>IF(COUNT(D828:P828)=0,"",MAX(D828:P828))</f>
        <v/>
      </c>
      <c r="T828" s="9">
        <f>IF(OR(Q828="",Q828=0),"",(S828-Q828)/Q828)</f>
        <v/>
      </c>
      <c r="U828" s="7">
        <f>IF(COUNT(D828:P828)=0,"",INDEX($D$1:$P$1,MATCH(MIN(D828:P828),D828:P828,0)))</f>
        <v/>
      </c>
      <c r="V828" s="8" t="n">
        <v>505</v>
      </c>
      <c r="W828" s="10" t="n">
        <v>1</v>
      </c>
    </row>
    <row r="829">
      <c r="A829" s="7" t="inlineStr">
        <is>
          <t>MAT-10-223</t>
        </is>
      </c>
      <c r="B829" s="4" t="inlineStr">
        <is>
          <t>Breaker enchufable 1P de 40 A</t>
        </is>
      </c>
      <c r="C829" s="7" t="inlineStr">
        <is>
          <t>unidad</t>
        </is>
      </c>
      <c r="D829" s="8" t="n"/>
      <c r="E829" s="8" t="n">
        <v>481.33</v>
      </c>
      <c r="F829" s="8" t="n"/>
      <c r="G829" s="8" t="n"/>
      <c r="H829" s="8" t="n"/>
      <c r="I829" s="8" t="n">
        <v>170</v>
      </c>
      <c r="J829" s="8" t="n"/>
      <c r="K829" s="8" t="n"/>
      <c r="L829" s="8" t="n"/>
      <c r="M829" s="8" t="n"/>
      <c r="N829" s="8" t="n"/>
      <c r="O829" s="8" t="n"/>
      <c r="P829" s="8" t="n"/>
      <c r="Q829" s="8">
        <f>IF(COUNT(D829:P829)=0,"",MIN(D829:P829))</f>
        <v/>
      </c>
      <c r="R829" s="8">
        <f>IF(COUNT(D829:P829)=0,"",MEDIAN(D829:P829))</f>
        <v/>
      </c>
      <c r="S829" s="8">
        <f>IF(COUNT(D829:P829)=0,"",MAX(D829:P829))</f>
        <v/>
      </c>
      <c r="T829" s="9">
        <f>IF(OR(Q829="",Q829=0),"",(S829-Q829)/Q829)</f>
        <v/>
      </c>
      <c r="U829" s="7">
        <f>IF(COUNT(D829:P829)=0,"",INDEX($D$1:$P$1,MATCH(MIN(D829:P829),D829:P829,0)))</f>
        <v/>
      </c>
      <c r="V829" s="8" t="n">
        <v>488.17</v>
      </c>
      <c r="W829" s="10" t="n">
        <v>2</v>
      </c>
    </row>
    <row r="830">
      <c r="A830" s="7" t="inlineStr">
        <is>
          <t>MAT-10-224</t>
        </is>
      </c>
      <c r="B830" s="4" t="inlineStr">
        <is>
          <t>Breaker enchufable 1P de 50 A</t>
        </is>
      </c>
      <c r="C830" s="7" t="inlineStr">
        <is>
          <t>unidad</t>
        </is>
      </c>
      <c r="D830" s="8" t="n"/>
      <c r="E830" s="8" t="n">
        <v>495</v>
      </c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>
        <f>IF(COUNT(D830:P830)=0,"",MIN(D830:P830))</f>
        <v/>
      </c>
      <c r="R830" s="8">
        <f>IF(COUNT(D830:P830)=0,"",MEDIAN(D830:P830))</f>
        <v/>
      </c>
      <c r="S830" s="8">
        <f>IF(COUNT(D830:P830)=0,"",MAX(D830:P830))</f>
        <v/>
      </c>
      <c r="T830" s="9">
        <f>IF(OR(Q830="",Q830=0),"",(S830-Q830)/Q830)</f>
        <v/>
      </c>
      <c r="U830" s="7">
        <f>IF(COUNT(D830:P830)=0,"",INDEX($D$1:$P$1,MATCH(MIN(D830:P830),D830:P830,0)))</f>
        <v/>
      </c>
      <c r="V830" s="8" t="n">
        <v>505</v>
      </c>
      <c r="W830" s="10" t="n">
        <v>1</v>
      </c>
    </row>
    <row r="831">
      <c r="A831" s="7" t="inlineStr">
        <is>
          <t>MAT-10-225</t>
        </is>
      </c>
      <c r="B831" s="4" t="inlineStr">
        <is>
          <t>Breaker enchufable 1P de 60 A</t>
        </is>
      </c>
      <c r="C831" s="7" t="inlineStr">
        <is>
          <t>unidad</t>
        </is>
      </c>
      <c r="D831" s="8" t="n"/>
      <c r="E831" s="8" t="n">
        <v>717.63</v>
      </c>
      <c r="F831" s="8" t="n"/>
      <c r="G831" s="8" t="n"/>
      <c r="H831" s="8" t="n"/>
      <c r="I831" s="8" t="n"/>
      <c r="J831" s="8" t="n"/>
      <c r="K831" s="8" t="n"/>
      <c r="L831" s="8" t="n">
        <v>815</v>
      </c>
      <c r="M831" s="8" t="n"/>
      <c r="N831" s="8" t="n"/>
      <c r="O831" s="8" t="n"/>
      <c r="P831" s="8" t="n"/>
      <c r="Q831" s="8">
        <f>IF(COUNT(D831:P831)=0,"",MIN(D831:P831))</f>
        <v/>
      </c>
      <c r="R831" s="8">
        <f>IF(COUNT(D831:P831)=0,"",MEDIAN(D831:P831))</f>
        <v/>
      </c>
      <c r="S831" s="8">
        <f>IF(COUNT(D831:P831)=0,"",MAX(D831:P831))</f>
        <v/>
      </c>
      <c r="T831" s="9">
        <f>IF(OR(Q831="",Q831=0),"",(S831-Q831)/Q831)</f>
        <v/>
      </c>
      <c r="U831" s="7">
        <f>IF(COUNT(D831:P831)=0,"",INDEX($D$1:$P$1,MATCH(MIN(D831:P831),D831:P831,0)))</f>
        <v/>
      </c>
      <c r="V831" s="8" t="n">
        <v>766.3200000000001</v>
      </c>
      <c r="W831" s="10" t="n">
        <v>2</v>
      </c>
    </row>
    <row r="832">
      <c r="A832" s="7" t="inlineStr">
        <is>
          <t>MAT-10-226</t>
        </is>
      </c>
      <c r="B832" s="4" t="inlineStr">
        <is>
          <t>Breaker enchufable 2P de 100 A</t>
        </is>
      </c>
      <c r="C832" s="7" t="inlineStr">
        <is>
          <t>unidad</t>
        </is>
      </c>
      <c r="D832" s="8" t="n"/>
      <c r="E832" s="8" t="n">
        <v>2820</v>
      </c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>
        <f>IF(COUNT(D832:P832)=0,"",MIN(D832:P832))</f>
        <v/>
      </c>
      <c r="R832" s="8">
        <f>IF(COUNT(D832:P832)=0,"",MEDIAN(D832:P832))</f>
        <v/>
      </c>
      <c r="S832" s="8">
        <f>IF(COUNT(D832:P832)=0,"",MAX(D832:P832))</f>
        <v/>
      </c>
      <c r="T832" s="9">
        <f>IF(OR(Q832="",Q832=0),"",(S832-Q832)/Q832)</f>
        <v/>
      </c>
      <c r="U832" s="7">
        <f>IF(COUNT(D832:P832)=0,"",INDEX($D$1:$P$1,MATCH(MIN(D832:P832),D832:P832,0)))</f>
        <v/>
      </c>
      <c r="V832" s="8" t="n">
        <v>3203</v>
      </c>
      <c r="W832" s="10" t="n">
        <v>1</v>
      </c>
    </row>
    <row r="833">
      <c r="A833" s="7" t="inlineStr">
        <is>
          <t>MAT-10-227</t>
        </is>
      </c>
      <c r="B833" s="4" t="inlineStr">
        <is>
          <t>Breaker enchufable 2P de 15 A</t>
        </is>
      </c>
      <c r="C833" s="7" t="inlineStr">
        <is>
          <t>unidad</t>
        </is>
      </c>
      <c r="D833" s="8" t="n"/>
      <c r="E833" s="8" t="n">
        <v>969.78</v>
      </c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>
        <f>IF(COUNT(D833:P833)=0,"",MIN(D833:P833))</f>
        <v/>
      </c>
      <c r="R833" s="8">
        <f>IF(COUNT(D833:P833)=0,"",MEDIAN(D833:P833))</f>
        <v/>
      </c>
      <c r="S833" s="8">
        <f>IF(COUNT(D833:P833)=0,"",MAX(D833:P833))</f>
        <v/>
      </c>
      <c r="T833" s="9">
        <f>IF(OR(Q833="",Q833=0),"",(S833-Q833)/Q833)</f>
        <v/>
      </c>
      <c r="U833" s="7">
        <f>IF(COUNT(D833:P833)=0,"",INDEX($D$1:$P$1,MATCH(MIN(D833:P833),D833:P833,0)))</f>
        <v/>
      </c>
      <c r="V833" s="8" t="n">
        <v>1061.42</v>
      </c>
      <c r="W833" s="10" t="n">
        <v>1</v>
      </c>
    </row>
    <row r="834">
      <c r="A834" s="7" t="inlineStr">
        <is>
          <t>MAT-10-228</t>
        </is>
      </c>
      <c r="B834" s="4" t="inlineStr">
        <is>
          <t>Breaker enchufable 2P de 20 A</t>
        </is>
      </c>
      <c r="C834" s="7" t="inlineStr">
        <is>
          <t>unidad</t>
        </is>
      </c>
      <c r="D834" s="8" t="n"/>
      <c r="E834" s="8" t="n">
        <v>1135</v>
      </c>
      <c r="F834" s="8" t="n"/>
      <c r="G834" s="8" t="n"/>
      <c r="H834" s="8" t="n"/>
      <c r="I834" s="8" t="n"/>
      <c r="J834" s="8" t="n"/>
      <c r="K834" s="8" t="n"/>
      <c r="L834" s="8" t="n">
        <v>1134.99</v>
      </c>
      <c r="M834" s="8" t="n"/>
      <c r="N834" s="8" t="n"/>
      <c r="O834" s="8" t="n"/>
      <c r="P834" s="8" t="n"/>
      <c r="Q834" s="8">
        <f>IF(COUNT(D834:P834)=0,"",MIN(D834:P834))</f>
        <v/>
      </c>
      <c r="R834" s="8">
        <f>IF(COUNT(D834:P834)=0,"",MEDIAN(D834:P834))</f>
        <v/>
      </c>
      <c r="S834" s="8">
        <f>IF(COUNT(D834:P834)=0,"",MAX(D834:P834))</f>
        <v/>
      </c>
      <c r="T834" s="9">
        <f>IF(OR(Q834="",Q834=0),"",(S834-Q834)/Q834)</f>
        <v/>
      </c>
      <c r="U834" s="7">
        <f>IF(COUNT(D834:P834)=0,"",INDEX($D$1:$P$1,MATCH(MIN(D834:P834),D834:P834,0)))</f>
        <v/>
      </c>
      <c r="V834" s="8" t="n">
        <v>1157.5</v>
      </c>
      <c r="W834" s="10" t="n">
        <v>2</v>
      </c>
    </row>
    <row r="835">
      <c r="A835" s="7" t="inlineStr">
        <is>
          <t>MAT-10-229</t>
        </is>
      </c>
      <c r="B835" s="4" t="inlineStr">
        <is>
          <t>Breaker enchufable 2P de 20 A, formato fino</t>
        </is>
      </c>
      <c r="C835" s="7" t="inlineStr">
        <is>
          <t>unidad</t>
        </is>
      </c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>
        <v>1195</v>
      </c>
      <c r="M835" s="8" t="n"/>
      <c r="N835" s="8" t="n"/>
      <c r="O835" s="8" t="n"/>
      <c r="P835" s="8" t="n"/>
      <c r="Q835" s="8">
        <f>IF(COUNT(D835:P835)=0,"",MIN(D835:P835))</f>
        <v/>
      </c>
      <c r="R835" s="8">
        <f>IF(COUNT(D835:P835)=0,"",MEDIAN(D835:P835))</f>
        <v/>
      </c>
      <c r="S835" s="8">
        <f>IF(COUNT(D835:P835)=0,"",MAX(D835:P835))</f>
        <v/>
      </c>
      <c r="T835" s="9">
        <f>IF(OR(Q835="",Q835=0),"",(S835-Q835)/Q835)</f>
        <v/>
      </c>
      <c r="U835" s="7">
        <f>IF(COUNT(D835:P835)=0,"",INDEX($D$1:$P$1,MATCH(MIN(D835:P835),D835:P835,0)))</f>
        <v/>
      </c>
      <c r="V835" s="8" t="n">
        <v>1195</v>
      </c>
      <c r="W835" s="10" t="n">
        <v>1</v>
      </c>
    </row>
    <row r="836">
      <c r="A836" s="7" t="inlineStr">
        <is>
          <t>MAT-10-230</t>
        </is>
      </c>
      <c r="B836" s="4" t="inlineStr">
        <is>
          <t>Breaker enchufable 2P de 30 A</t>
        </is>
      </c>
      <c r="C836" s="7" t="inlineStr">
        <is>
          <t>unidad</t>
        </is>
      </c>
      <c r="D836" s="8" t="n"/>
      <c r="E836" s="8" t="n">
        <v>896</v>
      </c>
      <c r="F836" s="8" t="n"/>
      <c r="G836" s="8" t="n"/>
      <c r="H836" s="8" t="n"/>
      <c r="I836" s="8" t="n"/>
      <c r="J836" s="8" t="n"/>
      <c r="K836" s="8" t="n"/>
      <c r="L836" s="8" t="n">
        <v>1134.99</v>
      </c>
      <c r="M836" s="8" t="n"/>
      <c r="N836" s="8" t="n"/>
      <c r="O836" s="8" t="n"/>
      <c r="P836" s="8" t="n"/>
      <c r="Q836" s="8">
        <f>IF(COUNT(D836:P836)=0,"",MIN(D836:P836))</f>
        <v/>
      </c>
      <c r="R836" s="8">
        <f>IF(COUNT(D836:P836)=0,"",MEDIAN(D836:P836))</f>
        <v/>
      </c>
      <c r="S836" s="8">
        <f>IF(COUNT(D836:P836)=0,"",MAX(D836:P836))</f>
        <v/>
      </c>
      <c r="T836" s="9">
        <f>IF(OR(Q836="",Q836=0),"",(S836-Q836)/Q836)</f>
        <v/>
      </c>
      <c r="U836" s="7">
        <f>IF(COUNT(D836:P836)=0,"",INDEX($D$1:$P$1,MATCH(MIN(D836:P836),D836:P836,0)))</f>
        <v/>
      </c>
      <c r="V836" s="8" t="n">
        <v>1079.99</v>
      </c>
      <c r="W836" s="10" t="n">
        <v>2</v>
      </c>
    </row>
    <row r="837">
      <c r="A837" s="7" t="inlineStr">
        <is>
          <t>MAT-10-231</t>
        </is>
      </c>
      <c r="B837" s="4" t="inlineStr">
        <is>
          <t>Breaker enchufable 2P de 30 A, formato fino</t>
        </is>
      </c>
      <c r="C837" s="7" t="inlineStr">
        <is>
          <t>unidad</t>
        </is>
      </c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>
        <v>1165</v>
      </c>
      <c r="M837" s="8" t="n"/>
      <c r="N837" s="8" t="n"/>
      <c r="O837" s="8" t="n"/>
      <c r="P837" s="8" t="n"/>
      <c r="Q837" s="8">
        <f>IF(COUNT(D837:P837)=0,"",MIN(D837:P837))</f>
        <v/>
      </c>
      <c r="R837" s="8">
        <f>IF(COUNT(D837:P837)=0,"",MEDIAN(D837:P837))</f>
        <v/>
      </c>
      <c r="S837" s="8">
        <f>IF(COUNT(D837:P837)=0,"",MAX(D837:P837))</f>
        <v/>
      </c>
      <c r="T837" s="9">
        <f>IF(OR(Q837="",Q837=0),"",(S837-Q837)/Q837)</f>
        <v/>
      </c>
      <c r="U837" s="7">
        <f>IF(COUNT(D837:P837)=0,"",INDEX($D$1:$P$1,MATCH(MIN(D837:P837),D837:P837,0)))</f>
        <v/>
      </c>
      <c r="V837" s="8" t="n">
        <v>1165</v>
      </c>
      <c r="W837" s="10" t="n">
        <v>1</v>
      </c>
    </row>
    <row r="838">
      <c r="A838" s="7" t="inlineStr">
        <is>
          <t>MAT-10-232</t>
        </is>
      </c>
      <c r="B838" s="4" t="inlineStr">
        <is>
          <t>Breaker enchufable 2P de 40 A</t>
        </is>
      </c>
      <c r="C838" s="7" t="inlineStr">
        <is>
          <t>unidad</t>
        </is>
      </c>
      <c r="D838" s="8" t="n"/>
      <c r="E838" s="8" t="n">
        <v>976.05</v>
      </c>
      <c r="F838" s="8" t="n"/>
      <c r="G838" s="8" t="n"/>
      <c r="H838" s="8" t="n"/>
      <c r="I838" s="8" t="n"/>
      <c r="J838" s="8" t="n"/>
      <c r="K838" s="8" t="n"/>
      <c r="L838" s="8" t="n">
        <v>1134.99</v>
      </c>
      <c r="M838" s="8" t="n"/>
      <c r="N838" s="8" t="n"/>
      <c r="O838" s="8" t="n"/>
      <c r="P838" s="8" t="n"/>
      <c r="Q838" s="8">
        <f>IF(COUNT(D838:P838)=0,"",MIN(D838:P838))</f>
        <v/>
      </c>
      <c r="R838" s="8">
        <f>IF(COUNT(D838:P838)=0,"",MEDIAN(D838:P838))</f>
        <v/>
      </c>
      <c r="S838" s="8">
        <f>IF(COUNT(D838:P838)=0,"",MAX(D838:P838))</f>
        <v/>
      </c>
      <c r="T838" s="9">
        <f>IF(OR(Q838="",Q838=0),"",(S838-Q838)/Q838)</f>
        <v/>
      </c>
      <c r="U838" s="7">
        <f>IF(COUNT(D838:P838)=0,"",INDEX($D$1:$P$1,MATCH(MIN(D838:P838),D838:P838,0)))</f>
        <v/>
      </c>
      <c r="V838" s="8" t="n">
        <v>1034</v>
      </c>
      <c r="W838" s="10" t="n">
        <v>2</v>
      </c>
    </row>
    <row r="839">
      <c r="A839" s="7" t="inlineStr">
        <is>
          <t>MAT-10-233</t>
        </is>
      </c>
      <c r="B839" s="4" t="inlineStr">
        <is>
          <t>Breaker enchufable 2P de 50 A</t>
        </is>
      </c>
      <c r="C839" s="7" t="inlineStr">
        <is>
          <t>unidad</t>
        </is>
      </c>
      <c r="D839" s="8" t="n"/>
      <c r="E839" s="8" t="n">
        <v>999.95</v>
      </c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>
        <f>IF(COUNT(D839:P839)=0,"",MIN(D839:P839))</f>
        <v/>
      </c>
      <c r="R839" s="8">
        <f>IF(COUNT(D839:P839)=0,"",MEDIAN(D839:P839))</f>
        <v/>
      </c>
      <c r="S839" s="8">
        <f>IF(COUNT(D839:P839)=0,"",MAX(D839:P839))</f>
        <v/>
      </c>
      <c r="T839" s="9">
        <f>IF(OR(Q839="",Q839=0),"",(S839-Q839)/Q839)</f>
        <v/>
      </c>
      <c r="U839" s="7">
        <f>IF(COUNT(D839:P839)=0,"",INDEX($D$1:$P$1,MATCH(MIN(D839:P839),D839:P839,0)))</f>
        <v/>
      </c>
      <c r="V839" s="8" t="n">
        <v>1215</v>
      </c>
      <c r="W839" s="10" t="n">
        <v>1</v>
      </c>
    </row>
    <row r="840">
      <c r="A840" s="7" t="inlineStr">
        <is>
          <t>MAT-10-234</t>
        </is>
      </c>
      <c r="B840" s="4" t="inlineStr">
        <is>
          <t>Breaker enchufable 2P de 60 A</t>
        </is>
      </c>
      <c r="C840" s="7" t="inlineStr">
        <is>
          <t>unidad</t>
        </is>
      </c>
      <c r="D840" s="8" t="n"/>
      <c r="E840" s="8" t="n">
        <v>1100</v>
      </c>
      <c r="F840" s="8" t="n"/>
      <c r="G840" s="8" t="n"/>
      <c r="H840" s="8" t="n"/>
      <c r="I840" s="8" t="n"/>
      <c r="J840" s="8" t="n"/>
      <c r="K840" s="8" t="n"/>
      <c r="L840" s="8" t="n">
        <v>1189.99</v>
      </c>
      <c r="M840" s="8" t="n"/>
      <c r="N840" s="8" t="n"/>
      <c r="O840" s="8" t="n"/>
      <c r="P840" s="8" t="n"/>
      <c r="Q840" s="8">
        <f>IF(COUNT(D840:P840)=0,"",MIN(D840:P840))</f>
        <v/>
      </c>
      <c r="R840" s="8">
        <f>IF(COUNT(D840:P840)=0,"",MEDIAN(D840:P840))</f>
        <v/>
      </c>
      <c r="S840" s="8">
        <f>IF(COUNT(D840:P840)=0,"",MAX(D840:P840))</f>
        <v/>
      </c>
      <c r="T840" s="9">
        <f>IF(OR(Q840="",Q840=0),"",(S840-Q840)/Q840)</f>
        <v/>
      </c>
      <c r="U840" s="7">
        <f>IF(COUNT(D840:P840)=0,"",INDEX($D$1:$P$1,MATCH(MIN(D840:P840),D840:P840,0)))</f>
        <v/>
      </c>
      <c r="V840" s="8" t="n">
        <v>1189.99</v>
      </c>
      <c r="W840" s="10" t="n">
        <v>2</v>
      </c>
    </row>
    <row r="841">
      <c r="A841" s="7" t="inlineStr">
        <is>
          <t>MAT-10-235</t>
        </is>
      </c>
      <c r="B841" s="4" t="inlineStr">
        <is>
          <t>Breaker enchufable 2P de 70 A</t>
        </is>
      </c>
      <c r="C841" s="7" t="inlineStr">
        <is>
          <t>unidad</t>
        </is>
      </c>
      <c r="D841" s="8" t="n"/>
      <c r="E841" s="8" t="n">
        <v>2720</v>
      </c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>
        <f>IF(COUNT(D841:P841)=0,"",MIN(D841:P841))</f>
        <v/>
      </c>
      <c r="R841" s="8">
        <f>IF(COUNT(D841:P841)=0,"",MEDIAN(D841:P841))</f>
        <v/>
      </c>
      <c r="S841" s="8">
        <f>IF(COUNT(D841:P841)=0,"",MAX(D841:P841))</f>
        <v/>
      </c>
      <c r="T841" s="9">
        <f>IF(OR(Q841="",Q841=0),"",(S841-Q841)/Q841)</f>
        <v/>
      </c>
      <c r="U841" s="7">
        <f>IF(COUNT(D841:P841)=0,"",INDEX($D$1:$P$1,MATCH(MIN(D841:P841),D841:P841,0)))</f>
        <v/>
      </c>
      <c r="V841" s="8" t="n">
        <v>2959.5</v>
      </c>
      <c r="W841" s="10" t="n">
        <v>1</v>
      </c>
    </row>
    <row r="842">
      <c r="A842" s="7" t="inlineStr">
        <is>
          <t>MAT-10-236</t>
        </is>
      </c>
      <c r="B842" s="4" t="inlineStr">
        <is>
          <t>Breaker enchufable 2P de 80 A</t>
        </is>
      </c>
      <c r="C842" s="7" t="inlineStr">
        <is>
          <t>unidad</t>
        </is>
      </c>
      <c r="D842" s="8" t="n"/>
      <c r="E842" s="8" t="n">
        <v>2547.97</v>
      </c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>
        <f>IF(COUNT(D842:P842)=0,"",MIN(D842:P842))</f>
        <v/>
      </c>
      <c r="R842" s="8">
        <f>IF(COUNT(D842:P842)=0,"",MEDIAN(D842:P842))</f>
        <v/>
      </c>
      <c r="S842" s="8">
        <f>IF(COUNT(D842:P842)=0,"",MAX(D842:P842))</f>
        <v/>
      </c>
      <c r="T842" s="9">
        <f>IF(OR(Q842="",Q842=0),"",(S842-Q842)/Q842)</f>
        <v/>
      </c>
      <c r="U842" s="7">
        <f>IF(COUNT(D842:P842)=0,"",INDEX($D$1:$P$1,MATCH(MIN(D842:P842),D842:P842,0)))</f>
        <v/>
      </c>
      <c r="V842" s="8" t="n">
        <v>2810.48</v>
      </c>
      <c r="W842" s="10" t="n">
        <v>1</v>
      </c>
    </row>
    <row r="843">
      <c r="A843" s="7" t="inlineStr">
        <is>
          <t>MAT-10-237</t>
        </is>
      </c>
      <c r="B843" s="4" t="inlineStr">
        <is>
          <t>Breaker enchufable 2P de 90 A</t>
        </is>
      </c>
      <c r="C843" s="7" t="inlineStr">
        <is>
          <t>unidad</t>
        </is>
      </c>
      <c r="D843" s="8" t="n"/>
      <c r="E843" s="8" t="n">
        <v>2968</v>
      </c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>
        <f>IF(COUNT(D843:P843)=0,"",MIN(D843:P843))</f>
        <v/>
      </c>
      <c r="R843" s="8">
        <f>IF(COUNT(D843:P843)=0,"",MEDIAN(D843:P843))</f>
        <v/>
      </c>
      <c r="S843" s="8">
        <f>IF(COUNT(D843:P843)=0,"",MAX(D843:P843))</f>
        <v/>
      </c>
      <c r="T843" s="9">
        <f>IF(OR(Q843="",Q843=0),"",(S843-Q843)/Q843)</f>
        <v/>
      </c>
      <c r="U843" s="7">
        <f>IF(COUNT(D843:P843)=0,"",INDEX($D$1:$P$1,MATCH(MIN(D843:P843),D843:P843,0)))</f>
        <v/>
      </c>
      <c r="V843" s="8" t="n">
        <v>2968</v>
      </c>
      <c r="W843" s="10" t="n">
        <v>1</v>
      </c>
    </row>
    <row r="844">
      <c r="A844" s="7" t="inlineStr">
        <is>
          <t>MAT-10-238</t>
        </is>
      </c>
      <c r="B844" s="4" t="inlineStr">
        <is>
          <t>Breaker enchufable 3P de 100 A</t>
        </is>
      </c>
      <c r="C844" s="7" t="inlineStr">
        <is>
          <t>unidad</t>
        </is>
      </c>
      <c r="D844" s="8" t="n"/>
      <c r="E844" s="8" t="n">
        <v>6940</v>
      </c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>
        <f>IF(COUNT(D844:P844)=0,"",MIN(D844:P844))</f>
        <v/>
      </c>
      <c r="R844" s="8">
        <f>IF(COUNT(D844:P844)=0,"",MEDIAN(D844:P844))</f>
        <v/>
      </c>
      <c r="S844" s="8">
        <f>IF(COUNT(D844:P844)=0,"",MAX(D844:P844))</f>
        <v/>
      </c>
      <c r="T844" s="9">
        <f>IF(OR(Q844="",Q844=0),"",(S844-Q844)/Q844)</f>
        <v/>
      </c>
      <c r="U844" s="7">
        <f>IF(COUNT(D844:P844)=0,"",INDEX($D$1:$P$1,MATCH(MIN(D844:P844),D844:P844,0)))</f>
        <v/>
      </c>
      <c r="V844" s="8" t="n">
        <v>6940</v>
      </c>
      <c r="W844" s="10" t="n">
        <v>1</v>
      </c>
    </row>
    <row r="845">
      <c r="A845" s="7" t="inlineStr">
        <is>
          <t>MAT-10-239</t>
        </is>
      </c>
      <c r="B845" s="4" t="inlineStr">
        <is>
          <t>Breaker enchufable 3P de 15 A</t>
        </is>
      </c>
      <c r="C845" s="7" t="inlineStr">
        <is>
          <t>unidad</t>
        </is>
      </c>
      <c r="D845" s="8" t="n"/>
      <c r="E845" s="8" t="n">
        <v>2309</v>
      </c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>
        <f>IF(COUNT(D845:P845)=0,"",MIN(D845:P845))</f>
        <v/>
      </c>
      <c r="R845" s="8">
        <f>IF(COUNT(D845:P845)=0,"",MEDIAN(D845:P845))</f>
        <v/>
      </c>
      <c r="S845" s="8">
        <f>IF(COUNT(D845:P845)=0,"",MAX(D845:P845))</f>
        <v/>
      </c>
      <c r="T845" s="9">
        <f>IF(OR(Q845="",Q845=0),"",(S845-Q845)/Q845)</f>
        <v/>
      </c>
      <c r="U845" s="7">
        <f>IF(COUNT(D845:P845)=0,"",INDEX($D$1:$P$1,MATCH(MIN(D845:P845),D845:P845,0)))</f>
        <v/>
      </c>
      <c r="V845" s="8" t="n">
        <v>3062</v>
      </c>
      <c r="W845" s="10" t="n">
        <v>1</v>
      </c>
    </row>
    <row r="846">
      <c r="A846" s="7" t="inlineStr">
        <is>
          <t>MAT-10-240</t>
        </is>
      </c>
      <c r="B846" s="4" t="inlineStr">
        <is>
          <t>Breaker enchufable 3P de 20 A</t>
        </is>
      </c>
      <c r="C846" s="7" t="inlineStr">
        <is>
          <t>unidad</t>
        </is>
      </c>
      <c r="D846" s="8" t="n"/>
      <c r="E846" s="8" t="n">
        <v>3815</v>
      </c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>
        <f>IF(COUNT(D846:P846)=0,"",MIN(D846:P846))</f>
        <v/>
      </c>
      <c r="R846" s="8">
        <f>IF(COUNT(D846:P846)=0,"",MEDIAN(D846:P846))</f>
        <v/>
      </c>
      <c r="S846" s="8">
        <f>IF(COUNT(D846:P846)=0,"",MAX(D846:P846))</f>
        <v/>
      </c>
      <c r="T846" s="9">
        <f>IF(OR(Q846="",Q846=0),"",(S846-Q846)/Q846)</f>
        <v/>
      </c>
      <c r="U846" s="7">
        <f>IF(COUNT(D846:P846)=0,"",INDEX($D$1:$P$1,MATCH(MIN(D846:P846),D846:P846,0)))</f>
        <v/>
      </c>
      <c r="V846" s="8" t="n">
        <v>4801</v>
      </c>
      <c r="W846" s="10" t="n">
        <v>1</v>
      </c>
    </row>
    <row r="847">
      <c r="A847" s="7" t="inlineStr">
        <is>
          <t>MAT-10-241</t>
        </is>
      </c>
      <c r="B847" s="4" t="inlineStr">
        <is>
          <t>Breaker enchufable 3P de 40 A</t>
        </is>
      </c>
      <c r="C847" s="7" t="inlineStr">
        <is>
          <t>unidad</t>
        </is>
      </c>
      <c r="D847" s="8" t="n"/>
      <c r="E847" s="8" t="n">
        <v>4310</v>
      </c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>
        <f>IF(COUNT(D847:P847)=0,"",MIN(D847:P847))</f>
        <v/>
      </c>
      <c r="R847" s="8">
        <f>IF(COUNT(D847:P847)=0,"",MEDIAN(D847:P847))</f>
        <v/>
      </c>
      <c r="S847" s="8">
        <f>IF(COUNT(D847:P847)=0,"",MAX(D847:P847))</f>
        <v/>
      </c>
      <c r="T847" s="9">
        <f>IF(OR(Q847="",Q847=0),"",(S847-Q847)/Q847)</f>
        <v/>
      </c>
      <c r="U847" s="7">
        <f>IF(COUNT(D847:P847)=0,"",INDEX($D$1:$P$1,MATCH(MIN(D847:P847),D847:P847,0)))</f>
        <v/>
      </c>
      <c r="V847" s="8" t="n">
        <v>4357.5</v>
      </c>
      <c r="W847" s="10" t="n">
        <v>1</v>
      </c>
    </row>
    <row r="848">
      <c r="A848" s="7" t="inlineStr">
        <is>
          <t>MAT-10-242</t>
        </is>
      </c>
      <c r="B848" s="4" t="inlineStr">
        <is>
          <t>Breaker enchufable 3P de 50 A</t>
        </is>
      </c>
      <c r="C848" s="7" t="inlineStr">
        <is>
          <t>unidad</t>
        </is>
      </c>
      <c r="D848" s="8" t="n"/>
      <c r="E848" s="8" t="n">
        <v>4310</v>
      </c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>
        <f>IF(COUNT(D848:P848)=0,"",MIN(D848:P848))</f>
        <v/>
      </c>
      <c r="R848" s="8">
        <f>IF(COUNT(D848:P848)=0,"",MEDIAN(D848:P848))</f>
        <v/>
      </c>
      <c r="S848" s="8">
        <f>IF(COUNT(D848:P848)=0,"",MAX(D848:P848))</f>
        <v/>
      </c>
      <c r="T848" s="9">
        <f>IF(OR(Q848="",Q848=0),"",(S848-Q848)/Q848)</f>
        <v/>
      </c>
      <c r="U848" s="7">
        <f>IF(COUNT(D848:P848)=0,"",INDEX($D$1:$P$1,MATCH(MIN(D848:P848),D848:P848,0)))</f>
        <v/>
      </c>
      <c r="V848" s="8" t="n">
        <v>5048.5</v>
      </c>
      <c r="W848" s="10" t="n">
        <v>1</v>
      </c>
    </row>
    <row r="849">
      <c r="A849" s="7" t="inlineStr">
        <is>
          <t>MAT-10-243</t>
        </is>
      </c>
      <c r="B849" s="4" t="inlineStr">
        <is>
          <t>Breaker enchufable 3P de 60 A</t>
        </is>
      </c>
      <c r="C849" s="7" t="inlineStr">
        <is>
          <t>unidad</t>
        </is>
      </c>
      <c r="D849" s="8" t="n"/>
      <c r="E849" s="8" t="n">
        <v>3933</v>
      </c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>
        <f>IF(COUNT(D849:P849)=0,"",MIN(D849:P849))</f>
        <v/>
      </c>
      <c r="R849" s="8">
        <f>IF(COUNT(D849:P849)=0,"",MEDIAN(D849:P849))</f>
        <v/>
      </c>
      <c r="S849" s="8">
        <f>IF(COUNT(D849:P849)=0,"",MAX(D849:P849))</f>
        <v/>
      </c>
      <c r="T849" s="9">
        <f>IF(OR(Q849="",Q849=0),"",(S849-Q849)/Q849)</f>
        <v/>
      </c>
      <c r="U849" s="7">
        <f>IF(COUNT(D849:P849)=0,"",INDEX($D$1:$P$1,MATCH(MIN(D849:P849),D849:P849,0)))</f>
        <v/>
      </c>
      <c r="V849" s="8" t="n">
        <v>4121.5</v>
      </c>
      <c r="W849" s="10" t="n">
        <v>1</v>
      </c>
    </row>
    <row r="850">
      <c r="A850" s="7" t="inlineStr">
        <is>
          <t>MAT-10-244</t>
        </is>
      </c>
      <c r="B850" s="4" t="inlineStr">
        <is>
          <t>Breaker enchufable 3P de 70 A</t>
        </is>
      </c>
      <c r="C850" s="7" t="inlineStr">
        <is>
          <t>unidad</t>
        </is>
      </c>
      <c r="D850" s="8" t="n"/>
      <c r="E850" s="8" t="n">
        <v>5328</v>
      </c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>
        <f>IF(COUNT(D850:P850)=0,"",MIN(D850:P850))</f>
        <v/>
      </c>
      <c r="R850" s="8">
        <f>IF(COUNT(D850:P850)=0,"",MEDIAN(D850:P850))</f>
        <v/>
      </c>
      <c r="S850" s="8">
        <f>IF(COUNT(D850:P850)=0,"",MAX(D850:P850))</f>
        <v/>
      </c>
      <c r="T850" s="9">
        <f>IF(OR(Q850="",Q850=0),"",(S850-Q850)/Q850)</f>
        <v/>
      </c>
      <c r="U850" s="7">
        <f>IF(COUNT(D850:P850)=0,"",INDEX($D$1:$P$1,MATCH(MIN(D850:P850),D850:P850,0)))</f>
        <v/>
      </c>
      <c r="V850" s="8" t="n">
        <v>5519</v>
      </c>
      <c r="W850" s="10" t="n">
        <v>1</v>
      </c>
    </row>
    <row r="851">
      <c r="A851" s="7" t="inlineStr">
        <is>
          <t>MAT-10-245</t>
        </is>
      </c>
      <c r="B851" s="4" t="inlineStr">
        <is>
          <t>Breaker enchufable 3P de 80 A</t>
        </is>
      </c>
      <c r="C851" s="7" t="inlineStr">
        <is>
          <t>unidad</t>
        </is>
      </c>
      <c r="D851" s="8" t="n"/>
      <c r="E851" s="8" t="n">
        <v>5739</v>
      </c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>
        <f>IF(COUNT(D851:P851)=0,"",MIN(D851:P851))</f>
        <v/>
      </c>
      <c r="R851" s="8">
        <f>IF(COUNT(D851:P851)=0,"",MEDIAN(D851:P851))</f>
        <v/>
      </c>
      <c r="S851" s="8">
        <f>IF(COUNT(D851:P851)=0,"",MAX(D851:P851))</f>
        <v/>
      </c>
      <c r="T851" s="9">
        <f>IF(OR(Q851="",Q851=0),"",(S851-Q851)/Q851)</f>
        <v/>
      </c>
      <c r="U851" s="7">
        <f>IF(COUNT(D851:P851)=0,"",INDEX($D$1:$P$1,MATCH(MIN(D851:P851),D851:P851,0)))</f>
        <v/>
      </c>
      <c r="V851" s="8" t="n">
        <v>6059.5</v>
      </c>
      <c r="W851" s="10" t="n">
        <v>1</v>
      </c>
    </row>
    <row r="852">
      <c r="A852" s="7" t="inlineStr">
        <is>
          <t>MAT-10-246</t>
        </is>
      </c>
      <c r="B852" s="4" t="inlineStr">
        <is>
          <t>Breaker enchufable 3P de 90 A</t>
        </is>
      </c>
      <c r="C852" s="7" t="inlineStr">
        <is>
          <t>unidad</t>
        </is>
      </c>
      <c r="D852" s="8" t="n"/>
      <c r="E852" s="8" t="n">
        <v>4647</v>
      </c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>
        <f>IF(COUNT(D852:P852)=0,"",MIN(D852:P852))</f>
        <v/>
      </c>
      <c r="R852" s="8">
        <f>IF(COUNT(D852:P852)=0,"",MEDIAN(D852:P852))</f>
        <v/>
      </c>
      <c r="S852" s="8">
        <f>IF(COUNT(D852:P852)=0,"",MAX(D852:P852))</f>
        <v/>
      </c>
      <c r="T852" s="9">
        <f>IF(OR(Q852="",Q852=0),"",(S852-Q852)/Q852)</f>
        <v/>
      </c>
      <c r="U852" s="7">
        <f>IF(COUNT(D852:P852)=0,"",INDEX($D$1:$P$1,MATCH(MIN(D852:P852),D852:P852,0)))</f>
        <v/>
      </c>
      <c r="V852" s="8" t="n">
        <v>4887.62</v>
      </c>
      <c r="W852" s="10" t="n">
        <v>1</v>
      </c>
    </row>
    <row r="853">
      <c r="A853" s="7" t="inlineStr">
        <is>
          <t>MAT-10-247</t>
        </is>
      </c>
      <c r="B853" s="4" t="inlineStr">
        <is>
          <t>Panel de breakers de 1 espacios</t>
        </is>
      </c>
      <c r="C853" s="7" t="inlineStr">
        <is>
          <t>unidad</t>
        </is>
      </c>
      <c r="D853" s="8" t="n"/>
      <c r="E853" s="8" t="n">
        <v>9622.41</v>
      </c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>
        <f>IF(COUNT(D853:P853)=0,"",MIN(D853:P853))</f>
        <v/>
      </c>
      <c r="R853" s="8">
        <f>IF(COUNT(D853:P853)=0,"",MEDIAN(D853:P853))</f>
        <v/>
      </c>
      <c r="S853" s="8">
        <f>IF(COUNT(D853:P853)=0,"",MAX(D853:P853))</f>
        <v/>
      </c>
      <c r="T853" s="9">
        <f>IF(OR(Q853="",Q853=0),"",(S853-Q853)/Q853)</f>
        <v/>
      </c>
      <c r="U853" s="7">
        <f>IF(COUNT(D853:P853)=0,"",INDEX($D$1:$P$1,MATCH(MIN(D853:P853),D853:P853,0)))</f>
        <v/>
      </c>
      <c r="V853" s="8" t="n">
        <v>9622.41</v>
      </c>
      <c r="W853" s="10" t="n">
        <v>1</v>
      </c>
    </row>
    <row r="854">
      <c r="A854" s="7" t="inlineStr">
        <is>
          <t>MAT-10-248</t>
        </is>
      </c>
      <c r="B854" s="4" t="inlineStr">
        <is>
          <t>Panel de breakers de 12 espacios</t>
        </is>
      </c>
      <c r="C854" s="7" t="inlineStr">
        <is>
          <t>unidad</t>
        </is>
      </c>
      <c r="D854" s="8" t="n"/>
      <c r="E854" s="8" t="n">
        <v>3829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>
        <f>IF(COUNT(D854:P854)=0,"",MIN(D854:P854))</f>
        <v/>
      </c>
      <c r="R854" s="8">
        <f>IF(COUNT(D854:P854)=0,"",MEDIAN(D854:P854))</f>
        <v/>
      </c>
      <c r="S854" s="8">
        <f>IF(COUNT(D854:P854)=0,"",MAX(D854:P854))</f>
        <v/>
      </c>
      <c r="T854" s="9">
        <f>IF(OR(Q854="",Q854=0),"",(S854-Q854)/Q854)</f>
        <v/>
      </c>
      <c r="U854" s="7">
        <f>IF(COUNT(D854:P854)=0,"",INDEX($D$1:$P$1,MATCH(MIN(D854:P854),D854:P854,0)))</f>
        <v/>
      </c>
      <c r="V854" s="8" t="n">
        <v>3920</v>
      </c>
      <c r="W854" s="10" t="n">
        <v>1</v>
      </c>
    </row>
    <row r="855">
      <c r="A855" s="7" t="inlineStr">
        <is>
          <t>MAT-10-249</t>
        </is>
      </c>
      <c r="B855" s="4" t="inlineStr">
        <is>
          <t>Panel de breakers de 16 espacios</t>
        </is>
      </c>
      <c r="C855" s="7" t="inlineStr">
        <is>
          <t>unidad</t>
        </is>
      </c>
      <c r="D855" s="8" t="n"/>
      <c r="E855" s="8" t="n">
        <v>1522</v>
      </c>
      <c r="F855" s="8" t="n"/>
      <c r="G855" s="8" t="n"/>
      <c r="H855" s="8" t="n"/>
      <c r="I855" s="8" t="n"/>
      <c r="J855" s="8" t="n"/>
      <c r="K855" s="8" t="n"/>
      <c r="L855" s="8" t="n">
        <v>4755</v>
      </c>
      <c r="M855" s="8" t="n"/>
      <c r="N855" s="8" t="n"/>
      <c r="O855" s="8" t="n"/>
      <c r="P855" s="8" t="n"/>
      <c r="Q855" s="8">
        <f>IF(COUNT(D855:P855)=0,"",MIN(D855:P855))</f>
        <v/>
      </c>
      <c r="R855" s="8">
        <f>IF(COUNT(D855:P855)=0,"",MEDIAN(D855:P855))</f>
        <v/>
      </c>
      <c r="S855" s="8">
        <f>IF(COUNT(D855:P855)=0,"",MAX(D855:P855))</f>
        <v/>
      </c>
      <c r="T855" s="9">
        <f>IF(OR(Q855="",Q855=0),"",(S855-Q855)/Q855)</f>
        <v/>
      </c>
      <c r="U855" s="7">
        <f>IF(COUNT(D855:P855)=0,"",INDEX($D$1:$P$1,MATCH(MIN(D855:P855),D855:P855,0)))</f>
        <v/>
      </c>
      <c r="V855" s="8" t="n">
        <v>4044</v>
      </c>
      <c r="W855" s="10" t="n">
        <v>2</v>
      </c>
    </row>
    <row r="856">
      <c r="A856" s="7" t="inlineStr">
        <is>
          <t>MAT-10-250</t>
        </is>
      </c>
      <c r="B856" s="4" t="inlineStr">
        <is>
          <t>Panel de breakers de 18 espacios</t>
        </is>
      </c>
      <c r="C856" s="7" t="inlineStr">
        <is>
          <t>unidad</t>
        </is>
      </c>
      <c r="D856" s="8" t="n"/>
      <c r="E856" s="8" t="n">
        <v>14240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>
        <f>IF(COUNT(D856:P856)=0,"",MIN(D856:P856))</f>
        <v/>
      </c>
      <c r="R856" s="8">
        <f>IF(COUNT(D856:P856)=0,"",MEDIAN(D856:P856))</f>
        <v/>
      </c>
      <c r="S856" s="8">
        <f>IF(COUNT(D856:P856)=0,"",MAX(D856:P856))</f>
        <v/>
      </c>
      <c r="T856" s="9">
        <f>IF(OR(Q856="",Q856=0),"",(S856-Q856)/Q856)</f>
        <v/>
      </c>
      <c r="U856" s="7">
        <f>IF(COUNT(D856:P856)=0,"",INDEX($D$1:$P$1,MATCH(MIN(D856:P856),D856:P856,0)))</f>
        <v/>
      </c>
      <c r="V856" s="8" t="n">
        <v>14240</v>
      </c>
      <c r="W856" s="10" t="n">
        <v>1</v>
      </c>
    </row>
    <row r="857">
      <c r="A857" s="7" t="inlineStr">
        <is>
          <t>MAT-10-251</t>
        </is>
      </c>
      <c r="B857" s="4" t="inlineStr">
        <is>
          <t>Panel de breakers de 2 espacios</t>
        </is>
      </c>
      <c r="C857" s="7" t="inlineStr">
        <is>
          <t>unidad</t>
        </is>
      </c>
      <c r="D857" s="8" t="n"/>
      <c r="E857" s="8" t="n">
        <v>180</v>
      </c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>
        <f>IF(COUNT(D857:P857)=0,"",MIN(D857:P857))</f>
        <v/>
      </c>
      <c r="R857" s="8">
        <f>IF(COUNT(D857:P857)=0,"",MEDIAN(D857:P857))</f>
        <v/>
      </c>
      <c r="S857" s="8">
        <f>IF(COUNT(D857:P857)=0,"",MAX(D857:P857))</f>
        <v/>
      </c>
      <c r="T857" s="9">
        <f>IF(OR(Q857="",Q857=0),"",(S857-Q857)/Q857)</f>
        <v/>
      </c>
      <c r="U857" s="7">
        <f>IF(COUNT(D857:P857)=0,"",INDEX($D$1:$P$1,MATCH(MIN(D857:P857),D857:P857,0)))</f>
        <v/>
      </c>
      <c r="V857" s="8" t="n">
        <v>180</v>
      </c>
      <c r="W857" s="10" t="n">
        <v>1</v>
      </c>
    </row>
    <row r="858">
      <c r="A858" s="7" t="inlineStr">
        <is>
          <t>MAT-10-252</t>
        </is>
      </c>
      <c r="B858" s="4" t="inlineStr">
        <is>
          <t>Panel de breakers de 24 espacios</t>
        </is>
      </c>
      <c r="C858" s="7" t="inlineStr">
        <is>
          <t>unidad</t>
        </is>
      </c>
      <c r="D858" s="8" t="n"/>
      <c r="E858" s="8" t="n">
        <v>4431</v>
      </c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>
        <f>IF(COUNT(D858:P858)=0,"",MIN(D858:P858))</f>
        <v/>
      </c>
      <c r="R858" s="8">
        <f>IF(COUNT(D858:P858)=0,"",MEDIAN(D858:P858))</f>
        <v/>
      </c>
      <c r="S858" s="8">
        <f>IF(COUNT(D858:P858)=0,"",MAX(D858:P858))</f>
        <v/>
      </c>
      <c r="T858" s="9">
        <f>IF(OR(Q858="",Q858=0),"",(S858-Q858)/Q858)</f>
        <v/>
      </c>
      <c r="U858" s="7">
        <f>IF(COUNT(D858:P858)=0,"",INDEX($D$1:$P$1,MATCH(MIN(D858:P858),D858:P858,0)))</f>
        <v/>
      </c>
      <c r="V858" s="8" t="n">
        <v>11419.5</v>
      </c>
      <c r="W858" s="10" t="n">
        <v>1</v>
      </c>
    </row>
    <row r="859">
      <c r="A859" s="7" t="inlineStr">
        <is>
          <t>MAT-10-253</t>
        </is>
      </c>
      <c r="B859" s="4" t="inlineStr">
        <is>
          <t>Panel de breakers de 3 espacios</t>
        </is>
      </c>
      <c r="C859" s="7" t="inlineStr">
        <is>
          <t>unidad</t>
        </is>
      </c>
      <c r="D859" s="8" t="n"/>
      <c r="E859" s="8" t="n">
        <v>5730</v>
      </c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>
        <f>IF(COUNT(D859:P859)=0,"",MIN(D859:P859))</f>
        <v/>
      </c>
      <c r="R859" s="8">
        <f>IF(COUNT(D859:P859)=0,"",MEDIAN(D859:P859))</f>
        <v/>
      </c>
      <c r="S859" s="8">
        <f>IF(COUNT(D859:P859)=0,"",MAX(D859:P859))</f>
        <v/>
      </c>
      <c r="T859" s="9">
        <f>IF(OR(Q859="",Q859=0),"",(S859-Q859)/Q859)</f>
        <v/>
      </c>
      <c r="U859" s="7">
        <f>IF(COUNT(D859:P859)=0,"",INDEX($D$1:$P$1,MATCH(MIN(D859:P859),D859:P859,0)))</f>
        <v/>
      </c>
      <c r="V859" s="8" t="n">
        <v>5730</v>
      </c>
      <c r="W859" s="10" t="n">
        <v>1</v>
      </c>
    </row>
    <row r="860">
      <c r="A860" s="7" t="inlineStr">
        <is>
          <t>MAT-10-254</t>
        </is>
      </c>
      <c r="B860" s="4" t="inlineStr">
        <is>
          <t>Panel de breakers de 30 espacios</t>
        </is>
      </c>
      <c r="C860" s="7" t="inlineStr">
        <is>
          <t>unidad</t>
        </is>
      </c>
      <c r="D860" s="8" t="n"/>
      <c r="E860" s="8" t="n">
        <v>14169.46</v>
      </c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>
        <f>IF(COUNT(D860:P860)=0,"",MIN(D860:P860))</f>
        <v/>
      </c>
      <c r="R860" s="8">
        <f>IF(COUNT(D860:P860)=0,"",MEDIAN(D860:P860))</f>
        <v/>
      </c>
      <c r="S860" s="8">
        <f>IF(COUNT(D860:P860)=0,"",MAX(D860:P860))</f>
        <v/>
      </c>
      <c r="T860" s="9">
        <f>IF(OR(Q860="",Q860=0),"",(S860-Q860)/Q860)</f>
        <v/>
      </c>
      <c r="U860" s="7">
        <f>IF(COUNT(D860:P860)=0,"",INDEX($D$1:$P$1,MATCH(MIN(D860:P860),D860:P860,0)))</f>
        <v/>
      </c>
      <c r="V860" s="8" t="n">
        <v>14169.46</v>
      </c>
      <c r="W860" s="10" t="n">
        <v>1</v>
      </c>
    </row>
    <row r="861">
      <c r="A861" s="7" t="inlineStr">
        <is>
          <t>MAT-10-255</t>
        </is>
      </c>
      <c r="B861" s="4" t="inlineStr">
        <is>
          <t>Panel de breakers de 32 espacios</t>
        </is>
      </c>
      <c r="C861" s="7" t="inlineStr">
        <is>
          <t>unidad</t>
        </is>
      </c>
      <c r="D861" s="8" t="n"/>
      <c r="E861" s="8" t="n">
        <v>8136.48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>
        <f>IF(COUNT(D861:P861)=0,"",MIN(D861:P861))</f>
        <v/>
      </c>
      <c r="R861" s="8">
        <f>IF(COUNT(D861:P861)=0,"",MEDIAN(D861:P861))</f>
        <v/>
      </c>
      <c r="S861" s="8">
        <f>IF(COUNT(D861:P861)=0,"",MAX(D861:P861))</f>
        <v/>
      </c>
      <c r="T861" s="9">
        <f>IF(OR(Q861="",Q861=0),"",(S861-Q861)/Q861)</f>
        <v/>
      </c>
      <c r="U861" s="7">
        <f>IF(COUNT(D861:P861)=0,"",INDEX($D$1:$P$1,MATCH(MIN(D861:P861),D861:P861,0)))</f>
        <v/>
      </c>
      <c r="V861" s="8" t="n">
        <v>8136.48</v>
      </c>
      <c r="W861" s="10" t="n">
        <v>1</v>
      </c>
    </row>
    <row r="862">
      <c r="A862" s="7" t="inlineStr">
        <is>
          <t>MAT-10-256</t>
        </is>
      </c>
      <c r="B862" s="4" t="inlineStr">
        <is>
          <t>Panel de breakers de 36 espacios</t>
        </is>
      </c>
      <c r="C862" s="7" t="inlineStr">
        <is>
          <t>unidad</t>
        </is>
      </c>
      <c r="D862" s="8" t="n"/>
      <c r="E862" s="8" t="n">
        <v>16369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>
        <f>IF(COUNT(D862:P862)=0,"",MIN(D862:P862))</f>
        <v/>
      </c>
      <c r="R862" s="8">
        <f>IF(COUNT(D862:P862)=0,"",MEDIAN(D862:P862))</f>
        <v/>
      </c>
      <c r="S862" s="8">
        <f>IF(COUNT(D862:P862)=0,"",MAX(D862:P862))</f>
        <v/>
      </c>
      <c r="T862" s="9">
        <f>IF(OR(Q862="",Q862=0),"",(S862-Q862)/Q862)</f>
        <v/>
      </c>
      <c r="U862" s="7">
        <f>IF(COUNT(D862:P862)=0,"",INDEX($D$1:$P$1,MATCH(MIN(D862:P862),D862:P862,0)))</f>
        <v/>
      </c>
      <c r="V862" s="8" t="n">
        <v>16369</v>
      </c>
      <c r="W862" s="10" t="n">
        <v>1</v>
      </c>
    </row>
    <row r="863">
      <c r="A863" s="7" t="inlineStr">
        <is>
          <t>MAT-10-257</t>
        </is>
      </c>
      <c r="B863" s="4" t="inlineStr">
        <is>
          <t>Panel de breakers de 4 espacios</t>
        </is>
      </c>
      <c r="C863" s="7" t="inlineStr">
        <is>
          <t>unidad</t>
        </is>
      </c>
      <c r="D863" s="8" t="n"/>
      <c r="E863" s="8" t="n">
        <v>629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>
        <f>IF(COUNT(D863:P863)=0,"",MIN(D863:P863))</f>
        <v/>
      </c>
      <c r="R863" s="8">
        <f>IF(COUNT(D863:P863)=0,"",MEDIAN(D863:P863))</f>
        <v/>
      </c>
      <c r="S863" s="8">
        <f>IF(COUNT(D863:P863)=0,"",MAX(D863:P863))</f>
        <v/>
      </c>
      <c r="T863" s="9">
        <f>IF(OR(Q863="",Q863=0),"",(S863-Q863)/Q863)</f>
        <v/>
      </c>
      <c r="U863" s="7">
        <f>IF(COUNT(D863:P863)=0,"",INDEX($D$1:$P$1,MATCH(MIN(D863:P863),D863:P863,0)))</f>
        <v/>
      </c>
      <c r="V863" s="8" t="n">
        <v>1855</v>
      </c>
      <c r="W863" s="10" t="n">
        <v>1</v>
      </c>
    </row>
    <row r="864">
      <c r="A864" s="7" t="inlineStr">
        <is>
          <t>MAT-10-258</t>
        </is>
      </c>
      <c r="B864" s="4" t="inlineStr">
        <is>
          <t>Panel de breakers de 40 espacios</t>
        </is>
      </c>
      <c r="C864" s="7" t="inlineStr">
        <is>
          <t>unidad</t>
        </is>
      </c>
      <c r="D864" s="8" t="n"/>
      <c r="E864" s="8" t="n">
        <v>9743.09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>
        <f>IF(COUNT(D864:P864)=0,"",MIN(D864:P864))</f>
        <v/>
      </c>
      <c r="R864" s="8">
        <f>IF(COUNT(D864:P864)=0,"",MEDIAN(D864:P864))</f>
        <v/>
      </c>
      <c r="S864" s="8">
        <f>IF(COUNT(D864:P864)=0,"",MAX(D864:P864))</f>
        <v/>
      </c>
      <c r="T864" s="9">
        <f>IF(OR(Q864="",Q864=0),"",(S864-Q864)/Q864)</f>
        <v/>
      </c>
      <c r="U864" s="7">
        <f>IF(COUNT(D864:P864)=0,"",INDEX($D$1:$P$1,MATCH(MIN(D864:P864),D864:P864,0)))</f>
        <v/>
      </c>
      <c r="V864" s="8" t="n">
        <v>9743.09</v>
      </c>
      <c r="W864" s="10" t="n">
        <v>1</v>
      </c>
    </row>
    <row r="865">
      <c r="A865" s="7" t="inlineStr">
        <is>
          <t>MAT-10-259</t>
        </is>
      </c>
      <c r="B865" s="4" t="inlineStr">
        <is>
          <t>Panel de breakers de 42 espacios</t>
        </is>
      </c>
      <c r="C865" s="7" t="inlineStr">
        <is>
          <t>unidad</t>
        </is>
      </c>
      <c r="D865" s="8" t="n"/>
      <c r="E865" s="8" t="n">
        <v>11250.61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>
        <f>IF(COUNT(D865:P865)=0,"",MIN(D865:P865))</f>
        <v/>
      </c>
      <c r="R865" s="8">
        <f>IF(COUNT(D865:P865)=0,"",MEDIAN(D865:P865))</f>
        <v/>
      </c>
      <c r="S865" s="8">
        <f>IF(COUNT(D865:P865)=0,"",MAX(D865:P865))</f>
        <v/>
      </c>
      <c r="T865" s="9">
        <f>IF(OR(Q865="",Q865=0),"",(S865-Q865)/Q865)</f>
        <v/>
      </c>
      <c r="U865" s="7">
        <f>IF(COUNT(D865:P865)=0,"",INDEX($D$1:$P$1,MATCH(MIN(D865:P865),D865:P865,0)))</f>
        <v/>
      </c>
      <c r="V865" s="8" t="n">
        <v>20121.46</v>
      </c>
      <c r="W865" s="10" t="n">
        <v>1</v>
      </c>
    </row>
    <row r="866">
      <c r="A866" s="7" t="inlineStr">
        <is>
          <t>MAT-10-260</t>
        </is>
      </c>
      <c r="B866" s="4" t="inlineStr">
        <is>
          <t>Panel de breakers de 48 espacios</t>
        </is>
      </c>
      <c r="C866" s="7" t="inlineStr">
        <is>
          <t>unidad</t>
        </is>
      </c>
      <c r="D866" s="8" t="n"/>
      <c r="E866" s="8" t="n">
        <v>11883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>
        <f>IF(COUNT(D866:P866)=0,"",MIN(D866:P866))</f>
        <v/>
      </c>
      <c r="R866" s="8">
        <f>IF(COUNT(D866:P866)=0,"",MEDIAN(D866:P866))</f>
        <v/>
      </c>
      <c r="S866" s="8">
        <f>IF(COUNT(D866:P866)=0,"",MAX(D866:P866))</f>
        <v/>
      </c>
      <c r="T866" s="9">
        <f>IF(OR(Q866="",Q866=0),"",(S866-Q866)/Q866)</f>
        <v/>
      </c>
      <c r="U866" s="7">
        <f>IF(COUNT(D866:P866)=0,"",INDEX($D$1:$P$1,MATCH(MIN(D866:P866),D866:P866,0)))</f>
        <v/>
      </c>
      <c r="V866" s="8" t="n">
        <v>11883</v>
      </c>
      <c r="W866" s="10" t="n">
        <v>1</v>
      </c>
    </row>
    <row r="867">
      <c r="A867" s="7" t="inlineStr">
        <is>
          <t>MAT-10-261</t>
        </is>
      </c>
      <c r="B867" s="4" t="inlineStr">
        <is>
          <t>Panel de breakers de 60 espacios</t>
        </is>
      </c>
      <c r="C867" s="7" t="inlineStr">
        <is>
          <t>unidad</t>
        </is>
      </c>
      <c r="D867" s="8" t="n"/>
      <c r="E867" s="8" t="n">
        <v>10527.54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>
        <f>IF(COUNT(D867:P867)=0,"",MIN(D867:P867))</f>
        <v/>
      </c>
      <c r="R867" s="8">
        <f>IF(COUNT(D867:P867)=0,"",MEDIAN(D867:P867))</f>
        <v/>
      </c>
      <c r="S867" s="8">
        <f>IF(COUNT(D867:P867)=0,"",MAX(D867:P867))</f>
        <v/>
      </c>
      <c r="T867" s="9">
        <f>IF(OR(Q867="",Q867=0),"",(S867-Q867)/Q867)</f>
        <v/>
      </c>
      <c r="U867" s="7">
        <f>IF(COUNT(D867:P867)=0,"",INDEX($D$1:$P$1,MATCH(MIN(D867:P867),D867:P867,0)))</f>
        <v/>
      </c>
      <c r="V867" s="8" t="n">
        <v>10527.54</v>
      </c>
      <c r="W867" s="10" t="n">
        <v>1</v>
      </c>
    </row>
    <row r="868">
      <c r="A868" s="7" t="inlineStr">
        <is>
          <t>MAT-10-262</t>
        </is>
      </c>
      <c r="B868" s="4" t="inlineStr">
        <is>
          <t>Panel de breakers de 8 espacios</t>
        </is>
      </c>
      <c r="C868" s="7" t="inlineStr">
        <is>
          <t>unidad</t>
        </is>
      </c>
      <c r="D868" s="8" t="n"/>
      <c r="E868" s="8" t="n">
        <v>1145</v>
      </c>
      <c r="F868" s="8" t="n"/>
      <c r="G868" s="8" t="n"/>
      <c r="H868" s="8" t="n"/>
      <c r="I868" s="8" t="n"/>
      <c r="J868" s="8" t="n"/>
      <c r="K868" s="8" t="n"/>
      <c r="L868" s="8" t="n">
        <v>566</v>
      </c>
      <c r="M868" s="8" t="n"/>
      <c r="N868" s="8" t="n"/>
      <c r="O868" s="8" t="n"/>
      <c r="P868" s="8" t="n"/>
      <c r="Q868" s="8">
        <f>IF(COUNT(D868:P868)=0,"",MIN(D868:P868))</f>
        <v/>
      </c>
      <c r="R868" s="8">
        <f>IF(COUNT(D868:P868)=0,"",MEDIAN(D868:P868))</f>
        <v/>
      </c>
      <c r="S868" s="8">
        <f>IF(COUNT(D868:P868)=0,"",MAX(D868:P868))</f>
        <v/>
      </c>
      <c r="T868" s="9">
        <f>IF(OR(Q868="",Q868=0),"",(S868-Q868)/Q868)</f>
        <v/>
      </c>
      <c r="U868" s="7">
        <f>IF(COUNT(D868:P868)=0,"",INDEX($D$1:$P$1,MATCH(MIN(D868:P868),D868:P868,0)))</f>
        <v/>
      </c>
      <c r="V868" s="8" t="n">
        <v>1929.79</v>
      </c>
      <c r="W868" s="10" t="n">
        <v>2</v>
      </c>
    </row>
    <row r="869">
      <c r="A869" s="7" t="inlineStr">
        <is>
          <t>MAT-10-263</t>
        </is>
      </c>
      <c r="B869" s="4" t="inlineStr">
        <is>
          <t>Caja de breaker principal de 125 A</t>
        </is>
      </c>
      <c r="C869" s="7" t="inlineStr">
        <is>
          <t>unidad</t>
        </is>
      </c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>
        <v>6160</v>
      </c>
      <c r="M869" s="8" t="n"/>
      <c r="N869" s="8" t="n"/>
      <c r="O869" s="8" t="n"/>
      <c r="P869" s="8" t="n"/>
      <c r="Q869" s="8">
        <f>IF(COUNT(D869:P869)=0,"",MIN(D869:P869))</f>
        <v/>
      </c>
      <c r="R869" s="8">
        <f>IF(COUNT(D869:P869)=0,"",MEDIAN(D869:P869))</f>
        <v/>
      </c>
      <c r="S869" s="8">
        <f>IF(COUNT(D869:P869)=0,"",MAX(D869:P869))</f>
        <v/>
      </c>
      <c r="T869" s="9">
        <f>IF(OR(Q869="",Q869=0),"",(S869-Q869)/Q869)</f>
        <v/>
      </c>
      <c r="U869" s="7">
        <f>IF(COUNT(D869:P869)=0,"",INDEX($D$1:$P$1,MATCH(MIN(D869:P869),D869:P869,0)))</f>
        <v/>
      </c>
      <c r="V869" s="8" t="n">
        <v>6160</v>
      </c>
      <c r="W869" s="10" t="n">
        <v>1</v>
      </c>
    </row>
    <row r="870">
      <c r="A870" s="7" t="inlineStr">
        <is>
          <t>MAT-10-264</t>
        </is>
      </c>
      <c r="B870" s="4" t="inlineStr">
        <is>
          <t>Caja de breaker principal de 25 A</t>
        </is>
      </c>
      <c r="C870" s="7" t="inlineStr">
        <is>
          <t>unidad</t>
        </is>
      </c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>
        <v>815</v>
      </c>
      <c r="M870" s="8" t="n"/>
      <c r="N870" s="8" t="n"/>
      <c r="O870" s="8" t="n"/>
      <c r="P870" s="8" t="n"/>
      <c r="Q870" s="8">
        <f>IF(COUNT(D870:P870)=0,"",MIN(D870:P870))</f>
        <v/>
      </c>
      <c r="R870" s="8">
        <f>IF(COUNT(D870:P870)=0,"",MEDIAN(D870:P870))</f>
        <v/>
      </c>
      <c r="S870" s="8">
        <f>IF(COUNT(D870:P870)=0,"",MAX(D870:P870))</f>
        <v/>
      </c>
      <c r="T870" s="9">
        <f>IF(OR(Q870="",Q870=0),"",(S870-Q870)/Q870)</f>
        <v/>
      </c>
      <c r="U870" s="7">
        <f>IF(COUNT(D870:P870)=0,"",INDEX($D$1:$P$1,MATCH(MIN(D870:P870),D870:P870,0)))</f>
        <v/>
      </c>
      <c r="V870" s="8" t="n">
        <v>815</v>
      </c>
      <c r="W870" s="10" t="n">
        <v>1</v>
      </c>
    </row>
    <row r="871">
      <c r="A871" s="7" t="inlineStr">
        <is>
          <t>MAT-10-265</t>
        </is>
      </c>
      <c r="B871" s="4" t="inlineStr">
        <is>
          <t>Caja de breaker principal de 32 A</t>
        </is>
      </c>
      <c r="C871" s="7" t="inlineStr">
        <is>
          <t>unidad</t>
        </is>
      </c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>
        <v>700</v>
      </c>
      <c r="M871" s="8" t="n"/>
      <c r="N871" s="8" t="n"/>
      <c r="O871" s="8" t="n"/>
      <c r="P871" s="8" t="n"/>
      <c r="Q871" s="8">
        <f>IF(COUNT(D871:P871)=0,"",MIN(D871:P871))</f>
        <v/>
      </c>
      <c r="R871" s="8">
        <f>IF(COUNT(D871:P871)=0,"",MEDIAN(D871:P871))</f>
        <v/>
      </c>
      <c r="S871" s="8">
        <f>IF(COUNT(D871:P871)=0,"",MAX(D871:P871))</f>
        <v/>
      </c>
      <c r="T871" s="9">
        <f>IF(OR(Q871="",Q871=0),"",(S871-Q871)/Q871)</f>
        <v/>
      </c>
      <c r="U871" s="7">
        <f>IF(COUNT(D871:P871)=0,"",INDEX($D$1:$P$1,MATCH(MIN(D871:P871),D871:P871,0)))</f>
        <v/>
      </c>
      <c r="V871" s="8" t="n">
        <v>700</v>
      </c>
      <c r="W871" s="10" t="n">
        <v>1</v>
      </c>
    </row>
    <row r="872">
      <c r="A872" s="7" t="inlineStr">
        <is>
          <t>MAT-10-266</t>
        </is>
      </c>
      <c r="B872" s="4" t="inlineStr">
        <is>
          <t>Switch de doble tiro 2P de 30 A</t>
        </is>
      </c>
      <c r="C872" s="7" t="inlineStr">
        <is>
          <t>unidad</t>
        </is>
      </c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>
        <v>675</v>
      </c>
      <c r="M872" s="8" t="n"/>
      <c r="N872" s="8" t="n"/>
      <c r="O872" s="8" t="n"/>
      <c r="P872" s="8" t="n"/>
      <c r="Q872" s="8">
        <f>IF(COUNT(D872:P872)=0,"",MIN(D872:P872))</f>
        <v/>
      </c>
      <c r="R872" s="8">
        <f>IF(COUNT(D872:P872)=0,"",MEDIAN(D872:P872))</f>
        <v/>
      </c>
      <c r="S872" s="8">
        <f>IF(COUNT(D872:P872)=0,"",MAX(D872:P872))</f>
        <v/>
      </c>
      <c r="T872" s="9">
        <f>IF(OR(Q872="",Q872=0),"",(S872-Q872)/Q872)</f>
        <v/>
      </c>
      <c r="U872" s="7">
        <f>IF(COUNT(D872:P872)=0,"",INDEX($D$1:$P$1,MATCH(MIN(D872:P872),D872:P872,0)))</f>
        <v/>
      </c>
      <c r="V872" s="8" t="n">
        <v>675</v>
      </c>
      <c r="W872" s="10" t="n">
        <v>1</v>
      </c>
    </row>
    <row r="873">
      <c r="A873" s="7" t="inlineStr">
        <is>
          <t>MAT-10-267</t>
        </is>
      </c>
      <c r="B873" s="4" t="inlineStr">
        <is>
          <t>Switch de doble tiro 2P de 60 A</t>
        </is>
      </c>
      <c r="C873" s="7" t="inlineStr">
        <is>
          <t>unidad</t>
        </is>
      </c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>
        <v>1805</v>
      </c>
      <c r="M873" s="8" t="n"/>
      <c r="N873" s="8" t="n"/>
      <c r="O873" s="8" t="n"/>
      <c r="P873" s="8" t="n"/>
      <c r="Q873" s="8">
        <f>IF(COUNT(D873:P873)=0,"",MIN(D873:P873))</f>
        <v/>
      </c>
      <c r="R873" s="8">
        <f>IF(COUNT(D873:P873)=0,"",MEDIAN(D873:P873))</f>
        <v/>
      </c>
      <c r="S873" s="8">
        <f>IF(COUNT(D873:P873)=0,"",MAX(D873:P873))</f>
        <v/>
      </c>
      <c r="T873" s="9">
        <f>IF(OR(Q873="",Q873=0),"",(S873-Q873)/Q873)</f>
        <v/>
      </c>
      <c r="U873" s="7">
        <f>IF(COUNT(D873:P873)=0,"",INDEX($D$1:$P$1,MATCH(MIN(D873:P873),D873:P873,0)))</f>
        <v/>
      </c>
      <c r="V873" s="8" t="n">
        <v>1805</v>
      </c>
      <c r="W873" s="10" t="n">
        <v>1</v>
      </c>
    </row>
    <row r="874">
      <c r="A874" s="7" t="inlineStr">
        <is>
          <t>MAT-10-268</t>
        </is>
      </c>
      <c r="B874" s="4" t="inlineStr">
        <is>
          <t>Fusible de 30 A</t>
        </is>
      </c>
      <c r="C874" s="7" t="inlineStr">
        <is>
          <t>unidad</t>
        </is>
      </c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>
        <v>50</v>
      </c>
      <c r="M874" s="8" t="n"/>
      <c r="N874" s="8" t="n"/>
      <c r="O874" s="8" t="n"/>
      <c r="P874" s="8" t="n"/>
      <c r="Q874" s="8">
        <f>IF(COUNT(D874:P874)=0,"",MIN(D874:P874))</f>
        <v/>
      </c>
      <c r="R874" s="8">
        <f>IF(COUNT(D874:P874)=0,"",MEDIAN(D874:P874))</f>
        <v/>
      </c>
      <c r="S874" s="8">
        <f>IF(COUNT(D874:P874)=0,"",MAX(D874:P874))</f>
        <v/>
      </c>
      <c r="T874" s="9">
        <f>IF(OR(Q874="",Q874=0),"",(S874-Q874)/Q874)</f>
        <v/>
      </c>
      <c r="U874" s="7">
        <f>IF(COUNT(D874:P874)=0,"",INDEX($D$1:$P$1,MATCH(MIN(D874:P874),D874:P874,0)))</f>
        <v/>
      </c>
      <c r="V874" s="8" t="n">
        <v>50</v>
      </c>
      <c r="W874" s="10" t="n">
        <v>1</v>
      </c>
    </row>
    <row r="875">
      <c r="A875" s="7" t="inlineStr">
        <is>
          <t>MAT-10-269</t>
        </is>
      </c>
      <c r="B875" s="4" t="inlineStr">
        <is>
          <t>Fusible de 60 A</t>
        </is>
      </c>
      <c r="C875" s="7" t="inlineStr">
        <is>
          <t>unidad</t>
        </is>
      </c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>
        <v>140</v>
      </c>
      <c r="M875" s="8" t="n"/>
      <c r="N875" s="8" t="n"/>
      <c r="O875" s="8" t="n"/>
      <c r="P875" s="8" t="n"/>
      <c r="Q875" s="8">
        <f>IF(COUNT(D875:P875)=0,"",MIN(D875:P875))</f>
        <v/>
      </c>
      <c r="R875" s="8">
        <f>IF(COUNT(D875:P875)=0,"",MEDIAN(D875:P875))</f>
        <v/>
      </c>
      <c r="S875" s="8">
        <f>IF(COUNT(D875:P875)=0,"",MAX(D875:P875))</f>
        <v/>
      </c>
      <c r="T875" s="9">
        <f>IF(OR(Q875="",Q875=0),"",(S875-Q875)/Q875)</f>
        <v/>
      </c>
      <c r="U875" s="7">
        <f>IF(COUNT(D875:P875)=0,"",INDEX($D$1:$P$1,MATCH(MIN(D875:P875),D875:P875,0)))</f>
        <v/>
      </c>
      <c r="V875" s="8" t="n">
        <v>140</v>
      </c>
      <c r="W875" s="10" t="n">
        <v>1</v>
      </c>
    </row>
    <row r="876">
      <c r="A876" s="7" t="inlineStr">
        <is>
          <t>MAT-10-270</t>
        </is>
      </c>
      <c r="B876" s="4" t="inlineStr">
        <is>
          <t>Protector de voltaje</t>
        </is>
      </c>
      <c r="C876" s="7" t="inlineStr">
        <is>
          <t>unidad</t>
        </is>
      </c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>
        <v>745</v>
      </c>
      <c r="M876" s="8" t="n"/>
      <c r="N876" s="8" t="n"/>
      <c r="O876" s="8" t="n"/>
      <c r="P876" s="8" t="n"/>
      <c r="Q876" s="8">
        <f>IF(COUNT(D876:P876)=0,"",MIN(D876:P876))</f>
        <v/>
      </c>
      <c r="R876" s="8">
        <f>IF(COUNT(D876:P876)=0,"",MEDIAN(D876:P876))</f>
        <v/>
      </c>
      <c r="S876" s="8">
        <f>IF(COUNT(D876:P876)=0,"",MAX(D876:P876))</f>
        <v/>
      </c>
      <c r="T876" s="9">
        <f>IF(OR(Q876="",Q876=0),"",(S876-Q876)/Q876)</f>
        <v/>
      </c>
      <c r="U876" s="7">
        <f>IF(COUNT(D876:P876)=0,"",INDEX($D$1:$P$1,MATCH(MIN(D876:P876),D876:P876,0)))</f>
        <v/>
      </c>
      <c r="V876" s="8" t="n">
        <v>950.01</v>
      </c>
      <c r="W876" s="10" t="n">
        <v>1</v>
      </c>
    </row>
    <row r="877">
      <c r="A877" s="7" t="inlineStr">
        <is>
          <t>MAT-10-271</t>
        </is>
      </c>
      <c r="B877" s="4" t="inlineStr">
        <is>
          <t>Regulador de voltaje</t>
        </is>
      </c>
      <c r="C877" s="7" t="inlineStr">
        <is>
          <t>unidad</t>
        </is>
      </c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>
        <v>1395</v>
      </c>
      <c r="M877" s="8" t="n"/>
      <c r="N877" s="8" t="n"/>
      <c r="O877" s="8" t="n"/>
      <c r="P877" s="8" t="n"/>
      <c r="Q877" s="8">
        <f>IF(COUNT(D877:P877)=0,"",MIN(D877:P877))</f>
        <v/>
      </c>
      <c r="R877" s="8">
        <f>IF(COUNT(D877:P877)=0,"",MEDIAN(D877:P877))</f>
        <v/>
      </c>
      <c r="S877" s="8">
        <f>IF(COUNT(D877:P877)=0,"",MAX(D877:P877))</f>
        <v/>
      </c>
      <c r="T877" s="9">
        <f>IF(OR(Q877="",Q877=0),"",(S877-Q877)/Q877)</f>
        <v/>
      </c>
      <c r="U877" s="7">
        <f>IF(COUNT(D877:P877)=0,"",INDEX($D$1:$P$1,MATCH(MIN(D877:P877),D877:P877,0)))</f>
        <v/>
      </c>
      <c r="V877" s="8" t="n">
        <v>1395</v>
      </c>
      <c r="W877" s="10" t="n">
        <v>1</v>
      </c>
    </row>
    <row r="878">
      <c r="A878" s="7" t="inlineStr">
        <is>
          <t>MAT-10-272</t>
        </is>
      </c>
      <c r="B878" s="4" t="inlineStr">
        <is>
          <t>Tubo eléctrico EMT 1 1/2" x 10 pies</t>
        </is>
      </c>
      <c r="C878" s="7" t="inlineStr">
        <is>
          <t>tubo</t>
        </is>
      </c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>
        <v>725</v>
      </c>
      <c r="M878" s="8" t="n"/>
      <c r="N878" s="8" t="n"/>
      <c r="O878" s="8" t="n"/>
      <c r="P878" s="8" t="n"/>
      <c r="Q878" s="8">
        <f>IF(COUNT(D878:P878)=0,"",MIN(D878:P878))</f>
        <v/>
      </c>
      <c r="R878" s="8">
        <f>IF(COUNT(D878:P878)=0,"",MEDIAN(D878:P878))</f>
        <v/>
      </c>
      <c r="S878" s="8">
        <f>IF(COUNT(D878:P878)=0,"",MAX(D878:P878))</f>
        <v/>
      </c>
      <c r="T878" s="9">
        <f>IF(OR(Q878="",Q878=0),"",(S878-Q878)/Q878)</f>
        <v/>
      </c>
      <c r="U878" s="7">
        <f>IF(COUNT(D878:P878)=0,"",INDEX($D$1:$P$1,MATCH(MIN(D878:P878),D878:P878,0)))</f>
        <v/>
      </c>
      <c r="V878" s="8" t="n">
        <v>725</v>
      </c>
      <c r="W878" s="10" t="n">
        <v>1</v>
      </c>
    </row>
    <row r="879">
      <c r="A879" s="7" t="inlineStr">
        <is>
          <t>MAT-10-273</t>
        </is>
      </c>
      <c r="B879" s="4" t="inlineStr">
        <is>
          <t>Tubo eléctrico EMT 1" x 10 pies</t>
        </is>
      </c>
      <c r="C879" s="7" t="inlineStr">
        <is>
          <t>tubo</t>
        </is>
      </c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>
        <v>375</v>
      </c>
      <c r="M879" s="8" t="n"/>
      <c r="N879" s="8" t="n"/>
      <c r="O879" s="8" t="n"/>
      <c r="P879" s="8" t="n"/>
      <c r="Q879" s="8">
        <f>IF(COUNT(D879:P879)=0,"",MIN(D879:P879))</f>
        <v/>
      </c>
      <c r="R879" s="8">
        <f>IF(COUNT(D879:P879)=0,"",MEDIAN(D879:P879))</f>
        <v/>
      </c>
      <c r="S879" s="8">
        <f>IF(COUNT(D879:P879)=0,"",MAX(D879:P879))</f>
        <v/>
      </c>
      <c r="T879" s="9">
        <f>IF(OR(Q879="",Q879=0),"",(S879-Q879)/Q879)</f>
        <v/>
      </c>
      <c r="U879" s="7">
        <f>IF(COUNT(D879:P879)=0,"",INDEX($D$1:$P$1,MATCH(MIN(D879:P879),D879:P879,0)))</f>
        <v/>
      </c>
      <c r="V879" s="8" t="n">
        <v>375</v>
      </c>
      <c r="W879" s="10" t="n">
        <v>1</v>
      </c>
    </row>
    <row r="880">
      <c r="A880" s="7" t="inlineStr">
        <is>
          <t>MAT-10-274</t>
        </is>
      </c>
      <c r="B880" s="4" t="inlineStr">
        <is>
          <t>Tubo eléctrico EMT 3/4" x 10 pies</t>
        </is>
      </c>
      <c r="C880" s="7" t="inlineStr">
        <is>
          <t>tubo</t>
        </is>
      </c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>
        <v>310</v>
      </c>
      <c r="M880" s="8" t="n"/>
      <c r="N880" s="8" t="n"/>
      <c r="O880" s="8" t="n"/>
      <c r="P880" s="8" t="n"/>
      <c r="Q880" s="8">
        <f>IF(COUNT(D880:P880)=0,"",MIN(D880:P880))</f>
        <v/>
      </c>
      <c r="R880" s="8">
        <f>IF(COUNT(D880:P880)=0,"",MEDIAN(D880:P880))</f>
        <v/>
      </c>
      <c r="S880" s="8">
        <f>IF(COUNT(D880:P880)=0,"",MAX(D880:P880))</f>
        <v/>
      </c>
      <c r="T880" s="9">
        <f>IF(OR(Q880="",Q880=0),"",(S880-Q880)/Q880)</f>
        <v/>
      </c>
      <c r="U880" s="7">
        <f>IF(COUNT(D880:P880)=0,"",INDEX($D$1:$P$1,MATCH(MIN(D880:P880),D880:P880,0)))</f>
        <v/>
      </c>
      <c r="V880" s="8" t="n">
        <v>310</v>
      </c>
      <c r="W880" s="10" t="n">
        <v>1</v>
      </c>
    </row>
    <row r="881">
      <c r="A881" s="7" t="inlineStr">
        <is>
          <t>MAT-10-275</t>
        </is>
      </c>
      <c r="B881" s="4" t="inlineStr">
        <is>
          <t>Tubería flexible BX 1/2"</t>
        </is>
      </c>
      <c r="C881" s="7" t="inlineStr">
        <is>
          <t>unidad</t>
        </is>
      </c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>
        <v>25</v>
      </c>
      <c r="M881" s="8" t="n"/>
      <c r="N881" s="8" t="n"/>
      <c r="O881" s="8" t="n"/>
      <c r="P881" s="8" t="n"/>
      <c r="Q881" s="8">
        <f>IF(COUNT(D881:P881)=0,"",MIN(D881:P881))</f>
        <v/>
      </c>
      <c r="R881" s="8">
        <f>IF(COUNT(D881:P881)=0,"",MEDIAN(D881:P881))</f>
        <v/>
      </c>
      <c r="S881" s="8">
        <f>IF(COUNT(D881:P881)=0,"",MAX(D881:P881))</f>
        <v/>
      </c>
      <c r="T881" s="9">
        <f>IF(OR(Q881="",Q881=0),"",(S881-Q881)/Q881)</f>
        <v/>
      </c>
      <c r="U881" s="7">
        <f>IF(COUNT(D881:P881)=0,"",INDEX($D$1:$P$1,MATCH(MIN(D881:P881),D881:P881,0)))</f>
        <v/>
      </c>
      <c r="V881" s="8" t="n">
        <v>25</v>
      </c>
      <c r="W881" s="10" t="n">
        <v>1</v>
      </c>
    </row>
    <row r="882">
      <c r="A882" s="7" t="inlineStr">
        <is>
          <t>MAT-10-276</t>
        </is>
      </c>
      <c r="B882" s="4" t="inlineStr">
        <is>
          <t>Tubería flexible BX 3/4"</t>
        </is>
      </c>
      <c r="C882" s="7" t="inlineStr">
        <is>
          <t>unidad</t>
        </is>
      </c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>
        <v>35</v>
      </c>
      <c r="M882" s="8" t="n"/>
      <c r="N882" s="8" t="n"/>
      <c r="O882" s="8" t="n"/>
      <c r="P882" s="8" t="n"/>
      <c r="Q882" s="8">
        <f>IF(COUNT(D882:P882)=0,"",MIN(D882:P882))</f>
        <v/>
      </c>
      <c r="R882" s="8">
        <f>IF(COUNT(D882:P882)=0,"",MEDIAN(D882:P882))</f>
        <v/>
      </c>
      <c r="S882" s="8">
        <f>IF(COUNT(D882:P882)=0,"",MAX(D882:P882))</f>
        <v/>
      </c>
      <c r="T882" s="9">
        <f>IF(OR(Q882="",Q882=0),"",(S882-Q882)/Q882)</f>
        <v/>
      </c>
      <c r="U882" s="7">
        <f>IF(COUNT(D882:P882)=0,"",INDEX($D$1:$P$1,MATCH(MIN(D882:P882),D882:P882,0)))</f>
        <v/>
      </c>
      <c r="V882" s="8" t="n">
        <v>35</v>
      </c>
      <c r="W882" s="10" t="n">
        <v>1</v>
      </c>
    </row>
    <row r="883">
      <c r="A883" s="7" t="inlineStr">
        <is>
          <t>MAT-10-277</t>
        </is>
      </c>
      <c r="B883" s="4" t="inlineStr">
        <is>
          <t>Tubería flexible liquid tight 3/4"</t>
        </is>
      </c>
      <c r="C883" s="7" t="inlineStr">
        <is>
          <t>unidad</t>
        </is>
      </c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>
        <v>45.01</v>
      </c>
      <c r="M883" s="8" t="n"/>
      <c r="N883" s="8" t="n"/>
      <c r="O883" s="8" t="n"/>
      <c r="P883" s="8" t="n"/>
      <c r="Q883" s="8">
        <f>IF(COUNT(D883:P883)=0,"",MIN(D883:P883))</f>
        <v/>
      </c>
      <c r="R883" s="8">
        <f>IF(COUNT(D883:P883)=0,"",MEDIAN(D883:P883))</f>
        <v/>
      </c>
      <c r="S883" s="8">
        <f>IF(COUNT(D883:P883)=0,"",MAX(D883:P883))</f>
        <v/>
      </c>
      <c r="T883" s="9">
        <f>IF(OR(Q883="",Q883=0),"",(S883-Q883)/Q883)</f>
        <v/>
      </c>
      <c r="U883" s="7">
        <f>IF(COUNT(D883:P883)=0,"",INDEX($D$1:$P$1,MATCH(MIN(D883:P883),D883:P883,0)))</f>
        <v/>
      </c>
      <c r="V883" s="8" t="n">
        <v>77.51000000000001</v>
      </c>
      <c r="W883" s="10" t="n">
        <v>1</v>
      </c>
    </row>
    <row r="884">
      <c r="A884" s="7" t="inlineStr">
        <is>
          <t>MAT-10-278</t>
        </is>
      </c>
      <c r="B884" s="4" t="inlineStr">
        <is>
          <t>Canaleta plástica 11 x 10 mm</t>
        </is>
      </c>
      <c r="C884" s="7" t="inlineStr">
        <is>
          <t>tramo</t>
        </is>
      </c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>
        <v>115</v>
      </c>
      <c r="M884" s="8" t="n"/>
      <c r="N884" s="8" t="n"/>
      <c r="O884" s="8" t="n"/>
      <c r="P884" s="8" t="n"/>
      <c r="Q884" s="8">
        <f>IF(COUNT(D884:P884)=0,"",MIN(D884:P884))</f>
        <v/>
      </c>
      <c r="R884" s="8">
        <f>IF(COUNT(D884:P884)=0,"",MEDIAN(D884:P884))</f>
        <v/>
      </c>
      <c r="S884" s="8">
        <f>IF(COUNT(D884:P884)=0,"",MAX(D884:P884))</f>
        <v/>
      </c>
      <c r="T884" s="9">
        <f>IF(OR(Q884="",Q884=0),"",(S884-Q884)/Q884)</f>
        <v/>
      </c>
      <c r="U884" s="7">
        <f>IF(COUNT(D884:P884)=0,"",INDEX($D$1:$P$1,MATCH(MIN(D884:P884),D884:P884,0)))</f>
        <v/>
      </c>
      <c r="V884" s="8" t="n">
        <v>115</v>
      </c>
      <c r="W884" s="10" t="n">
        <v>1</v>
      </c>
    </row>
    <row r="885">
      <c r="A885" s="7" t="inlineStr">
        <is>
          <t>MAT-10-279</t>
        </is>
      </c>
      <c r="B885" s="4" t="inlineStr">
        <is>
          <t>Canaleta plástica 15 x 10 mm</t>
        </is>
      </c>
      <c r="C885" s="7" t="inlineStr">
        <is>
          <t>tramo</t>
        </is>
      </c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>
        <v>119.99</v>
      </c>
      <c r="M885" s="8" t="n"/>
      <c r="N885" s="8" t="n"/>
      <c r="O885" s="8" t="n"/>
      <c r="P885" s="8" t="n"/>
      <c r="Q885" s="8">
        <f>IF(COUNT(D885:P885)=0,"",MIN(D885:P885))</f>
        <v/>
      </c>
      <c r="R885" s="8">
        <f>IF(COUNT(D885:P885)=0,"",MEDIAN(D885:P885))</f>
        <v/>
      </c>
      <c r="S885" s="8">
        <f>IF(COUNT(D885:P885)=0,"",MAX(D885:P885))</f>
        <v/>
      </c>
      <c r="T885" s="9">
        <f>IF(OR(Q885="",Q885=0),"",(S885-Q885)/Q885)</f>
        <v/>
      </c>
      <c r="U885" s="7">
        <f>IF(COUNT(D885:P885)=0,"",INDEX($D$1:$P$1,MATCH(MIN(D885:P885),D885:P885,0)))</f>
        <v/>
      </c>
      <c r="V885" s="8" t="n">
        <v>119.99</v>
      </c>
      <c r="W885" s="10" t="n">
        <v>1</v>
      </c>
    </row>
    <row r="886">
      <c r="A886" s="7" t="inlineStr">
        <is>
          <t>MAT-10-280</t>
        </is>
      </c>
      <c r="B886" s="4" t="inlineStr">
        <is>
          <t>Canaleta plástica 15 x 12 mm</t>
        </is>
      </c>
      <c r="C886" s="7" t="inlineStr">
        <is>
          <t>tramo</t>
        </is>
      </c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>
        <v>135</v>
      </c>
      <c r="M886" s="8" t="n"/>
      <c r="N886" s="8" t="n"/>
      <c r="O886" s="8" t="n"/>
      <c r="P886" s="8" t="n"/>
      <c r="Q886" s="8">
        <f>IF(COUNT(D886:P886)=0,"",MIN(D886:P886))</f>
        <v/>
      </c>
      <c r="R886" s="8">
        <f>IF(COUNT(D886:P886)=0,"",MEDIAN(D886:P886))</f>
        <v/>
      </c>
      <c r="S886" s="8">
        <f>IF(COUNT(D886:P886)=0,"",MAX(D886:P886))</f>
        <v/>
      </c>
      <c r="T886" s="9">
        <f>IF(OR(Q886="",Q886=0),"",(S886-Q886)/Q886)</f>
        <v/>
      </c>
      <c r="U886" s="7">
        <f>IF(COUNT(D886:P886)=0,"",INDEX($D$1:$P$1,MATCH(MIN(D886:P886),D886:P886,0)))</f>
        <v/>
      </c>
      <c r="V886" s="8" t="n">
        <v>135</v>
      </c>
      <c r="W886" s="10" t="n">
        <v>1</v>
      </c>
    </row>
    <row r="887">
      <c r="A887" s="7" t="inlineStr">
        <is>
          <t>MAT-10-281</t>
        </is>
      </c>
      <c r="B887" s="4" t="inlineStr">
        <is>
          <t>Canaleta plástica 20 x 10 mm</t>
        </is>
      </c>
      <c r="C887" s="7" t="inlineStr">
        <is>
          <t>tramo</t>
        </is>
      </c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>
        <v>150</v>
      </c>
      <c r="M887" s="8" t="n"/>
      <c r="N887" s="8" t="n"/>
      <c r="O887" s="8" t="n"/>
      <c r="P887" s="8" t="n"/>
      <c r="Q887" s="8">
        <f>IF(COUNT(D887:P887)=0,"",MIN(D887:P887))</f>
        <v/>
      </c>
      <c r="R887" s="8">
        <f>IF(COUNT(D887:P887)=0,"",MEDIAN(D887:P887))</f>
        <v/>
      </c>
      <c r="S887" s="8">
        <f>IF(COUNT(D887:P887)=0,"",MAX(D887:P887))</f>
        <v/>
      </c>
      <c r="T887" s="9">
        <f>IF(OR(Q887="",Q887=0),"",(S887-Q887)/Q887)</f>
        <v/>
      </c>
      <c r="U887" s="7">
        <f>IF(COUNT(D887:P887)=0,"",INDEX($D$1:$P$1,MATCH(MIN(D887:P887),D887:P887,0)))</f>
        <v/>
      </c>
      <c r="V887" s="8" t="n">
        <v>150</v>
      </c>
      <c r="W887" s="10" t="n">
        <v>1</v>
      </c>
    </row>
    <row r="888">
      <c r="A888" s="7" t="inlineStr">
        <is>
          <t>MAT-10-282</t>
        </is>
      </c>
      <c r="B888" s="4" t="inlineStr">
        <is>
          <t>Canaleta plástica 25 x 15 mm</t>
        </is>
      </c>
      <c r="C888" s="7" t="inlineStr">
        <is>
          <t>tramo</t>
        </is>
      </c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>
        <v>200</v>
      </c>
      <c r="M888" s="8" t="n"/>
      <c r="N888" s="8" t="n"/>
      <c r="O888" s="8" t="n"/>
      <c r="P888" s="8" t="n"/>
      <c r="Q888" s="8">
        <f>IF(COUNT(D888:P888)=0,"",MIN(D888:P888))</f>
        <v/>
      </c>
      <c r="R888" s="8">
        <f>IF(COUNT(D888:P888)=0,"",MEDIAN(D888:P888))</f>
        <v/>
      </c>
      <c r="S888" s="8">
        <f>IF(COUNT(D888:P888)=0,"",MAX(D888:P888))</f>
        <v/>
      </c>
      <c r="T888" s="9">
        <f>IF(OR(Q888="",Q888=0),"",(S888-Q888)/Q888)</f>
        <v/>
      </c>
      <c r="U888" s="7">
        <f>IF(COUNT(D888:P888)=0,"",INDEX($D$1:$P$1,MATCH(MIN(D888:P888),D888:P888,0)))</f>
        <v/>
      </c>
      <c r="V888" s="8" t="n">
        <v>200</v>
      </c>
      <c r="W888" s="10" t="n">
        <v>1</v>
      </c>
    </row>
    <row r="889">
      <c r="A889" s="7" t="inlineStr">
        <is>
          <t>MAT-10-283</t>
        </is>
      </c>
      <c r="B889" s="4" t="inlineStr">
        <is>
          <t>Canaleta plástica 32 x 15 mm</t>
        </is>
      </c>
      <c r="C889" s="7" t="inlineStr">
        <is>
          <t>tramo</t>
        </is>
      </c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>
        <v>215</v>
      </c>
      <c r="M889" s="8" t="n"/>
      <c r="N889" s="8" t="n"/>
      <c r="O889" s="8" t="n"/>
      <c r="P889" s="8" t="n"/>
      <c r="Q889" s="8">
        <f>IF(COUNT(D889:P889)=0,"",MIN(D889:P889))</f>
        <v/>
      </c>
      <c r="R889" s="8">
        <f>IF(COUNT(D889:P889)=0,"",MEDIAN(D889:P889))</f>
        <v/>
      </c>
      <c r="S889" s="8">
        <f>IF(COUNT(D889:P889)=0,"",MAX(D889:P889))</f>
        <v/>
      </c>
      <c r="T889" s="9">
        <f>IF(OR(Q889="",Q889=0),"",(S889-Q889)/Q889)</f>
        <v/>
      </c>
      <c r="U889" s="7">
        <f>IF(COUNT(D889:P889)=0,"",INDEX($D$1:$P$1,MATCH(MIN(D889:P889),D889:P889,0)))</f>
        <v/>
      </c>
      <c r="V889" s="8" t="n">
        <v>215</v>
      </c>
      <c r="W889" s="10" t="n">
        <v>1</v>
      </c>
    </row>
    <row r="890">
      <c r="A890" s="7" t="inlineStr">
        <is>
          <t>MAT-10-284</t>
        </is>
      </c>
      <c r="B890" s="4" t="inlineStr">
        <is>
          <t>Canaleta plástica 40 x 15 mm</t>
        </is>
      </c>
      <c r="C890" s="7" t="inlineStr">
        <is>
          <t>tramo</t>
        </is>
      </c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>
        <v>320</v>
      </c>
      <c r="M890" s="8" t="n"/>
      <c r="N890" s="8" t="n"/>
      <c r="O890" s="8" t="n"/>
      <c r="P890" s="8" t="n"/>
      <c r="Q890" s="8">
        <f>IF(COUNT(D890:P890)=0,"",MIN(D890:P890))</f>
        <v/>
      </c>
      <c r="R890" s="8">
        <f>IF(COUNT(D890:P890)=0,"",MEDIAN(D890:P890))</f>
        <v/>
      </c>
      <c r="S890" s="8">
        <f>IF(COUNT(D890:P890)=0,"",MAX(D890:P890))</f>
        <v/>
      </c>
      <c r="T890" s="9">
        <f>IF(OR(Q890="",Q890=0),"",(S890-Q890)/Q890)</f>
        <v/>
      </c>
      <c r="U890" s="7">
        <f>IF(COUNT(D890:P890)=0,"",INDEX($D$1:$P$1,MATCH(MIN(D890:P890),D890:P890,0)))</f>
        <v/>
      </c>
      <c r="V890" s="8" t="n">
        <v>320</v>
      </c>
      <c r="W890" s="10" t="n">
        <v>1</v>
      </c>
    </row>
    <row r="891">
      <c r="A891" s="7" t="inlineStr">
        <is>
          <t>MAT-10-285</t>
        </is>
      </c>
      <c r="B891" s="4" t="inlineStr">
        <is>
          <t>Canaleta plástica 60 x 40 mm</t>
        </is>
      </c>
      <c r="C891" s="7" t="inlineStr">
        <is>
          <t>tramo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550</v>
      </c>
      <c r="M891" s="8" t="n"/>
      <c r="N891" s="8" t="n"/>
      <c r="O891" s="8" t="n"/>
      <c r="P891" s="8" t="n"/>
      <c r="Q891" s="8">
        <f>IF(COUNT(D891:P891)=0,"",MIN(D891:P891))</f>
        <v/>
      </c>
      <c r="R891" s="8">
        <f>IF(COUNT(D891:P891)=0,"",MEDIAN(D891:P891))</f>
        <v/>
      </c>
      <c r="S891" s="8">
        <f>IF(COUNT(D891:P891)=0,"",MAX(D891:P891))</f>
        <v/>
      </c>
      <c r="T891" s="9">
        <f>IF(OR(Q891="",Q891=0),"",(S891-Q891)/Q891)</f>
        <v/>
      </c>
      <c r="U891" s="7">
        <f>IF(COUNT(D891:P891)=0,"",INDEX($D$1:$P$1,MATCH(MIN(D891:P891),D891:P891,0)))</f>
        <v/>
      </c>
      <c r="V891" s="8" t="n">
        <v>550</v>
      </c>
      <c r="W891" s="10" t="n">
        <v>1</v>
      </c>
    </row>
    <row r="892">
      <c r="A892" s="7" t="inlineStr">
        <is>
          <t>MAT-10-286</t>
        </is>
      </c>
      <c r="B892" s="4" t="inlineStr">
        <is>
          <t>Canaleta plástica 80 x 40 mm</t>
        </is>
      </c>
      <c r="C892" s="7" t="inlineStr">
        <is>
          <t>tramo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745</v>
      </c>
      <c r="M892" s="8" t="n"/>
      <c r="N892" s="8" t="n"/>
      <c r="O892" s="8" t="n"/>
      <c r="P892" s="8" t="n"/>
      <c r="Q892" s="8">
        <f>IF(COUNT(D892:P892)=0,"",MIN(D892:P892))</f>
        <v/>
      </c>
      <c r="R892" s="8">
        <f>IF(COUNT(D892:P892)=0,"",MEDIAN(D892:P892))</f>
        <v/>
      </c>
      <c r="S892" s="8">
        <f>IF(COUNT(D892:P892)=0,"",MAX(D892:P892))</f>
        <v/>
      </c>
      <c r="T892" s="9">
        <f>IF(OR(Q892="",Q892=0),"",(S892-Q892)/Q892)</f>
        <v/>
      </c>
      <c r="U892" s="7">
        <f>IF(COUNT(D892:P892)=0,"",INDEX($D$1:$P$1,MATCH(MIN(D892:P892),D892:P892,0)))</f>
        <v/>
      </c>
      <c r="V892" s="8" t="n">
        <v>745</v>
      </c>
      <c r="W892" s="10" t="n">
        <v>1</v>
      </c>
    </row>
    <row r="893">
      <c r="A893" s="7" t="inlineStr">
        <is>
          <t>MAT-10-287</t>
        </is>
      </c>
      <c r="B893" s="4" t="inlineStr">
        <is>
          <t>Caja eléctrica octagonal de metal</t>
        </is>
      </c>
      <c r="C893" s="7" t="inlineStr">
        <is>
          <t>unidad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115</v>
      </c>
      <c r="M893" s="8" t="n"/>
      <c r="N893" s="8" t="n"/>
      <c r="O893" s="8" t="n"/>
      <c r="P893" s="8" t="n"/>
      <c r="Q893" s="8">
        <f>IF(COUNT(D893:P893)=0,"",MIN(D893:P893))</f>
        <v/>
      </c>
      <c r="R893" s="8">
        <f>IF(COUNT(D893:P893)=0,"",MEDIAN(D893:P893))</f>
        <v/>
      </c>
      <c r="S893" s="8">
        <f>IF(COUNT(D893:P893)=0,"",MAX(D893:P893))</f>
        <v/>
      </c>
      <c r="T893" s="9">
        <f>IF(OR(Q893="",Q893=0),"",(S893-Q893)/Q893)</f>
        <v/>
      </c>
      <c r="U893" s="7">
        <f>IF(COUNT(D893:P893)=0,"",INDEX($D$1:$P$1,MATCH(MIN(D893:P893),D893:P893,0)))</f>
        <v/>
      </c>
      <c r="V893" s="8" t="n">
        <v>115</v>
      </c>
      <c r="W893" s="10" t="n">
        <v>1</v>
      </c>
    </row>
    <row r="894">
      <c r="A894" s="7" t="inlineStr">
        <is>
          <t>MAT-10-288</t>
        </is>
      </c>
      <c r="B894" s="4" t="inlineStr">
        <is>
          <t>Caja eléctrica rectangular de metal 2 x 4</t>
        </is>
      </c>
      <c r="C894" s="7" t="inlineStr">
        <is>
          <t>unidad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40</v>
      </c>
      <c r="M894" s="8" t="n"/>
      <c r="N894" s="8" t="n"/>
      <c r="O894" s="8" t="n"/>
      <c r="P894" s="8" t="n"/>
      <c r="Q894" s="8">
        <f>IF(COUNT(D894:P894)=0,"",MIN(D894:P894))</f>
        <v/>
      </c>
      <c r="R894" s="8">
        <f>IF(COUNT(D894:P894)=0,"",MEDIAN(D894:P894))</f>
        <v/>
      </c>
      <c r="S894" s="8">
        <f>IF(COUNT(D894:P894)=0,"",MAX(D894:P894))</f>
        <v/>
      </c>
      <c r="T894" s="9">
        <f>IF(OR(Q894="",Q894=0),"",(S894-Q894)/Q894)</f>
        <v/>
      </c>
      <c r="U894" s="7">
        <f>IF(COUNT(D894:P894)=0,"",INDEX($D$1:$P$1,MATCH(MIN(D894:P894),D894:P894,0)))</f>
        <v/>
      </c>
      <c r="V894" s="8" t="n">
        <v>40.5</v>
      </c>
      <c r="W894" s="10" t="n">
        <v>1</v>
      </c>
    </row>
    <row r="895">
      <c r="A895" s="7" t="inlineStr">
        <is>
          <t>MAT-10-289</t>
        </is>
      </c>
      <c r="B895" s="4" t="inlineStr">
        <is>
          <t>Caja eléctrica rectangular de PVC 2 x 4</t>
        </is>
      </c>
      <c r="C895" s="7" t="inlineStr">
        <is>
          <t>unidad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45.01</v>
      </c>
      <c r="M895" s="8" t="n"/>
      <c r="N895" s="8" t="n"/>
      <c r="O895" s="8" t="n"/>
      <c r="P895" s="8" t="n"/>
      <c r="Q895" s="8">
        <f>IF(COUNT(D895:P895)=0,"",MIN(D895:P895))</f>
        <v/>
      </c>
      <c r="R895" s="8">
        <f>IF(COUNT(D895:P895)=0,"",MEDIAN(D895:P895))</f>
        <v/>
      </c>
      <c r="S895" s="8">
        <f>IF(COUNT(D895:P895)=0,"",MAX(D895:P895))</f>
        <v/>
      </c>
      <c r="T895" s="9">
        <f>IF(OR(Q895="",Q895=0),"",(S895-Q895)/Q895)</f>
        <v/>
      </c>
      <c r="U895" s="7">
        <f>IF(COUNT(D895:P895)=0,"",INDEX($D$1:$P$1,MATCH(MIN(D895:P895),D895:P895,0)))</f>
        <v/>
      </c>
      <c r="V895" s="8" t="n">
        <v>45.01</v>
      </c>
      <c r="W895" s="10" t="n">
        <v>1</v>
      </c>
    </row>
    <row r="896">
      <c r="A896" s="7" t="inlineStr">
        <is>
          <t>MAT-10-290</t>
        </is>
      </c>
      <c r="B896" s="4" t="inlineStr">
        <is>
          <t>Abrazadera para tubo eléctrico 1/2"</t>
        </is>
      </c>
      <c r="C896" s="7" t="inlineStr">
        <is>
          <t>unidad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4</v>
      </c>
      <c r="M896" s="8" t="n"/>
      <c r="N896" s="8" t="n"/>
      <c r="O896" s="8" t="n"/>
      <c r="P896" s="8" t="n"/>
      <c r="Q896" s="8">
        <f>IF(COUNT(D896:P896)=0,"",MIN(D896:P896))</f>
        <v/>
      </c>
      <c r="R896" s="8">
        <f>IF(COUNT(D896:P896)=0,"",MEDIAN(D896:P896))</f>
        <v/>
      </c>
      <c r="S896" s="8">
        <f>IF(COUNT(D896:P896)=0,"",MAX(D896:P896))</f>
        <v/>
      </c>
      <c r="T896" s="9">
        <f>IF(OR(Q896="",Q896=0),"",(S896-Q896)/Q896)</f>
        <v/>
      </c>
      <c r="U896" s="7">
        <f>IF(COUNT(D896:P896)=0,"",INDEX($D$1:$P$1,MATCH(MIN(D896:P896),D896:P896,0)))</f>
        <v/>
      </c>
      <c r="V896" s="8" t="n">
        <v>4</v>
      </c>
      <c r="W896" s="10" t="n">
        <v>1</v>
      </c>
    </row>
    <row r="897">
      <c r="A897" s="7" t="inlineStr">
        <is>
          <t>MAT-10-291</t>
        </is>
      </c>
      <c r="B897" s="4" t="inlineStr">
        <is>
          <t>Abrazadera para tubo eléctrico 1/2", 2 huecos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5</v>
      </c>
      <c r="M897" s="8" t="n"/>
      <c r="N897" s="8" t="n"/>
      <c r="O897" s="8" t="n"/>
      <c r="P897" s="8" t="n"/>
      <c r="Q897" s="8">
        <f>IF(COUNT(D897:P897)=0,"",MIN(D897:P897))</f>
        <v/>
      </c>
      <c r="R897" s="8">
        <f>IF(COUNT(D897:P897)=0,"",MEDIAN(D897:P897))</f>
        <v/>
      </c>
      <c r="S897" s="8">
        <f>IF(COUNT(D897:P897)=0,"",MAX(D897:P897))</f>
        <v/>
      </c>
      <c r="T897" s="9">
        <f>IF(OR(Q897="",Q897=0),"",(S897-Q897)/Q897)</f>
        <v/>
      </c>
      <c r="U897" s="7">
        <f>IF(COUNT(D897:P897)=0,"",INDEX($D$1:$P$1,MATCH(MIN(D897:P897),D897:P897,0)))</f>
        <v/>
      </c>
      <c r="V897" s="8" t="n">
        <v>5</v>
      </c>
      <c r="W897" s="10" t="n">
        <v>1</v>
      </c>
    </row>
    <row r="898">
      <c r="A898" s="7" t="inlineStr">
        <is>
          <t>MAT-10-292</t>
        </is>
      </c>
      <c r="B898" s="4" t="inlineStr">
        <is>
          <t>Abrazadera para tubo eléctrico 1"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7</v>
      </c>
      <c r="M898" s="8" t="n"/>
      <c r="N898" s="8" t="n"/>
      <c r="O898" s="8" t="n"/>
      <c r="P898" s="8" t="n"/>
      <c r="Q898" s="8">
        <f>IF(COUNT(D898:P898)=0,"",MIN(D898:P898))</f>
        <v/>
      </c>
      <c r="R898" s="8">
        <f>IF(COUNT(D898:P898)=0,"",MEDIAN(D898:P898))</f>
        <v/>
      </c>
      <c r="S898" s="8">
        <f>IF(COUNT(D898:P898)=0,"",MAX(D898:P898))</f>
        <v/>
      </c>
      <c r="T898" s="9">
        <f>IF(OR(Q898="",Q898=0),"",(S898-Q898)/Q898)</f>
        <v/>
      </c>
      <c r="U898" s="7">
        <f>IF(COUNT(D898:P898)=0,"",INDEX($D$1:$P$1,MATCH(MIN(D898:P898),D898:P898,0)))</f>
        <v/>
      </c>
      <c r="V898" s="8" t="n">
        <v>7</v>
      </c>
      <c r="W898" s="10" t="n">
        <v>1</v>
      </c>
    </row>
    <row r="899">
      <c r="A899" s="7" t="inlineStr">
        <is>
          <t>MAT-10-293</t>
        </is>
      </c>
      <c r="B899" s="4" t="inlineStr">
        <is>
          <t>Abrazadera para tubo eléctrico 2"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35</v>
      </c>
      <c r="M899" s="8" t="n"/>
      <c r="N899" s="8" t="n"/>
      <c r="O899" s="8" t="n"/>
      <c r="P899" s="8" t="n"/>
      <c r="Q899" s="8">
        <f>IF(COUNT(D899:P899)=0,"",MIN(D899:P899))</f>
        <v/>
      </c>
      <c r="R899" s="8">
        <f>IF(COUNT(D899:P899)=0,"",MEDIAN(D899:P899))</f>
        <v/>
      </c>
      <c r="S899" s="8">
        <f>IF(COUNT(D899:P899)=0,"",MAX(D899:P899))</f>
        <v/>
      </c>
      <c r="T899" s="9">
        <f>IF(OR(Q899="",Q899=0),"",(S899-Q899)/Q899)</f>
        <v/>
      </c>
      <c r="U899" s="7">
        <f>IF(COUNT(D899:P899)=0,"",INDEX($D$1:$P$1,MATCH(MIN(D899:P899),D899:P899,0)))</f>
        <v/>
      </c>
      <c r="V899" s="8" t="n">
        <v>35</v>
      </c>
      <c r="W899" s="10" t="n">
        <v>1</v>
      </c>
    </row>
    <row r="900">
      <c r="A900" s="7" t="inlineStr">
        <is>
          <t>MAT-10-294</t>
        </is>
      </c>
      <c r="B900" s="4" t="inlineStr">
        <is>
          <t>Abrazadera para tubo eléctrico 3/4"</t>
        </is>
      </c>
      <c r="C900" s="7" t="inlineStr">
        <is>
          <t>unidad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4</v>
      </c>
      <c r="M900" s="8" t="n"/>
      <c r="N900" s="8" t="n"/>
      <c r="O900" s="8" t="n"/>
      <c r="P900" s="8" t="n"/>
      <c r="Q900" s="8">
        <f>IF(COUNT(D900:P900)=0,"",MIN(D900:P900))</f>
        <v/>
      </c>
      <c r="R900" s="8">
        <f>IF(COUNT(D900:P900)=0,"",MEDIAN(D900:P900))</f>
        <v/>
      </c>
      <c r="S900" s="8">
        <f>IF(COUNT(D900:P900)=0,"",MAX(D900:P900))</f>
        <v/>
      </c>
      <c r="T900" s="9">
        <f>IF(OR(Q900="",Q900=0),"",(S900-Q900)/Q900)</f>
        <v/>
      </c>
      <c r="U900" s="7">
        <f>IF(COUNT(D900:P900)=0,"",INDEX($D$1:$P$1,MATCH(MIN(D900:P900),D900:P900,0)))</f>
        <v/>
      </c>
      <c r="V900" s="8" t="n">
        <v>4</v>
      </c>
      <c r="W900" s="10" t="n">
        <v>1</v>
      </c>
    </row>
    <row r="901">
      <c r="A901" s="7" t="inlineStr">
        <is>
          <t>MAT-10-295</t>
        </is>
      </c>
      <c r="B901" s="4" t="inlineStr">
        <is>
          <t>Abrazadera para tubo eléctrico 3"</t>
        </is>
      </c>
      <c r="C901" s="7" t="inlineStr">
        <is>
          <t>unidad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64.98999999999999</v>
      </c>
      <c r="M901" s="8" t="n"/>
      <c r="N901" s="8" t="n"/>
      <c r="O901" s="8" t="n"/>
      <c r="P901" s="8" t="n"/>
      <c r="Q901" s="8">
        <f>IF(COUNT(D901:P901)=0,"",MIN(D901:P901))</f>
        <v/>
      </c>
      <c r="R901" s="8">
        <f>IF(COUNT(D901:P901)=0,"",MEDIAN(D901:P901))</f>
        <v/>
      </c>
      <c r="S901" s="8">
        <f>IF(COUNT(D901:P901)=0,"",MAX(D901:P901))</f>
        <v/>
      </c>
      <c r="T901" s="9">
        <f>IF(OR(Q901="",Q901=0),"",(S901-Q901)/Q901)</f>
        <v/>
      </c>
      <c r="U901" s="7">
        <f>IF(COUNT(D901:P901)=0,"",INDEX($D$1:$P$1,MATCH(MIN(D901:P901),D901:P901,0)))</f>
        <v/>
      </c>
      <c r="V901" s="8" t="n">
        <v>64.98999999999999</v>
      </c>
      <c r="W901" s="10" t="n">
        <v>1</v>
      </c>
    </row>
    <row r="902">
      <c r="A902" s="7" t="inlineStr">
        <is>
          <t>MAT-10-296</t>
        </is>
      </c>
      <c r="B902" s="4" t="inlineStr">
        <is>
          <t>Codo conduit de PVC 1 1/2"</t>
        </is>
      </c>
      <c r="C902" s="7" t="inlineStr">
        <is>
          <t>unidad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>
        <v>38.64</v>
      </c>
      <c r="N902" s="8" t="n"/>
      <c r="O902" s="8" t="n"/>
      <c r="P902" s="8" t="n"/>
      <c r="Q902" s="8">
        <f>IF(COUNT(D902:P902)=0,"",MIN(D902:P902))</f>
        <v/>
      </c>
      <c r="R902" s="8">
        <f>IF(COUNT(D902:P902)=0,"",MEDIAN(D902:P902))</f>
        <v/>
      </c>
      <c r="S902" s="8">
        <f>IF(COUNT(D902:P902)=0,"",MAX(D902:P902))</f>
        <v/>
      </c>
      <c r="T902" s="9">
        <f>IF(OR(Q902="",Q902=0),"",(S902-Q902)/Q902)</f>
        <v/>
      </c>
      <c r="U902" s="7">
        <f>IF(COUNT(D902:P902)=0,"",INDEX($D$1:$P$1,MATCH(MIN(D902:P902),D902:P902,0)))</f>
        <v/>
      </c>
      <c r="V902" s="8" t="n">
        <v>45.6</v>
      </c>
      <c r="W902" s="10" t="n">
        <v>1</v>
      </c>
    </row>
    <row r="903">
      <c r="A903" s="7" t="inlineStr">
        <is>
          <t>MAT-10-297</t>
        </is>
      </c>
      <c r="B903" s="4" t="inlineStr">
        <is>
          <t>Codo conduit de PVC 1/2"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>
        <v>7.62</v>
      </c>
      <c r="N903" s="8" t="n"/>
      <c r="O903" s="8" t="n"/>
      <c r="P903" s="8" t="n"/>
      <c r="Q903" s="8">
        <f>IF(COUNT(D903:P903)=0,"",MIN(D903:P903))</f>
        <v/>
      </c>
      <c r="R903" s="8">
        <f>IF(COUNT(D903:P903)=0,"",MEDIAN(D903:P903))</f>
        <v/>
      </c>
      <c r="S903" s="8">
        <f>IF(COUNT(D903:P903)=0,"",MAX(D903:P903))</f>
        <v/>
      </c>
      <c r="T903" s="9">
        <f>IF(OR(Q903="",Q903=0),"",(S903-Q903)/Q903)</f>
        <v/>
      </c>
      <c r="U903" s="7">
        <f>IF(COUNT(D903:P903)=0,"",INDEX($D$1:$P$1,MATCH(MIN(D903:P903),D903:P903,0)))</f>
        <v/>
      </c>
      <c r="V903" s="8" t="n">
        <v>8.99</v>
      </c>
      <c r="W903" s="10" t="n">
        <v>1</v>
      </c>
    </row>
    <row r="904">
      <c r="A904" s="7" t="inlineStr">
        <is>
          <t>MAT-10-298</t>
        </is>
      </c>
      <c r="B904" s="4" t="inlineStr">
        <is>
          <t>Codo conduit de PVC 1"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>
        <v>15.16</v>
      </c>
      <c r="N904" s="8" t="n"/>
      <c r="O904" s="8" t="n"/>
      <c r="P904" s="8" t="n"/>
      <c r="Q904" s="8">
        <f>IF(COUNT(D904:P904)=0,"",MIN(D904:P904))</f>
        <v/>
      </c>
      <c r="R904" s="8">
        <f>IF(COUNT(D904:P904)=0,"",MEDIAN(D904:P904))</f>
        <v/>
      </c>
      <c r="S904" s="8">
        <f>IF(COUNT(D904:P904)=0,"",MAX(D904:P904))</f>
        <v/>
      </c>
      <c r="T904" s="9">
        <f>IF(OR(Q904="",Q904=0),"",(S904-Q904)/Q904)</f>
        <v/>
      </c>
      <c r="U904" s="7">
        <f>IF(COUNT(D904:P904)=0,"",INDEX($D$1:$P$1,MATCH(MIN(D904:P904),D904:P904,0)))</f>
        <v/>
      </c>
      <c r="V904" s="8" t="n">
        <v>17.89</v>
      </c>
      <c r="W904" s="10" t="n">
        <v>1</v>
      </c>
    </row>
    <row r="905">
      <c r="A905" s="7" t="inlineStr">
        <is>
          <t>MAT-10-299</t>
        </is>
      </c>
      <c r="B905" s="4" t="inlineStr">
        <is>
          <t>Codo conduit de PVC 2"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>
        <v>55.83</v>
      </c>
      <c r="N905" s="8" t="n"/>
      <c r="O905" s="8" t="n"/>
      <c r="P905" s="8" t="n"/>
      <c r="Q905" s="8">
        <f>IF(COUNT(D905:P905)=0,"",MIN(D905:P905))</f>
        <v/>
      </c>
      <c r="R905" s="8">
        <f>IF(COUNT(D905:P905)=0,"",MEDIAN(D905:P905))</f>
        <v/>
      </c>
      <c r="S905" s="8">
        <f>IF(COUNT(D905:P905)=0,"",MAX(D905:P905))</f>
        <v/>
      </c>
      <c r="T905" s="9">
        <f>IF(OR(Q905="",Q905=0),"",(S905-Q905)/Q905)</f>
        <v/>
      </c>
      <c r="U905" s="7">
        <f>IF(COUNT(D905:P905)=0,"",INDEX($D$1:$P$1,MATCH(MIN(D905:P905),D905:P905,0)))</f>
        <v/>
      </c>
      <c r="V905" s="8" t="n">
        <v>65.88</v>
      </c>
      <c r="W905" s="10" t="n">
        <v>1</v>
      </c>
    </row>
    <row r="906">
      <c r="A906" s="7" t="inlineStr">
        <is>
          <t>MAT-10-300</t>
        </is>
      </c>
      <c r="B906" s="4" t="inlineStr">
        <is>
          <t>Codo conduit de PVC 3/4"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>
        <v>9.130000000000001</v>
      </c>
      <c r="N906" s="8" t="n"/>
      <c r="O906" s="8" t="n"/>
      <c r="P906" s="8" t="n"/>
      <c r="Q906" s="8">
        <f>IF(COUNT(D906:P906)=0,"",MIN(D906:P906))</f>
        <v/>
      </c>
      <c r="R906" s="8">
        <f>IF(COUNT(D906:P906)=0,"",MEDIAN(D906:P906))</f>
        <v/>
      </c>
      <c r="S906" s="8">
        <f>IF(COUNT(D906:P906)=0,"",MAX(D906:P906))</f>
        <v/>
      </c>
      <c r="T906" s="9">
        <f>IF(OR(Q906="",Q906=0),"",(S906-Q906)/Q906)</f>
        <v/>
      </c>
      <c r="U906" s="7">
        <f>IF(COUNT(D906:P906)=0,"",INDEX($D$1:$P$1,MATCH(MIN(D906:P906),D906:P906,0)))</f>
        <v/>
      </c>
      <c r="V906" s="8" t="n">
        <v>10.77</v>
      </c>
      <c r="W906" s="10" t="n">
        <v>1</v>
      </c>
    </row>
    <row r="907">
      <c r="A907" s="7" t="inlineStr">
        <is>
          <t>MAT-10-301</t>
        </is>
      </c>
      <c r="B907" s="4" t="inlineStr">
        <is>
          <t>Codo conduit de PVC 3"</t>
        </is>
      </c>
      <c r="C907" s="7" t="inlineStr">
        <is>
          <t>unidad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>
        <v>165.6</v>
      </c>
      <c r="N907" s="8" t="n"/>
      <c r="O907" s="8" t="n"/>
      <c r="P907" s="8" t="n"/>
      <c r="Q907" s="8">
        <f>IF(COUNT(D907:P907)=0,"",MIN(D907:P907))</f>
        <v/>
      </c>
      <c r="R907" s="8">
        <f>IF(COUNT(D907:P907)=0,"",MEDIAN(D907:P907))</f>
        <v/>
      </c>
      <c r="S907" s="8">
        <f>IF(COUNT(D907:P907)=0,"",MAX(D907:P907))</f>
        <v/>
      </c>
      <c r="T907" s="9">
        <f>IF(OR(Q907="",Q907=0),"",(S907-Q907)/Q907)</f>
        <v/>
      </c>
      <c r="U907" s="7">
        <f>IF(COUNT(D907:P907)=0,"",INDEX($D$1:$P$1,MATCH(MIN(D907:P907),D907:P907,0)))</f>
        <v/>
      </c>
      <c r="V907" s="8" t="n">
        <v>195.41</v>
      </c>
      <c r="W907" s="10" t="n">
        <v>1</v>
      </c>
    </row>
    <row r="908">
      <c r="A908" s="7" t="inlineStr">
        <is>
          <t>MAT-10-302</t>
        </is>
      </c>
      <c r="B908" s="4" t="inlineStr">
        <is>
          <t>Codo conduit de PVC 4"</t>
        </is>
      </c>
      <c r="C908" s="7" t="inlineStr">
        <is>
          <t>unidad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>
        <v>311.19</v>
      </c>
      <c r="N908" s="8" t="n"/>
      <c r="O908" s="8" t="n"/>
      <c r="P908" s="8" t="n"/>
      <c r="Q908" s="8">
        <f>IF(COUNT(D908:P908)=0,"",MIN(D908:P908))</f>
        <v/>
      </c>
      <c r="R908" s="8">
        <f>IF(COUNT(D908:P908)=0,"",MEDIAN(D908:P908))</f>
        <v/>
      </c>
      <c r="S908" s="8">
        <f>IF(COUNT(D908:P908)=0,"",MAX(D908:P908))</f>
        <v/>
      </c>
      <c r="T908" s="9">
        <f>IF(OR(Q908="",Q908=0),"",(S908-Q908)/Q908)</f>
        <v/>
      </c>
      <c r="U908" s="7">
        <f>IF(COUNT(D908:P908)=0,"",INDEX($D$1:$P$1,MATCH(MIN(D908:P908),D908:P908,0)))</f>
        <v/>
      </c>
      <c r="V908" s="8" t="n">
        <v>367.2</v>
      </c>
      <c r="W908" s="10" t="n">
        <v>1</v>
      </c>
    </row>
    <row r="909">
      <c r="A909" s="7" t="inlineStr">
        <is>
          <t>MAT-10-303</t>
        </is>
      </c>
      <c r="B909" s="4" t="inlineStr">
        <is>
          <t>Abrazadera plástica de 10"</t>
        </is>
      </c>
      <c r="C909" s="7" t="inlineStr">
        <is>
          <t>paquete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>
        <v>150</v>
      </c>
      <c r="M909" s="8" t="n"/>
      <c r="N909" s="8" t="n"/>
      <c r="O909" s="8" t="n"/>
      <c r="P909" s="8" t="n"/>
      <c r="Q909" s="8">
        <f>IF(COUNT(D909:P909)=0,"",MIN(D909:P909))</f>
        <v/>
      </c>
      <c r="R909" s="8">
        <f>IF(COUNT(D909:P909)=0,"",MEDIAN(D909:P909))</f>
        <v/>
      </c>
      <c r="S909" s="8">
        <f>IF(COUNT(D909:P909)=0,"",MAX(D909:P909))</f>
        <v/>
      </c>
      <c r="T909" s="9">
        <f>IF(OR(Q909="",Q909=0),"",(S909-Q909)/Q909)</f>
        <v/>
      </c>
      <c r="U909" s="7">
        <f>IF(COUNT(D909:P909)=0,"",INDEX($D$1:$P$1,MATCH(MIN(D909:P909),D909:P909,0)))</f>
        <v/>
      </c>
      <c r="V909" s="8" t="n">
        <v>150</v>
      </c>
      <c r="W909" s="10" t="n">
        <v>1</v>
      </c>
    </row>
    <row r="910">
      <c r="A910" s="7" t="inlineStr">
        <is>
          <t>MAT-10-304</t>
        </is>
      </c>
      <c r="B910" s="4" t="inlineStr">
        <is>
          <t>Abrazadera plástica de 12"</t>
        </is>
      </c>
      <c r="C910" s="7" t="inlineStr">
        <is>
          <t>paquete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>
        <v>1.99</v>
      </c>
      <c r="M910" s="8" t="n"/>
      <c r="N910" s="8" t="n"/>
      <c r="O910" s="8" t="n"/>
      <c r="P910" s="8" t="n"/>
      <c r="Q910" s="8">
        <f>IF(COUNT(D910:P910)=0,"",MIN(D910:P910))</f>
        <v/>
      </c>
      <c r="R910" s="8">
        <f>IF(COUNT(D910:P910)=0,"",MEDIAN(D910:P910))</f>
        <v/>
      </c>
      <c r="S910" s="8">
        <f>IF(COUNT(D910:P910)=0,"",MAX(D910:P910))</f>
        <v/>
      </c>
      <c r="T910" s="9">
        <f>IF(OR(Q910="",Q910=0),"",(S910-Q910)/Q910)</f>
        <v/>
      </c>
      <c r="U910" s="7">
        <f>IF(COUNT(D910:P910)=0,"",INDEX($D$1:$P$1,MATCH(MIN(D910:P910),D910:P910,0)))</f>
        <v/>
      </c>
      <c r="V910" s="8" t="n">
        <v>2.42</v>
      </c>
      <c r="W910" s="10" t="n">
        <v>1</v>
      </c>
    </row>
    <row r="911">
      <c r="A911" s="7" t="inlineStr">
        <is>
          <t>MAT-10-305</t>
        </is>
      </c>
      <c r="B911" s="4" t="inlineStr">
        <is>
          <t>Abrazadera plástica de 8"</t>
        </is>
      </c>
      <c r="C911" s="7" t="inlineStr">
        <is>
          <t>paquete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>
        <v>85</v>
      </c>
      <c r="M911" s="8" t="n"/>
      <c r="N911" s="8" t="n"/>
      <c r="O911" s="8" t="n"/>
      <c r="P911" s="8" t="n"/>
      <c r="Q911" s="8">
        <f>IF(COUNT(D911:P911)=0,"",MIN(D911:P911))</f>
        <v/>
      </c>
      <c r="R911" s="8">
        <f>IF(COUNT(D911:P911)=0,"",MEDIAN(D911:P911))</f>
        <v/>
      </c>
      <c r="S911" s="8">
        <f>IF(COUNT(D911:P911)=0,"",MAX(D911:P911))</f>
        <v/>
      </c>
      <c r="T911" s="9">
        <f>IF(OR(Q911="",Q911=0),"",(S911-Q911)/Q911)</f>
        <v/>
      </c>
      <c r="U911" s="7">
        <f>IF(COUNT(D911:P911)=0,"",INDEX($D$1:$P$1,MATCH(MIN(D911:P911),D911:P911,0)))</f>
        <v/>
      </c>
      <c r="V911" s="8" t="n">
        <v>95</v>
      </c>
      <c r="W911" s="10" t="n">
        <v>1</v>
      </c>
    </row>
    <row r="912">
      <c r="A912" s="7" t="inlineStr">
        <is>
          <t>MAT-10-306</t>
        </is>
      </c>
      <c r="B912" s="4" t="inlineStr">
        <is>
          <t>Cinta aislante 15 mts</t>
        </is>
      </c>
      <c r="C912" s="7" t="inlineStr">
        <is>
          <t>rollo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>
        <v>1125</v>
      </c>
      <c r="M912" s="8" t="n"/>
      <c r="N912" s="8" t="n"/>
      <c r="O912" s="8" t="n"/>
      <c r="P912" s="8" t="n"/>
      <c r="Q912" s="8">
        <f>IF(COUNT(D912:P912)=0,"",MIN(D912:P912))</f>
        <v/>
      </c>
      <c r="R912" s="8">
        <f>IF(COUNT(D912:P912)=0,"",MEDIAN(D912:P912))</f>
        <v/>
      </c>
      <c r="S912" s="8">
        <f>IF(COUNT(D912:P912)=0,"",MAX(D912:P912))</f>
        <v/>
      </c>
      <c r="T912" s="9">
        <f>IF(OR(Q912="",Q912=0),"",(S912-Q912)/Q912)</f>
        <v/>
      </c>
      <c r="U912" s="7">
        <f>IF(COUNT(D912:P912)=0,"",INDEX($D$1:$P$1,MATCH(MIN(D912:P912),D912:P912,0)))</f>
        <v/>
      </c>
      <c r="V912" s="8" t="n">
        <v>1125</v>
      </c>
      <c r="W912" s="10" t="n">
        <v>1</v>
      </c>
    </row>
    <row r="913">
      <c r="A913" s="7" t="inlineStr">
        <is>
          <t>MAT-10-307</t>
        </is>
      </c>
      <c r="B913" s="4" t="inlineStr">
        <is>
          <t>Cinta aislante 3 m</t>
        </is>
      </c>
      <c r="C913" s="7" t="inlineStr">
        <is>
          <t>rollo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135</v>
      </c>
      <c r="M913" s="8" t="n"/>
      <c r="N913" s="8" t="n"/>
      <c r="O913" s="8" t="n"/>
      <c r="P913" s="8" t="n"/>
      <c r="Q913" s="8">
        <f>IF(COUNT(D913:P913)=0,"",MIN(D913:P913))</f>
        <v/>
      </c>
      <c r="R913" s="8">
        <f>IF(COUNT(D913:P913)=0,"",MEDIAN(D913:P913))</f>
        <v/>
      </c>
      <c r="S913" s="8">
        <f>IF(COUNT(D913:P913)=0,"",MAX(D913:P913))</f>
        <v/>
      </c>
      <c r="T913" s="9">
        <f>IF(OR(Q913="",Q913=0),"",(S913-Q913)/Q913)</f>
        <v/>
      </c>
      <c r="U913" s="7">
        <f>IF(COUNT(D913:P913)=0,"",INDEX($D$1:$P$1,MATCH(MIN(D913:P913),D913:P913,0)))</f>
        <v/>
      </c>
      <c r="V913" s="8" t="n">
        <v>787.5</v>
      </c>
      <c r="W913" s="10" t="n">
        <v>1</v>
      </c>
    </row>
    <row r="914">
      <c r="A914" s="7" t="inlineStr">
        <is>
          <t>MAT-10-308</t>
        </is>
      </c>
      <c r="B914" s="4" t="inlineStr">
        <is>
          <t>Cinta aislante 30 mts</t>
        </is>
      </c>
      <c r="C914" s="7" t="inlineStr">
        <is>
          <t>rollo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>
        <v>1730</v>
      </c>
      <c r="M914" s="8" t="n"/>
      <c r="N914" s="8" t="n"/>
      <c r="O914" s="8" t="n"/>
      <c r="P914" s="8" t="n"/>
      <c r="Q914" s="8">
        <f>IF(COUNT(D914:P914)=0,"",MIN(D914:P914))</f>
        <v/>
      </c>
      <c r="R914" s="8">
        <f>IF(COUNT(D914:P914)=0,"",MEDIAN(D914:P914))</f>
        <v/>
      </c>
      <c r="S914" s="8">
        <f>IF(COUNT(D914:P914)=0,"",MAX(D914:P914))</f>
        <v/>
      </c>
      <c r="T914" s="9">
        <f>IF(OR(Q914="",Q914=0),"",(S914-Q914)/Q914)</f>
        <v/>
      </c>
      <c r="U914" s="7">
        <f>IF(COUNT(D914:P914)=0,"",INDEX($D$1:$P$1,MATCH(MIN(D914:P914),D914:P914,0)))</f>
        <v/>
      </c>
      <c r="V914" s="8" t="n">
        <v>1730</v>
      </c>
      <c r="W914" s="10" t="n">
        <v>1</v>
      </c>
    </row>
    <row r="915">
      <c r="A915" s="7" t="inlineStr">
        <is>
          <t>MAT-10-309</t>
        </is>
      </c>
      <c r="B915" s="4" t="inlineStr">
        <is>
          <t>Cable THHN #14, rollo 100 pies</t>
        </is>
      </c>
      <c r="C915" s="7" t="inlineStr">
        <is>
          <t>rollo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>
        <v>966</v>
      </c>
      <c r="N915" s="8" t="n"/>
      <c r="O915" s="8" t="n"/>
      <c r="P915" s="8" t="n"/>
      <c r="Q915" s="8">
        <f>IF(COUNT(D915:P915)=0,"",MIN(D915:P915))</f>
        <v/>
      </c>
      <c r="R915" s="8">
        <f>IF(COUNT(D915:P915)=0,"",MEDIAN(D915:P915))</f>
        <v/>
      </c>
      <c r="S915" s="8">
        <f>IF(COUNT(D915:P915)=0,"",MAX(D915:P915))</f>
        <v/>
      </c>
      <c r="T915" s="9">
        <f>IF(OR(Q915="",Q915=0),"",(S915-Q915)/Q915)</f>
        <v/>
      </c>
      <c r="U915" s="7">
        <f>IF(COUNT(D915:P915)=0,"",INDEX($D$1:$P$1,MATCH(MIN(D915:P915),D915:P915,0)))</f>
        <v/>
      </c>
      <c r="V915" s="8" t="n">
        <v>1139.88</v>
      </c>
      <c r="W915" s="10" t="n">
        <v>1</v>
      </c>
    </row>
    <row r="916">
      <c r="A916" s="7" t="inlineStr">
        <is>
          <t>MAT-10-310</t>
        </is>
      </c>
      <c r="B916" s="4" t="inlineStr">
        <is>
          <t>Cable THHN #2, rollo 100 pies</t>
        </is>
      </c>
      <c r="C916" s="7" t="inlineStr">
        <is>
          <t>rollo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>
        <v>12600</v>
      </c>
      <c r="N916" s="8" t="n"/>
      <c r="O916" s="8" t="n"/>
      <c r="P916" s="8" t="n"/>
      <c r="Q916" s="8">
        <f>IF(COUNT(D916:P916)=0,"",MIN(D916:P916))</f>
        <v/>
      </c>
      <c r="R916" s="8">
        <f>IF(COUNT(D916:P916)=0,"",MEDIAN(D916:P916))</f>
        <v/>
      </c>
      <c r="S916" s="8">
        <f>IF(COUNT(D916:P916)=0,"",MAX(D916:P916))</f>
        <v/>
      </c>
      <c r="T916" s="9">
        <f>IF(OR(Q916="",Q916=0),"",(S916-Q916)/Q916)</f>
        <v/>
      </c>
      <c r="U916" s="7">
        <f>IF(COUNT(D916:P916)=0,"",INDEX($D$1:$P$1,MATCH(MIN(D916:P916),D916:P916,0)))</f>
        <v/>
      </c>
      <c r="V916" s="8" t="n">
        <v>14868</v>
      </c>
      <c r="W916" s="10" t="n">
        <v>1</v>
      </c>
    </row>
    <row r="917">
      <c r="A917" s="7" t="inlineStr">
        <is>
          <t>MAT-10-311</t>
        </is>
      </c>
      <c r="B917" s="4" t="inlineStr">
        <is>
          <t>Cable THHN #2/0, rollo 100 pies</t>
        </is>
      </c>
      <c r="C917" s="7" t="inlineStr">
        <is>
          <t>rollo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>
        <v>25900</v>
      </c>
      <c r="N917" s="8" t="n"/>
      <c r="O917" s="8" t="n"/>
      <c r="P917" s="8" t="n"/>
      <c r="Q917" s="8">
        <f>IF(COUNT(D917:P917)=0,"",MIN(D917:P917))</f>
        <v/>
      </c>
      <c r="R917" s="8">
        <f>IF(COUNT(D917:P917)=0,"",MEDIAN(D917:P917))</f>
        <v/>
      </c>
      <c r="S917" s="8">
        <f>IF(COUNT(D917:P917)=0,"",MAX(D917:P917))</f>
        <v/>
      </c>
      <c r="T917" s="9">
        <f>IF(OR(Q917="",Q917=0),"",(S917-Q917)/Q917)</f>
        <v/>
      </c>
      <c r="U917" s="7">
        <f>IF(COUNT(D917:P917)=0,"",INDEX($D$1:$P$1,MATCH(MIN(D917:P917),D917:P917,0)))</f>
        <v/>
      </c>
      <c r="V917" s="8" t="n">
        <v>30562</v>
      </c>
      <c r="W917" s="10" t="n">
        <v>1</v>
      </c>
    </row>
    <row r="918">
      <c r="A918" s="7" t="inlineStr">
        <is>
          <t>MAT-10-312</t>
        </is>
      </c>
      <c r="B918" s="4" t="inlineStr">
        <is>
          <t>Cable THHN #3/0, rollo 100 pies</t>
        </is>
      </c>
      <c r="C918" s="7" t="inlineStr">
        <is>
          <t>rollo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>
        <v>32800</v>
      </c>
      <c r="N918" s="8" t="n"/>
      <c r="O918" s="8" t="n"/>
      <c r="P918" s="8" t="n"/>
      <c r="Q918" s="8">
        <f>IF(COUNT(D918:P918)=0,"",MIN(D918:P918))</f>
        <v/>
      </c>
      <c r="R918" s="8">
        <f>IF(COUNT(D918:P918)=0,"",MEDIAN(D918:P918))</f>
        <v/>
      </c>
      <c r="S918" s="8">
        <f>IF(COUNT(D918:P918)=0,"",MAX(D918:P918))</f>
        <v/>
      </c>
      <c r="T918" s="9">
        <f>IF(OR(Q918="",Q918=0),"",(S918-Q918)/Q918)</f>
        <v/>
      </c>
      <c r="U918" s="7">
        <f>IF(COUNT(D918:P918)=0,"",INDEX($D$1:$P$1,MATCH(MIN(D918:P918),D918:P918,0)))</f>
        <v/>
      </c>
      <c r="V918" s="8" t="n">
        <v>38704</v>
      </c>
      <c r="W918" s="10" t="n">
        <v>1</v>
      </c>
    </row>
    <row r="919">
      <c r="A919" s="7" t="inlineStr">
        <is>
          <t>MAT-10-313</t>
        </is>
      </c>
      <c r="B919" s="4" t="inlineStr">
        <is>
          <t>Cable THHN #4, rollo 100 pies</t>
        </is>
      </c>
      <c r="C919" s="7" t="inlineStr">
        <is>
          <t>rollo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>
        <v>8436</v>
      </c>
      <c r="N919" s="8" t="n"/>
      <c r="O919" s="8" t="n"/>
      <c r="P919" s="8" t="n"/>
      <c r="Q919" s="8">
        <f>IF(COUNT(D919:P919)=0,"",MIN(D919:P919))</f>
        <v/>
      </c>
      <c r="R919" s="8">
        <f>IF(COUNT(D919:P919)=0,"",MEDIAN(D919:P919))</f>
        <v/>
      </c>
      <c r="S919" s="8">
        <f>IF(COUNT(D919:P919)=0,"",MAX(D919:P919))</f>
        <v/>
      </c>
      <c r="T919" s="9">
        <f>IF(OR(Q919="",Q919=0),"",(S919-Q919)/Q919)</f>
        <v/>
      </c>
      <c r="U919" s="7">
        <f>IF(COUNT(D919:P919)=0,"",INDEX($D$1:$P$1,MATCH(MIN(D919:P919),D919:P919,0)))</f>
        <v/>
      </c>
      <c r="V919" s="8" t="n">
        <v>9954.48</v>
      </c>
      <c r="W919" s="10" t="n">
        <v>1</v>
      </c>
    </row>
    <row r="920">
      <c r="A920" s="7" t="inlineStr">
        <is>
          <t>MAT-10-314</t>
        </is>
      </c>
      <c r="B920" s="4" t="inlineStr">
        <is>
          <t>Cable THHN #4/0, rollo 100 pies</t>
        </is>
      </c>
      <c r="C920" s="7" t="inlineStr">
        <is>
          <t>rollo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>
        <v>39200</v>
      </c>
      <c r="N920" s="8" t="n"/>
      <c r="O920" s="8" t="n"/>
      <c r="P920" s="8" t="n"/>
      <c r="Q920" s="8">
        <f>IF(COUNT(D920:P920)=0,"",MIN(D920:P920))</f>
        <v/>
      </c>
      <c r="R920" s="8">
        <f>IF(COUNT(D920:P920)=0,"",MEDIAN(D920:P920))</f>
        <v/>
      </c>
      <c r="S920" s="8">
        <f>IF(COUNT(D920:P920)=0,"",MAX(D920:P920))</f>
        <v/>
      </c>
      <c r="T920" s="9">
        <f>IF(OR(Q920="",Q920=0),"",(S920-Q920)/Q920)</f>
        <v/>
      </c>
      <c r="U920" s="7">
        <f>IF(COUNT(D920:P920)=0,"",INDEX($D$1:$P$1,MATCH(MIN(D920:P920),D920:P920,0)))</f>
        <v/>
      </c>
      <c r="V920" s="8" t="n">
        <v>46256</v>
      </c>
      <c r="W920" s="10" t="n">
        <v>1</v>
      </c>
    </row>
    <row r="921">
      <c r="A921" s="7" t="inlineStr">
        <is>
          <t>MAT-10-315</t>
        </is>
      </c>
      <c r="B921" s="4" t="inlineStr">
        <is>
          <t>Cable THHN #6, rollo 100 pies</t>
        </is>
      </c>
      <c r="C921" s="7" t="inlineStr">
        <is>
          <t>rollo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>
        <v>5268</v>
      </c>
      <c r="N921" s="8" t="n"/>
      <c r="O921" s="8" t="n"/>
      <c r="P921" s="8" t="n"/>
      <c r="Q921" s="8">
        <f>IF(COUNT(D921:P921)=0,"",MIN(D921:P921))</f>
        <v/>
      </c>
      <c r="R921" s="8">
        <f>IF(COUNT(D921:P921)=0,"",MEDIAN(D921:P921))</f>
        <v/>
      </c>
      <c r="S921" s="8">
        <f>IF(COUNT(D921:P921)=0,"",MAX(D921:P921))</f>
        <v/>
      </c>
      <c r="T921" s="9">
        <f>IF(OR(Q921="",Q921=0),"",(S921-Q921)/Q921)</f>
        <v/>
      </c>
      <c r="U921" s="7">
        <f>IF(COUNT(D921:P921)=0,"",INDEX($D$1:$P$1,MATCH(MIN(D921:P921),D921:P921,0)))</f>
        <v/>
      </c>
      <c r="V921" s="8" t="n">
        <v>6216.24</v>
      </c>
      <c r="W921" s="10" t="n">
        <v>1</v>
      </c>
    </row>
    <row r="922">
      <c r="A922" s="7" t="inlineStr">
        <is>
          <t>MAT-10-316</t>
        </is>
      </c>
      <c r="B922" s="4" t="inlineStr">
        <is>
          <t>Cable de goma 1.5 mm, 2 conductores, rollo 100 pies</t>
        </is>
      </c>
      <c r="C922" s="7" t="inlineStr">
        <is>
          <t>rollo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>
        <v>2102</v>
      </c>
      <c r="N922" s="8" t="n"/>
      <c r="O922" s="8" t="n"/>
      <c r="P922" s="8" t="n"/>
      <c r="Q922" s="8">
        <f>IF(COUNT(D922:P922)=0,"",MIN(D922:P922))</f>
        <v/>
      </c>
      <c r="R922" s="8">
        <f>IF(COUNT(D922:P922)=0,"",MEDIAN(D922:P922))</f>
        <v/>
      </c>
      <c r="S922" s="8">
        <f>IF(COUNT(D922:P922)=0,"",MAX(D922:P922))</f>
        <v/>
      </c>
      <c r="T922" s="9">
        <f>IF(OR(Q922="",Q922=0),"",(S922-Q922)/Q922)</f>
        <v/>
      </c>
      <c r="U922" s="7">
        <f>IF(COUNT(D922:P922)=0,"",INDEX($D$1:$P$1,MATCH(MIN(D922:P922),D922:P922,0)))</f>
        <v/>
      </c>
      <c r="V922" s="8" t="n">
        <v>2480.36</v>
      </c>
      <c r="W922" s="10" t="n">
        <v>1</v>
      </c>
    </row>
    <row r="923">
      <c r="A923" s="7" t="inlineStr">
        <is>
          <t>MAT-10-317</t>
        </is>
      </c>
      <c r="B923" s="4" t="inlineStr">
        <is>
          <t>Cable de goma 1.5 mm, 3 conductores, rollo 100 pies</t>
        </is>
      </c>
      <c r="C923" s="7" t="inlineStr">
        <is>
          <t>rollo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>
        <v>2927</v>
      </c>
      <c r="N923" s="8" t="n"/>
      <c r="O923" s="8" t="n"/>
      <c r="P923" s="8" t="n"/>
      <c r="Q923" s="8">
        <f>IF(COUNT(D923:P923)=0,"",MIN(D923:P923))</f>
        <v/>
      </c>
      <c r="R923" s="8">
        <f>IF(COUNT(D923:P923)=0,"",MEDIAN(D923:P923))</f>
        <v/>
      </c>
      <c r="S923" s="8">
        <f>IF(COUNT(D923:P923)=0,"",MAX(D923:P923))</f>
        <v/>
      </c>
      <c r="T923" s="9">
        <f>IF(OR(Q923="",Q923=0),"",(S923-Q923)/Q923)</f>
        <v/>
      </c>
      <c r="U923" s="7">
        <f>IF(COUNT(D923:P923)=0,"",INDEX($D$1:$P$1,MATCH(MIN(D923:P923),D923:P923,0)))</f>
        <v/>
      </c>
      <c r="V923" s="8" t="n">
        <v>3453.86</v>
      </c>
      <c r="W923" s="10" t="n">
        <v>1</v>
      </c>
    </row>
    <row r="924">
      <c r="A924" s="7" t="inlineStr">
        <is>
          <t>MAT-10-318</t>
        </is>
      </c>
      <c r="B924" s="4" t="inlineStr">
        <is>
          <t>Cable de goma 1.5 mm, 4 conductores, rollo 100 pies</t>
        </is>
      </c>
      <c r="C924" s="7" t="inlineStr">
        <is>
          <t>rollo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>
        <v>3713</v>
      </c>
      <c r="N924" s="8" t="n"/>
      <c r="O924" s="8" t="n"/>
      <c r="P924" s="8" t="n"/>
      <c r="Q924" s="8">
        <f>IF(COUNT(D924:P924)=0,"",MIN(D924:P924))</f>
        <v/>
      </c>
      <c r="R924" s="8">
        <f>IF(COUNT(D924:P924)=0,"",MEDIAN(D924:P924))</f>
        <v/>
      </c>
      <c r="S924" s="8">
        <f>IF(COUNT(D924:P924)=0,"",MAX(D924:P924))</f>
        <v/>
      </c>
      <c r="T924" s="9">
        <f>IF(OR(Q924="",Q924=0),"",(S924-Q924)/Q924)</f>
        <v/>
      </c>
      <c r="U924" s="7">
        <f>IF(COUNT(D924:P924)=0,"",INDEX($D$1:$P$1,MATCH(MIN(D924:P924),D924:P924,0)))</f>
        <v/>
      </c>
      <c r="V924" s="8" t="n">
        <v>4381.34</v>
      </c>
      <c r="W924" s="10" t="n">
        <v>1</v>
      </c>
    </row>
    <row r="925">
      <c r="A925" s="7" t="inlineStr">
        <is>
          <t>MAT-10-319</t>
        </is>
      </c>
      <c r="B925" s="4" t="inlineStr">
        <is>
          <t>Cable de goma 12, 2 conductores, rollo 100 pies</t>
        </is>
      </c>
      <c r="C925" s="7" t="inlineStr">
        <is>
          <t>rollo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>
        <v>3644</v>
      </c>
      <c r="N925" s="8" t="n"/>
      <c r="O925" s="8" t="n"/>
      <c r="P925" s="8" t="n"/>
      <c r="Q925" s="8">
        <f>IF(COUNT(D925:P925)=0,"",MIN(D925:P925))</f>
        <v/>
      </c>
      <c r="R925" s="8">
        <f>IF(COUNT(D925:P925)=0,"",MEDIAN(D925:P925))</f>
        <v/>
      </c>
      <c r="S925" s="8">
        <f>IF(COUNT(D925:P925)=0,"",MAX(D925:P925))</f>
        <v/>
      </c>
      <c r="T925" s="9">
        <f>IF(OR(Q925="",Q925=0),"",(S925-Q925)/Q925)</f>
        <v/>
      </c>
      <c r="U925" s="7">
        <f>IF(COUNT(D925:P925)=0,"",INDEX($D$1:$P$1,MATCH(MIN(D925:P925),D925:P925,0)))</f>
        <v/>
      </c>
      <c r="V925" s="8" t="n">
        <v>4299.92</v>
      </c>
      <c r="W925" s="10" t="n">
        <v>1</v>
      </c>
    </row>
    <row r="926">
      <c r="A926" s="7" t="inlineStr">
        <is>
          <t>MAT-10-320</t>
        </is>
      </c>
      <c r="B926" s="4" t="inlineStr">
        <is>
          <t>Cable de goma 12, 3 conductores, rollo 100 pies</t>
        </is>
      </c>
      <c r="C926" s="7" t="inlineStr">
        <is>
          <t>rollo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>
        <v>5338</v>
      </c>
      <c r="N926" s="8" t="n"/>
      <c r="O926" s="8" t="n"/>
      <c r="P926" s="8" t="n"/>
      <c r="Q926" s="8">
        <f>IF(COUNT(D926:P926)=0,"",MIN(D926:P926))</f>
        <v/>
      </c>
      <c r="R926" s="8">
        <f>IF(COUNT(D926:P926)=0,"",MEDIAN(D926:P926))</f>
        <v/>
      </c>
      <c r="S926" s="8">
        <f>IF(COUNT(D926:P926)=0,"",MAX(D926:P926))</f>
        <v/>
      </c>
      <c r="T926" s="9">
        <f>IF(OR(Q926="",Q926=0),"",(S926-Q926)/Q926)</f>
        <v/>
      </c>
      <c r="U926" s="7">
        <f>IF(COUNT(D926:P926)=0,"",INDEX($D$1:$P$1,MATCH(MIN(D926:P926),D926:P926,0)))</f>
        <v/>
      </c>
      <c r="V926" s="8" t="n">
        <v>6298.84</v>
      </c>
      <c r="W926" s="10" t="n">
        <v>1</v>
      </c>
    </row>
    <row r="927">
      <c r="A927" s="7" t="inlineStr">
        <is>
          <t>MAT-10-321</t>
        </is>
      </c>
      <c r="B927" s="4" t="inlineStr">
        <is>
          <t>Cable de goma 14, 4 conductores, rollo 100 pies</t>
        </is>
      </c>
      <c r="C927" s="7" t="inlineStr">
        <is>
          <t>rollo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>
        <v>4668</v>
      </c>
      <c r="N927" s="8" t="n"/>
      <c r="O927" s="8" t="n"/>
      <c r="P927" s="8" t="n"/>
      <c r="Q927" s="8">
        <f>IF(COUNT(D927:P927)=0,"",MIN(D927:P927))</f>
        <v/>
      </c>
      <c r="R927" s="8">
        <f>IF(COUNT(D927:P927)=0,"",MEDIAN(D927:P927))</f>
        <v/>
      </c>
      <c r="S927" s="8">
        <f>IF(COUNT(D927:P927)=0,"",MAX(D927:P927))</f>
        <v/>
      </c>
      <c r="T927" s="9">
        <f>IF(OR(Q927="",Q927=0),"",(S927-Q927)/Q927)</f>
        <v/>
      </c>
      <c r="U927" s="7">
        <f>IF(COUNT(D927:P927)=0,"",INDEX($D$1:$P$1,MATCH(MIN(D927:P927),D927:P927,0)))</f>
        <v/>
      </c>
      <c r="V927" s="8" t="n">
        <v>5508.24</v>
      </c>
      <c r="W927" s="10" t="n">
        <v>1</v>
      </c>
    </row>
    <row r="928">
      <c r="A928" s="7" t="inlineStr">
        <is>
          <t>MAT-10-322</t>
        </is>
      </c>
      <c r="B928" s="4" t="inlineStr">
        <is>
          <t>Cable de goma 2.5 mm, 2 conductores, rollo 100 pies</t>
        </is>
      </c>
      <c r="C928" s="7" t="inlineStr">
        <is>
          <t>rollo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>
        <v>2908</v>
      </c>
      <c r="N928" s="8" t="n"/>
      <c r="O928" s="8" t="n"/>
      <c r="P928" s="8" t="n"/>
      <c r="Q928" s="8">
        <f>IF(COUNT(D928:P928)=0,"",MIN(D928:P928))</f>
        <v/>
      </c>
      <c r="R928" s="8">
        <f>IF(COUNT(D928:P928)=0,"",MEDIAN(D928:P928))</f>
        <v/>
      </c>
      <c r="S928" s="8">
        <f>IF(COUNT(D928:P928)=0,"",MAX(D928:P928))</f>
        <v/>
      </c>
      <c r="T928" s="9">
        <f>IF(OR(Q928="",Q928=0),"",(S928-Q928)/Q928)</f>
        <v/>
      </c>
      <c r="U928" s="7">
        <f>IF(COUNT(D928:P928)=0,"",INDEX($D$1:$P$1,MATCH(MIN(D928:P928),D928:P928,0)))</f>
        <v/>
      </c>
      <c r="V928" s="8" t="n">
        <v>3431.44</v>
      </c>
      <c r="W928" s="10" t="n">
        <v>1</v>
      </c>
    </row>
    <row r="929">
      <c r="A929" s="7" t="inlineStr">
        <is>
          <t>MAT-10-323</t>
        </is>
      </c>
      <c r="B929" s="4" t="inlineStr">
        <is>
          <t>Cable de goma 2.5 mm, 3 conductores, rollo 100 pies</t>
        </is>
      </c>
      <c r="C929" s="7" t="inlineStr">
        <is>
          <t>rollo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>
        <v>4361</v>
      </c>
      <c r="N929" s="8" t="n"/>
      <c r="O929" s="8" t="n"/>
      <c r="P929" s="8" t="n"/>
      <c r="Q929" s="8">
        <f>IF(COUNT(D929:P929)=0,"",MIN(D929:P929))</f>
        <v/>
      </c>
      <c r="R929" s="8">
        <f>IF(COUNT(D929:P929)=0,"",MEDIAN(D929:P929))</f>
        <v/>
      </c>
      <c r="S929" s="8">
        <f>IF(COUNT(D929:P929)=0,"",MAX(D929:P929))</f>
        <v/>
      </c>
      <c r="T929" s="9">
        <f>IF(OR(Q929="",Q929=0),"",(S929-Q929)/Q929)</f>
        <v/>
      </c>
      <c r="U929" s="7">
        <f>IF(COUNT(D929:P929)=0,"",INDEX($D$1:$P$1,MATCH(MIN(D929:P929),D929:P929,0)))</f>
        <v/>
      </c>
      <c r="V929" s="8" t="n">
        <v>5145.98</v>
      </c>
      <c r="W929" s="10" t="n">
        <v>1</v>
      </c>
    </row>
    <row r="930">
      <c r="A930" s="7" t="inlineStr">
        <is>
          <t>MAT-10-324</t>
        </is>
      </c>
      <c r="B930" s="4" t="inlineStr">
        <is>
          <t>Cable de goma 6, 4 conductores, rollo 100 pies</t>
        </is>
      </c>
      <c r="C930" s="7" t="inlineStr">
        <is>
          <t>rollo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>
        <v>26700</v>
      </c>
      <c r="N930" s="8" t="n"/>
      <c r="O930" s="8" t="n"/>
      <c r="P930" s="8" t="n"/>
      <c r="Q930" s="8">
        <f>IF(COUNT(D930:P930)=0,"",MIN(D930:P930))</f>
        <v/>
      </c>
      <c r="R930" s="8">
        <f>IF(COUNT(D930:P930)=0,"",MEDIAN(D930:P930))</f>
        <v/>
      </c>
      <c r="S930" s="8">
        <f>IF(COUNT(D930:P930)=0,"",MAX(D930:P930))</f>
        <v/>
      </c>
      <c r="T930" s="9">
        <f>IF(OR(Q930="",Q930=0),"",(S930-Q930)/Q930)</f>
        <v/>
      </c>
      <c r="U930" s="7">
        <f>IF(COUNT(D930:P930)=0,"",INDEX($D$1:$P$1,MATCH(MIN(D930:P930),D930:P930,0)))</f>
        <v/>
      </c>
      <c r="V930" s="8" t="n">
        <v>31506</v>
      </c>
      <c r="W930" s="10" t="n">
        <v>1</v>
      </c>
    </row>
    <row r="931">
      <c r="A931" s="7" t="inlineStr">
        <is>
          <t>MAT-10-325</t>
        </is>
      </c>
      <c r="B931" s="4" t="inlineStr">
        <is>
          <t>Extensión eléctrica de 10 pies</t>
        </is>
      </c>
      <c r="C931" s="7" t="inlineStr">
        <is>
          <t>unidad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>
        <v>180</v>
      </c>
      <c r="M931" s="8" t="n"/>
      <c r="N931" s="8" t="n"/>
      <c r="O931" s="8" t="n"/>
      <c r="P931" s="8" t="n"/>
      <c r="Q931" s="8">
        <f>IF(COUNT(D931:P931)=0,"",MIN(D931:P931))</f>
        <v/>
      </c>
      <c r="R931" s="8">
        <f>IF(COUNT(D931:P931)=0,"",MEDIAN(D931:P931))</f>
        <v/>
      </c>
      <c r="S931" s="8">
        <f>IF(COUNT(D931:P931)=0,"",MAX(D931:P931))</f>
        <v/>
      </c>
      <c r="T931" s="9">
        <f>IF(OR(Q931="",Q931=0),"",(S931-Q931)/Q931)</f>
        <v/>
      </c>
      <c r="U931" s="7">
        <f>IF(COUNT(D931:P931)=0,"",INDEX($D$1:$P$1,MATCH(MIN(D931:P931),D931:P931,0)))</f>
        <v/>
      </c>
      <c r="V931" s="8" t="n">
        <v>180</v>
      </c>
      <c r="W931" s="10" t="n">
        <v>1</v>
      </c>
    </row>
    <row r="932">
      <c r="A932" s="7" t="inlineStr">
        <is>
          <t>MAT-10-326</t>
        </is>
      </c>
      <c r="B932" s="4" t="inlineStr">
        <is>
          <t>Extensión eléctrica de 100 pies</t>
        </is>
      </c>
      <c r="C932" s="7" t="inlineStr">
        <is>
          <t>unidad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>
        <v>1355.01</v>
      </c>
      <c r="M932" s="8" t="n"/>
      <c r="N932" s="8" t="n"/>
      <c r="O932" s="8" t="n"/>
      <c r="P932" s="8" t="n"/>
      <c r="Q932" s="8">
        <f>IF(COUNT(D932:P932)=0,"",MIN(D932:P932))</f>
        <v/>
      </c>
      <c r="R932" s="8">
        <f>IF(COUNT(D932:P932)=0,"",MEDIAN(D932:P932))</f>
        <v/>
      </c>
      <c r="S932" s="8">
        <f>IF(COUNT(D932:P932)=0,"",MAX(D932:P932))</f>
        <v/>
      </c>
      <c r="T932" s="9">
        <f>IF(OR(Q932="",Q932=0),"",(S932-Q932)/Q932)</f>
        <v/>
      </c>
      <c r="U932" s="7">
        <f>IF(COUNT(D932:P932)=0,"",INDEX($D$1:$P$1,MATCH(MIN(D932:P932),D932:P932,0)))</f>
        <v/>
      </c>
      <c r="V932" s="8" t="n">
        <v>1940</v>
      </c>
      <c r="W932" s="10" t="n">
        <v>1</v>
      </c>
    </row>
    <row r="933">
      <c r="A933" s="7" t="inlineStr">
        <is>
          <t>MAT-10-327</t>
        </is>
      </c>
      <c r="B933" s="4" t="inlineStr">
        <is>
          <t>Extensión eléctrica de 12 pies</t>
        </is>
      </c>
      <c r="C933" s="7" t="inlineStr">
        <is>
          <t>unidad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>
        <v>210</v>
      </c>
      <c r="M933" s="8" t="n"/>
      <c r="N933" s="8" t="n"/>
      <c r="O933" s="8" t="n"/>
      <c r="P933" s="8" t="n"/>
      <c r="Q933" s="8">
        <f>IF(COUNT(D933:P933)=0,"",MIN(D933:P933))</f>
        <v/>
      </c>
      <c r="R933" s="8">
        <f>IF(COUNT(D933:P933)=0,"",MEDIAN(D933:P933))</f>
        <v/>
      </c>
      <c r="S933" s="8">
        <f>IF(COUNT(D933:P933)=0,"",MAX(D933:P933))</f>
        <v/>
      </c>
      <c r="T933" s="9">
        <f>IF(OR(Q933="",Q933=0),"",(S933-Q933)/Q933)</f>
        <v/>
      </c>
      <c r="U933" s="7">
        <f>IF(COUNT(D933:P933)=0,"",INDEX($D$1:$P$1,MATCH(MIN(D933:P933),D933:P933,0)))</f>
        <v/>
      </c>
      <c r="V933" s="8" t="n">
        <v>285</v>
      </c>
      <c r="W933" s="10" t="n">
        <v>1</v>
      </c>
    </row>
    <row r="934">
      <c r="A934" s="7" t="inlineStr">
        <is>
          <t>MAT-10-328</t>
        </is>
      </c>
      <c r="B934" s="4" t="inlineStr">
        <is>
          <t>Extensión eléctrica de 13 pies</t>
        </is>
      </c>
      <c r="C934" s="7" t="inlineStr">
        <is>
          <t>unidad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>
        <v>225</v>
      </c>
      <c r="M934" s="8" t="n"/>
      <c r="N934" s="8" t="n"/>
      <c r="O934" s="8" t="n"/>
      <c r="P934" s="8" t="n"/>
      <c r="Q934" s="8">
        <f>IF(COUNT(D934:P934)=0,"",MIN(D934:P934))</f>
        <v/>
      </c>
      <c r="R934" s="8">
        <f>IF(COUNT(D934:P934)=0,"",MEDIAN(D934:P934))</f>
        <v/>
      </c>
      <c r="S934" s="8">
        <f>IF(COUNT(D934:P934)=0,"",MAX(D934:P934))</f>
        <v/>
      </c>
      <c r="T934" s="9">
        <f>IF(OR(Q934="",Q934=0),"",(S934-Q934)/Q934)</f>
        <v/>
      </c>
      <c r="U934" s="7">
        <f>IF(COUNT(D934:P934)=0,"",INDEX($D$1:$P$1,MATCH(MIN(D934:P934),D934:P934,0)))</f>
        <v/>
      </c>
      <c r="V934" s="8" t="n">
        <v>225</v>
      </c>
      <c r="W934" s="10" t="n">
        <v>1</v>
      </c>
    </row>
    <row r="935">
      <c r="A935" s="7" t="inlineStr">
        <is>
          <t>MAT-10-329</t>
        </is>
      </c>
      <c r="B935" s="4" t="inlineStr">
        <is>
          <t>Extensión eléctrica de 15 pies</t>
        </is>
      </c>
      <c r="C935" s="7" t="inlineStr">
        <is>
          <t>unidad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300</v>
      </c>
      <c r="M935" s="8" t="n"/>
      <c r="N935" s="8" t="n"/>
      <c r="O935" s="8" t="n"/>
      <c r="P935" s="8" t="n"/>
      <c r="Q935" s="8">
        <f>IF(COUNT(D935:P935)=0,"",MIN(D935:P935))</f>
        <v/>
      </c>
      <c r="R935" s="8">
        <f>IF(COUNT(D935:P935)=0,"",MEDIAN(D935:P935))</f>
        <v/>
      </c>
      <c r="S935" s="8">
        <f>IF(COUNT(D935:P935)=0,"",MAX(D935:P935))</f>
        <v/>
      </c>
      <c r="T935" s="9">
        <f>IF(OR(Q935="",Q935=0),"",(S935-Q935)/Q935)</f>
        <v/>
      </c>
      <c r="U935" s="7">
        <f>IF(COUNT(D935:P935)=0,"",INDEX($D$1:$P$1,MATCH(MIN(D935:P935),D935:P935,0)))</f>
        <v/>
      </c>
      <c r="V935" s="8" t="n">
        <v>505</v>
      </c>
      <c r="W935" s="10" t="n">
        <v>1</v>
      </c>
    </row>
    <row r="936">
      <c r="A936" s="7" t="inlineStr">
        <is>
          <t>MAT-10-330</t>
        </is>
      </c>
      <c r="B936" s="4" t="inlineStr">
        <is>
          <t>Extensión eléctrica de 16 pies</t>
        </is>
      </c>
      <c r="C936" s="7" t="inlineStr">
        <is>
          <t>unidad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270</v>
      </c>
      <c r="M936" s="8" t="n"/>
      <c r="N936" s="8" t="n"/>
      <c r="O936" s="8" t="n"/>
      <c r="P936" s="8" t="n"/>
      <c r="Q936" s="8">
        <f>IF(COUNT(D936:P936)=0,"",MIN(D936:P936))</f>
        <v/>
      </c>
      <c r="R936" s="8">
        <f>IF(COUNT(D936:P936)=0,"",MEDIAN(D936:P936))</f>
        <v/>
      </c>
      <c r="S936" s="8">
        <f>IF(COUNT(D936:P936)=0,"",MAX(D936:P936))</f>
        <v/>
      </c>
      <c r="T936" s="9">
        <f>IF(OR(Q936="",Q936=0),"",(S936-Q936)/Q936)</f>
        <v/>
      </c>
      <c r="U936" s="7">
        <f>IF(COUNT(D936:P936)=0,"",INDEX($D$1:$P$1,MATCH(MIN(D936:P936),D936:P936,0)))</f>
        <v/>
      </c>
      <c r="V936" s="8" t="n">
        <v>270</v>
      </c>
      <c r="W936" s="10" t="n">
        <v>1</v>
      </c>
    </row>
    <row r="937">
      <c r="A937" s="7" t="inlineStr">
        <is>
          <t>MAT-10-331</t>
        </is>
      </c>
      <c r="B937" s="4" t="inlineStr">
        <is>
          <t>Extensión eléctrica de 25 pies</t>
        </is>
      </c>
      <c r="C937" s="7" t="inlineStr">
        <is>
          <t>unidad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>
        <v>1700</v>
      </c>
      <c r="M937" s="8" t="n"/>
      <c r="N937" s="8" t="n"/>
      <c r="O937" s="8" t="n"/>
      <c r="P937" s="8" t="n"/>
      <c r="Q937" s="8">
        <f>IF(COUNT(D937:P937)=0,"",MIN(D937:P937))</f>
        <v/>
      </c>
      <c r="R937" s="8">
        <f>IF(COUNT(D937:P937)=0,"",MEDIAN(D937:P937))</f>
        <v/>
      </c>
      <c r="S937" s="8">
        <f>IF(COUNT(D937:P937)=0,"",MAX(D937:P937))</f>
        <v/>
      </c>
      <c r="T937" s="9">
        <f>IF(OR(Q937="",Q937=0),"",(S937-Q937)/Q937)</f>
        <v/>
      </c>
      <c r="U937" s="7">
        <f>IF(COUNT(D937:P937)=0,"",INDEX($D$1:$P$1,MATCH(MIN(D937:P937),D937:P937,0)))</f>
        <v/>
      </c>
      <c r="V937" s="8" t="n">
        <v>1700</v>
      </c>
      <c r="W937" s="10" t="n">
        <v>1</v>
      </c>
    </row>
    <row r="938">
      <c r="A938" s="7" t="inlineStr">
        <is>
          <t>MAT-10-332</t>
        </is>
      </c>
      <c r="B938" s="4" t="inlineStr">
        <is>
          <t>Extensión eléctrica de 26 pies</t>
        </is>
      </c>
      <c r="C938" s="7" t="inlineStr">
        <is>
          <t>unidad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>
        <v>520</v>
      </c>
      <c r="M938" s="8" t="n"/>
      <c r="N938" s="8" t="n"/>
      <c r="O938" s="8" t="n"/>
      <c r="P938" s="8" t="n"/>
      <c r="Q938" s="8">
        <f>IF(COUNT(D938:P938)=0,"",MIN(D938:P938))</f>
        <v/>
      </c>
      <c r="R938" s="8">
        <f>IF(COUNT(D938:P938)=0,"",MEDIAN(D938:P938))</f>
        <v/>
      </c>
      <c r="S938" s="8">
        <f>IF(COUNT(D938:P938)=0,"",MAX(D938:P938))</f>
        <v/>
      </c>
      <c r="T938" s="9">
        <f>IF(OR(Q938="",Q938=0),"",(S938-Q938)/Q938)</f>
        <v/>
      </c>
      <c r="U938" s="7">
        <f>IF(COUNT(D938:P938)=0,"",INDEX($D$1:$P$1,MATCH(MIN(D938:P938),D938:P938,0)))</f>
        <v/>
      </c>
      <c r="V938" s="8" t="n">
        <v>520</v>
      </c>
      <c r="W938" s="10" t="n">
        <v>1</v>
      </c>
    </row>
    <row r="939">
      <c r="A939" s="7" t="inlineStr">
        <is>
          <t>MAT-10-333</t>
        </is>
      </c>
      <c r="B939" s="4" t="inlineStr">
        <is>
          <t>Extensión eléctrica de 50 pies</t>
        </is>
      </c>
      <c r="C939" s="7" t="inlineStr">
        <is>
          <t>unidad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>
        <v>725</v>
      </c>
      <c r="M939" s="8" t="n"/>
      <c r="N939" s="8" t="n"/>
      <c r="O939" s="8" t="n"/>
      <c r="P939" s="8" t="n"/>
      <c r="Q939" s="8">
        <f>IF(COUNT(D939:P939)=0,"",MIN(D939:P939))</f>
        <v/>
      </c>
      <c r="R939" s="8">
        <f>IF(COUNT(D939:P939)=0,"",MEDIAN(D939:P939))</f>
        <v/>
      </c>
      <c r="S939" s="8">
        <f>IF(COUNT(D939:P939)=0,"",MAX(D939:P939))</f>
        <v/>
      </c>
      <c r="T939" s="9">
        <f>IF(OR(Q939="",Q939=0),"",(S939-Q939)/Q939)</f>
        <v/>
      </c>
      <c r="U939" s="7">
        <f>IF(COUNT(D939:P939)=0,"",INDEX($D$1:$P$1,MATCH(MIN(D939:P939),D939:P939,0)))</f>
        <v/>
      </c>
      <c r="V939" s="8" t="n">
        <v>1330</v>
      </c>
      <c r="W939" s="10" t="n">
        <v>1</v>
      </c>
    </row>
    <row r="940">
      <c r="A940" s="7" t="inlineStr">
        <is>
          <t>MAT-10-334</t>
        </is>
      </c>
      <c r="B940" s="4" t="inlineStr">
        <is>
          <t>Extensión eléctrica de 6 pies</t>
        </is>
      </c>
      <c r="C940" s="7" t="inlineStr">
        <is>
          <t>unidad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>
        <v>310</v>
      </c>
      <c r="M940" s="8" t="n"/>
      <c r="N940" s="8" t="n"/>
      <c r="O940" s="8" t="n"/>
      <c r="P940" s="8" t="n"/>
      <c r="Q940" s="8">
        <f>IF(COUNT(D940:P940)=0,"",MIN(D940:P940))</f>
        <v/>
      </c>
      <c r="R940" s="8">
        <f>IF(COUNT(D940:P940)=0,"",MEDIAN(D940:P940))</f>
        <v/>
      </c>
      <c r="S940" s="8">
        <f>IF(COUNT(D940:P940)=0,"",MAX(D940:P940))</f>
        <v/>
      </c>
      <c r="T940" s="9">
        <f>IF(OR(Q940="",Q940=0),"",(S940-Q940)/Q940)</f>
        <v/>
      </c>
      <c r="U940" s="7">
        <f>IF(COUNT(D940:P940)=0,"",INDEX($D$1:$P$1,MATCH(MIN(D940:P940),D940:P940,0)))</f>
        <v/>
      </c>
      <c r="V940" s="8" t="n">
        <v>310</v>
      </c>
      <c r="W940" s="10" t="n">
        <v>1</v>
      </c>
    </row>
    <row r="941">
      <c r="A941" s="7" t="inlineStr">
        <is>
          <t>MAT-10-335</t>
        </is>
      </c>
      <c r="B941" s="4" t="inlineStr">
        <is>
          <t>Extensión eléctrica de 7 pies</t>
        </is>
      </c>
      <c r="C941" s="7" t="inlineStr">
        <is>
          <t>unidad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>
        <v>145</v>
      </c>
      <c r="M941" s="8" t="n"/>
      <c r="N941" s="8" t="n"/>
      <c r="O941" s="8" t="n"/>
      <c r="P941" s="8" t="n"/>
      <c r="Q941" s="8">
        <f>IF(COUNT(D941:P941)=0,"",MIN(D941:P941))</f>
        <v/>
      </c>
      <c r="R941" s="8">
        <f>IF(COUNT(D941:P941)=0,"",MEDIAN(D941:P941))</f>
        <v/>
      </c>
      <c r="S941" s="8">
        <f>IF(COUNT(D941:P941)=0,"",MAX(D941:P941))</f>
        <v/>
      </c>
      <c r="T941" s="9">
        <f>IF(OR(Q941="",Q941=0),"",(S941-Q941)/Q941)</f>
        <v/>
      </c>
      <c r="U941" s="7">
        <f>IF(COUNT(D941:P941)=0,"",INDEX($D$1:$P$1,MATCH(MIN(D941:P941),D941:P941,0)))</f>
        <v/>
      </c>
      <c r="V941" s="8" t="n">
        <v>145</v>
      </c>
      <c r="W941" s="10" t="n">
        <v>1</v>
      </c>
    </row>
    <row r="942">
      <c r="A942" s="7" t="inlineStr">
        <is>
          <t>MAT-10-336</t>
        </is>
      </c>
      <c r="B942" s="4" t="inlineStr">
        <is>
          <t>Regleta de 6 salidas</t>
        </is>
      </c>
      <c r="C942" s="7" t="inlineStr">
        <is>
          <t>unidad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>
        <v>654.99</v>
      </c>
      <c r="M942" s="8" t="n"/>
      <c r="N942" s="8" t="n"/>
      <c r="O942" s="8" t="n"/>
      <c r="P942" s="8" t="n"/>
      <c r="Q942" s="8">
        <f>IF(COUNT(D942:P942)=0,"",MIN(D942:P942))</f>
        <v/>
      </c>
      <c r="R942" s="8">
        <f>IF(COUNT(D942:P942)=0,"",MEDIAN(D942:P942))</f>
        <v/>
      </c>
      <c r="S942" s="8">
        <f>IF(COUNT(D942:P942)=0,"",MAX(D942:P942))</f>
        <v/>
      </c>
      <c r="T942" s="9">
        <f>IF(OR(Q942="",Q942=0),"",(S942-Q942)/Q942)</f>
        <v/>
      </c>
      <c r="U942" s="7">
        <f>IF(COUNT(D942:P942)=0,"",INDEX($D$1:$P$1,MATCH(MIN(D942:P942),D942:P942,0)))</f>
        <v/>
      </c>
      <c r="V942" s="8" t="n">
        <v>737.5</v>
      </c>
      <c r="W942" s="10" t="n">
        <v>1</v>
      </c>
    </row>
    <row r="943">
      <c r="A943" s="7" t="inlineStr">
        <is>
          <t>MAT-10-337</t>
        </is>
      </c>
      <c r="B943" s="4" t="inlineStr">
        <is>
          <t>Regleta de 6 salidas con supresor de picos</t>
        </is>
      </c>
      <c r="C943" s="7" t="inlineStr">
        <is>
          <t>unidad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>
        <v>725</v>
      </c>
      <c r="M943" s="8" t="n"/>
      <c r="N943" s="8" t="n"/>
      <c r="O943" s="8" t="n"/>
      <c r="P943" s="8" t="n"/>
      <c r="Q943" s="8">
        <f>IF(COUNT(D943:P943)=0,"",MIN(D943:P943))</f>
        <v/>
      </c>
      <c r="R943" s="8">
        <f>IF(COUNT(D943:P943)=0,"",MEDIAN(D943:P943))</f>
        <v/>
      </c>
      <c r="S943" s="8">
        <f>IF(COUNT(D943:P943)=0,"",MAX(D943:P943))</f>
        <v/>
      </c>
      <c r="T943" s="9">
        <f>IF(OR(Q943="",Q943=0),"",(S943-Q943)/Q943)</f>
        <v/>
      </c>
      <c r="U943" s="7">
        <f>IF(COUNT(D943:P943)=0,"",INDEX($D$1:$P$1,MATCH(MIN(D943:P943),D943:P943,0)))</f>
        <v/>
      </c>
      <c r="V943" s="8" t="n">
        <v>725</v>
      </c>
      <c r="W943" s="10" t="n">
        <v>1</v>
      </c>
    </row>
    <row r="944">
      <c r="A944" s="7" t="inlineStr">
        <is>
          <t>MAT-10-338</t>
        </is>
      </c>
      <c r="B944" s="4" t="inlineStr">
        <is>
          <t>Regleta de 8 salidas</t>
        </is>
      </c>
      <c r="C944" s="7" t="inlineStr">
        <is>
          <t>unidad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>
        <v>1195</v>
      </c>
      <c r="M944" s="8" t="n"/>
      <c r="N944" s="8" t="n"/>
      <c r="O944" s="8" t="n"/>
      <c r="P944" s="8" t="n"/>
      <c r="Q944" s="8">
        <f>IF(COUNT(D944:P944)=0,"",MIN(D944:P944))</f>
        <v/>
      </c>
      <c r="R944" s="8">
        <f>IF(COUNT(D944:P944)=0,"",MEDIAN(D944:P944))</f>
        <v/>
      </c>
      <c r="S944" s="8">
        <f>IF(COUNT(D944:P944)=0,"",MAX(D944:P944))</f>
        <v/>
      </c>
      <c r="T944" s="9">
        <f>IF(OR(Q944="",Q944=0),"",(S944-Q944)/Q944)</f>
        <v/>
      </c>
      <c r="U944" s="7">
        <f>IF(COUNT(D944:P944)=0,"",INDEX($D$1:$P$1,MATCH(MIN(D944:P944),D944:P944,0)))</f>
        <v/>
      </c>
      <c r="V944" s="8" t="n">
        <v>1195</v>
      </c>
      <c r="W944" s="10" t="n">
        <v>1</v>
      </c>
    </row>
    <row r="945">
      <c r="A945" s="7" t="inlineStr">
        <is>
          <t>MAT-10-339</t>
        </is>
      </c>
      <c r="B945" s="4" t="inlineStr">
        <is>
          <t>Sensor de movimiento</t>
        </is>
      </c>
      <c r="C945" s="7" t="inlineStr">
        <is>
          <t>unidad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>
        <v>500</v>
      </c>
      <c r="M945" s="8" t="n"/>
      <c r="N945" s="8" t="n"/>
      <c r="O945" s="8" t="n"/>
      <c r="P945" s="8" t="n"/>
      <c r="Q945" s="8">
        <f>IF(COUNT(D945:P945)=0,"",MIN(D945:P945))</f>
        <v/>
      </c>
      <c r="R945" s="8">
        <f>IF(COUNT(D945:P945)=0,"",MEDIAN(D945:P945))</f>
        <v/>
      </c>
      <c r="S945" s="8">
        <f>IF(COUNT(D945:P945)=0,"",MAX(D945:P945))</f>
        <v/>
      </c>
      <c r="T945" s="9">
        <f>IF(OR(Q945="",Q945=0),"",(S945-Q945)/Q945)</f>
        <v/>
      </c>
      <c r="U945" s="7">
        <f>IF(COUNT(D945:P945)=0,"",INDEX($D$1:$P$1,MATCH(MIN(D945:P945),D945:P945,0)))</f>
        <v/>
      </c>
      <c r="V945" s="8" t="n">
        <v>570</v>
      </c>
      <c r="W945" s="10" t="n">
        <v>1</v>
      </c>
    </row>
    <row r="946">
      <c r="A946" s="7" t="inlineStr">
        <is>
          <t>MAT-10-340</t>
        </is>
      </c>
      <c r="B946" s="4" t="inlineStr">
        <is>
          <t>Temporizador</t>
        </is>
      </c>
      <c r="C946" s="7" t="inlineStr">
        <is>
          <t>unidad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>
        <v>805</v>
      </c>
      <c r="M946" s="8" t="n"/>
      <c r="N946" s="8" t="n"/>
      <c r="O946" s="8" t="n"/>
      <c r="P946" s="8" t="n"/>
      <c r="Q946" s="8">
        <f>IF(COUNT(D946:P946)=0,"",MIN(D946:P946))</f>
        <v/>
      </c>
      <c r="R946" s="8">
        <f>IF(COUNT(D946:P946)=0,"",MEDIAN(D946:P946))</f>
        <v/>
      </c>
      <c r="S946" s="8">
        <f>IF(COUNT(D946:P946)=0,"",MAX(D946:P946))</f>
        <v/>
      </c>
      <c r="T946" s="9">
        <f>IF(OR(Q946="",Q946=0),"",(S946-Q946)/Q946)</f>
        <v/>
      </c>
      <c r="U946" s="7">
        <f>IF(COUNT(D946:P946)=0,"",INDEX($D$1:$P$1,MATCH(MIN(D946:P946),D946:P946,0)))</f>
        <v/>
      </c>
      <c r="V946" s="8" t="n">
        <v>805</v>
      </c>
      <c r="W946" s="10" t="n">
        <v>1</v>
      </c>
    </row>
    <row r="947">
      <c r="A947" s="7" t="inlineStr">
        <is>
          <t>MAT-10-341</t>
        </is>
      </c>
      <c r="B947" s="4" t="inlineStr">
        <is>
          <t>Timbre eléctrico</t>
        </is>
      </c>
      <c r="C947" s="7" t="inlineStr">
        <is>
          <t>unidad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>
        <v>100</v>
      </c>
      <c r="M947" s="8" t="n"/>
      <c r="N947" s="8" t="n"/>
      <c r="O947" s="8" t="n"/>
      <c r="P947" s="8" t="n"/>
      <c r="Q947" s="8">
        <f>IF(COUNT(D947:P947)=0,"",MIN(D947:P947))</f>
        <v/>
      </c>
      <c r="R947" s="8">
        <f>IF(COUNT(D947:P947)=0,"",MEDIAN(D947:P947))</f>
        <v/>
      </c>
      <c r="S947" s="8">
        <f>IF(COUNT(D947:P947)=0,"",MAX(D947:P947))</f>
        <v/>
      </c>
      <c r="T947" s="9">
        <f>IF(OR(Q947="",Q947=0),"",(S947-Q947)/Q947)</f>
        <v/>
      </c>
      <c r="U947" s="7">
        <f>IF(COUNT(D947:P947)=0,"",INDEX($D$1:$P$1,MATCH(MIN(D947:P947),D947:P947,0)))</f>
        <v/>
      </c>
      <c r="V947" s="8" t="n">
        <v>414.99</v>
      </c>
      <c r="W947" s="10" t="n">
        <v>1</v>
      </c>
    </row>
    <row r="948">
      <c r="A948" s="7" t="inlineStr">
        <is>
          <t>MAT-12-009</t>
        </is>
      </c>
      <c r="B948" s="4" t="inlineStr">
        <is>
          <t>Pintura acrílica, cubeta de 5 galones</t>
        </is>
      </c>
      <c r="C948" s="7" t="inlineStr">
        <is>
          <t>envase</t>
        </is>
      </c>
      <c r="D948" s="8" t="n"/>
      <c r="E948" s="8" t="n"/>
      <c r="F948" s="8" t="n"/>
      <c r="G948" s="8" t="n"/>
      <c r="H948" s="8" t="n"/>
      <c r="I948" s="8" t="n">
        <v>1750</v>
      </c>
      <c r="J948" s="8" t="n"/>
      <c r="K948" s="8" t="n"/>
      <c r="L948" s="8" t="n"/>
      <c r="M948" s="8" t="n"/>
      <c r="N948" s="8" t="n">
        <v>1730.56</v>
      </c>
      <c r="O948" s="8" t="n"/>
      <c r="P948" s="8" t="n"/>
      <c r="Q948" s="8">
        <f>IF(COUNT(D948:P948)=0,"",MIN(D948:P948))</f>
        <v/>
      </c>
      <c r="R948" s="8">
        <f>IF(COUNT(D948:P948)=0,"",MEDIAN(D948:P948))</f>
        <v/>
      </c>
      <c r="S948" s="8">
        <f>IF(COUNT(D948:P948)=0,"",MAX(D948:P948))</f>
        <v/>
      </c>
      <c r="T948" s="9">
        <f>IF(OR(Q948="",Q948=0),"",(S948-Q948)/Q948)</f>
        <v/>
      </c>
      <c r="U948" s="7">
        <f>IF(COUNT(D948:P948)=0,"",INDEX($D$1:$P$1,MATCH(MIN(D948:P948),D948:P948,0)))</f>
        <v/>
      </c>
      <c r="V948" s="8" t="n">
        <v>3750</v>
      </c>
      <c r="W948" s="10" t="n">
        <v>2</v>
      </c>
    </row>
    <row r="949">
      <c r="A949" s="7" t="inlineStr">
        <is>
          <t>MAT-12-010</t>
        </is>
      </c>
      <c r="B949" s="4" t="inlineStr">
        <is>
          <t>Pintura acrílica, galón</t>
        </is>
      </c>
      <c r="C949" s="7" t="inlineStr">
        <is>
          <t>envase</t>
        </is>
      </c>
      <c r="D949" s="8" t="n"/>
      <c r="E949" s="8" t="n"/>
      <c r="F949" s="8" t="n"/>
      <c r="G949" s="8" t="n"/>
      <c r="H949" s="8" t="n"/>
      <c r="I949" s="8" t="n">
        <v>375</v>
      </c>
      <c r="J949" s="8" t="n"/>
      <c r="K949" s="8" t="n"/>
      <c r="L949" s="8" t="n"/>
      <c r="M949" s="8" t="n"/>
      <c r="N949" s="8" t="n">
        <v>374.4</v>
      </c>
      <c r="O949" s="8" t="n"/>
      <c r="P949" s="8" t="n"/>
      <c r="Q949" s="8">
        <f>IF(COUNT(D949:P949)=0,"",MIN(D949:P949))</f>
        <v/>
      </c>
      <c r="R949" s="8">
        <f>IF(COUNT(D949:P949)=0,"",MEDIAN(D949:P949))</f>
        <v/>
      </c>
      <c r="S949" s="8">
        <f>IF(COUNT(D949:P949)=0,"",MAX(D949:P949))</f>
        <v/>
      </c>
      <c r="T949" s="9">
        <f>IF(OR(Q949="",Q949=0),"",(S949-Q949)/Q949)</f>
        <v/>
      </c>
      <c r="U949" s="7">
        <f>IF(COUNT(D949:P949)=0,"",INDEX($D$1:$P$1,MATCH(MIN(D949:P949),D949:P949,0)))</f>
        <v/>
      </c>
      <c r="V949" s="8" t="n">
        <v>757.13</v>
      </c>
      <c r="W949" s="10" t="n">
        <v>2</v>
      </c>
    </row>
    <row r="950">
      <c r="A950" s="7" t="inlineStr">
        <is>
          <t>MAT-12-011</t>
        </is>
      </c>
      <c r="B950" s="4" t="inlineStr">
        <is>
          <t>Pintura aislante térmica, galón</t>
        </is>
      </c>
      <c r="C950" s="7" t="inlineStr">
        <is>
          <t>envase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>
        <v>6835.64</v>
      </c>
      <c r="O950" s="8" t="n"/>
      <c r="P950" s="8" t="n"/>
      <c r="Q950" s="8">
        <f>IF(COUNT(D950:P950)=0,"",MIN(D950:P950))</f>
        <v/>
      </c>
      <c r="R950" s="8">
        <f>IF(COUNT(D950:P950)=0,"",MEDIAN(D950:P950))</f>
        <v/>
      </c>
      <c r="S950" s="8">
        <f>IF(COUNT(D950:P950)=0,"",MAX(D950:P950))</f>
        <v/>
      </c>
      <c r="T950" s="9">
        <f>IF(OR(Q950="",Q950=0),"",(S950-Q950)/Q950)</f>
        <v/>
      </c>
      <c r="U950" s="7">
        <f>IF(COUNT(D950:P950)=0,"",INDEX($D$1:$P$1,MATCH(MIN(D950:P950),D950:P950,0)))</f>
        <v/>
      </c>
      <c r="V950" s="8" t="n">
        <v>6835.64</v>
      </c>
      <c r="W950" s="10" t="n">
        <v>1</v>
      </c>
    </row>
    <row r="951">
      <c r="A951" s="7" t="inlineStr">
        <is>
          <t>MAT-12-012</t>
        </is>
      </c>
      <c r="B951" s="4" t="inlineStr">
        <is>
          <t>Pintura anticorrosiva, galón</t>
        </is>
      </c>
      <c r="C951" s="7" t="inlineStr">
        <is>
          <t>envase</t>
        </is>
      </c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>
        <v>1345.06</v>
      </c>
      <c r="O951" s="8" t="n"/>
      <c r="P951" s="8" t="n"/>
      <c r="Q951" s="8">
        <f>IF(COUNT(D951:P951)=0,"",MIN(D951:P951))</f>
        <v/>
      </c>
      <c r="R951" s="8">
        <f>IF(COUNT(D951:P951)=0,"",MEDIAN(D951:P951))</f>
        <v/>
      </c>
      <c r="S951" s="8">
        <f>IF(COUNT(D951:P951)=0,"",MAX(D951:P951))</f>
        <v/>
      </c>
      <c r="T951" s="9">
        <f>IF(OR(Q951="",Q951=0),"",(S951-Q951)/Q951)</f>
        <v/>
      </c>
      <c r="U951" s="7">
        <f>IF(COUNT(D951:P951)=0,"",INDEX($D$1:$P$1,MATCH(MIN(D951:P951),D951:P951,0)))</f>
        <v/>
      </c>
      <c r="V951" s="8" t="n">
        <v>4353.57</v>
      </c>
      <c r="W951" s="10" t="n">
        <v>1</v>
      </c>
    </row>
    <row r="952">
      <c r="A952" s="7" t="inlineStr">
        <is>
          <t>MAT-12-013</t>
        </is>
      </c>
      <c r="B952" s="4" t="inlineStr">
        <is>
          <t>Pintura de tráfico, galón</t>
        </is>
      </c>
      <c r="C952" s="7" t="inlineStr">
        <is>
          <t>envase</t>
        </is>
      </c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>
        <v>1705.6</v>
      </c>
      <c r="O952" s="8" t="n"/>
      <c r="P952" s="8" t="n"/>
      <c r="Q952" s="8">
        <f>IF(COUNT(D952:P952)=0,"",MIN(D952:P952))</f>
        <v/>
      </c>
      <c r="R952" s="8">
        <f>IF(COUNT(D952:P952)=0,"",MEDIAN(D952:P952))</f>
        <v/>
      </c>
      <c r="S952" s="8">
        <f>IF(COUNT(D952:P952)=0,"",MAX(D952:P952))</f>
        <v/>
      </c>
      <c r="T952" s="9">
        <f>IF(OR(Q952="",Q952=0),"",(S952-Q952)/Q952)</f>
        <v/>
      </c>
      <c r="U952" s="7">
        <f>IF(COUNT(D952:P952)=0,"",INDEX($D$1:$P$1,MATCH(MIN(D952:P952),D952:P952,0)))</f>
        <v/>
      </c>
      <c r="V952" s="8" t="n">
        <v>1780.6</v>
      </c>
      <c r="W952" s="10" t="n">
        <v>1</v>
      </c>
    </row>
    <row r="953">
      <c r="A953" s="7" t="inlineStr">
        <is>
          <t>MAT-12-014</t>
        </is>
      </c>
      <c r="B953" s="4" t="inlineStr">
        <is>
          <t>Pintura epóxica, cubeta de 5 galones</t>
        </is>
      </c>
      <c r="C953" s="7" t="inlineStr">
        <is>
          <t>envase</t>
        </is>
      </c>
      <c r="D953" s="8" t="n"/>
      <c r="E953" s="8" t="n"/>
      <c r="F953" s="8" t="n"/>
      <c r="G953" s="8" t="n"/>
      <c r="H953" s="8" t="n"/>
      <c r="I953" s="8" t="n">
        <v>1675</v>
      </c>
      <c r="J953" s="8" t="n"/>
      <c r="K953" s="8" t="n"/>
      <c r="L953" s="8" t="n"/>
      <c r="M953" s="8" t="n"/>
      <c r="N953" s="8" t="n"/>
      <c r="O953" s="8" t="n"/>
      <c r="P953" s="8" t="n"/>
      <c r="Q953" s="8">
        <f>IF(COUNT(D953:P953)=0,"",MIN(D953:P953))</f>
        <v/>
      </c>
      <c r="R953" s="8">
        <f>IF(COUNT(D953:P953)=0,"",MEDIAN(D953:P953))</f>
        <v/>
      </c>
      <c r="S953" s="8">
        <f>IF(COUNT(D953:P953)=0,"",MAX(D953:P953))</f>
        <v/>
      </c>
      <c r="T953" s="9">
        <f>IF(OR(Q953="",Q953=0),"",(S953-Q953)/Q953)</f>
        <v/>
      </c>
      <c r="U953" s="7">
        <f>IF(COUNT(D953:P953)=0,"",INDEX($D$1:$P$1,MATCH(MIN(D953:P953),D953:P953,0)))</f>
        <v/>
      </c>
      <c r="V953" s="8" t="n">
        <v>1675</v>
      </c>
      <c r="W953" s="10" t="n">
        <v>1</v>
      </c>
    </row>
    <row r="954">
      <c r="A954" s="7" t="inlineStr">
        <is>
          <t>MAT-12-015</t>
        </is>
      </c>
      <c r="B954" s="4" t="inlineStr">
        <is>
          <t>Pintura epóxica, galón</t>
        </is>
      </c>
      <c r="C954" s="7" t="inlineStr">
        <is>
          <t>envase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>
        <v>2954.01</v>
      </c>
      <c r="O954" s="8" t="n"/>
      <c r="P954" s="8" t="n"/>
      <c r="Q954" s="8">
        <f>IF(COUNT(D954:P954)=0,"",MIN(D954:P954))</f>
        <v/>
      </c>
      <c r="R954" s="8">
        <f>IF(COUNT(D954:P954)=0,"",MEDIAN(D954:P954))</f>
        <v/>
      </c>
      <c r="S954" s="8">
        <f>IF(COUNT(D954:P954)=0,"",MAX(D954:P954))</f>
        <v/>
      </c>
      <c r="T954" s="9">
        <f>IF(OR(Q954="",Q954=0),"",(S954-Q954)/Q954)</f>
        <v/>
      </c>
      <c r="U954" s="7">
        <f>IF(COUNT(D954:P954)=0,"",INDEX($D$1:$P$1,MATCH(MIN(D954:P954),D954:P954,0)))</f>
        <v/>
      </c>
      <c r="V954" s="8" t="n">
        <v>2954.01</v>
      </c>
      <c r="W954" s="10" t="n">
        <v>1</v>
      </c>
    </row>
    <row r="955">
      <c r="A955" s="7" t="inlineStr">
        <is>
          <t>MAT-12-016</t>
        </is>
      </c>
      <c r="B955" s="4" t="inlineStr">
        <is>
          <t>Pintura esmalte, envase de 750 ml</t>
        </is>
      </c>
      <c r="C955" s="7" t="inlineStr">
        <is>
          <t>envase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>
        <v>1212.3</v>
      </c>
      <c r="O955" s="8" t="n"/>
      <c r="P955" s="8" t="n"/>
      <c r="Q955" s="8">
        <f>IF(COUNT(D955:P955)=0,"",MIN(D955:P955))</f>
        <v/>
      </c>
      <c r="R955" s="8">
        <f>IF(COUNT(D955:P955)=0,"",MEDIAN(D955:P955))</f>
        <v/>
      </c>
      <c r="S955" s="8">
        <f>IF(COUNT(D955:P955)=0,"",MAX(D955:P955))</f>
        <v/>
      </c>
      <c r="T955" s="9">
        <f>IF(OR(Q955="",Q955=0),"",(S955-Q955)/Q955)</f>
        <v/>
      </c>
      <c r="U955" s="7">
        <f>IF(COUNT(D955:P955)=0,"",INDEX($D$1:$P$1,MATCH(MIN(D955:P955),D955:P955,0)))</f>
        <v/>
      </c>
      <c r="V955" s="8" t="n">
        <v>1212.3</v>
      </c>
      <c r="W955" s="10" t="n">
        <v>1</v>
      </c>
    </row>
    <row r="956">
      <c r="A956" s="7" t="inlineStr">
        <is>
          <t>MAT-12-017</t>
        </is>
      </c>
      <c r="B956" s="4" t="inlineStr">
        <is>
          <t>Pintura esmalte, galón</t>
        </is>
      </c>
      <c r="C956" s="7" t="inlineStr">
        <is>
          <t>envase</t>
        </is>
      </c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>
        <v>1312.41</v>
      </c>
      <c r="O956" s="8" t="n"/>
      <c r="P956" s="8" t="n"/>
      <c r="Q956" s="8">
        <f>IF(COUNT(D956:P956)=0,"",MIN(D956:P956))</f>
        <v/>
      </c>
      <c r="R956" s="8">
        <f>IF(COUNT(D956:P956)=0,"",MEDIAN(D956:P956))</f>
        <v/>
      </c>
      <c r="S956" s="8">
        <f>IF(COUNT(D956:P956)=0,"",MAX(D956:P956))</f>
        <v/>
      </c>
      <c r="T956" s="9">
        <f>IF(OR(Q956="",Q956=0),"",(S956-Q956)/Q956)</f>
        <v/>
      </c>
      <c r="U956" s="7">
        <f>IF(COUNT(D956:P956)=0,"",INDEX($D$1:$P$1,MATCH(MIN(D956:P956),D956:P956,0)))</f>
        <v/>
      </c>
      <c r="V956" s="8" t="n">
        <v>3548.15</v>
      </c>
      <c r="W956" s="10" t="n">
        <v>1</v>
      </c>
    </row>
    <row r="957">
      <c r="A957" s="7" t="inlineStr">
        <is>
          <t>MAT-12-018</t>
        </is>
      </c>
      <c r="B957" s="4" t="inlineStr">
        <is>
          <t>Impermeabilizante, cubeta de 5 galones</t>
        </is>
      </c>
      <c r="C957" s="7" t="inlineStr">
        <is>
          <t>envase</t>
        </is>
      </c>
      <c r="D957" s="8" t="n"/>
      <c r="E957" s="8" t="n"/>
      <c r="F957" s="8" t="n"/>
      <c r="G957" s="8" t="n"/>
      <c r="H957" s="8" t="n"/>
      <c r="I957" s="8" t="n">
        <v>2065</v>
      </c>
      <c r="J957" s="8" t="n"/>
      <c r="K957" s="8" t="n"/>
      <c r="L957" s="8" t="n"/>
      <c r="M957" s="8" t="n"/>
      <c r="N957" s="8" t="n">
        <v>4578.08</v>
      </c>
      <c r="O957" s="8" t="n"/>
      <c r="P957" s="8" t="n"/>
      <c r="Q957" s="8">
        <f>IF(COUNT(D957:P957)=0,"",MIN(D957:P957))</f>
        <v/>
      </c>
      <c r="R957" s="8">
        <f>IF(COUNT(D957:P957)=0,"",MEDIAN(D957:P957))</f>
        <v/>
      </c>
      <c r="S957" s="8">
        <f>IF(COUNT(D957:P957)=0,"",MAX(D957:P957))</f>
        <v/>
      </c>
      <c r="T957" s="9">
        <f>IF(OR(Q957="",Q957=0),"",(S957-Q957)/Q957)</f>
        <v/>
      </c>
      <c r="U957" s="7">
        <f>IF(COUNT(D957:P957)=0,"",INDEX($D$1:$P$1,MATCH(MIN(D957:P957),D957:P957,0)))</f>
        <v/>
      </c>
      <c r="V957" s="8" t="n">
        <v>7752.62</v>
      </c>
      <c r="W957" s="10" t="n">
        <v>2</v>
      </c>
    </row>
    <row r="958">
      <c r="A958" s="7" t="inlineStr">
        <is>
          <t>MAT-12-019</t>
        </is>
      </c>
      <c r="B958" s="4" t="inlineStr">
        <is>
          <t>Impermeabilizante, funda de 40 libras</t>
        </is>
      </c>
      <c r="C958" s="7" t="inlineStr">
        <is>
          <t>envase</t>
        </is>
      </c>
      <c r="D958" s="8" t="n"/>
      <c r="E958" s="8" t="n">
        <v>2427</v>
      </c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>
        <v>2419.2</v>
      </c>
      <c r="O958" s="8" t="n"/>
      <c r="P958" s="8" t="n"/>
      <c r="Q958" s="8">
        <f>IF(COUNT(D958:P958)=0,"",MIN(D958:P958))</f>
        <v/>
      </c>
      <c r="R958" s="8">
        <f>IF(COUNT(D958:P958)=0,"",MEDIAN(D958:P958))</f>
        <v/>
      </c>
      <c r="S958" s="8">
        <f>IF(COUNT(D958:P958)=0,"",MAX(D958:P958))</f>
        <v/>
      </c>
      <c r="T958" s="9">
        <f>IF(OR(Q958="",Q958=0),"",(S958-Q958)/Q958)</f>
        <v/>
      </c>
      <c r="U958" s="7">
        <f>IF(COUNT(D958:P958)=0,"",INDEX($D$1:$P$1,MATCH(MIN(D958:P958),D958:P958,0)))</f>
        <v/>
      </c>
      <c r="V958" s="8" t="n">
        <v>2663</v>
      </c>
      <c r="W958" s="10" t="n">
        <v>2</v>
      </c>
    </row>
    <row r="959">
      <c r="A959" s="7" t="inlineStr">
        <is>
          <t>MAT-12-020</t>
        </is>
      </c>
      <c r="B959" s="4" t="inlineStr">
        <is>
          <t>Impermeabilizante, funda de 44 libras</t>
        </is>
      </c>
      <c r="C959" s="7" t="inlineStr">
        <is>
          <t>envase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>
        <v>2838.53</v>
      </c>
      <c r="O959" s="8" t="n"/>
      <c r="P959" s="8" t="n"/>
      <c r="Q959" s="8">
        <f>IF(COUNT(D959:P959)=0,"",MIN(D959:P959))</f>
        <v/>
      </c>
      <c r="R959" s="8">
        <f>IF(COUNT(D959:P959)=0,"",MEDIAN(D959:P959))</f>
        <v/>
      </c>
      <c r="S959" s="8">
        <f>IF(COUNT(D959:P959)=0,"",MAX(D959:P959))</f>
        <v/>
      </c>
      <c r="T959" s="9">
        <f>IF(OR(Q959="",Q959=0),"",(S959-Q959)/Q959)</f>
        <v/>
      </c>
      <c r="U959" s="7">
        <f>IF(COUNT(D959:P959)=0,"",INDEX($D$1:$P$1,MATCH(MIN(D959:P959),D959:P959,0)))</f>
        <v/>
      </c>
      <c r="V959" s="8" t="n">
        <v>2838.53</v>
      </c>
      <c r="W959" s="10" t="n">
        <v>1</v>
      </c>
    </row>
    <row r="960">
      <c r="A960" s="7" t="inlineStr">
        <is>
          <t>MAT-12-021</t>
        </is>
      </c>
      <c r="B960" s="4" t="inlineStr">
        <is>
          <t>Impermeabilizante, galón</t>
        </is>
      </c>
      <c r="C960" s="7" t="inlineStr">
        <is>
          <t>envase</t>
        </is>
      </c>
      <c r="D960" s="8" t="n"/>
      <c r="E960" s="8" t="n"/>
      <c r="F960" s="8" t="n"/>
      <c r="G960" s="8" t="n"/>
      <c r="H960" s="8" t="n"/>
      <c r="I960" s="8" t="n">
        <v>1265</v>
      </c>
      <c r="J960" s="8" t="n"/>
      <c r="K960" s="8" t="n"/>
      <c r="L960" s="8" t="n"/>
      <c r="M960" s="8" t="n"/>
      <c r="N960" s="8" t="n">
        <v>3104.96</v>
      </c>
      <c r="O960" s="8" t="n"/>
      <c r="P960" s="8" t="n"/>
      <c r="Q960" s="8">
        <f>IF(COUNT(D960:P960)=0,"",MIN(D960:P960))</f>
        <v/>
      </c>
      <c r="R960" s="8">
        <f>IF(COUNT(D960:P960)=0,"",MEDIAN(D960:P960))</f>
        <v/>
      </c>
      <c r="S960" s="8">
        <f>IF(COUNT(D960:P960)=0,"",MAX(D960:P960))</f>
        <v/>
      </c>
      <c r="T960" s="9">
        <f>IF(OR(Q960="",Q960=0),"",(S960-Q960)/Q960)</f>
        <v/>
      </c>
      <c r="U960" s="7">
        <f>IF(COUNT(D960:P960)=0,"",INDEX($D$1:$P$1,MATCH(MIN(D960:P960),D960:P960,0)))</f>
        <v/>
      </c>
      <c r="V960" s="8" t="n">
        <v>2299.98</v>
      </c>
      <c r="W960" s="10" t="n">
        <v>2</v>
      </c>
    </row>
    <row r="961">
      <c r="A961" s="7" t="inlineStr">
        <is>
          <t>MAT-12-022</t>
        </is>
      </c>
      <c r="B961" s="4" t="inlineStr">
        <is>
          <t>Masilla, cubeta de 5 galones</t>
        </is>
      </c>
      <c r="C961" s="7" t="inlineStr">
        <is>
          <t>envase</t>
        </is>
      </c>
      <c r="D961" s="8" t="n"/>
      <c r="E961" s="8" t="n"/>
      <c r="F961" s="8" t="n"/>
      <c r="G961" s="8" t="n"/>
      <c r="H961" s="8" t="n"/>
      <c r="I961" s="8" t="n">
        <v>1395</v>
      </c>
      <c r="J961" s="8" t="n"/>
      <c r="K961" s="8" t="n"/>
      <c r="L961" s="8" t="n"/>
      <c r="M961" s="8" t="n"/>
      <c r="N961" s="8" t="n"/>
      <c r="O961" s="8" t="n"/>
      <c r="P961" s="8" t="n"/>
      <c r="Q961" s="8">
        <f>IF(COUNT(D961:P961)=0,"",MIN(D961:P961))</f>
        <v/>
      </c>
      <c r="R961" s="8">
        <f>IF(COUNT(D961:P961)=0,"",MEDIAN(D961:P961))</f>
        <v/>
      </c>
      <c r="S961" s="8">
        <f>IF(COUNT(D961:P961)=0,"",MAX(D961:P961))</f>
        <v/>
      </c>
      <c r="T961" s="9">
        <f>IF(OR(Q961="",Q961=0),"",(S961-Q961)/Q961)</f>
        <v/>
      </c>
      <c r="U961" s="7">
        <f>IF(COUNT(D961:P961)=0,"",INDEX($D$1:$P$1,MATCH(MIN(D961:P961),D961:P961,0)))</f>
        <v/>
      </c>
      <c r="V961" s="8" t="n">
        <v>1795</v>
      </c>
      <c r="W961" s="10" t="n">
        <v>1</v>
      </c>
    </row>
    <row r="962">
      <c r="A962" s="7" t="inlineStr">
        <is>
          <t>MAT-12-023</t>
        </is>
      </c>
      <c r="B962" s="4" t="inlineStr">
        <is>
          <t>Masilla, envase de 2.5 litros</t>
        </is>
      </c>
      <c r="C962" s="7" t="inlineStr">
        <is>
          <t>envase</t>
        </is>
      </c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>
        <v>1429.12</v>
      </c>
      <c r="O962" s="8" t="n"/>
      <c r="P962" s="8" t="n"/>
      <c r="Q962" s="8">
        <f>IF(COUNT(D962:P962)=0,"",MIN(D962:P962))</f>
        <v/>
      </c>
      <c r="R962" s="8">
        <f>IF(COUNT(D962:P962)=0,"",MEDIAN(D962:P962))</f>
        <v/>
      </c>
      <c r="S962" s="8">
        <f>IF(COUNT(D962:P962)=0,"",MAX(D962:P962))</f>
        <v/>
      </c>
      <c r="T962" s="9">
        <f>IF(OR(Q962="",Q962=0),"",(S962-Q962)/Q962)</f>
        <v/>
      </c>
      <c r="U962" s="7">
        <f>IF(COUNT(D962:P962)=0,"",INDEX($D$1:$P$1,MATCH(MIN(D962:P962),D962:P962,0)))</f>
        <v/>
      </c>
      <c r="V962" s="8" t="n">
        <v>1429.12</v>
      </c>
      <c r="W962" s="10" t="n">
        <v>1</v>
      </c>
    </row>
    <row r="963">
      <c r="A963" s="7" t="inlineStr">
        <is>
          <t>MAT-12-024</t>
        </is>
      </c>
      <c r="B963" s="4" t="inlineStr">
        <is>
          <t>Masilla, funda de 1 libra</t>
        </is>
      </c>
      <c r="C963" s="7" t="inlineStr">
        <is>
          <t>envase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>
        <v>211.9</v>
      </c>
      <c r="O963" s="8" t="n"/>
      <c r="P963" s="8" t="n"/>
      <c r="Q963" s="8">
        <f>IF(COUNT(D963:P963)=0,"",MIN(D963:P963))</f>
        <v/>
      </c>
      <c r="R963" s="8">
        <f>IF(COUNT(D963:P963)=0,"",MEDIAN(D963:P963))</f>
        <v/>
      </c>
      <c r="S963" s="8">
        <f>IF(COUNT(D963:P963)=0,"",MAX(D963:P963))</f>
        <v/>
      </c>
      <c r="T963" s="9">
        <f>IF(OR(Q963="",Q963=0),"",(S963-Q963)/Q963)</f>
        <v/>
      </c>
      <c r="U963" s="7">
        <f>IF(COUNT(D963:P963)=0,"",INDEX($D$1:$P$1,MATCH(MIN(D963:P963),D963:P963,0)))</f>
        <v/>
      </c>
      <c r="V963" s="8" t="n">
        <v>211.9</v>
      </c>
      <c r="W963" s="10" t="n">
        <v>1</v>
      </c>
    </row>
    <row r="964">
      <c r="A964" s="7" t="inlineStr">
        <is>
          <t>MAT-12-025</t>
        </is>
      </c>
      <c r="B964" s="4" t="inlineStr">
        <is>
          <t>Masilla, funda de 11 libras</t>
        </is>
      </c>
      <c r="C964" s="7" t="inlineStr">
        <is>
          <t>envase</t>
        </is>
      </c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>
        <v>1118.66</v>
      </c>
      <c r="O964" s="8" t="n"/>
      <c r="P964" s="8" t="n"/>
      <c r="Q964" s="8">
        <f>IF(COUNT(D964:P964)=0,"",MIN(D964:P964))</f>
        <v/>
      </c>
      <c r="R964" s="8">
        <f>IF(COUNT(D964:P964)=0,"",MEDIAN(D964:P964))</f>
        <v/>
      </c>
      <c r="S964" s="8">
        <f>IF(COUNT(D964:P964)=0,"",MAX(D964:P964))</f>
        <v/>
      </c>
      <c r="T964" s="9">
        <f>IF(OR(Q964="",Q964=0),"",(S964-Q964)/Q964)</f>
        <v/>
      </c>
      <c r="U964" s="7">
        <f>IF(COUNT(D964:P964)=0,"",INDEX($D$1:$P$1,MATCH(MIN(D964:P964),D964:P964,0)))</f>
        <v/>
      </c>
      <c r="V964" s="8" t="n">
        <v>1118.66</v>
      </c>
      <c r="W964" s="10" t="n">
        <v>1</v>
      </c>
    </row>
    <row r="965">
      <c r="A965" s="7" t="inlineStr">
        <is>
          <t>MAT-12-026</t>
        </is>
      </c>
      <c r="B965" s="4" t="inlineStr">
        <is>
          <t>Masilla, funda de 2 libras</t>
        </is>
      </c>
      <c r="C965" s="7" t="inlineStr">
        <is>
          <t>envase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>
        <v>335.1</v>
      </c>
      <c r="O965" s="8" t="n"/>
      <c r="P965" s="8" t="n"/>
      <c r="Q965" s="8">
        <f>IF(COUNT(D965:P965)=0,"",MIN(D965:P965))</f>
        <v/>
      </c>
      <c r="R965" s="8">
        <f>IF(COUNT(D965:P965)=0,"",MEDIAN(D965:P965))</f>
        <v/>
      </c>
      <c r="S965" s="8">
        <f>IF(COUNT(D965:P965)=0,"",MAX(D965:P965))</f>
        <v/>
      </c>
      <c r="T965" s="9">
        <f>IF(OR(Q965="",Q965=0),"",(S965-Q965)/Q965)</f>
        <v/>
      </c>
      <c r="U965" s="7">
        <f>IF(COUNT(D965:P965)=0,"",INDEX($D$1:$P$1,MATCH(MIN(D965:P965),D965:P965,0)))</f>
        <v/>
      </c>
      <c r="V965" s="8" t="n">
        <v>335.1</v>
      </c>
      <c r="W965" s="10" t="n">
        <v>1</v>
      </c>
    </row>
    <row r="966">
      <c r="A966" s="7" t="inlineStr">
        <is>
          <t>MAT-12-027</t>
        </is>
      </c>
      <c r="B966" s="4" t="inlineStr">
        <is>
          <t>Masilla para exterior, cubeta de 5 galones</t>
        </is>
      </c>
      <c r="C966" s="7" t="inlineStr">
        <is>
          <t>envase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>
        <v>4072.16</v>
      </c>
      <c r="O966" s="8" t="n"/>
      <c r="P966" s="8" t="n"/>
      <c r="Q966" s="8">
        <f>IF(COUNT(D966:P966)=0,"",MIN(D966:P966))</f>
        <v/>
      </c>
      <c r="R966" s="8">
        <f>IF(COUNT(D966:P966)=0,"",MEDIAN(D966:P966))</f>
        <v/>
      </c>
      <c r="S966" s="8">
        <f>IF(COUNT(D966:P966)=0,"",MAX(D966:P966))</f>
        <v/>
      </c>
      <c r="T966" s="9">
        <f>IF(OR(Q966="",Q966=0),"",(S966-Q966)/Q966)</f>
        <v/>
      </c>
      <c r="U966" s="7">
        <f>IF(COUNT(D966:P966)=0,"",INDEX($D$1:$P$1,MATCH(MIN(D966:P966),D966:P966,0)))</f>
        <v/>
      </c>
      <c r="V966" s="8" t="n">
        <v>4072.16</v>
      </c>
      <c r="W966" s="10" t="n">
        <v>1</v>
      </c>
    </row>
    <row r="967">
      <c r="A967" s="7" t="inlineStr">
        <is>
          <t>MAT-12-028</t>
        </is>
      </c>
      <c r="B967" s="4" t="inlineStr">
        <is>
          <t>Masilla para exterior, funda de 40 libras</t>
        </is>
      </c>
      <c r="C967" s="7" t="inlineStr">
        <is>
          <t>envase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>
        <v>2157.6</v>
      </c>
      <c r="O967" s="8" t="n"/>
      <c r="P967" s="8" t="n"/>
      <c r="Q967" s="8">
        <f>IF(COUNT(D967:P967)=0,"",MIN(D967:P967))</f>
        <v/>
      </c>
      <c r="R967" s="8">
        <f>IF(COUNT(D967:P967)=0,"",MEDIAN(D967:P967))</f>
        <v/>
      </c>
      <c r="S967" s="8">
        <f>IF(COUNT(D967:P967)=0,"",MAX(D967:P967))</f>
        <v/>
      </c>
      <c r="T967" s="9">
        <f>IF(OR(Q967="",Q967=0),"",(S967-Q967)/Q967)</f>
        <v/>
      </c>
      <c r="U967" s="7">
        <f>IF(COUNT(D967:P967)=0,"",INDEX($D$1:$P$1,MATCH(MIN(D967:P967),D967:P967,0)))</f>
        <v/>
      </c>
      <c r="V967" s="8" t="n">
        <v>2157.6</v>
      </c>
      <c r="W967" s="10" t="n">
        <v>1</v>
      </c>
    </row>
    <row r="968">
      <c r="A968" s="7" t="inlineStr">
        <is>
          <t>MAT-12-029</t>
        </is>
      </c>
      <c r="B968" s="4" t="inlineStr">
        <is>
          <t>Masilla para sheetrock, cubeta de 5 galones</t>
        </is>
      </c>
      <c r="C968" s="7" t="inlineStr">
        <is>
          <t>envase</t>
        </is>
      </c>
      <c r="D968" s="8" t="n"/>
      <c r="E968" s="8" t="n">
        <v>4316</v>
      </c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>
        <v>1221.74</v>
      </c>
      <c r="O968" s="8" t="n"/>
      <c r="P968" s="8" t="n"/>
      <c r="Q968" s="8">
        <f>IF(COUNT(D968:P968)=0,"",MIN(D968:P968))</f>
        <v/>
      </c>
      <c r="R968" s="8">
        <f>IF(COUNT(D968:P968)=0,"",MEDIAN(D968:P968))</f>
        <v/>
      </c>
      <c r="S968" s="8">
        <f>IF(COUNT(D968:P968)=0,"",MAX(D968:P968))</f>
        <v/>
      </c>
      <c r="T968" s="9">
        <f>IF(OR(Q968="",Q968=0),"",(S968-Q968)/Q968)</f>
        <v/>
      </c>
      <c r="U968" s="7">
        <f>IF(COUNT(D968:P968)=0,"",INDEX($D$1:$P$1,MATCH(MIN(D968:P968),D968:P968,0)))</f>
        <v/>
      </c>
      <c r="V968" s="8" t="n">
        <v>1401.92</v>
      </c>
      <c r="W968" s="10" t="n">
        <v>2</v>
      </c>
    </row>
    <row r="969">
      <c r="A969" s="7" t="inlineStr">
        <is>
          <t>MAT-12-030</t>
        </is>
      </c>
      <c r="B969" s="4" t="inlineStr">
        <is>
          <t>Masilla para sheetrock, funda de 14 libras</t>
        </is>
      </c>
      <c r="C969" s="7" t="inlineStr">
        <is>
          <t>envase</t>
        </is>
      </c>
      <c r="D969" s="8" t="n"/>
      <c r="E969" s="8" t="n">
        <v>1198</v>
      </c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>
        <f>IF(COUNT(D969:P969)=0,"",MIN(D969:P969))</f>
        <v/>
      </c>
      <c r="R969" s="8">
        <f>IF(COUNT(D969:P969)=0,"",MEDIAN(D969:P969))</f>
        <v/>
      </c>
      <c r="S969" s="8">
        <f>IF(COUNT(D969:P969)=0,"",MAX(D969:P969))</f>
        <v/>
      </c>
      <c r="T969" s="9">
        <f>IF(OR(Q969="",Q969=0),"",(S969-Q969)/Q969)</f>
        <v/>
      </c>
      <c r="U969" s="7">
        <f>IF(COUNT(D969:P969)=0,"",INDEX($D$1:$P$1,MATCH(MIN(D969:P969),D969:P969,0)))</f>
        <v/>
      </c>
      <c r="V969" s="8" t="n">
        <v>1198</v>
      </c>
      <c r="W969" s="10" t="n">
        <v>1</v>
      </c>
    </row>
    <row r="970">
      <c r="A970" s="7" t="inlineStr">
        <is>
          <t>MAT-12-031</t>
        </is>
      </c>
      <c r="B970" s="4" t="inlineStr">
        <is>
          <t>Masilla para sheetrock, funda de 2 libras</t>
        </is>
      </c>
      <c r="C970" s="7" t="inlineStr">
        <is>
          <t>envase</t>
        </is>
      </c>
      <c r="D970" s="8" t="n"/>
      <c r="E970" s="8" t="n">
        <v>155</v>
      </c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>
        <f>IF(COUNT(D970:P970)=0,"",MIN(D970:P970))</f>
        <v/>
      </c>
      <c r="R970" s="8">
        <f>IF(COUNT(D970:P970)=0,"",MEDIAN(D970:P970))</f>
        <v/>
      </c>
      <c r="S970" s="8">
        <f>IF(COUNT(D970:P970)=0,"",MAX(D970:P970))</f>
        <v/>
      </c>
      <c r="T970" s="9">
        <f>IF(OR(Q970="",Q970=0),"",(S970-Q970)/Q970)</f>
        <v/>
      </c>
      <c r="U970" s="7">
        <f>IF(COUNT(D970:P970)=0,"",INDEX($D$1:$P$1,MATCH(MIN(D970:P970),D970:P970,0)))</f>
        <v/>
      </c>
      <c r="V970" s="8" t="n">
        <v>155</v>
      </c>
      <c r="W970" s="10" t="n">
        <v>1</v>
      </c>
    </row>
    <row r="971">
      <c r="A971" s="7" t="inlineStr">
        <is>
          <t>MAT-12-032</t>
        </is>
      </c>
      <c r="B971" s="4" t="inlineStr">
        <is>
          <t>Masilla para sheetrock, funda de 44 libras</t>
        </is>
      </c>
      <c r="C971" s="7" t="inlineStr">
        <is>
          <t>envase</t>
        </is>
      </c>
      <c r="D971" s="8" t="n"/>
      <c r="E971" s="8" t="n">
        <v>982</v>
      </c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>
        <f>IF(COUNT(D971:P971)=0,"",MIN(D971:P971))</f>
        <v/>
      </c>
      <c r="R971" s="8">
        <f>IF(COUNT(D971:P971)=0,"",MEDIAN(D971:P971))</f>
        <v/>
      </c>
      <c r="S971" s="8">
        <f>IF(COUNT(D971:P971)=0,"",MAX(D971:P971))</f>
        <v/>
      </c>
      <c r="T971" s="9">
        <f>IF(OR(Q971="",Q971=0),"",(S971-Q971)/Q971)</f>
        <v/>
      </c>
      <c r="U971" s="7">
        <f>IF(COUNT(D971:P971)=0,"",INDEX($D$1:$P$1,MATCH(MIN(D971:P971),D971:P971,0)))</f>
        <v/>
      </c>
      <c r="V971" s="8" t="n">
        <v>982</v>
      </c>
      <c r="W971" s="10" t="n">
        <v>1</v>
      </c>
    </row>
    <row r="972">
      <c r="A972" s="7" t="inlineStr">
        <is>
          <t>MAT-12-033</t>
        </is>
      </c>
      <c r="B972" s="4" t="inlineStr">
        <is>
          <t>Masilla para sheetrock, funda de 55 libras</t>
        </is>
      </c>
      <c r="C972" s="7" t="inlineStr">
        <is>
          <t>envase</t>
        </is>
      </c>
      <c r="D972" s="8" t="n"/>
      <c r="E972" s="8" t="n">
        <v>2885</v>
      </c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>
        <f>IF(COUNT(D972:P972)=0,"",MIN(D972:P972))</f>
        <v/>
      </c>
      <c r="R972" s="8">
        <f>IF(COUNT(D972:P972)=0,"",MEDIAN(D972:P972))</f>
        <v/>
      </c>
      <c r="S972" s="8">
        <f>IF(COUNT(D972:P972)=0,"",MAX(D972:P972))</f>
        <v/>
      </c>
      <c r="T972" s="9">
        <f>IF(OR(Q972="",Q972=0),"",(S972-Q972)/Q972)</f>
        <v/>
      </c>
      <c r="U972" s="7">
        <f>IF(COUNT(D972:P972)=0,"",INDEX($D$1:$P$1,MATCH(MIN(D972:P972),D972:P972,0)))</f>
        <v/>
      </c>
      <c r="V972" s="8" t="n">
        <v>2885</v>
      </c>
      <c r="W972" s="10" t="n">
        <v>1</v>
      </c>
    </row>
    <row r="973">
      <c r="A973" s="7" t="inlineStr">
        <is>
          <t>MAT-12-034</t>
        </is>
      </c>
      <c r="B973" s="4" t="inlineStr">
        <is>
          <t>Masilla para sheetrock, funda de 62 libras</t>
        </is>
      </c>
      <c r="C973" s="7" t="inlineStr">
        <is>
          <t>envase</t>
        </is>
      </c>
      <c r="D973" s="8" t="n"/>
      <c r="E973" s="8" t="n">
        <v>1670</v>
      </c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>
        <f>IF(COUNT(D973:P973)=0,"",MIN(D973:P973))</f>
        <v/>
      </c>
      <c r="R973" s="8">
        <f>IF(COUNT(D973:P973)=0,"",MEDIAN(D973:P973))</f>
        <v/>
      </c>
      <c r="S973" s="8">
        <f>IF(COUNT(D973:P973)=0,"",MAX(D973:P973))</f>
        <v/>
      </c>
      <c r="T973" s="9">
        <f>IF(OR(Q973="",Q973=0),"",(S973-Q973)/Q973)</f>
        <v/>
      </c>
      <c r="U973" s="7">
        <f>IF(COUNT(D973:P973)=0,"",INDEX($D$1:$P$1,MATCH(MIN(D973:P973),D973:P973,0)))</f>
        <v/>
      </c>
      <c r="V973" s="8" t="n">
        <v>1670</v>
      </c>
      <c r="W973" s="10" t="n">
        <v>1</v>
      </c>
    </row>
    <row r="974">
      <c r="A974" s="7" t="inlineStr">
        <is>
          <t>MAT-12-035</t>
        </is>
      </c>
      <c r="B974" s="4" t="inlineStr">
        <is>
          <t>Masilla para sheetrock, funda de 64 libras</t>
        </is>
      </c>
      <c r="C974" s="7" t="inlineStr">
        <is>
          <t>envase</t>
        </is>
      </c>
      <c r="D974" s="8" t="n"/>
      <c r="E974" s="8" t="n">
        <v>1828</v>
      </c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>
        <f>IF(COUNT(D974:P974)=0,"",MIN(D974:P974))</f>
        <v/>
      </c>
      <c r="R974" s="8">
        <f>IF(COUNT(D974:P974)=0,"",MEDIAN(D974:P974))</f>
        <v/>
      </c>
      <c r="S974" s="8">
        <f>IF(COUNT(D974:P974)=0,"",MAX(D974:P974))</f>
        <v/>
      </c>
      <c r="T974" s="9">
        <f>IF(OR(Q974="",Q974=0),"",(S974-Q974)/Q974)</f>
        <v/>
      </c>
      <c r="U974" s="7">
        <f>IF(COUNT(D974:P974)=0,"",INDEX($D$1:$P$1,MATCH(MIN(D974:P974),D974:P974,0)))</f>
        <v/>
      </c>
      <c r="V974" s="8" t="n">
        <v>1828</v>
      </c>
      <c r="W974" s="10" t="n">
        <v>1</v>
      </c>
    </row>
    <row r="975">
      <c r="A975" s="7" t="inlineStr">
        <is>
          <t>MAT-12-036</t>
        </is>
      </c>
      <c r="B975" s="4" t="inlineStr">
        <is>
          <t>Pintura para piscina, galón</t>
        </is>
      </c>
      <c r="C975" s="7" t="inlineStr">
        <is>
          <t>envase</t>
        </is>
      </c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>
        <v>3326.41</v>
      </c>
      <c r="O975" s="8" t="n"/>
      <c r="P975" s="8" t="n"/>
      <c r="Q975" s="8">
        <f>IF(COUNT(D975:P975)=0,"",MIN(D975:P975))</f>
        <v/>
      </c>
      <c r="R975" s="8">
        <f>IF(COUNT(D975:P975)=0,"",MEDIAN(D975:P975))</f>
        <v/>
      </c>
      <c r="S975" s="8">
        <f>IF(COUNT(D975:P975)=0,"",MAX(D975:P975))</f>
        <v/>
      </c>
      <c r="T975" s="9">
        <f>IF(OR(Q975="",Q975=0),"",(S975-Q975)/Q975)</f>
        <v/>
      </c>
      <c r="U975" s="7">
        <f>IF(COUNT(D975:P975)=0,"",INDEX($D$1:$P$1,MATCH(MIN(D975:P975),D975:P975,0)))</f>
        <v/>
      </c>
      <c r="V975" s="8" t="n">
        <v>3326.41</v>
      </c>
      <c r="W975" s="10" t="n">
        <v>1</v>
      </c>
    </row>
    <row r="976">
      <c r="A976" s="7" t="inlineStr">
        <is>
          <t>MAT-12-037</t>
        </is>
      </c>
      <c r="B976" s="4" t="inlineStr">
        <is>
          <t>Primer sellador, cubeta de 5 galones</t>
        </is>
      </c>
      <c r="C976" s="7" t="inlineStr">
        <is>
          <t>envase</t>
        </is>
      </c>
      <c r="D976" s="8" t="n"/>
      <c r="E976" s="8" t="n">
        <v>4300</v>
      </c>
      <c r="F976" s="8" t="n"/>
      <c r="G976" s="8" t="n"/>
      <c r="H976" s="8" t="n"/>
      <c r="I976" s="8" t="n">
        <v>3260</v>
      </c>
      <c r="J976" s="8" t="n"/>
      <c r="K976" s="8" t="n"/>
      <c r="L976" s="8" t="n"/>
      <c r="M976" s="8" t="n"/>
      <c r="N976" s="8" t="n">
        <v>3473.6</v>
      </c>
      <c r="O976" s="8" t="n"/>
      <c r="P976" s="8" t="n"/>
      <c r="Q976" s="8">
        <f>IF(COUNT(D976:P976)=0,"",MIN(D976:P976))</f>
        <v/>
      </c>
      <c r="R976" s="8">
        <f>IF(COUNT(D976:P976)=0,"",MEDIAN(D976:P976))</f>
        <v/>
      </c>
      <c r="S976" s="8">
        <f>IF(COUNT(D976:P976)=0,"",MAX(D976:P976))</f>
        <v/>
      </c>
      <c r="T976" s="9">
        <f>IF(OR(Q976="",Q976=0),"",(S976-Q976)/Q976)</f>
        <v/>
      </c>
      <c r="U976" s="7">
        <f>IF(COUNT(D976:P976)=0,"",INDEX($D$1:$P$1,MATCH(MIN(D976:P976),D976:P976,0)))</f>
        <v/>
      </c>
      <c r="V976" s="8" t="n">
        <v>5112.5</v>
      </c>
      <c r="W976" s="10" t="n">
        <v>3</v>
      </c>
    </row>
    <row r="977">
      <c r="A977" s="7" t="inlineStr">
        <is>
          <t>MAT-12-038</t>
        </is>
      </c>
      <c r="B977" s="4" t="inlineStr">
        <is>
          <t>Estuco para interiores, funda de 35 libras</t>
        </is>
      </c>
      <c r="C977" s="7" t="inlineStr">
        <is>
          <t>funda</t>
        </is>
      </c>
      <c r="D977" s="8" t="n">
        <v>331.11</v>
      </c>
      <c r="E977" s="8" t="n"/>
      <c r="F977" s="8" t="n"/>
      <c r="G977" s="8" t="n"/>
      <c r="H977" s="8" t="n"/>
      <c r="I977" s="8" t="n"/>
      <c r="J977" s="8" t="n"/>
      <c r="K977" s="8" t="n">
        <v>690</v>
      </c>
      <c r="L977" s="8" t="n"/>
      <c r="M977" s="8" t="n"/>
      <c r="N977" s="8" t="n"/>
      <c r="O977" s="8" t="n"/>
      <c r="P977" s="8" t="n"/>
      <c r="Q977" s="8">
        <f>IF(COUNT(D977:P977)=0,"",MIN(D977:P977))</f>
        <v/>
      </c>
      <c r="R977" s="8">
        <f>IF(COUNT(D977:P977)=0,"",MEDIAN(D977:P977))</f>
        <v/>
      </c>
      <c r="S977" s="8">
        <f>IF(COUNT(D977:P977)=0,"",MAX(D977:P977))</f>
        <v/>
      </c>
      <c r="T977" s="9">
        <f>IF(OR(Q977="",Q977=0),"",(S977-Q977)/Q977)</f>
        <v/>
      </c>
      <c r="U977" s="7">
        <f>IF(COUNT(D977:P977)=0,"",INDEX($D$1:$P$1,MATCH(MIN(D977:P977),D977:P977,0)))</f>
        <v/>
      </c>
      <c r="V977" s="8" t="n">
        <v>510.56</v>
      </c>
      <c r="W977" s="10" t="n">
        <v>2</v>
      </c>
    </row>
    <row r="978">
      <c r="A978" s="7" t="inlineStr">
        <is>
          <t>MAT-13-011</t>
        </is>
      </c>
      <c r="B978" s="4" t="inlineStr">
        <is>
          <t>Angular para plafón, 10'</t>
        </is>
      </c>
      <c r="C978" s="7" t="inlineStr">
        <is>
          <t>unidad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>
        <v>98</v>
      </c>
      <c r="L978" s="8" t="n"/>
      <c r="M978" s="8" t="n"/>
      <c r="N978" s="8" t="n"/>
      <c r="O978" s="8" t="n"/>
      <c r="P978" s="8" t="n"/>
      <c r="Q978" s="8">
        <f>IF(COUNT(D978:P978)=0,"",MIN(D978:P978))</f>
        <v/>
      </c>
      <c r="R978" s="8">
        <f>IF(COUNT(D978:P978)=0,"",MEDIAN(D978:P978))</f>
        <v/>
      </c>
      <c r="S978" s="8">
        <f>IF(COUNT(D978:P978)=0,"",MAX(D978:P978))</f>
        <v/>
      </c>
      <c r="T978" s="9">
        <f>IF(OR(Q978="",Q978=0),"",(S978-Q978)/Q978)</f>
        <v/>
      </c>
      <c r="U978" s="7">
        <f>IF(COUNT(D978:P978)=0,"",INDEX($D$1:$P$1,MATCH(MIN(D978:P978),D978:P978,0)))</f>
        <v/>
      </c>
      <c r="V978" s="8" t="n">
        <v>98</v>
      </c>
      <c r="W978" s="10" t="n">
        <v>1</v>
      </c>
    </row>
    <row r="979">
      <c r="A979" s="7" t="inlineStr">
        <is>
          <t>MAT-13-012</t>
        </is>
      </c>
      <c r="B979" s="4" t="inlineStr">
        <is>
          <t>Cartón piedra, 4'X8' 3X2Mm 1/8"</t>
        </is>
      </c>
      <c r="C979" s="7" t="inlineStr">
        <is>
          <t>unidad</t>
        </is>
      </c>
      <c r="D979" s="8" t="n"/>
      <c r="E979" s="8" t="n"/>
      <c r="F979" s="8" t="n"/>
      <c r="G979" s="8" t="n"/>
      <c r="H979" s="8" t="n"/>
      <c r="I979" s="8" t="n"/>
      <c r="J979" s="8" t="n"/>
      <c r="K979" s="8" t="n">
        <v>495</v>
      </c>
      <c r="L979" s="8" t="n"/>
      <c r="M979" s="8" t="n"/>
      <c r="N979" s="8" t="n"/>
      <c r="O979" s="8" t="n"/>
      <c r="P979" s="8" t="n"/>
      <c r="Q979" s="8">
        <f>IF(COUNT(D979:P979)=0,"",MIN(D979:P979))</f>
        <v/>
      </c>
      <c r="R979" s="8">
        <f>IF(COUNT(D979:P979)=0,"",MEDIAN(D979:P979))</f>
        <v/>
      </c>
      <c r="S979" s="8">
        <f>IF(COUNT(D979:P979)=0,"",MAX(D979:P979))</f>
        <v/>
      </c>
      <c r="T979" s="9">
        <f>IF(OR(Q979="",Q979=0),"",(S979-Q979)/Q979)</f>
        <v/>
      </c>
      <c r="U979" s="7">
        <f>IF(COUNT(D979:P979)=0,"",INDEX($D$1:$P$1,MATCH(MIN(D979:P979),D979:P979,0)))</f>
        <v/>
      </c>
      <c r="V979" s="8" t="n">
        <v>495</v>
      </c>
      <c r="W979" s="10" t="n">
        <v>1</v>
      </c>
    </row>
    <row r="980">
      <c r="A980" s="7" t="inlineStr">
        <is>
          <t>MAT-13-013</t>
        </is>
      </c>
      <c r="B980" s="4" t="inlineStr">
        <is>
          <t>Cross tee para plafón, 2'</t>
        </is>
      </c>
      <c r="C980" s="7" t="inlineStr">
        <is>
          <t>unidad</t>
        </is>
      </c>
      <c r="D980" s="8" t="n"/>
      <c r="E980" s="8" t="n"/>
      <c r="F980" s="8" t="n"/>
      <c r="G980" s="8" t="n"/>
      <c r="H980" s="8" t="n"/>
      <c r="I980" s="8" t="n"/>
      <c r="J980" s="8" t="n"/>
      <c r="K980" s="8" t="n">
        <v>26</v>
      </c>
      <c r="L980" s="8" t="n"/>
      <c r="M980" s="8" t="n"/>
      <c r="N980" s="8" t="n"/>
      <c r="O980" s="8" t="n"/>
      <c r="P980" s="8" t="n"/>
      <c r="Q980" s="8">
        <f>IF(COUNT(D980:P980)=0,"",MIN(D980:P980))</f>
        <v/>
      </c>
      <c r="R980" s="8">
        <f>IF(COUNT(D980:P980)=0,"",MEDIAN(D980:P980))</f>
        <v/>
      </c>
      <c r="S980" s="8">
        <f>IF(COUNT(D980:P980)=0,"",MAX(D980:P980))</f>
        <v/>
      </c>
      <c r="T980" s="9">
        <f>IF(OR(Q980="",Q980=0),"",(S980-Q980)/Q980)</f>
        <v/>
      </c>
      <c r="U980" s="7">
        <f>IF(COUNT(D980:P980)=0,"",INDEX($D$1:$P$1,MATCH(MIN(D980:P980),D980:P980,0)))</f>
        <v/>
      </c>
      <c r="V980" s="8" t="n">
        <v>26</v>
      </c>
      <c r="W980" s="10" t="n">
        <v>1</v>
      </c>
    </row>
    <row r="981">
      <c r="A981" s="7" t="inlineStr">
        <is>
          <t>MAT-13-014</t>
        </is>
      </c>
      <c r="B981" s="4" t="inlineStr">
        <is>
          <t>Cross tee para plafón, 4'</t>
        </is>
      </c>
      <c r="C981" s="7" t="inlineStr">
        <is>
          <t>unidad</t>
        </is>
      </c>
      <c r="D981" s="8" t="n"/>
      <c r="E981" s="8" t="n"/>
      <c r="F981" s="8" t="n"/>
      <c r="G981" s="8" t="n"/>
      <c r="H981" s="8" t="n"/>
      <c r="I981" s="8" t="n"/>
      <c r="J981" s="8" t="n"/>
      <c r="K981" s="8" t="n">
        <v>56</v>
      </c>
      <c r="L981" s="8" t="n"/>
      <c r="M981" s="8" t="n"/>
      <c r="N981" s="8" t="n"/>
      <c r="O981" s="8" t="n"/>
      <c r="P981" s="8" t="n"/>
      <c r="Q981" s="8">
        <f>IF(COUNT(D981:P981)=0,"",MIN(D981:P981))</f>
        <v/>
      </c>
      <c r="R981" s="8">
        <f>IF(COUNT(D981:P981)=0,"",MEDIAN(D981:P981))</f>
        <v/>
      </c>
      <c r="S981" s="8">
        <f>IF(COUNT(D981:P981)=0,"",MAX(D981:P981))</f>
        <v/>
      </c>
      <c r="T981" s="9">
        <f>IF(OR(Q981="",Q981=0),"",(S981-Q981)/Q981)</f>
        <v/>
      </c>
      <c r="U981" s="7">
        <f>IF(COUNT(D981:P981)=0,"",INDEX($D$1:$P$1,MATCH(MIN(D981:P981),D981:P981,0)))</f>
        <v/>
      </c>
      <c r="V981" s="8" t="n">
        <v>56</v>
      </c>
      <c r="W981" s="10" t="n">
        <v>1</v>
      </c>
    </row>
    <row r="982">
      <c r="A982" s="7" t="inlineStr">
        <is>
          <t>MAT-13-015</t>
        </is>
      </c>
      <c r="B982" s="4" t="inlineStr">
        <is>
          <t>Durmiente para plafón, 2-1/2"X10 calibre 25</t>
        </is>
      </c>
      <c r="C982" s="7" t="inlineStr">
        <is>
          <t>unidad</t>
        </is>
      </c>
      <c r="D982" s="8" t="n"/>
      <c r="E982" s="8" t="n"/>
      <c r="F982" s="8" t="n"/>
      <c r="G982" s="8" t="n"/>
      <c r="H982" s="8" t="n"/>
      <c r="I982" s="8" t="n"/>
      <c r="J982" s="8" t="n"/>
      <c r="K982" s="8" t="n">
        <v>149</v>
      </c>
      <c r="L982" s="8" t="n"/>
      <c r="M982" s="8" t="n"/>
      <c r="N982" s="8" t="n"/>
      <c r="O982" s="8" t="n"/>
      <c r="P982" s="8" t="n"/>
      <c r="Q982" s="8">
        <f>IF(COUNT(D982:P982)=0,"",MIN(D982:P982))</f>
        <v/>
      </c>
      <c r="R982" s="8">
        <f>IF(COUNT(D982:P982)=0,"",MEDIAN(D982:P982))</f>
        <v/>
      </c>
      <c r="S982" s="8">
        <f>IF(COUNT(D982:P982)=0,"",MAX(D982:P982))</f>
        <v/>
      </c>
      <c r="T982" s="9">
        <f>IF(OR(Q982="",Q982=0),"",(S982-Q982)/Q982)</f>
        <v/>
      </c>
      <c r="U982" s="7">
        <f>IF(COUNT(D982:P982)=0,"",INDEX($D$1:$P$1,MATCH(MIN(D982:P982),D982:P982,0)))</f>
        <v/>
      </c>
      <c r="V982" s="8" t="n">
        <v>149</v>
      </c>
      <c r="W982" s="10" t="n">
        <v>1</v>
      </c>
    </row>
    <row r="983">
      <c r="A983" s="7" t="inlineStr">
        <is>
          <t>MAT-13-016</t>
        </is>
      </c>
      <c r="B983" s="4" t="inlineStr">
        <is>
          <t>Main tee para plafón, 12'</t>
        </is>
      </c>
      <c r="C983" s="7" t="inlineStr">
        <is>
          <t>unidad</t>
        </is>
      </c>
      <c r="D983" s="8" t="n"/>
      <c r="E983" s="8" t="n"/>
      <c r="F983" s="8" t="n"/>
      <c r="G983" s="8" t="n"/>
      <c r="H983" s="8" t="n"/>
      <c r="I983" s="8" t="n"/>
      <c r="J983" s="8" t="n"/>
      <c r="K983" s="8" t="n">
        <v>186</v>
      </c>
      <c r="L983" s="8" t="n"/>
      <c r="M983" s="8" t="n"/>
      <c r="N983" s="8" t="n"/>
      <c r="O983" s="8" t="n"/>
      <c r="P983" s="8" t="n"/>
      <c r="Q983" s="8">
        <f>IF(COUNT(D983:P983)=0,"",MIN(D983:P983))</f>
        <v/>
      </c>
      <c r="R983" s="8">
        <f>IF(COUNT(D983:P983)=0,"",MEDIAN(D983:P983))</f>
        <v/>
      </c>
      <c r="S983" s="8">
        <f>IF(COUNT(D983:P983)=0,"",MAX(D983:P983))</f>
        <v/>
      </c>
      <c r="T983" s="9">
        <f>IF(OR(Q983="",Q983=0),"",(S983-Q983)/Q983)</f>
        <v/>
      </c>
      <c r="U983" s="7">
        <f>IF(COUNT(D983:P983)=0,"",INDEX($D$1:$P$1,MATCH(MIN(D983:P983),D983:P983,0)))</f>
        <v/>
      </c>
      <c r="V983" s="8" t="n">
        <v>186</v>
      </c>
      <c r="W983" s="10" t="n">
        <v>1</v>
      </c>
    </row>
    <row r="984">
      <c r="A984" s="7" t="inlineStr">
        <is>
          <t>MAT-13-017</t>
        </is>
      </c>
      <c r="B984" s="4" t="inlineStr">
        <is>
          <t>Paral para plafón, 2-1/2"X10 calibre 25</t>
        </is>
      </c>
      <c r="C984" s="7" t="inlineStr">
        <is>
          <t>unidad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>
        <v>185</v>
      </c>
      <c r="L984" s="8" t="n"/>
      <c r="M984" s="8" t="n"/>
      <c r="N984" s="8" t="n"/>
      <c r="O984" s="8" t="n"/>
      <c r="P984" s="8" t="n"/>
      <c r="Q984" s="8">
        <f>IF(COUNT(D984:P984)=0,"",MIN(D984:P984))</f>
        <v/>
      </c>
      <c r="R984" s="8">
        <f>IF(COUNT(D984:P984)=0,"",MEDIAN(D984:P984))</f>
        <v/>
      </c>
      <c r="S984" s="8">
        <f>IF(COUNT(D984:P984)=0,"",MAX(D984:P984))</f>
        <v/>
      </c>
      <c r="T984" s="9">
        <f>IF(OR(Q984="",Q984=0),"",(S984-Q984)/Q984)</f>
        <v/>
      </c>
      <c r="U984" s="7">
        <f>IF(COUNT(D984:P984)=0,"",INDEX($D$1:$P$1,MATCH(MIN(D984:P984),D984:P984,0)))</f>
        <v/>
      </c>
      <c r="V984" s="8" t="n">
        <v>185</v>
      </c>
      <c r="W984" s="10" t="n">
        <v>1</v>
      </c>
    </row>
    <row r="985">
      <c r="A985" s="7" t="inlineStr">
        <is>
          <t>MAT-13-018</t>
        </is>
      </c>
      <c r="B985" s="4" t="inlineStr">
        <is>
          <t>Plafón, 2X4'</t>
        </is>
      </c>
      <c r="C985" s="7" t="inlineStr">
        <is>
          <t>unidad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>
        <v>295</v>
      </c>
      <c r="L985" s="8" t="n"/>
      <c r="M985" s="8" t="n"/>
      <c r="N985" s="8" t="n"/>
      <c r="O985" s="8" t="n"/>
      <c r="P985" s="8" t="n"/>
      <c r="Q985" s="8">
        <f>IF(COUNT(D985:P985)=0,"",MIN(D985:P985))</f>
        <v/>
      </c>
      <c r="R985" s="8">
        <f>IF(COUNT(D985:P985)=0,"",MEDIAN(D985:P985))</f>
        <v/>
      </c>
      <c r="S985" s="8">
        <f>IF(COUNT(D985:P985)=0,"",MAX(D985:P985))</f>
        <v/>
      </c>
      <c r="T985" s="9">
        <f>IF(OR(Q985="",Q985=0),"",(S985-Q985)/Q985)</f>
        <v/>
      </c>
      <c r="U985" s="7">
        <f>IF(COUNT(D985:P985)=0,"",INDEX($D$1:$P$1,MATCH(MIN(D985:P985),D985:P985,0)))</f>
        <v/>
      </c>
      <c r="V985" s="8" t="n">
        <v>295</v>
      </c>
      <c r="W985" s="10" t="n">
        <v>1</v>
      </c>
    </row>
    <row r="986">
      <c r="A986" s="7" t="inlineStr">
        <is>
          <t>MAT-13-019</t>
        </is>
      </c>
      <c r="B986" s="4" t="inlineStr">
        <is>
          <t>Plafón blanco, 250X5800X7MM</t>
        </is>
      </c>
      <c r="C986" s="7" t="inlineStr">
        <is>
          <t>unidad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>
        <v>375</v>
      </c>
      <c r="L986" s="8" t="n"/>
      <c r="M986" s="8" t="n"/>
      <c r="N986" s="8" t="n"/>
      <c r="O986" s="8" t="n"/>
      <c r="P986" s="8" t="n"/>
      <c r="Q986" s="8">
        <f>IF(COUNT(D986:P986)=0,"",MIN(D986:P986))</f>
        <v/>
      </c>
      <c r="R986" s="8">
        <f>IF(COUNT(D986:P986)=0,"",MEDIAN(D986:P986))</f>
        <v/>
      </c>
      <c r="S986" s="8">
        <f>IF(COUNT(D986:P986)=0,"",MAX(D986:P986))</f>
        <v/>
      </c>
      <c r="T986" s="9">
        <f>IF(OR(Q986="",Q986=0),"",(S986-Q986)/Q986)</f>
        <v/>
      </c>
      <c r="U986" s="7">
        <f>IF(COUNT(D986:P986)=0,"",INDEX($D$1:$P$1,MATCH(MIN(D986:P986),D986:P986,0)))</f>
        <v/>
      </c>
      <c r="V986" s="8" t="n">
        <v>375</v>
      </c>
      <c r="W986" s="10" t="n">
        <v>1</v>
      </c>
    </row>
    <row r="987">
      <c r="A987" s="7" t="inlineStr">
        <is>
          <t>MAT-13-020</t>
        </is>
      </c>
      <c r="B987" s="4" t="inlineStr">
        <is>
          <t>Plafón blanco, 2X4'</t>
        </is>
      </c>
      <c r="C987" s="7" t="inlineStr">
        <is>
          <t>unidad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>
        <v>202</v>
      </c>
      <c r="L987" s="8" t="n"/>
      <c r="M987" s="8" t="n"/>
      <c r="N987" s="8" t="n"/>
      <c r="O987" s="8" t="n"/>
      <c r="P987" s="8" t="n"/>
      <c r="Q987" s="8">
        <f>IF(COUNT(D987:P987)=0,"",MIN(D987:P987))</f>
        <v/>
      </c>
      <c r="R987" s="8">
        <f>IF(COUNT(D987:P987)=0,"",MEDIAN(D987:P987))</f>
        <v/>
      </c>
      <c r="S987" s="8">
        <f>IF(COUNT(D987:P987)=0,"",MAX(D987:P987))</f>
        <v/>
      </c>
      <c r="T987" s="9">
        <f>IF(OR(Q987="",Q987=0),"",(S987-Q987)/Q987)</f>
        <v/>
      </c>
      <c r="U987" s="7">
        <f>IF(COUNT(D987:P987)=0,"",INDEX($D$1:$P$1,MATCH(MIN(D987:P987),D987:P987,0)))</f>
        <v/>
      </c>
      <c r="V987" s="8" t="n">
        <v>202</v>
      </c>
      <c r="W987" s="10" t="n">
        <v>1</v>
      </c>
    </row>
    <row r="988">
      <c r="A988" s="7" t="inlineStr">
        <is>
          <t>MAT-16-003</t>
        </is>
      </c>
      <c r="B988" s="4" t="inlineStr">
        <is>
          <t>Kit de videovigilancia 4 cámaras bullet 2 MP</t>
        </is>
      </c>
      <c r="C988" s="7" t="inlineStr">
        <is>
          <t>juego</t>
        </is>
      </c>
      <c r="D988" s="8" t="n">
        <v>18221.03</v>
      </c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>
        <f>IF(COUNT(D988:P988)=0,"",MIN(D988:P988))</f>
        <v/>
      </c>
      <c r="R988" s="8">
        <f>IF(COUNT(D988:P988)=0,"",MEDIAN(D988:P988))</f>
        <v/>
      </c>
      <c r="S988" s="8">
        <f>IF(COUNT(D988:P988)=0,"",MAX(D988:P988))</f>
        <v/>
      </c>
      <c r="T988" s="9">
        <f>IF(OR(Q988="",Q988=0),"",(S988-Q988)/Q988)</f>
        <v/>
      </c>
      <c r="U988" s="7">
        <f>IF(COUNT(D988:P988)=0,"",INDEX($D$1:$P$1,MATCH(MIN(D988:P988),D988:P988,0)))</f>
        <v/>
      </c>
      <c r="V988" s="8" t="n">
        <v>18221.03</v>
      </c>
      <c r="W988" s="10" t="n">
        <v>1</v>
      </c>
    </row>
    <row r="989">
      <c r="A989" s="7" t="inlineStr">
        <is>
          <t>MAT-16-004</t>
        </is>
      </c>
      <c r="B989" s="4" t="inlineStr">
        <is>
          <t>Kit de videovigilancia 4 cámaras domo 2 MP</t>
        </is>
      </c>
      <c r="C989" s="7" t="inlineStr">
        <is>
          <t>juego</t>
        </is>
      </c>
      <c r="D989" s="8" t="n">
        <v>17133.95</v>
      </c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>
        <f>IF(COUNT(D989:P989)=0,"",MIN(D989:P989))</f>
        <v/>
      </c>
      <c r="R989" s="8">
        <f>IF(COUNT(D989:P989)=0,"",MEDIAN(D989:P989))</f>
        <v/>
      </c>
      <c r="S989" s="8">
        <f>IF(COUNT(D989:P989)=0,"",MAX(D989:P989))</f>
        <v/>
      </c>
      <c r="T989" s="9">
        <f>IF(OR(Q989="",Q989=0),"",(S989-Q989)/Q989)</f>
        <v/>
      </c>
      <c r="U989" s="7">
        <f>IF(COUNT(D989:P989)=0,"",INDEX($D$1:$P$1,MATCH(MIN(D989:P989),D989:P989,0)))</f>
        <v/>
      </c>
      <c r="V989" s="8" t="n">
        <v>17133.95</v>
      </c>
      <c r="W989" s="10" t="n">
        <v>1</v>
      </c>
    </row>
    <row r="990">
      <c r="A990" s="7" t="inlineStr">
        <is>
          <t>MAT-16-005</t>
        </is>
      </c>
      <c r="B990" s="4" t="inlineStr">
        <is>
          <t>Cámara de seguridad</t>
        </is>
      </c>
      <c r="C990" s="7" t="inlineStr">
        <is>
          <t>unidad</t>
        </is>
      </c>
      <c r="D990" s="8" t="n">
        <v>2548.17</v>
      </c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>
        <f>IF(COUNT(D990:P990)=0,"",MIN(D990:P990))</f>
        <v/>
      </c>
      <c r="R990" s="8">
        <f>IF(COUNT(D990:P990)=0,"",MEDIAN(D990:P990))</f>
        <v/>
      </c>
      <c r="S990" s="8">
        <f>IF(COUNT(D990:P990)=0,"",MAX(D990:P990))</f>
        <v/>
      </c>
      <c r="T990" s="9">
        <f>IF(OR(Q990="",Q990=0),"",(S990-Q990)/Q990)</f>
        <v/>
      </c>
      <c r="U990" s="7">
        <f>IF(COUNT(D990:P990)=0,"",INDEX($D$1:$P$1,MATCH(MIN(D990:P990),D990:P990,0)))</f>
        <v/>
      </c>
      <c r="V990" s="8" t="n">
        <v>3342.09</v>
      </c>
      <c r="W990" s="10" t="n">
        <v>1</v>
      </c>
    </row>
    <row r="991">
      <c r="A991" s="7" t="inlineStr">
        <is>
          <t>MAT-16-006</t>
        </is>
      </c>
      <c r="B991" s="4" t="inlineStr">
        <is>
          <t>Cámara de seguridad bullet</t>
        </is>
      </c>
      <c r="C991" s="7" t="inlineStr">
        <is>
          <t>unidad</t>
        </is>
      </c>
      <c r="D991" s="8" t="n">
        <v>2191.4</v>
      </c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>
        <f>IF(COUNT(D991:P991)=0,"",MIN(D991:P991))</f>
        <v/>
      </c>
      <c r="R991" s="8">
        <f>IF(COUNT(D991:P991)=0,"",MEDIAN(D991:P991))</f>
        <v/>
      </c>
      <c r="S991" s="8">
        <f>IF(COUNT(D991:P991)=0,"",MAX(D991:P991))</f>
        <v/>
      </c>
      <c r="T991" s="9">
        <f>IF(OR(Q991="",Q991=0),"",(S991-Q991)/Q991)</f>
        <v/>
      </c>
      <c r="U991" s="7">
        <f>IF(COUNT(D991:P991)=0,"",INDEX($D$1:$P$1,MATCH(MIN(D991:P991),D991:P991,0)))</f>
        <v/>
      </c>
      <c r="V991" s="8" t="n">
        <v>2588.72</v>
      </c>
      <c r="W991" s="10" t="n">
        <v>1</v>
      </c>
    </row>
    <row r="992">
      <c r="A992" s="7" t="inlineStr">
        <is>
          <t>MAT-16-007</t>
        </is>
      </c>
      <c r="B992" s="4" t="inlineStr">
        <is>
          <t>Cámara de seguridad bullet 2 MP</t>
        </is>
      </c>
      <c r="C992" s="7" t="inlineStr">
        <is>
          <t>unidad</t>
        </is>
      </c>
      <c r="D992" s="8" t="n">
        <v>1784.16</v>
      </c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>
        <f>IF(COUNT(D992:P992)=0,"",MIN(D992:P992))</f>
        <v/>
      </c>
      <c r="R992" s="8">
        <f>IF(COUNT(D992:P992)=0,"",MEDIAN(D992:P992))</f>
        <v/>
      </c>
      <c r="S992" s="8">
        <f>IF(COUNT(D992:P992)=0,"",MAX(D992:P992))</f>
        <v/>
      </c>
      <c r="T992" s="9">
        <f>IF(OR(Q992="",Q992=0),"",(S992-Q992)/Q992)</f>
        <v/>
      </c>
      <c r="U992" s="7">
        <f>IF(COUNT(D992:P992)=0,"",INDEX($D$1:$P$1,MATCH(MIN(D992:P992),D992:P992,0)))</f>
        <v/>
      </c>
      <c r="V992" s="8" t="n">
        <v>4606.9</v>
      </c>
      <c r="W992" s="10" t="n">
        <v>1</v>
      </c>
    </row>
    <row r="993">
      <c r="A993" s="7" t="inlineStr">
        <is>
          <t>MAT-16-008</t>
        </is>
      </c>
      <c r="B993" s="4" t="inlineStr">
        <is>
          <t>Cámara de seguridad bullet 4 MP</t>
        </is>
      </c>
      <c r="C993" s="7" t="inlineStr">
        <is>
          <t>unidad</t>
        </is>
      </c>
      <c r="D993" s="8" t="n">
        <v>3087.35</v>
      </c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>
        <f>IF(COUNT(D993:P993)=0,"",MIN(D993:P993))</f>
        <v/>
      </c>
      <c r="R993" s="8">
        <f>IF(COUNT(D993:P993)=0,"",MEDIAN(D993:P993))</f>
        <v/>
      </c>
      <c r="S993" s="8">
        <f>IF(COUNT(D993:P993)=0,"",MAX(D993:P993))</f>
        <v/>
      </c>
      <c r="T993" s="9">
        <f>IF(OR(Q993="",Q993=0),"",(S993-Q993)/Q993)</f>
        <v/>
      </c>
      <c r="U993" s="7">
        <f>IF(COUNT(D993:P993)=0,"",INDEX($D$1:$P$1,MATCH(MIN(D993:P993),D993:P993,0)))</f>
        <v/>
      </c>
      <c r="V993" s="8" t="n">
        <v>9064.129999999999</v>
      </c>
      <c r="W993" s="10" t="n">
        <v>1</v>
      </c>
    </row>
    <row r="994">
      <c r="A994" s="7" t="inlineStr">
        <is>
          <t>MAT-16-009</t>
        </is>
      </c>
      <c r="B994" s="4" t="inlineStr">
        <is>
          <t>Cámara de seguridad bullet 5 MP</t>
        </is>
      </c>
      <c r="C994" s="7" t="inlineStr">
        <is>
          <t>unidad</t>
        </is>
      </c>
      <c r="D994" s="8" t="n">
        <v>1394.08</v>
      </c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>
        <f>IF(COUNT(D994:P994)=0,"",MIN(D994:P994))</f>
        <v/>
      </c>
      <c r="R994" s="8">
        <f>IF(COUNT(D994:P994)=0,"",MEDIAN(D994:P994))</f>
        <v/>
      </c>
      <c r="S994" s="8">
        <f>IF(COUNT(D994:P994)=0,"",MAX(D994:P994))</f>
        <v/>
      </c>
      <c r="T994" s="9">
        <f>IF(OR(Q994="",Q994=0),"",(S994-Q994)/Q994)</f>
        <v/>
      </c>
      <c r="U994" s="7">
        <f>IF(COUNT(D994:P994)=0,"",INDEX($D$1:$P$1,MATCH(MIN(D994:P994),D994:P994,0)))</f>
        <v/>
      </c>
      <c r="V994" s="8" t="n">
        <v>5675.9</v>
      </c>
      <c r="W994" s="10" t="n">
        <v>1</v>
      </c>
    </row>
    <row r="995">
      <c r="A995" s="7" t="inlineStr">
        <is>
          <t>MAT-16-010</t>
        </is>
      </c>
      <c r="B995" s="4" t="inlineStr">
        <is>
          <t>Cámara de seguridad bullet 8 MP</t>
        </is>
      </c>
      <c r="C995" s="7" t="inlineStr">
        <is>
          <t>unidad</t>
        </is>
      </c>
      <c r="D995" s="8" t="n">
        <v>13465.71</v>
      </c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>
        <f>IF(COUNT(D995:P995)=0,"",MIN(D995:P995))</f>
        <v/>
      </c>
      <c r="R995" s="8">
        <f>IF(COUNT(D995:P995)=0,"",MEDIAN(D995:P995))</f>
        <v/>
      </c>
      <c r="S995" s="8">
        <f>IF(COUNT(D995:P995)=0,"",MAX(D995:P995))</f>
        <v/>
      </c>
      <c r="T995" s="9">
        <f>IF(OR(Q995="",Q995=0),"",(S995-Q995)/Q995)</f>
        <v/>
      </c>
      <c r="U995" s="7">
        <f>IF(COUNT(D995:P995)=0,"",INDEX($D$1:$P$1,MATCH(MIN(D995:P995),D995:P995,0)))</f>
        <v/>
      </c>
      <c r="V995" s="8" t="n">
        <v>13465.71</v>
      </c>
      <c r="W995" s="10" t="n">
        <v>1</v>
      </c>
    </row>
    <row r="996">
      <c r="A996" s="7" t="inlineStr">
        <is>
          <t>MAT-16-011</t>
        </is>
      </c>
      <c r="B996" s="4" t="inlineStr">
        <is>
          <t>Cámara de seguridad domo</t>
        </is>
      </c>
      <c r="C996" s="7" t="inlineStr">
        <is>
          <t>unidad</t>
        </is>
      </c>
      <c r="D996" s="8" t="n">
        <v>12992.17</v>
      </c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>
        <f>IF(COUNT(D996:P996)=0,"",MIN(D996:P996))</f>
        <v/>
      </c>
      <c r="R996" s="8">
        <f>IF(COUNT(D996:P996)=0,"",MEDIAN(D996:P996))</f>
        <v/>
      </c>
      <c r="S996" s="8">
        <f>IF(COUNT(D996:P996)=0,"",MAX(D996:P996))</f>
        <v/>
      </c>
      <c r="T996" s="9">
        <f>IF(OR(Q996="",Q996=0),"",(S996-Q996)/Q996)</f>
        <v/>
      </c>
      <c r="U996" s="7">
        <f>IF(COUNT(D996:P996)=0,"",INDEX($D$1:$P$1,MATCH(MIN(D996:P996),D996:P996,0)))</f>
        <v/>
      </c>
      <c r="V996" s="8" t="n">
        <v>12992.17</v>
      </c>
      <c r="W996" s="10" t="n">
        <v>1</v>
      </c>
    </row>
    <row r="997">
      <c r="A997" s="7" t="inlineStr">
        <is>
          <t>MAT-16-012</t>
        </is>
      </c>
      <c r="B997" s="4" t="inlineStr">
        <is>
          <t>Cámara de seguridad domo 2 MP</t>
        </is>
      </c>
      <c r="C997" s="7" t="inlineStr">
        <is>
          <t>unidad</t>
        </is>
      </c>
      <c r="D997" s="8" t="n">
        <v>740.01</v>
      </c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>
        <f>IF(COUNT(D997:P997)=0,"",MIN(D997:P997))</f>
        <v/>
      </c>
      <c r="R997" s="8">
        <f>IF(COUNT(D997:P997)=0,"",MEDIAN(D997:P997))</f>
        <v/>
      </c>
      <c r="S997" s="8">
        <f>IF(COUNT(D997:P997)=0,"",MAX(D997:P997))</f>
        <v/>
      </c>
      <c r="T997" s="9">
        <f>IF(OR(Q997="",Q997=0),"",(S997-Q997)/Q997)</f>
        <v/>
      </c>
      <c r="U997" s="7">
        <f>IF(COUNT(D997:P997)=0,"",INDEX($D$1:$P$1,MATCH(MIN(D997:P997),D997:P997,0)))</f>
        <v/>
      </c>
      <c r="V997" s="8" t="n">
        <v>3461.37</v>
      </c>
      <c r="W997" s="10" t="n">
        <v>1</v>
      </c>
    </row>
    <row r="998">
      <c r="A998" s="7" t="inlineStr">
        <is>
          <t>MAT-16-013</t>
        </is>
      </c>
      <c r="B998" s="4" t="inlineStr">
        <is>
          <t>Cámara de seguridad domo 4 MP</t>
        </is>
      </c>
      <c r="C998" s="7" t="inlineStr">
        <is>
          <t>unidad</t>
        </is>
      </c>
      <c r="D998" s="8" t="n">
        <v>3695.82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>
        <f>IF(COUNT(D998:P998)=0,"",MIN(D998:P998))</f>
        <v/>
      </c>
      <c r="R998" s="8">
        <f>IF(COUNT(D998:P998)=0,"",MEDIAN(D998:P998))</f>
        <v/>
      </c>
      <c r="S998" s="8">
        <f>IF(COUNT(D998:P998)=0,"",MAX(D998:P998))</f>
        <v/>
      </c>
      <c r="T998" s="9">
        <f>IF(OR(Q998="",Q998=0),"",(S998-Q998)/Q998)</f>
        <v/>
      </c>
      <c r="U998" s="7">
        <f>IF(COUNT(D998:P998)=0,"",INDEX($D$1:$P$1,MATCH(MIN(D998:P998),D998:P998,0)))</f>
        <v/>
      </c>
      <c r="V998" s="8" t="n">
        <v>5025.16</v>
      </c>
      <c r="W998" s="10" t="n">
        <v>1</v>
      </c>
    </row>
    <row r="999">
      <c r="A999" s="7" t="inlineStr">
        <is>
          <t>MAT-16-014</t>
        </is>
      </c>
      <c r="B999" s="4" t="inlineStr">
        <is>
          <t>Cámara de seguridad domo 5 MP</t>
        </is>
      </c>
      <c r="C999" s="7" t="inlineStr">
        <is>
          <t>unidad</t>
        </is>
      </c>
      <c r="D999" s="8" t="n">
        <v>1368.3</v>
      </c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>
        <f>IF(COUNT(D999:P999)=0,"",MIN(D999:P999))</f>
        <v/>
      </c>
      <c r="R999" s="8">
        <f>IF(COUNT(D999:P999)=0,"",MEDIAN(D999:P999))</f>
        <v/>
      </c>
      <c r="S999" s="8">
        <f>IF(COUNT(D999:P999)=0,"",MAX(D999:P999))</f>
        <v/>
      </c>
      <c r="T999" s="9">
        <f>IF(OR(Q999="",Q999=0),"",(S999-Q999)/Q999)</f>
        <v/>
      </c>
      <c r="U999" s="7">
        <f>IF(COUNT(D999:P999)=0,"",INDEX($D$1:$P$1,MATCH(MIN(D999:P999),D999:P999,0)))</f>
        <v/>
      </c>
      <c r="V999" s="8" t="n">
        <v>6122.92</v>
      </c>
      <c r="W999" s="10" t="n">
        <v>1</v>
      </c>
    </row>
    <row r="1000">
      <c r="A1000" s="7" t="inlineStr">
        <is>
          <t>MAT-16-015</t>
        </is>
      </c>
      <c r="B1000" s="4" t="inlineStr">
        <is>
          <t>Cámara de seguridad ojo de pez 5 MP</t>
        </is>
      </c>
      <c r="C1000" s="7" t="inlineStr">
        <is>
          <t>unidad</t>
        </is>
      </c>
      <c r="D1000" s="8" t="n">
        <v>11020.47</v>
      </c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>
        <f>IF(COUNT(D1000:P1000)=0,"",MIN(D1000:P1000))</f>
        <v/>
      </c>
      <c r="R1000" s="8">
        <f>IF(COUNT(D1000:P1000)=0,"",MEDIAN(D1000:P1000))</f>
        <v/>
      </c>
      <c r="S1000" s="8">
        <f>IF(COUNT(D1000:P1000)=0,"",MAX(D1000:P1000))</f>
        <v/>
      </c>
      <c r="T1000" s="9">
        <f>IF(OR(Q1000="",Q1000=0),"",(S1000-Q1000)/Q1000)</f>
        <v/>
      </c>
      <c r="U1000" s="7">
        <f>IF(COUNT(D1000:P1000)=0,"",INDEX($D$1:$P$1,MATCH(MIN(D1000:P1000),D1000:P1000,0)))</f>
        <v/>
      </c>
      <c r="V1000" s="8" t="n">
        <v>11020.47</v>
      </c>
      <c r="W1000" s="10" t="n">
        <v>1</v>
      </c>
    </row>
    <row r="1001">
      <c r="A1001" s="7" t="inlineStr">
        <is>
          <t>MAT-16-016</t>
        </is>
      </c>
      <c r="B1001" s="4" t="inlineStr">
        <is>
          <t>Cámara de seguridad PTZ 2 MP</t>
        </is>
      </c>
      <c r="C1001" s="7" t="inlineStr">
        <is>
          <t>unidad</t>
        </is>
      </c>
      <c r="D1001" s="8" t="n">
        <v>30360.56</v>
      </c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  <c r="O1001" s="8" t="n"/>
      <c r="P1001" s="8" t="n"/>
      <c r="Q1001" s="8">
        <f>IF(COUNT(D1001:P1001)=0,"",MIN(D1001:P1001))</f>
        <v/>
      </c>
      <c r="R1001" s="8">
        <f>IF(COUNT(D1001:P1001)=0,"",MEDIAN(D1001:P1001))</f>
        <v/>
      </c>
      <c r="S1001" s="8">
        <f>IF(COUNT(D1001:P1001)=0,"",MAX(D1001:P1001))</f>
        <v/>
      </c>
      <c r="T1001" s="9">
        <f>IF(OR(Q1001="",Q1001=0),"",(S1001-Q1001)/Q1001)</f>
        <v/>
      </c>
      <c r="U1001" s="7">
        <f>IF(COUNT(D1001:P1001)=0,"",INDEX($D$1:$P$1,MATCH(MIN(D1001:P1001),D1001:P1001,0)))</f>
        <v/>
      </c>
      <c r="V1001" s="8" t="n">
        <v>30360.56</v>
      </c>
      <c r="W1001" s="10" t="n">
        <v>1</v>
      </c>
    </row>
    <row r="1002">
      <c r="A1002" s="7" t="inlineStr">
        <is>
          <t>MAT-16-017</t>
        </is>
      </c>
      <c r="B1002" s="4" t="inlineStr">
        <is>
          <t>Cámara de seguridad PTZ 3 MP</t>
        </is>
      </c>
      <c r="C1002" s="7" t="inlineStr">
        <is>
          <t>unidad</t>
        </is>
      </c>
      <c r="D1002" s="8" t="n">
        <v>19602.61</v>
      </c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 t="n"/>
      <c r="O1002" s="8" t="n"/>
      <c r="P1002" s="8" t="n"/>
      <c r="Q1002" s="8">
        <f>IF(COUNT(D1002:P1002)=0,"",MIN(D1002:P1002))</f>
        <v/>
      </c>
      <c r="R1002" s="8">
        <f>IF(COUNT(D1002:P1002)=0,"",MEDIAN(D1002:P1002))</f>
        <v/>
      </c>
      <c r="S1002" s="8">
        <f>IF(COUNT(D1002:P1002)=0,"",MAX(D1002:P1002))</f>
        <v/>
      </c>
      <c r="T1002" s="9">
        <f>IF(OR(Q1002="",Q1002=0),"",(S1002-Q1002)/Q1002)</f>
        <v/>
      </c>
      <c r="U1002" s="7">
        <f>IF(COUNT(D1002:P1002)=0,"",INDEX($D$1:$P$1,MATCH(MIN(D1002:P1002),D1002:P1002,0)))</f>
        <v/>
      </c>
      <c r="V1002" s="8" t="n">
        <v>19602.61</v>
      </c>
      <c r="W1002" s="10" t="n">
        <v>1</v>
      </c>
    </row>
    <row r="1003">
      <c r="A1003" s="7" t="inlineStr">
        <is>
          <t>MAT-16-018</t>
        </is>
      </c>
      <c r="B1003" s="4" t="inlineStr">
        <is>
          <t>Cámara de seguridad turret 2 MP</t>
        </is>
      </c>
      <c r="C1003" s="7" t="inlineStr">
        <is>
          <t>unidad</t>
        </is>
      </c>
      <c r="D1003" s="8" t="n">
        <v>2549.16</v>
      </c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 t="n"/>
      <c r="O1003" s="8" t="n"/>
      <c r="P1003" s="8" t="n"/>
      <c r="Q1003" s="8">
        <f>IF(COUNT(D1003:P1003)=0,"",MIN(D1003:P1003))</f>
        <v/>
      </c>
      <c r="R1003" s="8">
        <f>IF(COUNT(D1003:P1003)=0,"",MEDIAN(D1003:P1003))</f>
        <v/>
      </c>
      <c r="S1003" s="8">
        <f>IF(COUNT(D1003:P1003)=0,"",MAX(D1003:P1003))</f>
        <v/>
      </c>
      <c r="T1003" s="9">
        <f>IF(OR(Q1003="",Q1003=0),"",(S1003-Q1003)/Q1003)</f>
        <v/>
      </c>
      <c r="U1003" s="7">
        <f>IF(COUNT(D1003:P1003)=0,"",INDEX($D$1:$P$1,MATCH(MIN(D1003:P1003),D1003:P1003,0)))</f>
        <v/>
      </c>
      <c r="V1003" s="8" t="n">
        <v>3614.58</v>
      </c>
      <c r="W1003" s="10" t="n">
        <v>1</v>
      </c>
    </row>
    <row r="1004">
      <c r="A1004" s="7" t="inlineStr">
        <is>
          <t>MAT-16-019</t>
        </is>
      </c>
      <c r="B1004" s="4" t="inlineStr">
        <is>
          <t>Cámara de seguridad turret 4 MP</t>
        </is>
      </c>
      <c r="C1004" s="7" t="inlineStr">
        <is>
          <t>unidad</t>
        </is>
      </c>
      <c r="D1004" s="8" t="n">
        <v>3073.06</v>
      </c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  <c r="O1004" s="8" t="n"/>
      <c r="P1004" s="8" t="n"/>
      <c r="Q1004" s="8">
        <f>IF(COUNT(D1004:P1004)=0,"",MIN(D1004:P1004))</f>
        <v/>
      </c>
      <c r="R1004" s="8">
        <f>IF(COUNT(D1004:P1004)=0,"",MEDIAN(D1004:P1004))</f>
        <v/>
      </c>
      <c r="S1004" s="8">
        <f>IF(COUNT(D1004:P1004)=0,"",MAX(D1004:P1004))</f>
        <v/>
      </c>
      <c r="T1004" s="9">
        <f>IF(OR(Q1004="",Q1004=0),"",(S1004-Q1004)/Q1004)</f>
        <v/>
      </c>
      <c r="U1004" s="7">
        <f>IF(COUNT(D1004:P1004)=0,"",INDEX($D$1:$P$1,MATCH(MIN(D1004:P1004),D1004:P1004,0)))</f>
        <v/>
      </c>
      <c r="V1004" s="8" t="n">
        <v>3073.06</v>
      </c>
      <c r="W1004" s="10" t="n">
        <v>1</v>
      </c>
    </row>
    <row r="1005">
      <c r="A1005" s="7" t="inlineStr">
        <is>
          <t>MAT-16-020</t>
        </is>
      </c>
      <c r="B1005" s="4" t="inlineStr">
        <is>
          <t>Cámara de seguridad turret 5 MP</t>
        </is>
      </c>
      <c r="C1005" s="7" t="inlineStr">
        <is>
          <t>unidad</t>
        </is>
      </c>
      <c r="D1005" s="8" t="n">
        <v>3714.5</v>
      </c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 t="n"/>
      <c r="O1005" s="8" t="n"/>
      <c r="P1005" s="8" t="n"/>
      <c r="Q1005" s="8">
        <f>IF(COUNT(D1005:P1005)=0,"",MIN(D1005:P1005))</f>
        <v/>
      </c>
      <c r="R1005" s="8">
        <f>IF(COUNT(D1005:P1005)=0,"",MEDIAN(D1005:P1005))</f>
        <v/>
      </c>
      <c r="S1005" s="8">
        <f>IF(COUNT(D1005:P1005)=0,"",MAX(D1005:P1005))</f>
        <v/>
      </c>
      <c r="T1005" s="9">
        <f>IF(OR(Q1005="",Q1005=0),"",(S1005-Q1005)/Q1005)</f>
        <v/>
      </c>
      <c r="U1005" s="7">
        <f>IF(COUNT(D1005:P1005)=0,"",INDEX($D$1:$P$1,MATCH(MIN(D1005:P1005),D1005:P1005,0)))</f>
        <v/>
      </c>
      <c r="V1005" s="8" t="n">
        <v>4570.82</v>
      </c>
      <c r="W1005" s="10" t="n">
        <v>1</v>
      </c>
    </row>
    <row r="1006">
      <c r="A1006" s="7" t="inlineStr">
        <is>
          <t>MAT-16-021</t>
        </is>
      </c>
      <c r="B1006" s="4" t="inlineStr">
        <is>
          <t>Cámara de seguridad 2 MP</t>
        </is>
      </c>
      <c r="C1006" s="7" t="inlineStr">
        <is>
          <t>unidad</t>
        </is>
      </c>
      <c r="D1006" s="8" t="n">
        <v>1576.87</v>
      </c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  <c r="O1006" s="8" t="n"/>
      <c r="P1006" s="8" t="n"/>
      <c r="Q1006" s="8">
        <f>IF(COUNT(D1006:P1006)=0,"",MIN(D1006:P1006))</f>
        <v/>
      </c>
      <c r="R1006" s="8">
        <f>IF(COUNT(D1006:P1006)=0,"",MEDIAN(D1006:P1006))</f>
        <v/>
      </c>
      <c r="S1006" s="8">
        <f>IF(COUNT(D1006:P1006)=0,"",MAX(D1006:P1006))</f>
        <v/>
      </c>
      <c r="T1006" s="9">
        <f>IF(OR(Q1006="",Q1006=0),"",(S1006-Q1006)/Q1006)</f>
        <v/>
      </c>
      <c r="U1006" s="7">
        <f>IF(COUNT(D1006:P1006)=0,"",INDEX($D$1:$P$1,MATCH(MIN(D1006:P1006),D1006:P1006,0)))</f>
        <v/>
      </c>
      <c r="V1006" s="8" t="n">
        <v>5421.17</v>
      </c>
      <c r="W1006" s="10" t="n">
        <v>1</v>
      </c>
    </row>
    <row r="1007">
      <c r="A1007" s="7" t="inlineStr">
        <is>
          <t>MAT-16-022</t>
        </is>
      </c>
      <c r="B1007" s="4" t="inlineStr">
        <is>
          <t>Cámara de seguridad 5 MP</t>
        </is>
      </c>
      <c r="C1007" s="7" t="inlineStr">
        <is>
          <t>unidad</t>
        </is>
      </c>
      <c r="D1007" s="8" t="n">
        <v>3414.74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  <c r="O1007" s="8" t="n"/>
      <c r="P1007" s="8" t="n"/>
      <c r="Q1007" s="8">
        <f>IF(COUNT(D1007:P1007)=0,"",MIN(D1007:P1007))</f>
        <v/>
      </c>
      <c r="R1007" s="8">
        <f>IF(COUNT(D1007:P1007)=0,"",MEDIAN(D1007:P1007))</f>
        <v/>
      </c>
      <c r="S1007" s="8">
        <f>IF(COUNT(D1007:P1007)=0,"",MAX(D1007:P1007))</f>
        <v/>
      </c>
      <c r="T1007" s="9">
        <f>IF(OR(Q1007="",Q1007=0),"",(S1007-Q1007)/Q1007)</f>
        <v/>
      </c>
      <c r="U1007" s="7">
        <f>IF(COUNT(D1007:P1007)=0,"",INDEX($D$1:$P$1,MATCH(MIN(D1007:P1007),D1007:P1007,0)))</f>
        <v/>
      </c>
      <c r="V1007" s="8" t="n">
        <v>3414.74</v>
      </c>
      <c r="W1007" s="10" t="n">
        <v>1</v>
      </c>
    </row>
    <row r="1008">
      <c r="A1008" s="7" t="inlineStr">
        <is>
          <t>MAT-16-023</t>
        </is>
      </c>
      <c r="B1008" s="4" t="inlineStr">
        <is>
          <t>Grabador de video DVR 16 canales</t>
        </is>
      </c>
      <c r="C1008" s="7" t="inlineStr">
        <is>
          <t>unidad</t>
        </is>
      </c>
      <c r="D1008" s="8" t="n">
        <v>18426.33</v>
      </c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  <c r="O1008" s="8" t="n"/>
      <c r="P1008" s="8" t="n"/>
      <c r="Q1008" s="8">
        <f>IF(COUNT(D1008:P1008)=0,"",MIN(D1008:P1008))</f>
        <v/>
      </c>
      <c r="R1008" s="8">
        <f>IF(COUNT(D1008:P1008)=0,"",MEDIAN(D1008:P1008))</f>
        <v/>
      </c>
      <c r="S1008" s="8">
        <f>IF(COUNT(D1008:P1008)=0,"",MAX(D1008:P1008))</f>
        <v/>
      </c>
      <c r="T1008" s="9">
        <f>IF(OR(Q1008="",Q1008=0),"",(S1008-Q1008)/Q1008)</f>
        <v/>
      </c>
      <c r="U1008" s="7">
        <f>IF(COUNT(D1008:P1008)=0,"",INDEX($D$1:$P$1,MATCH(MIN(D1008:P1008),D1008:P1008,0)))</f>
        <v/>
      </c>
      <c r="V1008" s="8" t="n">
        <v>18426.33</v>
      </c>
      <c r="W1008" s="10" t="n">
        <v>1</v>
      </c>
    </row>
    <row r="1009">
      <c r="A1009" s="7" t="inlineStr">
        <is>
          <t>MAT-16-024</t>
        </is>
      </c>
      <c r="B1009" s="4" t="inlineStr">
        <is>
          <t>Grabador de video DVR 4 canales</t>
        </is>
      </c>
      <c r="C1009" s="7" t="inlineStr">
        <is>
          <t>unidad</t>
        </is>
      </c>
      <c r="D1009" s="8" t="n">
        <v>6677.44</v>
      </c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  <c r="O1009" s="8" t="n"/>
      <c r="P1009" s="8" t="n"/>
      <c r="Q1009" s="8">
        <f>IF(COUNT(D1009:P1009)=0,"",MIN(D1009:P1009))</f>
        <v/>
      </c>
      <c r="R1009" s="8">
        <f>IF(COUNT(D1009:P1009)=0,"",MEDIAN(D1009:P1009))</f>
        <v/>
      </c>
      <c r="S1009" s="8">
        <f>IF(COUNT(D1009:P1009)=0,"",MAX(D1009:P1009))</f>
        <v/>
      </c>
      <c r="T1009" s="9">
        <f>IF(OR(Q1009="",Q1009=0),"",(S1009-Q1009)/Q1009)</f>
        <v/>
      </c>
      <c r="U1009" s="7">
        <f>IF(COUNT(D1009:P1009)=0,"",INDEX($D$1:$P$1,MATCH(MIN(D1009:P1009),D1009:P1009,0)))</f>
        <v/>
      </c>
      <c r="V1009" s="8" t="n">
        <v>7057.8</v>
      </c>
      <c r="W1009" s="10" t="n">
        <v>1</v>
      </c>
    </row>
    <row r="1010">
      <c r="A1010" s="7" t="inlineStr">
        <is>
          <t>MAT-16-025</t>
        </is>
      </c>
      <c r="B1010" s="4" t="inlineStr">
        <is>
          <t>Grabador de video NVR 16 canales</t>
        </is>
      </c>
      <c r="C1010" s="7" t="inlineStr">
        <is>
          <t>unidad</t>
        </is>
      </c>
      <c r="D1010" s="8" t="n">
        <v>17077.39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/>
      <c r="P1010" s="8" t="n"/>
      <c r="Q1010" s="8">
        <f>IF(COUNT(D1010:P1010)=0,"",MIN(D1010:P1010))</f>
        <v/>
      </c>
      <c r="R1010" s="8">
        <f>IF(COUNT(D1010:P1010)=0,"",MEDIAN(D1010:P1010))</f>
        <v/>
      </c>
      <c r="S1010" s="8">
        <f>IF(COUNT(D1010:P1010)=0,"",MAX(D1010:P1010))</f>
        <v/>
      </c>
      <c r="T1010" s="9">
        <f>IF(OR(Q1010="",Q1010=0),"",(S1010-Q1010)/Q1010)</f>
        <v/>
      </c>
      <c r="U1010" s="7">
        <f>IF(COUNT(D1010:P1010)=0,"",INDEX($D$1:$P$1,MATCH(MIN(D1010:P1010),D1010:P1010,0)))</f>
        <v/>
      </c>
      <c r="V1010" s="8" t="n">
        <v>17077.39</v>
      </c>
      <c r="W1010" s="10" t="n">
        <v>1</v>
      </c>
    </row>
    <row r="1011">
      <c r="A1011" s="7" t="inlineStr">
        <is>
          <t>MAT-16-026</t>
        </is>
      </c>
      <c r="B1011" s="4" t="inlineStr">
        <is>
          <t>Grabador de video NVR 32 canales</t>
        </is>
      </c>
      <c r="C1011" s="7" t="inlineStr">
        <is>
          <t>unidad</t>
        </is>
      </c>
      <c r="D1011" s="8" t="n">
        <v>20990.22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>
        <f>IF(COUNT(D1011:P1011)=0,"",MIN(D1011:P1011))</f>
        <v/>
      </c>
      <c r="R1011" s="8">
        <f>IF(COUNT(D1011:P1011)=0,"",MEDIAN(D1011:P1011))</f>
        <v/>
      </c>
      <c r="S1011" s="8">
        <f>IF(COUNT(D1011:P1011)=0,"",MAX(D1011:P1011))</f>
        <v/>
      </c>
      <c r="T1011" s="9">
        <f>IF(OR(Q1011="",Q1011=0),"",(S1011-Q1011)/Q1011)</f>
        <v/>
      </c>
      <c r="U1011" s="7">
        <f>IF(COUNT(D1011:P1011)=0,"",INDEX($D$1:$P$1,MATCH(MIN(D1011:P1011),D1011:P1011,0)))</f>
        <v/>
      </c>
      <c r="V1011" s="8" t="n">
        <v>20990.22</v>
      </c>
      <c r="W1011" s="10" t="n">
        <v>1</v>
      </c>
    </row>
    <row r="1012">
      <c r="A1012" s="7" t="inlineStr">
        <is>
          <t>MAT-16-027</t>
        </is>
      </c>
      <c r="B1012" s="4" t="inlineStr">
        <is>
          <t>Grabador de video NVR 64 canales</t>
        </is>
      </c>
      <c r="C1012" s="7" t="inlineStr">
        <is>
          <t>unidad</t>
        </is>
      </c>
      <c r="D1012" s="8" t="n">
        <v>126684.93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>
        <f>IF(COUNT(D1012:P1012)=0,"",MIN(D1012:P1012))</f>
        <v/>
      </c>
      <c r="R1012" s="8">
        <f>IF(COUNT(D1012:P1012)=0,"",MEDIAN(D1012:P1012))</f>
        <v/>
      </c>
      <c r="S1012" s="8">
        <f>IF(COUNT(D1012:P1012)=0,"",MAX(D1012:P1012))</f>
        <v/>
      </c>
      <c r="T1012" s="9">
        <f>IF(OR(Q1012="",Q1012=0),"",(S1012-Q1012)/Q1012)</f>
        <v/>
      </c>
      <c r="U1012" s="7">
        <f>IF(COUNT(D1012:P1012)=0,"",INDEX($D$1:$P$1,MATCH(MIN(D1012:P1012),D1012:P1012,0)))</f>
        <v/>
      </c>
      <c r="V1012" s="8" t="n">
        <v>126684.93</v>
      </c>
      <c r="W1012" s="10" t="n">
        <v>1</v>
      </c>
    </row>
    <row r="1013">
      <c r="A1013" s="7" t="inlineStr">
        <is>
          <t>MAT-16-028</t>
        </is>
      </c>
      <c r="B1013" s="4" t="inlineStr">
        <is>
          <t>Grabador de video XVR 16 canales</t>
        </is>
      </c>
      <c r="C1013" s="7" t="inlineStr">
        <is>
          <t>unidad</t>
        </is>
      </c>
      <c r="D1013" s="8" t="n">
        <v>6079.41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>
        <f>IF(COUNT(D1013:P1013)=0,"",MIN(D1013:P1013))</f>
        <v/>
      </c>
      <c r="R1013" s="8">
        <f>IF(COUNT(D1013:P1013)=0,"",MEDIAN(D1013:P1013))</f>
        <v/>
      </c>
      <c r="S1013" s="8">
        <f>IF(COUNT(D1013:P1013)=0,"",MAX(D1013:P1013))</f>
        <v/>
      </c>
      <c r="T1013" s="9">
        <f>IF(OR(Q1013="",Q1013=0),"",(S1013-Q1013)/Q1013)</f>
        <v/>
      </c>
      <c r="U1013" s="7">
        <f>IF(COUNT(D1013:P1013)=0,"",INDEX($D$1:$P$1,MATCH(MIN(D1013:P1013),D1013:P1013,0)))</f>
        <v/>
      </c>
      <c r="V1013" s="8" t="n">
        <v>6079.41</v>
      </c>
      <c r="W1013" s="10" t="n">
        <v>1</v>
      </c>
    </row>
    <row r="1014">
      <c r="A1014" s="7" t="inlineStr">
        <is>
          <t>MAT-16-029</t>
        </is>
      </c>
      <c r="B1014" s="4" t="inlineStr">
        <is>
          <t>Disco duro para videovigilancia 1 TB</t>
        </is>
      </c>
      <c r="C1014" s="7" t="inlineStr">
        <is>
          <t>unidad</t>
        </is>
      </c>
      <c r="D1014" s="8" t="n">
        <v>7633.17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>
        <f>IF(COUNT(D1014:P1014)=0,"",MIN(D1014:P1014))</f>
        <v/>
      </c>
      <c r="R1014" s="8">
        <f>IF(COUNT(D1014:P1014)=0,"",MEDIAN(D1014:P1014))</f>
        <v/>
      </c>
      <c r="S1014" s="8">
        <f>IF(COUNT(D1014:P1014)=0,"",MAX(D1014:P1014))</f>
        <v/>
      </c>
      <c r="T1014" s="9">
        <f>IF(OR(Q1014="",Q1014=0),"",(S1014-Q1014)/Q1014)</f>
        <v/>
      </c>
      <c r="U1014" s="7">
        <f>IF(COUNT(D1014:P1014)=0,"",INDEX($D$1:$P$1,MATCH(MIN(D1014:P1014),D1014:P1014,0)))</f>
        <v/>
      </c>
      <c r="V1014" s="8" t="n">
        <v>7633.17</v>
      </c>
      <c r="W1014" s="10" t="n">
        <v>1</v>
      </c>
    </row>
    <row r="1015">
      <c r="A1015" s="7" t="inlineStr">
        <is>
          <t>MAT-16-030</t>
        </is>
      </c>
      <c r="B1015" s="4" t="inlineStr">
        <is>
          <t>Disco duro para videovigilancia 8 TB</t>
        </is>
      </c>
      <c r="C1015" s="7" t="inlineStr">
        <is>
          <t>unidad</t>
        </is>
      </c>
      <c r="D1015" s="8" t="n">
        <v>22243.38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>
        <f>IF(COUNT(D1015:P1015)=0,"",MIN(D1015:P1015))</f>
        <v/>
      </c>
      <c r="R1015" s="8">
        <f>IF(COUNT(D1015:P1015)=0,"",MEDIAN(D1015:P1015))</f>
        <v/>
      </c>
      <c r="S1015" s="8">
        <f>IF(COUNT(D1015:P1015)=0,"",MAX(D1015:P1015))</f>
        <v/>
      </c>
      <c r="T1015" s="9">
        <f>IF(OR(Q1015="",Q1015=0),"",(S1015-Q1015)/Q1015)</f>
        <v/>
      </c>
      <c r="U1015" s="7">
        <f>IF(COUNT(D1015:P1015)=0,"",INDEX($D$1:$P$1,MATCH(MIN(D1015:P1015),D1015:P1015,0)))</f>
        <v/>
      </c>
      <c r="V1015" s="8" t="n">
        <v>22243.38</v>
      </c>
      <c r="W1015" s="10" t="n">
        <v>1</v>
      </c>
    </row>
    <row r="1016">
      <c r="A1016" s="7" t="inlineStr">
        <is>
          <t>MAT-16-031</t>
        </is>
      </c>
      <c r="B1016" s="4" t="inlineStr">
        <is>
          <t>Monitor para CCTV</t>
        </is>
      </c>
      <c r="C1016" s="7" t="inlineStr">
        <is>
          <t>unidad</t>
        </is>
      </c>
      <c r="D1016" s="8" t="n">
        <v>2976.42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>
        <f>IF(COUNT(D1016:P1016)=0,"",MIN(D1016:P1016))</f>
        <v/>
      </c>
      <c r="R1016" s="8">
        <f>IF(COUNT(D1016:P1016)=0,"",MEDIAN(D1016:P1016))</f>
        <v/>
      </c>
      <c r="S1016" s="8">
        <f>IF(COUNT(D1016:P1016)=0,"",MAX(D1016:P1016))</f>
        <v/>
      </c>
      <c r="T1016" s="9">
        <f>IF(OR(Q1016="",Q1016=0),"",(S1016-Q1016)/Q1016)</f>
        <v/>
      </c>
      <c r="U1016" s="7">
        <f>IF(COUNT(D1016:P1016)=0,"",INDEX($D$1:$P$1,MATCH(MIN(D1016:P1016),D1016:P1016,0)))</f>
        <v/>
      </c>
      <c r="V1016" s="8" t="n">
        <v>5019.51</v>
      </c>
      <c r="W1016" s="10" t="n">
        <v>1</v>
      </c>
    </row>
    <row r="1017">
      <c r="A1017" s="7" t="inlineStr">
        <is>
          <t>MAT-16-032</t>
        </is>
      </c>
      <c r="B1017" s="4" t="inlineStr">
        <is>
          <t>Monitor para CCTV 3.5"</t>
        </is>
      </c>
      <c r="C1017" s="7" t="inlineStr">
        <is>
          <t>unidad</t>
        </is>
      </c>
      <c r="D1017" s="8" t="n">
        <v>4362.91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>
        <f>IF(COUNT(D1017:P1017)=0,"",MIN(D1017:P1017))</f>
        <v/>
      </c>
      <c r="R1017" s="8">
        <f>IF(COUNT(D1017:P1017)=0,"",MEDIAN(D1017:P1017))</f>
        <v/>
      </c>
      <c r="S1017" s="8">
        <f>IF(COUNT(D1017:P1017)=0,"",MAX(D1017:P1017))</f>
        <v/>
      </c>
      <c r="T1017" s="9">
        <f>IF(OR(Q1017="",Q1017=0),"",(S1017-Q1017)/Q1017)</f>
        <v/>
      </c>
      <c r="U1017" s="7">
        <f>IF(COUNT(D1017:P1017)=0,"",INDEX($D$1:$P$1,MATCH(MIN(D1017:P1017),D1017:P1017,0)))</f>
        <v/>
      </c>
      <c r="V1017" s="8" t="n">
        <v>4362.91</v>
      </c>
      <c r="W1017" s="10" t="n">
        <v>1</v>
      </c>
    </row>
    <row r="1018">
      <c r="A1018" s="7" t="inlineStr">
        <is>
          <t>MAT-16-033</t>
        </is>
      </c>
      <c r="B1018" s="4" t="inlineStr">
        <is>
          <t>Monitor para CCTV 32"</t>
        </is>
      </c>
      <c r="C1018" s="7" t="inlineStr">
        <is>
          <t>unidad</t>
        </is>
      </c>
      <c r="D1018" s="8" t="n">
        <v>15349.99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>
        <f>IF(COUNT(D1018:P1018)=0,"",MIN(D1018:P1018))</f>
        <v/>
      </c>
      <c r="R1018" s="8">
        <f>IF(COUNT(D1018:P1018)=0,"",MEDIAN(D1018:P1018))</f>
        <v/>
      </c>
      <c r="S1018" s="8">
        <f>IF(COUNT(D1018:P1018)=0,"",MAX(D1018:P1018))</f>
        <v/>
      </c>
      <c r="T1018" s="9">
        <f>IF(OR(Q1018="",Q1018=0),"",(S1018-Q1018)/Q1018)</f>
        <v/>
      </c>
      <c r="U1018" s="7">
        <f>IF(COUNT(D1018:P1018)=0,"",INDEX($D$1:$P$1,MATCH(MIN(D1018:P1018),D1018:P1018,0)))</f>
        <v/>
      </c>
      <c r="V1018" s="8" t="n">
        <v>15349.99</v>
      </c>
      <c r="W1018" s="10" t="n">
        <v>1</v>
      </c>
    </row>
    <row r="1019">
      <c r="A1019" s="7" t="inlineStr">
        <is>
          <t>MAT-16-034</t>
        </is>
      </c>
      <c r="B1019" s="4" t="inlineStr">
        <is>
          <t>Monitor para CCTV 4"</t>
        </is>
      </c>
      <c r="C1019" s="7" t="inlineStr">
        <is>
          <t>unidad</t>
        </is>
      </c>
      <c r="D1019" s="8" t="n">
        <v>2707.65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>
        <f>IF(COUNT(D1019:P1019)=0,"",MIN(D1019:P1019))</f>
        <v/>
      </c>
      <c r="R1019" s="8">
        <f>IF(COUNT(D1019:P1019)=0,"",MEDIAN(D1019:P1019))</f>
        <v/>
      </c>
      <c r="S1019" s="8">
        <f>IF(COUNT(D1019:P1019)=0,"",MAX(D1019:P1019))</f>
        <v/>
      </c>
      <c r="T1019" s="9">
        <f>IF(OR(Q1019="",Q1019=0),"",(S1019-Q1019)/Q1019)</f>
        <v/>
      </c>
      <c r="U1019" s="7">
        <f>IF(COUNT(D1019:P1019)=0,"",INDEX($D$1:$P$1,MATCH(MIN(D1019:P1019),D1019:P1019,0)))</f>
        <v/>
      </c>
      <c r="V1019" s="8" t="n">
        <v>2707.65</v>
      </c>
      <c r="W1019" s="10" t="n">
        <v>1</v>
      </c>
    </row>
    <row r="1020">
      <c r="A1020" s="7" t="inlineStr">
        <is>
          <t>MAT-16-035</t>
        </is>
      </c>
      <c r="B1020" s="4" t="inlineStr">
        <is>
          <t>Monitor para CCTV 7"</t>
        </is>
      </c>
      <c r="C1020" s="7" t="inlineStr">
        <is>
          <t>unidad</t>
        </is>
      </c>
      <c r="D1020" s="8" t="n">
        <v>5570.12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>
        <f>IF(COUNT(D1020:P1020)=0,"",MIN(D1020:P1020))</f>
        <v/>
      </c>
      <c r="R1020" s="8">
        <f>IF(COUNT(D1020:P1020)=0,"",MEDIAN(D1020:P1020))</f>
        <v/>
      </c>
      <c r="S1020" s="8">
        <f>IF(COUNT(D1020:P1020)=0,"",MAX(D1020:P1020))</f>
        <v/>
      </c>
      <c r="T1020" s="9">
        <f>IF(OR(Q1020="",Q1020=0),"",(S1020-Q1020)/Q1020)</f>
        <v/>
      </c>
      <c r="U1020" s="7">
        <f>IF(COUNT(D1020:P1020)=0,"",INDEX($D$1:$P$1,MATCH(MIN(D1020:P1020),D1020:P1020,0)))</f>
        <v/>
      </c>
      <c r="V1020" s="8" t="n">
        <v>7823.52</v>
      </c>
      <c r="W1020" s="10" t="n">
        <v>1</v>
      </c>
    </row>
    <row r="1021">
      <c r="A1021" s="7" t="inlineStr">
        <is>
          <t>MAT-16-036</t>
        </is>
      </c>
      <c r="B1021" s="4" t="inlineStr">
        <is>
          <t>Soporte o caja para cámara</t>
        </is>
      </c>
      <c r="C1021" s="7" t="inlineStr">
        <is>
          <t>unidad</t>
        </is>
      </c>
      <c r="D1021" s="8" t="n">
        <v>1012.91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>
        <f>IF(COUNT(D1021:P1021)=0,"",MIN(D1021:P1021))</f>
        <v/>
      </c>
      <c r="R1021" s="8">
        <f>IF(COUNT(D1021:P1021)=0,"",MEDIAN(D1021:P1021))</f>
        <v/>
      </c>
      <c r="S1021" s="8">
        <f>IF(COUNT(D1021:P1021)=0,"",MAX(D1021:P1021))</f>
        <v/>
      </c>
      <c r="T1021" s="9">
        <f>IF(OR(Q1021="",Q1021=0),"",(S1021-Q1021)/Q1021)</f>
        <v/>
      </c>
      <c r="U1021" s="7">
        <f>IF(COUNT(D1021:P1021)=0,"",INDEX($D$1:$P$1,MATCH(MIN(D1021:P1021),D1021:P1021,0)))</f>
        <v/>
      </c>
      <c r="V1021" s="8" t="n">
        <v>1012.91</v>
      </c>
      <c r="W1021" s="10" t="n">
        <v>1</v>
      </c>
    </row>
    <row r="1022">
      <c r="A1022" s="7" t="inlineStr">
        <is>
          <t>MAT-16-037</t>
        </is>
      </c>
      <c r="B1022" s="4" t="inlineStr">
        <is>
          <t>Video balun</t>
        </is>
      </c>
      <c r="C1022" s="7" t="inlineStr">
        <is>
          <t>unidad</t>
        </is>
      </c>
      <c r="D1022" s="8" t="n">
        <v>231.08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>
        <f>IF(COUNT(D1022:P1022)=0,"",MIN(D1022:P1022))</f>
        <v/>
      </c>
      <c r="R1022" s="8">
        <f>IF(COUNT(D1022:P1022)=0,"",MEDIAN(D1022:P1022))</f>
        <v/>
      </c>
      <c r="S1022" s="8">
        <f>IF(COUNT(D1022:P1022)=0,"",MAX(D1022:P1022))</f>
        <v/>
      </c>
      <c r="T1022" s="9">
        <f>IF(OR(Q1022="",Q1022=0),"",(S1022-Q1022)/Q1022)</f>
        <v/>
      </c>
      <c r="U1022" s="7">
        <f>IF(COUNT(D1022:P1022)=0,"",INDEX($D$1:$P$1,MATCH(MIN(D1022:P1022),D1022:P1022,0)))</f>
        <v/>
      </c>
      <c r="V1022" s="8" t="n">
        <v>241.33</v>
      </c>
      <c r="W1022" s="10" t="n">
        <v>1</v>
      </c>
    </row>
    <row r="1023">
      <c r="A1023" s="7" t="inlineStr">
        <is>
          <t>MAT-18-006</t>
        </is>
      </c>
      <c r="B1023" s="4" t="inlineStr">
        <is>
          <t>Asfalto en frío, 25 kg</t>
        </is>
      </c>
      <c r="C1023" s="7" t="inlineStr">
        <is>
          <t>unidad</t>
        </is>
      </c>
      <c r="D1023" s="8" t="n"/>
      <c r="E1023" s="8" t="n"/>
      <c r="F1023" s="8" t="n"/>
      <c r="G1023" s="8" t="n"/>
      <c r="H1023" s="8" t="n"/>
      <c r="I1023" s="8" t="n"/>
      <c r="J1023" s="8" t="n"/>
      <c r="K1023" s="8" t="n">
        <v>1695</v>
      </c>
      <c r="L1023" s="8" t="n"/>
      <c r="M1023" s="8" t="n"/>
      <c r="N1023" s="8" t="n"/>
      <c r="O1023" s="8" t="n"/>
      <c r="P1023" s="8" t="n"/>
      <c r="Q1023" s="8">
        <f>IF(COUNT(D1023:P1023)=0,"",MIN(D1023:P1023))</f>
        <v/>
      </c>
      <c r="R1023" s="8">
        <f>IF(COUNT(D1023:P1023)=0,"",MEDIAN(D1023:P1023))</f>
        <v/>
      </c>
      <c r="S1023" s="8">
        <f>IF(COUNT(D1023:P1023)=0,"",MAX(D1023:P1023))</f>
        <v/>
      </c>
      <c r="T1023" s="9">
        <f>IF(OR(Q1023="",Q1023=0),"",(S1023-Q1023)/Q1023)</f>
        <v/>
      </c>
      <c r="U1023" s="7">
        <f>IF(COUNT(D1023:P1023)=0,"",INDEX($D$1:$P$1,MATCH(MIN(D1023:P1023),D1023:P1023,0)))</f>
        <v/>
      </c>
      <c r="V1023" s="8" t="n">
        <v>1695</v>
      </c>
      <c r="W1023" s="10" t="n">
        <v>1</v>
      </c>
    </row>
    <row r="1024">
      <c r="A1024" s="7" t="inlineStr">
        <is>
          <t>MAT-19-001</t>
        </is>
      </c>
      <c r="B1024" s="4" t="inlineStr">
        <is>
          <t>Perfil cuadrado negro 3/4" x 3/4" x 20 pies, pared 1.2 mm</t>
        </is>
      </c>
      <c r="C1024" s="7" t="inlineStr">
        <is>
          <t>unidad</t>
        </is>
      </c>
      <c r="D1024" s="8" t="n">
        <v>262.29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/>
      <c r="P1024" s="8" t="n"/>
      <c r="Q1024" s="8">
        <f>IF(COUNT(D1024:P1024)=0,"",MIN(D1024:P1024))</f>
        <v/>
      </c>
      <c r="R1024" s="8">
        <f>IF(COUNT(D1024:P1024)=0,"",MEDIAN(D1024:P1024))</f>
        <v/>
      </c>
      <c r="S1024" s="8">
        <f>IF(COUNT(D1024:P1024)=0,"",MAX(D1024:P1024))</f>
        <v/>
      </c>
      <c r="T1024" s="9">
        <f>IF(OR(Q1024="",Q1024=0),"",(S1024-Q1024)/Q1024)</f>
        <v/>
      </c>
      <c r="U1024" s="7">
        <f>IF(COUNT(D1024:P1024)=0,"",INDEX($D$1:$P$1,MATCH(MIN(D1024:P1024),D1024:P1024,0)))</f>
        <v/>
      </c>
      <c r="V1024" s="8" t="n">
        <v>262.29</v>
      </c>
      <c r="W1024" s="10" t="n">
        <v>1</v>
      </c>
    </row>
    <row r="1025">
      <c r="A1025" s="7" t="inlineStr">
        <is>
          <t>MAT-19-002</t>
        </is>
      </c>
      <c r="B1025" s="4" t="inlineStr">
        <is>
          <t>Perfil cuadrado negro 3/4" x 3/4" x 20 pies, pared 1.6 mm</t>
        </is>
      </c>
      <c r="C1025" s="7" t="inlineStr">
        <is>
          <t>unidad</t>
        </is>
      </c>
      <c r="D1025" s="8" t="n">
        <v>321.76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>
        <v>316.7</v>
      </c>
      <c r="N1025" s="8" t="n"/>
      <c r="O1025" s="8" t="n"/>
      <c r="P1025" s="8" t="n"/>
      <c r="Q1025" s="8">
        <f>IF(COUNT(D1025:P1025)=0,"",MIN(D1025:P1025))</f>
        <v/>
      </c>
      <c r="R1025" s="8">
        <f>IF(COUNT(D1025:P1025)=0,"",MEDIAN(D1025:P1025))</f>
        <v/>
      </c>
      <c r="S1025" s="8">
        <f>IF(COUNT(D1025:P1025)=0,"",MAX(D1025:P1025))</f>
        <v/>
      </c>
      <c r="T1025" s="9">
        <f>IF(OR(Q1025="",Q1025=0),"",(S1025-Q1025)/Q1025)</f>
        <v/>
      </c>
      <c r="U1025" s="7">
        <f>IF(COUNT(D1025:P1025)=0,"",INDEX($D$1:$P$1,MATCH(MIN(D1025:P1025),D1025:P1025,0)))</f>
        <v/>
      </c>
      <c r="V1025" s="8" t="n">
        <v>347.73</v>
      </c>
      <c r="W1025" s="10" t="n">
        <v>2</v>
      </c>
    </row>
    <row r="1026">
      <c r="A1026" s="7" t="inlineStr">
        <is>
          <t>MAT-19-003</t>
        </is>
      </c>
      <c r="B1026" s="4" t="inlineStr">
        <is>
          <t>Perfil cuadrado negro 1" x 1" x 20 pies, pared 1.2 mm</t>
        </is>
      </c>
      <c r="C1026" s="7" t="inlineStr">
        <is>
          <t>unidad</t>
        </is>
      </c>
      <c r="D1026" s="8" t="n">
        <v>355.58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>
        <v>348.3</v>
      </c>
      <c r="N1026" s="8" t="n"/>
      <c r="O1026" s="8" t="n"/>
      <c r="P1026" s="8" t="n"/>
      <c r="Q1026" s="8">
        <f>IF(COUNT(D1026:P1026)=0,"",MIN(D1026:P1026))</f>
        <v/>
      </c>
      <c r="R1026" s="8">
        <f>IF(COUNT(D1026:P1026)=0,"",MEDIAN(D1026:P1026))</f>
        <v/>
      </c>
      <c r="S1026" s="8">
        <f>IF(COUNT(D1026:P1026)=0,"",MAX(D1026:P1026))</f>
        <v/>
      </c>
      <c r="T1026" s="9">
        <f>IF(OR(Q1026="",Q1026=0),"",(S1026-Q1026)/Q1026)</f>
        <v/>
      </c>
      <c r="U1026" s="7">
        <f>IF(COUNT(D1026:P1026)=0,"",INDEX($D$1:$P$1,MATCH(MIN(D1026:P1026),D1026:P1026,0)))</f>
        <v/>
      </c>
      <c r="V1026" s="8" t="n">
        <v>383.29</v>
      </c>
      <c r="W1026" s="10" t="n">
        <v>2</v>
      </c>
    </row>
    <row r="1027">
      <c r="A1027" s="7" t="inlineStr">
        <is>
          <t>MAT-19-004</t>
        </is>
      </c>
      <c r="B1027" s="4" t="inlineStr">
        <is>
          <t>Perfil cuadrado negro 1 1/4" x 1 1/4" x 20 pies, pared 1.2 mm</t>
        </is>
      </c>
      <c r="C1027" s="7" t="inlineStr">
        <is>
          <t>unidad</t>
        </is>
      </c>
      <c r="D1027" s="8" t="n">
        <v>510.43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/>
      <c r="Q1027" s="8">
        <f>IF(COUNT(D1027:P1027)=0,"",MIN(D1027:P1027))</f>
        <v/>
      </c>
      <c r="R1027" s="8">
        <f>IF(COUNT(D1027:P1027)=0,"",MEDIAN(D1027:P1027))</f>
        <v/>
      </c>
      <c r="S1027" s="8">
        <f>IF(COUNT(D1027:P1027)=0,"",MAX(D1027:P1027))</f>
        <v/>
      </c>
      <c r="T1027" s="9">
        <f>IF(OR(Q1027="",Q1027=0),"",(S1027-Q1027)/Q1027)</f>
        <v/>
      </c>
      <c r="U1027" s="7">
        <f>IF(COUNT(D1027:P1027)=0,"",INDEX($D$1:$P$1,MATCH(MIN(D1027:P1027),D1027:P1027,0)))</f>
        <v/>
      </c>
      <c r="V1027" s="8" t="n">
        <v>510.43</v>
      </c>
      <c r="W1027" s="10" t="n">
        <v>1</v>
      </c>
    </row>
    <row r="1028">
      <c r="A1028" s="7" t="inlineStr">
        <is>
          <t>MAT-19-005</t>
        </is>
      </c>
      <c r="B1028" s="4" t="inlineStr">
        <is>
          <t>Perfil cuadrado negro 1 1/4" x 1 1/4" x 20 pies, pared 1.6 mm</t>
        </is>
      </c>
      <c r="C1028" s="7" t="inlineStr">
        <is>
          <t>unidad</t>
        </is>
      </c>
      <c r="D1028" s="8" t="n">
        <v>556.02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 t="n"/>
      <c r="P1028" s="8" t="n"/>
      <c r="Q1028" s="8">
        <f>IF(COUNT(D1028:P1028)=0,"",MIN(D1028:P1028))</f>
        <v/>
      </c>
      <c r="R1028" s="8">
        <f>IF(COUNT(D1028:P1028)=0,"",MEDIAN(D1028:P1028))</f>
        <v/>
      </c>
      <c r="S1028" s="8">
        <f>IF(COUNT(D1028:P1028)=0,"",MAX(D1028:P1028))</f>
        <v/>
      </c>
      <c r="T1028" s="9">
        <f>IF(OR(Q1028="",Q1028=0),"",(S1028-Q1028)/Q1028)</f>
        <v/>
      </c>
      <c r="U1028" s="7">
        <f>IF(COUNT(D1028:P1028)=0,"",INDEX($D$1:$P$1,MATCH(MIN(D1028:P1028),D1028:P1028,0)))</f>
        <v/>
      </c>
      <c r="V1028" s="8" t="n">
        <v>556.02</v>
      </c>
      <c r="W1028" s="10" t="n">
        <v>1</v>
      </c>
    </row>
    <row r="1029">
      <c r="A1029" s="7" t="inlineStr">
        <is>
          <t>MAT-19-006</t>
        </is>
      </c>
      <c r="B1029" s="4" t="inlineStr">
        <is>
          <t>Perfil cuadrado negro 1 1/2" x 1 1/2" x 20 pies, pared 1.2 mm</t>
        </is>
      </c>
      <c r="C1029" s="7" t="inlineStr">
        <is>
          <t>unidad</t>
        </is>
      </c>
      <c r="D1029" s="8" t="n">
        <v>542.15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>
        <v>531.36</v>
      </c>
      <c r="N1029" s="8" t="n"/>
      <c r="O1029" s="8" t="n"/>
      <c r="P1029" s="8" t="n"/>
      <c r="Q1029" s="8">
        <f>IF(COUNT(D1029:P1029)=0,"",MIN(D1029:P1029))</f>
        <v/>
      </c>
      <c r="R1029" s="8">
        <f>IF(COUNT(D1029:P1029)=0,"",MEDIAN(D1029:P1029))</f>
        <v/>
      </c>
      <c r="S1029" s="8">
        <f>IF(COUNT(D1029:P1029)=0,"",MAX(D1029:P1029))</f>
        <v/>
      </c>
      <c r="T1029" s="9">
        <f>IF(OR(Q1029="",Q1029=0),"",(S1029-Q1029)/Q1029)</f>
        <v/>
      </c>
      <c r="U1029" s="7">
        <f>IF(COUNT(D1029:P1029)=0,"",INDEX($D$1:$P$1,MATCH(MIN(D1029:P1029),D1029:P1029,0)))</f>
        <v/>
      </c>
      <c r="V1029" s="8" t="n">
        <v>584.58</v>
      </c>
      <c r="W1029" s="10" t="n">
        <v>2</v>
      </c>
    </row>
    <row r="1030">
      <c r="A1030" s="7" t="inlineStr">
        <is>
          <t>MAT-19-007</t>
        </is>
      </c>
      <c r="B1030" s="4" t="inlineStr">
        <is>
          <t>Perfil cuadrado negro 1 1/2" x 1 1/2" x 20 pies, pared 1.6 mm</t>
        </is>
      </c>
      <c r="C1030" s="7" t="inlineStr">
        <is>
          <t>unidad</t>
        </is>
      </c>
      <c r="D1030" s="8" t="n">
        <v>647.03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>
        <v>667</v>
      </c>
      <c r="N1030" s="8" t="n"/>
      <c r="O1030" s="8" t="n"/>
      <c r="P1030" s="8" t="n"/>
      <c r="Q1030" s="8">
        <f>IF(COUNT(D1030:P1030)=0,"",MIN(D1030:P1030))</f>
        <v/>
      </c>
      <c r="R1030" s="8">
        <f>IF(COUNT(D1030:P1030)=0,"",MEDIAN(D1030:P1030))</f>
        <v/>
      </c>
      <c r="S1030" s="8">
        <f>IF(COUNT(D1030:P1030)=0,"",MAX(D1030:P1030))</f>
        <v/>
      </c>
      <c r="T1030" s="9">
        <f>IF(OR(Q1030="",Q1030=0),"",(S1030-Q1030)/Q1030)</f>
        <v/>
      </c>
      <c r="U1030" s="7">
        <f>IF(COUNT(D1030:P1030)=0,"",INDEX($D$1:$P$1,MATCH(MIN(D1030:P1030),D1030:P1030,0)))</f>
        <v/>
      </c>
      <c r="V1030" s="8" t="n">
        <v>717.05</v>
      </c>
      <c r="W1030" s="10" t="n">
        <v>2</v>
      </c>
    </row>
    <row r="1031">
      <c r="A1031" s="7" t="inlineStr">
        <is>
          <t>MAT-19-008</t>
        </is>
      </c>
      <c r="B1031" s="4" t="inlineStr">
        <is>
          <t>Perfil cuadrado negro 2" x 2" x 20 pies, pared 1.6 mm</t>
        </is>
      </c>
      <c r="C1031" s="7" t="inlineStr">
        <is>
          <t>unidad</t>
        </is>
      </c>
      <c r="D1031" s="8" t="n">
        <v>867.64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>
        <v>859</v>
      </c>
      <c r="N1031" s="8" t="n"/>
      <c r="O1031" s="8" t="n"/>
      <c r="P1031" s="8" t="n"/>
      <c r="Q1031" s="8">
        <f>IF(COUNT(D1031:P1031)=0,"",MIN(D1031:P1031))</f>
        <v/>
      </c>
      <c r="R1031" s="8">
        <f>IF(COUNT(D1031:P1031)=0,"",MEDIAN(D1031:P1031))</f>
        <v/>
      </c>
      <c r="S1031" s="8">
        <f>IF(COUNT(D1031:P1031)=0,"",MAX(D1031:P1031))</f>
        <v/>
      </c>
      <c r="T1031" s="9">
        <f>IF(OR(Q1031="",Q1031=0),"",(S1031-Q1031)/Q1031)</f>
        <v/>
      </c>
      <c r="U1031" s="7">
        <f>IF(COUNT(D1031:P1031)=0,"",INDEX($D$1:$P$1,MATCH(MIN(D1031:P1031),D1031:P1031,0)))</f>
        <v/>
      </c>
      <c r="V1031" s="8" t="n">
        <v>940.63</v>
      </c>
      <c r="W1031" s="10" t="n">
        <v>2</v>
      </c>
    </row>
    <row r="1032">
      <c r="A1032" s="7" t="inlineStr">
        <is>
          <t>MAT-19-009</t>
        </is>
      </c>
      <c r="B1032" s="4" t="inlineStr">
        <is>
          <t>Perfil cuadrado negro 3" x 3" x 20 pies, pared 1.6 mm</t>
        </is>
      </c>
      <c r="C1032" s="7" t="inlineStr">
        <is>
          <t>unidad</t>
        </is>
      </c>
      <c r="D1032" s="8" t="n">
        <v>1319.81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>
        <v>1378</v>
      </c>
      <c r="N1032" s="8" t="n"/>
      <c r="O1032" s="8" t="n"/>
      <c r="P1032" s="8" t="n"/>
      <c r="Q1032" s="8">
        <f>IF(COUNT(D1032:P1032)=0,"",MIN(D1032:P1032))</f>
        <v/>
      </c>
      <c r="R1032" s="8">
        <f>IF(COUNT(D1032:P1032)=0,"",MEDIAN(D1032:P1032))</f>
        <v/>
      </c>
      <c r="S1032" s="8">
        <f>IF(COUNT(D1032:P1032)=0,"",MAX(D1032:P1032))</f>
        <v/>
      </c>
      <c r="T1032" s="9">
        <f>IF(OR(Q1032="",Q1032=0),"",(S1032-Q1032)/Q1032)</f>
        <v/>
      </c>
      <c r="U1032" s="7">
        <f>IF(COUNT(D1032:P1032)=0,"",INDEX($D$1:$P$1,MATCH(MIN(D1032:P1032),D1032:P1032,0)))</f>
        <v/>
      </c>
      <c r="V1032" s="8" t="n">
        <v>1472.93</v>
      </c>
      <c r="W1032" s="10" t="n">
        <v>2</v>
      </c>
    </row>
    <row r="1033">
      <c r="A1033" s="7" t="inlineStr">
        <is>
          <t>MAT-19-010</t>
        </is>
      </c>
      <c r="B1033" s="4" t="inlineStr">
        <is>
          <t>Perfil cuadrado galvanizado 3/4" x 3/4" x 20 pies, pared 1.2 mm</t>
        </is>
      </c>
      <c r="C1033" s="7" t="inlineStr">
        <is>
          <t>unidad</t>
        </is>
      </c>
      <c r="D1033" s="8" t="n">
        <v>316.11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 t="n"/>
      <c r="P1033" s="8" t="n"/>
      <c r="Q1033" s="8">
        <f>IF(COUNT(D1033:P1033)=0,"",MIN(D1033:P1033))</f>
        <v/>
      </c>
      <c r="R1033" s="8">
        <f>IF(COUNT(D1033:P1033)=0,"",MEDIAN(D1033:P1033))</f>
        <v/>
      </c>
      <c r="S1033" s="8">
        <f>IF(COUNT(D1033:P1033)=0,"",MAX(D1033:P1033))</f>
        <v/>
      </c>
      <c r="T1033" s="9">
        <f>IF(OR(Q1033="",Q1033=0),"",(S1033-Q1033)/Q1033)</f>
        <v/>
      </c>
      <c r="U1033" s="7">
        <f>IF(COUNT(D1033:P1033)=0,"",INDEX($D$1:$P$1,MATCH(MIN(D1033:P1033),D1033:P1033,0)))</f>
        <v/>
      </c>
      <c r="V1033" s="8" t="n">
        <v>316.11</v>
      </c>
      <c r="W1033" s="10" t="n">
        <v>1</v>
      </c>
    </row>
    <row r="1034">
      <c r="A1034" s="7" t="inlineStr">
        <is>
          <t>MAT-19-011</t>
        </is>
      </c>
      <c r="B1034" s="4" t="inlineStr">
        <is>
          <t>Perfil cuadrado galvanizado 1" x 1" x 20 pies, pared 1.2 mm</t>
        </is>
      </c>
      <c r="C1034" s="7" t="inlineStr">
        <is>
          <t>unidad</t>
        </is>
      </c>
      <c r="D1034" s="8" t="n">
        <v>423.74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>
        <v>434</v>
      </c>
      <c r="N1034" s="8" t="n"/>
      <c r="O1034" s="8" t="n"/>
      <c r="P1034" s="8" t="n"/>
      <c r="Q1034" s="8">
        <f>IF(COUNT(D1034:P1034)=0,"",MIN(D1034:P1034))</f>
        <v/>
      </c>
      <c r="R1034" s="8">
        <f>IF(COUNT(D1034:P1034)=0,"",MEDIAN(D1034:P1034))</f>
        <v/>
      </c>
      <c r="S1034" s="8">
        <f>IF(COUNT(D1034:P1034)=0,"",MAX(D1034:P1034))</f>
        <v/>
      </c>
      <c r="T1034" s="9">
        <f>IF(OR(Q1034="",Q1034=0),"",(S1034-Q1034)/Q1034)</f>
        <v/>
      </c>
      <c r="U1034" s="7">
        <f>IF(COUNT(D1034:P1034)=0,"",INDEX($D$1:$P$1,MATCH(MIN(D1034:P1034),D1034:P1034,0)))</f>
        <v/>
      </c>
      <c r="V1034" s="8" t="n">
        <v>467.93</v>
      </c>
      <c r="W1034" s="10" t="n">
        <v>2</v>
      </c>
    </row>
    <row r="1035">
      <c r="A1035" s="7" t="inlineStr">
        <is>
          <t>MAT-19-012</t>
        </is>
      </c>
      <c r="B1035" s="4" t="inlineStr">
        <is>
          <t>Perfil cuadrado galvanizado 1" x 1" x 20 pies, pared 1.6 mm</t>
        </is>
      </c>
      <c r="C1035" s="7" t="inlineStr">
        <is>
          <t>unidad</t>
        </is>
      </c>
      <c r="D1035" s="8" t="n">
        <v>539.74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>
        <v>561</v>
      </c>
      <c r="N1035" s="8" t="n"/>
      <c r="O1035" s="8" t="n"/>
      <c r="P1035" s="8" t="n"/>
      <c r="Q1035" s="8">
        <f>IF(COUNT(D1035:P1035)=0,"",MIN(D1035:P1035))</f>
        <v/>
      </c>
      <c r="R1035" s="8">
        <f>IF(COUNT(D1035:P1035)=0,"",MEDIAN(D1035:P1035))</f>
        <v/>
      </c>
      <c r="S1035" s="8">
        <f>IF(COUNT(D1035:P1035)=0,"",MAX(D1035:P1035))</f>
        <v/>
      </c>
      <c r="T1035" s="9">
        <f>IF(OR(Q1035="",Q1035=0),"",(S1035-Q1035)/Q1035)</f>
        <v/>
      </c>
      <c r="U1035" s="7">
        <f>IF(COUNT(D1035:P1035)=0,"",INDEX($D$1:$P$1,MATCH(MIN(D1035:P1035),D1035:P1035,0)))</f>
        <v/>
      </c>
      <c r="V1035" s="8" t="n">
        <v>600.86</v>
      </c>
      <c r="W1035" s="10" t="n">
        <v>2</v>
      </c>
    </row>
    <row r="1036">
      <c r="A1036" s="7" t="inlineStr">
        <is>
          <t>MAT-19-013</t>
        </is>
      </c>
      <c r="B1036" s="4" t="inlineStr">
        <is>
          <t>Perfil cuadrado galvanizado 1 1/4" x 1 1/4" x 20 pies, pared 1.5 mm</t>
        </is>
      </c>
      <c r="C1036" s="7" t="inlineStr">
        <is>
          <t>unidad</t>
        </is>
      </c>
      <c r="D1036" s="8" t="n">
        <v>712.04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/>
      <c r="P1036" s="8" t="n"/>
      <c r="Q1036" s="8">
        <f>IF(COUNT(D1036:P1036)=0,"",MIN(D1036:P1036))</f>
        <v/>
      </c>
      <c r="R1036" s="8">
        <f>IF(COUNT(D1036:P1036)=0,"",MEDIAN(D1036:P1036))</f>
        <v/>
      </c>
      <c r="S1036" s="8">
        <f>IF(COUNT(D1036:P1036)=0,"",MAX(D1036:P1036))</f>
        <v/>
      </c>
      <c r="T1036" s="9">
        <f>IF(OR(Q1036="",Q1036=0),"",(S1036-Q1036)/Q1036)</f>
        <v/>
      </c>
      <c r="U1036" s="7">
        <f>IF(COUNT(D1036:P1036)=0,"",INDEX($D$1:$P$1,MATCH(MIN(D1036:P1036),D1036:P1036,0)))</f>
        <v/>
      </c>
      <c r="V1036" s="8" t="n">
        <v>712.04</v>
      </c>
      <c r="W1036" s="10" t="n">
        <v>1</v>
      </c>
    </row>
    <row r="1037">
      <c r="A1037" s="7" t="inlineStr">
        <is>
          <t>MAT-19-014</t>
        </is>
      </c>
      <c r="B1037" s="4" t="inlineStr">
        <is>
          <t>Perfil cuadrado galvanizado 1 1/2" x 1 1/2" x 20 pies, pared 1.2 mm</t>
        </is>
      </c>
      <c r="C1037" s="7" t="inlineStr">
        <is>
          <t>unidad</t>
        </is>
      </c>
      <c r="D1037" s="8" t="n">
        <v>648.6799999999999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>
        <v>642.8</v>
      </c>
      <c r="N1037" s="8" t="n"/>
      <c r="O1037" s="8" t="n"/>
      <c r="P1037" s="8" t="n"/>
      <c r="Q1037" s="8">
        <f>IF(COUNT(D1037:P1037)=0,"",MIN(D1037:P1037))</f>
        <v/>
      </c>
      <c r="R1037" s="8">
        <f>IF(COUNT(D1037:P1037)=0,"",MEDIAN(D1037:P1037))</f>
        <v/>
      </c>
      <c r="S1037" s="8">
        <f>IF(COUNT(D1037:P1037)=0,"",MAX(D1037:P1037))</f>
        <v/>
      </c>
      <c r="T1037" s="9">
        <f>IF(OR(Q1037="",Q1037=0),"",(S1037-Q1037)/Q1037)</f>
        <v/>
      </c>
      <c r="U1037" s="7">
        <f>IF(COUNT(D1037:P1037)=0,"",INDEX($D$1:$P$1,MATCH(MIN(D1037:P1037),D1037:P1037,0)))</f>
        <v/>
      </c>
      <c r="V1037" s="8" t="n">
        <v>703.59</v>
      </c>
      <c r="W1037" s="10" t="n">
        <v>2</v>
      </c>
    </row>
    <row r="1038">
      <c r="A1038" s="7" t="inlineStr">
        <is>
          <t>MAT-19-015</t>
        </is>
      </c>
      <c r="B1038" s="4" t="inlineStr">
        <is>
          <t>Perfil cuadrado galvanizado 1 1/2" x 1 1/2" x 20 pies, pared 1.6 mm</t>
        </is>
      </c>
      <c r="C1038" s="7" t="inlineStr">
        <is>
          <t>unidad</t>
        </is>
      </c>
      <c r="D1038" s="8" t="n">
        <v>814.53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>
        <v>810</v>
      </c>
      <c r="N1038" s="8" t="n"/>
      <c r="O1038" s="8" t="n"/>
      <c r="P1038" s="8" t="n"/>
      <c r="Q1038" s="8">
        <f>IF(COUNT(D1038:P1038)=0,"",MIN(D1038:P1038))</f>
        <v/>
      </c>
      <c r="R1038" s="8">
        <f>IF(COUNT(D1038:P1038)=0,"",MEDIAN(D1038:P1038))</f>
        <v/>
      </c>
      <c r="S1038" s="8">
        <f>IF(COUNT(D1038:P1038)=0,"",MAX(D1038:P1038))</f>
        <v/>
      </c>
      <c r="T1038" s="9">
        <f>IF(OR(Q1038="",Q1038=0),"",(S1038-Q1038)/Q1038)</f>
        <v/>
      </c>
      <c r="U1038" s="7">
        <f>IF(COUNT(D1038:P1038)=0,"",INDEX($D$1:$P$1,MATCH(MIN(D1038:P1038),D1038:P1038,0)))</f>
        <v/>
      </c>
      <c r="V1038" s="8" t="n">
        <v>885.17</v>
      </c>
      <c r="W1038" s="10" t="n">
        <v>2</v>
      </c>
    </row>
    <row r="1039">
      <c r="A1039" s="7" t="inlineStr">
        <is>
          <t>MAT-19-016</t>
        </is>
      </c>
      <c r="B1039" s="4" t="inlineStr">
        <is>
          <t>Perfil cuadrado galvanizado 2" x 2" x 20 pies, pared 1.6 mm</t>
        </is>
      </c>
      <c r="C1039" s="7" t="inlineStr">
        <is>
          <t>unidad</t>
        </is>
      </c>
      <c r="D1039" s="8" t="n">
        <v>1108.57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/>
      <c r="P1039" s="8" t="n"/>
      <c r="Q1039" s="8">
        <f>IF(COUNT(D1039:P1039)=0,"",MIN(D1039:P1039))</f>
        <v/>
      </c>
      <c r="R1039" s="8">
        <f>IF(COUNT(D1039:P1039)=0,"",MEDIAN(D1039:P1039))</f>
        <v/>
      </c>
      <c r="S1039" s="8">
        <f>IF(COUNT(D1039:P1039)=0,"",MAX(D1039:P1039))</f>
        <v/>
      </c>
      <c r="T1039" s="9">
        <f>IF(OR(Q1039="",Q1039=0),"",(S1039-Q1039)/Q1039)</f>
        <v/>
      </c>
      <c r="U1039" s="7">
        <f>IF(COUNT(D1039:P1039)=0,"",INDEX($D$1:$P$1,MATCH(MIN(D1039:P1039),D1039:P1039,0)))</f>
        <v/>
      </c>
      <c r="V1039" s="8" t="n">
        <v>1108.57</v>
      </c>
      <c r="W1039" s="10" t="n">
        <v>1</v>
      </c>
    </row>
    <row r="1040">
      <c r="A1040" s="7" t="inlineStr">
        <is>
          <t>MAT-19-017</t>
        </is>
      </c>
      <c r="B1040" s="4" t="inlineStr">
        <is>
          <t>Perfil cuadrado galvanizado 3" x 3" x 20 pies, pared 1.5 mm</t>
        </is>
      </c>
      <c r="C1040" s="7" t="inlineStr">
        <is>
          <t>unidad</t>
        </is>
      </c>
      <c r="D1040" s="8" t="n">
        <v>1707.91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>
        <v>1726</v>
      </c>
      <c r="N1040" s="8" t="n"/>
      <c r="O1040" s="8" t="n"/>
      <c r="P1040" s="8" t="n"/>
      <c r="Q1040" s="8">
        <f>IF(COUNT(D1040:P1040)=0,"",MIN(D1040:P1040))</f>
        <v/>
      </c>
      <c r="R1040" s="8">
        <f>IF(COUNT(D1040:P1040)=0,"",MEDIAN(D1040:P1040))</f>
        <v/>
      </c>
      <c r="S1040" s="8">
        <f>IF(COUNT(D1040:P1040)=0,"",MAX(D1040:P1040))</f>
        <v/>
      </c>
      <c r="T1040" s="9">
        <f>IF(OR(Q1040="",Q1040=0),"",(S1040-Q1040)/Q1040)</f>
        <v/>
      </c>
      <c r="U1040" s="7">
        <f>IF(COUNT(D1040:P1040)=0,"",INDEX($D$1:$P$1,MATCH(MIN(D1040:P1040),D1040:P1040,0)))</f>
        <v/>
      </c>
      <c r="V1040" s="8" t="n">
        <v>1872.3</v>
      </c>
      <c r="W1040" s="10" t="n">
        <v>2</v>
      </c>
    </row>
    <row r="1041">
      <c r="A1041" s="7" t="inlineStr">
        <is>
          <t>MAT-19-018</t>
        </is>
      </c>
      <c r="B1041" s="4" t="inlineStr">
        <is>
          <t>Perfil rectangular negro 3/4" x 1 1/2" x 20 pies, pared 1.2 mm</t>
        </is>
      </c>
      <c r="C1041" s="7" t="inlineStr">
        <is>
          <t>unidad</t>
        </is>
      </c>
      <c r="D1041" s="8" t="n">
        <v>402.51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/>
      <c r="P1041" s="8" t="n"/>
      <c r="Q1041" s="8">
        <f>IF(COUNT(D1041:P1041)=0,"",MIN(D1041:P1041))</f>
        <v/>
      </c>
      <c r="R1041" s="8">
        <f>IF(COUNT(D1041:P1041)=0,"",MEDIAN(D1041:P1041))</f>
        <v/>
      </c>
      <c r="S1041" s="8">
        <f>IF(COUNT(D1041:P1041)=0,"",MAX(D1041:P1041))</f>
        <v/>
      </c>
      <c r="T1041" s="9">
        <f>IF(OR(Q1041="",Q1041=0),"",(S1041-Q1041)/Q1041)</f>
        <v/>
      </c>
      <c r="U1041" s="7">
        <f>IF(COUNT(D1041:P1041)=0,"",INDEX($D$1:$P$1,MATCH(MIN(D1041:P1041),D1041:P1041,0)))</f>
        <v/>
      </c>
      <c r="V1041" s="8" t="n">
        <v>402.51</v>
      </c>
      <c r="W1041" s="10" t="n">
        <v>1</v>
      </c>
    </row>
    <row r="1042">
      <c r="A1042" s="7" t="inlineStr">
        <is>
          <t>MAT-19-019</t>
        </is>
      </c>
      <c r="B1042" s="4" t="inlineStr">
        <is>
          <t>Perfil rectangular negro 3/4" x 1 1/2" x 20 pies, pared 1.6 mm</t>
        </is>
      </c>
      <c r="C1042" s="7" t="inlineStr">
        <is>
          <t>unidad</t>
        </is>
      </c>
      <c r="D1042" s="8" t="n">
        <v>472.19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>
        <f>IF(COUNT(D1042:P1042)=0,"",MIN(D1042:P1042))</f>
        <v/>
      </c>
      <c r="R1042" s="8">
        <f>IF(COUNT(D1042:P1042)=0,"",MEDIAN(D1042:P1042))</f>
        <v/>
      </c>
      <c r="S1042" s="8">
        <f>IF(COUNT(D1042:P1042)=0,"",MAX(D1042:P1042))</f>
        <v/>
      </c>
      <c r="T1042" s="9">
        <f>IF(OR(Q1042="",Q1042=0),"",(S1042-Q1042)/Q1042)</f>
        <v/>
      </c>
      <c r="U1042" s="7">
        <f>IF(COUNT(D1042:P1042)=0,"",INDEX($D$1:$P$1,MATCH(MIN(D1042:P1042),D1042:P1042,0)))</f>
        <v/>
      </c>
      <c r="V1042" s="8" t="n">
        <v>472.19</v>
      </c>
      <c r="W1042" s="10" t="n">
        <v>1</v>
      </c>
    </row>
    <row r="1043">
      <c r="A1043" s="7" t="inlineStr">
        <is>
          <t>MAT-19-020</t>
        </is>
      </c>
      <c r="B1043" s="4" t="inlineStr">
        <is>
          <t>Perfil rectangular negro 2" x 1" x 20 pies, pared 1.2 mm</t>
        </is>
      </c>
      <c r="C1043" s="7" t="inlineStr">
        <is>
          <t>unidad</t>
        </is>
      </c>
      <c r="D1043" s="8" t="n">
        <v>542.15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/>
      <c r="P1043" s="8" t="n"/>
      <c r="Q1043" s="8">
        <f>IF(COUNT(D1043:P1043)=0,"",MIN(D1043:P1043))</f>
        <v/>
      </c>
      <c r="R1043" s="8">
        <f>IF(COUNT(D1043:P1043)=0,"",MEDIAN(D1043:P1043))</f>
        <v/>
      </c>
      <c r="S1043" s="8">
        <f>IF(COUNT(D1043:P1043)=0,"",MAX(D1043:P1043))</f>
        <v/>
      </c>
      <c r="T1043" s="9">
        <f>IF(OR(Q1043="",Q1043=0),"",(S1043-Q1043)/Q1043)</f>
        <v/>
      </c>
      <c r="U1043" s="7">
        <f>IF(COUNT(D1043:P1043)=0,"",INDEX($D$1:$P$1,MATCH(MIN(D1043:P1043),D1043:P1043,0)))</f>
        <v/>
      </c>
      <c r="V1043" s="8" t="n">
        <v>542.15</v>
      </c>
      <c r="W1043" s="10" t="n">
        <v>1</v>
      </c>
    </row>
    <row r="1044">
      <c r="A1044" s="7" t="inlineStr">
        <is>
          <t>MAT-19-021</t>
        </is>
      </c>
      <c r="B1044" s="4" t="inlineStr">
        <is>
          <t>Perfil rectangular negro 2" x 1" x 20 pies, pared 1.6 mm</t>
        </is>
      </c>
      <c r="C1044" s="7" t="inlineStr">
        <is>
          <t>unidad</t>
        </is>
      </c>
      <c r="D1044" s="8" t="n">
        <v>639.71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/>
      <c r="Q1044" s="8">
        <f>IF(COUNT(D1044:P1044)=0,"",MIN(D1044:P1044))</f>
        <v/>
      </c>
      <c r="R1044" s="8">
        <f>IF(COUNT(D1044:P1044)=0,"",MEDIAN(D1044:P1044))</f>
        <v/>
      </c>
      <c r="S1044" s="8">
        <f>IF(COUNT(D1044:P1044)=0,"",MAX(D1044:P1044))</f>
        <v/>
      </c>
      <c r="T1044" s="9">
        <f>IF(OR(Q1044="",Q1044=0),"",(S1044-Q1044)/Q1044)</f>
        <v/>
      </c>
      <c r="U1044" s="7">
        <f>IF(COUNT(D1044:P1044)=0,"",INDEX($D$1:$P$1,MATCH(MIN(D1044:P1044),D1044:P1044,0)))</f>
        <v/>
      </c>
      <c r="V1044" s="8" t="n">
        <v>639.71</v>
      </c>
      <c r="W1044" s="10" t="n">
        <v>1</v>
      </c>
    </row>
    <row r="1045">
      <c r="A1045" s="7" t="inlineStr">
        <is>
          <t>MAT-19-022</t>
        </is>
      </c>
      <c r="B1045" s="4" t="inlineStr">
        <is>
          <t>Perfil rectangular negro 2" x 3" x 20 pies, pared 1.6 mm</t>
        </is>
      </c>
      <c r="C1045" s="7" t="inlineStr">
        <is>
          <t>unidad</t>
        </is>
      </c>
      <c r="D1045" s="8" t="n">
        <v>1082.3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 t="n"/>
      <c r="P1045" s="8" t="n"/>
      <c r="Q1045" s="8">
        <f>IF(COUNT(D1045:P1045)=0,"",MIN(D1045:P1045))</f>
        <v/>
      </c>
      <c r="R1045" s="8">
        <f>IF(COUNT(D1045:P1045)=0,"",MEDIAN(D1045:P1045))</f>
        <v/>
      </c>
      <c r="S1045" s="8">
        <f>IF(COUNT(D1045:P1045)=0,"",MAX(D1045:P1045))</f>
        <v/>
      </c>
      <c r="T1045" s="9">
        <f>IF(OR(Q1045="",Q1045=0),"",(S1045-Q1045)/Q1045)</f>
        <v/>
      </c>
      <c r="U1045" s="7">
        <f>IF(COUNT(D1045:P1045)=0,"",INDEX($D$1:$P$1,MATCH(MIN(D1045:P1045),D1045:P1045,0)))</f>
        <v/>
      </c>
      <c r="V1045" s="8" t="n">
        <v>1082.3</v>
      </c>
      <c r="W1045" s="10" t="n">
        <v>1</v>
      </c>
    </row>
    <row r="1046">
      <c r="A1046" s="7" t="inlineStr">
        <is>
          <t>MAT-19-023</t>
        </is>
      </c>
      <c r="B1046" s="4" t="inlineStr">
        <is>
          <t>Perfil rectangular negro 2" x 4" x 20 pies, pared 1.6 mm</t>
        </is>
      </c>
      <c r="C1046" s="7" t="inlineStr">
        <is>
          <t>unidad</t>
        </is>
      </c>
      <c r="D1046" s="8" t="n">
        <v>1349.04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/>
      <c r="Q1046" s="8">
        <f>IF(COUNT(D1046:P1046)=0,"",MIN(D1046:P1046))</f>
        <v/>
      </c>
      <c r="R1046" s="8">
        <f>IF(COUNT(D1046:P1046)=0,"",MEDIAN(D1046:P1046))</f>
        <v/>
      </c>
      <c r="S1046" s="8">
        <f>IF(COUNT(D1046:P1046)=0,"",MAX(D1046:P1046))</f>
        <v/>
      </c>
      <c r="T1046" s="9">
        <f>IF(OR(Q1046="",Q1046=0),"",(S1046-Q1046)/Q1046)</f>
        <v/>
      </c>
      <c r="U1046" s="7">
        <f>IF(COUNT(D1046:P1046)=0,"",INDEX($D$1:$P$1,MATCH(MIN(D1046:P1046),D1046:P1046,0)))</f>
        <v/>
      </c>
      <c r="V1046" s="8" t="n">
        <v>1349.04</v>
      </c>
      <c r="W1046" s="10" t="n">
        <v>1</v>
      </c>
    </row>
    <row r="1047">
      <c r="A1047" s="7" t="inlineStr">
        <is>
          <t>MAT-19-024</t>
        </is>
      </c>
      <c r="B1047" s="4" t="inlineStr">
        <is>
          <t>Perfil rectangular negro 3" x 1 1/2" x 20 pies, pared 1.6 mm</t>
        </is>
      </c>
      <c r="C1047" s="7" t="inlineStr">
        <is>
          <t>unidad</t>
        </is>
      </c>
      <c r="D1047" s="8" t="n">
        <v>973.59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/>
      <c r="P1047" s="8" t="n"/>
      <c r="Q1047" s="8">
        <f>IF(COUNT(D1047:P1047)=0,"",MIN(D1047:P1047))</f>
        <v/>
      </c>
      <c r="R1047" s="8">
        <f>IF(COUNT(D1047:P1047)=0,"",MEDIAN(D1047:P1047))</f>
        <v/>
      </c>
      <c r="S1047" s="8">
        <f>IF(COUNT(D1047:P1047)=0,"",MAX(D1047:P1047))</f>
        <v/>
      </c>
      <c r="T1047" s="9">
        <f>IF(OR(Q1047="",Q1047=0),"",(S1047-Q1047)/Q1047)</f>
        <v/>
      </c>
      <c r="U1047" s="7">
        <f>IF(COUNT(D1047:P1047)=0,"",INDEX($D$1:$P$1,MATCH(MIN(D1047:P1047),D1047:P1047,0)))</f>
        <v/>
      </c>
      <c r="V1047" s="8" t="n">
        <v>973.59</v>
      </c>
      <c r="W1047" s="10" t="n">
        <v>1</v>
      </c>
    </row>
    <row r="1048">
      <c r="A1048" s="7" t="inlineStr">
        <is>
          <t>MAT-19-025</t>
        </is>
      </c>
      <c r="B1048" s="4" t="inlineStr">
        <is>
          <t>Perfil rectangular galvanizado 3/4" x 1 1/2" x 20 pies, pared 1.2 mm</t>
        </is>
      </c>
      <c r="C1048" s="7" t="inlineStr">
        <is>
          <t>unidad</t>
        </is>
      </c>
      <c r="D1048" s="8" t="n">
        <v>492.8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/>
      <c r="P1048" s="8" t="n"/>
      <c r="Q1048" s="8">
        <f>IF(COUNT(D1048:P1048)=0,"",MIN(D1048:P1048))</f>
        <v/>
      </c>
      <c r="R1048" s="8">
        <f>IF(COUNT(D1048:P1048)=0,"",MEDIAN(D1048:P1048))</f>
        <v/>
      </c>
      <c r="S1048" s="8">
        <f>IF(COUNT(D1048:P1048)=0,"",MAX(D1048:P1048))</f>
        <v/>
      </c>
      <c r="T1048" s="9">
        <f>IF(OR(Q1048="",Q1048=0),"",(S1048-Q1048)/Q1048)</f>
        <v/>
      </c>
      <c r="U1048" s="7">
        <f>IF(COUNT(D1048:P1048)=0,"",INDEX($D$1:$P$1,MATCH(MIN(D1048:P1048),D1048:P1048,0)))</f>
        <v/>
      </c>
      <c r="V1048" s="8" t="n">
        <v>492.8</v>
      </c>
      <c r="W1048" s="10" t="n">
        <v>1</v>
      </c>
    </row>
    <row r="1049">
      <c r="A1049" s="7" t="inlineStr">
        <is>
          <t>MAT-19-026</t>
        </is>
      </c>
      <c r="B1049" s="4" t="inlineStr">
        <is>
          <t>Perfil rectangular galvanizado 3/4" x 1 1/2" x 20 pies, pared 1.5 mm</t>
        </is>
      </c>
      <c r="C1049" s="7" t="inlineStr">
        <is>
          <t>unidad</t>
        </is>
      </c>
      <c r="D1049" s="8" t="n">
        <v>626.88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/>
      <c r="P1049" s="8" t="n"/>
      <c r="Q1049" s="8">
        <f>IF(COUNT(D1049:P1049)=0,"",MIN(D1049:P1049))</f>
        <v/>
      </c>
      <c r="R1049" s="8">
        <f>IF(COUNT(D1049:P1049)=0,"",MEDIAN(D1049:P1049))</f>
        <v/>
      </c>
      <c r="S1049" s="8">
        <f>IF(COUNT(D1049:P1049)=0,"",MAX(D1049:P1049))</f>
        <v/>
      </c>
      <c r="T1049" s="9">
        <f>IF(OR(Q1049="",Q1049=0),"",(S1049-Q1049)/Q1049)</f>
        <v/>
      </c>
      <c r="U1049" s="7">
        <f>IF(COUNT(D1049:P1049)=0,"",INDEX($D$1:$P$1,MATCH(MIN(D1049:P1049),D1049:P1049,0)))</f>
        <v/>
      </c>
      <c r="V1049" s="8" t="n">
        <v>626.88</v>
      </c>
      <c r="W1049" s="10" t="n">
        <v>1</v>
      </c>
    </row>
    <row r="1050">
      <c r="A1050" s="7" t="inlineStr">
        <is>
          <t>MAT-19-027</t>
        </is>
      </c>
      <c r="B1050" s="4" t="inlineStr">
        <is>
          <t>Perfil rectangular galvanizado 2" x 1" x 20 pies, pared 1.2 mm</t>
        </is>
      </c>
      <c r="C1050" s="7" t="inlineStr">
        <is>
          <t>unidad</t>
        </is>
      </c>
      <c r="D1050" s="8" t="n">
        <v>646.73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>
        <f>IF(COUNT(D1050:P1050)=0,"",MIN(D1050:P1050))</f>
        <v/>
      </c>
      <c r="R1050" s="8">
        <f>IF(COUNT(D1050:P1050)=0,"",MEDIAN(D1050:P1050))</f>
        <v/>
      </c>
      <c r="S1050" s="8">
        <f>IF(COUNT(D1050:P1050)=0,"",MAX(D1050:P1050))</f>
        <v/>
      </c>
      <c r="T1050" s="9">
        <f>IF(OR(Q1050="",Q1050=0),"",(S1050-Q1050)/Q1050)</f>
        <v/>
      </c>
      <c r="U1050" s="7">
        <f>IF(COUNT(D1050:P1050)=0,"",INDEX($D$1:$P$1,MATCH(MIN(D1050:P1050),D1050:P1050,0)))</f>
        <v/>
      </c>
      <c r="V1050" s="8" t="n">
        <v>646.73</v>
      </c>
      <c r="W1050" s="10" t="n">
        <v>1</v>
      </c>
    </row>
    <row r="1051">
      <c r="A1051" s="7" t="inlineStr">
        <is>
          <t>MAT-19-028</t>
        </is>
      </c>
      <c r="B1051" s="4" t="inlineStr">
        <is>
          <t>Perfil rectangular galvanizado 2" x 1" x 20 pies, pared 1.6 mm</t>
        </is>
      </c>
      <c r="C1051" s="7" t="inlineStr">
        <is>
          <t>unidad</t>
        </is>
      </c>
      <c r="D1051" s="8" t="n">
        <v>812.22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/>
      <c r="P1051" s="8" t="n"/>
      <c r="Q1051" s="8">
        <f>IF(COUNT(D1051:P1051)=0,"",MIN(D1051:P1051))</f>
        <v/>
      </c>
      <c r="R1051" s="8">
        <f>IF(COUNT(D1051:P1051)=0,"",MEDIAN(D1051:P1051))</f>
        <v/>
      </c>
      <c r="S1051" s="8">
        <f>IF(COUNT(D1051:P1051)=0,"",MAX(D1051:P1051))</f>
        <v/>
      </c>
      <c r="T1051" s="9">
        <f>IF(OR(Q1051="",Q1051=0),"",(S1051-Q1051)/Q1051)</f>
        <v/>
      </c>
      <c r="U1051" s="7">
        <f>IF(COUNT(D1051:P1051)=0,"",INDEX($D$1:$P$1,MATCH(MIN(D1051:P1051),D1051:P1051,0)))</f>
        <v/>
      </c>
      <c r="V1051" s="8" t="n">
        <v>812.22</v>
      </c>
      <c r="W1051" s="10" t="n">
        <v>1</v>
      </c>
    </row>
    <row r="1052">
      <c r="A1052" s="7" t="inlineStr">
        <is>
          <t>MAT-19-029</t>
        </is>
      </c>
      <c r="B1052" s="4" t="inlineStr">
        <is>
          <t>Perfil rectangular galvanizado 2" x 3" x 20 pies, pared 1.6 mm</t>
        </is>
      </c>
      <c r="C1052" s="7" t="inlineStr">
        <is>
          <t>unidad</t>
        </is>
      </c>
      <c r="D1052" s="8" t="n">
        <v>1400.9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/>
      <c r="P1052" s="8" t="n"/>
      <c r="Q1052" s="8">
        <f>IF(COUNT(D1052:P1052)=0,"",MIN(D1052:P1052))</f>
        <v/>
      </c>
      <c r="R1052" s="8">
        <f>IF(COUNT(D1052:P1052)=0,"",MEDIAN(D1052:P1052))</f>
        <v/>
      </c>
      <c r="S1052" s="8">
        <f>IF(COUNT(D1052:P1052)=0,"",MAX(D1052:P1052))</f>
        <v/>
      </c>
      <c r="T1052" s="9">
        <f>IF(OR(Q1052="",Q1052=0),"",(S1052-Q1052)/Q1052)</f>
        <v/>
      </c>
      <c r="U1052" s="7">
        <f>IF(COUNT(D1052:P1052)=0,"",INDEX($D$1:$P$1,MATCH(MIN(D1052:P1052),D1052:P1052,0)))</f>
        <v/>
      </c>
      <c r="V1052" s="8" t="n">
        <v>1400.9</v>
      </c>
      <c r="W1052" s="10" t="n">
        <v>1</v>
      </c>
    </row>
    <row r="1053">
      <c r="A1053" s="7" t="inlineStr">
        <is>
          <t>MAT-19-030</t>
        </is>
      </c>
      <c r="B1053" s="4" t="inlineStr">
        <is>
          <t>Perfil rectangular galvanizado 2" x 4" x 20 pies, pared 1.6 mm</t>
        </is>
      </c>
      <c r="C1053" s="7" t="inlineStr">
        <is>
          <t>unidad</t>
        </is>
      </c>
      <c r="D1053" s="8" t="n">
        <v>1695.85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/>
      <c r="P1053" s="8" t="n"/>
      <c r="Q1053" s="8">
        <f>IF(COUNT(D1053:P1053)=0,"",MIN(D1053:P1053))</f>
        <v/>
      </c>
      <c r="R1053" s="8">
        <f>IF(COUNT(D1053:P1053)=0,"",MEDIAN(D1053:P1053))</f>
        <v/>
      </c>
      <c r="S1053" s="8">
        <f>IF(COUNT(D1053:P1053)=0,"",MAX(D1053:P1053))</f>
        <v/>
      </c>
      <c r="T1053" s="9">
        <f>IF(OR(Q1053="",Q1053=0),"",(S1053-Q1053)/Q1053)</f>
        <v/>
      </c>
      <c r="U1053" s="7">
        <f>IF(COUNT(D1053:P1053)=0,"",INDEX($D$1:$P$1,MATCH(MIN(D1053:P1053),D1053:P1053,0)))</f>
        <v/>
      </c>
      <c r="V1053" s="8" t="n">
        <v>1695.85</v>
      </c>
      <c r="W1053" s="10" t="n">
        <v>1</v>
      </c>
    </row>
    <row r="1054">
      <c r="A1054" s="7" t="inlineStr">
        <is>
          <t>MAT-19-031</t>
        </is>
      </c>
      <c r="B1054" s="4" t="inlineStr">
        <is>
          <t>Perfil rectangular galvanizado 3" x 1 1/2" x 20 pies, pared 1.6 mm</t>
        </is>
      </c>
      <c r="C1054" s="7" t="inlineStr">
        <is>
          <t>unidad</t>
        </is>
      </c>
      <c r="D1054" s="8" t="n">
        <v>1275.97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/>
      <c r="P1054" s="8" t="n"/>
      <c r="Q1054" s="8">
        <f>IF(COUNT(D1054:P1054)=0,"",MIN(D1054:P1054))</f>
        <v/>
      </c>
      <c r="R1054" s="8">
        <f>IF(COUNT(D1054:P1054)=0,"",MEDIAN(D1054:P1054))</f>
        <v/>
      </c>
      <c r="S1054" s="8">
        <f>IF(COUNT(D1054:P1054)=0,"",MAX(D1054:P1054))</f>
        <v/>
      </c>
      <c r="T1054" s="9">
        <f>IF(OR(Q1054="",Q1054=0),"",(S1054-Q1054)/Q1054)</f>
        <v/>
      </c>
      <c r="U1054" s="7">
        <f>IF(COUNT(D1054:P1054)=0,"",INDEX($D$1:$P$1,MATCH(MIN(D1054:P1054),D1054:P1054,0)))</f>
        <v/>
      </c>
      <c r="V1054" s="8" t="n">
        <v>1275.97</v>
      </c>
      <c r="W1054" s="10" t="n">
        <v>1</v>
      </c>
    </row>
    <row r="1055">
      <c r="A1055" s="7" t="inlineStr">
        <is>
          <t>MAT-19-032</t>
        </is>
      </c>
      <c r="B1055" s="4" t="inlineStr">
        <is>
          <t>Tubo negro redondo 1/2" x 20 pies, pared 2.77 mm</t>
        </is>
      </c>
      <c r="C1055" s="7" t="inlineStr">
        <is>
          <t>unidad</t>
        </is>
      </c>
      <c r="D1055" s="8" t="n">
        <v>620.21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/>
      <c r="Q1055" s="8">
        <f>IF(COUNT(D1055:P1055)=0,"",MIN(D1055:P1055))</f>
        <v/>
      </c>
      <c r="R1055" s="8">
        <f>IF(COUNT(D1055:P1055)=0,"",MEDIAN(D1055:P1055))</f>
        <v/>
      </c>
      <c r="S1055" s="8">
        <f>IF(COUNT(D1055:P1055)=0,"",MAX(D1055:P1055))</f>
        <v/>
      </c>
      <c r="T1055" s="9">
        <f>IF(OR(Q1055="",Q1055=0),"",(S1055-Q1055)/Q1055)</f>
        <v/>
      </c>
      <c r="U1055" s="7">
        <f>IF(COUNT(D1055:P1055)=0,"",INDEX($D$1:$P$1,MATCH(MIN(D1055:P1055),D1055:P1055,0)))</f>
        <v/>
      </c>
      <c r="V1055" s="8" t="n">
        <v>620.21</v>
      </c>
      <c r="W1055" s="10" t="n">
        <v>1</v>
      </c>
    </row>
    <row r="1056">
      <c r="A1056" s="7" t="inlineStr">
        <is>
          <t>MAT-19-033</t>
        </is>
      </c>
      <c r="B1056" s="4" t="inlineStr">
        <is>
          <t>Tubo negro redondo 3/4" x 20 pies, pared 2.87 mm</t>
        </is>
      </c>
      <c r="C1056" s="7" t="inlineStr">
        <is>
          <t>unidad</t>
        </is>
      </c>
      <c r="D1056" s="8" t="n">
        <v>826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/>
      <c r="P1056" s="8" t="n"/>
      <c r="Q1056" s="8">
        <f>IF(COUNT(D1056:P1056)=0,"",MIN(D1056:P1056))</f>
        <v/>
      </c>
      <c r="R1056" s="8">
        <f>IF(COUNT(D1056:P1056)=0,"",MEDIAN(D1056:P1056))</f>
        <v/>
      </c>
      <c r="S1056" s="8">
        <f>IF(COUNT(D1056:P1056)=0,"",MAX(D1056:P1056))</f>
        <v/>
      </c>
      <c r="T1056" s="9">
        <f>IF(OR(Q1056="",Q1056=0),"",(S1056-Q1056)/Q1056)</f>
        <v/>
      </c>
      <c r="U1056" s="7">
        <f>IF(COUNT(D1056:P1056)=0,"",INDEX($D$1:$P$1,MATCH(MIN(D1056:P1056),D1056:P1056,0)))</f>
        <v/>
      </c>
      <c r="V1056" s="8" t="n">
        <v>826</v>
      </c>
      <c r="W1056" s="10" t="n">
        <v>1</v>
      </c>
    </row>
    <row r="1057">
      <c r="A1057" s="7" t="inlineStr">
        <is>
          <t>MAT-19-034</t>
        </is>
      </c>
      <c r="B1057" s="4" t="inlineStr">
        <is>
          <t>Tubo negro redondo 1" x 20 pies, pared 3.38 mm</t>
        </is>
      </c>
      <c r="C1057" s="7" t="inlineStr">
        <is>
          <t>unidad</t>
        </is>
      </c>
      <c r="D1057" s="8" t="n">
        <v>1206.29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/>
      <c r="P1057" s="8" t="n"/>
      <c r="Q1057" s="8">
        <f>IF(COUNT(D1057:P1057)=0,"",MIN(D1057:P1057))</f>
        <v/>
      </c>
      <c r="R1057" s="8">
        <f>IF(COUNT(D1057:P1057)=0,"",MEDIAN(D1057:P1057))</f>
        <v/>
      </c>
      <c r="S1057" s="8">
        <f>IF(COUNT(D1057:P1057)=0,"",MAX(D1057:P1057))</f>
        <v/>
      </c>
      <c r="T1057" s="9">
        <f>IF(OR(Q1057="",Q1057=0),"",(S1057-Q1057)/Q1057)</f>
        <v/>
      </c>
      <c r="U1057" s="7">
        <f>IF(COUNT(D1057:P1057)=0,"",INDEX($D$1:$P$1,MATCH(MIN(D1057:P1057),D1057:P1057,0)))</f>
        <v/>
      </c>
      <c r="V1057" s="8" t="n">
        <v>1206.29</v>
      </c>
      <c r="W1057" s="10" t="n">
        <v>1</v>
      </c>
    </row>
    <row r="1058">
      <c r="A1058" s="7" t="inlineStr">
        <is>
          <t>MAT-19-035</t>
        </is>
      </c>
      <c r="B1058" s="4" t="inlineStr">
        <is>
          <t>Tubo negro redondo 1 1/4" x 20 pies, pared 3.56 mm</t>
        </is>
      </c>
      <c r="C1058" s="7" t="inlineStr">
        <is>
          <t>unidad</t>
        </is>
      </c>
      <c r="D1058" s="8" t="n">
        <v>1507.57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/>
      <c r="Q1058" s="8">
        <f>IF(COUNT(D1058:P1058)=0,"",MIN(D1058:P1058))</f>
        <v/>
      </c>
      <c r="R1058" s="8">
        <f>IF(COUNT(D1058:P1058)=0,"",MEDIAN(D1058:P1058))</f>
        <v/>
      </c>
      <c r="S1058" s="8">
        <f>IF(COUNT(D1058:P1058)=0,"",MAX(D1058:P1058))</f>
        <v/>
      </c>
      <c r="T1058" s="9">
        <f>IF(OR(Q1058="",Q1058=0),"",(S1058-Q1058)/Q1058)</f>
        <v/>
      </c>
      <c r="U1058" s="7">
        <f>IF(COUNT(D1058:P1058)=0,"",INDEX($D$1:$P$1,MATCH(MIN(D1058:P1058),D1058:P1058,0)))</f>
        <v/>
      </c>
      <c r="V1058" s="8" t="n">
        <v>1507.57</v>
      </c>
      <c r="W1058" s="10" t="n">
        <v>1</v>
      </c>
    </row>
    <row r="1059">
      <c r="A1059" s="7" t="inlineStr">
        <is>
          <t>MAT-19-036</t>
        </is>
      </c>
      <c r="B1059" s="4" t="inlineStr">
        <is>
          <t>Tubo negro redondo 1 1/2" x 20 pies, pared 3.68 mm</t>
        </is>
      </c>
      <c r="C1059" s="7" t="inlineStr">
        <is>
          <t>unidad</t>
        </is>
      </c>
      <c r="D1059" s="8" t="n">
        <v>1952.51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/>
      <c r="Q1059" s="8">
        <f>IF(COUNT(D1059:P1059)=0,"",MIN(D1059:P1059))</f>
        <v/>
      </c>
      <c r="R1059" s="8">
        <f>IF(COUNT(D1059:P1059)=0,"",MEDIAN(D1059:P1059))</f>
        <v/>
      </c>
      <c r="S1059" s="8">
        <f>IF(COUNT(D1059:P1059)=0,"",MAX(D1059:P1059))</f>
        <v/>
      </c>
      <c r="T1059" s="9">
        <f>IF(OR(Q1059="",Q1059=0),"",(S1059-Q1059)/Q1059)</f>
        <v/>
      </c>
      <c r="U1059" s="7">
        <f>IF(COUNT(D1059:P1059)=0,"",INDEX($D$1:$P$1,MATCH(MIN(D1059:P1059),D1059:P1059,0)))</f>
        <v/>
      </c>
      <c r="V1059" s="8" t="n">
        <v>1952.51</v>
      </c>
      <c r="W1059" s="10" t="n">
        <v>1</v>
      </c>
    </row>
    <row r="1060">
      <c r="A1060" s="7" t="inlineStr">
        <is>
          <t>MAT-19-037</t>
        </is>
      </c>
      <c r="B1060" s="4" t="inlineStr">
        <is>
          <t>Tubo negro redondo 2" x 20 pies, pared 3.91 mm</t>
        </is>
      </c>
      <c r="C1060" s="7" t="inlineStr">
        <is>
          <t>unidad</t>
        </is>
      </c>
      <c r="D1060" s="8" t="n">
        <v>2634.08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/>
      <c r="P1060" s="8" t="n"/>
      <c r="Q1060" s="8">
        <f>IF(COUNT(D1060:P1060)=0,"",MIN(D1060:P1060))</f>
        <v/>
      </c>
      <c r="R1060" s="8">
        <f>IF(COUNT(D1060:P1060)=0,"",MEDIAN(D1060:P1060))</f>
        <v/>
      </c>
      <c r="S1060" s="8">
        <f>IF(COUNT(D1060:P1060)=0,"",MAX(D1060:P1060))</f>
        <v/>
      </c>
      <c r="T1060" s="9">
        <f>IF(OR(Q1060="",Q1060=0),"",(S1060-Q1060)/Q1060)</f>
        <v/>
      </c>
      <c r="U1060" s="7">
        <f>IF(COUNT(D1060:P1060)=0,"",INDEX($D$1:$P$1,MATCH(MIN(D1060:P1060),D1060:P1060,0)))</f>
        <v/>
      </c>
      <c r="V1060" s="8" t="n">
        <v>2634.08</v>
      </c>
      <c r="W1060" s="10" t="n">
        <v>1</v>
      </c>
    </row>
    <row r="1061">
      <c r="A1061" s="7" t="inlineStr">
        <is>
          <t>MAT-19-038</t>
        </is>
      </c>
      <c r="B1061" s="4" t="inlineStr">
        <is>
          <t>Tubo negro redondo 2 1/2" x 20 pies</t>
        </is>
      </c>
      <c r="C1061" s="7" t="inlineStr">
        <is>
          <t>unidad</t>
        </is>
      </c>
      <c r="D1061" s="8" t="n">
        <v>4173.42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>
        <f>IF(COUNT(D1061:P1061)=0,"",MIN(D1061:P1061))</f>
        <v/>
      </c>
      <c r="R1061" s="8">
        <f>IF(COUNT(D1061:P1061)=0,"",MEDIAN(D1061:P1061))</f>
        <v/>
      </c>
      <c r="S1061" s="8">
        <f>IF(COUNT(D1061:P1061)=0,"",MAX(D1061:P1061))</f>
        <v/>
      </c>
      <c r="T1061" s="9">
        <f>IF(OR(Q1061="",Q1061=0),"",(S1061-Q1061)/Q1061)</f>
        <v/>
      </c>
      <c r="U1061" s="7">
        <f>IF(COUNT(D1061:P1061)=0,"",INDEX($D$1:$P$1,MATCH(MIN(D1061:P1061),D1061:P1061,0)))</f>
        <v/>
      </c>
      <c r="V1061" s="8" t="n">
        <v>4173.42</v>
      </c>
      <c r="W1061" s="10" t="n">
        <v>1</v>
      </c>
    </row>
    <row r="1062">
      <c r="A1062" s="7" t="inlineStr">
        <is>
          <t>MAT-19-039</t>
        </is>
      </c>
      <c r="B1062" s="4" t="inlineStr">
        <is>
          <t>Tubo negro redondo 3" x 20 pies</t>
        </is>
      </c>
      <c r="C1062" s="7" t="inlineStr">
        <is>
          <t>unidad</t>
        </is>
      </c>
      <c r="D1062" s="8" t="n">
        <v>5029.28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>
        <f>IF(COUNT(D1062:P1062)=0,"",MIN(D1062:P1062))</f>
        <v/>
      </c>
      <c r="R1062" s="8">
        <f>IF(COUNT(D1062:P1062)=0,"",MEDIAN(D1062:P1062))</f>
        <v/>
      </c>
      <c r="S1062" s="8">
        <f>IF(COUNT(D1062:P1062)=0,"",MAX(D1062:P1062))</f>
        <v/>
      </c>
      <c r="T1062" s="9">
        <f>IF(OR(Q1062="",Q1062=0),"",(S1062-Q1062)/Q1062)</f>
        <v/>
      </c>
      <c r="U1062" s="7">
        <f>IF(COUNT(D1062:P1062)=0,"",INDEX($D$1:$P$1,MATCH(MIN(D1062:P1062),D1062:P1062,0)))</f>
        <v/>
      </c>
      <c r="V1062" s="8" t="n">
        <v>5029.28</v>
      </c>
      <c r="W1062" s="10" t="n">
        <v>1</v>
      </c>
    </row>
    <row r="1063">
      <c r="A1063" s="7" t="inlineStr">
        <is>
          <t>MAT-19-040</t>
        </is>
      </c>
      <c r="B1063" s="4" t="inlineStr">
        <is>
          <t>Tubo negro redondo 8" x 20 pies, pared 6 mm</t>
        </is>
      </c>
      <c r="C1063" s="7" t="inlineStr">
        <is>
          <t>unidad</t>
        </is>
      </c>
      <c r="D1063" s="8" t="n">
        <v>15250.64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>
        <f>IF(COUNT(D1063:P1063)=0,"",MIN(D1063:P1063))</f>
        <v/>
      </c>
      <c r="R1063" s="8">
        <f>IF(COUNT(D1063:P1063)=0,"",MEDIAN(D1063:P1063))</f>
        <v/>
      </c>
      <c r="S1063" s="8">
        <f>IF(COUNT(D1063:P1063)=0,"",MAX(D1063:P1063))</f>
        <v/>
      </c>
      <c r="T1063" s="9">
        <f>IF(OR(Q1063="",Q1063=0),"",(S1063-Q1063)/Q1063)</f>
        <v/>
      </c>
      <c r="U1063" s="7">
        <f>IF(COUNT(D1063:P1063)=0,"",INDEX($D$1:$P$1,MATCH(MIN(D1063:P1063),D1063:P1063,0)))</f>
        <v/>
      </c>
      <c r="V1063" s="8" t="n">
        <v>15250.64</v>
      </c>
      <c r="W1063" s="10" t="n">
        <v>1</v>
      </c>
    </row>
    <row r="1064">
      <c r="A1064" s="7" t="inlineStr">
        <is>
          <t>MAT-19-041</t>
        </is>
      </c>
      <c r="B1064" s="4" t="inlineStr">
        <is>
          <t>Tubo negro redondo 8" x 20 pies, pared 6.35 mm</t>
        </is>
      </c>
      <c r="C1064" s="7" t="inlineStr">
        <is>
          <t>unidad</t>
        </is>
      </c>
      <c r="D1064" s="8" t="n">
        <v>11671.14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>
        <f>IF(COUNT(D1064:P1064)=0,"",MIN(D1064:P1064))</f>
        <v/>
      </c>
      <c r="R1064" s="8">
        <f>IF(COUNT(D1064:P1064)=0,"",MEDIAN(D1064:P1064))</f>
        <v/>
      </c>
      <c r="S1064" s="8">
        <f>IF(COUNT(D1064:P1064)=0,"",MAX(D1064:P1064))</f>
        <v/>
      </c>
      <c r="T1064" s="9">
        <f>IF(OR(Q1064="",Q1064=0),"",(S1064-Q1064)/Q1064)</f>
        <v/>
      </c>
      <c r="U1064" s="7">
        <f>IF(COUNT(D1064:P1064)=0,"",INDEX($D$1:$P$1,MATCH(MIN(D1064:P1064),D1064:P1064,0)))</f>
        <v/>
      </c>
      <c r="V1064" s="8" t="n">
        <v>11671.14</v>
      </c>
      <c r="W1064" s="10" t="n">
        <v>1</v>
      </c>
    </row>
    <row r="1065">
      <c r="A1065" s="7" t="inlineStr">
        <is>
          <t>MAT-19-042</t>
        </is>
      </c>
      <c r="B1065" s="4" t="inlineStr">
        <is>
          <t>Tubo negro redondo 10" x 20 pies, pared 6.00 mm</t>
        </is>
      </c>
      <c r="C1065" s="7" t="inlineStr">
        <is>
          <t>unidad</t>
        </is>
      </c>
      <c r="D1065" s="8" t="n">
        <v>18313.02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>
        <f>IF(COUNT(D1065:P1065)=0,"",MIN(D1065:P1065))</f>
        <v/>
      </c>
      <c r="R1065" s="8">
        <f>IF(COUNT(D1065:P1065)=0,"",MEDIAN(D1065:P1065))</f>
        <v/>
      </c>
      <c r="S1065" s="8">
        <f>IF(COUNT(D1065:P1065)=0,"",MAX(D1065:P1065))</f>
        <v/>
      </c>
      <c r="T1065" s="9">
        <f>IF(OR(Q1065="",Q1065=0),"",(S1065-Q1065)/Q1065)</f>
        <v/>
      </c>
      <c r="U1065" s="7">
        <f>IF(COUNT(D1065:P1065)=0,"",INDEX($D$1:$P$1,MATCH(MIN(D1065:P1065),D1065:P1065,0)))</f>
        <v/>
      </c>
      <c r="V1065" s="8" t="n">
        <v>18313.02</v>
      </c>
      <c r="W1065" s="10" t="n">
        <v>1</v>
      </c>
    </row>
    <row r="1066">
      <c r="A1066" s="7" t="inlineStr">
        <is>
          <t>MAT-19-043</t>
        </is>
      </c>
      <c r="B1066" s="4" t="inlineStr">
        <is>
          <t>Tubo negro redondo 14" x 20 pies, pared 6 mm</t>
        </is>
      </c>
      <c r="C1066" s="7" t="inlineStr">
        <is>
          <t>unidad</t>
        </is>
      </c>
      <c r="D1066" s="8" t="n">
        <v>27695.11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>
        <f>IF(COUNT(D1066:P1066)=0,"",MIN(D1066:P1066))</f>
        <v/>
      </c>
      <c r="R1066" s="8">
        <f>IF(COUNT(D1066:P1066)=0,"",MEDIAN(D1066:P1066))</f>
        <v/>
      </c>
      <c r="S1066" s="8">
        <f>IF(COUNT(D1066:P1066)=0,"",MAX(D1066:P1066))</f>
        <v/>
      </c>
      <c r="T1066" s="9">
        <f>IF(OR(Q1066="",Q1066=0),"",(S1066-Q1066)/Q1066)</f>
        <v/>
      </c>
      <c r="U1066" s="7">
        <f>IF(COUNT(D1066:P1066)=0,"",INDEX($D$1:$P$1,MATCH(MIN(D1066:P1066),D1066:P1066,0)))</f>
        <v/>
      </c>
      <c r="V1066" s="8" t="n">
        <v>27695.11</v>
      </c>
      <c r="W1066" s="10" t="n">
        <v>1</v>
      </c>
    </row>
    <row r="1067">
      <c r="A1067" s="7" t="inlineStr">
        <is>
          <t>MAT-19-044</t>
        </is>
      </c>
      <c r="B1067" s="4" t="inlineStr">
        <is>
          <t>Tubo negro redondo 16" x 20 pies, pared 12.70 mm</t>
        </is>
      </c>
      <c r="C1067" s="7" t="inlineStr">
        <is>
          <t>unidad</t>
        </is>
      </c>
      <c r="D1067" s="8" t="n">
        <v>62026.36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>
        <f>IF(COUNT(D1067:P1067)=0,"",MIN(D1067:P1067))</f>
        <v/>
      </c>
      <c r="R1067" s="8">
        <f>IF(COUNT(D1067:P1067)=0,"",MEDIAN(D1067:P1067))</f>
        <v/>
      </c>
      <c r="S1067" s="8">
        <f>IF(COUNT(D1067:P1067)=0,"",MAX(D1067:P1067))</f>
        <v/>
      </c>
      <c r="T1067" s="9">
        <f>IF(OR(Q1067="",Q1067=0),"",(S1067-Q1067)/Q1067)</f>
        <v/>
      </c>
      <c r="U1067" s="7">
        <f>IF(COUNT(D1067:P1067)=0,"",INDEX($D$1:$P$1,MATCH(MIN(D1067:P1067),D1067:P1067,0)))</f>
        <v/>
      </c>
      <c r="V1067" s="8" t="n">
        <v>62026.36</v>
      </c>
      <c r="W1067" s="10" t="n">
        <v>1</v>
      </c>
    </row>
    <row r="1068">
      <c r="A1068" s="7" t="inlineStr">
        <is>
          <t>MAT-19-045</t>
        </is>
      </c>
      <c r="B1068" s="4" t="inlineStr">
        <is>
          <t>Correa galvanizada tipo Z 6" x 1/16" x 20 pies</t>
        </is>
      </c>
      <c r="C1068" s="7" t="inlineStr">
        <is>
          <t>unidad</t>
        </is>
      </c>
      <c r="D1068" s="8" t="n">
        <v>2658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>
        <f>IF(COUNT(D1068:P1068)=0,"",MIN(D1068:P1068))</f>
        <v/>
      </c>
      <c r="R1068" s="8">
        <f>IF(COUNT(D1068:P1068)=0,"",MEDIAN(D1068:P1068))</f>
        <v/>
      </c>
      <c r="S1068" s="8">
        <f>IF(COUNT(D1068:P1068)=0,"",MAX(D1068:P1068))</f>
        <v/>
      </c>
      <c r="T1068" s="9">
        <f>IF(OR(Q1068="",Q1068=0),"",(S1068-Q1068)/Q1068)</f>
        <v/>
      </c>
      <c r="U1068" s="7">
        <f>IF(COUNT(D1068:P1068)=0,"",INDEX($D$1:$P$1,MATCH(MIN(D1068:P1068),D1068:P1068,0)))</f>
        <v/>
      </c>
      <c r="V1068" s="8" t="n">
        <v>2658</v>
      </c>
      <c r="W1068" s="10" t="n">
        <v>1</v>
      </c>
    </row>
    <row r="1069">
      <c r="A1069" s="7" t="inlineStr">
        <is>
          <t>MAT-19-046</t>
        </is>
      </c>
      <c r="B1069" s="4" t="inlineStr">
        <is>
          <t>Correa galvanizada tipo Z 8" x 1/16" x 20 pies</t>
        </is>
      </c>
      <c r="C1069" s="7" t="inlineStr">
        <is>
          <t>unidad</t>
        </is>
      </c>
      <c r="D1069" s="8" t="n">
        <v>3039.2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>
        <f>IF(COUNT(D1069:P1069)=0,"",MIN(D1069:P1069))</f>
        <v/>
      </c>
      <c r="R1069" s="8">
        <f>IF(COUNT(D1069:P1069)=0,"",MEDIAN(D1069:P1069))</f>
        <v/>
      </c>
      <c r="S1069" s="8">
        <f>IF(COUNT(D1069:P1069)=0,"",MAX(D1069:P1069))</f>
        <v/>
      </c>
      <c r="T1069" s="9">
        <f>IF(OR(Q1069="",Q1069=0),"",(S1069-Q1069)/Q1069)</f>
        <v/>
      </c>
      <c r="U1069" s="7">
        <f>IF(COUNT(D1069:P1069)=0,"",INDEX($D$1:$P$1,MATCH(MIN(D1069:P1069),D1069:P1069,0)))</f>
        <v/>
      </c>
      <c r="V1069" s="8" t="n">
        <v>3039.2</v>
      </c>
      <c r="W1069" s="10" t="n">
        <v>1</v>
      </c>
    </row>
    <row r="1070">
      <c r="A1070" s="7" t="inlineStr">
        <is>
          <t>MAT-20-001</t>
        </is>
      </c>
      <c r="B1070" s="4" t="inlineStr">
        <is>
          <t>Angular de hierro negro 3/4" x 1/8" x 20 pies</t>
        </is>
      </c>
      <c r="C1070" s="7" t="inlineStr">
        <is>
          <t>unidad</t>
        </is>
      </c>
      <c r="D1070" s="8" t="n">
        <v>449.99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>
        <f>IF(COUNT(D1070:P1070)=0,"",MIN(D1070:P1070))</f>
        <v/>
      </c>
      <c r="R1070" s="8">
        <f>IF(COUNT(D1070:P1070)=0,"",MEDIAN(D1070:P1070))</f>
        <v/>
      </c>
      <c r="S1070" s="8">
        <f>IF(COUNT(D1070:P1070)=0,"",MAX(D1070:P1070))</f>
        <v/>
      </c>
      <c r="T1070" s="9">
        <f>IF(OR(Q1070="",Q1070=0),"",(S1070-Q1070)/Q1070)</f>
        <v/>
      </c>
      <c r="U1070" s="7">
        <f>IF(COUNT(D1070:P1070)=0,"",INDEX($D$1:$P$1,MATCH(MIN(D1070:P1070),D1070:P1070,0)))</f>
        <v/>
      </c>
      <c r="V1070" s="8" t="n">
        <v>449.99</v>
      </c>
      <c r="W1070" s="10" t="n">
        <v>1</v>
      </c>
    </row>
    <row r="1071">
      <c r="A1071" s="7" t="inlineStr">
        <is>
          <t>MAT-20-002</t>
        </is>
      </c>
      <c r="B1071" s="4" t="inlineStr">
        <is>
          <t>Angular de hierro negro 1" x 1/8" x 20 pies</t>
        </is>
      </c>
      <c r="C1071" s="7" t="inlineStr">
        <is>
          <t>unidad</t>
        </is>
      </c>
      <c r="D1071" s="8" t="n">
        <v>560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>
        <v>580</v>
      </c>
      <c r="N1071" s="8" t="n"/>
      <c r="O1071" s="8" t="n"/>
      <c r="P1071" s="8" t="n"/>
      <c r="Q1071" s="8">
        <f>IF(COUNT(D1071:P1071)=0,"",MIN(D1071:P1071))</f>
        <v/>
      </c>
      <c r="R1071" s="8">
        <f>IF(COUNT(D1071:P1071)=0,"",MEDIAN(D1071:P1071))</f>
        <v/>
      </c>
      <c r="S1071" s="8">
        <f>IF(COUNT(D1071:P1071)=0,"",MAX(D1071:P1071))</f>
        <v/>
      </c>
      <c r="T1071" s="9">
        <f>IF(OR(Q1071="",Q1071=0),"",(S1071-Q1071)/Q1071)</f>
        <v/>
      </c>
      <c r="U1071" s="7">
        <f>IF(COUNT(D1071:P1071)=0,"",INDEX($D$1:$P$1,MATCH(MIN(D1071:P1071),D1071:P1071,0)))</f>
        <v/>
      </c>
      <c r="V1071" s="8" t="n">
        <v>622.2</v>
      </c>
      <c r="W1071" s="10" t="n">
        <v>2</v>
      </c>
    </row>
    <row r="1072">
      <c r="A1072" s="7" t="inlineStr">
        <is>
          <t>MAT-20-003</t>
        </is>
      </c>
      <c r="B1072" s="4" t="inlineStr">
        <is>
          <t>Angular de hierro negro 1" x 3/16" x 20 pies</t>
        </is>
      </c>
      <c r="C1072" s="7" t="inlineStr">
        <is>
          <t>unidad</t>
        </is>
      </c>
      <c r="D1072" s="8" t="n">
        <v>812.01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>
        <v>869</v>
      </c>
      <c r="N1072" s="8" t="n"/>
      <c r="O1072" s="8" t="n"/>
      <c r="P1072" s="8" t="n"/>
      <c r="Q1072" s="8">
        <f>IF(COUNT(D1072:P1072)=0,"",MIN(D1072:P1072))</f>
        <v/>
      </c>
      <c r="R1072" s="8">
        <f>IF(COUNT(D1072:P1072)=0,"",MEDIAN(D1072:P1072))</f>
        <v/>
      </c>
      <c r="S1072" s="8">
        <f>IF(COUNT(D1072:P1072)=0,"",MAX(D1072:P1072))</f>
        <v/>
      </c>
      <c r="T1072" s="9">
        <f>IF(OR(Q1072="",Q1072=0),"",(S1072-Q1072)/Q1072)</f>
        <v/>
      </c>
      <c r="U1072" s="7">
        <f>IF(COUNT(D1072:P1072)=0,"",INDEX($D$1:$P$1,MATCH(MIN(D1072:P1072),D1072:P1072,0)))</f>
        <v/>
      </c>
      <c r="V1072" s="8" t="n">
        <v>918.71</v>
      </c>
      <c r="W1072" s="10" t="n">
        <v>2</v>
      </c>
    </row>
    <row r="1073">
      <c r="A1073" s="7" t="inlineStr">
        <is>
          <t>MAT-20-004</t>
        </is>
      </c>
      <c r="B1073" s="4" t="inlineStr">
        <is>
          <t>Angular de hierro negro 1" x 1/4" x 20 pies</t>
        </is>
      </c>
      <c r="C1073" s="7" t="inlineStr">
        <is>
          <t>unidad</t>
        </is>
      </c>
      <c r="D1073" s="8" t="n">
        <v>1163.48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>
        <f>IF(COUNT(D1073:P1073)=0,"",MIN(D1073:P1073))</f>
        <v/>
      </c>
      <c r="R1073" s="8">
        <f>IF(COUNT(D1073:P1073)=0,"",MEDIAN(D1073:P1073))</f>
        <v/>
      </c>
      <c r="S1073" s="8">
        <f>IF(COUNT(D1073:P1073)=0,"",MAX(D1073:P1073))</f>
        <v/>
      </c>
      <c r="T1073" s="9">
        <f>IF(OR(Q1073="",Q1073=0),"",(S1073-Q1073)/Q1073)</f>
        <v/>
      </c>
      <c r="U1073" s="7">
        <f>IF(COUNT(D1073:P1073)=0,"",INDEX($D$1:$P$1,MATCH(MIN(D1073:P1073),D1073:P1073,0)))</f>
        <v/>
      </c>
      <c r="V1073" s="8" t="n">
        <v>1163.48</v>
      </c>
      <c r="W1073" s="10" t="n">
        <v>1</v>
      </c>
    </row>
    <row r="1074">
      <c r="A1074" s="7" t="inlineStr">
        <is>
          <t>MAT-20-005</t>
        </is>
      </c>
      <c r="B1074" s="4" t="inlineStr">
        <is>
          <t>Angular de hierro negro 1 1/4" x 1/8" x 20 pies</t>
        </is>
      </c>
      <c r="C1074" s="7" t="inlineStr">
        <is>
          <t>unidad</t>
        </is>
      </c>
      <c r="D1074" s="8" t="n">
        <v>781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 t="n"/>
      <c r="P1074" s="8" t="n"/>
      <c r="Q1074" s="8">
        <f>IF(COUNT(D1074:P1074)=0,"",MIN(D1074:P1074))</f>
        <v/>
      </c>
      <c r="R1074" s="8">
        <f>IF(COUNT(D1074:P1074)=0,"",MEDIAN(D1074:P1074))</f>
        <v/>
      </c>
      <c r="S1074" s="8">
        <f>IF(COUNT(D1074:P1074)=0,"",MAX(D1074:P1074))</f>
        <v/>
      </c>
      <c r="T1074" s="9">
        <f>IF(OR(Q1074="",Q1074=0),"",(S1074-Q1074)/Q1074)</f>
        <v/>
      </c>
      <c r="U1074" s="7">
        <f>IF(COUNT(D1074:P1074)=0,"",INDEX($D$1:$P$1,MATCH(MIN(D1074:P1074),D1074:P1074,0)))</f>
        <v/>
      </c>
      <c r="V1074" s="8" t="n">
        <v>781</v>
      </c>
      <c r="W1074" s="10" t="n">
        <v>1</v>
      </c>
    </row>
    <row r="1075">
      <c r="A1075" s="7" t="inlineStr">
        <is>
          <t>MAT-20-006</t>
        </is>
      </c>
      <c r="B1075" s="4" t="inlineStr">
        <is>
          <t>Angular de hierro negro 1 1/4" x 3/16" x 20 pies</t>
        </is>
      </c>
      <c r="C1075" s="7" t="inlineStr">
        <is>
          <t>unidad</t>
        </is>
      </c>
      <c r="D1075" s="8" t="n">
        <v>1036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>
        <v>1011.86</v>
      </c>
      <c r="N1075" s="8" t="n"/>
      <c r="O1075" s="8" t="n"/>
      <c r="P1075" s="8" t="n"/>
      <c r="Q1075" s="8">
        <f>IF(COUNT(D1075:P1075)=0,"",MIN(D1075:P1075))</f>
        <v/>
      </c>
      <c r="R1075" s="8">
        <f>IF(COUNT(D1075:P1075)=0,"",MEDIAN(D1075:P1075))</f>
        <v/>
      </c>
      <c r="S1075" s="8">
        <f>IF(COUNT(D1075:P1075)=0,"",MAX(D1075:P1075))</f>
        <v/>
      </c>
      <c r="T1075" s="9">
        <f>IF(OR(Q1075="",Q1075=0),"",(S1075-Q1075)/Q1075)</f>
        <v/>
      </c>
      <c r="U1075" s="7">
        <f>IF(COUNT(D1075:P1075)=0,"",INDEX($D$1:$P$1,MATCH(MIN(D1075:P1075),D1075:P1075,0)))</f>
        <v/>
      </c>
      <c r="V1075" s="8" t="n">
        <v>1115</v>
      </c>
      <c r="W1075" s="10" t="n">
        <v>2</v>
      </c>
    </row>
    <row r="1076">
      <c r="A1076" s="7" t="inlineStr">
        <is>
          <t>MAT-20-007</t>
        </is>
      </c>
      <c r="B1076" s="4" t="inlineStr">
        <is>
          <t>Angular de hierro negro 1 1/4" x 1/4" x 20 pies</t>
        </is>
      </c>
      <c r="C1076" s="7" t="inlineStr">
        <is>
          <t>unidad</t>
        </is>
      </c>
      <c r="D1076" s="8" t="n">
        <v>1344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/>
      <c r="P1076" s="8" t="n"/>
      <c r="Q1076" s="8">
        <f>IF(COUNT(D1076:P1076)=0,"",MIN(D1076:P1076))</f>
        <v/>
      </c>
      <c r="R1076" s="8">
        <f>IF(COUNT(D1076:P1076)=0,"",MEDIAN(D1076:P1076))</f>
        <v/>
      </c>
      <c r="S1076" s="8">
        <f>IF(COUNT(D1076:P1076)=0,"",MAX(D1076:P1076))</f>
        <v/>
      </c>
      <c r="T1076" s="9">
        <f>IF(OR(Q1076="",Q1076=0),"",(S1076-Q1076)/Q1076)</f>
        <v/>
      </c>
      <c r="U1076" s="7">
        <f>IF(COUNT(D1076:P1076)=0,"",INDEX($D$1:$P$1,MATCH(MIN(D1076:P1076),D1076:P1076,0)))</f>
        <v/>
      </c>
      <c r="V1076" s="8" t="n">
        <v>1344</v>
      </c>
      <c r="W1076" s="10" t="n">
        <v>1</v>
      </c>
    </row>
    <row r="1077">
      <c r="A1077" s="7" t="inlineStr">
        <is>
          <t>MAT-20-008</t>
        </is>
      </c>
      <c r="B1077" s="4" t="inlineStr">
        <is>
          <t>Angular de hierro negro 1 1/2" x 3/16" x 20 pies</t>
        </is>
      </c>
      <c r="C1077" s="7" t="inlineStr">
        <is>
          <t>unidad</t>
        </is>
      </c>
      <c r="D1077" s="8" t="n">
        <v>1260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>
        <v>1437</v>
      </c>
      <c r="N1077" s="8" t="n"/>
      <c r="O1077" s="8" t="n"/>
      <c r="P1077" s="8" t="n"/>
      <c r="Q1077" s="8">
        <f>IF(COUNT(D1077:P1077)=0,"",MIN(D1077:P1077))</f>
        <v/>
      </c>
      <c r="R1077" s="8">
        <f>IF(COUNT(D1077:P1077)=0,"",MEDIAN(D1077:P1077))</f>
        <v/>
      </c>
      <c r="S1077" s="8">
        <f>IF(COUNT(D1077:P1077)=0,"",MAX(D1077:P1077))</f>
        <v/>
      </c>
      <c r="T1077" s="9">
        <f>IF(OR(Q1077="",Q1077=0),"",(S1077-Q1077)/Q1077)</f>
        <v/>
      </c>
      <c r="U1077" s="7">
        <f>IF(COUNT(D1077:P1077)=0,"",INDEX($D$1:$P$1,MATCH(MIN(D1077:P1077),D1077:P1077,0)))</f>
        <v/>
      </c>
      <c r="V1077" s="8" t="n">
        <v>1477.83</v>
      </c>
      <c r="W1077" s="10" t="n">
        <v>2</v>
      </c>
    </row>
    <row r="1078">
      <c r="A1078" s="7" t="inlineStr">
        <is>
          <t>MAT-20-009</t>
        </is>
      </c>
      <c r="B1078" s="4" t="inlineStr">
        <is>
          <t>Angular de hierro negro 1 1/2" x 1/4" x 20 pies</t>
        </is>
      </c>
      <c r="C1078" s="7" t="inlineStr">
        <is>
          <t>unidad</t>
        </is>
      </c>
      <c r="D1078" s="8" t="n">
        <v>1638.01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>
        <v>1698</v>
      </c>
      <c r="N1078" s="8" t="n"/>
      <c r="O1078" s="8" t="n"/>
      <c r="P1078" s="8" t="n"/>
      <c r="Q1078" s="8">
        <f>IF(COUNT(D1078:P1078)=0,"",MIN(D1078:P1078))</f>
        <v/>
      </c>
      <c r="R1078" s="8">
        <f>IF(COUNT(D1078:P1078)=0,"",MEDIAN(D1078:P1078))</f>
        <v/>
      </c>
      <c r="S1078" s="8">
        <f>IF(COUNT(D1078:P1078)=0,"",MAX(D1078:P1078))</f>
        <v/>
      </c>
      <c r="T1078" s="9">
        <f>IF(OR(Q1078="",Q1078=0),"",(S1078-Q1078)/Q1078)</f>
        <v/>
      </c>
      <c r="U1078" s="7">
        <f>IF(COUNT(D1078:P1078)=0,"",INDEX($D$1:$P$1,MATCH(MIN(D1078:P1078),D1078:P1078,0)))</f>
        <v/>
      </c>
      <c r="V1078" s="8" t="n">
        <v>1820.82</v>
      </c>
      <c r="W1078" s="10" t="n">
        <v>2</v>
      </c>
    </row>
    <row r="1079">
      <c r="A1079" s="7" t="inlineStr">
        <is>
          <t>MAT-20-010</t>
        </is>
      </c>
      <c r="B1079" s="4" t="inlineStr">
        <is>
          <t>Angular de hierro negro 2" x 1/8" x 20 pies</t>
        </is>
      </c>
      <c r="C1079" s="7" t="inlineStr">
        <is>
          <t>unidad</t>
        </is>
      </c>
      <c r="D1079" s="8" t="n">
        <v>1155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>
        <v>1048</v>
      </c>
      <c r="N1079" s="8" t="n"/>
      <c r="O1079" s="8" t="n"/>
      <c r="P1079" s="8" t="n"/>
      <c r="Q1079" s="8">
        <f>IF(COUNT(D1079:P1079)=0,"",MIN(D1079:P1079))</f>
        <v/>
      </c>
      <c r="R1079" s="8">
        <f>IF(COUNT(D1079:P1079)=0,"",MEDIAN(D1079:P1079))</f>
        <v/>
      </c>
      <c r="S1079" s="8">
        <f>IF(COUNT(D1079:P1079)=0,"",MAX(D1079:P1079))</f>
        <v/>
      </c>
      <c r="T1079" s="9">
        <f>IF(OR(Q1079="",Q1079=0),"",(S1079-Q1079)/Q1079)</f>
        <v/>
      </c>
      <c r="U1079" s="7">
        <f>IF(COUNT(D1079:P1079)=0,"",INDEX($D$1:$P$1,MATCH(MIN(D1079:P1079),D1079:P1079,0)))</f>
        <v/>
      </c>
      <c r="V1079" s="8" t="n">
        <v>1195.82</v>
      </c>
      <c r="W1079" s="10" t="n">
        <v>2</v>
      </c>
    </row>
    <row r="1080">
      <c r="A1080" s="7" t="inlineStr">
        <is>
          <t>MAT-20-011</t>
        </is>
      </c>
      <c r="B1080" s="4" t="inlineStr">
        <is>
          <t>Angular de hierro negro 2" x 3/16" x 20 pies</t>
        </is>
      </c>
      <c r="C1080" s="7" t="inlineStr">
        <is>
          <t>unidad</t>
        </is>
      </c>
      <c r="D1080" s="8" t="n">
        <v>1708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>
        <v>1971</v>
      </c>
      <c r="N1080" s="8" t="n"/>
      <c r="O1080" s="8" t="n"/>
      <c r="P1080" s="8" t="n"/>
      <c r="Q1080" s="8">
        <f>IF(COUNT(D1080:P1080)=0,"",MIN(D1080:P1080))</f>
        <v/>
      </c>
      <c r="R1080" s="8">
        <f>IF(COUNT(D1080:P1080)=0,"",MEDIAN(D1080:P1080))</f>
        <v/>
      </c>
      <c r="S1080" s="8">
        <f>IF(COUNT(D1080:P1080)=0,"",MAX(D1080:P1080))</f>
        <v/>
      </c>
      <c r="T1080" s="9">
        <f>IF(OR(Q1080="",Q1080=0),"",(S1080-Q1080)/Q1080)</f>
        <v/>
      </c>
      <c r="U1080" s="7">
        <f>IF(COUNT(D1080:P1080)=0,"",INDEX($D$1:$P$1,MATCH(MIN(D1080:P1080),D1080:P1080,0)))</f>
        <v/>
      </c>
      <c r="V1080" s="8" t="n">
        <v>2016.89</v>
      </c>
      <c r="W1080" s="10" t="n">
        <v>2</v>
      </c>
    </row>
    <row r="1081">
      <c r="A1081" s="7" t="inlineStr">
        <is>
          <t>MAT-20-012</t>
        </is>
      </c>
      <c r="B1081" s="4" t="inlineStr">
        <is>
          <t>Angular de hierro negro 2" x 1/4" x 20 pies</t>
        </is>
      </c>
      <c r="C1081" s="7" t="inlineStr">
        <is>
          <t>unidad</t>
        </is>
      </c>
      <c r="D1081" s="8" t="n">
        <v>2324.69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>
        <v>2539</v>
      </c>
      <c r="N1081" s="8" t="n"/>
      <c r="O1081" s="8" t="n"/>
      <c r="P1081" s="8" t="n"/>
      <c r="Q1081" s="8">
        <f>IF(COUNT(D1081:P1081)=0,"",MIN(D1081:P1081))</f>
        <v/>
      </c>
      <c r="R1081" s="8">
        <f>IF(COUNT(D1081:P1081)=0,"",MEDIAN(D1081:P1081))</f>
        <v/>
      </c>
      <c r="S1081" s="8">
        <f>IF(COUNT(D1081:P1081)=0,"",MAX(D1081:P1081))</f>
        <v/>
      </c>
      <c r="T1081" s="9">
        <f>IF(OR(Q1081="",Q1081=0),"",(S1081-Q1081)/Q1081)</f>
        <v/>
      </c>
      <c r="U1081" s="7">
        <f>IF(COUNT(D1081:P1081)=0,"",INDEX($D$1:$P$1,MATCH(MIN(D1081:P1081),D1081:P1081,0)))</f>
        <v/>
      </c>
      <c r="V1081" s="8" t="n">
        <v>2660.36</v>
      </c>
      <c r="W1081" s="10" t="n">
        <v>2</v>
      </c>
    </row>
    <row r="1082">
      <c r="A1082" s="7" t="inlineStr">
        <is>
          <t>MAT-20-013</t>
        </is>
      </c>
      <c r="B1082" s="4" t="inlineStr">
        <is>
          <t>Angular de hierro negro 2" x 3/8" x 20 pies</t>
        </is>
      </c>
      <c r="C1082" s="7" t="inlineStr">
        <is>
          <t>unidad</t>
        </is>
      </c>
      <c r="D1082" s="8" t="n">
        <v>3290.01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/>
      <c r="P1082" s="8" t="n"/>
      <c r="Q1082" s="8">
        <f>IF(COUNT(D1082:P1082)=0,"",MIN(D1082:P1082))</f>
        <v/>
      </c>
      <c r="R1082" s="8">
        <f>IF(COUNT(D1082:P1082)=0,"",MEDIAN(D1082:P1082))</f>
        <v/>
      </c>
      <c r="S1082" s="8">
        <f>IF(COUNT(D1082:P1082)=0,"",MAX(D1082:P1082))</f>
        <v/>
      </c>
      <c r="T1082" s="9">
        <f>IF(OR(Q1082="",Q1082=0),"",(S1082-Q1082)/Q1082)</f>
        <v/>
      </c>
      <c r="U1082" s="7">
        <f>IF(COUNT(D1082:P1082)=0,"",INDEX($D$1:$P$1,MATCH(MIN(D1082:P1082),D1082:P1082,0)))</f>
        <v/>
      </c>
      <c r="V1082" s="8" t="n">
        <v>3290.01</v>
      </c>
      <c r="W1082" s="10" t="n">
        <v>1</v>
      </c>
    </row>
    <row r="1083">
      <c r="A1083" s="7" t="inlineStr">
        <is>
          <t>MAT-20-014</t>
        </is>
      </c>
      <c r="B1083" s="4" t="inlineStr">
        <is>
          <t>Angular de hierro negro 2 1/2" x 3/16" x 20 pies</t>
        </is>
      </c>
      <c r="C1083" s="7" t="inlineStr">
        <is>
          <t>unidad</t>
        </is>
      </c>
      <c r="D1083" s="8" t="n">
        <v>2149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/>
      <c r="P1083" s="8" t="n"/>
      <c r="Q1083" s="8">
        <f>IF(COUNT(D1083:P1083)=0,"",MIN(D1083:P1083))</f>
        <v/>
      </c>
      <c r="R1083" s="8">
        <f>IF(COUNT(D1083:P1083)=0,"",MEDIAN(D1083:P1083))</f>
        <v/>
      </c>
      <c r="S1083" s="8">
        <f>IF(COUNT(D1083:P1083)=0,"",MAX(D1083:P1083))</f>
        <v/>
      </c>
      <c r="T1083" s="9">
        <f>IF(OR(Q1083="",Q1083=0),"",(S1083-Q1083)/Q1083)</f>
        <v/>
      </c>
      <c r="U1083" s="7">
        <f>IF(COUNT(D1083:P1083)=0,"",INDEX($D$1:$P$1,MATCH(MIN(D1083:P1083),D1083:P1083,0)))</f>
        <v/>
      </c>
      <c r="V1083" s="8" t="n">
        <v>2149</v>
      </c>
      <c r="W1083" s="10" t="n">
        <v>1</v>
      </c>
    </row>
    <row r="1084">
      <c r="A1084" s="7" t="inlineStr">
        <is>
          <t>MAT-20-015</t>
        </is>
      </c>
      <c r="B1084" s="4" t="inlineStr">
        <is>
          <t>Angular de hierro negro 2 1/2" x 1/4" x 20 pies</t>
        </is>
      </c>
      <c r="C1084" s="7" t="inlineStr">
        <is>
          <t>unidad</t>
        </is>
      </c>
      <c r="D1084" s="8" t="n">
        <v>2870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>
        <v>2744</v>
      </c>
      <c r="N1084" s="8" t="n"/>
      <c r="O1084" s="8" t="n"/>
      <c r="P1084" s="8" t="n"/>
      <c r="Q1084" s="8">
        <f>IF(COUNT(D1084:P1084)=0,"",MIN(D1084:P1084))</f>
        <v/>
      </c>
      <c r="R1084" s="8">
        <f>IF(COUNT(D1084:P1084)=0,"",MEDIAN(D1084:P1084))</f>
        <v/>
      </c>
      <c r="S1084" s="8">
        <f>IF(COUNT(D1084:P1084)=0,"",MAX(D1084:P1084))</f>
        <v/>
      </c>
      <c r="T1084" s="9">
        <f>IF(OR(Q1084="",Q1084=0),"",(S1084-Q1084)/Q1084)</f>
        <v/>
      </c>
      <c r="U1084" s="7">
        <f>IF(COUNT(D1084:P1084)=0,"",INDEX($D$1:$P$1,MATCH(MIN(D1084:P1084),D1084:P1084,0)))</f>
        <v/>
      </c>
      <c r="V1084" s="8" t="n">
        <v>3053.96</v>
      </c>
      <c r="W1084" s="10" t="n">
        <v>2</v>
      </c>
    </row>
    <row r="1085">
      <c r="A1085" s="7" t="inlineStr">
        <is>
          <t>MAT-20-016</t>
        </is>
      </c>
      <c r="B1085" s="4" t="inlineStr">
        <is>
          <t>Angular de hierro negro 2 1/2" x 3/8" x 20 pies</t>
        </is>
      </c>
      <c r="C1085" s="7" t="inlineStr">
        <is>
          <t>unidad</t>
        </is>
      </c>
      <c r="D1085" s="8" t="n">
        <v>4130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>
        <f>IF(COUNT(D1085:P1085)=0,"",MIN(D1085:P1085))</f>
        <v/>
      </c>
      <c r="R1085" s="8">
        <f>IF(COUNT(D1085:P1085)=0,"",MEDIAN(D1085:P1085))</f>
        <v/>
      </c>
      <c r="S1085" s="8">
        <f>IF(COUNT(D1085:P1085)=0,"",MAX(D1085:P1085))</f>
        <v/>
      </c>
      <c r="T1085" s="9">
        <f>IF(OR(Q1085="",Q1085=0),"",(S1085-Q1085)/Q1085)</f>
        <v/>
      </c>
      <c r="U1085" s="7">
        <f>IF(COUNT(D1085:P1085)=0,"",INDEX($D$1:$P$1,MATCH(MIN(D1085:P1085),D1085:P1085,0)))</f>
        <v/>
      </c>
      <c r="V1085" s="8" t="n">
        <v>4130</v>
      </c>
      <c r="W1085" s="10" t="n">
        <v>1</v>
      </c>
    </row>
    <row r="1086">
      <c r="A1086" s="7" t="inlineStr">
        <is>
          <t>MAT-20-017</t>
        </is>
      </c>
      <c r="B1086" s="4" t="inlineStr">
        <is>
          <t>Angular de hierro negro 3" x 1/4" x 20 pies</t>
        </is>
      </c>
      <c r="C1086" s="7" t="inlineStr">
        <is>
          <t>unidad</t>
        </is>
      </c>
      <c r="D1086" s="8" t="n">
        <v>3430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>
        <v>3127</v>
      </c>
      <c r="N1086" s="8" t="n"/>
      <c r="O1086" s="8" t="n"/>
      <c r="P1086" s="8" t="n"/>
      <c r="Q1086" s="8">
        <f>IF(COUNT(D1086:P1086)=0,"",MIN(D1086:P1086))</f>
        <v/>
      </c>
      <c r="R1086" s="8">
        <f>IF(COUNT(D1086:P1086)=0,"",MEDIAN(D1086:P1086))</f>
        <v/>
      </c>
      <c r="S1086" s="8">
        <f>IF(COUNT(D1086:P1086)=0,"",MAX(D1086:P1086))</f>
        <v/>
      </c>
      <c r="T1086" s="9">
        <f>IF(OR(Q1086="",Q1086=0),"",(S1086-Q1086)/Q1086)</f>
        <v/>
      </c>
      <c r="U1086" s="7">
        <f>IF(COUNT(D1086:P1086)=0,"",INDEX($D$1:$P$1,MATCH(MIN(D1086:P1086),D1086:P1086,0)))</f>
        <v/>
      </c>
      <c r="V1086" s="8" t="n">
        <v>3559.93</v>
      </c>
      <c r="W1086" s="10" t="n">
        <v>2</v>
      </c>
    </row>
    <row r="1087">
      <c r="A1087" s="7" t="inlineStr">
        <is>
          <t>MAT-20-018</t>
        </is>
      </c>
      <c r="B1087" s="4" t="inlineStr">
        <is>
          <t>Angular de hierro negro 3" x 3/8" x 20 pies</t>
        </is>
      </c>
      <c r="C1087" s="7" t="inlineStr">
        <is>
          <t>unidad</t>
        </is>
      </c>
      <c r="D1087" s="8" t="n">
        <v>5622.2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/>
      <c r="P1087" s="8" t="n"/>
      <c r="Q1087" s="8">
        <f>IF(COUNT(D1087:P1087)=0,"",MIN(D1087:P1087))</f>
        <v/>
      </c>
      <c r="R1087" s="8">
        <f>IF(COUNT(D1087:P1087)=0,"",MEDIAN(D1087:P1087))</f>
        <v/>
      </c>
      <c r="S1087" s="8">
        <f>IF(COUNT(D1087:P1087)=0,"",MAX(D1087:P1087))</f>
        <v/>
      </c>
      <c r="T1087" s="9">
        <f>IF(OR(Q1087="",Q1087=0),"",(S1087-Q1087)/Q1087)</f>
        <v/>
      </c>
      <c r="U1087" s="7">
        <f>IF(COUNT(D1087:P1087)=0,"",INDEX($D$1:$P$1,MATCH(MIN(D1087:P1087),D1087:P1087,0)))</f>
        <v/>
      </c>
      <c r="V1087" s="8" t="n">
        <v>5622.2</v>
      </c>
      <c r="W1087" s="10" t="n">
        <v>1</v>
      </c>
    </row>
    <row r="1088">
      <c r="A1088" s="7" t="inlineStr">
        <is>
          <t>MAT-20-019</t>
        </is>
      </c>
      <c r="B1088" s="4" t="inlineStr">
        <is>
          <t>Angular de hierro negro 4" x 1/4" x 20 pies</t>
        </is>
      </c>
      <c r="C1088" s="7" t="inlineStr">
        <is>
          <t>unidad</t>
        </is>
      </c>
      <c r="D1088" s="8" t="n">
        <v>4117.73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>
        <v>5306</v>
      </c>
      <c r="N1088" s="8" t="n"/>
      <c r="O1088" s="8" t="n"/>
      <c r="P1088" s="8" t="n"/>
      <c r="Q1088" s="8">
        <f>IF(COUNT(D1088:P1088)=0,"",MIN(D1088:P1088))</f>
        <v/>
      </c>
      <c r="R1088" s="8">
        <f>IF(COUNT(D1088:P1088)=0,"",MEDIAN(D1088:P1088))</f>
        <v/>
      </c>
      <c r="S1088" s="8">
        <f>IF(COUNT(D1088:P1088)=0,"",MAX(D1088:P1088))</f>
        <v/>
      </c>
      <c r="T1088" s="9">
        <f>IF(OR(Q1088="",Q1088=0),"",(S1088-Q1088)/Q1088)</f>
        <v/>
      </c>
      <c r="U1088" s="7">
        <f>IF(COUNT(D1088:P1088)=0,"",INDEX($D$1:$P$1,MATCH(MIN(D1088:P1088),D1088:P1088,0)))</f>
        <v/>
      </c>
      <c r="V1088" s="8" t="n">
        <v>5189.41</v>
      </c>
      <c r="W1088" s="10" t="n">
        <v>2</v>
      </c>
    </row>
    <row r="1089">
      <c r="A1089" s="7" t="inlineStr">
        <is>
          <t>MAT-20-020</t>
        </is>
      </c>
      <c r="B1089" s="4" t="inlineStr">
        <is>
          <t>Angular de hierro negro 4" x 1/2" x 20 pies</t>
        </is>
      </c>
      <c r="C1089" s="7" t="inlineStr">
        <is>
          <t>unidad</t>
        </is>
      </c>
      <c r="D1089" s="8" t="n">
        <v>9995.309999999999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 t="n"/>
      <c r="P1089" s="8" t="n"/>
      <c r="Q1089" s="8">
        <f>IF(COUNT(D1089:P1089)=0,"",MIN(D1089:P1089))</f>
        <v/>
      </c>
      <c r="R1089" s="8">
        <f>IF(COUNT(D1089:P1089)=0,"",MEDIAN(D1089:P1089))</f>
        <v/>
      </c>
      <c r="S1089" s="8">
        <f>IF(COUNT(D1089:P1089)=0,"",MAX(D1089:P1089))</f>
        <v/>
      </c>
      <c r="T1089" s="9">
        <f>IF(OR(Q1089="",Q1089=0),"",(S1089-Q1089)/Q1089)</f>
        <v/>
      </c>
      <c r="U1089" s="7">
        <f>IF(COUNT(D1089:P1089)=0,"",INDEX($D$1:$P$1,MATCH(MIN(D1089:P1089),D1089:P1089,0)))</f>
        <v/>
      </c>
      <c r="V1089" s="8" t="n">
        <v>9995.309999999999</v>
      </c>
      <c r="W1089" s="10" t="n">
        <v>1</v>
      </c>
    </row>
    <row r="1090">
      <c r="A1090" s="7" t="inlineStr">
        <is>
          <t>MAT-20-021</t>
        </is>
      </c>
      <c r="B1090" s="4" t="inlineStr">
        <is>
          <t>Angular perforado, 1-1/2X1-1/2"X10'</t>
        </is>
      </c>
      <c r="C1090" s="7" t="inlineStr">
        <is>
          <t>unidad</t>
        </is>
      </c>
      <c r="D1090" s="8" t="n"/>
      <c r="E1090" s="8" t="n"/>
      <c r="F1090" s="8" t="n"/>
      <c r="G1090" s="8" t="n"/>
      <c r="H1090" s="8" t="n"/>
      <c r="I1090" s="8" t="n"/>
      <c r="J1090" s="8" t="n"/>
      <c r="K1090" s="8" t="n">
        <v>425</v>
      </c>
      <c r="L1090" s="8" t="n"/>
      <c r="M1090" s="8" t="n"/>
      <c r="N1090" s="8" t="n"/>
      <c r="O1090" s="8" t="n"/>
      <c r="P1090" s="8" t="n"/>
      <c r="Q1090" s="8">
        <f>IF(COUNT(D1090:P1090)=0,"",MIN(D1090:P1090))</f>
        <v/>
      </c>
      <c r="R1090" s="8">
        <f>IF(COUNT(D1090:P1090)=0,"",MEDIAN(D1090:P1090))</f>
        <v/>
      </c>
      <c r="S1090" s="8">
        <f>IF(COUNT(D1090:P1090)=0,"",MAX(D1090:P1090))</f>
        <v/>
      </c>
      <c r="T1090" s="9">
        <f>IF(OR(Q1090="",Q1090=0),"",(S1090-Q1090)/Q1090)</f>
        <v/>
      </c>
      <c r="U1090" s="7">
        <f>IF(COUNT(D1090:P1090)=0,"",INDEX($D$1:$P$1,MATCH(MIN(D1090:P1090),D1090:P1090,0)))</f>
        <v/>
      </c>
      <c r="V1090" s="8" t="n">
        <v>425</v>
      </c>
      <c r="W1090" s="10" t="n">
        <v>1</v>
      </c>
    </row>
    <row r="1091">
      <c r="A1091" s="7" t="inlineStr">
        <is>
          <t>MAT-20-022</t>
        </is>
      </c>
      <c r="B1091" s="4" t="inlineStr">
        <is>
          <t>Angular perforado, 1-1/2X1-1/2"X8'</t>
        </is>
      </c>
      <c r="C1091" s="7" t="inlineStr">
        <is>
          <t>unidad</t>
        </is>
      </c>
      <c r="D1091" s="8" t="n"/>
      <c r="E1091" s="8" t="n"/>
      <c r="F1091" s="8" t="n"/>
      <c r="G1091" s="8" t="n"/>
      <c r="H1091" s="8" t="n"/>
      <c r="I1091" s="8" t="n"/>
      <c r="J1091" s="8" t="n"/>
      <c r="K1091" s="8" t="n">
        <v>360</v>
      </c>
      <c r="L1091" s="8" t="n"/>
      <c r="M1091" s="8" t="n"/>
      <c r="N1091" s="8" t="n"/>
      <c r="O1091" s="8" t="n"/>
      <c r="P1091" s="8" t="n"/>
      <c r="Q1091" s="8">
        <f>IF(COUNT(D1091:P1091)=0,"",MIN(D1091:P1091))</f>
        <v/>
      </c>
      <c r="R1091" s="8">
        <f>IF(COUNT(D1091:P1091)=0,"",MEDIAN(D1091:P1091))</f>
        <v/>
      </c>
      <c r="S1091" s="8">
        <f>IF(COUNT(D1091:P1091)=0,"",MAX(D1091:P1091))</f>
        <v/>
      </c>
      <c r="T1091" s="9">
        <f>IF(OR(Q1091="",Q1091=0),"",(S1091-Q1091)/Q1091)</f>
        <v/>
      </c>
      <c r="U1091" s="7">
        <f>IF(COUNT(D1091:P1091)=0,"",INDEX($D$1:$P$1,MATCH(MIN(D1091:P1091),D1091:P1091,0)))</f>
        <v/>
      </c>
      <c r="V1091" s="8" t="n">
        <v>360</v>
      </c>
      <c r="W1091" s="10" t="n">
        <v>1</v>
      </c>
    </row>
    <row r="1092">
      <c r="A1092" s="7" t="inlineStr">
        <is>
          <t>MAT-20-023</t>
        </is>
      </c>
      <c r="B1092" s="4" t="inlineStr">
        <is>
          <t>Planchuela de hierro negro 1/2" x 1/8" x 20 pies</t>
        </is>
      </c>
      <c r="C1092" s="7" t="inlineStr">
        <is>
          <t>unidad</t>
        </is>
      </c>
      <c r="D1092" s="8" t="n">
        <v>141.64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>
        <f>IF(COUNT(D1092:P1092)=0,"",MIN(D1092:P1092))</f>
        <v/>
      </c>
      <c r="R1092" s="8">
        <f>IF(COUNT(D1092:P1092)=0,"",MEDIAN(D1092:P1092))</f>
        <v/>
      </c>
      <c r="S1092" s="8">
        <f>IF(COUNT(D1092:P1092)=0,"",MAX(D1092:P1092))</f>
        <v/>
      </c>
      <c r="T1092" s="9">
        <f>IF(OR(Q1092="",Q1092=0),"",(S1092-Q1092)/Q1092)</f>
        <v/>
      </c>
      <c r="U1092" s="7">
        <f>IF(COUNT(D1092:P1092)=0,"",INDEX($D$1:$P$1,MATCH(MIN(D1092:P1092),D1092:P1092,0)))</f>
        <v/>
      </c>
      <c r="V1092" s="8" t="n">
        <v>141.64</v>
      </c>
      <c r="W1092" s="10" t="n">
        <v>1</v>
      </c>
    </row>
    <row r="1093">
      <c r="A1093" s="7" t="inlineStr">
        <is>
          <t>MAT-20-024</t>
        </is>
      </c>
      <c r="B1093" s="4" t="inlineStr">
        <is>
          <t>Planchuela de hierro negro 1/2" x 3/16" x 20 pies</t>
        </is>
      </c>
      <c r="C1093" s="7" t="inlineStr">
        <is>
          <t>unidad</t>
        </is>
      </c>
      <c r="D1093" s="8" t="n">
        <v>249.92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/>
      <c r="P1093" s="8" t="n"/>
      <c r="Q1093" s="8">
        <f>IF(COUNT(D1093:P1093)=0,"",MIN(D1093:P1093))</f>
        <v/>
      </c>
      <c r="R1093" s="8">
        <f>IF(COUNT(D1093:P1093)=0,"",MEDIAN(D1093:P1093))</f>
        <v/>
      </c>
      <c r="S1093" s="8">
        <f>IF(COUNT(D1093:P1093)=0,"",MAX(D1093:P1093))</f>
        <v/>
      </c>
      <c r="T1093" s="9">
        <f>IF(OR(Q1093="",Q1093=0),"",(S1093-Q1093)/Q1093)</f>
        <v/>
      </c>
      <c r="U1093" s="7">
        <f>IF(COUNT(D1093:P1093)=0,"",INDEX($D$1:$P$1,MATCH(MIN(D1093:P1093),D1093:P1093,0)))</f>
        <v/>
      </c>
      <c r="V1093" s="8" t="n">
        <v>249.92</v>
      </c>
      <c r="W1093" s="10" t="n">
        <v>1</v>
      </c>
    </row>
    <row r="1094">
      <c r="A1094" s="7" t="inlineStr">
        <is>
          <t>MAT-20-025</t>
        </is>
      </c>
      <c r="B1094" s="4" t="inlineStr">
        <is>
          <t>Planchuela de hierro negro 1/2" x 1/4" x 20 pies</t>
        </is>
      </c>
      <c r="C1094" s="7" t="inlineStr">
        <is>
          <t>unidad</t>
        </is>
      </c>
      <c r="D1094" s="8" t="n">
        <v>331.8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8" t="n"/>
      <c r="P1094" s="8" t="n"/>
      <c r="Q1094" s="8">
        <f>IF(COUNT(D1094:P1094)=0,"",MIN(D1094:P1094))</f>
        <v/>
      </c>
      <c r="R1094" s="8">
        <f>IF(COUNT(D1094:P1094)=0,"",MEDIAN(D1094:P1094))</f>
        <v/>
      </c>
      <c r="S1094" s="8">
        <f>IF(COUNT(D1094:P1094)=0,"",MAX(D1094:P1094))</f>
        <v/>
      </c>
      <c r="T1094" s="9">
        <f>IF(OR(Q1094="",Q1094=0),"",(S1094-Q1094)/Q1094)</f>
        <v/>
      </c>
      <c r="U1094" s="7">
        <f>IF(COUNT(D1094:P1094)=0,"",INDEX($D$1:$P$1,MATCH(MIN(D1094:P1094),D1094:P1094,0)))</f>
        <v/>
      </c>
      <c r="V1094" s="8" t="n">
        <v>331.8</v>
      </c>
      <c r="W1094" s="10" t="n">
        <v>1</v>
      </c>
    </row>
    <row r="1095">
      <c r="A1095" s="7" t="inlineStr">
        <is>
          <t>MAT-20-026</t>
        </is>
      </c>
      <c r="B1095" s="4" t="inlineStr">
        <is>
          <t>Planchuela de hierro negro 3/4" x 1/8" x 20 pies</t>
        </is>
      </c>
      <c r="C1095" s="7" t="inlineStr">
        <is>
          <t>unidad</t>
        </is>
      </c>
      <c r="D1095" s="8" t="n">
        <v>298.91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/>
      <c r="P1095" s="8" t="n"/>
      <c r="Q1095" s="8">
        <f>IF(COUNT(D1095:P1095)=0,"",MIN(D1095:P1095))</f>
        <v/>
      </c>
      <c r="R1095" s="8">
        <f>IF(COUNT(D1095:P1095)=0,"",MEDIAN(D1095:P1095))</f>
        <v/>
      </c>
      <c r="S1095" s="8">
        <f>IF(COUNT(D1095:P1095)=0,"",MAX(D1095:P1095))</f>
        <v/>
      </c>
      <c r="T1095" s="9">
        <f>IF(OR(Q1095="",Q1095=0),"",(S1095-Q1095)/Q1095)</f>
        <v/>
      </c>
      <c r="U1095" s="7">
        <f>IF(COUNT(D1095:P1095)=0,"",INDEX($D$1:$P$1,MATCH(MIN(D1095:P1095),D1095:P1095,0)))</f>
        <v/>
      </c>
      <c r="V1095" s="8" t="n">
        <v>298.91</v>
      </c>
      <c r="W1095" s="10" t="n">
        <v>1</v>
      </c>
    </row>
    <row r="1096">
      <c r="A1096" s="7" t="inlineStr">
        <is>
          <t>MAT-20-027</t>
        </is>
      </c>
      <c r="B1096" s="4" t="inlineStr">
        <is>
          <t>Planchuela de hierro negro 3/4" x 3/16" x 20 pies</t>
        </is>
      </c>
      <c r="C1096" s="7" t="inlineStr">
        <is>
          <t>unidad</t>
        </is>
      </c>
      <c r="D1096" s="8" t="n">
        <v>373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>
        <f>IF(COUNT(D1096:P1096)=0,"",MIN(D1096:P1096))</f>
        <v/>
      </c>
      <c r="R1096" s="8">
        <f>IF(COUNT(D1096:P1096)=0,"",MEDIAN(D1096:P1096))</f>
        <v/>
      </c>
      <c r="S1096" s="8">
        <f>IF(COUNT(D1096:P1096)=0,"",MAX(D1096:P1096))</f>
        <v/>
      </c>
      <c r="T1096" s="9">
        <f>IF(OR(Q1096="",Q1096=0),"",(S1096-Q1096)/Q1096)</f>
        <v/>
      </c>
      <c r="U1096" s="7">
        <f>IF(COUNT(D1096:P1096)=0,"",INDEX($D$1:$P$1,MATCH(MIN(D1096:P1096),D1096:P1096,0)))</f>
        <v/>
      </c>
      <c r="V1096" s="8" t="n">
        <v>373</v>
      </c>
      <c r="W1096" s="10" t="n">
        <v>1</v>
      </c>
    </row>
    <row r="1097">
      <c r="A1097" s="7" t="inlineStr">
        <is>
          <t>MAT-20-028</t>
        </is>
      </c>
      <c r="B1097" s="4" t="inlineStr">
        <is>
          <t>Planchuela de hierro negro 3/4" x 1/4" x 20 pies</t>
        </is>
      </c>
      <c r="C1097" s="7" t="inlineStr">
        <is>
          <t>unidad</t>
        </is>
      </c>
      <c r="D1097" s="8" t="n">
        <v>497.72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/>
      <c r="P1097" s="8" t="n"/>
      <c r="Q1097" s="8">
        <f>IF(COUNT(D1097:P1097)=0,"",MIN(D1097:P1097))</f>
        <v/>
      </c>
      <c r="R1097" s="8">
        <f>IF(COUNT(D1097:P1097)=0,"",MEDIAN(D1097:P1097))</f>
        <v/>
      </c>
      <c r="S1097" s="8">
        <f>IF(COUNT(D1097:P1097)=0,"",MAX(D1097:P1097))</f>
        <v/>
      </c>
      <c r="T1097" s="9">
        <f>IF(OR(Q1097="",Q1097=0),"",(S1097-Q1097)/Q1097)</f>
        <v/>
      </c>
      <c r="U1097" s="7">
        <f>IF(COUNT(D1097:P1097)=0,"",INDEX($D$1:$P$1,MATCH(MIN(D1097:P1097),D1097:P1097,0)))</f>
        <v/>
      </c>
      <c r="V1097" s="8" t="n">
        <v>497.72</v>
      </c>
      <c r="W1097" s="10" t="n">
        <v>1</v>
      </c>
    </row>
    <row r="1098">
      <c r="A1098" s="7" t="inlineStr">
        <is>
          <t>MAT-20-029</t>
        </is>
      </c>
      <c r="B1098" s="4" t="inlineStr">
        <is>
          <t>Planchuela de hierro negro 1" x 1/8" x 20 pies</t>
        </is>
      </c>
      <c r="C1098" s="7" t="inlineStr">
        <is>
          <t>unidad</t>
        </is>
      </c>
      <c r="D1098" s="8" t="n">
        <v>297.5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>
        <f>IF(COUNT(D1098:P1098)=0,"",MIN(D1098:P1098))</f>
        <v/>
      </c>
      <c r="R1098" s="8">
        <f>IF(COUNT(D1098:P1098)=0,"",MEDIAN(D1098:P1098))</f>
        <v/>
      </c>
      <c r="S1098" s="8">
        <f>IF(COUNT(D1098:P1098)=0,"",MAX(D1098:P1098))</f>
        <v/>
      </c>
      <c r="T1098" s="9">
        <f>IF(OR(Q1098="",Q1098=0),"",(S1098-Q1098)/Q1098)</f>
        <v/>
      </c>
      <c r="U1098" s="7">
        <f>IF(COUNT(D1098:P1098)=0,"",INDEX($D$1:$P$1,MATCH(MIN(D1098:P1098),D1098:P1098,0)))</f>
        <v/>
      </c>
      <c r="V1098" s="8" t="n">
        <v>297.5</v>
      </c>
      <c r="W1098" s="10" t="n">
        <v>1</v>
      </c>
    </row>
    <row r="1099">
      <c r="A1099" s="7" t="inlineStr">
        <is>
          <t>MAT-20-030</t>
        </is>
      </c>
      <c r="B1099" s="4" t="inlineStr">
        <is>
          <t>Planchuela de hierro negro 1" x 3/16" x 20 pies</t>
        </is>
      </c>
      <c r="C1099" s="7" t="inlineStr">
        <is>
          <t>unidad</t>
        </is>
      </c>
      <c r="D1099" s="8" t="n">
        <v>446.25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/>
      <c r="P1099" s="8" t="n"/>
      <c r="Q1099" s="8">
        <f>IF(COUNT(D1099:P1099)=0,"",MIN(D1099:P1099))</f>
        <v/>
      </c>
      <c r="R1099" s="8">
        <f>IF(COUNT(D1099:P1099)=0,"",MEDIAN(D1099:P1099))</f>
        <v/>
      </c>
      <c r="S1099" s="8">
        <f>IF(COUNT(D1099:P1099)=0,"",MAX(D1099:P1099))</f>
        <v/>
      </c>
      <c r="T1099" s="9">
        <f>IF(OR(Q1099="",Q1099=0),"",(S1099-Q1099)/Q1099)</f>
        <v/>
      </c>
      <c r="U1099" s="7">
        <f>IF(COUNT(D1099:P1099)=0,"",INDEX($D$1:$P$1,MATCH(MIN(D1099:P1099),D1099:P1099,0)))</f>
        <v/>
      </c>
      <c r="V1099" s="8" t="n">
        <v>446.25</v>
      </c>
      <c r="W1099" s="10" t="n">
        <v>1</v>
      </c>
    </row>
    <row r="1100">
      <c r="A1100" s="7" t="inlineStr">
        <is>
          <t>MAT-20-031</t>
        </is>
      </c>
      <c r="B1100" s="4" t="inlineStr">
        <is>
          <t>Planchuela de hierro negro 1" x 1/4" x 20 pies</t>
        </is>
      </c>
      <c r="C1100" s="7" t="inlineStr">
        <is>
          <t>unidad</t>
        </is>
      </c>
      <c r="D1100" s="8" t="n">
        <v>595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/>
      <c r="P1100" s="8" t="n"/>
      <c r="Q1100" s="8">
        <f>IF(COUNT(D1100:P1100)=0,"",MIN(D1100:P1100))</f>
        <v/>
      </c>
      <c r="R1100" s="8">
        <f>IF(COUNT(D1100:P1100)=0,"",MEDIAN(D1100:P1100))</f>
        <v/>
      </c>
      <c r="S1100" s="8">
        <f>IF(COUNT(D1100:P1100)=0,"",MAX(D1100:P1100))</f>
        <v/>
      </c>
      <c r="T1100" s="9">
        <f>IF(OR(Q1100="",Q1100=0),"",(S1100-Q1100)/Q1100)</f>
        <v/>
      </c>
      <c r="U1100" s="7">
        <f>IF(COUNT(D1100:P1100)=0,"",INDEX($D$1:$P$1,MATCH(MIN(D1100:P1100),D1100:P1100,0)))</f>
        <v/>
      </c>
      <c r="V1100" s="8" t="n">
        <v>595</v>
      </c>
      <c r="W1100" s="10" t="n">
        <v>1</v>
      </c>
    </row>
    <row r="1101">
      <c r="A1101" s="7" t="inlineStr">
        <is>
          <t>MAT-20-032</t>
        </is>
      </c>
      <c r="B1101" s="4" t="inlineStr">
        <is>
          <t>Planchuela de hierro negro 1" x 1/2" x 20 pies</t>
        </is>
      </c>
      <c r="C1101" s="7" t="inlineStr">
        <is>
          <t>unidad</t>
        </is>
      </c>
      <c r="D1101" s="8" t="n">
        <v>1327.5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/>
      <c r="P1101" s="8" t="n"/>
      <c r="Q1101" s="8">
        <f>IF(COUNT(D1101:P1101)=0,"",MIN(D1101:P1101))</f>
        <v/>
      </c>
      <c r="R1101" s="8">
        <f>IF(COUNT(D1101:P1101)=0,"",MEDIAN(D1101:P1101))</f>
        <v/>
      </c>
      <c r="S1101" s="8">
        <f>IF(COUNT(D1101:P1101)=0,"",MAX(D1101:P1101))</f>
        <v/>
      </c>
      <c r="T1101" s="9">
        <f>IF(OR(Q1101="",Q1101=0),"",(S1101-Q1101)/Q1101)</f>
        <v/>
      </c>
      <c r="U1101" s="7">
        <f>IF(COUNT(D1101:P1101)=0,"",INDEX($D$1:$P$1,MATCH(MIN(D1101:P1101),D1101:P1101,0)))</f>
        <v/>
      </c>
      <c r="V1101" s="8" t="n">
        <v>1327.5</v>
      </c>
      <c r="W1101" s="10" t="n">
        <v>1</v>
      </c>
    </row>
    <row r="1102">
      <c r="A1102" s="7" t="inlineStr">
        <is>
          <t>MAT-20-033</t>
        </is>
      </c>
      <c r="B1102" s="4" t="inlineStr">
        <is>
          <t>Planchuela de hierro negro 1 1/4" x 1/8" x 20 pies</t>
        </is>
      </c>
      <c r="C1102" s="7" t="inlineStr">
        <is>
          <t>unidad</t>
        </is>
      </c>
      <c r="D1102" s="8" t="n">
        <v>415.35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/>
      <c r="P1102" s="8" t="n"/>
      <c r="Q1102" s="8">
        <f>IF(COUNT(D1102:P1102)=0,"",MIN(D1102:P1102))</f>
        <v/>
      </c>
      <c r="R1102" s="8">
        <f>IF(COUNT(D1102:P1102)=0,"",MEDIAN(D1102:P1102))</f>
        <v/>
      </c>
      <c r="S1102" s="8">
        <f>IF(COUNT(D1102:P1102)=0,"",MAX(D1102:P1102))</f>
        <v/>
      </c>
      <c r="T1102" s="9">
        <f>IF(OR(Q1102="",Q1102=0),"",(S1102-Q1102)/Q1102)</f>
        <v/>
      </c>
      <c r="U1102" s="7">
        <f>IF(COUNT(D1102:P1102)=0,"",INDEX($D$1:$P$1,MATCH(MIN(D1102:P1102),D1102:P1102,0)))</f>
        <v/>
      </c>
      <c r="V1102" s="8" t="n">
        <v>415.35</v>
      </c>
      <c r="W1102" s="10" t="n">
        <v>1</v>
      </c>
    </row>
    <row r="1103">
      <c r="A1103" s="7" t="inlineStr">
        <is>
          <t>MAT-20-034</t>
        </is>
      </c>
      <c r="B1103" s="4" t="inlineStr">
        <is>
          <t>Planchuela de hierro negro 1 1/4" x 3/16" x 20 pies</t>
        </is>
      </c>
      <c r="C1103" s="7" t="inlineStr">
        <is>
          <t>unidad</t>
        </is>
      </c>
      <c r="D1103" s="8" t="n">
        <v>614.58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/>
      <c r="P1103" s="8" t="n"/>
      <c r="Q1103" s="8">
        <f>IF(COUNT(D1103:P1103)=0,"",MIN(D1103:P1103))</f>
        <v/>
      </c>
      <c r="R1103" s="8">
        <f>IF(COUNT(D1103:P1103)=0,"",MEDIAN(D1103:P1103))</f>
        <v/>
      </c>
      <c r="S1103" s="8">
        <f>IF(COUNT(D1103:P1103)=0,"",MAX(D1103:P1103))</f>
        <v/>
      </c>
      <c r="T1103" s="9">
        <f>IF(OR(Q1103="",Q1103=0),"",(S1103-Q1103)/Q1103)</f>
        <v/>
      </c>
      <c r="U1103" s="7">
        <f>IF(COUNT(D1103:P1103)=0,"",INDEX($D$1:$P$1,MATCH(MIN(D1103:P1103),D1103:P1103,0)))</f>
        <v/>
      </c>
      <c r="V1103" s="8" t="n">
        <v>614.58</v>
      </c>
      <c r="W1103" s="10" t="n">
        <v>1</v>
      </c>
    </row>
    <row r="1104">
      <c r="A1104" s="7" t="inlineStr">
        <is>
          <t>MAT-20-035</t>
        </is>
      </c>
      <c r="B1104" s="4" t="inlineStr">
        <is>
          <t>Planchuela de hierro negro 1 1/4" x 1/4" x 20 pies</t>
        </is>
      </c>
      <c r="C1104" s="7" t="inlineStr">
        <is>
          <t>unidad</t>
        </is>
      </c>
      <c r="D1104" s="8" t="n">
        <v>745.5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>
        <f>IF(COUNT(D1104:P1104)=0,"",MIN(D1104:P1104))</f>
        <v/>
      </c>
      <c r="R1104" s="8">
        <f>IF(COUNT(D1104:P1104)=0,"",MEDIAN(D1104:P1104))</f>
        <v/>
      </c>
      <c r="S1104" s="8">
        <f>IF(COUNT(D1104:P1104)=0,"",MAX(D1104:P1104))</f>
        <v/>
      </c>
      <c r="T1104" s="9">
        <f>IF(OR(Q1104="",Q1104=0),"",(S1104-Q1104)/Q1104)</f>
        <v/>
      </c>
      <c r="U1104" s="7">
        <f>IF(COUNT(D1104:P1104)=0,"",INDEX($D$1:$P$1,MATCH(MIN(D1104:P1104),D1104:P1104,0)))</f>
        <v/>
      </c>
      <c r="V1104" s="8" t="n">
        <v>745.5</v>
      </c>
      <c r="W1104" s="10" t="n">
        <v>1</v>
      </c>
    </row>
    <row r="1105">
      <c r="A1105" s="7" t="inlineStr">
        <is>
          <t>MAT-20-036</t>
        </is>
      </c>
      <c r="B1105" s="4" t="inlineStr">
        <is>
          <t>Planchuela de hierro negro 1 1/4" x 3/8" x 20 pies</t>
        </is>
      </c>
      <c r="C1105" s="7" t="inlineStr">
        <is>
          <t>unidad</t>
        </is>
      </c>
      <c r="D1105" s="8" t="n">
        <v>1115.73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>
        <f>IF(COUNT(D1105:P1105)=0,"",MIN(D1105:P1105))</f>
        <v/>
      </c>
      <c r="R1105" s="8">
        <f>IF(COUNT(D1105:P1105)=0,"",MEDIAN(D1105:P1105))</f>
        <v/>
      </c>
      <c r="S1105" s="8">
        <f>IF(COUNT(D1105:P1105)=0,"",MAX(D1105:P1105))</f>
        <v/>
      </c>
      <c r="T1105" s="9">
        <f>IF(OR(Q1105="",Q1105=0),"",(S1105-Q1105)/Q1105)</f>
        <v/>
      </c>
      <c r="U1105" s="7">
        <f>IF(COUNT(D1105:P1105)=0,"",INDEX($D$1:$P$1,MATCH(MIN(D1105:P1105),D1105:P1105,0)))</f>
        <v/>
      </c>
      <c r="V1105" s="8" t="n">
        <v>1115.73</v>
      </c>
      <c r="W1105" s="10" t="n">
        <v>1</v>
      </c>
    </row>
    <row r="1106">
      <c r="A1106" s="7" t="inlineStr">
        <is>
          <t>MAT-20-037</t>
        </is>
      </c>
      <c r="B1106" s="4" t="inlineStr">
        <is>
          <t>Planchuela de hierro negro 1 1/2" x 1/8" x 20 pies</t>
        </is>
      </c>
      <c r="C1106" s="7" t="inlineStr">
        <is>
          <t>unidad</t>
        </is>
      </c>
      <c r="D1106" s="8" t="n">
        <v>451.7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/>
      <c r="P1106" s="8" t="n"/>
      <c r="Q1106" s="8">
        <f>IF(COUNT(D1106:P1106)=0,"",MIN(D1106:P1106))</f>
        <v/>
      </c>
      <c r="R1106" s="8">
        <f>IF(COUNT(D1106:P1106)=0,"",MEDIAN(D1106:P1106))</f>
        <v/>
      </c>
      <c r="S1106" s="8">
        <f>IF(COUNT(D1106:P1106)=0,"",MAX(D1106:P1106))</f>
        <v/>
      </c>
      <c r="T1106" s="9">
        <f>IF(OR(Q1106="",Q1106=0),"",(S1106-Q1106)/Q1106)</f>
        <v/>
      </c>
      <c r="U1106" s="7">
        <f>IF(COUNT(D1106:P1106)=0,"",INDEX($D$1:$P$1,MATCH(MIN(D1106:P1106),D1106:P1106,0)))</f>
        <v/>
      </c>
      <c r="V1106" s="8" t="n">
        <v>451.7</v>
      </c>
      <c r="W1106" s="10" t="n">
        <v>1</v>
      </c>
    </row>
    <row r="1107">
      <c r="A1107" s="7" t="inlineStr">
        <is>
          <t>MAT-20-038</t>
        </is>
      </c>
      <c r="B1107" s="4" t="inlineStr">
        <is>
          <t>Planchuela de hierro negro 1 1/2" x 3/16" x 20 pies</t>
        </is>
      </c>
      <c r="C1107" s="7" t="inlineStr">
        <is>
          <t>unidad</t>
        </is>
      </c>
      <c r="D1107" s="8" t="n">
        <v>682.5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>
        <f>IF(COUNT(D1107:P1107)=0,"",MIN(D1107:P1107))</f>
        <v/>
      </c>
      <c r="R1107" s="8">
        <f>IF(COUNT(D1107:P1107)=0,"",MEDIAN(D1107:P1107))</f>
        <v/>
      </c>
      <c r="S1107" s="8">
        <f>IF(COUNT(D1107:P1107)=0,"",MAX(D1107:P1107))</f>
        <v/>
      </c>
      <c r="T1107" s="9">
        <f>IF(OR(Q1107="",Q1107=0),"",(S1107-Q1107)/Q1107)</f>
        <v/>
      </c>
      <c r="U1107" s="7">
        <f>IF(COUNT(D1107:P1107)=0,"",INDEX($D$1:$P$1,MATCH(MIN(D1107:P1107),D1107:P1107,0)))</f>
        <v/>
      </c>
      <c r="V1107" s="8" t="n">
        <v>682.5</v>
      </c>
      <c r="W1107" s="10" t="n">
        <v>1</v>
      </c>
    </row>
    <row r="1108">
      <c r="A1108" s="7" t="inlineStr">
        <is>
          <t>MAT-20-039</t>
        </is>
      </c>
      <c r="B1108" s="4" t="inlineStr">
        <is>
          <t>Planchuela de hierro negro 1 1/2" x 1/4" x 20 pies</t>
        </is>
      </c>
      <c r="C1108" s="7" t="inlineStr">
        <is>
          <t>unidad</t>
        </is>
      </c>
      <c r="D1108" s="8" t="n">
        <v>892.5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/>
      <c r="P1108" s="8" t="n"/>
      <c r="Q1108" s="8">
        <f>IF(COUNT(D1108:P1108)=0,"",MIN(D1108:P1108))</f>
        <v/>
      </c>
      <c r="R1108" s="8">
        <f>IF(COUNT(D1108:P1108)=0,"",MEDIAN(D1108:P1108))</f>
        <v/>
      </c>
      <c r="S1108" s="8">
        <f>IF(COUNT(D1108:P1108)=0,"",MAX(D1108:P1108))</f>
        <v/>
      </c>
      <c r="T1108" s="9">
        <f>IF(OR(Q1108="",Q1108=0),"",(S1108-Q1108)/Q1108)</f>
        <v/>
      </c>
      <c r="U1108" s="7">
        <f>IF(COUNT(D1108:P1108)=0,"",INDEX($D$1:$P$1,MATCH(MIN(D1108:P1108),D1108:P1108,0)))</f>
        <v/>
      </c>
      <c r="V1108" s="8" t="n">
        <v>892.5</v>
      </c>
      <c r="W1108" s="10" t="n">
        <v>1</v>
      </c>
    </row>
    <row r="1109">
      <c r="A1109" s="7" t="inlineStr">
        <is>
          <t>MAT-20-040</t>
        </is>
      </c>
      <c r="B1109" s="4" t="inlineStr">
        <is>
          <t>Planchuela de hierro negro 1 1/2" x 3/8" x 20 pies</t>
        </is>
      </c>
      <c r="C1109" s="7" t="inlineStr">
        <is>
          <t>unidad</t>
        </is>
      </c>
      <c r="D1109" s="8" t="n">
        <v>1338.75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>
        <f>IF(COUNT(D1109:P1109)=0,"",MIN(D1109:P1109))</f>
        <v/>
      </c>
      <c r="R1109" s="8">
        <f>IF(COUNT(D1109:P1109)=0,"",MEDIAN(D1109:P1109))</f>
        <v/>
      </c>
      <c r="S1109" s="8">
        <f>IF(COUNT(D1109:P1109)=0,"",MAX(D1109:P1109))</f>
        <v/>
      </c>
      <c r="T1109" s="9">
        <f>IF(OR(Q1109="",Q1109=0),"",(S1109-Q1109)/Q1109)</f>
        <v/>
      </c>
      <c r="U1109" s="7">
        <f>IF(COUNT(D1109:P1109)=0,"",INDEX($D$1:$P$1,MATCH(MIN(D1109:P1109),D1109:P1109,0)))</f>
        <v/>
      </c>
      <c r="V1109" s="8" t="n">
        <v>1338.75</v>
      </c>
      <c r="W1109" s="10" t="n">
        <v>1</v>
      </c>
    </row>
    <row r="1110">
      <c r="A1110" s="7" t="inlineStr">
        <is>
          <t>MAT-20-041</t>
        </is>
      </c>
      <c r="B1110" s="4" t="inlineStr">
        <is>
          <t>Planchuela de hierro negro 1 1/2" x 1/2" x 20 pies</t>
        </is>
      </c>
      <c r="C1110" s="7" t="inlineStr">
        <is>
          <t>unidad</t>
        </is>
      </c>
      <c r="D1110" s="8" t="n">
        <v>1991.13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>
        <f>IF(COUNT(D1110:P1110)=0,"",MIN(D1110:P1110))</f>
        <v/>
      </c>
      <c r="R1110" s="8">
        <f>IF(COUNT(D1110:P1110)=0,"",MEDIAN(D1110:P1110))</f>
        <v/>
      </c>
      <c r="S1110" s="8">
        <f>IF(COUNT(D1110:P1110)=0,"",MAX(D1110:P1110))</f>
        <v/>
      </c>
      <c r="T1110" s="9">
        <f>IF(OR(Q1110="",Q1110=0),"",(S1110-Q1110)/Q1110)</f>
        <v/>
      </c>
      <c r="U1110" s="7">
        <f>IF(COUNT(D1110:P1110)=0,"",INDEX($D$1:$P$1,MATCH(MIN(D1110:P1110),D1110:P1110,0)))</f>
        <v/>
      </c>
      <c r="V1110" s="8" t="n">
        <v>1991.13</v>
      </c>
      <c r="W1110" s="10" t="n">
        <v>1</v>
      </c>
    </row>
    <row r="1111">
      <c r="A1111" s="7" t="inlineStr">
        <is>
          <t>MAT-20-042</t>
        </is>
      </c>
      <c r="B1111" s="4" t="inlineStr">
        <is>
          <t>Planchuela de hierro negro 2" x 1/8" x 20 pies</t>
        </is>
      </c>
      <c r="C1111" s="7" t="inlineStr">
        <is>
          <t>unidad</t>
        </is>
      </c>
      <c r="D1111" s="8" t="n">
        <v>595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>
        <f>IF(COUNT(D1111:P1111)=0,"",MIN(D1111:P1111))</f>
        <v/>
      </c>
      <c r="R1111" s="8">
        <f>IF(COUNT(D1111:P1111)=0,"",MEDIAN(D1111:P1111))</f>
        <v/>
      </c>
      <c r="S1111" s="8">
        <f>IF(COUNT(D1111:P1111)=0,"",MAX(D1111:P1111))</f>
        <v/>
      </c>
      <c r="T1111" s="9">
        <f>IF(OR(Q1111="",Q1111=0),"",(S1111-Q1111)/Q1111)</f>
        <v/>
      </c>
      <c r="U1111" s="7">
        <f>IF(COUNT(D1111:P1111)=0,"",INDEX($D$1:$P$1,MATCH(MIN(D1111:P1111),D1111:P1111,0)))</f>
        <v/>
      </c>
      <c r="V1111" s="8" t="n">
        <v>595</v>
      </c>
      <c r="W1111" s="10" t="n">
        <v>1</v>
      </c>
    </row>
    <row r="1112">
      <c r="A1112" s="7" t="inlineStr">
        <is>
          <t>MAT-20-043</t>
        </is>
      </c>
      <c r="B1112" s="4" t="inlineStr">
        <is>
          <t>Planchuela de hierro negro 2" x 3/16" x 20 pies</t>
        </is>
      </c>
      <c r="C1112" s="7" t="inlineStr">
        <is>
          <t>unidad</t>
        </is>
      </c>
      <c r="D1112" s="8" t="n">
        <v>892.5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>
        <f>IF(COUNT(D1112:P1112)=0,"",MIN(D1112:P1112))</f>
        <v/>
      </c>
      <c r="R1112" s="8">
        <f>IF(COUNT(D1112:P1112)=0,"",MEDIAN(D1112:P1112))</f>
        <v/>
      </c>
      <c r="S1112" s="8">
        <f>IF(COUNT(D1112:P1112)=0,"",MAX(D1112:P1112))</f>
        <v/>
      </c>
      <c r="T1112" s="9">
        <f>IF(OR(Q1112="",Q1112=0),"",(S1112-Q1112)/Q1112)</f>
        <v/>
      </c>
      <c r="U1112" s="7">
        <f>IF(COUNT(D1112:P1112)=0,"",INDEX($D$1:$P$1,MATCH(MIN(D1112:P1112),D1112:P1112,0)))</f>
        <v/>
      </c>
      <c r="V1112" s="8" t="n">
        <v>892.5</v>
      </c>
      <c r="W1112" s="10" t="n">
        <v>1</v>
      </c>
    </row>
    <row r="1113">
      <c r="A1113" s="7" t="inlineStr">
        <is>
          <t>MAT-20-044</t>
        </is>
      </c>
      <c r="B1113" s="4" t="inlineStr">
        <is>
          <t>Planchuela de hierro negro 2" x 1/4" x 20 pies</t>
        </is>
      </c>
      <c r="C1113" s="7" t="inlineStr">
        <is>
          <t>unidad</t>
        </is>
      </c>
      <c r="D1113" s="8" t="n">
        <v>1189.99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8" t="n"/>
      <c r="P1113" s="8" t="n"/>
      <c r="Q1113" s="8">
        <f>IF(COUNT(D1113:P1113)=0,"",MIN(D1113:P1113))</f>
        <v/>
      </c>
      <c r="R1113" s="8">
        <f>IF(COUNT(D1113:P1113)=0,"",MEDIAN(D1113:P1113))</f>
        <v/>
      </c>
      <c r="S1113" s="8">
        <f>IF(COUNT(D1113:P1113)=0,"",MAX(D1113:P1113))</f>
        <v/>
      </c>
      <c r="T1113" s="9">
        <f>IF(OR(Q1113="",Q1113=0),"",(S1113-Q1113)/Q1113)</f>
        <v/>
      </c>
      <c r="U1113" s="7">
        <f>IF(COUNT(D1113:P1113)=0,"",INDEX($D$1:$P$1,MATCH(MIN(D1113:P1113),D1113:P1113,0)))</f>
        <v/>
      </c>
      <c r="V1113" s="8" t="n">
        <v>1189.99</v>
      </c>
      <c r="W1113" s="10" t="n">
        <v>1</v>
      </c>
    </row>
    <row r="1114">
      <c r="A1114" s="7" t="inlineStr">
        <is>
          <t>MAT-20-045</t>
        </is>
      </c>
      <c r="B1114" s="4" t="inlineStr">
        <is>
          <t>Planchuela de hierro negro 2" x 3/8" x 20 pies</t>
        </is>
      </c>
      <c r="C1114" s="7" t="inlineStr">
        <is>
          <t>unidad</t>
        </is>
      </c>
      <c r="D1114" s="8" t="n">
        <v>1785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>
        <f>IF(COUNT(D1114:P1114)=0,"",MIN(D1114:P1114))</f>
        <v/>
      </c>
      <c r="R1114" s="8">
        <f>IF(COUNT(D1114:P1114)=0,"",MEDIAN(D1114:P1114))</f>
        <v/>
      </c>
      <c r="S1114" s="8">
        <f>IF(COUNT(D1114:P1114)=0,"",MAX(D1114:P1114))</f>
        <v/>
      </c>
      <c r="T1114" s="9">
        <f>IF(OR(Q1114="",Q1114=0),"",(S1114-Q1114)/Q1114)</f>
        <v/>
      </c>
      <c r="U1114" s="7">
        <f>IF(COUNT(D1114:P1114)=0,"",INDEX($D$1:$P$1,MATCH(MIN(D1114:P1114),D1114:P1114,0)))</f>
        <v/>
      </c>
      <c r="V1114" s="8" t="n">
        <v>1785</v>
      </c>
      <c r="W1114" s="10" t="n">
        <v>1</v>
      </c>
    </row>
    <row r="1115">
      <c r="A1115" s="7" t="inlineStr">
        <is>
          <t>MAT-20-046</t>
        </is>
      </c>
      <c r="B1115" s="4" t="inlineStr">
        <is>
          <t>Planchuela de hierro negro 2" x 1/2" x 20 pies</t>
        </is>
      </c>
      <c r="C1115" s="7" t="inlineStr">
        <is>
          <t>unidad</t>
        </is>
      </c>
      <c r="D1115" s="8" t="n">
        <v>2380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>
        <f>IF(COUNT(D1115:P1115)=0,"",MIN(D1115:P1115))</f>
        <v/>
      </c>
      <c r="R1115" s="8">
        <f>IF(COUNT(D1115:P1115)=0,"",MEDIAN(D1115:P1115))</f>
        <v/>
      </c>
      <c r="S1115" s="8">
        <f>IF(COUNT(D1115:P1115)=0,"",MAX(D1115:P1115))</f>
        <v/>
      </c>
      <c r="T1115" s="9">
        <f>IF(OR(Q1115="",Q1115=0),"",(S1115-Q1115)/Q1115)</f>
        <v/>
      </c>
      <c r="U1115" s="7">
        <f>IF(COUNT(D1115:P1115)=0,"",INDEX($D$1:$P$1,MATCH(MIN(D1115:P1115),D1115:P1115,0)))</f>
        <v/>
      </c>
      <c r="V1115" s="8" t="n">
        <v>2380</v>
      </c>
      <c r="W1115" s="10" t="n">
        <v>1</v>
      </c>
    </row>
    <row r="1116">
      <c r="A1116" s="7" t="inlineStr">
        <is>
          <t>MAT-20-047</t>
        </is>
      </c>
      <c r="B1116" s="4" t="inlineStr">
        <is>
          <t>Planchuela de hierro negro 2 1/2" x 1/4" x 20 pies</t>
        </is>
      </c>
      <c r="C1116" s="7" t="inlineStr">
        <is>
          <t>unidad</t>
        </is>
      </c>
      <c r="D1116" s="8" t="n">
        <v>1487.5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>
        <f>IF(COUNT(D1116:P1116)=0,"",MIN(D1116:P1116))</f>
        <v/>
      </c>
      <c r="R1116" s="8">
        <f>IF(COUNT(D1116:P1116)=0,"",MEDIAN(D1116:P1116))</f>
        <v/>
      </c>
      <c r="S1116" s="8">
        <f>IF(COUNT(D1116:P1116)=0,"",MAX(D1116:P1116))</f>
        <v/>
      </c>
      <c r="T1116" s="9">
        <f>IF(OR(Q1116="",Q1116=0),"",(S1116-Q1116)/Q1116)</f>
        <v/>
      </c>
      <c r="U1116" s="7">
        <f>IF(COUNT(D1116:P1116)=0,"",INDEX($D$1:$P$1,MATCH(MIN(D1116:P1116),D1116:P1116,0)))</f>
        <v/>
      </c>
      <c r="V1116" s="8" t="n">
        <v>1487.5</v>
      </c>
      <c r="W1116" s="10" t="n">
        <v>1</v>
      </c>
    </row>
    <row r="1117">
      <c r="A1117" s="7" t="inlineStr">
        <is>
          <t>MAT-20-048</t>
        </is>
      </c>
      <c r="B1117" s="4" t="inlineStr">
        <is>
          <t>Planchuela de hierro negro 2 1/2" x 3/8" x 20 pies</t>
        </is>
      </c>
      <c r="C1117" s="7" t="inlineStr">
        <is>
          <t>unidad</t>
        </is>
      </c>
      <c r="D1117" s="8" t="n">
        <v>2231.6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>
        <f>IF(COUNT(D1117:P1117)=0,"",MIN(D1117:P1117))</f>
        <v/>
      </c>
      <c r="R1117" s="8">
        <f>IF(COUNT(D1117:P1117)=0,"",MEDIAN(D1117:P1117))</f>
        <v/>
      </c>
      <c r="S1117" s="8">
        <f>IF(COUNT(D1117:P1117)=0,"",MAX(D1117:P1117))</f>
        <v/>
      </c>
      <c r="T1117" s="9">
        <f>IF(OR(Q1117="",Q1117=0),"",(S1117-Q1117)/Q1117)</f>
        <v/>
      </c>
      <c r="U1117" s="7">
        <f>IF(COUNT(D1117:P1117)=0,"",INDEX($D$1:$P$1,MATCH(MIN(D1117:P1117),D1117:P1117,0)))</f>
        <v/>
      </c>
      <c r="V1117" s="8" t="n">
        <v>2231.6</v>
      </c>
      <c r="W1117" s="10" t="n">
        <v>1</v>
      </c>
    </row>
    <row r="1118">
      <c r="A1118" s="7" t="inlineStr">
        <is>
          <t>MAT-20-049</t>
        </is>
      </c>
      <c r="B1118" s="4" t="inlineStr">
        <is>
          <t>Planchuela de hierro negro 3" x 1/4" x 20 pies</t>
        </is>
      </c>
      <c r="C1118" s="7" t="inlineStr">
        <is>
          <t>unidad</t>
        </is>
      </c>
      <c r="D1118" s="8" t="n">
        <v>1785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>
        <f>IF(COUNT(D1118:P1118)=0,"",MIN(D1118:P1118))</f>
        <v/>
      </c>
      <c r="R1118" s="8">
        <f>IF(COUNT(D1118:P1118)=0,"",MEDIAN(D1118:P1118))</f>
        <v/>
      </c>
      <c r="S1118" s="8">
        <f>IF(COUNT(D1118:P1118)=0,"",MAX(D1118:P1118))</f>
        <v/>
      </c>
      <c r="T1118" s="9">
        <f>IF(OR(Q1118="",Q1118=0),"",(S1118-Q1118)/Q1118)</f>
        <v/>
      </c>
      <c r="U1118" s="7">
        <f>IF(COUNT(D1118:P1118)=0,"",INDEX($D$1:$P$1,MATCH(MIN(D1118:P1118),D1118:P1118,0)))</f>
        <v/>
      </c>
      <c r="V1118" s="8" t="n">
        <v>1785</v>
      </c>
      <c r="W1118" s="10" t="n">
        <v>1</v>
      </c>
    </row>
    <row r="1119">
      <c r="A1119" s="7" t="inlineStr">
        <is>
          <t>MAT-20-050</t>
        </is>
      </c>
      <c r="B1119" s="4" t="inlineStr">
        <is>
          <t>Planchuela de hierro negro 3" x 3/8" x 20 pies</t>
        </is>
      </c>
      <c r="C1119" s="7" t="inlineStr">
        <is>
          <t>unidad</t>
        </is>
      </c>
      <c r="D1119" s="8" t="n">
        <v>2677.62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>
        <f>IF(COUNT(D1119:P1119)=0,"",MIN(D1119:P1119))</f>
        <v/>
      </c>
      <c r="R1119" s="8">
        <f>IF(COUNT(D1119:P1119)=0,"",MEDIAN(D1119:P1119))</f>
        <v/>
      </c>
      <c r="S1119" s="8">
        <f>IF(COUNT(D1119:P1119)=0,"",MAX(D1119:P1119))</f>
        <v/>
      </c>
      <c r="T1119" s="9">
        <f>IF(OR(Q1119="",Q1119=0),"",(S1119-Q1119)/Q1119)</f>
        <v/>
      </c>
      <c r="U1119" s="7">
        <f>IF(COUNT(D1119:P1119)=0,"",INDEX($D$1:$P$1,MATCH(MIN(D1119:P1119),D1119:P1119,0)))</f>
        <v/>
      </c>
      <c r="V1119" s="8" t="n">
        <v>2677.62</v>
      </c>
      <c r="W1119" s="10" t="n">
        <v>1</v>
      </c>
    </row>
    <row r="1120">
      <c r="A1120" s="7" t="inlineStr">
        <is>
          <t>MAT-20-051</t>
        </is>
      </c>
      <c r="B1120" s="4" t="inlineStr">
        <is>
          <t>Planchuela de hierro negro 4" x 1/4" x 20 pies</t>
        </is>
      </c>
      <c r="C1120" s="7" t="inlineStr">
        <is>
          <t>unidad</t>
        </is>
      </c>
      <c r="D1120" s="8" t="n">
        <v>2380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>
        <f>IF(COUNT(D1120:P1120)=0,"",MIN(D1120:P1120))</f>
        <v/>
      </c>
      <c r="R1120" s="8">
        <f>IF(COUNT(D1120:P1120)=0,"",MEDIAN(D1120:P1120))</f>
        <v/>
      </c>
      <c r="S1120" s="8">
        <f>IF(COUNT(D1120:P1120)=0,"",MAX(D1120:P1120))</f>
        <v/>
      </c>
      <c r="T1120" s="9">
        <f>IF(OR(Q1120="",Q1120=0),"",(S1120-Q1120)/Q1120)</f>
        <v/>
      </c>
      <c r="U1120" s="7">
        <f>IF(COUNT(D1120:P1120)=0,"",INDEX($D$1:$P$1,MATCH(MIN(D1120:P1120),D1120:P1120,0)))</f>
        <v/>
      </c>
      <c r="V1120" s="8" t="n">
        <v>2380</v>
      </c>
      <c r="W1120" s="10" t="n">
        <v>1</v>
      </c>
    </row>
    <row r="1121">
      <c r="A1121" s="7" t="inlineStr">
        <is>
          <t>MAT-20-052</t>
        </is>
      </c>
      <c r="B1121" s="4" t="inlineStr">
        <is>
          <t>Planchuela de hierro negro 4" x 3/8" x 20 pies</t>
        </is>
      </c>
      <c r="C1121" s="7" t="inlineStr">
        <is>
          <t>unidad</t>
        </is>
      </c>
      <c r="D1121" s="8" t="n">
        <v>3982.5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>
        <f>IF(COUNT(D1121:P1121)=0,"",MIN(D1121:P1121))</f>
        <v/>
      </c>
      <c r="R1121" s="8">
        <f>IF(COUNT(D1121:P1121)=0,"",MEDIAN(D1121:P1121))</f>
        <v/>
      </c>
      <c r="S1121" s="8">
        <f>IF(COUNT(D1121:P1121)=0,"",MAX(D1121:P1121))</f>
        <v/>
      </c>
      <c r="T1121" s="9">
        <f>IF(OR(Q1121="",Q1121=0),"",(S1121-Q1121)/Q1121)</f>
        <v/>
      </c>
      <c r="U1121" s="7">
        <f>IF(COUNT(D1121:P1121)=0,"",INDEX($D$1:$P$1,MATCH(MIN(D1121:P1121),D1121:P1121,0)))</f>
        <v/>
      </c>
      <c r="V1121" s="8" t="n">
        <v>3982.5</v>
      </c>
      <c r="W1121" s="10" t="n">
        <v>1</v>
      </c>
    </row>
    <row r="1122">
      <c r="A1122" s="7" t="inlineStr">
        <is>
          <t>MAT-20-053</t>
        </is>
      </c>
      <c r="B1122" s="4" t="inlineStr">
        <is>
          <t>Planchuela de acero inoxidable 2" x 1/8" x 20 pies</t>
        </is>
      </c>
      <c r="C1122" s="7" t="inlineStr">
        <is>
          <t>unidad</t>
        </is>
      </c>
      <c r="D1122" s="8" t="n">
        <v>1397.2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>
        <f>IF(COUNT(D1122:P1122)=0,"",MIN(D1122:P1122))</f>
        <v/>
      </c>
      <c r="R1122" s="8">
        <f>IF(COUNT(D1122:P1122)=0,"",MEDIAN(D1122:P1122))</f>
        <v/>
      </c>
      <c r="S1122" s="8">
        <f>IF(COUNT(D1122:P1122)=0,"",MAX(D1122:P1122))</f>
        <v/>
      </c>
      <c r="T1122" s="9">
        <f>IF(OR(Q1122="",Q1122=0),"",(S1122-Q1122)/Q1122)</f>
        <v/>
      </c>
      <c r="U1122" s="7">
        <f>IF(COUNT(D1122:P1122)=0,"",INDEX($D$1:$P$1,MATCH(MIN(D1122:P1122),D1122:P1122,0)))</f>
        <v/>
      </c>
      <c r="V1122" s="8" t="n">
        <v>1397.2</v>
      </c>
      <c r="W1122" s="10" t="n">
        <v>1</v>
      </c>
    </row>
    <row r="1123">
      <c r="A1123" s="7" t="inlineStr">
        <is>
          <t>MAT-20-054</t>
        </is>
      </c>
      <c r="B1123" s="4" t="inlineStr">
        <is>
          <t>Barra cuadrada de acero 7/16" x 20 pies</t>
        </is>
      </c>
      <c r="C1123" s="7" t="inlineStr">
        <is>
          <t>unidad</t>
        </is>
      </c>
      <c r="D1123" s="8" t="n">
        <v>411.76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>
        <f>IF(COUNT(D1123:P1123)=0,"",MIN(D1123:P1123))</f>
        <v/>
      </c>
      <c r="R1123" s="8">
        <f>IF(COUNT(D1123:P1123)=0,"",MEDIAN(D1123:P1123))</f>
        <v/>
      </c>
      <c r="S1123" s="8">
        <f>IF(COUNT(D1123:P1123)=0,"",MAX(D1123:P1123))</f>
        <v/>
      </c>
      <c r="T1123" s="9">
        <f>IF(OR(Q1123="",Q1123=0),"",(S1123-Q1123)/Q1123)</f>
        <v/>
      </c>
      <c r="U1123" s="7">
        <f>IF(COUNT(D1123:P1123)=0,"",INDEX($D$1:$P$1,MATCH(MIN(D1123:P1123),D1123:P1123,0)))</f>
        <v/>
      </c>
      <c r="V1123" s="8" t="n">
        <v>411.76</v>
      </c>
      <c r="W1123" s="10" t="n">
        <v>1</v>
      </c>
    </row>
    <row r="1124">
      <c r="A1124" s="7" t="inlineStr">
        <is>
          <t>MAT-20-055</t>
        </is>
      </c>
      <c r="B1124" s="4" t="inlineStr">
        <is>
          <t>Barra cuadrada de acero 1/2" x 20 pies</t>
        </is>
      </c>
      <c r="C1124" s="7" t="inlineStr">
        <is>
          <t>unidad</t>
        </is>
      </c>
      <c r="D1124" s="8" t="n">
        <v>538.46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>
        <f>IF(COUNT(D1124:P1124)=0,"",MIN(D1124:P1124))</f>
        <v/>
      </c>
      <c r="R1124" s="8">
        <f>IF(COUNT(D1124:P1124)=0,"",MEDIAN(D1124:P1124))</f>
        <v/>
      </c>
      <c r="S1124" s="8">
        <f>IF(COUNT(D1124:P1124)=0,"",MAX(D1124:P1124))</f>
        <v/>
      </c>
      <c r="T1124" s="9">
        <f>IF(OR(Q1124="",Q1124=0),"",(S1124-Q1124)/Q1124)</f>
        <v/>
      </c>
      <c r="U1124" s="7">
        <f>IF(COUNT(D1124:P1124)=0,"",INDEX($D$1:$P$1,MATCH(MIN(D1124:P1124),D1124:P1124,0)))</f>
        <v/>
      </c>
      <c r="V1124" s="8" t="n">
        <v>538.46</v>
      </c>
      <c r="W1124" s="10" t="n">
        <v>1</v>
      </c>
    </row>
    <row r="1125">
      <c r="A1125" s="7" t="inlineStr">
        <is>
          <t>MAT-20-056</t>
        </is>
      </c>
      <c r="B1125" s="4" t="inlineStr">
        <is>
          <t>Barra cuadrada de acero 5/8" x 20 pies</t>
        </is>
      </c>
      <c r="C1125" s="7" t="inlineStr">
        <is>
          <t>unidad</t>
        </is>
      </c>
      <c r="D1125" s="8" t="n">
        <v>843.37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>
        <f>IF(COUNT(D1125:P1125)=0,"",MIN(D1125:P1125))</f>
        <v/>
      </c>
      <c r="R1125" s="8">
        <f>IF(COUNT(D1125:P1125)=0,"",MEDIAN(D1125:P1125))</f>
        <v/>
      </c>
      <c r="S1125" s="8">
        <f>IF(COUNT(D1125:P1125)=0,"",MAX(D1125:P1125))</f>
        <v/>
      </c>
      <c r="T1125" s="9">
        <f>IF(OR(Q1125="",Q1125=0),"",(S1125-Q1125)/Q1125)</f>
        <v/>
      </c>
      <c r="U1125" s="7">
        <f>IF(COUNT(D1125:P1125)=0,"",INDEX($D$1:$P$1,MATCH(MIN(D1125:P1125),D1125:P1125,0)))</f>
        <v/>
      </c>
      <c r="V1125" s="8" t="n">
        <v>843.37</v>
      </c>
      <c r="W1125" s="10" t="n">
        <v>1</v>
      </c>
    </row>
    <row r="1126">
      <c r="A1126" s="7" t="inlineStr">
        <is>
          <t>MAT-20-057</t>
        </is>
      </c>
      <c r="B1126" s="4" t="inlineStr">
        <is>
          <t>Barra redonda de acero 3/8" x 20 pies</t>
        </is>
      </c>
      <c r="C1126" s="7" t="inlineStr">
        <is>
          <t>unidad</t>
        </is>
      </c>
      <c r="D1126" s="8" t="n">
        <v>238.1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>
        <f>IF(COUNT(D1126:P1126)=0,"",MIN(D1126:P1126))</f>
        <v/>
      </c>
      <c r="R1126" s="8">
        <f>IF(COUNT(D1126:P1126)=0,"",MEDIAN(D1126:P1126))</f>
        <v/>
      </c>
      <c r="S1126" s="8">
        <f>IF(COUNT(D1126:P1126)=0,"",MAX(D1126:P1126))</f>
        <v/>
      </c>
      <c r="T1126" s="9">
        <f>IF(OR(Q1126="",Q1126=0),"",(S1126-Q1126)/Q1126)</f>
        <v/>
      </c>
      <c r="U1126" s="7">
        <f>IF(COUNT(D1126:P1126)=0,"",INDEX($D$1:$P$1,MATCH(MIN(D1126:P1126),D1126:P1126,0)))</f>
        <v/>
      </c>
      <c r="V1126" s="8" t="n">
        <v>238.1</v>
      </c>
      <c r="W1126" s="10" t="n">
        <v>1</v>
      </c>
    </row>
    <row r="1127">
      <c r="A1127" s="7" t="inlineStr">
        <is>
          <t>MAT-20-058</t>
        </is>
      </c>
      <c r="B1127" s="4" t="inlineStr">
        <is>
          <t>Barra redonda de acero 1/2" x 20 pies</t>
        </is>
      </c>
      <c r="C1127" s="7" t="inlineStr">
        <is>
          <t>unidad</t>
        </is>
      </c>
      <c r="D1127" s="8" t="n">
        <v>421.68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>
        <f>IF(COUNT(D1127:P1127)=0,"",MIN(D1127:P1127))</f>
        <v/>
      </c>
      <c r="R1127" s="8">
        <f>IF(COUNT(D1127:P1127)=0,"",MEDIAN(D1127:P1127))</f>
        <v/>
      </c>
      <c r="S1127" s="8">
        <f>IF(COUNT(D1127:P1127)=0,"",MAX(D1127:P1127))</f>
        <v/>
      </c>
      <c r="T1127" s="9">
        <f>IF(OR(Q1127="",Q1127=0),"",(S1127-Q1127)/Q1127)</f>
        <v/>
      </c>
      <c r="U1127" s="7">
        <f>IF(COUNT(D1127:P1127)=0,"",INDEX($D$1:$P$1,MATCH(MIN(D1127:P1127),D1127:P1127,0)))</f>
        <v/>
      </c>
      <c r="V1127" s="8" t="n">
        <v>421.68</v>
      </c>
      <c r="W1127" s="10" t="n">
        <v>1</v>
      </c>
    </row>
    <row r="1128">
      <c r="A1128" s="7" t="inlineStr">
        <is>
          <t>MAT-20-059</t>
        </is>
      </c>
      <c r="B1128" s="4" t="inlineStr">
        <is>
          <t>Barra redonda de acero 5/8" x 20 pies</t>
        </is>
      </c>
      <c r="C1128" s="7" t="inlineStr">
        <is>
          <t>unidad</t>
        </is>
      </c>
      <c r="D1128" s="8" t="n">
        <v>660.38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>
        <f>IF(COUNT(D1128:P1128)=0,"",MIN(D1128:P1128))</f>
        <v/>
      </c>
      <c r="R1128" s="8">
        <f>IF(COUNT(D1128:P1128)=0,"",MEDIAN(D1128:P1128))</f>
        <v/>
      </c>
      <c r="S1128" s="8">
        <f>IF(COUNT(D1128:P1128)=0,"",MAX(D1128:P1128))</f>
        <v/>
      </c>
      <c r="T1128" s="9">
        <f>IF(OR(Q1128="",Q1128=0),"",(S1128-Q1128)/Q1128)</f>
        <v/>
      </c>
      <c r="U1128" s="7">
        <f>IF(COUNT(D1128:P1128)=0,"",INDEX($D$1:$P$1,MATCH(MIN(D1128:P1128),D1128:P1128,0)))</f>
        <v/>
      </c>
      <c r="V1128" s="8" t="n">
        <v>660.38</v>
      </c>
      <c r="W1128" s="10" t="n">
        <v>1</v>
      </c>
    </row>
    <row r="1129">
      <c r="A1129" s="7" t="inlineStr">
        <is>
          <t>MAT-20-060</t>
        </is>
      </c>
      <c r="B1129" s="4" t="inlineStr">
        <is>
          <t>Barra redonda de acero 3/4" x 20 pies</t>
        </is>
      </c>
      <c r="C1129" s="7" t="inlineStr">
        <is>
          <t>unidad</t>
        </is>
      </c>
      <c r="D1129" s="8" t="n">
        <v>945.95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>
        <f>IF(COUNT(D1129:P1129)=0,"",MIN(D1129:P1129))</f>
        <v/>
      </c>
      <c r="R1129" s="8">
        <f>IF(COUNT(D1129:P1129)=0,"",MEDIAN(D1129:P1129))</f>
        <v/>
      </c>
      <c r="S1129" s="8">
        <f>IF(COUNT(D1129:P1129)=0,"",MAX(D1129:P1129))</f>
        <v/>
      </c>
      <c r="T1129" s="9">
        <f>IF(OR(Q1129="",Q1129=0),"",(S1129-Q1129)/Q1129)</f>
        <v/>
      </c>
      <c r="U1129" s="7">
        <f>IF(COUNT(D1129:P1129)=0,"",INDEX($D$1:$P$1,MATCH(MIN(D1129:P1129),D1129:P1129,0)))</f>
        <v/>
      </c>
      <c r="V1129" s="8" t="n">
        <v>945.95</v>
      </c>
      <c r="W1129" s="10" t="n">
        <v>1</v>
      </c>
    </row>
    <row r="1130">
      <c r="A1130" s="7" t="inlineStr">
        <is>
          <t>MAT-20-061</t>
        </is>
      </c>
      <c r="B1130" s="4" t="inlineStr">
        <is>
          <t>Barra redonda de acero 1" x 20 pies</t>
        </is>
      </c>
      <c r="C1130" s="7" t="inlineStr">
        <is>
          <t>unidad</t>
        </is>
      </c>
      <c r="D1130" s="8" t="n">
        <v>1666.67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>
        <f>IF(COUNT(D1130:P1130)=0,"",MIN(D1130:P1130))</f>
        <v/>
      </c>
      <c r="R1130" s="8">
        <f>IF(COUNT(D1130:P1130)=0,"",MEDIAN(D1130:P1130))</f>
        <v/>
      </c>
      <c r="S1130" s="8">
        <f>IF(COUNT(D1130:P1130)=0,"",MAX(D1130:P1130))</f>
        <v/>
      </c>
      <c r="T1130" s="9">
        <f>IF(OR(Q1130="",Q1130=0),"",(S1130-Q1130)/Q1130)</f>
        <v/>
      </c>
      <c r="U1130" s="7">
        <f>IF(COUNT(D1130:P1130)=0,"",INDEX($D$1:$P$1,MATCH(MIN(D1130:P1130),D1130:P1130,0)))</f>
        <v/>
      </c>
      <c r="V1130" s="8" t="n">
        <v>1666.67</v>
      </c>
      <c r="W1130" s="10" t="n">
        <v>1</v>
      </c>
    </row>
    <row r="1131">
      <c r="A1131" s="7" t="inlineStr">
        <is>
          <t>MAT-20-062</t>
        </is>
      </c>
      <c r="B1131" s="4" t="inlineStr">
        <is>
          <t>Barra redonda torneada de acero 7/16" x 20 pies</t>
        </is>
      </c>
      <c r="C1131" s="7" t="inlineStr">
        <is>
          <t>unidad</t>
        </is>
      </c>
      <c r="D1131" s="8" t="n">
        <v>426.77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>
        <f>IF(COUNT(D1131:P1131)=0,"",MIN(D1131:P1131))</f>
        <v/>
      </c>
      <c r="R1131" s="8">
        <f>IF(COUNT(D1131:P1131)=0,"",MEDIAN(D1131:P1131))</f>
        <v/>
      </c>
      <c r="S1131" s="8">
        <f>IF(COUNT(D1131:P1131)=0,"",MAX(D1131:P1131))</f>
        <v/>
      </c>
      <c r="T1131" s="9">
        <f>IF(OR(Q1131="",Q1131=0),"",(S1131-Q1131)/Q1131)</f>
        <v/>
      </c>
      <c r="U1131" s="7">
        <f>IF(COUNT(D1131:P1131)=0,"",INDEX($D$1:$P$1,MATCH(MIN(D1131:P1131),D1131:P1131,0)))</f>
        <v/>
      </c>
      <c r="V1131" s="8" t="n">
        <v>426.77</v>
      </c>
      <c r="W1131" s="10" t="n">
        <v>1</v>
      </c>
    </row>
    <row r="1132">
      <c r="A1132" s="7" t="inlineStr">
        <is>
          <t>MAT-20-063</t>
        </is>
      </c>
      <c r="B1132" s="4" t="inlineStr">
        <is>
          <t>Barra redonda torneada de acero 1/2" x 20 pies</t>
        </is>
      </c>
      <c r="C1132" s="7" t="inlineStr">
        <is>
          <t>unidad</t>
        </is>
      </c>
      <c r="D1132" s="8" t="n">
        <v>553.47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>
        <f>IF(COUNT(D1132:P1132)=0,"",MIN(D1132:P1132))</f>
        <v/>
      </c>
      <c r="R1132" s="8">
        <f>IF(COUNT(D1132:P1132)=0,"",MEDIAN(D1132:P1132))</f>
        <v/>
      </c>
      <c r="S1132" s="8">
        <f>IF(COUNT(D1132:P1132)=0,"",MAX(D1132:P1132))</f>
        <v/>
      </c>
      <c r="T1132" s="9">
        <f>IF(OR(Q1132="",Q1132=0),"",(S1132-Q1132)/Q1132)</f>
        <v/>
      </c>
      <c r="U1132" s="7">
        <f>IF(COUNT(D1132:P1132)=0,"",INDEX($D$1:$P$1,MATCH(MIN(D1132:P1132),D1132:P1132,0)))</f>
        <v/>
      </c>
      <c r="V1132" s="8" t="n">
        <v>553.47</v>
      </c>
      <c r="W1132" s="10" t="n">
        <v>1</v>
      </c>
    </row>
    <row r="1133">
      <c r="A1133" s="7" t="inlineStr">
        <is>
          <t>MAT-20-064</t>
        </is>
      </c>
      <c r="B1133" s="4" t="inlineStr">
        <is>
          <t>Barra redonda torneada de acero 5/8" x 20 pies</t>
        </is>
      </c>
      <c r="C1133" s="7" t="inlineStr">
        <is>
          <t>unidad</t>
        </is>
      </c>
      <c r="D1133" s="8" t="n">
        <v>858.38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>
        <f>IF(COUNT(D1133:P1133)=0,"",MIN(D1133:P1133))</f>
        <v/>
      </c>
      <c r="R1133" s="8">
        <f>IF(COUNT(D1133:P1133)=0,"",MEDIAN(D1133:P1133))</f>
        <v/>
      </c>
      <c r="S1133" s="8">
        <f>IF(COUNT(D1133:P1133)=0,"",MAX(D1133:P1133))</f>
        <v/>
      </c>
      <c r="T1133" s="9">
        <f>IF(OR(Q1133="",Q1133=0),"",(S1133-Q1133)/Q1133)</f>
        <v/>
      </c>
      <c r="U1133" s="7">
        <f>IF(COUNT(D1133:P1133)=0,"",INDEX($D$1:$P$1,MATCH(MIN(D1133:P1133),D1133:P1133,0)))</f>
        <v/>
      </c>
      <c r="V1133" s="8" t="n">
        <v>858.38</v>
      </c>
      <c r="W1133" s="10" t="n">
        <v>1</v>
      </c>
    </row>
    <row r="1134">
      <c r="A1134" s="7" t="inlineStr">
        <is>
          <t>MAT-21-001</t>
        </is>
      </c>
      <c r="B1134" s="4" t="inlineStr">
        <is>
          <t>Tola negra 1/32", plancha 4 x 8 pies</t>
        </is>
      </c>
      <c r="C1134" s="7" t="inlineStr">
        <is>
          <t>plancha</t>
        </is>
      </c>
      <c r="D1134" s="8" t="n">
        <v>1113.61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>
        <f>IF(COUNT(D1134:P1134)=0,"",MIN(D1134:P1134))</f>
        <v/>
      </c>
      <c r="R1134" s="8">
        <f>IF(COUNT(D1134:P1134)=0,"",MEDIAN(D1134:P1134))</f>
        <v/>
      </c>
      <c r="S1134" s="8">
        <f>IF(COUNT(D1134:P1134)=0,"",MAX(D1134:P1134))</f>
        <v/>
      </c>
      <c r="T1134" s="9">
        <f>IF(OR(Q1134="",Q1134=0),"",(S1134-Q1134)/Q1134)</f>
        <v/>
      </c>
      <c r="U1134" s="7">
        <f>IF(COUNT(D1134:P1134)=0,"",INDEX($D$1:$P$1,MATCH(MIN(D1134:P1134),D1134:P1134,0)))</f>
        <v/>
      </c>
      <c r="V1134" s="8" t="n">
        <v>1113.61</v>
      </c>
      <c r="W1134" s="10" t="n">
        <v>1</v>
      </c>
    </row>
    <row r="1135">
      <c r="A1135" s="7" t="inlineStr">
        <is>
          <t>MAT-21-002</t>
        </is>
      </c>
      <c r="B1135" s="4" t="inlineStr">
        <is>
          <t>Tola negra 1/22", plancha 4 x 8 pies</t>
        </is>
      </c>
      <c r="C1135" s="7" t="inlineStr">
        <is>
          <t>plancha</t>
        </is>
      </c>
      <c r="D1135" s="8" t="n">
        <v>1497.04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>
        <f>IF(COUNT(D1135:P1135)=0,"",MIN(D1135:P1135))</f>
        <v/>
      </c>
      <c r="R1135" s="8">
        <f>IF(COUNT(D1135:P1135)=0,"",MEDIAN(D1135:P1135))</f>
        <v/>
      </c>
      <c r="S1135" s="8">
        <f>IF(COUNT(D1135:P1135)=0,"",MAX(D1135:P1135))</f>
        <v/>
      </c>
      <c r="T1135" s="9">
        <f>IF(OR(Q1135="",Q1135=0),"",(S1135-Q1135)/Q1135)</f>
        <v/>
      </c>
      <c r="U1135" s="7">
        <f>IF(COUNT(D1135:P1135)=0,"",INDEX($D$1:$P$1,MATCH(MIN(D1135:P1135),D1135:P1135,0)))</f>
        <v/>
      </c>
      <c r="V1135" s="8" t="n">
        <v>1497.04</v>
      </c>
      <c r="W1135" s="10" t="n">
        <v>1</v>
      </c>
    </row>
    <row r="1136">
      <c r="A1136" s="7" t="inlineStr">
        <is>
          <t>MAT-21-003</t>
        </is>
      </c>
      <c r="B1136" s="4" t="inlineStr">
        <is>
          <t>Tola negra 1/16", plancha 4 x 10 pies</t>
        </is>
      </c>
      <c r="C1136" s="7" t="inlineStr">
        <is>
          <t>plancha</t>
        </is>
      </c>
      <c r="D1136" s="8" t="n">
        <v>2938.54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>
        <f>IF(COUNT(D1136:P1136)=0,"",MIN(D1136:P1136))</f>
        <v/>
      </c>
      <c r="R1136" s="8">
        <f>IF(COUNT(D1136:P1136)=0,"",MEDIAN(D1136:P1136))</f>
        <v/>
      </c>
      <c r="S1136" s="8">
        <f>IF(COUNT(D1136:P1136)=0,"",MAX(D1136:P1136))</f>
        <v/>
      </c>
      <c r="T1136" s="9">
        <f>IF(OR(Q1136="",Q1136=0),"",(S1136-Q1136)/Q1136)</f>
        <v/>
      </c>
      <c r="U1136" s="7">
        <f>IF(COUNT(D1136:P1136)=0,"",INDEX($D$1:$P$1,MATCH(MIN(D1136:P1136),D1136:P1136,0)))</f>
        <v/>
      </c>
      <c r="V1136" s="8" t="n">
        <v>2938.54</v>
      </c>
      <c r="W1136" s="10" t="n">
        <v>1</v>
      </c>
    </row>
    <row r="1137">
      <c r="A1137" s="7" t="inlineStr">
        <is>
          <t>MAT-21-004</t>
        </is>
      </c>
      <c r="B1137" s="4" t="inlineStr">
        <is>
          <t>Tola negra 1/16", plancha 4 x 8 pies</t>
        </is>
      </c>
      <c r="C1137" s="7" t="inlineStr">
        <is>
          <t>plancha</t>
        </is>
      </c>
      <c r="D1137" s="8" t="n">
        <v>2224.54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>
        <f>IF(COUNT(D1137:P1137)=0,"",MIN(D1137:P1137))</f>
        <v/>
      </c>
      <c r="R1137" s="8">
        <f>IF(COUNT(D1137:P1137)=0,"",MEDIAN(D1137:P1137))</f>
        <v/>
      </c>
      <c r="S1137" s="8">
        <f>IF(COUNT(D1137:P1137)=0,"",MAX(D1137:P1137))</f>
        <v/>
      </c>
      <c r="T1137" s="9">
        <f>IF(OR(Q1137="",Q1137=0),"",(S1137-Q1137)/Q1137)</f>
        <v/>
      </c>
      <c r="U1137" s="7">
        <f>IF(COUNT(D1137:P1137)=0,"",INDEX($D$1:$P$1,MATCH(MIN(D1137:P1137),D1137:P1137,0)))</f>
        <v/>
      </c>
      <c r="V1137" s="8" t="n">
        <v>2224.54</v>
      </c>
      <c r="W1137" s="10" t="n">
        <v>1</v>
      </c>
    </row>
    <row r="1138">
      <c r="A1138" s="7" t="inlineStr">
        <is>
          <t>MAT-21-005</t>
        </is>
      </c>
      <c r="B1138" s="4" t="inlineStr">
        <is>
          <t>Tola negra 3/32", plancha 4 x 8 pies</t>
        </is>
      </c>
      <c r="C1138" s="7" t="inlineStr">
        <is>
          <t>plancha</t>
        </is>
      </c>
      <c r="D1138" s="8" t="n">
        <v>3132.92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>
        <f>IF(COUNT(D1138:P1138)=0,"",MIN(D1138:P1138))</f>
        <v/>
      </c>
      <c r="R1138" s="8">
        <f>IF(COUNT(D1138:P1138)=0,"",MEDIAN(D1138:P1138))</f>
        <v/>
      </c>
      <c r="S1138" s="8">
        <f>IF(COUNT(D1138:P1138)=0,"",MAX(D1138:P1138))</f>
        <v/>
      </c>
      <c r="T1138" s="9">
        <f>IF(OR(Q1138="",Q1138=0),"",(S1138-Q1138)/Q1138)</f>
        <v/>
      </c>
      <c r="U1138" s="7">
        <f>IF(COUNT(D1138:P1138)=0,"",INDEX($D$1:$P$1,MATCH(MIN(D1138:P1138),D1138:P1138,0)))</f>
        <v/>
      </c>
      <c r="V1138" s="8" t="n">
        <v>3132.92</v>
      </c>
      <c r="W1138" s="10" t="n">
        <v>1</v>
      </c>
    </row>
    <row r="1139">
      <c r="A1139" s="7" t="inlineStr">
        <is>
          <t>MAT-21-006</t>
        </is>
      </c>
      <c r="B1139" s="4" t="inlineStr">
        <is>
          <t>Tola negra 1/8", plancha 4 x 10 pies</t>
        </is>
      </c>
      <c r="C1139" s="7" t="inlineStr">
        <is>
          <t>plancha</t>
        </is>
      </c>
      <c r="D1139" s="8" t="n">
        <v>5622.83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>
        <f>IF(COUNT(D1139:P1139)=0,"",MIN(D1139:P1139))</f>
        <v/>
      </c>
      <c r="R1139" s="8">
        <f>IF(COUNT(D1139:P1139)=0,"",MEDIAN(D1139:P1139))</f>
        <v/>
      </c>
      <c r="S1139" s="8">
        <f>IF(COUNT(D1139:P1139)=0,"",MAX(D1139:P1139))</f>
        <v/>
      </c>
      <c r="T1139" s="9">
        <f>IF(OR(Q1139="",Q1139=0),"",(S1139-Q1139)/Q1139)</f>
        <v/>
      </c>
      <c r="U1139" s="7">
        <f>IF(COUNT(D1139:P1139)=0,"",INDEX($D$1:$P$1,MATCH(MIN(D1139:P1139),D1139:P1139,0)))</f>
        <v/>
      </c>
      <c r="V1139" s="8" t="n">
        <v>5622.83</v>
      </c>
      <c r="W1139" s="10" t="n">
        <v>1</v>
      </c>
    </row>
    <row r="1140">
      <c r="A1140" s="7" t="inlineStr">
        <is>
          <t>MAT-21-007</t>
        </is>
      </c>
      <c r="B1140" s="4" t="inlineStr">
        <is>
          <t>Tola negra 1/8", plancha 4 x 8 pies</t>
        </is>
      </c>
      <c r="C1140" s="7" t="inlineStr">
        <is>
          <t>plancha</t>
        </is>
      </c>
      <c r="D1140" s="8" t="n">
        <v>4104.8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>
        <f>IF(COUNT(D1140:P1140)=0,"",MIN(D1140:P1140))</f>
        <v/>
      </c>
      <c r="R1140" s="8">
        <f>IF(COUNT(D1140:P1140)=0,"",MEDIAN(D1140:P1140))</f>
        <v/>
      </c>
      <c r="S1140" s="8">
        <f>IF(COUNT(D1140:P1140)=0,"",MAX(D1140:P1140))</f>
        <v/>
      </c>
      <c r="T1140" s="9">
        <f>IF(OR(Q1140="",Q1140=0),"",(S1140-Q1140)/Q1140)</f>
        <v/>
      </c>
      <c r="U1140" s="7">
        <f>IF(COUNT(D1140:P1140)=0,"",INDEX($D$1:$P$1,MATCH(MIN(D1140:P1140),D1140:P1140,0)))</f>
        <v/>
      </c>
      <c r="V1140" s="8" t="n">
        <v>4104.8</v>
      </c>
      <c r="W1140" s="10" t="n">
        <v>1</v>
      </c>
    </row>
    <row r="1141">
      <c r="A1141" s="7" t="inlineStr">
        <is>
          <t>MAT-21-008</t>
        </is>
      </c>
      <c r="B1141" s="4" t="inlineStr">
        <is>
          <t>Tola negra 1/8", plancha 5 x 10 pies</t>
        </is>
      </c>
      <c r="C1141" s="7" t="inlineStr">
        <is>
          <t>plancha</t>
        </is>
      </c>
      <c r="D1141" s="8" t="n">
        <v>6428.83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>
        <f>IF(COUNT(D1141:P1141)=0,"",MIN(D1141:P1141))</f>
        <v/>
      </c>
      <c r="R1141" s="8">
        <f>IF(COUNT(D1141:P1141)=0,"",MEDIAN(D1141:P1141))</f>
        <v/>
      </c>
      <c r="S1141" s="8">
        <f>IF(COUNT(D1141:P1141)=0,"",MAX(D1141:P1141))</f>
        <v/>
      </c>
      <c r="T1141" s="9">
        <f>IF(OR(Q1141="",Q1141=0),"",(S1141-Q1141)/Q1141)</f>
        <v/>
      </c>
      <c r="U1141" s="7">
        <f>IF(COUNT(D1141:P1141)=0,"",INDEX($D$1:$P$1,MATCH(MIN(D1141:P1141),D1141:P1141,0)))</f>
        <v/>
      </c>
      <c r="V1141" s="8" t="n">
        <v>6428.83</v>
      </c>
      <c r="W1141" s="10" t="n">
        <v>1</v>
      </c>
    </row>
    <row r="1142">
      <c r="A1142" s="7" t="inlineStr">
        <is>
          <t>MAT-21-009</t>
        </is>
      </c>
      <c r="B1142" s="4" t="inlineStr">
        <is>
          <t>Tola negra 3/16", plancha 4 x 8 pies</t>
        </is>
      </c>
      <c r="C1142" s="7" t="inlineStr">
        <is>
          <t>plancha</t>
        </is>
      </c>
      <c r="D1142" s="8" t="n">
        <v>6678.8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>
        <f>IF(COUNT(D1142:P1142)=0,"",MIN(D1142:P1142))</f>
        <v/>
      </c>
      <c r="R1142" s="8">
        <f>IF(COUNT(D1142:P1142)=0,"",MEDIAN(D1142:P1142))</f>
        <v/>
      </c>
      <c r="S1142" s="8">
        <f>IF(COUNT(D1142:P1142)=0,"",MAX(D1142:P1142))</f>
        <v/>
      </c>
      <c r="T1142" s="9">
        <f>IF(OR(Q1142="",Q1142=0),"",(S1142-Q1142)/Q1142)</f>
        <v/>
      </c>
      <c r="U1142" s="7">
        <f>IF(COUNT(D1142:P1142)=0,"",INDEX($D$1:$P$1,MATCH(MIN(D1142:P1142),D1142:P1142,0)))</f>
        <v/>
      </c>
      <c r="V1142" s="8" t="n">
        <v>6678.8</v>
      </c>
      <c r="W1142" s="10" t="n">
        <v>1</v>
      </c>
    </row>
    <row r="1143">
      <c r="A1143" s="7" t="inlineStr">
        <is>
          <t>MAT-21-010</t>
        </is>
      </c>
      <c r="B1143" s="4" t="inlineStr">
        <is>
          <t>Tola negra 3/16", plancha 5 x 10 pies</t>
        </is>
      </c>
      <c r="C1143" s="7" t="inlineStr">
        <is>
          <t>plancha</t>
        </is>
      </c>
      <c r="D1143" s="8" t="n">
        <v>10410.48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>
        <f>IF(COUNT(D1143:P1143)=0,"",MIN(D1143:P1143))</f>
        <v/>
      </c>
      <c r="R1143" s="8">
        <f>IF(COUNT(D1143:P1143)=0,"",MEDIAN(D1143:P1143))</f>
        <v/>
      </c>
      <c r="S1143" s="8">
        <f>IF(COUNT(D1143:P1143)=0,"",MAX(D1143:P1143))</f>
        <v/>
      </c>
      <c r="T1143" s="9">
        <f>IF(OR(Q1143="",Q1143=0),"",(S1143-Q1143)/Q1143)</f>
        <v/>
      </c>
      <c r="U1143" s="7">
        <f>IF(COUNT(D1143:P1143)=0,"",INDEX($D$1:$P$1,MATCH(MIN(D1143:P1143),D1143:P1143,0)))</f>
        <v/>
      </c>
      <c r="V1143" s="8" t="n">
        <v>10410.48</v>
      </c>
      <c r="W1143" s="10" t="n">
        <v>1</v>
      </c>
    </row>
    <row r="1144">
      <c r="A1144" s="7" t="inlineStr">
        <is>
          <t>MAT-21-011</t>
        </is>
      </c>
      <c r="B1144" s="4" t="inlineStr">
        <is>
          <t>Tola negra 3/16", plancha 6 x 10 pies</t>
        </is>
      </c>
      <c r="C1144" s="7" t="inlineStr">
        <is>
          <t>plancha</t>
        </is>
      </c>
      <c r="D1144" s="8" t="n">
        <v>12392.84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>
        <f>IF(COUNT(D1144:P1144)=0,"",MIN(D1144:P1144))</f>
        <v/>
      </c>
      <c r="R1144" s="8">
        <f>IF(COUNT(D1144:P1144)=0,"",MEDIAN(D1144:P1144))</f>
        <v/>
      </c>
      <c r="S1144" s="8">
        <f>IF(COUNT(D1144:P1144)=0,"",MAX(D1144:P1144))</f>
        <v/>
      </c>
      <c r="T1144" s="9">
        <f>IF(OR(Q1144="",Q1144=0),"",(S1144-Q1144)/Q1144)</f>
        <v/>
      </c>
      <c r="U1144" s="7">
        <f>IF(COUNT(D1144:P1144)=0,"",INDEX($D$1:$P$1,MATCH(MIN(D1144:P1144),D1144:P1144,0)))</f>
        <v/>
      </c>
      <c r="V1144" s="8" t="n">
        <v>12392.84</v>
      </c>
      <c r="W1144" s="10" t="n">
        <v>1</v>
      </c>
    </row>
    <row r="1145">
      <c r="A1145" s="7" t="inlineStr">
        <is>
          <t>MAT-21-012</t>
        </is>
      </c>
      <c r="B1145" s="4" t="inlineStr">
        <is>
          <t>Tola negra 1/4", plancha 4 x 8 pies</t>
        </is>
      </c>
      <c r="C1145" s="7" t="inlineStr">
        <is>
          <t>plancha</t>
        </is>
      </c>
      <c r="D1145" s="8" t="n">
        <v>8276.58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>
        <f>IF(COUNT(D1145:P1145)=0,"",MIN(D1145:P1145))</f>
        <v/>
      </c>
      <c r="R1145" s="8">
        <f>IF(COUNT(D1145:P1145)=0,"",MEDIAN(D1145:P1145))</f>
        <v/>
      </c>
      <c r="S1145" s="8">
        <f>IF(COUNT(D1145:P1145)=0,"",MAX(D1145:P1145))</f>
        <v/>
      </c>
      <c r="T1145" s="9">
        <f>IF(OR(Q1145="",Q1145=0),"",(S1145-Q1145)/Q1145)</f>
        <v/>
      </c>
      <c r="U1145" s="7">
        <f>IF(COUNT(D1145:P1145)=0,"",INDEX($D$1:$P$1,MATCH(MIN(D1145:P1145),D1145:P1145,0)))</f>
        <v/>
      </c>
      <c r="V1145" s="8" t="n">
        <v>8276.58</v>
      </c>
      <c r="W1145" s="10" t="n">
        <v>1</v>
      </c>
    </row>
    <row r="1146">
      <c r="A1146" s="7" t="inlineStr">
        <is>
          <t>MAT-21-013</t>
        </is>
      </c>
      <c r="B1146" s="4" t="inlineStr">
        <is>
          <t>Tola negra 1/4", plancha 6 x 10 pies</t>
        </is>
      </c>
      <c r="C1146" s="7" t="inlineStr">
        <is>
          <t>plancha</t>
        </is>
      </c>
      <c r="D1146" s="8" t="n">
        <v>16280.34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>
        <f>IF(COUNT(D1146:P1146)=0,"",MIN(D1146:P1146))</f>
        <v/>
      </c>
      <c r="R1146" s="8">
        <f>IF(COUNT(D1146:P1146)=0,"",MEDIAN(D1146:P1146))</f>
        <v/>
      </c>
      <c r="S1146" s="8">
        <f>IF(COUNT(D1146:P1146)=0,"",MAX(D1146:P1146))</f>
        <v/>
      </c>
      <c r="T1146" s="9">
        <f>IF(OR(Q1146="",Q1146=0),"",(S1146-Q1146)/Q1146)</f>
        <v/>
      </c>
      <c r="U1146" s="7">
        <f>IF(COUNT(D1146:P1146)=0,"",INDEX($D$1:$P$1,MATCH(MIN(D1146:P1146),D1146:P1146,0)))</f>
        <v/>
      </c>
      <c r="V1146" s="8" t="n">
        <v>16280.34</v>
      </c>
      <c r="W1146" s="10" t="n">
        <v>1</v>
      </c>
    </row>
    <row r="1147">
      <c r="A1147" s="7" t="inlineStr">
        <is>
          <t>MAT-21-014</t>
        </is>
      </c>
      <c r="B1147" s="4" t="inlineStr">
        <is>
          <t>Tola negra 3/8", plancha 4 x 8 pies</t>
        </is>
      </c>
      <c r="C1147" s="7" t="inlineStr">
        <is>
          <t>plancha</t>
        </is>
      </c>
      <c r="D1147" s="8" t="n">
        <v>12665.86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>
        <f>IF(COUNT(D1147:P1147)=0,"",MIN(D1147:P1147))</f>
        <v/>
      </c>
      <c r="R1147" s="8">
        <f>IF(COUNT(D1147:P1147)=0,"",MEDIAN(D1147:P1147))</f>
        <v/>
      </c>
      <c r="S1147" s="8">
        <f>IF(COUNT(D1147:P1147)=0,"",MAX(D1147:P1147))</f>
        <v/>
      </c>
      <c r="T1147" s="9">
        <f>IF(OR(Q1147="",Q1147=0),"",(S1147-Q1147)/Q1147)</f>
        <v/>
      </c>
      <c r="U1147" s="7">
        <f>IF(COUNT(D1147:P1147)=0,"",INDEX($D$1:$P$1,MATCH(MIN(D1147:P1147),D1147:P1147,0)))</f>
        <v/>
      </c>
      <c r="V1147" s="8" t="n">
        <v>12665.86</v>
      </c>
      <c r="W1147" s="10" t="n">
        <v>1</v>
      </c>
    </row>
    <row r="1148">
      <c r="A1148" s="7" t="inlineStr">
        <is>
          <t>MAT-21-015</t>
        </is>
      </c>
      <c r="B1148" s="4" t="inlineStr">
        <is>
          <t>Tola negra 5/8", plancha 4 x 8 pies</t>
        </is>
      </c>
      <c r="C1148" s="7" t="inlineStr">
        <is>
          <t>plancha</t>
        </is>
      </c>
      <c r="D1148" s="8" t="n">
        <v>21001.52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>
        <f>IF(COUNT(D1148:P1148)=0,"",MIN(D1148:P1148))</f>
        <v/>
      </c>
      <c r="R1148" s="8">
        <f>IF(COUNT(D1148:P1148)=0,"",MEDIAN(D1148:P1148))</f>
        <v/>
      </c>
      <c r="S1148" s="8">
        <f>IF(COUNT(D1148:P1148)=0,"",MAX(D1148:P1148))</f>
        <v/>
      </c>
      <c r="T1148" s="9">
        <f>IF(OR(Q1148="",Q1148=0),"",(S1148-Q1148)/Q1148)</f>
        <v/>
      </c>
      <c r="U1148" s="7">
        <f>IF(COUNT(D1148:P1148)=0,"",INDEX($D$1:$P$1,MATCH(MIN(D1148:P1148),D1148:P1148,0)))</f>
        <v/>
      </c>
      <c r="V1148" s="8" t="n">
        <v>21001.52</v>
      </c>
      <c r="W1148" s="10" t="n">
        <v>1</v>
      </c>
    </row>
    <row r="1149">
      <c r="A1149" s="7" t="inlineStr">
        <is>
          <t>MAT-21-016</t>
        </is>
      </c>
      <c r="B1149" s="4" t="inlineStr">
        <is>
          <t>Tola negra 1", plancha 4 x 8 pies</t>
        </is>
      </c>
      <c r="C1149" s="7" t="inlineStr">
        <is>
          <t>plancha</t>
        </is>
      </c>
      <c r="D1149" s="8" t="n">
        <v>37319.49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>
        <f>IF(COUNT(D1149:P1149)=0,"",MIN(D1149:P1149))</f>
        <v/>
      </c>
      <c r="R1149" s="8">
        <f>IF(COUNT(D1149:P1149)=0,"",MEDIAN(D1149:P1149))</f>
        <v/>
      </c>
      <c r="S1149" s="8">
        <f>IF(COUNT(D1149:P1149)=0,"",MAX(D1149:P1149))</f>
        <v/>
      </c>
      <c r="T1149" s="9">
        <f>IF(OR(Q1149="",Q1149=0),"",(S1149-Q1149)/Q1149)</f>
        <v/>
      </c>
      <c r="U1149" s="7">
        <f>IF(COUNT(D1149:P1149)=0,"",INDEX($D$1:$P$1,MATCH(MIN(D1149:P1149),D1149:P1149,0)))</f>
        <v/>
      </c>
      <c r="V1149" s="8" t="n">
        <v>37319.49</v>
      </c>
      <c r="W1149" s="10" t="n">
        <v>1</v>
      </c>
    </row>
    <row r="1150">
      <c r="A1150" s="7" t="inlineStr">
        <is>
          <t>MAT-21-017</t>
        </is>
      </c>
      <c r="B1150" s="4" t="inlineStr">
        <is>
          <t>Tola corrugada 3/32", plancha 4 x 8 pies</t>
        </is>
      </c>
      <c r="C1150" s="7" t="inlineStr">
        <is>
          <t>plancha</t>
        </is>
      </c>
      <c r="D1150" s="8" t="n">
        <v>3253.65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>
        <f>IF(COUNT(D1150:P1150)=0,"",MIN(D1150:P1150))</f>
        <v/>
      </c>
      <c r="R1150" s="8">
        <f>IF(COUNT(D1150:P1150)=0,"",MEDIAN(D1150:P1150))</f>
        <v/>
      </c>
      <c r="S1150" s="8">
        <f>IF(COUNT(D1150:P1150)=0,"",MAX(D1150:P1150))</f>
        <v/>
      </c>
      <c r="T1150" s="9">
        <f>IF(OR(Q1150="",Q1150=0),"",(S1150-Q1150)/Q1150)</f>
        <v/>
      </c>
      <c r="U1150" s="7">
        <f>IF(COUNT(D1150:P1150)=0,"",INDEX($D$1:$P$1,MATCH(MIN(D1150:P1150),D1150:P1150,0)))</f>
        <v/>
      </c>
      <c r="V1150" s="8" t="n">
        <v>3253.65</v>
      </c>
      <c r="W1150" s="10" t="n">
        <v>1</v>
      </c>
    </row>
    <row r="1151">
      <c r="A1151" s="7" t="inlineStr">
        <is>
          <t>MAT-21-018</t>
        </is>
      </c>
      <c r="B1151" s="4" t="inlineStr">
        <is>
          <t>Tola corrugada 1/8", plancha 4 x 8 pies</t>
        </is>
      </c>
      <c r="C1151" s="7" t="inlineStr">
        <is>
          <t>plancha</t>
        </is>
      </c>
      <c r="D1151" s="8" t="n">
        <v>4279.86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>
        <f>IF(COUNT(D1151:P1151)=0,"",MIN(D1151:P1151))</f>
        <v/>
      </c>
      <c r="R1151" s="8">
        <f>IF(COUNT(D1151:P1151)=0,"",MEDIAN(D1151:P1151))</f>
        <v/>
      </c>
      <c r="S1151" s="8">
        <f>IF(COUNT(D1151:P1151)=0,"",MAX(D1151:P1151))</f>
        <v/>
      </c>
      <c r="T1151" s="9">
        <f>IF(OR(Q1151="",Q1151=0),"",(S1151-Q1151)/Q1151)</f>
        <v/>
      </c>
      <c r="U1151" s="7">
        <f>IF(COUNT(D1151:P1151)=0,"",INDEX($D$1:$P$1,MATCH(MIN(D1151:P1151),D1151:P1151,0)))</f>
        <v/>
      </c>
      <c r="V1151" s="8" t="n">
        <v>4279.86</v>
      </c>
      <c r="W1151" s="10" t="n">
        <v>1</v>
      </c>
    </row>
    <row r="1152">
      <c r="A1152" s="7" t="inlineStr">
        <is>
          <t>MAT-21-019</t>
        </is>
      </c>
      <c r="B1152" s="4" t="inlineStr">
        <is>
          <t>Tola corrugada 3/16", plancha 4 x 8 pies</t>
        </is>
      </c>
      <c r="C1152" s="7" t="inlineStr">
        <is>
          <t>plancha</t>
        </is>
      </c>
      <c r="D1152" s="8" t="n">
        <v>6433.47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>
        <f>IF(COUNT(D1152:P1152)=0,"",MIN(D1152:P1152))</f>
        <v/>
      </c>
      <c r="R1152" s="8">
        <f>IF(COUNT(D1152:P1152)=0,"",MEDIAN(D1152:P1152))</f>
        <v/>
      </c>
      <c r="S1152" s="8">
        <f>IF(COUNT(D1152:P1152)=0,"",MAX(D1152:P1152))</f>
        <v/>
      </c>
      <c r="T1152" s="9">
        <f>IF(OR(Q1152="",Q1152=0),"",(S1152-Q1152)/Q1152)</f>
        <v/>
      </c>
      <c r="U1152" s="7">
        <f>IF(COUNT(D1152:P1152)=0,"",INDEX($D$1:$P$1,MATCH(MIN(D1152:P1152),D1152:P1152,0)))</f>
        <v/>
      </c>
      <c r="V1152" s="8" t="n">
        <v>6433.47</v>
      </c>
      <c r="W1152" s="10" t="n">
        <v>1</v>
      </c>
    </row>
    <row r="1153">
      <c r="A1153" s="7" t="inlineStr">
        <is>
          <t>MAT-21-020</t>
        </is>
      </c>
      <c r="B1153" s="4" t="inlineStr">
        <is>
          <t>Tola galvanizada 4 x 8 pies, 25 lb</t>
        </is>
      </c>
      <c r="C1153" s="7" t="inlineStr">
        <is>
          <t>plancha</t>
        </is>
      </c>
      <c r="D1153" s="8" t="n">
        <v>825.17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>
        <f>IF(COUNT(D1153:P1153)=0,"",MIN(D1153:P1153))</f>
        <v/>
      </c>
      <c r="R1153" s="8">
        <f>IF(COUNT(D1153:P1153)=0,"",MEDIAN(D1153:P1153))</f>
        <v/>
      </c>
      <c r="S1153" s="8">
        <f>IF(COUNT(D1153:P1153)=0,"",MAX(D1153:P1153))</f>
        <v/>
      </c>
      <c r="T1153" s="9">
        <f>IF(OR(Q1153="",Q1153=0),"",(S1153-Q1153)/Q1153)</f>
        <v/>
      </c>
      <c r="U1153" s="7">
        <f>IF(COUNT(D1153:P1153)=0,"",INDEX($D$1:$P$1,MATCH(MIN(D1153:P1153),D1153:P1153,0)))</f>
        <v/>
      </c>
      <c r="V1153" s="8" t="n">
        <v>825.17</v>
      </c>
      <c r="W1153" s="10" t="n">
        <v>1</v>
      </c>
    </row>
    <row r="1154">
      <c r="A1154" s="7" t="inlineStr">
        <is>
          <t>MAT-21-021</t>
        </is>
      </c>
      <c r="B1154" s="4" t="inlineStr">
        <is>
          <t>Tola galvanizada 4 x 8 pies, 32 lb</t>
        </is>
      </c>
      <c r="C1154" s="7" t="inlineStr">
        <is>
          <t>plancha</t>
        </is>
      </c>
      <c r="D1154" s="8" t="n">
        <v>952.1900000000001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>
        <f>IF(COUNT(D1154:P1154)=0,"",MIN(D1154:P1154))</f>
        <v/>
      </c>
      <c r="R1154" s="8">
        <f>IF(COUNT(D1154:P1154)=0,"",MEDIAN(D1154:P1154))</f>
        <v/>
      </c>
      <c r="S1154" s="8">
        <f>IF(COUNT(D1154:P1154)=0,"",MAX(D1154:P1154))</f>
        <v/>
      </c>
      <c r="T1154" s="9">
        <f>IF(OR(Q1154="",Q1154=0),"",(S1154-Q1154)/Q1154)</f>
        <v/>
      </c>
      <c r="U1154" s="7">
        <f>IF(COUNT(D1154:P1154)=0,"",INDEX($D$1:$P$1,MATCH(MIN(D1154:P1154),D1154:P1154,0)))</f>
        <v/>
      </c>
      <c r="V1154" s="8" t="n">
        <v>952.1900000000001</v>
      </c>
      <c r="W1154" s="10" t="n">
        <v>1</v>
      </c>
    </row>
    <row r="1155">
      <c r="A1155" s="7" t="inlineStr">
        <is>
          <t>MAT-21-022</t>
        </is>
      </c>
      <c r="B1155" s="4" t="inlineStr">
        <is>
          <t>Tola galvanizada 4 x 8 pies, 44 lb</t>
        </is>
      </c>
      <c r="C1155" s="7" t="inlineStr">
        <is>
          <t>plancha</t>
        </is>
      </c>
      <c r="D1155" s="8" t="n">
        <v>1169.6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>
        <f>IF(COUNT(D1155:P1155)=0,"",MIN(D1155:P1155))</f>
        <v/>
      </c>
      <c r="R1155" s="8">
        <f>IF(COUNT(D1155:P1155)=0,"",MEDIAN(D1155:P1155))</f>
        <v/>
      </c>
      <c r="S1155" s="8">
        <f>IF(COUNT(D1155:P1155)=0,"",MAX(D1155:P1155))</f>
        <v/>
      </c>
      <c r="T1155" s="9">
        <f>IF(OR(Q1155="",Q1155=0),"",(S1155-Q1155)/Q1155)</f>
        <v/>
      </c>
      <c r="U1155" s="7">
        <f>IF(COUNT(D1155:P1155)=0,"",INDEX($D$1:$P$1,MATCH(MIN(D1155:P1155),D1155:P1155,0)))</f>
        <v/>
      </c>
      <c r="V1155" s="8" t="n">
        <v>1169.6</v>
      </c>
      <c r="W1155" s="10" t="n">
        <v>1</v>
      </c>
    </row>
    <row r="1156">
      <c r="A1156" s="7" t="inlineStr">
        <is>
          <t>MAT-21-023</t>
        </is>
      </c>
      <c r="B1156" s="4" t="inlineStr">
        <is>
          <t>Tola galvanizada 4 x 8 pies, 52 lb</t>
        </is>
      </c>
      <c r="C1156" s="7" t="inlineStr">
        <is>
          <t>plancha</t>
        </is>
      </c>
      <c r="D1156" s="8" t="n">
        <v>1551.37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>
        <f>IF(COUNT(D1156:P1156)=0,"",MIN(D1156:P1156))</f>
        <v/>
      </c>
      <c r="R1156" s="8">
        <f>IF(COUNT(D1156:P1156)=0,"",MEDIAN(D1156:P1156))</f>
        <v/>
      </c>
      <c r="S1156" s="8">
        <f>IF(COUNT(D1156:P1156)=0,"",MAX(D1156:P1156))</f>
        <v/>
      </c>
      <c r="T1156" s="9">
        <f>IF(OR(Q1156="",Q1156=0),"",(S1156-Q1156)/Q1156)</f>
        <v/>
      </c>
      <c r="U1156" s="7">
        <f>IF(COUNT(D1156:P1156)=0,"",INDEX($D$1:$P$1,MATCH(MIN(D1156:P1156),D1156:P1156,0)))</f>
        <v/>
      </c>
      <c r="V1156" s="8" t="n">
        <v>1551.37</v>
      </c>
      <c r="W1156" s="10" t="n">
        <v>1</v>
      </c>
    </row>
    <row r="1157">
      <c r="A1157" s="7" t="inlineStr">
        <is>
          <t>MAT-21-024</t>
        </is>
      </c>
      <c r="B1157" s="4" t="inlineStr">
        <is>
          <t>Tola galvanizada 4 x 8 pies, 83.75 lb</t>
        </is>
      </c>
      <c r="C1157" s="7" t="inlineStr">
        <is>
          <t>plancha</t>
        </is>
      </c>
      <c r="D1157" s="8" t="n">
        <v>2364.86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>
        <f>IF(COUNT(D1157:P1157)=0,"",MIN(D1157:P1157))</f>
        <v/>
      </c>
      <c r="R1157" s="8">
        <f>IF(COUNT(D1157:P1157)=0,"",MEDIAN(D1157:P1157))</f>
        <v/>
      </c>
      <c r="S1157" s="8">
        <f>IF(COUNT(D1157:P1157)=0,"",MAX(D1157:P1157))</f>
        <v/>
      </c>
      <c r="T1157" s="9">
        <f>IF(OR(Q1157="",Q1157=0),"",(S1157-Q1157)/Q1157)</f>
        <v/>
      </c>
      <c r="U1157" s="7">
        <f>IF(COUNT(D1157:P1157)=0,"",INDEX($D$1:$P$1,MATCH(MIN(D1157:P1157),D1157:P1157,0)))</f>
        <v/>
      </c>
      <c r="V1157" s="8" t="n">
        <v>2364.86</v>
      </c>
      <c r="W1157" s="10" t="n">
        <v>1</v>
      </c>
    </row>
    <row r="1158">
      <c r="A1158" s="7" t="inlineStr">
        <is>
          <t>MAT-21-025</t>
        </is>
      </c>
      <c r="B1158" s="4" t="inlineStr">
        <is>
          <t>Metal desplegable plano 3/8", plancha 4 x 8 pies</t>
        </is>
      </c>
      <c r="C1158" s="7" t="inlineStr">
        <is>
          <t>plancha</t>
        </is>
      </c>
      <c r="D1158" s="8" t="n">
        <v>2209.05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>
        <f>IF(COUNT(D1158:P1158)=0,"",MIN(D1158:P1158))</f>
        <v/>
      </c>
      <c r="R1158" s="8">
        <f>IF(COUNT(D1158:P1158)=0,"",MEDIAN(D1158:P1158))</f>
        <v/>
      </c>
      <c r="S1158" s="8">
        <f>IF(COUNT(D1158:P1158)=0,"",MAX(D1158:P1158))</f>
        <v/>
      </c>
      <c r="T1158" s="9">
        <f>IF(OR(Q1158="",Q1158=0),"",(S1158-Q1158)/Q1158)</f>
        <v/>
      </c>
      <c r="U1158" s="7">
        <f>IF(COUNT(D1158:P1158)=0,"",INDEX($D$1:$P$1,MATCH(MIN(D1158:P1158),D1158:P1158,0)))</f>
        <v/>
      </c>
      <c r="V1158" s="8" t="n">
        <v>2209.05</v>
      </c>
      <c r="W1158" s="10" t="n">
        <v>1</v>
      </c>
    </row>
    <row r="1159">
      <c r="A1159" s="7" t="inlineStr">
        <is>
          <t>MAT-21-026</t>
        </is>
      </c>
      <c r="B1159" s="4" t="inlineStr">
        <is>
          <t>Metal desplegable plano 1/2", plancha 4 x 8 pies</t>
        </is>
      </c>
      <c r="C1159" s="7" t="inlineStr">
        <is>
          <t>plancha</t>
        </is>
      </c>
      <c r="D1159" s="8" t="n">
        <v>765.55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>
        <f>IF(COUNT(D1159:P1159)=0,"",MIN(D1159:P1159))</f>
        <v/>
      </c>
      <c r="R1159" s="8">
        <f>IF(COUNT(D1159:P1159)=0,"",MEDIAN(D1159:P1159))</f>
        <v/>
      </c>
      <c r="S1159" s="8">
        <f>IF(COUNT(D1159:P1159)=0,"",MAX(D1159:P1159))</f>
        <v/>
      </c>
      <c r="T1159" s="9">
        <f>IF(OR(Q1159="",Q1159=0),"",(S1159-Q1159)/Q1159)</f>
        <v/>
      </c>
      <c r="U1159" s="7">
        <f>IF(COUNT(D1159:P1159)=0,"",INDEX($D$1:$P$1,MATCH(MIN(D1159:P1159),D1159:P1159,0)))</f>
        <v/>
      </c>
      <c r="V1159" s="8" t="n">
        <v>765.55</v>
      </c>
      <c r="W1159" s="10" t="n">
        <v>1</v>
      </c>
    </row>
    <row r="1160">
      <c r="A1160" s="7" t="inlineStr">
        <is>
          <t>MAT-21-027</t>
        </is>
      </c>
      <c r="B1160" s="4" t="inlineStr">
        <is>
          <t>Metal desplegable plano 3/4", plancha 4 x 8 pies</t>
        </is>
      </c>
      <c r="C1160" s="7" t="inlineStr">
        <is>
          <t>plancha</t>
        </is>
      </c>
      <c r="D1160" s="8" t="n">
        <v>850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>
        <f>IF(COUNT(D1160:P1160)=0,"",MIN(D1160:P1160))</f>
        <v/>
      </c>
      <c r="R1160" s="8">
        <f>IF(COUNT(D1160:P1160)=0,"",MEDIAN(D1160:P1160))</f>
        <v/>
      </c>
      <c r="S1160" s="8">
        <f>IF(COUNT(D1160:P1160)=0,"",MAX(D1160:P1160))</f>
        <v/>
      </c>
      <c r="T1160" s="9">
        <f>IF(OR(Q1160="",Q1160=0),"",(S1160-Q1160)/Q1160)</f>
        <v/>
      </c>
      <c r="U1160" s="7">
        <f>IF(COUNT(D1160:P1160)=0,"",INDEX($D$1:$P$1,MATCH(MIN(D1160:P1160),D1160:P1160,0)))</f>
        <v/>
      </c>
      <c r="V1160" s="8" t="n">
        <v>850</v>
      </c>
      <c r="W1160" s="10" t="n">
        <v>1</v>
      </c>
    </row>
    <row r="1161">
      <c r="A1161" s="7" t="inlineStr">
        <is>
          <t>MAT-21-028</t>
        </is>
      </c>
      <c r="B1161" s="4" t="inlineStr">
        <is>
          <t>Metal desplegable plano 1", plancha 4 x 8 pies</t>
        </is>
      </c>
      <c r="C1161" s="7" t="inlineStr">
        <is>
          <t>plancha</t>
        </is>
      </c>
      <c r="D1161" s="8" t="n">
        <v>1080.47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>
        <f>IF(COUNT(D1161:P1161)=0,"",MIN(D1161:P1161))</f>
        <v/>
      </c>
      <c r="R1161" s="8">
        <f>IF(COUNT(D1161:P1161)=0,"",MEDIAN(D1161:P1161))</f>
        <v/>
      </c>
      <c r="S1161" s="8">
        <f>IF(COUNT(D1161:P1161)=0,"",MAX(D1161:P1161))</f>
        <v/>
      </c>
      <c r="T1161" s="9">
        <f>IF(OR(Q1161="",Q1161=0),"",(S1161-Q1161)/Q1161)</f>
        <v/>
      </c>
      <c r="U1161" s="7">
        <f>IF(COUNT(D1161:P1161)=0,"",INDEX($D$1:$P$1,MATCH(MIN(D1161:P1161),D1161:P1161,0)))</f>
        <v/>
      </c>
      <c r="V1161" s="8" t="n">
        <v>1080.47</v>
      </c>
      <c r="W1161" s="10" t="n">
        <v>1</v>
      </c>
    </row>
    <row r="1162">
      <c r="A1162" s="7" t="inlineStr">
        <is>
          <t>MAT-21-029</t>
        </is>
      </c>
      <c r="B1162" s="4" t="inlineStr">
        <is>
          <t>Metal desplegable plano 1 1/2", plancha 4 x 8 pies</t>
        </is>
      </c>
      <c r="C1162" s="7" t="inlineStr">
        <is>
          <t>plancha</t>
        </is>
      </c>
      <c r="D1162" s="8" t="n">
        <v>939.35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>
        <f>IF(COUNT(D1162:P1162)=0,"",MIN(D1162:P1162))</f>
        <v/>
      </c>
      <c r="R1162" s="8">
        <f>IF(COUNT(D1162:P1162)=0,"",MEDIAN(D1162:P1162))</f>
        <v/>
      </c>
      <c r="S1162" s="8">
        <f>IF(COUNT(D1162:P1162)=0,"",MAX(D1162:P1162))</f>
        <v/>
      </c>
      <c r="T1162" s="9">
        <f>IF(OR(Q1162="",Q1162=0),"",(S1162-Q1162)/Q1162)</f>
        <v/>
      </c>
      <c r="U1162" s="7">
        <f>IF(COUNT(D1162:P1162)=0,"",INDEX($D$1:$P$1,MATCH(MIN(D1162:P1162),D1162:P1162,0)))</f>
        <v/>
      </c>
      <c r="V1162" s="8" t="n">
        <v>939.35</v>
      </c>
      <c r="W1162" s="10" t="n">
        <v>1</v>
      </c>
    </row>
    <row r="1163">
      <c r="A1163" s="7" t="inlineStr">
        <is>
          <t>MAT-22-001</t>
        </is>
      </c>
      <c r="B1163" s="4" t="inlineStr">
        <is>
          <t>Malla ciclónica calibre 9, 3 pies de alto, rollo de 50 pies</t>
        </is>
      </c>
      <c r="C1163" s="7" t="inlineStr">
        <is>
          <t>rollo</t>
        </is>
      </c>
      <c r="D1163" s="8" t="n">
        <v>5223.1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>
        <f>IF(COUNT(D1163:P1163)=0,"",MIN(D1163:P1163))</f>
        <v/>
      </c>
      <c r="R1163" s="8">
        <f>IF(COUNT(D1163:P1163)=0,"",MEDIAN(D1163:P1163))</f>
        <v/>
      </c>
      <c r="S1163" s="8">
        <f>IF(COUNT(D1163:P1163)=0,"",MAX(D1163:P1163))</f>
        <v/>
      </c>
      <c r="T1163" s="9">
        <f>IF(OR(Q1163="",Q1163=0),"",(S1163-Q1163)/Q1163)</f>
        <v/>
      </c>
      <c r="U1163" s="7">
        <f>IF(COUNT(D1163:P1163)=0,"",INDEX($D$1:$P$1,MATCH(MIN(D1163:P1163),D1163:P1163,0)))</f>
        <v/>
      </c>
      <c r="V1163" s="8" t="n">
        <v>5223.1</v>
      </c>
      <c r="W1163" s="10" t="n">
        <v>1</v>
      </c>
    </row>
    <row r="1164">
      <c r="A1164" s="7" t="inlineStr">
        <is>
          <t>MAT-22-002</t>
        </is>
      </c>
      <c r="B1164" s="4" t="inlineStr">
        <is>
          <t>Malla ciclónica calibre 9, 4 pies de alto, rollo de 50 pies</t>
        </is>
      </c>
      <c r="C1164" s="7" t="inlineStr">
        <is>
          <t>rollo</t>
        </is>
      </c>
      <c r="D1164" s="8" t="n">
        <v>6121.98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>
        <v>6236</v>
      </c>
      <c r="N1164" s="8" t="n"/>
      <c r="O1164" s="8" t="n"/>
      <c r="P1164" s="8" t="n"/>
      <c r="Q1164" s="8">
        <f>IF(COUNT(D1164:P1164)=0,"",MIN(D1164:P1164))</f>
        <v/>
      </c>
      <c r="R1164" s="8">
        <f>IF(COUNT(D1164:P1164)=0,"",MEDIAN(D1164:P1164))</f>
        <v/>
      </c>
      <c r="S1164" s="8">
        <f>IF(COUNT(D1164:P1164)=0,"",MAX(D1164:P1164))</f>
        <v/>
      </c>
      <c r="T1164" s="9">
        <f>IF(OR(Q1164="",Q1164=0),"",(S1164-Q1164)/Q1164)</f>
        <v/>
      </c>
      <c r="U1164" s="7">
        <f>IF(COUNT(D1164:P1164)=0,"",INDEX($D$1:$P$1,MATCH(MIN(D1164:P1164),D1164:P1164,0)))</f>
        <v/>
      </c>
      <c r="V1164" s="8" t="n">
        <v>6740.23</v>
      </c>
      <c r="W1164" s="10" t="n">
        <v>2</v>
      </c>
    </row>
    <row r="1165">
      <c r="A1165" s="7" t="inlineStr">
        <is>
          <t>MAT-22-003</t>
        </is>
      </c>
      <c r="B1165" s="4" t="inlineStr">
        <is>
          <t>Malla ciclónica calibre 9, 6 pies de alto, rollo de 50 pies</t>
        </is>
      </c>
      <c r="C1165" s="7" t="inlineStr">
        <is>
          <t>rollo</t>
        </is>
      </c>
      <c r="D1165" s="8" t="n">
        <v>9867.16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>
        <v>9957</v>
      </c>
      <c r="N1165" s="8" t="n"/>
      <c r="O1165" s="8" t="n"/>
      <c r="P1165" s="8" t="n"/>
      <c r="Q1165" s="8">
        <f>IF(COUNT(D1165:P1165)=0,"",MIN(D1165:P1165))</f>
        <v/>
      </c>
      <c r="R1165" s="8">
        <f>IF(COUNT(D1165:P1165)=0,"",MEDIAN(D1165:P1165))</f>
        <v/>
      </c>
      <c r="S1165" s="8">
        <f>IF(COUNT(D1165:P1165)=0,"",MAX(D1165:P1165))</f>
        <v/>
      </c>
      <c r="T1165" s="9">
        <f>IF(OR(Q1165="",Q1165=0),"",(S1165-Q1165)/Q1165)</f>
        <v/>
      </c>
      <c r="U1165" s="7">
        <f>IF(COUNT(D1165:P1165)=0,"",INDEX($D$1:$P$1,MATCH(MIN(D1165:P1165),D1165:P1165,0)))</f>
        <v/>
      </c>
      <c r="V1165" s="8" t="n">
        <v>10808.21</v>
      </c>
      <c r="W1165" s="10" t="n">
        <v>2</v>
      </c>
    </row>
    <row r="1166">
      <c r="A1166" s="7" t="inlineStr">
        <is>
          <t>MAT-22-004</t>
        </is>
      </c>
      <c r="B1166" s="4" t="inlineStr">
        <is>
          <t>Malla ciclónica calibre 9 revestida en PVC, 6 pies de alto, rollo de 50 pies</t>
        </is>
      </c>
      <c r="C1166" s="7" t="inlineStr">
        <is>
          <t>rollo</t>
        </is>
      </c>
      <c r="D1166" s="8" t="n">
        <v>11757.65</v>
      </c>
      <c r="E1166" s="8" t="n"/>
      <c r="F1166" s="8" t="n"/>
      <c r="G1166" s="8" t="n"/>
      <c r="H1166" s="8" t="n"/>
      <c r="I1166" s="8" t="n"/>
      <c r="J1166" s="8" t="n"/>
      <c r="K1166" s="8" t="n">
        <v>14690</v>
      </c>
      <c r="L1166" s="8" t="n"/>
      <c r="M1166" s="8" t="n"/>
      <c r="N1166" s="8" t="n"/>
      <c r="O1166" s="8" t="n"/>
      <c r="P1166" s="8" t="n"/>
      <c r="Q1166" s="8">
        <f>IF(COUNT(D1166:P1166)=0,"",MIN(D1166:P1166))</f>
        <v/>
      </c>
      <c r="R1166" s="8">
        <f>IF(COUNT(D1166:P1166)=0,"",MEDIAN(D1166:P1166))</f>
        <v/>
      </c>
      <c r="S1166" s="8">
        <f>IF(COUNT(D1166:P1166)=0,"",MAX(D1166:P1166))</f>
        <v/>
      </c>
      <c r="T1166" s="9">
        <f>IF(OR(Q1166="",Q1166=0),"",(S1166-Q1166)/Q1166)</f>
        <v/>
      </c>
      <c r="U1166" s="7">
        <f>IF(COUNT(D1166:P1166)=0,"",INDEX($D$1:$P$1,MATCH(MIN(D1166:P1166),D1166:P1166,0)))</f>
        <v/>
      </c>
      <c r="V1166" s="8" t="n">
        <v>13223.83</v>
      </c>
      <c r="W1166" s="10" t="n">
        <v>2</v>
      </c>
    </row>
    <row r="1167">
      <c r="A1167" s="7" t="inlineStr">
        <is>
          <t>MAT-22-005</t>
        </is>
      </c>
      <c r="B1167" s="4" t="inlineStr">
        <is>
          <t>Malla ciclónica calibre 9, 8 pies de alto, rollo de 50 pies</t>
        </is>
      </c>
      <c r="C1167" s="7" t="inlineStr">
        <is>
          <t>rollo</t>
        </is>
      </c>
      <c r="D1167" s="8" t="n">
        <v>13273.54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>
        <v>13272</v>
      </c>
      <c r="N1167" s="8" t="n"/>
      <c r="O1167" s="8" t="n"/>
      <c r="P1167" s="8" t="n"/>
      <c r="Q1167" s="8">
        <f>IF(COUNT(D1167:P1167)=0,"",MIN(D1167:P1167))</f>
        <v/>
      </c>
      <c r="R1167" s="8">
        <f>IF(COUNT(D1167:P1167)=0,"",MEDIAN(D1167:P1167))</f>
        <v/>
      </c>
      <c r="S1167" s="8">
        <f>IF(COUNT(D1167:P1167)=0,"",MAX(D1167:P1167))</f>
        <v/>
      </c>
      <c r="T1167" s="9">
        <f>IF(OR(Q1167="",Q1167=0),"",(S1167-Q1167)/Q1167)</f>
        <v/>
      </c>
      <c r="U1167" s="7">
        <f>IF(COUNT(D1167:P1167)=0,"",INDEX($D$1:$P$1,MATCH(MIN(D1167:P1167),D1167:P1167,0)))</f>
        <v/>
      </c>
      <c r="V1167" s="8" t="n">
        <v>14467.25</v>
      </c>
      <c r="W1167" s="10" t="n">
        <v>2</v>
      </c>
    </row>
    <row r="1168">
      <c r="A1168" s="7" t="inlineStr">
        <is>
          <t>MAT-22-006</t>
        </is>
      </c>
      <c r="B1168" s="4" t="inlineStr">
        <is>
          <t>Tubo galvanizado para malla ciclónica 1 1/4" x 20 pies</t>
        </is>
      </c>
      <c r="C1168" s="7" t="inlineStr">
        <is>
          <t>unidad</t>
        </is>
      </c>
      <c r="D1168" s="8" t="n">
        <v>527.0599999999999</v>
      </c>
      <c r="E1168" s="8" t="n"/>
      <c r="F1168" s="8" t="n"/>
      <c r="G1168" s="8" t="n"/>
      <c r="H1168" s="8" t="n"/>
      <c r="I1168" s="8" t="n"/>
      <c r="J1168" s="8" t="n"/>
      <c r="K1168" s="8" t="n">
        <v>730</v>
      </c>
      <c r="L1168" s="8" t="n"/>
      <c r="M1168" s="8" t="n">
        <v>603</v>
      </c>
      <c r="N1168" s="8" t="n"/>
      <c r="O1168" s="8" t="n"/>
      <c r="P1168" s="8" t="n"/>
      <c r="Q1168" s="8">
        <f>IF(COUNT(D1168:P1168)=0,"",MIN(D1168:P1168))</f>
        <v/>
      </c>
      <c r="R1168" s="8">
        <f>IF(COUNT(D1168:P1168)=0,"",MEDIAN(D1168:P1168))</f>
        <v/>
      </c>
      <c r="S1168" s="8">
        <f>IF(COUNT(D1168:P1168)=0,"",MAX(D1168:P1168))</f>
        <v/>
      </c>
      <c r="T1168" s="9">
        <f>IF(OR(Q1168="",Q1168=0),"",(S1168-Q1168)/Q1168)</f>
        <v/>
      </c>
      <c r="U1168" s="7">
        <f>IF(COUNT(D1168:P1168)=0,"",INDEX($D$1:$P$1,MATCH(MIN(D1168:P1168),D1168:P1168,0)))</f>
        <v/>
      </c>
      <c r="V1168" s="8" t="n">
        <v>711.54</v>
      </c>
      <c r="W1168" s="10" t="n">
        <v>3</v>
      </c>
    </row>
    <row r="1169">
      <c r="A1169" s="7" t="inlineStr">
        <is>
          <t>MAT-22-007</t>
        </is>
      </c>
      <c r="B1169" s="4" t="inlineStr">
        <is>
          <t>Tubo galvanizado para malla ciclónica 1 1/2" x 15 pies</t>
        </is>
      </c>
      <c r="C1169" s="7" t="inlineStr">
        <is>
          <t>unidad</t>
        </is>
      </c>
      <c r="D1169" s="8" t="n">
        <v>462.61</v>
      </c>
      <c r="E1169" s="8" t="n"/>
      <c r="F1169" s="8" t="n"/>
      <c r="G1169" s="8" t="n"/>
      <c r="H1169" s="8" t="n"/>
      <c r="I1169" s="8" t="n"/>
      <c r="J1169" s="8" t="n"/>
      <c r="K1169" s="8" t="n">
        <v>625</v>
      </c>
      <c r="L1169" s="8" t="n"/>
      <c r="M1169" s="8" t="n">
        <v>460</v>
      </c>
      <c r="N1169" s="8" t="n"/>
      <c r="O1169" s="8" t="n"/>
      <c r="P1169" s="8" t="n"/>
      <c r="Q1169" s="8">
        <f>IF(COUNT(D1169:P1169)=0,"",MIN(D1169:P1169))</f>
        <v/>
      </c>
      <c r="R1169" s="8">
        <f>IF(COUNT(D1169:P1169)=0,"",MEDIAN(D1169:P1169))</f>
        <v/>
      </c>
      <c r="S1169" s="8">
        <f>IF(COUNT(D1169:P1169)=0,"",MAX(D1169:P1169))</f>
        <v/>
      </c>
      <c r="T1169" s="9">
        <f>IF(OR(Q1169="",Q1169=0),"",(S1169-Q1169)/Q1169)</f>
        <v/>
      </c>
      <c r="U1169" s="7">
        <f>IF(COUNT(D1169:P1169)=0,"",INDEX($D$1:$P$1,MATCH(MIN(D1169:P1169),D1169:P1169,0)))</f>
        <v/>
      </c>
      <c r="V1169" s="8" t="n">
        <v>542.8</v>
      </c>
      <c r="W1169" s="10" t="n">
        <v>3</v>
      </c>
    </row>
    <row r="1170">
      <c r="A1170" s="7" t="inlineStr">
        <is>
          <t>MAT-22-008</t>
        </is>
      </c>
      <c r="B1170" s="4" t="inlineStr">
        <is>
          <t>Tubo galvanizado para malla ciclónica 2" x 20 pies</t>
        </is>
      </c>
      <c r="C1170" s="7" t="inlineStr">
        <is>
          <t>unidad</t>
        </is>
      </c>
      <c r="D1170" s="8" t="n">
        <v>699.92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>
        <v>700</v>
      </c>
      <c r="N1170" s="8" t="n"/>
      <c r="O1170" s="8" t="n"/>
      <c r="P1170" s="8" t="n"/>
      <c r="Q1170" s="8">
        <f>IF(COUNT(D1170:P1170)=0,"",MIN(D1170:P1170))</f>
        <v/>
      </c>
      <c r="R1170" s="8">
        <f>IF(COUNT(D1170:P1170)=0,"",MEDIAN(D1170:P1170))</f>
        <v/>
      </c>
      <c r="S1170" s="8">
        <f>IF(COUNT(D1170:P1170)=0,"",MAX(D1170:P1170))</f>
        <v/>
      </c>
      <c r="T1170" s="9">
        <f>IF(OR(Q1170="",Q1170=0),"",(S1170-Q1170)/Q1170)</f>
        <v/>
      </c>
      <c r="U1170" s="7">
        <f>IF(COUNT(D1170:P1170)=0,"",INDEX($D$1:$P$1,MATCH(MIN(D1170:P1170),D1170:P1170,0)))</f>
        <v/>
      </c>
      <c r="V1170" s="8" t="n">
        <v>762.96</v>
      </c>
      <c r="W1170" s="10" t="n">
        <v>2</v>
      </c>
    </row>
    <row r="1171">
      <c r="A1171" s="7" t="inlineStr">
        <is>
          <t>MAT-22-009</t>
        </is>
      </c>
      <c r="B1171" s="4" t="inlineStr">
        <is>
          <t>Malla ciclónica calibre 11, 3 pies de alto, rollo de 50 pies</t>
        </is>
      </c>
      <c r="C1171" s="7" t="inlineStr">
        <is>
          <t>rollo</t>
        </is>
      </c>
      <c r="D1171" s="8" t="n">
        <v>4335.91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/>
      <c r="P1171" s="8" t="n"/>
      <c r="Q1171" s="8">
        <f>IF(COUNT(D1171:P1171)=0,"",MIN(D1171:P1171))</f>
        <v/>
      </c>
      <c r="R1171" s="8">
        <f>IF(COUNT(D1171:P1171)=0,"",MEDIAN(D1171:P1171))</f>
        <v/>
      </c>
      <c r="S1171" s="8">
        <f>IF(COUNT(D1171:P1171)=0,"",MAX(D1171:P1171))</f>
        <v/>
      </c>
      <c r="T1171" s="9">
        <f>IF(OR(Q1171="",Q1171=0),"",(S1171-Q1171)/Q1171)</f>
        <v/>
      </c>
      <c r="U1171" s="7">
        <f>IF(COUNT(D1171:P1171)=0,"",INDEX($D$1:$P$1,MATCH(MIN(D1171:P1171),D1171:P1171,0)))</f>
        <v/>
      </c>
      <c r="V1171" s="8" t="n">
        <v>4335.91</v>
      </c>
      <c r="W1171" s="10" t="n">
        <v>1</v>
      </c>
    </row>
    <row r="1172">
      <c r="A1172" s="7" t="inlineStr">
        <is>
          <t>MAT-22-010</t>
        </is>
      </c>
      <c r="B1172" s="4" t="inlineStr">
        <is>
          <t>Malla ciclónica calibre 11, 6 pies de alto, rollo de 50 pies</t>
        </is>
      </c>
      <c r="C1172" s="7" t="inlineStr">
        <is>
          <t>rollo</t>
        </is>
      </c>
      <c r="D1172" s="8" t="n">
        <v>8694.459999999999</v>
      </c>
      <c r="E1172" s="8" t="n"/>
      <c r="F1172" s="8" t="n"/>
      <c r="G1172" s="8" t="n"/>
      <c r="H1172" s="8" t="n"/>
      <c r="I1172" s="8" t="n"/>
      <c r="J1172" s="8" t="n"/>
      <c r="K1172" s="8" t="n">
        <v>10250</v>
      </c>
      <c r="L1172" s="8" t="n"/>
      <c r="M1172" s="8" t="n">
        <v>8780</v>
      </c>
      <c r="N1172" s="8" t="n"/>
      <c r="O1172" s="8" t="n"/>
      <c r="P1172" s="8" t="n"/>
      <c r="Q1172" s="8">
        <f>IF(COUNT(D1172:P1172)=0,"",MIN(D1172:P1172))</f>
        <v/>
      </c>
      <c r="R1172" s="8">
        <f>IF(COUNT(D1172:P1172)=0,"",MEDIAN(D1172:P1172))</f>
        <v/>
      </c>
      <c r="S1172" s="8">
        <f>IF(COUNT(D1172:P1172)=0,"",MAX(D1172:P1172))</f>
        <v/>
      </c>
      <c r="T1172" s="9">
        <f>IF(OR(Q1172="",Q1172=0),"",(S1172-Q1172)/Q1172)</f>
        <v/>
      </c>
      <c r="U1172" s="7">
        <f>IF(COUNT(D1172:P1172)=0,"",INDEX($D$1:$P$1,MATCH(MIN(D1172:P1172),D1172:P1172,0)))</f>
        <v/>
      </c>
      <c r="V1172" s="8" t="n">
        <v>10250</v>
      </c>
      <c r="W1172" s="10" t="n">
        <v>3</v>
      </c>
    </row>
    <row r="1173">
      <c r="A1173" s="7" t="inlineStr">
        <is>
          <t>MAT-22-011</t>
        </is>
      </c>
      <c r="B1173" s="4" t="inlineStr">
        <is>
          <t>Alambre de púas 1.50 mm, rollo de 250 metros</t>
        </is>
      </c>
      <c r="C1173" s="7" t="inlineStr">
        <is>
          <t>rollo</t>
        </is>
      </c>
      <c r="D1173" s="8" t="n">
        <v>2601.2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/>
      <c r="N1173" s="8" t="n"/>
      <c r="O1173" s="8" t="n"/>
      <c r="P1173" s="8" t="n"/>
      <c r="Q1173" s="8">
        <f>IF(COUNT(D1173:P1173)=0,"",MIN(D1173:P1173))</f>
        <v/>
      </c>
      <c r="R1173" s="8">
        <f>IF(COUNT(D1173:P1173)=0,"",MEDIAN(D1173:P1173))</f>
        <v/>
      </c>
      <c r="S1173" s="8">
        <f>IF(COUNT(D1173:P1173)=0,"",MAX(D1173:P1173))</f>
        <v/>
      </c>
      <c r="T1173" s="9">
        <f>IF(OR(Q1173="",Q1173=0),"",(S1173-Q1173)/Q1173)</f>
        <v/>
      </c>
      <c r="U1173" s="7">
        <f>IF(COUNT(D1173:P1173)=0,"",INDEX($D$1:$P$1,MATCH(MIN(D1173:P1173),D1173:P1173,0)))</f>
        <v/>
      </c>
      <c r="V1173" s="8" t="n">
        <v>2601.2</v>
      </c>
      <c r="W1173" s="10" t="n">
        <v>1</v>
      </c>
    </row>
    <row r="1174">
      <c r="A1174" s="7" t="inlineStr">
        <is>
          <t>MAT-22-012</t>
        </is>
      </c>
      <c r="B1174" s="4" t="inlineStr">
        <is>
          <t>Alambre de púas calibre 15, rollo de 250 metros</t>
        </is>
      </c>
      <c r="C1174" s="7" t="inlineStr">
        <is>
          <t>rollo</t>
        </is>
      </c>
      <c r="D1174" s="8" t="n">
        <v>2541.47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>
        <f>IF(COUNT(D1174:P1174)=0,"",MIN(D1174:P1174))</f>
        <v/>
      </c>
      <c r="R1174" s="8">
        <f>IF(COUNT(D1174:P1174)=0,"",MEDIAN(D1174:P1174))</f>
        <v/>
      </c>
      <c r="S1174" s="8">
        <f>IF(COUNT(D1174:P1174)=0,"",MAX(D1174:P1174))</f>
        <v/>
      </c>
      <c r="T1174" s="9">
        <f>IF(OR(Q1174="",Q1174=0),"",(S1174-Q1174)/Q1174)</f>
        <v/>
      </c>
      <c r="U1174" s="7">
        <f>IF(COUNT(D1174:P1174)=0,"",INDEX($D$1:$P$1,MATCH(MIN(D1174:P1174),D1174:P1174,0)))</f>
        <v/>
      </c>
      <c r="V1174" s="8" t="n">
        <v>2541.47</v>
      </c>
      <c r="W1174" s="10" t="n">
        <v>1</v>
      </c>
    </row>
    <row r="1175">
      <c r="A1175" s="7" t="inlineStr">
        <is>
          <t>MAT-22-013</t>
        </is>
      </c>
      <c r="B1175" s="4" t="inlineStr">
        <is>
          <t>Alambre de púas calibre 16, rollo de 110 metros</t>
        </is>
      </c>
      <c r="C1175" s="7" t="inlineStr">
        <is>
          <t>rollo</t>
        </is>
      </c>
      <c r="D1175" s="8" t="n">
        <v>964.11</v>
      </c>
      <c r="E1175" s="8" t="n"/>
      <c r="F1175" s="8" t="n"/>
      <c r="G1175" s="8" t="n"/>
      <c r="H1175" s="8" t="n"/>
      <c r="I1175" s="8" t="n"/>
      <c r="J1175" s="8" t="n"/>
      <c r="K1175" s="8" t="n">
        <v>845</v>
      </c>
      <c r="L1175" s="8" t="n"/>
      <c r="M1175" s="8" t="n"/>
      <c r="N1175" s="8" t="n"/>
      <c r="O1175" s="8" t="n"/>
      <c r="P1175" s="8" t="n"/>
      <c r="Q1175" s="8">
        <f>IF(COUNT(D1175:P1175)=0,"",MIN(D1175:P1175))</f>
        <v/>
      </c>
      <c r="R1175" s="8">
        <f>IF(COUNT(D1175:P1175)=0,"",MEDIAN(D1175:P1175))</f>
        <v/>
      </c>
      <c r="S1175" s="8">
        <f>IF(COUNT(D1175:P1175)=0,"",MAX(D1175:P1175))</f>
        <v/>
      </c>
      <c r="T1175" s="9">
        <f>IF(OR(Q1175="",Q1175=0),"",(S1175-Q1175)/Q1175)</f>
        <v/>
      </c>
      <c r="U1175" s="7">
        <f>IF(COUNT(D1175:P1175)=0,"",INDEX($D$1:$P$1,MATCH(MIN(D1175:P1175),D1175:P1175,0)))</f>
        <v/>
      </c>
      <c r="V1175" s="8" t="n">
        <v>904.5599999999999</v>
      </c>
      <c r="W1175" s="10" t="n">
        <v>2</v>
      </c>
    </row>
    <row r="1176">
      <c r="A1176" s="7" t="inlineStr">
        <is>
          <t>MAT-22-014</t>
        </is>
      </c>
      <c r="B1176" s="4" t="inlineStr">
        <is>
          <t>Alambre de púas calibre 16, rollo de 250 metros</t>
        </is>
      </c>
      <c r="C1176" s="7" t="inlineStr">
        <is>
          <t>rollo</t>
        </is>
      </c>
      <c r="D1176" s="8" t="n">
        <v>2108.46</v>
      </c>
      <c r="E1176" s="8" t="n"/>
      <c r="F1176" s="8" t="n"/>
      <c r="G1176" s="8" t="n">
        <v>2663</v>
      </c>
      <c r="H1176" s="8" t="n"/>
      <c r="I1176" s="8" t="n"/>
      <c r="J1176" s="8" t="n"/>
      <c r="K1176" s="8" t="n">
        <v>1885</v>
      </c>
      <c r="L1176" s="8" t="n">
        <v>2390.01</v>
      </c>
      <c r="M1176" s="8" t="n"/>
      <c r="N1176" s="8" t="n"/>
      <c r="O1176" s="8" t="n"/>
      <c r="P1176" s="8" t="n"/>
      <c r="Q1176" s="8">
        <f>IF(COUNT(D1176:P1176)=0,"",MIN(D1176:P1176))</f>
        <v/>
      </c>
      <c r="R1176" s="8">
        <f>IF(COUNT(D1176:P1176)=0,"",MEDIAN(D1176:P1176))</f>
        <v/>
      </c>
      <c r="S1176" s="8">
        <f>IF(COUNT(D1176:P1176)=0,"",MAX(D1176:P1176))</f>
        <v/>
      </c>
      <c r="T1176" s="9">
        <f>IF(OR(Q1176="",Q1176=0),"",(S1176-Q1176)/Q1176)</f>
        <v/>
      </c>
      <c r="U1176" s="7">
        <f>IF(COUNT(D1176:P1176)=0,"",INDEX($D$1:$P$1,MATCH(MIN(D1176:P1176),D1176:P1176,0)))</f>
        <v/>
      </c>
      <c r="V1176" s="8" t="n">
        <v>2696.5</v>
      </c>
      <c r="W1176" s="10" t="n">
        <v>4</v>
      </c>
    </row>
    <row r="1177">
      <c r="A1177" s="7" t="inlineStr">
        <is>
          <t>MAT-22-015</t>
        </is>
      </c>
      <c r="B1177" s="4" t="inlineStr">
        <is>
          <t>Alambre de púas calibre 17, rollo de 250 metros</t>
        </is>
      </c>
      <c r="C1177" s="7" t="inlineStr">
        <is>
          <t>rollo</t>
        </is>
      </c>
      <c r="D1177" s="8" t="n">
        <v>1933.36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>
        <f>IF(COUNT(D1177:P1177)=0,"",MIN(D1177:P1177))</f>
        <v/>
      </c>
      <c r="R1177" s="8">
        <f>IF(COUNT(D1177:P1177)=0,"",MEDIAN(D1177:P1177))</f>
        <v/>
      </c>
      <c r="S1177" s="8">
        <f>IF(COUNT(D1177:P1177)=0,"",MAX(D1177:P1177))</f>
        <v/>
      </c>
      <c r="T1177" s="9">
        <f>IF(OR(Q1177="",Q1177=0),"",(S1177-Q1177)/Q1177)</f>
        <v/>
      </c>
      <c r="U1177" s="7">
        <f>IF(COUNT(D1177:P1177)=0,"",INDEX($D$1:$P$1,MATCH(MIN(D1177:P1177),D1177:P1177,0)))</f>
        <v/>
      </c>
      <c r="V1177" s="8" t="n">
        <v>1933.36</v>
      </c>
      <c r="W1177" s="10" t="n">
        <v>1</v>
      </c>
    </row>
    <row r="1178">
      <c r="A1178" s="7" t="inlineStr">
        <is>
          <t>MAT-22-016</t>
        </is>
      </c>
      <c r="B1178" s="4" t="inlineStr">
        <is>
          <t>Tela metálica calibre 16, retícula 1" x 2", 4 pies de alto</t>
        </is>
      </c>
      <c r="C1178" s="7" t="inlineStr">
        <is>
          <t>yarda</t>
        </is>
      </c>
      <c r="D1178" s="8" t="n">
        <v>113.78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 t="n"/>
      <c r="P1178" s="8" t="n"/>
      <c r="Q1178" s="8">
        <f>IF(COUNT(D1178:P1178)=0,"",MIN(D1178:P1178))</f>
        <v/>
      </c>
      <c r="R1178" s="8">
        <f>IF(COUNT(D1178:P1178)=0,"",MEDIAN(D1178:P1178))</f>
        <v/>
      </c>
      <c r="S1178" s="8">
        <f>IF(COUNT(D1178:P1178)=0,"",MAX(D1178:P1178))</f>
        <v/>
      </c>
      <c r="T1178" s="9">
        <f>IF(OR(Q1178="",Q1178=0),"",(S1178-Q1178)/Q1178)</f>
        <v/>
      </c>
      <c r="U1178" s="7">
        <f>IF(COUNT(D1178:P1178)=0,"",INDEX($D$1:$P$1,MATCH(MIN(D1178:P1178),D1178:P1178,0)))</f>
        <v/>
      </c>
      <c r="V1178" s="8" t="n">
        <v>113.78</v>
      </c>
      <c r="W1178" s="10" t="n">
        <v>1</v>
      </c>
    </row>
    <row r="1179">
      <c r="A1179" s="7" t="inlineStr">
        <is>
          <t>MAT-22-017</t>
        </is>
      </c>
      <c r="B1179" s="4" t="inlineStr">
        <is>
          <t>Tela metálica calibre 18, retícula 1/2" x 1/2", 4 pies de alto</t>
        </is>
      </c>
      <c r="C1179" s="7" t="inlineStr">
        <is>
          <t>yarda</t>
        </is>
      </c>
      <c r="D1179" s="8" t="n">
        <v>192.26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 t="n"/>
      <c r="P1179" s="8" t="n"/>
      <c r="Q1179" s="8">
        <f>IF(COUNT(D1179:P1179)=0,"",MIN(D1179:P1179))</f>
        <v/>
      </c>
      <c r="R1179" s="8">
        <f>IF(COUNT(D1179:P1179)=0,"",MEDIAN(D1179:P1179))</f>
        <v/>
      </c>
      <c r="S1179" s="8">
        <f>IF(COUNT(D1179:P1179)=0,"",MAX(D1179:P1179))</f>
        <v/>
      </c>
      <c r="T1179" s="9">
        <f>IF(OR(Q1179="",Q1179=0),"",(S1179-Q1179)/Q1179)</f>
        <v/>
      </c>
      <c r="U1179" s="7">
        <f>IF(COUNT(D1179:P1179)=0,"",INDEX($D$1:$P$1,MATCH(MIN(D1179:P1179),D1179:P1179,0)))</f>
        <v/>
      </c>
      <c r="V1179" s="8" t="n">
        <v>192.26</v>
      </c>
      <c r="W1179" s="10" t="n">
        <v>1</v>
      </c>
    </row>
    <row r="1180">
      <c r="A1180" s="7" t="inlineStr">
        <is>
          <t>MAT-22-018</t>
        </is>
      </c>
      <c r="B1180" s="4" t="inlineStr">
        <is>
          <t>Tela metálica calibre 18, retícula 1" x 1/2", 3 pies de alto</t>
        </is>
      </c>
      <c r="C1180" s="7" t="inlineStr">
        <is>
          <t>yarda</t>
        </is>
      </c>
      <c r="D1180" s="8" t="n">
        <v>106.11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>
        <f>IF(COUNT(D1180:P1180)=0,"",MIN(D1180:P1180))</f>
        <v/>
      </c>
      <c r="R1180" s="8">
        <f>IF(COUNT(D1180:P1180)=0,"",MEDIAN(D1180:P1180))</f>
        <v/>
      </c>
      <c r="S1180" s="8">
        <f>IF(COUNT(D1180:P1180)=0,"",MAX(D1180:P1180))</f>
        <v/>
      </c>
      <c r="T1180" s="9">
        <f>IF(OR(Q1180="",Q1180=0),"",(S1180-Q1180)/Q1180)</f>
        <v/>
      </c>
      <c r="U1180" s="7">
        <f>IF(COUNT(D1180:P1180)=0,"",INDEX($D$1:$P$1,MATCH(MIN(D1180:P1180),D1180:P1180,0)))</f>
        <v/>
      </c>
      <c r="V1180" s="8" t="n">
        <v>106.11</v>
      </c>
      <c r="W1180" s="10" t="n">
        <v>1</v>
      </c>
    </row>
    <row r="1181">
      <c r="A1181" s="7" t="inlineStr">
        <is>
          <t>MAT-22-019</t>
        </is>
      </c>
      <c r="B1181" s="4" t="inlineStr">
        <is>
          <t>Tela metálica calibre 18, retícula 1" x 1/2", 4 pies de alto</t>
        </is>
      </c>
      <c r="C1181" s="7" t="inlineStr">
        <is>
          <t>yarda</t>
        </is>
      </c>
      <c r="D1181" s="8" t="n">
        <v>145.1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>
        <f>IF(COUNT(D1181:P1181)=0,"",MIN(D1181:P1181))</f>
        <v/>
      </c>
      <c r="R1181" s="8">
        <f>IF(COUNT(D1181:P1181)=0,"",MEDIAN(D1181:P1181))</f>
        <v/>
      </c>
      <c r="S1181" s="8">
        <f>IF(COUNT(D1181:P1181)=0,"",MAX(D1181:P1181))</f>
        <v/>
      </c>
      <c r="T1181" s="9">
        <f>IF(OR(Q1181="",Q1181=0),"",(S1181-Q1181)/Q1181)</f>
        <v/>
      </c>
      <c r="U1181" s="7">
        <f>IF(COUNT(D1181:P1181)=0,"",INDEX($D$1:$P$1,MATCH(MIN(D1181:P1181),D1181:P1181,0)))</f>
        <v/>
      </c>
      <c r="V1181" s="8" t="n">
        <v>145.1</v>
      </c>
      <c r="W1181" s="10" t="n">
        <v>1</v>
      </c>
    </row>
    <row r="1182">
      <c r="A1182" s="7" t="inlineStr">
        <is>
          <t>MAT-22-020</t>
        </is>
      </c>
      <c r="B1182" s="4" t="inlineStr">
        <is>
          <t>Tela metálica calibre 20, retícula 1" x 2", 3 pies de alto</t>
        </is>
      </c>
      <c r="C1182" s="7" t="inlineStr">
        <is>
          <t>yarda</t>
        </is>
      </c>
      <c r="D1182" s="8" t="n">
        <v>37.54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>
        <f>IF(COUNT(D1182:P1182)=0,"",MIN(D1182:P1182))</f>
        <v/>
      </c>
      <c r="R1182" s="8">
        <f>IF(COUNT(D1182:P1182)=0,"",MEDIAN(D1182:P1182))</f>
        <v/>
      </c>
      <c r="S1182" s="8">
        <f>IF(COUNT(D1182:P1182)=0,"",MAX(D1182:P1182))</f>
        <v/>
      </c>
      <c r="T1182" s="9">
        <f>IF(OR(Q1182="",Q1182=0),"",(S1182-Q1182)/Q1182)</f>
        <v/>
      </c>
      <c r="U1182" s="7">
        <f>IF(COUNT(D1182:P1182)=0,"",INDEX($D$1:$P$1,MATCH(MIN(D1182:P1182),D1182:P1182,0)))</f>
        <v/>
      </c>
      <c r="V1182" s="8" t="n">
        <v>37.54</v>
      </c>
      <c r="W1182" s="10" t="n">
        <v>1</v>
      </c>
    </row>
    <row r="1183">
      <c r="A1183" s="7" t="inlineStr">
        <is>
          <t>MAT-22-021</t>
        </is>
      </c>
      <c r="B1183" s="4" t="inlineStr">
        <is>
          <t>Tela metálica calibre 21, retícula 3/8" x 3/8", 3 pies de alto</t>
        </is>
      </c>
      <c r="C1183" s="7" t="inlineStr">
        <is>
          <t>yarda</t>
        </is>
      </c>
      <c r="D1183" s="8" t="n">
        <v>72.61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>
        <f>IF(COUNT(D1183:P1183)=0,"",MIN(D1183:P1183))</f>
        <v/>
      </c>
      <c r="R1183" s="8">
        <f>IF(COUNT(D1183:P1183)=0,"",MEDIAN(D1183:P1183))</f>
        <v/>
      </c>
      <c r="S1183" s="8">
        <f>IF(COUNT(D1183:P1183)=0,"",MAX(D1183:P1183))</f>
        <v/>
      </c>
      <c r="T1183" s="9">
        <f>IF(OR(Q1183="",Q1183=0),"",(S1183-Q1183)/Q1183)</f>
        <v/>
      </c>
      <c r="U1183" s="7">
        <f>IF(COUNT(D1183:P1183)=0,"",INDEX($D$1:$P$1,MATCH(MIN(D1183:P1183),D1183:P1183,0)))</f>
        <v/>
      </c>
      <c r="V1183" s="8" t="n">
        <v>72.61</v>
      </c>
      <c r="W1183" s="10" t="n">
        <v>1</v>
      </c>
    </row>
    <row r="1184">
      <c r="A1184" s="7" t="inlineStr">
        <is>
          <t>MAT-22-022</t>
        </is>
      </c>
      <c r="B1184" s="4" t="inlineStr">
        <is>
          <t>Tela para gallinero calibre 19, 3 pies de alto</t>
        </is>
      </c>
      <c r="C1184" s="7" t="inlineStr">
        <is>
          <t>yarda</t>
        </is>
      </c>
      <c r="D1184" s="8" t="n">
        <v>54.04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>
        <f>IF(COUNT(D1184:P1184)=0,"",MIN(D1184:P1184))</f>
        <v/>
      </c>
      <c r="R1184" s="8">
        <f>IF(COUNT(D1184:P1184)=0,"",MEDIAN(D1184:P1184))</f>
        <v/>
      </c>
      <c r="S1184" s="8">
        <f>IF(COUNT(D1184:P1184)=0,"",MAX(D1184:P1184))</f>
        <v/>
      </c>
      <c r="T1184" s="9">
        <f>IF(OR(Q1184="",Q1184=0),"",(S1184-Q1184)/Q1184)</f>
        <v/>
      </c>
      <c r="U1184" s="7">
        <f>IF(COUNT(D1184:P1184)=0,"",INDEX($D$1:$P$1,MATCH(MIN(D1184:P1184),D1184:P1184,0)))</f>
        <v/>
      </c>
      <c r="V1184" s="8" t="n">
        <v>54.04</v>
      </c>
      <c r="W1184" s="10" t="n">
        <v>1</v>
      </c>
    </row>
    <row r="1185">
      <c r="A1185" s="7" t="inlineStr">
        <is>
          <t>MAT-22-023</t>
        </is>
      </c>
      <c r="B1185" s="4" t="inlineStr">
        <is>
          <t>Tela para gallinero calibre 20, 3 pies de alto</t>
        </is>
      </c>
      <c r="C1185" s="7" t="inlineStr">
        <is>
          <t>yarda</t>
        </is>
      </c>
      <c r="D1185" s="8" t="n">
        <v>46.53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>
        <f>IF(COUNT(D1185:P1185)=0,"",MIN(D1185:P1185))</f>
        <v/>
      </c>
      <c r="R1185" s="8">
        <f>IF(COUNT(D1185:P1185)=0,"",MEDIAN(D1185:P1185))</f>
        <v/>
      </c>
      <c r="S1185" s="8">
        <f>IF(COUNT(D1185:P1185)=0,"",MAX(D1185:P1185))</f>
        <v/>
      </c>
      <c r="T1185" s="9">
        <f>IF(OR(Q1185="",Q1185=0),"",(S1185-Q1185)/Q1185)</f>
        <v/>
      </c>
      <c r="U1185" s="7">
        <f>IF(COUNT(D1185:P1185)=0,"",INDEX($D$1:$P$1,MATCH(MIN(D1185:P1185),D1185:P1185,0)))</f>
        <v/>
      </c>
      <c r="V1185" s="8" t="n">
        <v>46.53</v>
      </c>
      <c r="W1185" s="10" t="n">
        <v>1</v>
      </c>
    </row>
    <row r="1186">
      <c r="A1186" s="7" t="inlineStr">
        <is>
          <t>MAT-22-024</t>
        </is>
      </c>
      <c r="B1186" s="4" t="inlineStr">
        <is>
          <t>Alambre de trinchera, 45 Mts</t>
        </is>
      </c>
      <c r="C1186" s="7" t="inlineStr">
        <is>
          <t>rollo</t>
        </is>
      </c>
      <c r="D1186" s="8" t="n"/>
      <c r="E1186" s="8" t="n"/>
      <c r="F1186" s="8" t="n"/>
      <c r="G1186" s="8" t="n"/>
      <c r="H1186" s="8" t="n"/>
      <c r="I1186" s="8" t="n"/>
      <c r="J1186" s="8" t="n"/>
      <c r="K1186" s="8" t="n">
        <v>595</v>
      </c>
      <c r="L1186" s="8" t="n"/>
      <c r="M1186" s="8" t="n"/>
      <c r="N1186" s="8" t="n"/>
      <c r="O1186" s="8" t="n"/>
      <c r="P1186" s="8" t="n"/>
      <c r="Q1186" s="8">
        <f>IF(COUNT(D1186:P1186)=0,"",MIN(D1186:P1186))</f>
        <v/>
      </c>
      <c r="R1186" s="8">
        <f>IF(COUNT(D1186:P1186)=0,"",MEDIAN(D1186:P1186))</f>
        <v/>
      </c>
      <c r="S1186" s="8">
        <f>IF(COUNT(D1186:P1186)=0,"",MAX(D1186:P1186))</f>
        <v/>
      </c>
      <c r="T1186" s="9">
        <f>IF(OR(Q1186="",Q1186=0),"",(S1186-Q1186)/Q1186)</f>
        <v/>
      </c>
      <c r="U1186" s="7">
        <f>IF(COUNT(D1186:P1186)=0,"",INDEX($D$1:$P$1,MATCH(MIN(D1186:P1186),D1186:P1186,0)))</f>
        <v/>
      </c>
      <c r="V1186" s="8" t="n">
        <v>595</v>
      </c>
      <c r="W1186" s="10" t="n">
        <v>1</v>
      </c>
    </row>
    <row r="1187">
      <c r="A1187" s="7" t="inlineStr">
        <is>
          <t>MAT-22-025</t>
        </is>
      </c>
      <c r="B1187" s="4" t="inlineStr">
        <is>
          <t>Protección de verja, 1mt</t>
        </is>
      </c>
      <c r="C1187" s="7" t="inlineStr">
        <is>
          <t>unidad</t>
        </is>
      </c>
      <c r="D1187" s="8" t="n"/>
      <c r="E1187" s="8" t="n"/>
      <c r="F1187" s="8" t="n"/>
      <c r="G1187" s="8" t="n"/>
      <c r="H1187" s="8" t="n"/>
      <c r="I1187" s="8" t="n"/>
      <c r="J1187" s="8" t="n"/>
      <c r="K1187" s="8" t="n">
        <v>985</v>
      </c>
      <c r="L1187" s="8" t="n"/>
      <c r="M1187" s="8" t="n"/>
      <c r="N1187" s="8" t="n"/>
      <c r="O1187" s="8" t="n"/>
      <c r="P1187" s="8" t="n"/>
      <c r="Q1187" s="8">
        <f>IF(COUNT(D1187:P1187)=0,"",MIN(D1187:P1187))</f>
        <v/>
      </c>
      <c r="R1187" s="8">
        <f>IF(COUNT(D1187:P1187)=0,"",MEDIAN(D1187:P1187))</f>
        <v/>
      </c>
      <c r="S1187" s="8">
        <f>IF(COUNT(D1187:P1187)=0,"",MAX(D1187:P1187))</f>
        <v/>
      </c>
      <c r="T1187" s="9">
        <f>IF(OR(Q1187="",Q1187=0),"",(S1187-Q1187)/Q1187)</f>
        <v/>
      </c>
      <c r="U1187" s="7">
        <f>IF(COUNT(D1187:P1187)=0,"",INDEX($D$1:$P$1,MATCH(MIN(D1187:P1187),D1187:P1187,0)))</f>
        <v/>
      </c>
      <c r="V1187" s="8" t="n">
        <v>990</v>
      </c>
      <c r="W1187" s="10" t="n">
        <v>1</v>
      </c>
    </row>
    <row r="1188">
      <c r="A1188" s="7" t="inlineStr">
        <is>
          <t>MAT-22-026</t>
        </is>
      </c>
      <c r="B1188" s="4" t="inlineStr">
        <is>
          <t>Abrazadera corta para malla ciclónica 1 1/4"</t>
        </is>
      </c>
      <c r="C1188" s="7" t="inlineStr">
        <is>
          <t>unidad</t>
        </is>
      </c>
      <c r="D1188" s="8" t="n">
        <v>16.91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>
        <v>34</v>
      </c>
      <c r="N1188" s="8" t="n"/>
      <c r="O1188" s="8" t="n"/>
      <c r="P1188" s="8" t="n"/>
      <c r="Q1188" s="8">
        <f>IF(COUNT(D1188:P1188)=0,"",MIN(D1188:P1188))</f>
        <v/>
      </c>
      <c r="R1188" s="8">
        <f>IF(COUNT(D1188:P1188)=0,"",MEDIAN(D1188:P1188))</f>
        <v/>
      </c>
      <c r="S1188" s="8">
        <f>IF(COUNT(D1188:P1188)=0,"",MAX(D1188:P1188))</f>
        <v/>
      </c>
      <c r="T1188" s="9">
        <f>IF(OR(Q1188="",Q1188=0),"",(S1188-Q1188)/Q1188)</f>
        <v/>
      </c>
      <c r="U1188" s="7">
        <f>IF(COUNT(D1188:P1188)=0,"",INDEX($D$1:$P$1,MATCH(MIN(D1188:P1188),D1188:P1188,0)))</f>
        <v/>
      </c>
      <c r="V1188" s="8" t="n">
        <v>28.52</v>
      </c>
      <c r="W1188" s="10" t="n">
        <v>2</v>
      </c>
    </row>
    <row r="1189">
      <c r="A1189" s="7" t="inlineStr">
        <is>
          <t>MAT-22-027</t>
        </is>
      </c>
      <c r="B1189" s="4" t="inlineStr">
        <is>
          <t>Copa pasante para malla ciclónica 1 1/4" x 1 1/2"</t>
        </is>
      </c>
      <c r="C1189" s="7" t="inlineStr">
        <is>
          <t>unidad</t>
        </is>
      </c>
      <c r="D1189" s="8" t="n">
        <v>76.66</v>
      </c>
      <c r="E1189" s="8" t="n"/>
      <c r="F1189" s="8" t="n"/>
      <c r="G1189" s="8" t="n"/>
      <c r="H1189" s="8" t="n"/>
      <c r="I1189" s="8" t="n"/>
      <c r="J1189" s="8" t="n"/>
      <c r="K1189" s="8" t="n">
        <v>98</v>
      </c>
      <c r="L1189" s="8" t="n"/>
      <c r="M1189" s="8" t="n">
        <v>115.6</v>
      </c>
      <c r="N1189" s="8" t="n"/>
      <c r="O1189" s="8" t="n"/>
      <c r="P1189" s="8" t="n"/>
      <c r="Q1189" s="8">
        <f>IF(COUNT(D1189:P1189)=0,"",MIN(D1189:P1189))</f>
        <v/>
      </c>
      <c r="R1189" s="8">
        <f>IF(COUNT(D1189:P1189)=0,"",MEDIAN(D1189:P1189))</f>
        <v/>
      </c>
      <c r="S1189" s="8">
        <f>IF(COUNT(D1189:P1189)=0,"",MAX(D1189:P1189))</f>
        <v/>
      </c>
      <c r="T1189" s="9">
        <f>IF(OR(Q1189="",Q1189=0),"",(S1189-Q1189)/Q1189)</f>
        <v/>
      </c>
      <c r="U1189" s="7">
        <f>IF(COUNT(D1189:P1189)=0,"",INDEX($D$1:$P$1,MATCH(MIN(D1189:P1189),D1189:P1189,0)))</f>
        <v/>
      </c>
      <c r="V1189" s="8" t="n">
        <v>98</v>
      </c>
      <c r="W1189" s="10" t="n">
        <v>3</v>
      </c>
    </row>
    <row r="1190">
      <c r="A1190" s="7" t="inlineStr">
        <is>
          <t>MAT-22-028</t>
        </is>
      </c>
      <c r="B1190" s="4" t="inlineStr">
        <is>
          <t>Copa tensora para malla ciclónica 1 1/4"</t>
        </is>
      </c>
      <c r="C1190" s="7" t="inlineStr">
        <is>
          <t>unidad</t>
        </is>
      </c>
      <c r="D1190" s="8" t="n">
        <v>55.61</v>
      </c>
      <c r="E1190" s="8" t="n"/>
      <c r="F1190" s="8" t="n"/>
      <c r="G1190" s="8" t="n"/>
      <c r="H1190" s="8" t="n"/>
      <c r="I1190" s="8" t="n"/>
      <c r="J1190" s="8" t="n"/>
      <c r="K1190" s="8" t="n"/>
      <c r="L1190" s="8" t="n"/>
      <c r="M1190" s="8" t="n"/>
      <c r="N1190" s="8" t="n"/>
      <c r="O1190" s="8" t="n"/>
      <c r="P1190" s="8" t="n"/>
      <c r="Q1190" s="8">
        <f>IF(COUNT(D1190:P1190)=0,"",MIN(D1190:P1190))</f>
        <v/>
      </c>
      <c r="R1190" s="8">
        <f>IF(COUNT(D1190:P1190)=0,"",MEDIAN(D1190:P1190))</f>
        <v/>
      </c>
      <c r="S1190" s="8">
        <f>IF(COUNT(D1190:P1190)=0,"",MAX(D1190:P1190))</f>
        <v/>
      </c>
      <c r="T1190" s="9">
        <f>IF(OR(Q1190="",Q1190=0),"",(S1190-Q1190)/Q1190)</f>
        <v/>
      </c>
      <c r="U1190" s="7">
        <f>IF(COUNT(D1190:P1190)=0,"",INDEX($D$1:$P$1,MATCH(MIN(D1190:P1190),D1190:P1190,0)))</f>
        <v/>
      </c>
      <c r="V1190" s="8" t="n">
        <v>55.61</v>
      </c>
      <c r="W1190" s="10" t="n">
        <v>1</v>
      </c>
    </row>
    <row r="1191">
      <c r="A1191" s="7" t="inlineStr">
        <is>
          <t>MAT-22-029</t>
        </is>
      </c>
      <c r="B1191" s="4" t="inlineStr">
        <is>
          <t>Copa terminal para malla ciclónica 1 1/4"</t>
        </is>
      </c>
      <c r="C1191" s="7" t="inlineStr">
        <is>
          <t>unidad</t>
        </is>
      </c>
      <c r="D1191" s="8" t="n">
        <v>36.96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>
        <v>81.59999999999999</v>
      </c>
      <c r="N1191" s="8" t="n"/>
      <c r="O1191" s="8" t="n"/>
      <c r="P1191" s="8" t="n"/>
      <c r="Q1191" s="8">
        <f>IF(COUNT(D1191:P1191)=0,"",MIN(D1191:P1191))</f>
        <v/>
      </c>
      <c r="R1191" s="8">
        <f>IF(COUNT(D1191:P1191)=0,"",MEDIAN(D1191:P1191))</f>
        <v/>
      </c>
      <c r="S1191" s="8">
        <f>IF(COUNT(D1191:P1191)=0,"",MAX(D1191:P1191))</f>
        <v/>
      </c>
      <c r="T1191" s="9">
        <f>IF(OR(Q1191="",Q1191=0),"",(S1191-Q1191)/Q1191)</f>
        <v/>
      </c>
      <c r="U1191" s="7">
        <f>IF(COUNT(D1191:P1191)=0,"",INDEX($D$1:$P$1,MATCH(MIN(D1191:P1191),D1191:P1191,0)))</f>
        <v/>
      </c>
      <c r="V1191" s="8" t="n">
        <v>66.62</v>
      </c>
      <c r="W1191" s="10" t="n">
        <v>2</v>
      </c>
    </row>
    <row r="1192">
      <c r="A1192" s="7" t="inlineStr">
        <is>
          <t>MAT-22-030</t>
        </is>
      </c>
      <c r="B1192" s="4" t="inlineStr">
        <is>
          <t>Unión reforzada para malla ciclónica 1 1/4"</t>
        </is>
      </c>
      <c r="C1192" s="7" t="inlineStr">
        <is>
          <t>unidad</t>
        </is>
      </c>
      <c r="D1192" s="8" t="n">
        <v>60.03</v>
      </c>
      <c r="E1192" s="8" t="n"/>
      <c r="F1192" s="8" t="n"/>
      <c r="G1192" s="8" t="n"/>
      <c r="H1192" s="8" t="n"/>
      <c r="I1192" s="8" t="n"/>
      <c r="J1192" s="8" t="n"/>
      <c r="K1192" s="8" t="n"/>
      <c r="L1192" s="8" t="n"/>
      <c r="M1192" s="8" t="n"/>
      <c r="N1192" s="8" t="n"/>
      <c r="O1192" s="8" t="n"/>
      <c r="P1192" s="8" t="n"/>
      <c r="Q1192" s="8">
        <f>IF(COUNT(D1192:P1192)=0,"",MIN(D1192:P1192))</f>
        <v/>
      </c>
      <c r="R1192" s="8">
        <f>IF(COUNT(D1192:P1192)=0,"",MEDIAN(D1192:P1192))</f>
        <v/>
      </c>
      <c r="S1192" s="8">
        <f>IF(COUNT(D1192:P1192)=0,"",MAX(D1192:P1192))</f>
        <v/>
      </c>
      <c r="T1192" s="9">
        <f>IF(OR(Q1192="",Q1192=0),"",(S1192-Q1192)/Q1192)</f>
        <v/>
      </c>
      <c r="U1192" s="7">
        <f>IF(COUNT(D1192:P1192)=0,"",INDEX($D$1:$P$1,MATCH(MIN(D1192:P1192),D1192:P1192,0)))</f>
        <v/>
      </c>
      <c r="V1192" s="8" t="n">
        <v>60.03</v>
      </c>
      <c r="W1192" s="10" t="n">
        <v>1</v>
      </c>
    </row>
    <row r="1193">
      <c r="A1193" s="7" t="inlineStr">
        <is>
          <t>MAT-22-031</t>
        </is>
      </c>
      <c r="B1193" s="4" t="inlineStr">
        <is>
          <t>Abrazadera corta para malla ciclónica 1 1/2"</t>
        </is>
      </c>
      <c r="C1193" s="7" t="inlineStr">
        <is>
          <t>unidad</t>
        </is>
      </c>
      <c r="D1193" s="8" t="n">
        <v>19.14</v>
      </c>
      <c r="E1193" s="8" t="n"/>
      <c r="F1193" s="8" t="n"/>
      <c r="G1193" s="8" t="n"/>
      <c r="H1193" s="8" t="n"/>
      <c r="I1193" s="8" t="n"/>
      <c r="J1193" s="8" t="n"/>
      <c r="K1193" s="8" t="n"/>
      <c r="L1193" s="8" t="n"/>
      <c r="M1193" s="8" t="n">
        <v>25.57</v>
      </c>
      <c r="N1193" s="8" t="n"/>
      <c r="O1193" s="8" t="n"/>
      <c r="P1193" s="8" t="n"/>
      <c r="Q1193" s="8">
        <f>IF(COUNT(D1193:P1193)=0,"",MIN(D1193:P1193))</f>
        <v/>
      </c>
      <c r="R1193" s="8">
        <f>IF(COUNT(D1193:P1193)=0,"",MEDIAN(D1193:P1193))</f>
        <v/>
      </c>
      <c r="S1193" s="8">
        <f>IF(COUNT(D1193:P1193)=0,"",MAX(D1193:P1193))</f>
        <v/>
      </c>
      <c r="T1193" s="9">
        <f>IF(OR(Q1193="",Q1193=0),"",(S1193-Q1193)/Q1193)</f>
        <v/>
      </c>
      <c r="U1193" s="7">
        <f>IF(COUNT(D1193:P1193)=0,"",INDEX($D$1:$P$1,MATCH(MIN(D1193:P1193),D1193:P1193,0)))</f>
        <v/>
      </c>
      <c r="V1193" s="8" t="n">
        <v>24.66</v>
      </c>
      <c r="W1193" s="10" t="n">
        <v>2</v>
      </c>
    </row>
    <row r="1194">
      <c r="A1194" s="7" t="inlineStr">
        <is>
          <t>MAT-22-032</t>
        </is>
      </c>
      <c r="B1194" s="4" t="inlineStr">
        <is>
          <t>Abrazadera larga para malla ciclónica 1 1/2"</t>
        </is>
      </c>
      <c r="C1194" s="7" t="inlineStr">
        <is>
          <t>unidad</t>
        </is>
      </c>
      <c r="D1194" s="8" t="n">
        <v>28.77</v>
      </c>
      <c r="E1194" s="8" t="n"/>
      <c r="F1194" s="8" t="n"/>
      <c r="G1194" s="8" t="n"/>
      <c r="H1194" s="8" t="n"/>
      <c r="I1194" s="8" t="n"/>
      <c r="J1194" s="8" t="n"/>
      <c r="K1194" s="8" t="n">
        <v>46</v>
      </c>
      <c r="L1194" s="8" t="n"/>
      <c r="M1194" s="8" t="n">
        <v>33.82</v>
      </c>
      <c r="N1194" s="8" t="n"/>
      <c r="O1194" s="8" t="n"/>
      <c r="P1194" s="8" t="n"/>
      <c r="Q1194" s="8">
        <f>IF(COUNT(D1194:P1194)=0,"",MIN(D1194:P1194))</f>
        <v/>
      </c>
      <c r="R1194" s="8">
        <f>IF(COUNT(D1194:P1194)=0,"",MEDIAN(D1194:P1194))</f>
        <v/>
      </c>
      <c r="S1194" s="8">
        <f>IF(COUNT(D1194:P1194)=0,"",MAX(D1194:P1194))</f>
        <v/>
      </c>
      <c r="T1194" s="9">
        <f>IF(OR(Q1194="",Q1194=0),"",(S1194-Q1194)/Q1194)</f>
        <v/>
      </c>
      <c r="U1194" s="7">
        <f>IF(COUNT(D1194:P1194)=0,"",INDEX($D$1:$P$1,MATCH(MIN(D1194:P1194),D1194:P1194,0)))</f>
        <v/>
      </c>
      <c r="V1194" s="8" t="n">
        <v>39.91</v>
      </c>
      <c r="W1194" s="10" t="n">
        <v>3</v>
      </c>
    </row>
    <row r="1195">
      <c r="A1195" s="7" t="inlineStr">
        <is>
          <t>MAT-22-033</t>
        </is>
      </c>
      <c r="B1195" s="4" t="inlineStr">
        <is>
          <t>Brazo doble para malla ciclónica 1 1/2" x 1 1/4"</t>
        </is>
      </c>
      <c r="C1195" s="7" t="inlineStr">
        <is>
          <t>unidad</t>
        </is>
      </c>
      <c r="D1195" s="8" t="n">
        <v>187.9</v>
      </c>
      <c r="E1195" s="8" t="n"/>
      <c r="F1195" s="8" t="n"/>
      <c r="G1195" s="8" t="n"/>
      <c r="H1195" s="8" t="n"/>
      <c r="I1195" s="8" t="n"/>
      <c r="J1195" s="8" t="n"/>
      <c r="K1195" s="8" t="n">
        <v>277</v>
      </c>
      <c r="L1195" s="8" t="n"/>
      <c r="M1195" s="8" t="n">
        <v>286</v>
      </c>
      <c r="N1195" s="8" t="n"/>
      <c r="O1195" s="8" t="n"/>
      <c r="P1195" s="8" t="n"/>
      <c r="Q1195" s="8">
        <f>IF(COUNT(D1195:P1195)=0,"",MIN(D1195:P1195))</f>
        <v/>
      </c>
      <c r="R1195" s="8">
        <f>IF(COUNT(D1195:P1195)=0,"",MEDIAN(D1195:P1195))</f>
        <v/>
      </c>
      <c r="S1195" s="8">
        <f>IF(COUNT(D1195:P1195)=0,"",MAX(D1195:P1195))</f>
        <v/>
      </c>
      <c r="T1195" s="9">
        <f>IF(OR(Q1195="",Q1195=0),"",(S1195-Q1195)/Q1195)</f>
        <v/>
      </c>
      <c r="U1195" s="7">
        <f>IF(COUNT(D1195:P1195)=0,"",INDEX($D$1:$P$1,MATCH(MIN(D1195:P1195),D1195:P1195,0)))</f>
        <v/>
      </c>
      <c r="V1195" s="8" t="n">
        <v>277</v>
      </c>
      <c r="W1195" s="10" t="n">
        <v>3</v>
      </c>
    </row>
    <row r="1196">
      <c r="A1196" s="7" t="inlineStr">
        <is>
          <t>MAT-22-034</t>
        </is>
      </c>
      <c r="B1196" s="4" t="inlineStr">
        <is>
          <t>Brazo sencillo para malla ciclónica 1 1/2" x 1 1/4"</t>
        </is>
      </c>
      <c r="C1196" s="7" t="inlineStr">
        <is>
          <t>unidad</t>
        </is>
      </c>
      <c r="D1196" s="8" t="n">
        <v>124.76</v>
      </c>
      <c r="E1196" s="8" t="n"/>
      <c r="F1196" s="8" t="n"/>
      <c r="G1196" s="8" t="n"/>
      <c r="H1196" s="8" t="n"/>
      <c r="I1196" s="8" t="n"/>
      <c r="J1196" s="8" t="n"/>
      <c r="K1196" s="8" t="n">
        <v>168</v>
      </c>
      <c r="L1196" s="8" t="n"/>
      <c r="M1196" s="8" t="n">
        <v>218</v>
      </c>
      <c r="N1196" s="8" t="n"/>
      <c r="O1196" s="8" t="n"/>
      <c r="P1196" s="8" t="n"/>
      <c r="Q1196" s="8">
        <f>IF(COUNT(D1196:P1196)=0,"",MIN(D1196:P1196))</f>
        <v/>
      </c>
      <c r="R1196" s="8">
        <f>IF(COUNT(D1196:P1196)=0,"",MEDIAN(D1196:P1196))</f>
        <v/>
      </c>
      <c r="S1196" s="8">
        <f>IF(COUNT(D1196:P1196)=0,"",MAX(D1196:P1196))</f>
        <v/>
      </c>
      <c r="T1196" s="9">
        <f>IF(OR(Q1196="",Q1196=0),"",(S1196-Q1196)/Q1196)</f>
        <v/>
      </c>
      <c r="U1196" s="7">
        <f>IF(COUNT(D1196:P1196)=0,"",INDEX($D$1:$P$1,MATCH(MIN(D1196:P1196),D1196:P1196,0)))</f>
        <v/>
      </c>
      <c r="V1196" s="8" t="n">
        <v>168</v>
      </c>
      <c r="W1196" s="10" t="n">
        <v>3</v>
      </c>
    </row>
    <row r="1197">
      <c r="A1197" s="7" t="inlineStr">
        <is>
          <t>MAT-22-035</t>
        </is>
      </c>
      <c r="B1197" s="4" t="inlineStr">
        <is>
          <t>Copa pasante para malla ciclónica 1 1/2" x 1 1/2"</t>
        </is>
      </c>
      <c r="C1197" s="7" t="inlineStr">
        <is>
          <t>unidad</t>
        </is>
      </c>
      <c r="D1197" s="8" t="n">
        <v>76.66</v>
      </c>
      <c r="E1197" s="8" t="n"/>
      <c r="F1197" s="8" t="n"/>
      <c r="G1197" s="8" t="n"/>
      <c r="H1197" s="8" t="n"/>
      <c r="I1197" s="8" t="n"/>
      <c r="J1197" s="8" t="n"/>
      <c r="K1197" s="8" t="n"/>
      <c r="L1197" s="8" t="n"/>
      <c r="M1197" s="8" t="n"/>
      <c r="N1197" s="8" t="n"/>
      <c r="O1197" s="8" t="n"/>
      <c r="P1197" s="8" t="n"/>
      <c r="Q1197" s="8">
        <f>IF(COUNT(D1197:P1197)=0,"",MIN(D1197:P1197))</f>
        <v/>
      </c>
      <c r="R1197" s="8">
        <f>IF(COUNT(D1197:P1197)=0,"",MEDIAN(D1197:P1197))</f>
        <v/>
      </c>
      <c r="S1197" s="8">
        <f>IF(COUNT(D1197:P1197)=0,"",MAX(D1197:P1197))</f>
        <v/>
      </c>
      <c r="T1197" s="9">
        <f>IF(OR(Q1197="",Q1197=0),"",(S1197-Q1197)/Q1197)</f>
        <v/>
      </c>
      <c r="U1197" s="7">
        <f>IF(COUNT(D1197:P1197)=0,"",INDEX($D$1:$P$1,MATCH(MIN(D1197:P1197),D1197:P1197,0)))</f>
        <v/>
      </c>
      <c r="V1197" s="8" t="n">
        <v>76.66</v>
      </c>
      <c r="W1197" s="10" t="n">
        <v>1</v>
      </c>
    </row>
    <row r="1198">
      <c r="A1198" s="7" t="inlineStr">
        <is>
          <t>MAT-22-036</t>
        </is>
      </c>
      <c r="B1198" s="4" t="inlineStr">
        <is>
          <t>Copa terminal para malla ciclónica 1 1/2"</t>
        </is>
      </c>
      <c r="C1198" s="7" t="inlineStr">
        <is>
          <t>unidad</t>
        </is>
      </c>
      <c r="D1198" s="8" t="n">
        <v>61.63</v>
      </c>
      <c r="E1198" s="8" t="n"/>
      <c r="F1198" s="8" t="n"/>
      <c r="G1198" s="8" t="n"/>
      <c r="H1198" s="8" t="n"/>
      <c r="I1198" s="8" t="n"/>
      <c r="J1198" s="8" t="n"/>
      <c r="K1198" s="8" t="n">
        <v>105</v>
      </c>
      <c r="L1198" s="8" t="n"/>
      <c r="M1198" s="8" t="n">
        <v>81.59999999999999</v>
      </c>
      <c r="N1198" s="8" t="n"/>
      <c r="O1198" s="8" t="n"/>
      <c r="P1198" s="8" t="n"/>
      <c r="Q1198" s="8">
        <f>IF(COUNT(D1198:P1198)=0,"",MIN(D1198:P1198))</f>
        <v/>
      </c>
      <c r="R1198" s="8">
        <f>IF(COUNT(D1198:P1198)=0,"",MEDIAN(D1198:P1198))</f>
        <v/>
      </c>
      <c r="S1198" s="8">
        <f>IF(COUNT(D1198:P1198)=0,"",MAX(D1198:P1198))</f>
        <v/>
      </c>
      <c r="T1198" s="9">
        <f>IF(OR(Q1198="",Q1198=0),"",(S1198-Q1198)/Q1198)</f>
        <v/>
      </c>
      <c r="U1198" s="7">
        <f>IF(COUNT(D1198:P1198)=0,"",INDEX($D$1:$P$1,MATCH(MIN(D1198:P1198),D1198:P1198,0)))</f>
        <v/>
      </c>
      <c r="V1198" s="8" t="n">
        <v>96.29000000000001</v>
      </c>
      <c r="W1198" s="10" t="n">
        <v>3</v>
      </c>
    </row>
    <row r="1199">
      <c r="A1199" s="7" t="inlineStr">
        <is>
          <t>MAT-22-037</t>
        </is>
      </c>
      <c r="B1199" s="4" t="inlineStr">
        <is>
          <t>Abrazadera corta para malla ciclónica 2"</t>
        </is>
      </c>
      <c r="C1199" s="7" t="inlineStr">
        <is>
          <t>unidad</t>
        </is>
      </c>
      <c r="D1199" s="8" t="n">
        <v>21.04</v>
      </c>
      <c r="E1199" s="8" t="n"/>
      <c r="F1199" s="8" t="n"/>
      <c r="G1199" s="8" t="n"/>
      <c r="H1199" s="8" t="n"/>
      <c r="I1199" s="8" t="n"/>
      <c r="J1199" s="8" t="n"/>
      <c r="K1199" s="8" t="n"/>
      <c r="L1199" s="8" t="n"/>
      <c r="M1199" s="8" t="n">
        <v>39.44</v>
      </c>
      <c r="N1199" s="8" t="n"/>
      <c r="O1199" s="8" t="n"/>
      <c r="P1199" s="8" t="n"/>
      <c r="Q1199" s="8">
        <f>IF(COUNT(D1199:P1199)=0,"",MIN(D1199:P1199))</f>
        <v/>
      </c>
      <c r="R1199" s="8">
        <f>IF(COUNT(D1199:P1199)=0,"",MEDIAN(D1199:P1199))</f>
        <v/>
      </c>
      <c r="S1199" s="8">
        <f>IF(COUNT(D1199:P1199)=0,"",MAX(D1199:P1199))</f>
        <v/>
      </c>
      <c r="T1199" s="9">
        <f>IF(OR(Q1199="",Q1199=0),"",(S1199-Q1199)/Q1199)</f>
        <v/>
      </c>
      <c r="U1199" s="7">
        <f>IF(COUNT(D1199:P1199)=0,"",INDEX($D$1:$P$1,MATCH(MIN(D1199:P1199),D1199:P1199,0)))</f>
        <v/>
      </c>
      <c r="V1199" s="8" t="n">
        <v>33.79</v>
      </c>
      <c r="W1199" s="10" t="n">
        <v>2</v>
      </c>
    </row>
    <row r="1200">
      <c r="A1200" s="7" t="inlineStr">
        <is>
          <t>MAT-22-038</t>
        </is>
      </c>
      <c r="B1200" s="4" t="inlineStr">
        <is>
          <t>Abrazadera larga para malla ciclónica 2"</t>
        </is>
      </c>
      <c r="C1200" s="7" t="inlineStr">
        <is>
          <t>unidad</t>
        </is>
      </c>
      <c r="D1200" s="8" t="n">
        <v>20.38</v>
      </c>
      <c r="E1200" s="8" t="n"/>
      <c r="F1200" s="8" t="n"/>
      <c r="G1200" s="8" t="n"/>
      <c r="H1200" s="8" t="n"/>
      <c r="I1200" s="8" t="n"/>
      <c r="J1200" s="8" t="n"/>
      <c r="K1200" s="8" t="n"/>
      <c r="L1200" s="8" t="n"/>
      <c r="M1200" s="8" t="n">
        <v>40.8</v>
      </c>
      <c r="N1200" s="8" t="n"/>
      <c r="O1200" s="8" t="n"/>
      <c r="P1200" s="8" t="n"/>
      <c r="Q1200" s="8">
        <f>IF(COUNT(D1200:P1200)=0,"",MIN(D1200:P1200))</f>
        <v/>
      </c>
      <c r="R1200" s="8">
        <f>IF(COUNT(D1200:P1200)=0,"",MEDIAN(D1200:P1200))</f>
        <v/>
      </c>
      <c r="S1200" s="8">
        <f>IF(COUNT(D1200:P1200)=0,"",MAX(D1200:P1200))</f>
        <v/>
      </c>
      <c r="T1200" s="9">
        <f>IF(OR(Q1200="",Q1200=0),"",(S1200-Q1200)/Q1200)</f>
        <v/>
      </c>
      <c r="U1200" s="7">
        <f>IF(COUNT(D1200:P1200)=0,"",INDEX($D$1:$P$1,MATCH(MIN(D1200:P1200),D1200:P1200,0)))</f>
        <v/>
      </c>
      <c r="V1200" s="8" t="n">
        <v>34.26</v>
      </c>
      <c r="W1200" s="10" t="n">
        <v>2</v>
      </c>
    </row>
    <row r="1201">
      <c r="A1201" s="7" t="inlineStr">
        <is>
          <t>MAT-22-039</t>
        </is>
      </c>
      <c r="B1201" s="4" t="inlineStr">
        <is>
          <t>Brazo sencillo para malla ciclónica 2" x 1 1/4"</t>
        </is>
      </c>
      <c r="C1201" s="7" t="inlineStr">
        <is>
          <t>unidad</t>
        </is>
      </c>
      <c r="D1201" s="8" t="n">
        <v>187.9</v>
      </c>
      <c r="E1201" s="8" t="n"/>
      <c r="F1201" s="8" t="n"/>
      <c r="G1201" s="8" t="n"/>
      <c r="H1201" s="8" t="n"/>
      <c r="I1201" s="8" t="n"/>
      <c r="J1201" s="8" t="n"/>
      <c r="K1201" s="8" t="n"/>
      <c r="L1201" s="8" t="n"/>
      <c r="M1201" s="8" t="n">
        <v>269.5</v>
      </c>
      <c r="N1201" s="8" t="n"/>
      <c r="O1201" s="8" t="n"/>
      <c r="P1201" s="8" t="n"/>
      <c r="Q1201" s="8">
        <f>IF(COUNT(D1201:P1201)=0,"",MIN(D1201:P1201))</f>
        <v/>
      </c>
      <c r="R1201" s="8">
        <f>IF(COUNT(D1201:P1201)=0,"",MEDIAN(D1201:P1201))</f>
        <v/>
      </c>
      <c r="S1201" s="8">
        <f>IF(COUNT(D1201:P1201)=0,"",MAX(D1201:P1201))</f>
        <v/>
      </c>
      <c r="T1201" s="9">
        <f>IF(OR(Q1201="",Q1201=0),"",(S1201-Q1201)/Q1201)</f>
        <v/>
      </c>
      <c r="U1201" s="7">
        <f>IF(COUNT(D1201:P1201)=0,"",INDEX($D$1:$P$1,MATCH(MIN(D1201:P1201),D1201:P1201,0)))</f>
        <v/>
      </c>
      <c r="V1201" s="8" t="n">
        <v>252.96</v>
      </c>
      <c r="W1201" s="10" t="n">
        <v>2</v>
      </c>
    </row>
    <row r="1202">
      <c r="A1202" s="7" t="inlineStr">
        <is>
          <t>MAT-22-040</t>
        </is>
      </c>
      <c r="B1202" s="4" t="inlineStr">
        <is>
          <t>Brazo doble para malla ciclónica 2" x 1 1/2"</t>
        </is>
      </c>
      <c r="C1202" s="7" t="inlineStr">
        <is>
          <t>unidad</t>
        </is>
      </c>
      <c r="D1202" s="8" t="n">
        <v>373.18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>
        <v>286</v>
      </c>
      <c r="N1202" s="8" t="n"/>
      <c r="O1202" s="8" t="n"/>
      <c r="P1202" s="8" t="n"/>
      <c r="Q1202" s="8">
        <f>IF(COUNT(D1202:P1202)=0,"",MIN(D1202:P1202))</f>
        <v/>
      </c>
      <c r="R1202" s="8">
        <f>IF(COUNT(D1202:P1202)=0,"",MEDIAN(D1202:P1202))</f>
        <v/>
      </c>
      <c r="S1202" s="8">
        <f>IF(COUNT(D1202:P1202)=0,"",MAX(D1202:P1202))</f>
        <v/>
      </c>
      <c r="T1202" s="9">
        <f>IF(OR(Q1202="",Q1202=0),"",(S1202-Q1202)/Q1202)</f>
        <v/>
      </c>
      <c r="U1202" s="7">
        <f>IF(COUNT(D1202:P1202)=0,"",INDEX($D$1:$P$1,MATCH(MIN(D1202:P1202),D1202:P1202,0)))</f>
        <v/>
      </c>
      <c r="V1202" s="8" t="n">
        <v>355.33</v>
      </c>
      <c r="W1202" s="10" t="n">
        <v>2</v>
      </c>
    </row>
    <row r="1203">
      <c r="A1203" s="7" t="inlineStr">
        <is>
          <t>MAT-22-041</t>
        </is>
      </c>
      <c r="B1203" s="4" t="inlineStr">
        <is>
          <t>Copa terminal para malla ciclónica 2"</t>
        </is>
      </c>
      <c r="C1203" s="7" t="inlineStr">
        <is>
          <t>unidad</t>
        </is>
      </c>
      <c r="D1203" s="8" t="n">
        <v>51.11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>
        <v>88.40000000000001</v>
      </c>
      <c r="N1203" s="8" t="n"/>
      <c r="O1203" s="8" t="n"/>
      <c r="P1203" s="8" t="n"/>
      <c r="Q1203" s="8">
        <f>IF(COUNT(D1203:P1203)=0,"",MIN(D1203:P1203))</f>
        <v/>
      </c>
      <c r="R1203" s="8">
        <f>IF(COUNT(D1203:P1203)=0,"",MEDIAN(D1203:P1203))</f>
        <v/>
      </c>
      <c r="S1203" s="8">
        <f>IF(COUNT(D1203:P1203)=0,"",MAX(D1203:P1203))</f>
        <v/>
      </c>
      <c r="T1203" s="9">
        <f>IF(OR(Q1203="",Q1203=0),"",(S1203-Q1203)/Q1203)</f>
        <v/>
      </c>
      <c r="U1203" s="7">
        <f>IF(COUNT(D1203:P1203)=0,"",INDEX($D$1:$P$1,MATCH(MIN(D1203:P1203),D1203:P1203,0)))</f>
        <v/>
      </c>
      <c r="V1203" s="8" t="n">
        <v>77.70999999999999</v>
      </c>
      <c r="W1203" s="10" t="n">
        <v>2</v>
      </c>
    </row>
    <row r="1204">
      <c r="A1204" s="7" t="inlineStr">
        <is>
          <t>MAT-22-042</t>
        </is>
      </c>
      <c r="B1204" s="4" t="inlineStr">
        <is>
          <t>Brazo para malla ciclónica 2 3/8" x 1 1/2"</t>
        </is>
      </c>
      <c r="C1204" s="7" t="inlineStr">
        <is>
          <t>unidad</t>
        </is>
      </c>
      <c r="D1204" s="8" t="n">
        <v>300.64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/>
      <c r="P1204" s="8" t="n"/>
      <c r="Q1204" s="8">
        <f>IF(COUNT(D1204:P1204)=0,"",MIN(D1204:P1204))</f>
        <v/>
      </c>
      <c r="R1204" s="8">
        <f>IF(COUNT(D1204:P1204)=0,"",MEDIAN(D1204:P1204))</f>
        <v/>
      </c>
      <c r="S1204" s="8">
        <f>IF(COUNT(D1204:P1204)=0,"",MAX(D1204:P1204))</f>
        <v/>
      </c>
      <c r="T1204" s="9">
        <f>IF(OR(Q1204="",Q1204=0),"",(S1204-Q1204)/Q1204)</f>
        <v/>
      </c>
      <c r="U1204" s="7">
        <f>IF(COUNT(D1204:P1204)=0,"",INDEX($D$1:$P$1,MATCH(MIN(D1204:P1204),D1204:P1204,0)))</f>
        <v/>
      </c>
      <c r="V1204" s="8" t="n">
        <v>300.64</v>
      </c>
      <c r="W1204" s="10" t="n">
        <v>1</v>
      </c>
    </row>
    <row r="1205">
      <c r="A1205" s="7" t="inlineStr">
        <is>
          <t>MAT-22-043</t>
        </is>
      </c>
      <c r="B1205" s="4" t="inlineStr">
        <is>
          <t>Copa terminal para malla ciclónica 3"</t>
        </is>
      </c>
      <c r="C1205" s="7" t="inlineStr">
        <is>
          <t>unidad</t>
        </is>
      </c>
      <c r="D1205" s="8" t="n">
        <v>36.5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>
        <f>IF(COUNT(D1205:P1205)=0,"",MIN(D1205:P1205))</f>
        <v/>
      </c>
      <c r="R1205" s="8">
        <f>IF(COUNT(D1205:P1205)=0,"",MEDIAN(D1205:P1205))</f>
        <v/>
      </c>
      <c r="S1205" s="8">
        <f>IF(COUNT(D1205:P1205)=0,"",MAX(D1205:P1205))</f>
        <v/>
      </c>
      <c r="T1205" s="9">
        <f>IF(OR(Q1205="",Q1205=0),"",(S1205-Q1205)/Q1205)</f>
        <v/>
      </c>
      <c r="U1205" s="7">
        <f>IF(COUNT(D1205:P1205)=0,"",INDEX($D$1:$P$1,MATCH(MIN(D1205:P1205),D1205:P1205,0)))</f>
        <v/>
      </c>
      <c r="V1205" s="8" t="n">
        <v>36.5</v>
      </c>
      <c r="W1205" s="10" t="n">
        <v>1</v>
      </c>
    </row>
    <row r="1206">
      <c r="A1206" s="7" t="inlineStr">
        <is>
          <t>MAT-23-001</t>
        </is>
      </c>
      <c r="B1206" s="4" t="inlineStr">
        <is>
          <t>Tubo redondo de aluminio 3/8" x 19.20 pies</t>
        </is>
      </c>
      <c r="C1206" s="7" t="inlineStr">
        <is>
          <t>unidad</t>
        </is>
      </c>
      <c r="D1206" s="8" t="n">
        <v>299.9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>
        <f>IF(COUNT(D1206:P1206)=0,"",MIN(D1206:P1206))</f>
        <v/>
      </c>
      <c r="R1206" s="8">
        <f>IF(COUNT(D1206:P1206)=0,"",MEDIAN(D1206:P1206))</f>
        <v/>
      </c>
      <c r="S1206" s="8">
        <f>IF(COUNT(D1206:P1206)=0,"",MAX(D1206:P1206))</f>
        <v/>
      </c>
      <c r="T1206" s="9">
        <f>IF(OR(Q1206="",Q1206=0),"",(S1206-Q1206)/Q1206)</f>
        <v/>
      </c>
      <c r="U1206" s="7">
        <f>IF(COUNT(D1206:P1206)=0,"",INDEX($D$1:$P$1,MATCH(MIN(D1206:P1206),D1206:P1206,0)))</f>
        <v/>
      </c>
      <c r="V1206" s="8" t="n">
        <v>299.9</v>
      </c>
      <c r="W1206" s="10" t="n">
        <v>1</v>
      </c>
    </row>
    <row r="1207">
      <c r="A1207" s="7" t="inlineStr">
        <is>
          <t>MAT-23-002</t>
        </is>
      </c>
      <c r="B1207" s="4" t="inlineStr">
        <is>
          <t>Tubo redondo de aluminio 1/2" x 19.20 pies</t>
        </is>
      </c>
      <c r="C1207" s="7" t="inlineStr">
        <is>
          <t>unidad</t>
        </is>
      </c>
      <c r="D1207" s="8" t="n">
        <v>373.61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>
        <f>IF(COUNT(D1207:P1207)=0,"",MIN(D1207:P1207))</f>
        <v/>
      </c>
      <c r="R1207" s="8">
        <f>IF(COUNT(D1207:P1207)=0,"",MEDIAN(D1207:P1207))</f>
        <v/>
      </c>
      <c r="S1207" s="8">
        <f>IF(COUNT(D1207:P1207)=0,"",MAX(D1207:P1207))</f>
        <v/>
      </c>
      <c r="T1207" s="9">
        <f>IF(OR(Q1207="",Q1207=0),"",(S1207-Q1207)/Q1207)</f>
        <v/>
      </c>
      <c r="U1207" s="7">
        <f>IF(COUNT(D1207:P1207)=0,"",INDEX($D$1:$P$1,MATCH(MIN(D1207:P1207),D1207:P1207,0)))</f>
        <v/>
      </c>
      <c r="V1207" s="8" t="n">
        <v>373.61</v>
      </c>
      <c r="W1207" s="10" t="n">
        <v>1</v>
      </c>
    </row>
    <row r="1208">
      <c r="A1208" s="7" t="inlineStr">
        <is>
          <t>MAT-23-003</t>
        </is>
      </c>
      <c r="B1208" s="4" t="inlineStr">
        <is>
          <t>Planchuela de aluminio 1/2" x 1/8" x 19.20 pies</t>
        </is>
      </c>
      <c r="C1208" s="7" t="inlineStr">
        <is>
          <t>unidad</t>
        </is>
      </c>
      <c r="D1208" s="8" t="n">
        <v>452.36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>
        <f>IF(COUNT(D1208:P1208)=0,"",MIN(D1208:P1208))</f>
        <v/>
      </c>
      <c r="R1208" s="8">
        <f>IF(COUNT(D1208:P1208)=0,"",MEDIAN(D1208:P1208))</f>
        <v/>
      </c>
      <c r="S1208" s="8">
        <f>IF(COUNT(D1208:P1208)=0,"",MAX(D1208:P1208))</f>
        <v/>
      </c>
      <c r="T1208" s="9">
        <f>IF(OR(Q1208="",Q1208=0),"",(S1208-Q1208)/Q1208)</f>
        <v/>
      </c>
      <c r="U1208" s="7">
        <f>IF(COUNT(D1208:P1208)=0,"",INDEX($D$1:$P$1,MATCH(MIN(D1208:P1208),D1208:P1208,0)))</f>
        <v/>
      </c>
      <c r="V1208" s="8" t="n">
        <v>452.36</v>
      </c>
      <c r="W1208" s="10" t="n">
        <v>1</v>
      </c>
    </row>
    <row r="1209">
      <c r="A1209" s="7" t="inlineStr">
        <is>
          <t>MAT-23-004</t>
        </is>
      </c>
      <c r="B1209" s="4" t="inlineStr">
        <is>
          <t>Angular de aluminio 1/2" x 1/2" x 19.20 pies</t>
        </is>
      </c>
      <c r="C1209" s="7" t="inlineStr">
        <is>
          <t>unidad</t>
        </is>
      </c>
      <c r="D1209" s="8" t="n">
        <v>394.72</v>
      </c>
      <c r="E1209" s="8" t="n"/>
      <c r="F1209" s="8" t="n"/>
      <c r="G1209" s="8" t="n"/>
      <c r="H1209" s="8" t="n"/>
      <c r="I1209" s="8" t="n"/>
      <c r="J1209" s="8" t="n"/>
      <c r="K1209" s="8" t="n">
        <v>295</v>
      </c>
      <c r="L1209" s="8" t="n"/>
      <c r="M1209" s="8" t="n"/>
      <c r="N1209" s="8" t="n"/>
      <c r="O1209" s="8" t="n"/>
      <c r="P1209" s="8" t="n"/>
      <c r="Q1209" s="8">
        <f>IF(COUNT(D1209:P1209)=0,"",MIN(D1209:P1209))</f>
        <v/>
      </c>
      <c r="R1209" s="8">
        <f>IF(COUNT(D1209:P1209)=0,"",MEDIAN(D1209:P1209))</f>
        <v/>
      </c>
      <c r="S1209" s="8">
        <f>IF(COUNT(D1209:P1209)=0,"",MAX(D1209:P1209))</f>
        <v/>
      </c>
      <c r="T1209" s="9">
        <f>IF(OR(Q1209="",Q1209=0),"",(S1209-Q1209)/Q1209)</f>
        <v/>
      </c>
      <c r="U1209" s="7">
        <f>IF(COUNT(D1209:P1209)=0,"",INDEX($D$1:$P$1,MATCH(MIN(D1209:P1209),D1209:P1209,0)))</f>
        <v/>
      </c>
      <c r="V1209" s="8" t="n">
        <v>344.86</v>
      </c>
      <c r="W1209" s="10" t="n">
        <v>2</v>
      </c>
    </row>
    <row r="1210">
      <c r="A1210" s="7" t="inlineStr">
        <is>
          <t>MAT-23-005</t>
        </is>
      </c>
      <c r="B1210" s="4" t="inlineStr">
        <is>
          <t>Moldura U de aluminio 1/2" x 1/2" x 19.20 pies</t>
        </is>
      </c>
      <c r="C1210" s="7" t="inlineStr">
        <is>
          <t>unidad</t>
        </is>
      </c>
      <c r="D1210" s="8" t="n">
        <v>377.71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/>
      <c r="P1210" s="8" t="n"/>
      <c r="Q1210" s="8">
        <f>IF(COUNT(D1210:P1210)=0,"",MIN(D1210:P1210))</f>
        <v/>
      </c>
      <c r="R1210" s="8">
        <f>IF(COUNT(D1210:P1210)=0,"",MEDIAN(D1210:P1210))</f>
        <v/>
      </c>
      <c r="S1210" s="8">
        <f>IF(COUNT(D1210:P1210)=0,"",MAX(D1210:P1210))</f>
        <v/>
      </c>
      <c r="T1210" s="9">
        <f>IF(OR(Q1210="",Q1210=0),"",(S1210-Q1210)/Q1210)</f>
        <v/>
      </c>
      <c r="U1210" s="7">
        <f>IF(COUNT(D1210:P1210)=0,"",INDEX($D$1:$P$1,MATCH(MIN(D1210:P1210),D1210:P1210,0)))</f>
        <v/>
      </c>
      <c r="V1210" s="8" t="n">
        <v>377.71</v>
      </c>
      <c r="W1210" s="10" t="n">
        <v>1</v>
      </c>
    </row>
    <row r="1211">
      <c r="A1211" s="7" t="inlineStr">
        <is>
          <t>MAT-23-006</t>
        </is>
      </c>
      <c r="B1211" s="4" t="inlineStr">
        <is>
          <t>Moldura U de aluminio 5/8" x 5/8" x 19.20 pies</t>
        </is>
      </c>
      <c r="C1211" s="7" t="inlineStr">
        <is>
          <t>unidad</t>
        </is>
      </c>
      <c r="D1211" s="8" t="n">
        <v>827.9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 t="n"/>
      <c r="P1211" s="8" t="n"/>
      <c r="Q1211" s="8">
        <f>IF(COUNT(D1211:P1211)=0,"",MIN(D1211:P1211))</f>
        <v/>
      </c>
      <c r="R1211" s="8">
        <f>IF(COUNT(D1211:P1211)=0,"",MEDIAN(D1211:P1211))</f>
        <v/>
      </c>
      <c r="S1211" s="8">
        <f>IF(COUNT(D1211:P1211)=0,"",MAX(D1211:P1211))</f>
        <v/>
      </c>
      <c r="T1211" s="9">
        <f>IF(OR(Q1211="",Q1211=0),"",(S1211-Q1211)/Q1211)</f>
        <v/>
      </c>
      <c r="U1211" s="7">
        <f>IF(COUNT(D1211:P1211)=0,"",INDEX($D$1:$P$1,MATCH(MIN(D1211:P1211),D1211:P1211,0)))</f>
        <v/>
      </c>
      <c r="V1211" s="8" t="n">
        <v>827.9</v>
      </c>
      <c r="W1211" s="10" t="n">
        <v>1</v>
      </c>
    </row>
    <row r="1212">
      <c r="A1212" s="7" t="inlineStr">
        <is>
          <t>MAT-23-007</t>
        </is>
      </c>
      <c r="B1212" s="4" t="inlineStr">
        <is>
          <t>Tubo redondo de aluminio 3/4" x 19.20 pies</t>
        </is>
      </c>
      <c r="C1212" s="7" t="inlineStr">
        <is>
          <t>unidad</t>
        </is>
      </c>
      <c r="D1212" s="8" t="n">
        <v>772.42</v>
      </c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/>
      <c r="P1212" s="8" t="n"/>
      <c r="Q1212" s="8">
        <f>IF(COUNT(D1212:P1212)=0,"",MIN(D1212:P1212))</f>
        <v/>
      </c>
      <c r="R1212" s="8">
        <f>IF(COUNT(D1212:P1212)=0,"",MEDIAN(D1212:P1212))</f>
        <v/>
      </c>
      <c r="S1212" s="8">
        <f>IF(COUNT(D1212:P1212)=0,"",MAX(D1212:P1212))</f>
        <v/>
      </c>
      <c r="T1212" s="9">
        <f>IF(OR(Q1212="",Q1212=0),"",(S1212-Q1212)/Q1212)</f>
        <v/>
      </c>
      <c r="U1212" s="7">
        <f>IF(COUNT(D1212:P1212)=0,"",INDEX($D$1:$P$1,MATCH(MIN(D1212:P1212),D1212:P1212,0)))</f>
        <v/>
      </c>
      <c r="V1212" s="8" t="n">
        <v>772.42</v>
      </c>
      <c r="W1212" s="10" t="n">
        <v>1</v>
      </c>
    </row>
    <row r="1213">
      <c r="A1213" s="7" t="inlineStr">
        <is>
          <t>MAT-23-008</t>
        </is>
      </c>
      <c r="B1213" s="4" t="inlineStr">
        <is>
          <t>Angular de aluminio 3/4" x 3/4" x 19.20 pies</t>
        </is>
      </c>
      <c r="C1213" s="7" t="inlineStr">
        <is>
          <t>unidad</t>
        </is>
      </c>
      <c r="D1213" s="8" t="n">
        <v>436.29</v>
      </c>
      <c r="E1213" s="8" t="n"/>
      <c r="F1213" s="8" t="n"/>
      <c r="G1213" s="8" t="n"/>
      <c r="H1213" s="8" t="n"/>
      <c r="I1213" s="8" t="n"/>
      <c r="J1213" s="8" t="n"/>
      <c r="K1213" s="8" t="n">
        <v>445</v>
      </c>
      <c r="L1213" s="8" t="n"/>
      <c r="M1213" s="8" t="n"/>
      <c r="N1213" s="8" t="n"/>
      <c r="O1213" s="8" t="n"/>
      <c r="P1213" s="8" t="n"/>
      <c r="Q1213" s="8">
        <f>IF(COUNT(D1213:P1213)=0,"",MIN(D1213:P1213))</f>
        <v/>
      </c>
      <c r="R1213" s="8">
        <f>IF(COUNT(D1213:P1213)=0,"",MEDIAN(D1213:P1213))</f>
        <v/>
      </c>
      <c r="S1213" s="8">
        <f>IF(COUNT(D1213:P1213)=0,"",MAX(D1213:P1213))</f>
        <v/>
      </c>
      <c r="T1213" s="9">
        <f>IF(OR(Q1213="",Q1213=0),"",(S1213-Q1213)/Q1213)</f>
        <v/>
      </c>
      <c r="U1213" s="7">
        <f>IF(COUNT(D1213:P1213)=0,"",INDEX($D$1:$P$1,MATCH(MIN(D1213:P1213),D1213:P1213,0)))</f>
        <v/>
      </c>
      <c r="V1213" s="8" t="n">
        <v>440.65</v>
      </c>
      <c r="W1213" s="10" t="n">
        <v>2</v>
      </c>
    </row>
    <row r="1214">
      <c r="A1214" s="7" t="inlineStr">
        <is>
          <t>MAT-23-009</t>
        </is>
      </c>
      <c r="B1214" s="4" t="inlineStr">
        <is>
          <t>Tubo redondo de aluminio 1" x 19.20 pies</t>
        </is>
      </c>
      <c r="C1214" s="7" t="inlineStr">
        <is>
          <t>unidad</t>
        </is>
      </c>
      <c r="D1214" s="8" t="n">
        <v>957.33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>
        <f>IF(COUNT(D1214:P1214)=0,"",MIN(D1214:P1214))</f>
        <v/>
      </c>
      <c r="R1214" s="8">
        <f>IF(COUNT(D1214:P1214)=0,"",MEDIAN(D1214:P1214))</f>
        <v/>
      </c>
      <c r="S1214" s="8">
        <f>IF(COUNT(D1214:P1214)=0,"",MAX(D1214:P1214))</f>
        <v/>
      </c>
      <c r="T1214" s="9">
        <f>IF(OR(Q1214="",Q1214=0),"",(S1214-Q1214)/Q1214)</f>
        <v/>
      </c>
      <c r="U1214" s="7">
        <f>IF(COUNT(D1214:P1214)=0,"",INDEX($D$1:$P$1,MATCH(MIN(D1214:P1214),D1214:P1214,0)))</f>
        <v/>
      </c>
      <c r="V1214" s="8" t="n">
        <v>957.33</v>
      </c>
      <c r="W1214" s="10" t="n">
        <v>1</v>
      </c>
    </row>
    <row r="1215">
      <c r="A1215" s="7" t="inlineStr">
        <is>
          <t>MAT-23-010</t>
        </is>
      </c>
      <c r="B1215" s="4" t="inlineStr">
        <is>
          <t>Planchuela de aluminio 1" x 1/4" x 19.20 pies</t>
        </is>
      </c>
      <c r="C1215" s="7" t="inlineStr">
        <is>
          <t>unidad</t>
        </is>
      </c>
      <c r="D1215" s="8" t="n">
        <v>1709.91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>
        <f>IF(COUNT(D1215:P1215)=0,"",MIN(D1215:P1215))</f>
        <v/>
      </c>
      <c r="R1215" s="8">
        <f>IF(COUNT(D1215:P1215)=0,"",MEDIAN(D1215:P1215))</f>
        <v/>
      </c>
      <c r="S1215" s="8">
        <f>IF(COUNT(D1215:P1215)=0,"",MAX(D1215:P1215))</f>
        <v/>
      </c>
      <c r="T1215" s="9">
        <f>IF(OR(Q1215="",Q1215=0),"",(S1215-Q1215)/Q1215)</f>
        <v/>
      </c>
      <c r="U1215" s="7">
        <f>IF(COUNT(D1215:P1215)=0,"",INDEX($D$1:$P$1,MATCH(MIN(D1215:P1215),D1215:P1215,0)))</f>
        <v/>
      </c>
      <c r="V1215" s="8" t="n">
        <v>1709.91</v>
      </c>
      <c r="W1215" s="10" t="n">
        <v>1</v>
      </c>
    </row>
    <row r="1216">
      <c r="A1216" s="7" t="inlineStr">
        <is>
          <t>MAT-23-011</t>
        </is>
      </c>
      <c r="B1216" s="4" t="inlineStr">
        <is>
          <t>Angular de aluminio 1" x 3/4" x 19.20 pies</t>
        </is>
      </c>
      <c r="C1216" s="7" t="inlineStr">
        <is>
          <t>unidad</t>
        </is>
      </c>
      <c r="D1216" s="8" t="n">
        <v>626.5700000000001</v>
      </c>
      <c r="E1216" s="8" t="n"/>
      <c r="F1216" s="8" t="n"/>
      <c r="G1216" s="8" t="n"/>
      <c r="H1216" s="8" t="n"/>
      <c r="I1216" s="8" t="n"/>
      <c r="J1216" s="8" t="n"/>
      <c r="K1216" s="8" t="n">
        <v>755</v>
      </c>
      <c r="L1216" s="8" t="n"/>
      <c r="M1216" s="8" t="n"/>
      <c r="N1216" s="8" t="n"/>
      <c r="O1216" s="8" t="n"/>
      <c r="P1216" s="8" t="n"/>
      <c r="Q1216" s="8">
        <f>IF(COUNT(D1216:P1216)=0,"",MIN(D1216:P1216))</f>
        <v/>
      </c>
      <c r="R1216" s="8">
        <f>IF(COUNT(D1216:P1216)=0,"",MEDIAN(D1216:P1216))</f>
        <v/>
      </c>
      <c r="S1216" s="8">
        <f>IF(COUNT(D1216:P1216)=0,"",MAX(D1216:P1216))</f>
        <v/>
      </c>
      <c r="T1216" s="9">
        <f>IF(OR(Q1216="",Q1216=0),"",(S1216-Q1216)/Q1216)</f>
        <v/>
      </c>
      <c r="U1216" s="7">
        <f>IF(COUNT(D1216:P1216)=0,"",INDEX($D$1:$P$1,MATCH(MIN(D1216:P1216),D1216:P1216,0)))</f>
        <v/>
      </c>
      <c r="V1216" s="8" t="n">
        <v>690.79</v>
      </c>
      <c r="W1216" s="10" t="n">
        <v>2</v>
      </c>
    </row>
    <row r="1217">
      <c r="A1217" s="7" t="inlineStr">
        <is>
          <t>MAT-23-012</t>
        </is>
      </c>
      <c r="B1217" s="4" t="inlineStr">
        <is>
          <t>Perfil de aluminio 1" x 1" x 19.20 pies</t>
        </is>
      </c>
      <c r="C1217" s="7" t="inlineStr">
        <is>
          <t>unidad</t>
        </is>
      </c>
      <c r="D1217" s="8" t="n">
        <v>1336.93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/>
      <c r="P1217" s="8" t="n"/>
      <c r="Q1217" s="8">
        <f>IF(COUNT(D1217:P1217)=0,"",MIN(D1217:P1217))</f>
        <v/>
      </c>
      <c r="R1217" s="8">
        <f>IF(COUNT(D1217:P1217)=0,"",MEDIAN(D1217:P1217))</f>
        <v/>
      </c>
      <c r="S1217" s="8">
        <f>IF(COUNT(D1217:P1217)=0,"",MAX(D1217:P1217))</f>
        <v/>
      </c>
      <c r="T1217" s="9">
        <f>IF(OR(Q1217="",Q1217=0),"",(S1217-Q1217)/Q1217)</f>
        <v/>
      </c>
      <c r="U1217" s="7">
        <f>IF(COUNT(D1217:P1217)=0,"",INDEX($D$1:$P$1,MATCH(MIN(D1217:P1217),D1217:P1217,0)))</f>
        <v/>
      </c>
      <c r="V1217" s="8" t="n">
        <v>1336.93</v>
      </c>
      <c r="W1217" s="10" t="n">
        <v>1</v>
      </c>
    </row>
    <row r="1218">
      <c r="A1218" s="7" t="inlineStr">
        <is>
          <t>MAT-23-013</t>
        </is>
      </c>
      <c r="B1218" s="4" t="inlineStr">
        <is>
          <t>Tubo redondo de aluminio 1 1/4" x 19.20 pies</t>
        </is>
      </c>
      <c r="C1218" s="7" t="inlineStr">
        <is>
          <t>unidad</t>
        </is>
      </c>
      <c r="D1218" s="8" t="n">
        <v>2185.58</v>
      </c>
      <c r="E1218" s="8" t="n"/>
      <c r="F1218" s="8" t="n"/>
      <c r="G1218" s="8" t="n"/>
      <c r="H1218" s="8" t="n"/>
      <c r="I1218" s="8" t="n"/>
      <c r="J1218" s="8" t="n"/>
      <c r="K1218" s="8" t="n"/>
      <c r="L1218" s="8" t="n"/>
      <c r="M1218" s="8" t="n"/>
      <c r="N1218" s="8" t="n"/>
      <c r="O1218" s="8" t="n"/>
      <c r="P1218" s="8" t="n"/>
      <c r="Q1218" s="8">
        <f>IF(COUNT(D1218:P1218)=0,"",MIN(D1218:P1218))</f>
        <v/>
      </c>
      <c r="R1218" s="8">
        <f>IF(COUNT(D1218:P1218)=0,"",MEDIAN(D1218:P1218))</f>
        <v/>
      </c>
      <c r="S1218" s="8">
        <f>IF(COUNT(D1218:P1218)=0,"",MAX(D1218:P1218))</f>
        <v/>
      </c>
      <c r="T1218" s="9">
        <f>IF(OR(Q1218="",Q1218=0),"",(S1218-Q1218)/Q1218)</f>
        <v/>
      </c>
      <c r="U1218" s="7">
        <f>IF(COUNT(D1218:P1218)=0,"",INDEX($D$1:$P$1,MATCH(MIN(D1218:P1218),D1218:P1218,0)))</f>
        <v/>
      </c>
      <c r="V1218" s="8" t="n">
        <v>2185.58</v>
      </c>
      <c r="W1218" s="10" t="n">
        <v>1</v>
      </c>
    </row>
    <row r="1219">
      <c r="A1219" s="7" t="inlineStr">
        <is>
          <t>MAT-23-014</t>
        </is>
      </c>
      <c r="B1219" s="4" t="inlineStr">
        <is>
          <t>Angular de aluminio 1 1/4" x 1 1/4" x 19.20 pies</t>
        </is>
      </c>
      <c r="C1219" s="7" t="inlineStr">
        <is>
          <t>unidad</t>
        </is>
      </c>
      <c r="D1219" s="8" t="n">
        <v>982.22</v>
      </c>
      <c r="E1219" s="8" t="n"/>
      <c r="F1219" s="8" t="n"/>
      <c r="G1219" s="8" t="n"/>
      <c r="H1219" s="8" t="n"/>
      <c r="I1219" s="8" t="n"/>
      <c r="J1219" s="8" t="n"/>
      <c r="K1219" s="8" t="n">
        <v>1165</v>
      </c>
      <c r="L1219" s="8" t="n"/>
      <c r="M1219" s="8" t="n"/>
      <c r="N1219" s="8" t="n"/>
      <c r="O1219" s="8" t="n"/>
      <c r="P1219" s="8" t="n"/>
      <c r="Q1219" s="8">
        <f>IF(COUNT(D1219:P1219)=0,"",MIN(D1219:P1219))</f>
        <v/>
      </c>
      <c r="R1219" s="8">
        <f>IF(COUNT(D1219:P1219)=0,"",MEDIAN(D1219:P1219))</f>
        <v/>
      </c>
      <c r="S1219" s="8">
        <f>IF(COUNT(D1219:P1219)=0,"",MAX(D1219:P1219))</f>
        <v/>
      </c>
      <c r="T1219" s="9">
        <f>IF(OR(Q1219="",Q1219=0),"",(S1219-Q1219)/Q1219)</f>
        <v/>
      </c>
      <c r="U1219" s="7">
        <f>IF(COUNT(D1219:P1219)=0,"",INDEX($D$1:$P$1,MATCH(MIN(D1219:P1219),D1219:P1219,0)))</f>
        <v/>
      </c>
      <c r="V1219" s="8" t="n">
        <v>1073.61</v>
      </c>
      <c r="W1219" s="10" t="n">
        <v>2</v>
      </c>
    </row>
    <row r="1220">
      <c r="A1220" s="7" t="inlineStr">
        <is>
          <t>MAT-23-015</t>
        </is>
      </c>
      <c r="B1220" s="4" t="inlineStr">
        <is>
          <t>Planchuela de aluminio 1 1/2" x 1/4" x 19.20 pies</t>
        </is>
      </c>
      <c r="C1220" s="7" t="inlineStr">
        <is>
          <t>unidad</t>
        </is>
      </c>
      <c r="D1220" s="8" t="n">
        <v>2567.7</v>
      </c>
      <c r="E1220" s="8" t="n"/>
      <c r="F1220" s="8" t="n"/>
      <c r="G1220" s="8" t="n"/>
      <c r="H1220" s="8" t="n"/>
      <c r="I1220" s="8" t="n"/>
      <c r="J1220" s="8" t="n"/>
      <c r="K1220" s="8" t="n"/>
      <c r="L1220" s="8" t="n"/>
      <c r="M1220" s="8" t="n"/>
      <c r="N1220" s="8" t="n"/>
      <c r="O1220" s="8" t="n"/>
      <c r="P1220" s="8" t="n"/>
      <c r="Q1220" s="8">
        <f>IF(COUNT(D1220:P1220)=0,"",MIN(D1220:P1220))</f>
        <v/>
      </c>
      <c r="R1220" s="8">
        <f>IF(COUNT(D1220:P1220)=0,"",MEDIAN(D1220:P1220))</f>
        <v/>
      </c>
      <c r="S1220" s="8">
        <f>IF(COUNT(D1220:P1220)=0,"",MAX(D1220:P1220))</f>
        <v/>
      </c>
      <c r="T1220" s="9">
        <f>IF(OR(Q1220="",Q1220=0),"",(S1220-Q1220)/Q1220)</f>
        <v/>
      </c>
      <c r="U1220" s="7">
        <f>IF(COUNT(D1220:P1220)=0,"",INDEX($D$1:$P$1,MATCH(MIN(D1220:P1220),D1220:P1220,0)))</f>
        <v/>
      </c>
      <c r="V1220" s="8" t="n">
        <v>2567.7</v>
      </c>
      <c r="W1220" s="10" t="n">
        <v>1</v>
      </c>
    </row>
    <row r="1221">
      <c r="A1221" s="7" t="inlineStr">
        <is>
          <t>MAT-23-016</t>
        </is>
      </c>
      <c r="B1221" s="4" t="inlineStr">
        <is>
          <t>Moldura U de aluminio 1 1/2" x 3/4" x 19.20 pies</t>
        </is>
      </c>
      <c r="C1221" s="7" t="inlineStr">
        <is>
          <t>unidad</t>
        </is>
      </c>
      <c r="D1221" s="8" t="n">
        <v>1117.37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>
        <f>IF(COUNT(D1221:P1221)=0,"",MIN(D1221:P1221))</f>
        <v/>
      </c>
      <c r="R1221" s="8">
        <f>IF(COUNT(D1221:P1221)=0,"",MEDIAN(D1221:P1221))</f>
        <v/>
      </c>
      <c r="S1221" s="8">
        <f>IF(COUNT(D1221:P1221)=0,"",MAX(D1221:P1221))</f>
        <v/>
      </c>
      <c r="T1221" s="9">
        <f>IF(OR(Q1221="",Q1221=0),"",(S1221-Q1221)/Q1221)</f>
        <v/>
      </c>
      <c r="U1221" s="7">
        <f>IF(COUNT(D1221:P1221)=0,"",INDEX($D$1:$P$1,MATCH(MIN(D1221:P1221),D1221:P1221,0)))</f>
        <v/>
      </c>
      <c r="V1221" s="8" t="n">
        <v>1117.37</v>
      </c>
      <c r="W1221" s="10" t="n">
        <v>1</v>
      </c>
    </row>
    <row r="1222">
      <c r="A1222" s="7" t="inlineStr">
        <is>
          <t>MAT-23-017</t>
        </is>
      </c>
      <c r="B1222" s="4" t="inlineStr">
        <is>
          <t>Angular de aluminio 1 1/2" x 1 1/2" x 19.20 pies</t>
        </is>
      </c>
      <c r="C1222" s="7" t="inlineStr">
        <is>
          <t>unidad</t>
        </is>
      </c>
      <c r="D1222" s="8" t="n">
        <v>2473.52</v>
      </c>
      <c r="E1222" s="8" t="n"/>
      <c r="F1222" s="8" t="n"/>
      <c r="G1222" s="8" t="n"/>
      <c r="H1222" s="8" t="n"/>
      <c r="I1222" s="8" t="n"/>
      <c r="J1222" s="8" t="n"/>
      <c r="K1222" s="8" t="n"/>
      <c r="L1222" s="8" t="n"/>
      <c r="M1222" s="8" t="n"/>
      <c r="N1222" s="8" t="n"/>
      <c r="O1222" s="8" t="n"/>
      <c r="P1222" s="8" t="n"/>
      <c r="Q1222" s="8">
        <f>IF(COUNT(D1222:P1222)=0,"",MIN(D1222:P1222))</f>
        <v/>
      </c>
      <c r="R1222" s="8">
        <f>IF(COUNT(D1222:P1222)=0,"",MEDIAN(D1222:P1222))</f>
        <v/>
      </c>
      <c r="S1222" s="8">
        <f>IF(COUNT(D1222:P1222)=0,"",MAX(D1222:P1222))</f>
        <v/>
      </c>
      <c r="T1222" s="9">
        <f>IF(OR(Q1222="",Q1222=0),"",(S1222-Q1222)/Q1222)</f>
        <v/>
      </c>
      <c r="U1222" s="7">
        <f>IF(COUNT(D1222:P1222)=0,"",INDEX($D$1:$P$1,MATCH(MIN(D1222:P1222),D1222:P1222,0)))</f>
        <v/>
      </c>
      <c r="V1222" s="8" t="n">
        <v>2473.52</v>
      </c>
      <c r="W1222" s="10" t="n">
        <v>1</v>
      </c>
    </row>
    <row r="1223">
      <c r="A1223" s="7" t="inlineStr">
        <is>
          <t>MAT-23-018</t>
        </is>
      </c>
      <c r="B1223" s="4" t="inlineStr">
        <is>
          <t>Perfil cuadrado de aluminio 1 1/2" x 1 1/2" x 19.20 pies</t>
        </is>
      </c>
      <c r="C1223" s="7" t="inlineStr">
        <is>
          <t>unidad</t>
        </is>
      </c>
      <c r="D1223" s="8" t="n">
        <v>1701.73</v>
      </c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8" t="n"/>
      <c r="N1223" s="8" t="n"/>
      <c r="O1223" s="8" t="n"/>
      <c r="P1223" s="8" t="n"/>
      <c r="Q1223" s="8">
        <f>IF(COUNT(D1223:P1223)=0,"",MIN(D1223:P1223))</f>
        <v/>
      </c>
      <c r="R1223" s="8">
        <f>IF(COUNT(D1223:P1223)=0,"",MEDIAN(D1223:P1223))</f>
        <v/>
      </c>
      <c r="S1223" s="8">
        <f>IF(COUNT(D1223:P1223)=0,"",MAX(D1223:P1223))</f>
        <v/>
      </c>
      <c r="T1223" s="9">
        <f>IF(OR(Q1223="",Q1223=0),"",(S1223-Q1223)/Q1223)</f>
        <v/>
      </c>
      <c r="U1223" s="7">
        <f>IF(COUNT(D1223:P1223)=0,"",INDEX($D$1:$P$1,MATCH(MIN(D1223:P1223),D1223:P1223,0)))</f>
        <v/>
      </c>
      <c r="V1223" s="8" t="n">
        <v>1701.73</v>
      </c>
      <c r="W1223" s="10" t="n">
        <v>1</v>
      </c>
    </row>
    <row r="1224">
      <c r="A1224" s="7" t="inlineStr">
        <is>
          <t>MAT-23-019</t>
        </is>
      </c>
      <c r="B1224" s="4" t="inlineStr">
        <is>
          <t>Perfil rectangular de aluminio 2" x 1" x 19.20 pies</t>
        </is>
      </c>
      <c r="C1224" s="7" t="inlineStr">
        <is>
          <t>unidad</t>
        </is>
      </c>
      <c r="D1224" s="8" t="n">
        <v>1846.63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/>
      <c r="P1224" s="8" t="n"/>
      <c r="Q1224" s="8">
        <f>IF(COUNT(D1224:P1224)=0,"",MIN(D1224:P1224))</f>
        <v/>
      </c>
      <c r="R1224" s="8">
        <f>IF(COUNT(D1224:P1224)=0,"",MEDIAN(D1224:P1224))</f>
        <v/>
      </c>
      <c r="S1224" s="8">
        <f>IF(COUNT(D1224:P1224)=0,"",MAX(D1224:P1224))</f>
        <v/>
      </c>
      <c r="T1224" s="9">
        <f>IF(OR(Q1224="",Q1224=0),"",(S1224-Q1224)/Q1224)</f>
        <v/>
      </c>
      <c r="U1224" s="7">
        <f>IF(COUNT(D1224:P1224)=0,"",INDEX($D$1:$P$1,MATCH(MIN(D1224:P1224),D1224:P1224,0)))</f>
        <v/>
      </c>
      <c r="V1224" s="8" t="n">
        <v>1846.63</v>
      </c>
      <c r="W1224" s="10" t="n">
        <v>1</v>
      </c>
    </row>
    <row r="1225">
      <c r="A1225" s="7" t="inlineStr">
        <is>
          <t>MAT-23-020</t>
        </is>
      </c>
      <c r="B1225" s="4" t="inlineStr">
        <is>
          <t>Angular de aluminio 2" x 2" x 19.20 pies</t>
        </is>
      </c>
      <c r="C1225" s="7" t="inlineStr">
        <is>
          <t>unidad</t>
        </is>
      </c>
      <c r="D1225" s="8" t="n">
        <v>3334.76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/>
      <c r="P1225" s="8" t="n"/>
      <c r="Q1225" s="8">
        <f>IF(COUNT(D1225:P1225)=0,"",MIN(D1225:P1225))</f>
        <v/>
      </c>
      <c r="R1225" s="8">
        <f>IF(COUNT(D1225:P1225)=0,"",MEDIAN(D1225:P1225))</f>
        <v/>
      </c>
      <c r="S1225" s="8">
        <f>IF(COUNT(D1225:P1225)=0,"",MAX(D1225:P1225))</f>
        <v/>
      </c>
      <c r="T1225" s="9">
        <f>IF(OR(Q1225="",Q1225=0),"",(S1225-Q1225)/Q1225)</f>
        <v/>
      </c>
      <c r="U1225" s="7">
        <f>IF(COUNT(D1225:P1225)=0,"",INDEX($D$1:$P$1,MATCH(MIN(D1225:P1225),D1225:P1225,0)))</f>
        <v/>
      </c>
      <c r="V1225" s="8" t="n">
        <v>3334.76</v>
      </c>
      <c r="W1225" s="10" t="n">
        <v>1</v>
      </c>
    </row>
    <row r="1226">
      <c r="A1226" s="7" t="inlineStr">
        <is>
          <t>MAT-23-021</t>
        </is>
      </c>
      <c r="B1226" s="4" t="inlineStr">
        <is>
          <t>Planchuela de aluminio 3" x 3/16" x 19.20 pies</t>
        </is>
      </c>
      <c r="C1226" s="7" t="inlineStr">
        <is>
          <t>unidad</t>
        </is>
      </c>
      <c r="D1226" s="8" t="n">
        <v>2695.59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/>
      <c r="P1226" s="8" t="n"/>
      <c r="Q1226" s="8">
        <f>IF(COUNT(D1226:P1226)=0,"",MIN(D1226:P1226))</f>
        <v/>
      </c>
      <c r="R1226" s="8">
        <f>IF(COUNT(D1226:P1226)=0,"",MEDIAN(D1226:P1226))</f>
        <v/>
      </c>
      <c r="S1226" s="8">
        <f>IF(COUNT(D1226:P1226)=0,"",MAX(D1226:P1226))</f>
        <v/>
      </c>
      <c r="T1226" s="9">
        <f>IF(OR(Q1226="",Q1226=0),"",(S1226-Q1226)/Q1226)</f>
        <v/>
      </c>
      <c r="U1226" s="7">
        <f>IF(COUNT(D1226:P1226)=0,"",INDEX($D$1:$P$1,MATCH(MIN(D1226:P1226),D1226:P1226,0)))</f>
        <v/>
      </c>
      <c r="V1226" s="8" t="n">
        <v>2695.59</v>
      </c>
      <c r="W1226" s="10" t="n">
        <v>1</v>
      </c>
    </row>
    <row r="1227">
      <c r="A1227" s="7" t="inlineStr">
        <is>
          <t>MAT-23-022</t>
        </is>
      </c>
      <c r="B1227" s="4" t="inlineStr">
        <is>
          <t>Perfil rectangular de aluminio 3" x 1 1/2" x 19.20 pies</t>
        </is>
      </c>
      <c r="C1227" s="7" t="inlineStr">
        <is>
          <t>unidad</t>
        </is>
      </c>
      <c r="D1227" s="8" t="n">
        <v>3956.93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/>
      <c r="P1227" s="8" t="n"/>
      <c r="Q1227" s="8">
        <f>IF(COUNT(D1227:P1227)=0,"",MIN(D1227:P1227))</f>
        <v/>
      </c>
      <c r="R1227" s="8">
        <f>IF(COUNT(D1227:P1227)=0,"",MEDIAN(D1227:P1227))</f>
        <v/>
      </c>
      <c r="S1227" s="8">
        <f>IF(COUNT(D1227:P1227)=0,"",MAX(D1227:P1227))</f>
        <v/>
      </c>
      <c r="T1227" s="9">
        <f>IF(OR(Q1227="",Q1227=0),"",(S1227-Q1227)/Q1227)</f>
        <v/>
      </c>
      <c r="U1227" s="7">
        <f>IF(COUNT(D1227:P1227)=0,"",INDEX($D$1:$P$1,MATCH(MIN(D1227:P1227),D1227:P1227,0)))</f>
        <v/>
      </c>
      <c r="V1227" s="8" t="n">
        <v>3956.93</v>
      </c>
      <c r="W1227" s="10" t="n">
        <v>1</v>
      </c>
    </row>
    <row r="1228">
      <c r="A1228" s="7" t="inlineStr">
        <is>
          <t>MAT-23-023</t>
        </is>
      </c>
      <c r="B1228" s="4" t="inlineStr">
        <is>
          <t>Planchuela de aluminio 4" x 1/8" x 19.20 pies</t>
        </is>
      </c>
      <c r="C1228" s="7" t="inlineStr">
        <is>
          <t>unidad</t>
        </is>
      </c>
      <c r="D1228" s="8" t="n">
        <v>3464.55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>
        <f>IF(COUNT(D1228:P1228)=0,"",MIN(D1228:P1228))</f>
        <v/>
      </c>
      <c r="R1228" s="8">
        <f>IF(COUNT(D1228:P1228)=0,"",MEDIAN(D1228:P1228))</f>
        <v/>
      </c>
      <c r="S1228" s="8">
        <f>IF(COUNT(D1228:P1228)=0,"",MAX(D1228:P1228))</f>
        <v/>
      </c>
      <c r="T1228" s="9">
        <f>IF(OR(Q1228="",Q1228=0),"",(S1228-Q1228)/Q1228)</f>
        <v/>
      </c>
      <c r="U1228" s="7">
        <f>IF(COUNT(D1228:P1228)=0,"",INDEX($D$1:$P$1,MATCH(MIN(D1228:P1228),D1228:P1228,0)))</f>
        <v/>
      </c>
      <c r="V1228" s="8" t="n">
        <v>3464.55</v>
      </c>
      <c r="W1228" s="10" t="n">
        <v>1</v>
      </c>
    </row>
    <row r="1229">
      <c r="A1229" s="7" t="inlineStr">
        <is>
          <t>MAT-23-024</t>
        </is>
      </c>
      <c r="B1229" s="4" t="inlineStr">
        <is>
          <t>Perfil rectangular de aluminio 4" x 1 3/4" x 19.20 pies</t>
        </is>
      </c>
      <c r="C1229" s="7" t="inlineStr">
        <is>
          <t>unidad</t>
        </is>
      </c>
      <c r="D1229" s="8" t="n">
        <v>5142.65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>
        <f>IF(COUNT(D1229:P1229)=0,"",MIN(D1229:P1229))</f>
        <v/>
      </c>
      <c r="R1229" s="8">
        <f>IF(COUNT(D1229:P1229)=0,"",MEDIAN(D1229:P1229))</f>
        <v/>
      </c>
      <c r="S1229" s="8">
        <f>IF(COUNT(D1229:P1229)=0,"",MAX(D1229:P1229))</f>
        <v/>
      </c>
      <c r="T1229" s="9">
        <f>IF(OR(Q1229="",Q1229=0),"",(S1229-Q1229)/Q1229)</f>
        <v/>
      </c>
      <c r="U1229" s="7">
        <f>IF(COUNT(D1229:P1229)=0,"",INDEX($D$1:$P$1,MATCH(MIN(D1229:P1229),D1229:P1229,0)))</f>
        <v/>
      </c>
      <c r="V1229" s="8" t="n">
        <v>5142.65</v>
      </c>
      <c r="W1229" s="10" t="n">
        <v>1</v>
      </c>
    </row>
    <row r="1230">
      <c r="A1230" s="7" t="inlineStr">
        <is>
          <t>MAT-23-025</t>
        </is>
      </c>
      <c r="B1230" s="4" t="inlineStr">
        <is>
          <t>Angular de aluminio, 1X1"X19'</t>
        </is>
      </c>
      <c r="C1230" s="7" t="inlineStr">
        <is>
          <t>unidad</t>
        </is>
      </c>
      <c r="D1230" s="8" t="n"/>
      <c r="E1230" s="8" t="n"/>
      <c r="F1230" s="8" t="n"/>
      <c r="G1230" s="8" t="n"/>
      <c r="H1230" s="8" t="n"/>
      <c r="I1230" s="8" t="n"/>
      <c r="J1230" s="8" t="n"/>
      <c r="K1230" s="8" t="n">
        <v>750</v>
      </c>
      <c r="L1230" s="8" t="n"/>
      <c r="M1230" s="8" t="n"/>
      <c r="N1230" s="8" t="n"/>
      <c r="O1230" s="8" t="n"/>
      <c r="P1230" s="8" t="n"/>
      <c r="Q1230" s="8">
        <f>IF(COUNT(D1230:P1230)=0,"",MIN(D1230:P1230))</f>
        <v/>
      </c>
      <c r="R1230" s="8">
        <f>IF(COUNT(D1230:P1230)=0,"",MEDIAN(D1230:P1230))</f>
        <v/>
      </c>
      <c r="S1230" s="8">
        <f>IF(COUNT(D1230:P1230)=0,"",MAX(D1230:P1230))</f>
        <v/>
      </c>
      <c r="T1230" s="9">
        <f>IF(OR(Q1230="",Q1230=0),"",(S1230-Q1230)/Q1230)</f>
        <v/>
      </c>
      <c r="U1230" s="7">
        <f>IF(COUNT(D1230:P1230)=0,"",INDEX($D$1:$P$1,MATCH(MIN(D1230:P1230),D1230:P1230,0)))</f>
        <v/>
      </c>
      <c r="V1230" s="8" t="n">
        <v>750</v>
      </c>
      <c r="W1230" s="10" t="n">
        <v>1</v>
      </c>
    </row>
    <row r="1231">
      <c r="A1231" s="7" t="inlineStr">
        <is>
          <t>MAT-23-026</t>
        </is>
      </c>
      <c r="B1231" s="4" t="inlineStr">
        <is>
          <t>Angular de aluminio, 3/4X1/2"X19'</t>
        </is>
      </c>
      <c r="C1231" s="7" t="inlineStr">
        <is>
          <t>unidad</t>
        </is>
      </c>
      <c r="D1231" s="8" t="n"/>
      <c r="E1231" s="8" t="n"/>
      <c r="F1231" s="8" t="n"/>
      <c r="G1231" s="8" t="n"/>
      <c r="H1231" s="8" t="n"/>
      <c r="I1231" s="8" t="n"/>
      <c r="J1231" s="8" t="n"/>
      <c r="K1231" s="8" t="n">
        <v>398</v>
      </c>
      <c r="L1231" s="8" t="n"/>
      <c r="M1231" s="8" t="n"/>
      <c r="N1231" s="8" t="n"/>
      <c r="O1231" s="8" t="n"/>
      <c r="P1231" s="8" t="n"/>
      <c r="Q1231" s="8">
        <f>IF(COUNT(D1231:P1231)=0,"",MIN(D1231:P1231))</f>
        <v/>
      </c>
      <c r="R1231" s="8">
        <f>IF(COUNT(D1231:P1231)=0,"",MEDIAN(D1231:P1231))</f>
        <v/>
      </c>
      <c r="S1231" s="8">
        <f>IF(COUNT(D1231:P1231)=0,"",MAX(D1231:P1231))</f>
        <v/>
      </c>
      <c r="T1231" s="9">
        <f>IF(OR(Q1231="",Q1231=0),"",(S1231-Q1231)/Q1231)</f>
        <v/>
      </c>
      <c r="U1231" s="7">
        <f>IF(COUNT(D1231:P1231)=0,"",INDEX($D$1:$P$1,MATCH(MIN(D1231:P1231),D1231:P1231,0)))</f>
        <v/>
      </c>
      <c r="V1231" s="8" t="n">
        <v>398</v>
      </c>
      <c r="W1231" s="10" t="n">
        <v>1</v>
      </c>
    </row>
    <row r="1232">
      <c r="A1232" s="7" t="inlineStr">
        <is>
          <t>MAT-24-001</t>
        </is>
      </c>
      <c r="B1232" s="4" t="inlineStr">
        <is>
          <t>Inodoro de una pieza</t>
        </is>
      </c>
      <c r="C1232" s="7" t="inlineStr">
        <is>
          <t>unidad</t>
        </is>
      </c>
      <c r="D1232" s="8" t="n">
        <v>5981.36</v>
      </c>
      <c r="E1232" s="8" t="n">
        <v>4980</v>
      </c>
      <c r="F1232" s="8" t="n">
        <v>5932.2</v>
      </c>
      <c r="G1232" s="8" t="n">
        <v>9971</v>
      </c>
      <c r="H1232" s="8" t="n">
        <v>5950</v>
      </c>
      <c r="I1232" s="8" t="n"/>
      <c r="J1232" s="8" t="n"/>
      <c r="K1232" s="8" t="n">
        <v>4225</v>
      </c>
      <c r="L1232" s="8" t="n"/>
      <c r="M1232" s="8" t="n"/>
      <c r="N1232" s="8" t="n"/>
      <c r="O1232" s="8" t="n"/>
      <c r="P1232" s="8" t="n"/>
      <c r="Q1232" s="8">
        <f>IF(COUNT(D1232:P1232)=0,"",MIN(D1232:P1232))</f>
        <v/>
      </c>
      <c r="R1232" s="8">
        <f>IF(COUNT(D1232:P1232)=0,"",MEDIAN(D1232:P1232))</f>
        <v/>
      </c>
      <c r="S1232" s="8">
        <f>IF(COUNT(D1232:P1232)=0,"",MAX(D1232:P1232))</f>
        <v/>
      </c>
      <c r="T1232" s="9">
        <f>IF(OR(Q1232="",Q1232=0),"",(S1232-Q1232)/Q1232)</f>
        <v/>
      </c>
      <c r="U1232" s="7">
        <f>IF(COUNT(D1232:P1232)=0,"",INDEX($D$1:$P$1,MATCH(MIN(D1232:P1232),D1232:P1232,0)))</f>
        <v/>
      </c>
      <c r="V1232" s="8" t="n">
        <v>9860</v>
      </c>
      <c r="W1232" s="10" t="n">
        <v>6</v>
      </c>
    </row>
    <row r="1233">
      <c r="A1233" s="7" t="inlineStr">
        <is>
          <t>MAT-24-002</t>
        </is>
      </c>
      <c r="B1233" s="4" t="inlineStr">
        <is>
          <t>Inodoro infantil</t>
        </is>
      </c>
      <c r="C1233" s="7" t="inlineStr">
        <is>
          <t>unidad</t>
        </is>
      </c>
      <c r="D1233" s="8" t="n"/>
      <c r="E1233" s="8" t="n">
        <v>11543.61</v>
      </c>
      <c r="F1233" s="8" t="n">
        <v>6348.02</v>
      </c>
      <c r="G1233" s="8" t="n"/>
      <c r="H1233" s="8" t="n">
        <v>13750</v>
      </c>
      <c r="I1233" s="8" t="n"/>
      <c r="J1233" s="8" t="n"/>
      <c r="K1233" s="8" t="n"/>
      <c r="L1233" s="8" t="n"/>
      <c r="M1233" s="8" t="n"/>
      <c r="N1233" s="8" t="n"/>
      <c r="O1233" s="8" t="n"/>
      <c r="P1233" s="8" t="n"/>
      <c r="Q1233" s="8">
        <f>IF(COUNT(D1233:P1233)=0,"",MIN(D1233:P1233))</f>
        <v/>
      </c>
      <c r="R1233" s="8">
        <f>IF(COUNT(D1233:P1233)=0,"",MEDIAN(D1233:P1233))</f>
        <v/>
      </c>
      <c r="S1233" s="8">
        <f>IF(COUNT(D1233:P1233)=0,"",MAX(D1233:P1233))</f>
        <v/>
      </c>
      <c r="T1233" s="9">
        <f>IF(OR(Q1233="",Q1233=0),"",(S1233-Q1233)/Q1233)</f>
        <v/>
      </c>
      <c r="U1233" s="7">
        <f>IF(COUNT(D1233:P1233)=0,"",INDEX($D$1:$P$1,MATCH(MIN(D1233:P1233),D1233:P1233,0)))</f>
        <v/>
      </c>
      <c r="V1233" s="8" t="n">
        <v>11543.61</v>
      </c>
      <c r="W1233" s="10" t="n">
        <v>3</v>
      </c>
    </row>
    <row r="1234">
      <c r="A1234" s="7" t="inlineStr">
        <is>
          <t>MAT-24-004</t>
        </is>
      </c>
      <c r="B1234" s="4" t="inlineStr">
        <is>
          <t>Inodoro de dos piezas</t>
        </is>
      </c>
      <c r="C1234" s="7" t="inlineStr">
        <is>
          <t>unidad</t>
        </is>
      </c>
      <c r="D1234" s="8" t="n"/>
      <c r="E1234" s="8" t="n">
        <v>5100</v>
      </c>
      <c r="F1234" s="8" t="n">
        <v>6355.93</v>
      </c>
      <c r="G1234" s="8" t="n">
        <v>5320</v>
      </c>
      <c r="H1234" s="8" t="n"/>
      <c r="I1234" s="8" t="n"/>
      <c r="J1234" s="8" t="n"/>
      <c r="K1234" s="8" t="n"/>
      <c r="L1234" s="8" t="n"/>
      <c r="M1234" s="8" t="n"/>
      <c r="N1234" s="8" t="n"/>
      <c r="O1234" s="8" t="n"/>
      <c r="P1234" s="8" t="n"/>
      <c r="Q1234" s="8">
        <f>IF(COUNT(D1234:P1234)=0,"",MIN(D1234:P1234))</f>
        <v/>
      </c>
      <c r="R1234" s="8">
        <f>IF(COUNT(D1234:P1234)=0,"",MEDIAN(D1234:P1234))</f>
        <v/>
      </c>
      <c r="S1234" s="8">
        <f>IF(COUNT(D1234:P1234)=0,"",MAX(D1234:P1234))</f>
        <v/>
      </c>
      <c r="T1234" s="9">
        <f>IF(OR(Q1234="",Q1234=0),"",(S1234-Q1234)/Q1234)</f>
        <v/>
      </c>
      <c r="U1234" s="7">
        <f>IF(COUNT(D1234:P1234)=0,"",INDEX($D$1:$P$1,MATCH(MIN(D1234:P1234),D1234:P1234,0)))</f>
        <v/>
      </c>
      <c r="V1234" s="8" t="n">
        <v>8905.379999999999</v>
      </c>
      <c r="W1234" s="10" t="n">
        <v>3</v>
      </c>
    </row>
    <row r="1235">
      <c r="A1235" s="7" t="inlineStr">
        <is>
          <t>MAT-24-005</t>
        </is>
      </c>
      <c r="B1235" s="4" t="inlineStr">
        <is>
          <t>Tanque para inodoro de dos piezas</t>
        </is>
      </c>
      <c r="C1235" s="7" t="inlineStr">
        <is>
          <t>unidad</t>
        </is>
      </c>
      <c r="D1235" s="8" t="n">
        <v>586.47</v>
      </c>
      <c r="E1235" s="8" t="n"/>
      <c r="F1235" s="8" t="n"/>
      <c r="G1235" s="8" t="n"/>
      <c r="H1235" s="8" t="n"/>
      <c r="I1235" s="8" t="n"/>
      <c r="J1235" s="8" t="n"/>
      <c r="K1235" s="8" t="n">
        <v>12715</v>
      </c>
      <c r="L1235" s="8" t="n"/>
      <c r="M1235" s="8" t="n"/>
      <c r="N1235" s="8" t="n"/>
      <c r="O1235" s="8" t="n"/>
      <c r="P1235" s="8" t="n"/>
      <c r="Q1235" s="8">
        <f>IF(COUNT(D1235:P1235)=0,"",MIN(D1235:P1235))</f>
        <v/>
      </c>
      <c r="R1235" s="8">
        <f>IF(COUNT(D1235:P1235)=0,"",MEDIAN(D1235:P1235))</f>
        <v/>
      </c>
      <c r="S1235" s="8">
        <f>IF(COUNT(D1235:P1235)=0,"",MAX(D1235:P1235))</f>
        <v/>
      </c>
      <c r="T1235" s="9">
        <f>IF(OR(Q1235="",Q1235=0),"",(S1235-Q1235)/Q1235)</f>
        <v/>
      </c>
      <c r="U1235" s="7">
        <f>IF(COUNT(D1235:P1235)=0,"",INDEX($D$1:$P$1,MATCH(MIN(D1235:P1235),D1235:P1235,0)))</f>
        <v/>
      </c>
      <c r="V1235" s="8" t="n">
        <v>4198.79</v>
      </c>
      <c r="W1235" s="10" t="n">
        <v>2</v>
      </c>
    </row>
    <row r="1236">
      <c r="A1236" s="7" t="inlineStr">
        <is>
          <t>MAT-24-006</t>
        </is>
      </c>
      <c r="B1236" s="4" t="inlineStr">
        <is>
          <t>Basineta para inodoro de dos piezas</t>
        </is>
      </c>
      <c r="C1236" s="7" t="inlineStr">
        <is>
          <t>unidad</t>
        </is>
      </c>
      <c r="D1236" s="8" t="n">
        <v>2129.12</v>
      </c>
      <c r="E1236" s="8" t="n"/>
      <c r="F1236" s="8" t="n">
        <v>4225.59</v>
      </c>
      <c r="G1236" s="8" t="n"/>
      <c r="H1236" s="8" t="n"/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>
        <f>IF(COUNT(D1236:P1236)=0,"",MIN(D1236:P1236))</f>
        <v/>
      </c>
      <c r="R1236" s="8">
        <f>IF(COUNT(D1236:P1236)=0,"",MEDIAN(D1236:P1236))</f>
        <v/>
      </c>
      <c r="S1236" s="8">
        <f>IF(COUNT(D1236:P1236)=0,"",MAX(D1236:P1236))</f>
        <v/>
      </c>
      <c r="T1236" s="9">
        <f>IF(OR(Q1236="",Q1236=0),"",(S1236-Q1236)/Q1236)</f>
        <v/>
      </c>
      <c r="U1236" s="7">
        <f>IF(COUNT(D1236:P1236)=0,"",INDEX($D$1:$P$1,MATCH(MIN(D1236:P1236),D1236:P1236,0)))</f>
        <v/>
      </c>
      <c r="V1236" s="8" t="n">
        <v>5574.97</v>
      </c>
      <c r="W1236" s="10" t="n">
        <v>2</v>
      </c>
    </row>
    <row r="1237">
      <c r="A1237" s="7" t="inlineStr">
        <is>
          <t>MAT-24-007</t>
        </is>
      </c>
      <c r="B1237" s="4" t="inlineStr">
        <is>
          <t>Taza para fluxómetro</t>
        </is>
      </c>
      <c r="C1237" s="7" t="inlineStr">
        <is>
          <t>unidad</t>
        </is>
      </c>
      <c r="D1237" s="8" t="n"/>
      <c r="E1237" s="8" t="n"/>
      <c r="F1237" s="8" t="n">
        <v>5857.58</v>
      </c>
      <c r="G1237" s="8" t="n"/>
      <c r="H1237" s="8" t="n">
        <v>8400</v>
      </c>
      <c r="I1237" s="8" t="n"/>
      <c r="J1237" s="8" t="n"/>
      <c r="K1237" s="8" t="n">
        <v>3925</v>
      </c>
      <c r="L1237" s="8" t="n"/>
      <c r="M1237" s="8" t="n"/>
      <c r="N1237" s="8" t="n"/>
      <c r="O1237" s="8" t="n"/>
      <c r="P1237" s="8" t="n"/>
      <c r="Q1237" s="8">
        <f>IF(COUNT(D1237:P1237)=0,"",MIN(D1237:P1237))</f>
        <v/>
      </c>
      <c r="R1237" s="8">
        <f>IF(COUNT(D1237:P1237)=0,"",MEDIAN(D1237:P1237))</f>
        <v/>
      </c>
      <c r="S1237" s="8">
        <f>IF(COUNT(D1237:P1237)=0,"",MAX(D1237:P1237))</f>
        <v/>
      </c>
      <c r="T1237" s="9">
        <f>IF(OR(Q1237="",Q1237=0),"",(S1237-Q1237)/Q1237)</f>
        <v/>
      </c>
      <c r="U1237" s="7">
        <f>IF(COUNT(D1237:P1237)=0,"",INDEX($D$1:$P$1,MATCH(MIN(D1237:P1237),D1237:P1237,0)))</f>
        <v/>
      </c>
      <c r="V1237" s="8" t="n">
        <v>9091</v>
      </c>
      <c r="W1237" s="10" t="n">
        <v>3</v>
      </c>
    </row>
    <row r="1238">
      <c r="A1238" s="7" t="inlineStr">
        <is>
          <t>MAT-24-008</t>
        </is>
      </c>
      <c r="B1238" s="4" t="inlineStr">
        <is>
          <t>Urinario de porcelana</t>
        </is>
      </c>
      <c r="C1238" s="7" t="inlineStr">
        <is>
          <t>unidad</t>
        </is>
      </c>
      <c r="D1238" s="8" t="n">
        <v>4422.13</v>
      </c>
      <c r="E1238" s="8" t="n">
        <v>3265</v>
      </c>
      <c r="F1238" s="8" t="n">
        <v>4650</v>
      </c>
      <c r="G1238" s="8" t="n"/>
      <c r="H1238" s="8" t="n">
        <v>6995</v>
      </c>
      <c r="I1238" s="8" t="n"/>
      <c r="J1238" s="8" t="n"/>
      <c r="K1238" s="8" t="n">
        <v>4362</v>
      </c>
      <c r="L1238" s="8" t="n"/>
      <c r="M1238" s="8" t="n"/>
      <c r="N1238" s="8" t="n"/>
      <c r="O1238" s="8" t="n"/>
      <c r="P1238" s="8" t="n"/>
      <c r="Q1238" s="8">
        <f>IF(COUNT(D1238:P1238)=0,"",MIN(D1238:P1238))</f>
        <v/>
      </c>
      <c r="R1238" s="8">
        <f>IF(COUNT(D1238:P1238)=0,"",MEDIAN(D1238:P1238))</f>
        <v/>
      </c>
      <c r="S1238" s="8">
        <f>IF(COUNT(D1238:P1238)=0,"",MAX(D1238:P1238))</f>
        <v/>
      </c>
      <c r="T1238" s="9">
        <f>IF(OR(Q1238="",Q1238=0),"",(S1238-Q1238)/Q1238)</f>
        <v/>
      </c>
      <c r="U1238" s="7">
        <f>IF(COUNT(D1238:P1238)=0,"",INDEX($D$1:$P$1,MATCH(MIN(D1238:P1238),D1238:P1238,0)))</f>
        <v/>
      </c>
      <c r="V1238" s="8" t="n">
        <v>9070.48</v>
      </c>
      <c r="W1238" s="10" t="n">
        <v>5</v>
      </c>
    </row>
    <row r="1239">
      <c r="A1239" s="7" t="inlineStr">
        <is>
          <t>MAT-24-009</t>
        </is>
      </c>
      <c r="B1239" s="4" t="inlineStr">
        <is>
          <t>Bidé</t>
        </is>
      </c>
      <c r="C1239" s="7" t="inlineStr">
        <is>
          <t>unidad</t>
        </is>
      </c>
      <c r="D1239" s="8" t="n"/>
      <c r="E1239" s="8" t="n"/>
      <c r="F1239" s="8" t="n">
        <v>12574.54</v>
      </c>
      <c r="G1239" s="8" t="n">
        <v>3998</v>
      </c>
      <c r="H1239" s="8" t="n">
        <v>17500</v>
      </c>
      <c r="I1239" s="8" t="n"/>
      <c r="J1239" s="8" t="n"/>
      <c r="K1239" s="8" t="n">
        <v>5937</v>
      </c>
      <c r="L1239" s="8" t="n"/>
      <c r="M1239" s="8" t="n"/>
      <c r="N1239" s="8" t="n"/>
      <c r="O1239" s="8" t="n"/>
      <c r="P1239" s="8" t="n"/>
      <c r="Q1239" s="8">
        <f>IF(COUNT(D1239:P1239)=0,"",MIN(D1239:P1239))</f>
        <v/>
      </c>
      <c r="R1239" s="8">
        <f>IF(COUNT(D1239:P1239)=0,"",MEDIAN(D1239:P1239))</f>
        <v/>
      </c>
      <c r="S1239" s="8">
        <f>IF(COUNT(D1239:P1239)=0,"",MAX(D1239:P1239))</f>
        <v/>
      </c>
      <c r="T1239" s="9">
        <f>IF(OR(Q1239="",Q1239=0),"",(S1239-Q1239)/Q1239)</f>
        <v/>
      </c>
      <c r="U1239" s="7">
        <f>IF(COUNT(D1239:P1239)=0,"",INDEX($D$1:$P$1,MATCH(MIN(D1239:P1239),D1239:P1239,0)))</f>
        <v/>
      </c>
      <c r="V1239" s="8" t="n">
        <v>20490</v>
      </c>
      <c r="W1239" s="10" t="n">
        <v>4</v>
      </c>
    </row>
    <row r="1240">
      <c r="A1240" s="7" t="inlineStr">
        <is>
          <t>MAT-24-010</t>
        </is>
      </c>
      <c r="B1240" s="4" t="inlineStr">
        <is>
          <t>Kit de instalación de inodoro</t>
        </is>
      </c>
      <c r="C1240" s="7" t="inlineStr">
        <is>
          <t>juego</t>
        </is>
      </c>
      <c r="D1240" s="8" t="n">
        <v>1773</v>
      </c>
      <c r="E1240" s="8" t="n"/>
      <c r="F1240" s="8" t="n"/>
      <c r="G1240" s="8" t="n"/>
      <c r="H1240" s="8" t="n"/>
      <c r="I1240" s="8" t="n"/>
      <c r="J1240" s="8" t="n"/>
      <c r="K1240" s="8" t="n"/>
      <c r="L1240" s="8" t="n"/>
      <c r="M1240" s="8" t="n"/>
      <c r="N1240" s="8" t="n"/>
      <c r="O1240" s="8" t="n"/>
      <c r="P1240" s="8" t="n"/>
      <c r="Q1240" s="8">
        <f>IF(COUNT(D1240:P1240)=0,"",MIN(D1240:P1240))</f>
        <v/>
      </c>
      <c r="R1240" s="8">
        <f>IF(COUNT(D1240:P1240)=0,"",MEDIAN(D1240:P1240))</f>
        <v/>
      </c>
      <c r="S1240" s="8">
        <f>IF(COUNT(D1240:P1240)=0,"",MAX(D1240:P1240))</f>
        <v/>
      </c>
      <c r="T1240" s="9">
        <f>IF(OR(Q1240="",Q1240=0),"",(S1240-Q1240)/Q1240)</f>
        <v/>
      </c>
      <c r="U1240" s="7">
        <f>IF(COUNT(D1240:P1240)=0,"",INDEX($D$1:$P$1,MATCH(MIN(D1240:P1240),D1240:P1240,0)))</f>
        <v/>
      </c>
      <c r="V1240" s="8" t="n">
        <v>1773</v>
      </c>
      <c r="W1240" s="10" t="n">
        <v>1</v>
      </c>
    </row>
    <row r="1241">
      <c r="A1241" s="7" t="inlineStr">
        <is>
          <t>MAT-25-001</t>
        </is>
      </c>
      <c r="B1241" s="4" t="inlineStr">
        <is>
          <t>Lavamanos</t>
        </is>
      </c>
      <c r="C1241" s="7" t="inlineStr">
        <is>
          <t>unidad</t>
        </is>
      </c>
      <c r="D1241" s="8" t="n">
        <v>5360.96</v>
      </c>
      <c r="E1241" s="8" t="n"/>
      <c r="F1241" s="8" t="n"/>
      <c r="G1241" s="8" t="n"/>
      <c r="H1241" s="8" t="n">
        <v>1600</v>
      </c>
      <c r="I1241" s="8" t="n">
        <v>910</v>
      </c>
      <c r="J1241" s="8" t="n"/>
      <c r="K1241" s="8" t="n"/>
      <c r="L1241" s="8" t="n"/>
      <c r="M1241" s="8" t="n"/>
      <c r="N1241" s="8" t="n"/>
      <c r="O1241" s="8" t="n"/>
      <c r="P1241" s="8" t="n"/>
      <c r="Q1241" s="8">
        <f>IF(COUNT(D1241:P1241)=0,"",MIN(D1241:P1241))</f>
        <v/>
      </c>
      <c r="R1241" s="8">
        <f>IF(COUNT(D1241:P1241)=0,"",MEDIAN(D1241:P1241))</f>
        <v/>
      </c>
      <c r="S1241" s="8">
        <f>IF(COUNT(D1241:P1241)=0,"",MAX(D1241:P1241))</f>
        <v/>
      </c>
      <c r="T1241" s="9">
        <f>IF(OR(Q1241="",Q1241=0),"",(S1241-Q1241)/Q1241)</f>
        <v/>
      </c>
      <c r="U1241" s="7">
        <f>IF(COUNT(D1241:P1241)=0,"",INDEX($D$1:$P$1,MATCH(MIN(D1241:P1241),D1241:P1241,0)))</f>
        <v/>
      </c>
      <c r="V1241" s="8" t="n">
        <v>8500</v>
      </c>
      <c r="W1241" s="10" t="n">
        <v>3</v>
      </c>
    </row>
    <row r="1242">
      <c r="A1242" s="7" t="inlineStr">
        <is>
          <t>MAT-25-002</t>
        </is>
      </c>
      <c r="B1242" s="4" t="inlineStr">
        <is>
          <t>Lavamanos, de empotrar</t>
        </is>
      </c>
      <c r="C1242" s="7" t="inlineStr">
        <is>
          <t>unidad</t>
        </is>
      </c>
      <c r="D1242" s="8" t="n">
        <v>684.67</v>
      </c>
      <c r="E1242" s="8" t="n">
        <v>1345</v>
      </c>
      <c r="F1242" s="8" t="n">
        <v>1763.31</v>
      </c>
      <c r="G1242" s="8" t="n"/>
      <c r="H1242" s="8" t="n">
        <v>3535.4</v>
      </c>
      <c r="I1242" s="8" t="n"/>
      <c r="J1242" s="8" t="n"/>
      <c r="K1242" s="8" t="n">
        <v>1585</v>
      </c>
      <c r="L1242" s="8" t="n"/>
      <c r="M1242" s="8" t="n"/>
      <c r="N1242" s="8" t="n"/>
      <c r="O1242" s="8" t="n"/>
      <c r="P1242" s="8" t="n"/>
      <c r="Q1242" s="8">
        <f>IF(COUNT(D1242:P1242)=0,"",MIN(D1242:P1242))</f>
        <v/>
      </c>
      <c r="R1242" s="8">
        <f>IF(COUNT(D1242:P1242)=0,"",MEDIAN(D1242:P1242))</f>
        <v/>
      </c>
      <c r="S1242" s="8">
        <f>IF(COUNT(D1242:P1242)=0,"",MAX(D1242:P1242))</f>
        <v/>
      </c>
      <c r="T1242" s="9">
        <f>IF(OR(Q1242="",Q1242=0),"",(S1242-Q1242)/Q1242)</f>
        <v/>
      </c>
      <c r="U1242" s="7">
        <f>IF(COUNT(D1242:P1242)=0,"",INDEX($D$1:$P$1,MATCH(MIN(D1242:P1242),D1242:P1242,0)))</f>
        <v/>
      </c>
      <c r="V1242" s="8" t="n">
        <v>3403.56</v>
      </c>
      <c r="W1242" s="10" t="n">
        <v>5</v>
      </c>
    </row>
    <row r="1243">
      <c r="A1243" s="7" t="inlineStr">
        <is>
          <t>MAT-25-003</t>
        </is>
      </c>
      <c r="B1243" s="4" t="inlineStr">
        <is>
          <t>Lavamanos, de exento</t>
        </is>
      </c>
      <c r="C1243" s="7" t="inlineStr">
        <is>
          <t>unidad</t>
        </is>
      </c>
      <c r="D1243" s="8" t="n"/>
      <c r="E1243" s="8" t="n"/>
      <c r="F1243" s="8" t="n">
        <v>185169.48</v>
      </c>
      <c r="G1243" s="8" t="n"/>
      <c r="H1243" s="8" t="n"/>
      <c r="I1243" s="8" t="n"/>
      <c r="J1243" s="8" t="n"/>
      <c r="K1243" s="8" t="n"/>
      <c r="L1243" s="8" t="n"/>
      <c r="M1243" s="8" t="n"/>
      <c r="N1243" s="8" t="n"/>
      <c r="O1243" s="8" t="n"/>
      <c r="P1243" s="8" t="n"/>
      <c r="Q1243" s="8">
        <f>IF(COUNT(D1243:P1243)=0,"",MIN(D1243:P1243))</f>
        <v/>
      </c>
      <c r="R1243" s="8">
        <f>IF(COUNT(D1243:P1243)=0,"",MEDIAN(D1243:P1243))</f>
        <v/>
      </c>
      <c r="S1243" s="8">
        <f>IF(COUNT(D1243:P1243)=0,"",MAX(D1243:P1243))</f>
        <v/>
      </c>
      <c r="T1243" s="9">
        <f>IF(OR(Q1243="",Q1243=0),"",(S1243-Q1243)/Q1243)</f>
        <v/>
      </c>
      <c r="U1243" s="7">
        <f>IF(COUNT(D1243:P1243)=0,"",INDEX($D$1:$P$1,MATCH(MIN(D1243:P1243),D1243:P1243,0)))</f>
        <v/>
      </c>
      <c r="V1243" s="8" t="n">
        <v>244189.99</v>
      </c>
      <c r="W1243" s="10" t="n">
        <v>1</v>
      </c>
    </row>
    <row r="1244">
      <c r="A1244" s="7" t="inlineStr">
        <is>
          <t>MAT-25-005</t>
        </is>
      </c>
      <c r="B1244" s="4" t="inlineStr">
        <is>
          <t>Lavamanos, de pedestal</t>
        </is>
      </c>
      <c r="C1244" s="7" t="inlineStr">
        <is>
          <t>unidad</t>
        </is>
      </c>
      <c r="D1244" s="8" t="n">
        <v>1093</v>
      </c>
      <c r="E1244" s="8" t="n">
        <v>1870</v>
      </c>
      <c r="F1244" s="8" t="n">
        <v>15434.59</v>
      </c>
      <c r="G1244" s="8" t="n">
        <v>3635</v>
      </c>
      <c r="H1244" s="8" t="n">
        <v>2590.01</v>
      </c>
      <c r="I1244" s="8" t="n"/>
      <c r="J1244" s="8" t="n"/>
      <c r="K1244" s="8" t="n">
        <v>216</v>
      </c>
      <c r="L1244" s="8" t="n"/>
      <c r="M1244" s="8" t="n"/>
      <c r="N1244" s="8" t="n"/>
      <c r="O1244" s="8" t="n"/>
      <c r="P1244" s="8" t="n"/>
      <c r="Q1244" s="8">
        <f>IF(COUNT(D1244:P1244)=0,"",MIN(D1244:P1244))</f>
        <v/>
      </c>
      <c r="R1244" s="8">
        <f>IF(COUNT(D1244:P1244)=0,"",MEDIAN(D1244:P1244))</f>
        <v/>
      </c>
      <c r="S1244" s="8">
        <f>IF(COUNT(D1244:P1244)=0,"",MAX(D1244:P1244))</f>
        <v/>
      </c>
      <c r="T1244" s="9">
        <f>IF(OR(Q1244="",Q1244=0),"",(S1244-Q1244)/Q1244)</f>
        <v/>
      </c>
      <c r="U1244" s="7">
        <f>IF(COUNT(D1244:P1244)=0,"",INDEX($D$1:$P$1,MATCH(MIN(D1244:P1244),D1244:P1244,0)))</f>
        <v/>
      </c>
      <c r="V1244" s="8" t="n">
        <v>2676.3</v>
      </c>
      <c r="W1244" s="10" t="n">
        <v>6</v>
      </c>
    </row>
    <row r="1245">
      <c r="A1245" s="7" t="inlineStr">
        <is>
          <t>MAT-25-006</t>
        </is>
      </c>
      <c r="B1245" s="4" t="inlineStr">
        <is>
          <t>Lavamanos, de sobreponer</t>
        </is>
      </c>
      <c r="C1245" s="7" t="inlineStr">
        <is>
          <t>unidad</t>
        </is>
      </c>
      <c r="D1245" s="8" t="n">
        <v>2085.37</v>
      </c>
      <c r="E1245" s="8" t="n">
        <v>1680</v>
      </c>
      <c r="F1245" s="8" t="n">
        <v>1398.48</v>
      </c>
      <c r="G1245" s="8" t="n">
        <v>1150</v>
      </c>
      <c r="H1245" s="8" t="n">
        <v>5000</v>
      </c>
      <c r="I1245" s="8" t="n"/>
      <c r="J1245" s="8" t="n"/>
      <c r="K1245" s="8" t="n">
        <v>1495</v>
      </c>
      <c r="L1245" s="8" t="n"/>
      <c r="M1245" s="8" t="n"/>
      <c r="N1245" s="8" t="n"/>
      <c r="O1245" s="8" t="n"/>
      <c r="P1245" s="8" t="n"/>
      <c r="Q1245" s="8">
        <f>IF(COUNT(D1245:P1245)=0,"",MIN(D1245:P1245))</f>
        <v/>
      </c>
      <c r="R1245" s="8">
        <f>IF(COUNT(D1245:P1245)=0,"",MEDIAN(D1245:P1245))</f>
        <v/>
      </c>
      <c r="S1245" s="8">
        <f>IF(COUNT(D1245:P1245)=0,"",MAX(D1245:P1245))</f>
        <v/>
      </c>
      <c r="T1245" s="9">
        <f>IF(OR(Q1245="",Q1245=0),"",(S1245-Q1245)/Q1245)</f>
        <v/>
      </c>
      <c r="U1245" s="7">
        <f>IF(COUNT(D1245:P1245)=0,"",INDEX($D$1:$P$1,MATCH(MIN(D1245:P1245),D1245:P1245,0)))</f>
        <v/>
      </c>
      <c r="V1245" s="8" t="n">
        <v>4140.13</v>
      </c>
      <c r="W1245" s="10" t="n">
        <v>6</v>
      </c>
    </row>
    <row r="1246">
      <c r="A1246" s="7" t="inlineStr">
        <is>
          <t>MAT-25-007</t>
        </is>
      </c>
      <c r="B1246" s="4" t="inlineStr">
        <is>
          <t>Pedestal para lavamanos</t>
        </is>
      </c>
      <c r="C1246" s="7" t="inlineStr">
        <is>
          <t>unidad</t>
        </is>
      </c>
      <c r="D1246" s="8" t="n">
        <v>891.27</v>
      </c>
      <c r="E1246" s="8" t="n"/>
      <c r="F1246" s="8" t="n"/>
      <c r="G1246" s="8" t="n"/>
      <c r="H1246" s="8" t="n">
        <v>1100</v>
      </c>
      <c r="I1246" s="8" t="n"/>
      <c r="J1246" s="8" t="n"/>
      <c r="K1246" s="8" t="n"/>
      <c r="L1246" s="8" t="n"/>
      <c r="M1246" s="8" t="n"/>
      <c r="N1246" s="8" t="n"/>
      <c r="O1246" s="8" t="n"/>
      <c r="P1246" s="8" t="n"/>
      <c r="Q1246" s="8">
        <f>IF(COUNT(D1246:P1246)=0,"",MIN(D1246:P1246))</f>
        <v/>
      </c>
      <c r="R1246" s="8">
        <f>IF(COUNT(D1246:P1246)=0,"",MEDIAN(D1246:P1246))</f>
        <v/>
      </c>
      <c r="S1246" s="8">
        <f>IF(COUNT(D1246:P1246)=0,"",MAX(D1246:P1246))</f>
        <v/>
      </c>
      <c r="T1246" s="9">
        <f>IF(OR(Q1246="",Q1246=0),"",(S1246-Q1246)/Q1246)</f>
        <v/>
      </c>
      <c r="U1246" s="7">
        <f>IF(COUNT(D1246:P1246)=0,"",INDEX($D$1:$P$1,MATCH(MIN(D1246:P1246),D1246:P1246,0)))</f>
        <v/>
      </c>
      <c r="V1246" s="8" t="n">
        <v>2014.01</v>
      </c>
      <c r="W1246" s="10" t="n">
        <v>2</v>
      </c>
    </row>
    <row r="1247">
      <c r="A1247" s="7" t="inlineStr">
        <is>
          <t>MAT-25-008</t>
        </is>
      </c>
      <c r="B1247" s="4" t="inlineStr">
        <is>
          <t>Palometa para lavamanos</t>
        </is>
      </c>
      <c r="C1247" s="7" t="inlineStr">
        <is>
          <t>unidad</t>
        </is>
      </c>
      <c r="D1247" s="8" t="n">
        <v>57.88</v>
      </c>
      <c r="E1247" s="8" t="n"/>
      <c r="F1247" s="8" t="n"/>
      <c r="G1247" s="8" t="n">
        <v>141</v>
      </c>
      <c r="H1247" s="8" t="n"/>
      <c r="I1247" s="8" t="n"/>
      <c r="J1247" s="8" t="n"/>
      <c r="K1247" s="8" t="n"/>
      <c r="L1247" s="8" t="n"/>
      <c r="M1247" s="8" t="n"/>
      <c r="N1247" s="8" t="n"/>
      <c r="O1247" s="8" t="n"/>
      <c r="P1247" s="8" t="n"/>
      <c r="Q1247" s="8">
        <f>IF(COUNT(D1247:P1247)=0,"",MIN(D1247:P1247))</f>
        <v/>
      </c>
      <c r="R1247" s="8">
        <f>IF(COUNT(D1247:P1247)=0,"",MEDIAN(D1247:P1247))</f>
        <v/>
      </c>
      <c r="S1247" s="8">
        <f>IF(COUNT(D1247:P1247)=0,"",MAX(D1247:P1247))</f>
        <v/>
      </c>
      <c r="T1247" s="9">
        <f>IF(OR(Q1247="",Q1247=0),"",(S1247-Q1247)/Q1247)</f>
        <v/>
      </c>
      <c r="U1247" s="7">
        <f>IF(COUNT(D1247:P1247)=0,"",INDEX($D$1:$P$1,MATCH(MIN(D1247:P1247),D1247:P1247,0)))</f>
        <v/>
      </c>
      <c r="V1247" s="8" t="n">
        <v>80.59</v>
      </c>
      <c r="W1247" s="10" t="n">
        <v>2</v>
      </c>
    </row>
    <row r="1248">
      <c r="A1248" s="7" t="inlineStr">
        <is>
          <t>MAT-25-009</t>
        </is>
      </c>
      <c r="B1248" s="4" t="inlineStr">
        <is>
          <t>Conector de desagüe para lavamanos</t>
        </is>
      </c>
      <c r="C1248" s="7" t="inlineStr">
        <is>
          <t>unidad</t>
        </is>
      </c>
      <c r="D1248" s="8" t="n">
        <v>255.94</v>
      </c>
      <c r="E1248" s="8" t="n"/>
      <c r="F1248" s="8" t="n"/>
      <c r="G1248" s="8" t="n"/>
      <c r="H1248" s="8" t="n"/>
      <c r="I1248" s="8" t="n"/>
      <c r="J1248" s="8" t="n"/>
      <c r="K1248" s="8" t="n"/>
      <c r="L1248" s="8" t="n"/>
      <c r="M1248" s="8" t="n"/>
      <c r="N1248" s="8" t="n"/>
      <c r="O1248" s="8" t="n"/>
      <c r="P1248" s="8" t="n"/>
      <c r="Q1248" s="8">
        <f>IF(COUNT(D1248:P1248)=0,"",MIN(D1248:P1248))</f>
        <v/>
      </c>
      <c r="R1248" s="8">
        <f>IF(COUNT(D1248:P1248)=0,"",MEDIAN(D1248:P1248))</f>
        <v/>
      </c>
      <c r="S1248" s="8">
        <f>IF(COUNT(D1248:P1248)=0,"",MAX(D1248:P1248))</f>
        <v/>
      </c>
      <c r="T1248" s="9">
        <f>IF(OR(Q1248="",Q1248=0),"",(S1248-Q1248)/Q1248)</f>
        <v/>
      </c>
      <c r="U1248" s="7">
        <f>IF(COUNT(D1248:P1248)=0,"",INDEX($D$1:$P$1,MATCH(MIN(D1248:P1248),D1248:P1248,0)))</f>
        <v/>
      </c>
      <c r="V1248" s="8" t="n">
        <v>255.94</v>
      </c>
      <c r="W1248" s="10" t="n">
        <v>1</v>
      </c>
    </row>
    <row r="1249">
      <c r="A1249" s="7" t="inlineStr">
        <is>
          <t>MAT-26-001</t>
        </is>
      </c>
      <c r="B1249" s="4" t="inlineStr">
        <is>
          <t>Mueble de baño</t>
        </is>
      </c>
      <c r="C1249" s="7" t="inlineStr">
        <is>
          <t>unidad</t>
        </is>
      </c>
      <c r="D1249" s="8" t="n">
        <v>8614.57</v>
      </c>
      <c r="E1249" s="8" t="n"/>
      <c r="F1249" s="8" t="n"/>
      <c r="G1249" s="8" t="n"/>
      <c r="H1249" s="8" t="n"/>
      <c r="I1249" s="8" t="n"/>
      <c r="J1249" s="8" t="n"/>
      <c r="K1249" s="8" t="n">
        <v>6495</v>
      </c>
      <c r="L1249" s="8" t="n"/>
      <c r="M1249" s="8" t="n"/>
      <c r="N1249" s="8" t="n"/>
      <c r="O1249" s="8" t="n"/>
      <c r="P1249" s="8" t="n"/>
      <c r="Q1249" s="8">
        <f>IF(COUNT(D1249:P1249)=0,"",MIN(D1249:P1249))</f>
        <v/>
      </c>
      <c r="R1249" s="8">
        <f>IF(COUNT(D1249:P1249)=0,"",MEDIAN(D1249:P1249))</f>
        <v/>
      </c>
      <c r="S1249" s="8">
        <f>IF(COUNT(D1249:P1249)=0,"",MAX(D1249:P1249))</f>
        <v/>
      </c>
      <c r="T1249" s="9">
        <f>IF(OR(Q1249="",Q1249=0),"",(S1249-Q1249)/Q1249)</f>
        <v/>
      </c>
      <c r="U1249" s="7">
        <f>IF(COUNT(D1249:P1249)=0,"",INDEX($D$1:$P$1,MATCH(MIN(D1249:P1249),D1249:P1249,0)))</f>
        <v/>
      </c>
      <c r="V1249" s="8" t="n">
        <v>14401.48</v>
      </c>
      <c r="W1249" s="10" t="n">
        <v>2</v>
      </c>
    </row>
    <row r="1250">
      <c r="A1250" s="7" t="inlineStr">
        <is>
          <t>MAT-26-002</t>
        </is>
      </c>
      <c r="B1250" s="4" t="inlineStr">
        <is>
          <t>Mueble de baño, de pared</t>
        </is>
      </c>
      <c r="C1250" s="7" t="inlineStr">
        <is>
          <t>unidad</t>
        </is>
      </c>
      <c r="D1250" s="8" t="n">
        <v>5433.44</v>
      </c>
      <c r="E1250" s="8" t="n"/>
      <c r="F1250" s="8" t="n"/>
      <c r="G1250" s="8" t="n"/>
      <c r="H1250" s="8" t="n">
        <v>19500</v>
      </c>
      <c r="I1250" s="8" t="n">
        <v>13150</v>
      </c>
      <c r="J1250" s="8" t="n"/>
      <c r="K1250" s="8" t="n">
        <v>8120</v>
      </c>
      <c r="L1250" s="8" t="n"/>
      <c r="M1250" s="8" t="n"/>
      <c r="N1250" s="8" t="n"/>
      <c r="O1250" s="8" t="n"/>
      <c r="P1250" s="8" t="n"/>
      <c r="Q1250" s="8">
        <f>IF(COUNT(D1250:P1250)=0,"",MIN(D1250:P1250))</f>
        <v/>
      </c>
      <c r="R1250" s="8">
        <f>IF(COUNT(D1250:P1250)=0,"",MEDIAN(D1250:P1250))</f>
        <v/>
      </c>
      <c r="S1250" s="8">
        <f>IF(COUNT(D1250:P1250)=0,"",MAX(D1250:P1250))</f>
        <v/>
      </c>
      <c r="T1250" s="9">
        <f>IF(OR(Q1250="",Q1250=0),"",(S1250-Q1250)/Q1250)</f>
        <v/>
      </c>
      <c r="U1250" s="7">
        <f>IF(COUNT(D1250:P1250)=0,"",INDEX($D$1:$P$1,MATCH(MIN(D1250:P1250),D1250:P1250,0)))</f>
        <v/>
      </c>
      <c r="V1250" s="8" t="n">
        <v>17169.24</v>
      </c>
      <c r="W1250" s="10" t="n">
        <v>4</v>
      </c>
    </row>
    <row r="1251">
      <c r="A1251" s="7" t="inlineStr">
        <is>
          <t>MAT-26-003</t>
        </is>
      </c>
      <c r="B1251" s="4" t="inlineStr">
        <is>
          <t>Mueble de baño, de piso</t>
        </is>
      </c>
      <c r="C1251" s="7" t="inlineStr">
        <is>
          <t>unidad</t>
        </is>
      </c>
      <c r="D1251" s="8" t="n"/>
      <c r="E1251" s="8" t="n"/>
      <c r="F1251" s="8" t="n">
        <v>8141.3</v>
      </c>
      <c r="G1251" s="8" t="n">
        <v>21825</v>
      </c>
      <c r="H1251" s="8" t="n">
        <v>7800</v>
      </c>
      <c r="I1251" s="8" t="n">
        <v>2725</v>
      </c>
      <c r="J1251" s="8" t="n"/>
      <c r="K1251" s="8" t="n">
        <v>7012.5</v>
      </c>
      <c r="L1251" s="8" t="n"/>
      <c r="M1251" s="8" t="n"/>
      <c r="N1251" s="8" t="n"/>
      <c r="O1251" s="8" t="n"/>
      <c r="P1251" s="8" t="n"/>
      <c r="Q1251" s="8">
        <f>IF(COUNT(D1251:P1251)=0,"",MIN(D1251:P1251))</f>
        <v/>
      </c>
      <c r="R1251" s="8">
        <f>IF(COUNT(D1251:P1251)=0,"",MEDIAN(D1251:P1251))</f>
        <v/>
      </c>
      <c r="S1251" s="8">
        <f>IF(COUNT(D1251:P1251)=0,"",MAX(D1251:P1251))</f>
        <v/>
      </c>
      <c r="T1251" s="9">
        <f>IF(OR(Q1251="",Q1251=0),"",(S1251-Q1251)/Q1251)</f>
        <v/>
      </c>
      <c r="U1251" s="7">
        <f>IF(COUNT(D1251:P1251)=0,"",INDEX($D$1:$P$1,MATCH(MIN(D1251:P1251),D1251:P1251,0)))</f>
        <v/>
      </c>
      <c r="V1251" s="8" t="n">
        <v>21623.89</v>
      </c>
      <c r="W1251" s="10" t="n">
        <v>5</v>
      </c>
    </row>
    <row r="1252">
      <c r="A1252" s="7" t="inlineStr">
        <is>
          <t>MAT-26-004</t>
        </is>
      </c>
      <c r="B1252" s="4" t="inlineStr">
        <is>
          <t>Botiquín de baño</t>
        </is>
      </c>
      <c r="C1252" s="7" t="inlineStr">
        <is>
          <t>unidad</t>
        </is>
      </c>
      <c r="D1252" s="8" t="n">
        <v>725.87</v>
      </c>
      <c r="E1252" s="8" t="n"/>
      <c r="F1252" s="8" t="n"/>
      <c r="G1252" s="8" t="n">
        <v>2775</v>
      </c>
      <c r="H1252" s="8" t="n"/>
      <c r="I1252" s="8" t="n"/>
      <c r="J1252" s="8" t="n"/>
      <c r="K1252" s="8" t="n">
        <v>995</v>
      </c>
      <c r="L1252" s="8" t="n"/>
      <c r="M1252" s="8" t="n"/>
      <c r="N1252" s="8" t="n"/>
      <c r="O1252" s="8" t="n"/>
      <c r="P1252" s="8" t="n"/>
      <c r="Q1252" s="8">
        <f>IF(COUNT(D1252:P1252)=0,"",MIN(D1252:P1252))</f>
        <v/>
      </c>
      <c r="R1252" s="8">
        <f>IF(COUNT(D1252:P1252)=0,"",MEDIAN(D1252:P1252))</f>
        <v/>
      </c>
      <c r="S1252" s="8">
        <f>IF(COUNT(D1252:P1252)=0,"",MAX(D1252:P1252))</f>
        <v/>
      </c>
      <c r="T1252" s="9">
        <f>IF(OR(Q1252="",Q1252=0),"",(S1252-Q1252)/Q1252)</f>
        <v/>
      </c>
      <c r="U1252" s="7">
        <f>IF(COUNT(D1252:P1252)=0,"",INDEX($D$1:$P$1,MATCH(MIN(D1252:P1252),D1252:P1252,0)))</f>
        <v/>
      </c>
      <c r="V1252" s="8" t="n">
        <v>1481</v>
      </c>
      <c r="W1252" s="10" t="n">
        <v>3</v>
      </c>
    </row>
    <row r="1253">
      <c r="A1253" s="7" t="inlineStr">
        <is>
          <t>MAT-26-005</t>
        </is>
      </c>
      <c r="B1253" s="4" t="inlineStr">
        <is>
          <t>Botiquín de baño, con luz LED</t>
        </is>
      </c>
      <c r="C1253" s="7" t="inlineStr">
        <is>
          <t>unidad</t>
        </is>
      </c>
      <c r="D1253" s="8" t="n">
        <v>10320.96</v>
      </c>
      <c r="E1253" s="8" t="n"/>
      <c r="F1253" s="8" t="n"/>
      <c r="G1253" s="8" t="n"/>
      <c r="H1253" s="8" t="n"/>
      <c r="I1253" s="8" t="n"/>
      <c r="J1253" s="8" t="n"/>
      <c r="K1253" s="8" t="n"/>
      <c r="L1253" s="8" t="n"/>
      <c r="M1253" s="8" t="n"/>
      <c r="N1253" s="8" t="n"/>
      <c r="O1253" s="8" t="n"/>
      <c r="P1253" s="8" t="n"/>
      <c r="Q1253" s="8">
        <f>IF(COUNT(D1253:P1253)=0,"",MIN(D1253:P1253))</f>
        <v/>
      </c>
      <c r="R1253" s="8">
        <f>IF(COUNT(D1253:P1253)=0,"",MEDIAN(D1253:P1253))</f>
        <v/>
      </c>
      <c r="S1253" s="8">
        <f>IF(COUNT(D1253:P1253)=0,"",MAX(D1253:P1253))</f>
        <v/>
      </c>
      <c r="T1253" s="9">
        <f>IF(OR(Q1253="",Q1253=0),"",(S1253-Q1253)/Q1253)</f>
        <v/>
      </c>
      <c r="U1253" s="7">
        <f>IF(COUNT(D1253:P1253)=0,"",INDEX($D$1:$P$1,MATCH(MIN(D1253:P1253),D1253:P1253,0)))</f>
        <v/>
      </c>
      <c r="V1253" s="8" t="n">
        <v>15456.85</v>
      </c>
      <c r="W1253" s="10" t="n">
        <v>1</v>
      </c>
    </row>
    <row r="1254">
      <c r="A1254" s="7" t="inlineStr">
        <is>
          <t>MAT-26-006</t>
        </is>
      </c>
      <c r="B1254" s="4" t="inlineStr">
        <is>
          <t>Espejo de baño</t>
        </is>
      </c>
      <c r="C1254" s="7" t="inlineStr">
        <is>
          <t>unidad</t>
        </is>
      </c>
      <c r="D1254" s="8" t="n">
        <v>1210.04</v>
      </c>
      <c r="E1254" s="8" t="n"/>
      <c r="F1254" s="8" t="n">
        <v>1351.45</v>
      </c>
      <c r="G1254" s="8" t="n"/>
      <c r="H1254" s="8" t="n">
        <v>1490</v>
      </c>
      <c r="I1254" s="8" t="n"/>
      <c r="J1254" s="8" t="n"/>
      <c r="K1254" s="8" t="n">
        <v>665</v>
      </c>
      <c r="L1254" s="8" t="n"/>
      <c r="M1254" s="8" t="n"/>
      <c r="N1254" s="8" t="n"/>
      <c r="O1254" s="8" t="n"/>
      <c r="P1254" s="8" t="n"/>
      <c r="Q1254" s="8">
        <f>IF(COUNT(D1254:P1254)=0,"",MIN(D1254:P1254))</f>
        <v/>
      </c>
      <c r="R1254" s="8">
        <f>IF(COUNT(D1254:P1254)=0,"",MEDIAN(D1254:P1254))</f>
        <v/>
      </c>
      <c r="S1254" s="8">
        <f>IF(COUNT(D1254:P1254)=0,"",MAX(D1254:P1254))</f>
        <v/>
      </c>
      <c r="T1254" s="9">
        <f>IF(OR(Q1254="",Q1254=0),"",(S1254-Q1254)/Q1254)</f>
        <v/>
      </c>
      <c r="U1254" s="7">
        <f>IF(COUNT(D1254:P1254)=0,"",INDEX($D$1:$P$1,MATCH(MIN(D1254:P1254),D1254:P1254,0)))</f>
        <v/>
      </c>
      <c r="V1254" s="8" t="n">
        <v>1594.71</v>
      </c>
      <c r="W1254" s="10" t="n">
        <v>4</v>
      </c>
    </row>
    <row r="1255">
      <c r="A1255" s="7" t="inlineStr">
        <is>
          <t>MAT-26-007</t>
        </is>
      </c>
      <c r="B1255" s="4" t="inlineStr">
        <is>
          <t>Espejo de baño, con luz LED</t>
        </is>
      </c>
      <c r="C1255" s="7" t="inlineStr">
        <is>
          <t>unidad</t>
        </is>
      </c>
      <c r="D1255" s="8" t="n">
        <v>4270.75</v>
      </c>
      <c r="E1255" s="8" t="n"/>
      <c r="F1255" s="8" t="n">
        <v>5123.51</v>
      </c>
      <c r="G1255" s="8" t="n"/>
      <c r="H1255" s="8" t="n">
        <v>4900</v>
      </c>
      <c r="I1255" s="8" t="n">
        <v>2035</v>
      </c>
      <c r="J1255" s="8" t="n"/>
      <c r="K1255" s="8" t="n">
        <v>1795</v>
      </c>
      <c r="L1255" s="8" t="n"/>
      <c r="M1255" s="8" t="n"/>
      <c r="N1255" s="8" t="n"/>
      <c r="O1255" s="8" t="n"/>
      <c r="P1255" s="8" t="n"/>
      <c r="Q1255" s="8">
        <f>IF(COUNT(D1255:P1255)=0,"",MIN(D1255:P1255))</f>
        <v/>
      </c>
      <c r="R1255" s="8">
        <f>IF(COUNT(D1255:P1255)=0,"",MEDIAN(D1255:P1255))</f>
        <v/>
      </c>
      <c r="S1255" s="8">
        <f>IF(COUNT(D1255:P1255)=0,"",MAX(D1255:P1255))</f>
        <v/>
      </c>
      <c r="T1255" s="9">
        <f>IF(OR(Q1255="",Q1255=0),"",(S1255-Q1255)/Q1255)</f>
        <v/>
      </c>
      <c r="U1255" s="7">
        <f>IF(COUNT(D1255:P1255)=0,"",INDEX($D$1:$P$1,MATCH(MIN(D1255:P1255),D1255:P1255,0)))</f>
        <v/>
      </c>
      <c r="V1255" s="8" t="n">
        <v>7811.18</v>
      </c>
      <c r="W1255" s="10" t="n">
        <v>5</v>
      </c>
    </row>
    <row r="1256">
      <c r="A1256" s="7" t="inlineStr">
        <is>
          <t>MAT-26-008</t>
        </is>
      </c>
      <c r="B1256" s="4" t="inlineStr">
        <is>
          <t>Cabina o panel de ducha</t>
        </is>
      </c>
      <c r="C1256" s="7" t="inlineStr">
        <is>
          <t>unidad</t>
        </is>
      </c>
      <c r="D1256" s="8" t="n"/>
      <c r="E1256" s="8" t="n"/>
      <c r="F1256" s="8" t="n">
        <v>14364.41</v>
      </c>
      <c r="G1256" s="8" t="n"/>
      <c r="H1256" s="8" t="n">
        <v>8900</v>
      </c>
      <c r="I1256" s="8" t="n"/>
      <c r="J1256" s="8" t="n"/>
      <c r="K1256" s="8" t="n">
        <v>3118.5</v>
      </c>
      <c r="L1256" s="8" t="n"/>
      <c r="M1256" s="8" t="n"/>
      <c r="N1256" s="8" t="n"/>
      <c r="O1256" s="8" t="n"/>
      <c r="P1256" s="8" t="n"/>
      <c r="Q1256" s="8">
        <f>IF(COUNT(D1256:P1256)=0,"",MIN(D1256:P1256))</f>
        <v/>
      </c>
      <c r="R1256" s="8">
        <f>IF(COUNT(D1256:P1256)=0,"",MEDIAN(D1256:P1256))</f>
        <v/>
      </c>
      <c r="S1256" s="8">
        <f>IF(COUNT(D1256:P1256)=0,"",MAX(D1256:P1256))</f>
        <v/>
      </c>
      <c r="T1256" s="9">
        <f>IF(OR(Q1256="",Q1256=0),"",(S1256-Q1256)/Q1256)</f>
        <v/>
      </c>
      <c r="U1256" s="7">
        <f>IF(COUNT(D1256:P1256)=0,"",INDEX($D$1:$P$1,MATCH(MIN(D1256:P1256),D1256:P1256,0)))</f>
        <v/>
      </c>
      <c r="V1256" s="8" t="n">
        <v>6079</v>
      </c>
      <c r="W1256" s="10" t="n">
        <v>3</v>
      </c>
    </row>
    <row r="1257">
      <c r="A1257" s="7" t="inlineStr">
        <is>
          <t>MAT-26-009</t>
        </is>
      </c>
      <c r="B1257" s="4" t="inlineStr">
        <is>
          <t>Bañera</t>
        </is>
      </c>
      <c r="C1257" s="7" t="inlineStr">
        <is>
          <t>unidad</t>
        </is>
      </c>
      <c r="D1257" s="8" t="n"/>
      <c r="E1257" s="8" t="n">
        <v>9469</v>
      </c>
      <c r="F1257" s="8" t="n">
        <v>43840</v>
      </c>
      <c r="G1257" s="8" t="n"/>
      <c r="H1257" s="8" t="n">
        <v>14250</v>
      </c>
      <c r="I1257" s="8" t="n"/>
      <c r="J1257" s="8" t="n"/>
      <c r="K1257" s="8" t="n"/>
      <c r="L1257" s="8" t="n"/>
      <c r="M1257" s="8" t="n"/>
      <c r="N1257" s="8" t="n"/>
      <c r="O1257" s="8" t="n"/>
      <c r="P1257" s="8" t="n"/>
      <c r="Q1257" s="8">
        <f>IF(COUNT(D1257:P1257)=0,"",MIN(D1257:P1257))</f>
        <v/>
      </c>
      <c r="R1257" s="8">
        <f>IF(COUNT(D1257:P1257)=0,"",MEDIAN(D1257:P1257))</f>
        <v/>
      </c>
      <c r="S1257" s="8">
        <f>IF(COUNT(D1257:P1257)=0,"",MAX(D1257:P1257))</f>
        <v/>
      </c>
      <c r="T1257" s="9">
        <f>IF(OR(Q1257="",Q1257=0),"",(S1257-Q1257)/Q1257)</f>
        <v/>
      </c>
      <c r="U1257" s="7">
        <f>IF(COUNT(D1257:P1257)=0,"",INDEX($D$1:$P$1,MATCH(MIN(D1257:P1257),D1257:P1257,0)))</f>
        <v/>
      </c>
      <c r="V1257" s="8" t="n">
        <v>97909.59</v>
      </c>
      <c r="W1257" s="10" t="n">
        <v>3</v>
      </c>
    </row>
    <row r="1258">
      <c r="A1258" s="7" t="inlineStr">
        <is>
          <t>MAT-26-010</t>
        </is>
      </c>
      <c r="B1258" s="4" t="inlineStr">
        <is>
          <t>Plato de ducha</t>
        </is>
      </c>
      <c r="C1258" s="7" t="inlineStr">
        <is>
          <t>unidad</t>
        </is>
      </c>
      <c r="D1258" s="8" t="n"/>
      <c r="E1258" s="8" t="n"/>
      <c r="F1258" s="8" t="n">
        <v>14956.2</v>
      </c>
      <c r="G1258" s="8" t="n"/>
      <c r="H1258" s="8" t="n">
        <v>14999.99</v>
      </c>
      <c r="I1258" s="8" t="n"/>
      <c r="J1258" s="8" t="n"/>
      <c r="K1258" s="8" t="n"/>
      <c r="L1258" s="8" t="n"/>
      <c r="M1258" s="8" t="n"/>
      <c r="N1258" s="8" t="n"/>
      <c r="O1258" s="8" t="n"/>
      <c r="P1258" s="8" t="n"/>
      <c r="Q1258" s="8">
        <f>IF(COUNT(D1258:P1258)=0,"",MIN(D1258:P1258))</f>
        <v/>
      </c>
      <c r="R1258" s="8">
        <f>IF(COUNT(D1258:P1258)=0,"",MEDIAN(D1258:P1258))</f>
        <v/>
      </c>
      <c r="S1258" s="8">
        <f>IF(COUNT(D1258:P1258)=0,"",MAX(D1258:P1258))</f>
        <v/>
      </c>
      <c r="T1258" s="9">
        <f>IF(OR(Q1258="",Q1258=0),"",(S1258-Q1258)/Q1258)</f>
        <v/>
      </c>
      <c r="U1258" s="7">
        <f>IF(COUNT(D1258:P1258)=0,"",INDEX($D$1:$P$1,MATCH(MIN(D1258:P1258),D1258:P1258,0)))</f>
        <v/>
      </c>
      <c r="V1258" s="8" t="n">
        <v>19278.36</v>
      </c>
      <c r="W1258" s="10" t="n">
        <v>2</v>
      </c>
    </row>
    <row r="1259">
      <c r="A1259" s="7" t="inlineStr">
        <is>
          <t>MAT-27-001</t>
        </is>
      </c>
      <c r="B1259" s="4" t="inlineStr">
        <is>
          <t>Barra de seguridad, abatible, 20 cm</t>
        </is>
      </c>
      <c r="C1259" s="7" t="inlineStr">
        <is>
          <t>unidad</t>
        </is>
      </c>
      <c r="D1259" s="8" t="n"/>
      <c r="E1259" s="8" t="n"/>
      <c r="F1259" s="8" t="n"/>
      <c r="G1259" s="8" t="n"/>
      <c r="H1259" s="8" t="n"/>
      <c r="I1259" s="8" t="n"/>
      <c r="J1259" s="8" t="n"/>
      <c r="K1259" s="8" t="n">
        <v>2439</v>
      </c>
      <c r="L1259" s="8" t="n"/>
      <c r="M1259" s="8" t="n"/>
      <c r="N1259" s="8" t="n"/>
      <c r="O1259" s="8" t="n"/>
      <c r="P1259" s="8" t="n"/>
      <c r="Q1259" s="8">
        <f>IF(COUNT(D1259:P1259)=0,"",MIN(D1259:P1259))</f>
        <v/>
      </c>
      <c r="R1259" s="8">
        <f>IF(COUNT(D1259:P1259)=0,"",MEDIAN(D1259:P1259))</f>
        <v/>
      </c>
      <c r="S1259" s="8">
        <f>IF(COUNT(D1259:P1259)=0,"",MAX(D1259:P1259))</f>
        <v/>
      </c>
      <c r="T1259" s="9">
        <f>IF(OR(Q1259="",Q1259=0),"",(S1259-Q1259)/Q1259)</f>
        <v/>
      </c>
      <c r="U1259" s="7">
        <f>IF(COUNT(D1259:P1259)=0,"",INDEX($D$1:$P$1,MATCH(MIN(D1259:P1259),D1259:P1259,0)))</f>
        <v/>
      </c>
      <c r="V1259" s="8" t="n">
        <v>2439</v>
      </c>
      <c r="W1259" s="10" t="n">
        <v>1</v>
      </c>
    </row>
    <row r="1260">
      <c r="A1260" s="7" t="inlineStr">
        <is>
          <t>MAT-27-002</t>
        </is>
      </c>
      <c r="B1260" s="4" t="inlineStr">
        <is>
          <t>Barra de seguridad, curva</t>
        </is>
      </c>
      <c r="C1260" s="7" t="inlineStr">
        <is>
          <t>unidad</t>
        </is>
      </c>
      <c r="D1260" s="8" t="n">
        <v>1416.67</v>
      </c>
      <c r="E1260" s="8" t="n"/>
      <c r="F1260" s="8" t="n"/>
      <c r="G1260" s="8" t="n"/>
      <c r="H1260" s="8" t="n"/>
      <c r="I1260" s="8" t="n"/>
      <c r="J1260" s="8" t="n"/>
      <c r="K1260" s="8" t="n"/>
      <c r="L1260" s="8" t="n"/>
      <c r="M1260" s="8" t="n"/>
      <c r="N1260" s="8" t="n"/>
      <c r="O1260" s="8" t="n"/>
      <c r="P1260" s="8" t="n"/>
      <c r="Q1260" s="8">
        <f>IF(COUNT(D1260:P1260)=0,"",MIN(D1260:P1260))</f>
        <v/>
      </c>
      <c r="R1260" s="8">
        <f>IF(COUNT(D1260:P1260)=0,"",MEDIAN(D1260:P1260))</f>
        <v/>
      </c>
      <c r="S1260" s="8">
        <f>IF(COUNT(D1260:P1260)=0,"",MAX(D1260:P1260))</f>
        <v/>
      </c>
      <c r="T1260" s="9">
        <f>IF(OR(Q1260="",Q1260=0),"",(S1260-Q1260)/Q1260)</f>
        <v/>
      </c>
      <c r="U1260" s="7">
        <f>IF(COUNT(D1260:P1260)=0,"",INDEX($D$1:$P$1,MATCH(MIN(D1260:P1260),D1260:P1260,0)))</f>
        <v/>
      </c>
      <c r="V1260" s="8" t="n">
        <v>1416.67</v>
      </c>
      <c r="W1260" s="10" t="n">
        <v>1</v>
      </c>
    </row>
    <row r="1261">
      <c r="A1261" s="7" t="inlineStr">
        <is>
          <t>MAT-27-003</t>
        </is>
      </c>
      <c r="B1261" s="4" t="inlineStr">
        <is>
          <t>Barra de seguridad, en L, 30 cm</t>
        </is>
      </c>
      <c r="C1261" s="7" t="inlineStr">
        <is>
          <t>unidad</t>
        </is>
      </c>
      <c r="D1261" s="8" t="n"/>
      <c r="E1261" s="8" t="n"/>
      <c r="F1261" s="8" t="n"/>
      <c r="G1261" s="8" t="n"/>
      <c r="H1261" s="8" t="n"/>
      <c r="I1261" s="8" t="n"/>
      <c r="J1261" s="8" t="n"/>
      <c r="K1261" s="8" t="n">
        <v>1200</v>
      </c>
      <c r="L1261" s="8" t="n"/>
      <c r="M1261" s="8" t="n"/>
      <c r="N1261" s="8" t="n"/>
      <c r="O1261" s="8" t="n"/>
      <c r="P1261" s="8" t="n"/>
      <c r="Q1261" s="8">
        <f>IF(COUNT(D1261:P1261)=0,"",MIN(D1261:P1261))</f>
        <v/>
      </c>
      <c r="R1261" s="8">
        <f>IF(COUNT(D1261:P1261)=0,"",MEDIAN(D1261:P1261))</f>
        <v/>
      </c>
      <c r="S1261" s="8">
        <f>IF(COUNT(D1261:P1261)=0,"",MAX(D1261:P1261))</f>
        <v/>
      </c>
      <c r="T1261" s="9">
        <f>IF(OR(Q1261="",Q1261=0),"",(S1261-Q1261)/Q1261)</f>
        <v/>
      </c>
      <c r="U1261" s="7">
        <f>IF(COUNT(D1261:P1261)=0,"",INDEX($D$1:$P$1,MATCH(MIN(D1261:P1261),D1261:P1261,0)))</f>
        <v/>
      </c>
      <c r="V1261" s="8" t="n">
        <v>1200</v>
      </c>
      <c r="W1261" s="10" t="n">
        <v>1</v>
      </c>
    </row>
    <row r="1262">
      <c r="A1262" s="7" t="inlineStr">
        <is>
          <t>MAT-27-004</t>
        </is>
      </c>
      <c r="B1262" s="4" t="inlineStr">
        <is>
          <t>Barra de seguridad, en L, 45 cm</t>
        </is>
      </c>
      <c r="C1262" s="7" t="inlineStr">
        <is>
          <t>unidad</t>
        </is>
      </c>
      <c r="D1262" s="8" t="n"/>
      <c r="E1262" s="8" t="n"/>
      <c r="F1262" s="8" t="n"/>
      <c r="G1262" s="8" t="n"/>
      <c r="H1262" s="8" t="n"/>
      <c r="I1262" s="8" t="n"/>
      <c r="J1262" s="8" t="n"/>
      <c r="K1262" s="8" t="n">
        <v>925</v>
      </c>
      <c r="L1262" s="8" t="n"/>
      <c r="M1262" s="8" t="n"/>
      <c r="N1262" s="8" t="n"/>
      <c r="O1262" s="8" t="n"/>
      <c r="P1262" s="8" t="n"/>
      <c r="Q1262" s="8">
        <f>IF(COUNT(D1262:P1262)=0,"",MIN(D1262:P1262))</f>
        <v/>
      </c>
      <c r="R1262" s="8">
        <f>IF(COUNT(D1262:P1262)=0,"",MEDIAN(D1262:P1262))</f>
        <v/>
      </c>
      <c r="S1262" s="8">
        <f>IF(COUNT(D1262:P1262)=0,"",MAX(D1262:P1262))</f>
        <v/>
      </c>
      <c r="T1262" s="9">
        <f>IF(OR(Q1262="",Q1262=0),"",(S1262-Q1262)/Q1262)</f>
        <v/>
      </c>
      <c r="U1262" s="7">
        <f>IF(COUNT(D1262:P1262)=0,"",INDEX($D$1:$P$1,MATCH(MIN(D1262:P1262),D1262:P1262,0)))</f>
        <v/>
      </c>
      <c r="V1262" s="8" t="n">
        <v>925</v>
      </c>
      <c r="W1262" s="10" t="n">
        <v>1</v>
      </c>
    </row>
    <row r="1263">
      <c r="A1263" s="7" t="inlineStr">
        <is>
          <t>MAT-27-005</t>
        </is>
      </c>
      <c r="B1263" s="4" t="inlineStr">
        <is>
          <t>Barra de seguridad, en L, 55 cm</t>
        </is>
      </c>
      <c r="C1263" s="7" t="inlineStr">
        <is>
          <t>unidad</t>
        </is>
      </c>
      <c r="D1263" s="8" t="n"/>
      <c r="E1263" s="8" t="n"/>
      <c r="F1263" s="8" t="n"/>
      <c r="G1263" s="8" t="n"/>
      <c r="H1263" s="8" t="n"/>
      <c r="I1263" s="8" t="n"/>
      <c r="J1263" s="8" t="n"/>
      <c r="K1263" s="8" t="n">
        <v>2619</v>
      </c>
      <c r="L1263" s="8" t="n"/>
      <c r="M1263" s="8" t="n"/>
      <c r="N1263" s="8" t="n"/>
      <c r="O1263" s="8" t="n"/>
      <c r="P1263" s="8" t="n"/>
      <c r="Q1263" s="8">
        <f>IF(COUNT(D1263:P1263)=0,"",MIN(D1263:P1263))</f>
        <v/>
      </c>
      <c r="R1263" s="8">
        <f>IF(COUNT(D1263:P1263)=0,"",MEDIAN(D1263:P1263))</f>
        <v/>
      </c>
      <c r="S1263" s="8">
        <f>IF(COUNT(D1263:P1263)=0,"",MAX(D1263:P1263))</f>
        <v/>
      </c>
      <c r="T1263" s="9">
        <f>IF(OR(Q1263="",Q1263=0),"",(S1263-Q1263)/Q1263)</f>
        <v/>
      </c>
      <c r="U1263" s="7">
        <f>IF(COUNT(D1263:P1263)=0,"",INDEX($D$1:$P$1,MATCH(MIN(D1263:P1263),D1263:P1263,0)))</f>
        <v/>
      </c>
      <c r="V1263" s="8" t="n">
        <v>2619</v>
      </c>
      <c r="W1263" s="10" t="n">
        <v>1</v>
      </c>
    </row>
    <row r="1264">
      <c r="A1264" s="7" t="inlineStr">
        <is>
          <t>MAT-27-006</t>
        </is>
      </c>
      <c r="B1264" s="4" t="inlineStr">
        <is>
          <t>Barra de seguridad, en L, 75 cm</t>
        </is>
      </c>
      <c r="C1264" s="7" t="inlineStr">
        <is>
          <t>unidad</t>
        </is>
      </c>
      <c r="D1264" s="8" t="n"/>
      <c r="E1264" s="8" t="n"/>
      <c r="F1264" s="8" t="n">
        <v>4786.74</v>
      </c>
      <c r="G1264" s="8" t="n"/>
      <c r="H1264" s="8" t="n"/>
      <c r="I1264" s="8" t="n"/>
      <c r="J1264" s="8" t="n"/>
      <c r="K1264" s="8" t="n">
        <v>6294</v>
      </c>
      <c r="L1264" s="8" t="n"/>
      <c r="M1264" s="8" t="n"/>
      <c r="N1264" s="8" t="n"/>
      <c r="O1264" s="8" t="n"/>
      <c r="P1264" s="8" t="n"/>
      <c r="Q1264" s="8">
        <f>IF(COUNT(D1264:P1264)=0,"",MIN(D1264:P1264))</f>
        <v/>
      </c>
      <c r="R1264" s="8">
        <f>IF(COUNT(D1264:P1264)=0,"",MEDIAN(D1264:P1264))</f>
        <v/>
      </c>
      <c r="S1264" s="8">
        <f>IF(COUNT(D1264:P1264)=0,"",MAX(D1264:P1264))</f>
        <v/>
      </c>
      <c r="T1264" s="9">
        <f>IF(OR(Q1264="",Q1264=0),"",(S1264-Q1264)/Q1264)</f>
        <v/>
      </c>
      <c r="U1264" s="7">
        <f>IF(COUNT(D1264:P1264)=0,"",INDEX($D$1:$P$1,MATCH(MIN(D1264:P1264),D1264:P1264,0)))</f>
        <v/>
      </c>
      <c r="V1264" s="8" t="n">
        <v>6294</v>
      </c>
      <c r="W1264" s="10" t="n">
        <v>2</v>
      </c>
    </row>
    <row r="1265">
      <c r="A1265" s="7" t="inlineStr">
        <is>
          <t>MAT-27-007</t>
        </is>
      </c>
      <c r="B1265" s="4" t="inlineStr">
        <is>
          <t>Barra de seguridad, recta</t>
        </is>
      </c>
      <c r="C1265" s="7" t="inlineStr">
        <is>
          <t>unidad</t>
        </is>
      </c>
      <c r="D1265" s="8" t="n">
        <v>3022.13</v>
      </c>
      <c r="E1265" s="8" t="n"/>
      <c r="F1265" s="8" t="n"/>
      <c r="G1265" s="8" t="n"/>
      <c r="H1265" s="8" t="n"/>
      <c r="I1265" s="8" t="n">
        <v>1615</v>
      </c>
      <c r="J1265" s="8" t="n"/>
      <c r="K1265" s="8" t="n"/>
      <c r="L1265" s="8" t="n"/>
      <c r="M1265" s="8" t="n"/>
      <c r="N1265" s="8" t="n"/>
      <c r="O1265" s="8" t="n"/>
      <c r="P1265" s="8" t="n"/>
      <c r="Q1265" s="8">
        <f>IF(COUNT(D1265:P1265)=0,"",MIN(D1265:P1265))</f>
        <v/>
      </c>
      <c r="R1265" s="8">
        <f>IF(COUNT(D1265:P1265)=0,"",MEDIAN(D1265:P1265))</f>
        <v/>
      </c>
      <c r="S1265" s="8">
        <f>IF(COUNT(D1265:P1265)=0,"",MAX(D1265:P1265))</f>
        <v/>
      </c>
      <c r="T1265" s="9">
        <f>IF(OR(Q1265="",Q1265=0),"",(S1265-Q1265)/Q1265)</f>
        <v/>
      </c>
      <c r="U1265" s="7">
        <f>IF(COUNT(D1265:P1265)=0,"",INDEX($D$1:$P$1,MATCH(MIN(D1265:P1265),D1265:P1265,0)))</f>
        <v/>
      </c>
      <c r="V1265" s="8" t="n">
        <v>1940</v>
      </c>
      <c r="W1265" s="10" t="n">
        <v>2</v>
      </c>
    </row>
    <row r="1266">
      <c r="A1266" s="7" t="inlineStr">
        <is>
          <t>MAT-27-008</t>
        </is>
      </c>
      <c r="B1266" s="4" t="inlineStr">
        <is>
          <t>Barra de seguridad, recta, 105 cm</t>
        </is>
      </c>
      <c r="C1266" s="7" t="inlineStr">
        <is>
          <t>unidad</t>
        </is>
      </c>
      <c r="D1266" s="8" t="n"/>
      <c r="E1266" s="8" t="n"/>
      <c r="F1266" s="8" t="n"/>
      <c r="G1266" s="8" t="n"/>
      <c r="H1266" s="8" t="n"/>
      <c r="I1266" s="8" t="n"/>
      <c r="J1266" s="8" t="n"/>
      <c r="K1266" s="8" t="n">
        <v>2750</v>
      </c>
      <c r="L1266" s="8" t="n"/>
      <c r="M1266" s="8" t="n"/>
      <c r="N1266" s="8" t="n"/>
      <c r="O1266" s="8" t="n"/>
      <c r="P1266" s="8" t="n"/>
      <c r="Q1266" s="8">
        <f>IF(COUNT(D1266:P1266)=0,"",MIN(D1266:P1266))</f>
        <v/>
      </c>
      <c r="R1266" s="8">
        <f>IF(COUNT(D1266:P1266)=0,"",MEDIAN(D1266:P1266))</f>
        <v/>
      </c>
      <c r="S1266" s="8">
        <f>IF(COUNT(D1266:P1266)=0,"",MAX(D1266:P1266))</f>
        <v/>
      </c>
      <c r="T1266" s="9">
        <f>IF(OR(Q1266="",Q1266=0),"",(S1266-Q1266)/Q1266)</f>
        <v/>
      </c>
      <c r="U1266" s="7">
        <f>IF(COUNT(D1266:P1266)=0,"",INDEX($D$1:$P$1,MATCH(MIN(D1266:P1266),D1266:P1266,0)))</f>
        <v/>
      </c>
      <c r="V1266" s="8" t="n">
        <v>2750</v>
      </c>
      <c r="W1266" s="10" t="n">
        <v>1</v>
      </c>
    </row>
    <row r="1267">
      <c r="A1267" s="7" t="inlineStr">
        <is>
          <t>MAT-27-009</t>
        </is>
      </c>
      <c r="B1267" s="4" t="inlineStr">
        <is>
          <t>Barra de seguridad, recta, 120 cm</t>
        </is>
      </c>
      <c r="C1267" s="7" t="inlineStr">
        <is>
          <t>unidad</t>
        </is>
      </c>
      <c r="D1267" s="8" t="n"/>
      <c r="E1267" s="8" t="n"/>
      <c r="F1267" s="8" t="n"/>
      <c r="G1267" s="8" t="n"/>
      <c r="H1267" s="8" t="n"/>
      <c r="I1267" s="8" t="n"/>
      <c r="J1267" s="8" t="n"/>
      <c r="K1267" s="8" t="n">
        <v>3092</v>
      </c>
      <c r="L1267" s="8" t="n"/>
      <c r="M1267" s="8" t="n"/>
      <c r="N1267" s="8" t="n"/>
      <c r="O1267" s="8" t="n"/>
      <c r="P1267" s="8" t="n"/>
      <c r="Q1267" s="8">
        <f>IF(COUNT(D1267:P1267)=0,"",MIN(D1267:P1267))</f>
        <v/>
      </c>
      <c r="R1267" s="8">
        <f>IF(COUNT(D1267:P1267)=0,"",MEDIAN(D1267:P1267))</f>
        <v/>
      </c>
      <c r="S1267" s="8">
        <f>IF(COUNT(D1267:P1267)=0,"",MAX(D1267:P1267))</f>
        <v/>
      </c>
      <c r="T1267" s="9">
        <f>IF(OR(Q1267="",Q1267=0),"",(S1267-Q1267)/Q1267)</f>
        <v/>
      </c>
      <c r="U1267" s="7">
        <f>IF(COUNT(D1267:P1267)=0,"",INDEX($D$1:$P$1,MATCH(MIN(D1267:P1267),D1267:P1267,0)))</f>
        <v/>
      </c>
      <c r="V1267" s="8" t="n">
        <v>3092</v>
      </c>
      <c r="W1267" s="10" t="n">
        <v>1</v>
      </c>
    </row>
    <row r="1268">
      <c r="A1268" s="7" t="inlineStr">
        <is>
          <t>MAT-27-010</t>
        </is>
      </c>
      <c r="B1268" s="4" t="inlineStr">
        <is>
          <t>Barra de seguridad, recta, 30 cm</t>
        </is>
      </c>
      <c r="C1268" s="7" t="inlineStr">
        <is>
          <t>unidad</t>
        </is>
      </c>
      <c r="D1268" s="8" t="n">
        <v>3007.09</v>
      </c>
      <c r="E1268" s="8" t="n"/>
      <c r="F1268" s="8" t="n">
        <v>1530</v>
      </c>
      <c r="G1268" s="8" t="n"/>
      <c r="H1268" s="8" t="n"/>
      <c r="I1268" s="8" t="n"/>
      <c r="J1268" s="8" t="n"/>
      <c r="K1268" s="8" t="n">
        <v>1200</v>
      </c>
      <c r="L1268" s="8" t="n"/>
      <c r="M1268" s="8" t="n"/>
      <c r="N1268" s="8" t="n"/>
      <c r="O1268" s="8" t="n"/>
      <c r="P1268" s="8" t="n"/>
      <c r="Q1268" s="8">
        <f>IF(COUNT(D1268:P1268)=0,"",MIN(D1268:P1268))</f>
        <v/>
      </c>
      <c r="R1268" s="8">
        <f>IF(COUNT(D1268:P1268)=0,"",MEDIAN(D1268:P1268))</f>
        <v/>
      </c>
      <c r="S1268" s="8">
        <f>IF(COUNT(D1268:P1268)=0,"",MAX(D1268:P1268))</f>
        <v/>
      </c>
      <c r="T1268" s="9">
        <f>IF(OR(Q1268="",Q1268=0),"",(S1268-Q1268)/Q1268)</f>
        <v/>
      </c>
      <c r="U1268" s="7">
        <f>IF(COUNT(D1268:P1268)=0,"",INDEX($D$1:$P$1,MATCH(MIN(D1268:P1268),D1268:P1268,0)))</f>
        <v/>
      </c>
      <c r="V1268" s="8" t="n">
        <v>1805.4</v>
      </c>
      <c r="W1268" s="10" t="n">
        <v>3</v>
      </c>
    </row>
    <row r="1269">
      <c r="A1269" s="7" t="inlineStr">
        <is>
          <t>MAT-27-011</t>
        </is>
      </c>
      <c r="B1269" s="4" t="inlineStr">
        <is>
          <t>Barra de seguridad, recta, 40 cm</t>
        </is>
      </c>
      <c r="C1269" s="7" t="inlineStr">
        <is>
          <t>unidad</t>
        </is>
      </c>
      <c r="D1269" s="8" t="n">
        <v>1176.96</v>
      </c>
      <c r="E1269" s="8" t="n"/>
      <c r="F1269" s="8" t="n"/>
      <c r="G1269" s="8" t="n"/>
      <c r="H1269" s="8" t="n"/>
      <c r="I1269" s="8" t="n"/>
      <c r="J1269" s="8" t="n"/>
      <c r="K1269" s="8" t="n">
        <v>675</v>
      </c>
      <c r="L1269" s="8" t="n"/>
      <c r="M1269" s="8" t="n"/>
      <c r="N1269" s="8" t="n"/>
      <c r="O1269" s="8" t="n"/>
      <c r="P1269" s="8" t="n"/>
      <c r="Q1269" s="8">
        <f>IF(COUNT(D1269:P1269)=0,"",MIN(D1269:P1269))</f>
        <v/>
      </c>
      <c r="R1269" s="8">
        <f>IF(COUNT(D1269:P1269)=0,"",MEDIAN(D1269:P1269))</f>
        <v/>
      </c>
      <c r="S1269" s="8">
        <f>IF(COUNT(D1269:P1269)=0,"",MAX(D1269:P1269))</f>
        <v/>
      </c>
      <c r="T1269" s="9">
        <f>IF(OR(Q1269="",Q1269=0),"",(S1269-Q1269)/Q1269)</f>
        <v/>
      </c>
      <c r="U1269" s="7">
        <f>IF(COUNT(D1269:P1269)=0,"",INDEX($D$1:$P$1,MATCH(MIN(D1269:P1269),D1269:P1269,0)))</f>
        <v/>
      </c>
      <c r="V1269" s="8" t="n">
        <v>925.98</v>
      </c>
      <c r="W1269" s="10" t="n">
        <v>2</v>
      </c>
    </row>
    <row r="1270">
      <c r="A1270" s="7" t="inlineStr">
        <is>
          <t>MAT-27-012</t>
        </is>
      </c>
      <c r="B1270" s="4" t="inlineStr">
        <is>
          <t>Barra de seguridad, recta, 45 cm</t>
        </is>
      </c>
      <c r="C1270" s="7" t="inlineStr">
        <is>
          <t>unidad</t>
        </is>
      </c>
      <c r="D1270" s="8" t="n"/>
      <c r="E1270" s="8" t="n"/>
      <c r="F1270" s="8" t="n"/>
      <c r="G1270" s="8" t="n"/>
      <c r="H1270" s="8" t="n"/>
      <c r="I1270" s="8" t="n"/>
      <c r="J1270" s="8" t="n"/>
      <c r="K1270" s="8" t="n">
        <v>1595</v>
      </c>
      <c r="L1270" s="8" t="n"/>
      <c r="M1270" s="8" t="n"/>
      <c r="N1270" s="8" t="n"/>
      <c r="O1270" s="8" t="n"/>
      <c r="P1270" s="8" t="n"/>
      <c r="Q1270" s="8">
        <f>IF(COUNT(D1270:P1270)=0,"",MIN(D1270:P1270))</f>
        <v/>
      </c>
      <c r="R1270" s="8">
        <f>IF(COUNT(D1270:P1270)=0,"",MEDIAN(D1270:P1270))</f>
        <v/>
      </c>
      <c r="S1270" s="8">
        <f>IF(COUNT(D1270:P1270)=0,"",MAX(D1270:P1270))</f>
        <v/>
      </c>
      <c r="T1270" s="9">
        <f>IF(OR(Q1270="",Q1270=0),"",(S1270-Q1270)/Q1270)</f>
        <v/>
      </c>
      <c r="U1270" s="7">
        <f>IF(COUNT(D1270:P1270)=0,"",INDEX($D$1:$P$1,MATCH(MIN(D1270:P1270),D1270:P1270,0)))</f>
        <v/>
      </c>
      <c r="V1270" s="8" t="n">
        <v>1665</v>
      </c>
      <c r="W1270" s="10" t="n">
        <v>1</v>
      </c>
    </row>
    <row r="1271">
      <c r="A1271" s="7" t="inlineStr">
        <is>
          <t>MAT-27-013</t>
        </is>
      </c>
      <c r="B1271" s="4" t="inlineStr">
        <is>
          <t>Barra de seguridad, recta, 50 cm</t>
        </is>
      </c>
      <c r="C1271" s="7" t="inlineStr">
        <is>
          <t>unidad</t>
        </is>
      </c>
      <c r="D1271" s="8" t="n">
        <v>1522.47</v>
      </c>
      <c r="E1271" s="8" t="n"/>
      <c r="F1271" s="8" t="n"/>
      <c r="G1271" s="8" t="n"/>
      <c r="H1271" s="8" t="n"/>
      <c r="I1271" s="8" t="n"/>
      <c r="J1271" s="8" t="n"/>
      <c r="K1271" s="8" t="n">
        <v>745</v>
      </c>
      <c r="L1271" s="8" t="n"/>
      <c r="M1271" s="8" t="n"/>
      <c r="N1271" s="8" t="n"/>
      <c r="O1271" s="8" t="n"/>
      <c r="P1271" s="8" t="n"/>
      <c r="Q1271" s="8">
        <f>IF(COUNT(D1271:P1271)=0,"",MIN(D1271:P1271))</f>
        <v/>
      </c>
      <c r="R1271" s="8">
        <f>IF(COUNT(D1271:P1271)=0,"",MEDIAN(D1271:P1271))</f>
        <v/>
      </c>
      <c r="S1271" s="8">
        <f>IF(COUNT(D1271:P1271)=0,"",MAX(D1271:P1271))</f>
        <v/>
      </c>
      <c r="T1271" s="9">
        <f>IF(OR(Q1271="",Q1271=0),"",(S1271-Q1271)/Q1271)</f>
        <v/>
      </c>
      <c r="U1271" s="7">
        <f>IF(COUNT(D1271:P1271)=0,"",INDEX($D$1:$P$1,MATCH(MIN(D1271:P1271),D1271:P1271,0)))</f>
        <v/>
      </c>
      <c r="V1271" s="8" t="n">
        <v>1195</v>
      </c>
      <c r="W1271" s="10" t="n">
        <v>2</v>
      </c>
    </row>
    <row r="1272">
      <c r="A1272" s="7" t="inlineStr">
        <is>
          <t>MAT-27-014</t>
        </is>
      </c>
      <c r="B1272" s="4" t="inlineStr">
        <is>
          <t>Barra de seguridad, recta, 60 cm</t>
        </is>
      </c>
      <c r="C1272" s="7" t="inlineStr">
        <is>
          <t>unidad</t>
        </is>
      </c>
      <c r="D1272" s="8" t="n">
        <v>3297.37</v>
      </c>
      <c r="E1272" s="8" t="n"/>
      <c r="F1272" s="8" t="n"/>
      <c r="G1272" s="8" t="n"/>
      <c r="H1272" s="8" t="n"/>
      <c r="I1272" s="8" t="n"/>
      <c r="J1272" s="8" t="n"/>
      <c r="K1272" s="8" t="n">
        <v>1869</v>
      </c>
      <c r="L1272" s="8" t="n"/>
      <c r="M1272" s="8" t="n"/>
      <c r="N1272" s="8" t="n"/>
      <c r="O1272" s="8" t="n"/>
      <c r="P1272" s="8" t="n"/>
      <c r="Q1272" s="8">
        <f>IF(COUNT(D1272:P1272)=0,"",MIN(D1272:P1272))</f>
        <v/>
      </c>
      <c r="R1272" s="8">
        <f>IF(COUNT(D1272:P1272)=0,"",MEDIAN(D1272:P1272))</f>
        <v/>
      </c>
      <c r="S1272" s="8">
        <f>IF(COUNT(D1272:P1272)=0,"",MAX(D1272:P1272))</f>
        <v/>
      </c>
      <c r="T1272" s="9">
        <f>IF(OR(Q1272="",Q1272=0),"",(S1272-Q1272)/Q1272)</f>
        <v/>
      </c>
      <c r="U1272" s="7">
        <f>IF(COUNT(D1272:P1272)=0,"",INDEX($D$1:$P$1,MATCH(MIN(D1272:P1272),D1272:P1272,0)))</f>
        <v/>
      </c>
      <c r="V1272" s="8" t="n">
        <v>1995</v>
      </c>
      <c r="W1272" s="10" t="n">
        <v>2</v>
      </c>
    </row>
    <row r="1273">
      <c r="A1273" s="7" t="inlineStr">
        <is>
          <t>MAT-27-015</t>
        </is>
      </c>
      <c r="B1273" s="4" t="inlineStr">
        <is>
          <t>Barra de seguridad, recta, 70 cm</t>
        </is>
      </c>
      <c r="C1273" s="7" t="inlineStr">
        <is>
          <t>unidad</t>
        </is>
      </c>
      <c r="D1273" s="8" t="n">
        <v>3271.81</v>
      </c>
      <c r="E1273" s="8" t="n"/>
      <c r="F1273" s="8" t="n"/>
      <c r="G1273" s="8" t="n"/>
      <c r="H1273" s="8" t="n"/>
      <c r="I1273" s="8" t="n"/>
      <c r="J1273" s="8" t="n"/>
      <c r="K1273" s="8" t="n">
        <v>4695</v>
      </c>
      <c r="L1273" s="8" t="n"/>
      <c r="M1273" s="8" t="n"/>
      <c r="N1273" s="8" t="n"/>
      <c r="O1273" s="8" t="n"/>
      <c r="P1273" s="8" t="n"/>
      <c r="Q1273" s="8">
        <f>IF(COUNT(D1273:P1273)=0,"",MIN(D1273:P1273))</f>
        <v/>
      </c>
      <c r="R1273" s="8">
        <f>IF(COUNT(D1273:P1273)=0,"",MEDIAN(D1273:P1273))</f>
        <v/>
      </c>
      <c r="S1273" s="8">
        <f>IF(COUNT(D1273:P1273)=0,"",MAX(D1273:P1273))</f>
        <v/>
      </c>
      <c r="T1273" s="9">
        <f>IF(OR(Q1273="",Q1273=0),"",(S1273-Q1273)/Q1273)</f>
        <v/>
      </c>
      <c r="U1273" s="7">
        <f>IF(COUNT(D1273:P1273)=0,"",INDEX($D$1:$P$1,MATCH(MIN(D1273:P1273),D1273:P1273,0)))</f>
        <v/>
      </c>
      <c r="V1273" s="8" t="n">
        <v>3983.41</v>
      </c>
      <c r="W1273" s="10" t="n">
        <v>2</v>
      </c>
    </row>
    <row r="1274">
      <c r="A1274" s="7" t="inlineStr">
        <is>
          <t>MAT-27-016</t>
        </is>
      </c>
      <c r="B1274" s="4" t="inlineStr">
        <is>
          <t>Barra de seguridad, recta, 75 cm</t>
        </is>
      </c>
      <c r="C1274" s="7" t="inlineStr">
        <is>
          <t>unidad</t>
        </is>
      </c>
      <c r="D1274" s="8" t="n"/>
      <c r="E1274" s="8" t="n"/>
      <c r="F1274" s="8" t="n"/>
      <c r="G1274" s="8" t="n"/>
      <c r="H1274" s="8" t="n"/>
      <c r="I1274" s="8" t="n"/>
      <c r="J1274" s="8" t="n"/>
      <c r="K1274" s="8" t="n">
        <v>2185</v>
      </c>
      <c r="L1274" s="8" t="n"/>
      <c r="M1274" s="8" t="n"/>
      <c r="N1274" s="8" t="n"/>
      <c r="O1274" s="8" t="n"/>
      <c r="P1274" s="8" t="n"/>
      <c r="Q1274" s="8">
        <f>IF(COUNT(D1274:P1274)=0,"",MIN(D1274:P1274))</f>
        <v/>
      </c>
      <c r="R1274" s="8">
        <f>IF(COUNT(D1274:P1274)=0,"",MEDIAN(D1274:P1274))</f>
        <v/>
      </c>
      <c r="S1274" s="8">
        <f>IF(COUNT(D1274:P1274)=0,"",MAX(D1274:P1274))</f>
        <v/>
      </c>
      <c r="T1274" s="9">
        <f>IF(OR(Q1274="",Q1274=0),"",(S1274-Q1274)/Q1274)</f>
        <v/>
      </c>
      <c r="U1274" s="7">
        <f>IF(COUNT(D1274:P1274)=0,"",INDEX($D$1:$P$1,MATCH(MIN(D1274:P1274),D1274:P1274,0)))</f>
        <v/>
      </c>
      <c r="V1274" s="8" t="n">
        <v>2185</v>
      </c>
      <c r="W1274" s="10" t="n">
        <v>1</v>
      </c>
    </row>
    <row r="1275">
      <c r="A1275" s="7" t="inlineStr">
        <is>
          <t>MAT-27-017</t>
        </is>
      </c>
      <c r="B1275" s="4" t="inlineStr">
        <is>
          <t>Barra de seguridad, recta, 90 cm</t>
        </is>
      </c>
      <c r="C1275" s="7" t="inlineStr">
        <is>
          <t>unidad</t>
        </is>
      </c>
      <c r="D1275" s="8" t="n">
        <v>6226.47</v>
      </c>
      <c r="E1275" s="8" t="n"/>
      <c r="F1275" s="8" t="n"/>
      <c r="G1275" s="8" t="n"/>
      <c r="H1275" s="8" t="n"/>
      <c r="I1275" s="8" t="n"/>
      <c r="J1275" s="8" t="n"/>
      <c r="K1275" s="8" t="n">
        <v>2395</v>
      </c>
      <c r="L1275" s="8" t="n"/>
      <c r="M1275" s="8" t="n"/>
      <c r="N1275" s="8" t="n"/>
      <c r="O1275" s="8" t="n"/>
      <c r="P1275" s="8" t="n"/>
      <c r="Q1275" s="8">
        <f>IF(COUNT(D1275:P1275)=0,"",MIN(D1275:P1275))</f>
        <v/>
      </c>
      <c r="R1275" s="8">
        <f>IF(COUNT(D1275:P1275)=0,"",MEDIAN(D1275:P1275))</f>
        <v/>
      </c>
      <c r="S1275" s="8">
        <f>IF(COUNT(D1275:P1275)=0,"",MAX(D1275:P1275))</f>
        <v/>
      </c>
      <c r="T1275" s="9">
        <f>IF(OR(Q1275="",Q1275=0),"",(S1275-Q1275)/Q1275)</f>
        <v/>
      </c>
      <c r="U1275" s="7">
        <f>IF(COUNT(D1275:P1275)=0,"",INDEX($D$1:$P$1,MATCH(MIN(D1275:P1275),D1275:P1275,0)))</f>
        <v/>
      </c>
      <c r="V1275" s="8" t="n">
        <v>2439</v>
      </c>
      <c r="W1275" s="10" t="n">
        <v>2</v>
      </c>
    </row>
    <row r="1276">
      <c r="A1276" s="7" t="inlineStr">
        <is>
          <t>MAT-27-018</t>
        </is>
      </c>
      <c r="B1276" s="4" t="inlineStr">
        <is>
          <t>Juego de accesorios de baño</t>
        </is>
      </c>
      <c r="C1276" s="7" t="inlineStr">
        <is>
          <t>juego</t>
        </is>
      </c>
      <c r="D1276" s="8" t="n">
        <v>345.39</v>
      </c>
      <c r="E1276" s="8" t="n"/>
      <c r="F1276" s="8" t="n">
        <v>4992.44</v>
      </c>
      <c r="G1276" s="8" t="n"/>
      <c r="H1276" s="8" t="n"/>
      <c r="I1276" s="8" t="n">
        <v>345</v>
      </c>
      <c r="J1276" s="8" t="n"/>
      <c r="K1276" s="8" t="n"/>
      <c r="L1276" s="8" t="n"/>
      <c r="M1276" s="8" t="n"/>
      <c r="N1276" s="8" t="n"/>
      <c r="O1276" s="8" t="n"/>
      <c r="P1276" s="8" t="n"/>
      <c r="Q1276" s="8">
        <f>IF(COUNT(D1276:P1276)=0,"",MIN(D1276:P1276))</f>
        <v/>
      </c>
      <c r="R1276" s="8">
        <f>IF(COUNT(D1276:P1276)=0,"",MEDIAN(D1276:P1276))</f>
        <v/>
      </c>
      <c r="S1276" s="8">
        <f>IF(COUNT(D1276:P1276)=0,"",MAX(D1276:P1276))</f>
        <v/>
      </c>
      <c r="T1276" s="9">
        <f>IF(OR(Q1276="",Q1276=0),"",(S1276-Q1276)/Q1276)</f>
        <v/>
      </c>
      <c r="U1276" s="7">
        <f>IF(COUNT(D1276:P1276)=0,"",INDEX($D$1:$P$1,MATCH(MIN(D1276:P1276),D1276:P1276,0)))</f>
        <v/>
      </c>
      <c r="V1276" s="8" t="n">
        <v>2367.36</v>
      </c>
      <c r="W1276" s="10" t="n">
        <v>3</v>
      </c>
    </row>
    <row r="1277">
      <c r="A1277" s="7" t="inlineStr">
        <is>
          <t>MAT-27-019</t>
        </is>
      </c>
      <c r="B1277" s="4" t="inlineStr">
        <is>
          <t>Juego de accesorios de baño, 3 piezas</t>
        </is>
      </c>
      <c r="C1277" s="7" t="inlineStr">
        <is>
          <t>juego</t>
        </is>
      </c>
      <c r="D1277" s="8" t="n">
        <v>1081.92</v>
      </c>
      <c r="E1277" s="8" t="n"/>
      <c r="F1277" s="8" t="n"/>
      <c r="G1277" s="8" t="n"/>
      <c r="H1277" s="8" t="n"/>
      <c r="I1277" s="8" t="n"/>
      <c r="J1277" s="8" t="n"/>
      <c r="K1277" s="8" t="n"/>
      <c r="L1277" s="8" t="n"/>
      <c r="M1277" s="8" t="n"/>
      <c r="N1277" s="8" t="n"/>
      <c r="O1277" s="8" t="n"/>
      <c r="P1277" s="8" t="n"/>
      <c r="Q1277" s="8">
        <f>IF(COUNT(D1277:P1277)=0,"",MIN(D1277:P1277))</f>
        <v/>
      </c>
      <c r="R1277" s="8">
        <f>IF(COUNT(D1277:P1277)=0,"",MEDIAN(D1277:P1277))</f>
        <v/>
      </c>
      <c r="S1277" s="8">
        <f>IF(COUNT(D1277:P1277)=0,"",MAX(D1277:P1277))</f>
        <v/>
      </c>
      <c r="T1277" s="9">
        <f>IF(OR(Q1277="",Q1277=0),"",(S1277-Q1277)/Q1277)</f>
        <v/>
      </c>
      <c r="U1277" s="7">
        <f>IF(COUNT(D1277:P1277)=0,"",INDEX($D$1:$P$1,MATCH(MIN(D1277:P1277),D1277:P1277,0)))</f>
        <v/>
      </c>
      <c r="V1277" s="8" t="n">
        <v>1673.59</v>
      </c>
      <c r="W1277" s="10" t="n">
        <v>1</v>
      </c>
    </row>
    <row r="1278">
      <c r="A1278" s="7" t="inlineStr">
        <is>
          <t>MAT-27-020</t>
        </is>
      </c>
      <c r="B1278" s="4" t="inlineStr">
        <is>
          <t>Juego de accesorios de baño, 4 piezas</t>
        </is>
      </c>
      <c r="C1278" s="7" t="inlineStr">
        <is>
          <t>juego</t>
        </is>
      </c>
      <c r="D1278" s="8" t="n">
        <v>1605.2</v>
      </c>
      <c r="E1278" s="8" t="n"/>
      <c r="F1278" s="8" t="n"/>
      <c r="G1278" s="8" t="n"/>
      <c r="H1278" s="8" t="n"/>
      <c r="I1278" s="8" t="n"/>
      <c r="J1278" s="8" t="n"/>
      <c r="K1278" s="8" t="n">
        <v>2790</v>
      </c>
      <c r="L1278" s="8" t="n"/>
      <c r="M1278" s="8" t="n"/>
      <c r="N1278" s="8" t="n"/>
      <c r="O1278" s="8" t="n"/>
      <c r="P1278" s="8" t="n"/>
      <c r="Q1278" s="8">
        <f>IF(COUNT(D1278:P1278)=0,"",MIN(D1278:P1278))</f>
        <v/>
      </c>
      <c r="R1278" s="8">
        <f>IF(COUNT(D1278:P1278)=0,"",MEDIAN(D1278:P1278))</f>
        <v/>
      </c>
      <c r="S1278" s="8">
        <f>IF(COUNT(D1278:P1278)=0,"",MAX(D1278:P1278))</f>
        <v/>
      </c>
      <c r="T1278" s="9">
        <f>IF(OR(Q1278="",Q1278=0),"",(S1278-Q1278)/Q1278)</f>
        <v/>
      </c>
      <c r="U1278" s="7">
        <f>IF(COUNT(D1278:P1278)=0,"",INDEX($D$1:$P$1,MATCH(MIN(D1278:P1278),D1278:P1278,0)))</f>
        <v/>
      </c>
      <c r="V1278" s="8" t="n">
        <v>2927.39</v>
      </c>
      <c r="W1278" s="10" t="n">
        <v>2</v>
      </c>
    </row>
    <row r="1279">
      <c r="A1279" s="7" t="inlineStr">
        <is>
          <t>MAT-27-021</t>
        </is>
      </c>
      <c r="B1279" s="4" t="inlineStr">
        <is>
          <t>Juego de accesorios de baño, 5 piezas</t>
        </is>
      </c>
      <c r="C1279" s="7" t="inlineStr">
        <is>
          <t>juego</t>
        </is>
      </c>
      <c r="D1279" s="8" t="n">
        <v>940.91</v>
      </c>
      <c r="E1279" s="8" t="n"/>
      <c r="F1279" s="8" t="n"/>
      <c r="G1279" s="8" t="n">
        <v>1139</v>
      </c>
      <c r="H1279" s="8" t="n"/>
      <c r="I1279" s="8" t="n"/>
      <c r="J1279" s="8" t="n"/>
      <c r="K1279" s="8" t="n">
        <v>394</v>
      </c>
      <c r="L1279" s="8" t="n"/>
      <c r="M1279" s="8" t="n"/>
      <c r="N1279" s="8" t="n"/>
      <c r="O1279" s="8" t="n"/>
      <c r="P1279" s="8" t="n"/>
      <c r="Q1279" s="8">
        <f>IF(COUNT(D1279:P1279)=0,"",MIN(D1279:P1279))</f>
        <v/>
      </c>
      <c r="R1279" s="8">
        <f>IF(COUNT(D1279:P1279)=0,"",MEDIAN(D1279:P1279))</f>
        <v/>
      </c>
      <c r="S1279" s="8">
        <f>IF(COUNT(D1279:P1279)=0,"",MAX(D1279:P1279))</f>
        <v/>
      </c>
      <c r="T1279" s="9">
        <f>IF(OR(Q1279="",Q1279=0),"",(S1279-Q1279)/Q1279)</f>
        <v/>
      </c>
      <c r="U1279" s="7">
        <f>IF(COUNT(D1279:P1279)=0,"",INDEX($D$1:$P$1,MATCH(MIN(D1279:P1279),D1279:P1279,0)))</f>
        <v/>
      </c>
      <c r="V1279" s="8" t="n">
        <v>1139</v>
      </c>
      <c r="W1279" s="10" t="n">
        <v>3</v>
      </c>
    </row>
    <row r="1280">
      <c r="A1280" s="7" t="inlineStr">
        <is>
          <t>MAT-27-022</t>
        </is>
      </c>
      <c r="B1280" s="4" t="inlineStr">
        <is>
          <t>Juego de accesorios de baño, 6 piezas</t>
        </is>
      </c>
      <c r="C1280" s="7" t="inlineStr">
        <is>
          <t>juego</t>
        </is>
      </c>
      <c r="D1280" s="8" t="n">
        <v>1342.61</v>
      </c>
      <c r="E1280" s="8" t="n"/>
      <c r="F1280" s="8" t="n"/>
      <c r="G1280" s="8" t="n">
        <v>2306</v>
      </c>
      <c r="H1280" s="8" t="n"/>
      <c r="I1280" s="8" t="n"/>
      <c r="J1280" s="8" t="n"/>
      <c r="K1280" s="8" t="n">
        <v>1545</v>
      </c>
      <c r="L1280" s="8" t="n"/>
      <c r="M1280" s="8" t="n"/>
      <c r="N1280" s="8" t="n"/>
      <c r="O1280" s="8" t="n"/>
      <c r="P1280" s="8" t="n"/>
      <c r="Q1280" s="8">
        <f>IF(COUNT(D1280:P1280)=0,"",MIN(D1280:P1280))</f>
        <v/>
      </c>
      <c r="R1280" s="8">
        <f>IF(COUNT(D1280:P1280)=0,"",MEDIAN(D1280:P1280))</f>
        <v/>
      </c>
      <c r="S1280" s="8">
        <f>IF(COUNT(D1280:P1280)=0,"",MAX(D1280:P1280))</f>
        <v/>
      </c>
      <c r="T1280" s="9">
        <f>IF(OR(Q1280="",Q1280=0),"",(S1280-Q1280)/Q1280)</f>
        <v/>
      </c>
      <c r="U1280" s="7">
        <f>IF(COUNT(D1280:P1280)=0,"",INDEX($D$1:$P$1,MATCH(MIN(D1280:P1280),D1280:P1280,0)))</f>
        <v/>
      </c>
      <c r="V1280" s="8" t="n">
        <v>3019.72</v>
      </c>
      <c r="W1280" s="10" t="n">
        <v>3</v>
      </c>
    </row>
    <row r="1281">
      <c r="A1281" s="7" t="inlineStr">
        <is>
          <t>MAT-27-023</t>
        </is>
      </c>
      <c r="B1281" s="4" t="inlineStr">
        <is>
          <t>Secador de manos</t>
        </is>
      </c>
      <c r="C1281" s="7" t="inlineStr">
        <is>
          <t>unidad</t>
        </is>
      </c>
      <c r="D1281" s="8" t="n"/>
      <c r="E1281" s="8" t="n"/>
      <c r="F1281" s="8" t="n"/>
      <c r="G1281" s="8" t="n"/>
      <c r="H1281" s="8" t="n"/>
      <c r="I1281" s="8" t="n"/>
      <c r="J1281" s="8" t="n"/>
      <c r="K1281" s="8" t="n">
        <v>3335</v>
      </c>
      <c r="L1281" s="8" t="n"/>
      <c r="M1281" s="8" t="n"/>
      <c r="N1281" s="8" t="n"/>
      <c r="O1281" s="8" t="n"/>
      <c r="P1281" s="8" t="n"/>
      <c r="Q1281" s="8">
        <f>IF(COUNT(D1281:P1281)=0,"",MIN(D1281:P1281))</f>
        <v/>
      </c>
      <c r="R1281" s="8">
        <f>IF(COUNT(D1281:P1281)=0,"",MEDIAN(D1281:P1281))</f>
        <v/>
      </c>
      <c r="S1281" s="8">
        <f>IF(COUNT(D1281:P1281)=0,"",MAX(D1281:P1281))</f>
        <v/>
      </c>
      <c r="T1281" s="9">
        <f>IF(OR(Q1281="",Q1281=0),"",(S1281-Q1281)/Q1281)</f>
        <v/>
      </c>
      <c r="U1281" s="7">
        <f>IF(COUNT(D1281:P1281)=0,"",INDEX($D$1:$P$1,MATCH(MIN(D1281:P1281),D1281:P1281,0)))</f>
        <v/>
      </c>
      <c r="V1281" s="8" t="n">
        <v>3467.5</v>
      </c>
      <c r="W1281" s="10" t="n">
        <v>1</v>
      </c>
    </row>
    <row r="1282">
      <c r="A1282" s="7" t="inlineStr">
        <is>
          <t>MAT-27-024</t>
        </is>
      </c>
      <c r="B1282" s="4" t="inlineStr">
        <is>
          <t>Secador de manos, de botón</t>
        </is>
      </c>
      <c r="C1282" s="7" t="inlineStr">
        <is>
          <t>unidad</t>
        </is>
      </c>
      <c r="D1282" s="8" t="n">
        <v>16368.74</v>
      </c>
      <c r="E1282" s="8" t="n"/>
      <c r="F1282" s="8" t="n"/>
      <c r="G1282" s="8" t="n"/>
      <c r="H1282" s="8" t="n"/>
      <c r="I1282" s="8" t="n"/>
      <c r="J1282" s="8" t="n"/>
      <c r="K1282" s="8" t="n"/>
      <c r="L1282" s="8" t="n"/>
      <c r="M1282" s="8" t="n"/>
      <c r="N1282" s="8" t="n"/>
      <c r="O1282" s="8" t="n"/>
      <c r="P1282" s="8" t="n"/>
      <c r="Q1282" s="8">
        <f>IF(COUNT(D1282:P1282)=0,"",MIN(D1282:P1282))</f>
        <v/>
      </c>
      <c r="R1282" s="8">
        <f>IF(COUNT(D1282:P1282)=0,"",MEDIAN(D1282:P1282))</f>
        <v/>
      </c>
      <c r="S1282" s="8">
        <f>IF(COUNT(D1282:P1282)=0,"",MAX(D1282:P1282))</f>
        <v/>
      </c>
      <c r="T1282" s="9">
        <f>IF(OR(Q1282="",Q1282=0),"",(S1282-Q1282)/Q1282)</f>
        <v/>
      </c>
      <c r="U1282" s="7">
        <f>IF(COUNT(D1282:P1282)=0,"",INDEX($D$1:$P$1,MATCH(MIN(D1282:P1282),D1282:P1282,0)))</f>
        <v/>
      </c>
      <c r="V1282" s="8" t="n">
        <v>16368.74</v>
      </c>
      <c r="W1282" s="10" t="n">
        <v>1</v>
      </c>
    </row>
    <row r="1283">
      <c r="A1283" s="7" t="inlineStr">
        <is>
          <t>MAT-27-025</t>
        </is>
      </c>
      <c r="B1283" s="4" t="inlineStr">
        <is>
          <t>Secador de manos, con sensor</t>
        </is>
      </c>
      <c r="C1283" s="7" t="inlineStr">
        <is>
          <t>unidad</t>
        </is>
      </c>
      <c r="D1283" s="8" t="n">
        <v>18390.47</v>
      </c>
      <c r="E1283" s="8" t="n"/>
      <c r="F1283" s="8" t="n"/>
      <c r="G1283" s="8" t="n"/>
      <c r="H1283" s="8" t="n"/>
      <c r="I1283" s="8" t="n">
        <v>16755</v>
      </c>
      <c r="J1283" s="8" t="n"/>
      <c r="K1283" s="8" t="n">
        <v>12495</v>
      </c>
      <c r="L1283" s="8" t="n"/>
      <c r="M1283" s="8" t="n"/>
      <c r="N1283" s="8" t="n"/>
      <c r="O1283" s="8" t="n"/>
      <c r="P1283" s="8" t="n"/>
      <c r="Q1283" s="8">
        <f>IF(COUNT(D1283:P1283)=0,"",MIN(D1283:P1283))</f>
        <v/>
      </c>
      <c r="R1283" s="8">
        <f>IF(COUNT(D1283:P1283)=0,"",MEDIAN(D1283:P1283))</f>
        <v/>
      </c>
      <c r="S1283" s="8">
        <f>IF(COUNT(D1283:P1283)=0,"",MAX(D1283:P1283))</f>
        <v/>
      </c>
      <c r="T1283" s="9">
        <f>IF(OR(Q1283="",Q1283=0),"",(S1283-Q1283)/Q1283)</f>
        <v/>
      </c>
      <c r="U1283" s="7">
        <f>IF(COUNT(D1283:P1283)=0,"",INDEX($D$1:$P$1,MATCH(MIN(D1283:P1283),D1283:P1283,0)))</f>
        <v/>
      </c>
      <c r="V1283" s="8" t="n">
        <v>16755</v>
      </c>
      <c r="W1283" s="10" t="n">
        <v>3</v>
      </c>
    </row>
    <row r="1284">
      <c r="A1284" s="7" t="inlineStr">
        <is>
          <t>MAT-27-026</t>
        </is>
      </c>
      <c r="B1284" s="4" t="inlineStr">
        <is>
          <t>Secador de manos, institucional</t>
        </is>
      </c>
      <c r="C1284" s="7" t="inlineStr">
        <is>
          <t>unidad</t>
        </is>
      </c>
      <c r="D1284" s="8" t="n">
        <v>27487.14</v>
      </c>
      <c r="E1284" s="8" t="n"/>
      <c r="F1284" s="8" t="n">
        <v>33447.06</v>
      </c>
      <c r="G1284" s="8" t="n"/>
      <c r="H1284" s="8" t="n"/>
      <c r="I1284" s="8" t="n"/>
      <c r="J1284" s="8" t="n"/>
      <c r="K1284" s="8" t="n"/>
      <c r="L1284" s="8" t="n"/>
      <c r="M1284" s="8" t="n"/>
      <c r="N1284" s="8" t="n"/>
      <c r="O1284" s="8" t="n"/>
      <c r="P1284" s="8" t="n"/>
      <c r="Q1284" s="8">
        <f>IF(COUNT(D1284:P1284)=0,"",MIN(D1284:P1284))</f>
        <v/>
      </c>
      <c r="R1284" s="8">
        <f>IF(COUNT(D1284:P1284)=0,"",MEDIAN(D1284:P1284))</f>
        <v/>
      </c>
      <c r="S1284" s="8">
        <f>IF(COUNT(D1284:P1284)=0,"",MAX(D1284:P1284))</f>
        <v/>
      </c>
      <c r="T1284" s="9">
        <f>IF(OR(Q1284="",Q1284=0),"",(S1284-Q1284)/Q1284)</f>
        <v/>
      </c>
      <c r="U1284" s="7">
        <f>IF(COUNT(D1284:P1284)=0,"",INDEX($D$1:$P$1,MATCH(MIN(D1284:P1284),D1284:P1284,0)))</f>
        <v/>
      </c>
      <c r="V1284" s="8" t="n">
        <v>33477.34</v>
      </c>
      <c r="W1284" s="10" t="n">
        <v>2</v>
      </c>
    </row>
    <row r="1285">
      <c r="A1285" s="7" t="inlineStr">
        <is>
          <t>MAT-27-027</t>
        </is>
      </c>
      <c r="B1285" s="4" t="inlineStr">
        <is>
          <t>Secador de manos, institucional, con sensor</t>
        </is>
      </c>
      <c r="C1285" s="7" t="inlineStr">
        <is>
          <t>unidad</t>
        </is>
      </c>
      <c r="D1285" s="8" t="n">
        <v>32765.78</v>
      </c>
      <c r="E1285" s="8" t="n"/>
      <c r="F1285" s="8" t="n"/>
      <c r="G1285" s="8" t="n"/>
      <c r="H1285" s="8" t="n"/>
      <c r="I1285" s="8" t="n"/>
      <c r="J1285" s="8" t="n"/>
      <c r="K1285" s="8" t="n"/>
      <c r="L1285" s="8" t="n"/>
      <c r="M1285" s="8" t="n"/>
      <c r="N1285" s="8" t="n"/>
      <c r="O1285" s="8" t="n"/>
      <c r="P1285" s="8" t="n"/>
      <c r="Q1285" s="8">
        <f>IF(COUNT(D1285:P1285)=0,"",MIN(D1285:P1285))</f>
        <v/>
      </c>
      <c r="R1285" s="8">
        <f>IF(COUNT(D1285:P1285)=0,"",MEDIAN(D1285:P1285))</f>
        <v/>
      </c>
      <c r="S1285" s="8">
        <f>IF(COUNT(D1285:P1285)=0,"",MAX(D1285:P1285))</f>
        <v/>
      </c>
      <c r="T1285" s="9">
        <f>IF(OR(Q1285="",Q1285=0),"",(S1285-Q1285)/Q1285)</f>
        <v/>
      </c>
      <c r="U1285" s="7">
        <f>IF(COUNT(D1285:P1285)=0,"",INDEX($D$1:$P$1,MATCH(MIN(D1285:P1285),D1285:P1285,0)))</f>
        <v/>
      </c>
      <c r="V1285" s="8" t="n">
        <v>32765.78</v>
      </c>
      <c r="W1285" s="10" t="n">
        <v>1</v>
      </c>
    </row>
    <row r="1286">
      <c r="A1286" s="7" t="inlineStr">
        <is>
          <t>MAT-27-028</t>
        </is>
      </c>
      <c r="B1286" s="4" t="inlineStr">
        <is>
          <t>Dispensador de jabón</t>
        </is>
      </c>
      <c r="C1286" s="7" t="inlineStr">
        <is>
          <t>unidad</t>
        </is>
      </c>
      <c r="D1286" s="8" t="n"/>
      <c r="E1286" s="8" t="n"/>
      <c r="F1286" s="8" t="n"/>
      <c r="G1286" s="8" t="n"/>
      <c r="H1286" s="8" t="n"/>
      <c r="I1286" s="8" t="n">
        <v>899</v>
      </c>
      <c r="J1286" s="8" t="n"/>
      <c r="K1286" s="8" t="n">
        <v>156</v>
      </c>
      <c r="L1286" s="8" t="n"/>
      <c r="M1286" s="8" t="n"/>
      <c r="N1286" s="8" t="n"/>
      <c r="O1286" s="8" t="n"/>
      <c r="P1286" s="8" t="n"/>
      <c r="Q1286" s="8">
        <f>IF(COUNT(D1286:P1286)=0,"",MIN(D1286:P1286))</f>
        <v/>
      </c>
      <c r="R1286" s="8">
        <f>IF(COUNT(D1286:P1286)=0,"",MEDIAN(D1286:P1286))</f>
        <v/>
      </c>
      <c r="S1286" s="8">
        <f>IF(COUNT(D1286:P1286)=0,"",MAX(D1286:P1286))</f>
        <v/>
      </c>
      <c r="T1286" s="9">
        <f>IF(OR(Q1286="",Q1286=0),"",(S1286-Q1286)/Q1286)</f>
        <v/>
      </c>
      <c r="U1286" s="7">
        <f>IF(COUNT(D1286:P1286)=0,"",INDEX($D$1:$P$1,MATCH(MIN(D1286:P1286),D1286:P1286,0)))</f>
        <v/>
      </c>
      <c r="V1286" s="8" t="n">
        <v>672</v>
      </c>
      <c r="W1286" s="10" t="n">
        <v>2</v>
      </c>
    </row>
    <row r="1287">
      <c r="A1287" s="7" t="inlineStr">
        <is>
          <t>MAT-27-029</t>
        </is>
      </c>
      <c r="B1287" s="4" t="inlineStr">
        <is>
          <t>Dispensador de jabón, con sensor</t>
        </is>
      </c>
      <c r="C1287" s="7" t="inlineStr">
        <is>
          <t>unidad</t>
        </is>
      </c>
      <c r="D1287" s="8" t="n"/>
      <c r="E1287" s="8" t="n"/>
      <c r="F1287" s="8" t="n">
        <v>28704.01</v>
      </c>
      <c r="G1287" s="8" t="n"/>
      <c r="H1287" s="8" t="n"/>
      <c r="I1287" s="8" t="n"/>
      <c r="J1287" s="8" t="n"/>
      <c r="K1287" s="8" t="n"/>
      <c r="L1287" s="8" t="n"/>
      <c r="M1287" s="8" t="n"/>
      <c r="N1287" s="8" t="n"/>
      <c r="O1287" s="8" t="n"/>
      <c r="P1287" s="8" t="n"/>
      <c r="Q1287" s="8">
        <f>IF(COUNT(D1287:P1287)=0,"",MIN(D1287:P1287))</f>
        <v/>
      </c>
      <c r="R1287" s="8">
        <f>IF(COUNT(D1287:P1287)=0,"",MEDIAN(D1287:P1287))</f>
        <v/>
      </c>
      <c r="S1287" s="8">
        <f>IF(COUNT(D1287:P1287)=0,"",MAX(D1287:P1287))</f>
        <v/>
      </c>
      <c r="T1287" s="9">
        <f>IF(OR(Q1287="",Q1287=0),"",(S1287-Q1287)/Q1287)</f>
        <v/>
      </c>
      <c r="U1287" s="7">
        <f>IF(COUNT(D1287:P1287)=0,"",INDEX($D$1:$P$1,MATCH(MIN(D1287:P1287),D1287:P1287,0)))</f>
        <v/>
      </c>
      <c r="V1287" s="8" t="n">
        <v>33870.73</v>
      </c>
      <c r="W1287" s="10" t="n">
        <v>1</v>
      </c>
    </row>
    <row r="1288">
      <c r="A1288" s="7" t="inlineStr">
        <is>
          <t>MAT-27-030</t>
        </is>
      </c>
      <c r="B1288" s="4" t="inlineStr">
        <is>
          <t>Dispensador de jabón, institucional</t>
        </is>
      </c>
      <c r="C1288" s="7" t="inlineStr">
        <is>
          <t>unidad</t>
        </is>
      </c>
      <c r="D1288" s="8" t="n">
        <v>14903.09</v>
      </c>
      <c r="E1288" s="8" t="n"/>
      <c r="F1288" s="8" t="n"/>
      <c r="G1288" s="8" t="n"/>
      <c r="H1288" s="8" t="n"/>
      <c r="I1288" s="8" t="n"/>
      <c r="J1288" s="8" t="n"/>
      <c r="K1288" s="8" t="n">
        <v>1270</v>
      </c>
      <c r="L1288" s="8" t="n"/>
      <c r="M1288" s="8" t="n"/>
      <c r="N1288" s="8" t="n"/>
      <c r="O1288" s="8" t="n"/>
      <c r="P1288" s="8" t="n"/>
      <c r="Q1288" s="8">
        <f>IF(COUNT(D1288:P1288)=0,"",MIN(D1288:P1288))</f>
        <v/>
      </c>
      <c r="R1288" s="8">
        <f>IF(COUNT(D1288:P1288)=0,"",MEDIAN(D1288:P1288))</f>
        <v/>
      </c>
      <c r="S1288" s="8">
        <f>IF(COUNT(D1288:P1288)=0,"",MAX(D1288:P1288))</f>
        <v/>
      </c>
      <c r="T1288" s="9">
        <f>IF(OR(Q1288="",Q1288=0),"",(S1288-Q1288)/Q1288)</f>
        <v/>
      </c>
      <c r="U1288" s="7">
        <f>IF(COUNT(D1288:P1288)=0,"",INDEX($D$1:$P$1,MATCH(MIN(D1288:P1288),D1288:P1288,0)))</f>
        <v/>
      </c>
      <c r="V1288" s="8" t="n">
        <v>3782.5</v>
      </c>
      <c r="W1288" s="10" t="n">
        <v>2</v>
      </c>
    </row>
    <row r="1289">
      <c r="A1289" s="7" t="inlineStr">
        <is>
          <t>MAT-27-031</t>
        </is>
      </c>
      <c r="B1289" s="4" t="inlineStr">
        <is>
          <t>Dispensador de papel, de papel higiénico</t>
        </is>
      </c>
      <c r="C1289" s="7" t="inlineStr">
        <is>
          <t>unidad</t>
        </is>
      </c>
      <c r="D1289" s="8" t="n"/>
      <c r="E1289" s="8" t="n"/>
      <c r="F1289" s="8" t="n"/>
      <c r="G1289" s="8" t="n"/>
      <c r="H1289" s="8" t="n"/>
      <c r="I1289" s="8" t="n"/>
      <c r="J1289" s="8" t="n"/>
      <c r="K1289" s="8" t="n">
        <v>485</v>
      </c>
      <c r="L1289" s="8" t="n"/>
      <c r="M1289" s="8" t="n"/>
      <c r="N1289" s="8" t="n"/>
      <c r="O1289" s="8" t="n"/>
      <c r="P1289" s="8" t="n"/>
      <c r="Q1289" s="8">
        <f>IF(COUNT(D1289:P1289)=0,"",MIN(D1289:P1289))</f>
        <v/>
      </c>
      <c r="R1289" s="8">
        <f>IF(COUNT(D1289:P1289)=0,"",MEDIAN(D1289:P1289))</f>
        <v/>
      </c>
      <c r="S1289" s="8">
        <f>IF(COUNT(D1289:P1289)=0,"",MAX(D1289:P1289))</f>
        <v/>
      </c>
      <c r="T1289" s="9">
        <f>IF(OR(Q1289="",Q1289=0),"",(S1289-Q1289)/Q1289)</f>
        <v/>
      </c>
      <c r="U1289" s="7">
        <f>IF(COUNT(D1289:P1289)=0,"",INDEX($D$1:$P$1,MATCH(MIN(D1289:P1289),D1289:P1289,0)))</f>
        <v/>
      </c>
      <c r="V1289" s="8" t="n">
        <v>587.5</v>
      </c>
      <c r="W1289" s="10" t="n">
        <v>1</v>
      </c>
    </row>
    <row r="1290">
      <c r="A1290" s="7" t="inlineStr">
        <is>
          <t>MAT-27-032</t>
        </is>
      </c>
      <c r="B1290" s="4" t="inlineStr">
        <is>
          <t>Dispensador de papel, de toalla</t>
        </is>
      </c>
      <c r="C1290" s="7" t="inlineStr">
        <is>
          <t>unidad</t>
        </is>
      </c>
      <c r="D1290" s="8" t="n">
        <v>4472.06</v>
      </c>
      <c r="E1290" s="8" t="n"/>
      <c r="F1290" s="8" t="n"/>
      <c r="G1290" s="8" t="n"/>
      <c r="H1290" s="8" t="n"/>
      <c r="I1290" s="8" t="n"/>
      <c r="J1290" s="8" t="n"/>
      <c r="K1290" s="8" t="n">
        <v>274</v>
      </c>
      <c r="L1290" s="8" t="n"/>
      <c r="M1290" s="8" t="n"/>
      <c r="N1290" s="8" t="n"/>
      <c r="O1290" s="8" t="n"/>
      <c r="P1290" s="8" t="n"/>
      <c r="Q1290" s="8">
        <f>IF(COUNT(D1290:P1290)=0,"",MIN(D1290:P1290))</f>
        <v/>
      </c>
      <c r="R1290" s="8">
        <f>IF(COUNT(D1290:P1290)=0,"",MEDIAN(D1290:P1290))</f>
        <v/>
      </c>
      <c r="S1290" s="8">
        <f>IF(COUNT(D1290:P1290)=0,"",MAX(D1290:P1290))</f>
        <v/>
      </c>
      <c r="T1290" s="9">
        <f>IF(OR(Q1290="",Q1290=0),"",(S1290-Q1290)/Q1290)</f>
        <v/>
      </c>
      <c r="U1290" s="7">
        <f>IF(COUNT(D1290:P1290)=0,"",INDEX($D$1:$P$1,MATCH(MIN(D1290:P1290),D1290:P1290,0)))</f>
        <v/>
      </c>
      <c r="V1290" s="8" t="n">
        <v>2595</v>
      </c>
      <c r="W1290" s="10" t="n">
        <v>2</v>
      </c>
    </row>
    <row r="1291">
      <c r="A1291" s="7" t="inlineStr">
        <is>
          <t>MAT-27-033</t>
        </is>
      </c>
      <c r="B1291" s="4" t="inlineStr">
        <is>
          <t>Dispensador de papel, institucional, de papel higiénico</t>
        </is>
      </c>
      <c r="C1291" s="7" t="inlineStr">
        <is>
          <t>unidad</t>
        </is>
      </c>
      <c r="D1291" s="8" t="n"/>
      <c r="E1291" s="8" t="n"/>
      <c r="F1291" s="8" t="n"/>
      <c r="G1291" s="8" t="n"/>
      <c r="H1291" s="8" t="n"/>
      <c r="I1291" s="8" t="n"/>
      <c r="J1291" s="8" t="n"/>
      <c r="K1291" s="8" t="n">
        <v>1105</v>
      </c>
      <c r="L1291" s="8" t="n"/>
      <c r="M1291" s="8" t="n"/>
      <c r="N1291" s="8" t="n"/>
      <c r="O1291" s="8" t="n"/>
      <c r="P1291" s="8" t="n"/>
      <c r="Q1291" s="8">
        <f>IF(COUNT(D1291:P1291)=0,"",MIN(D1291:P1291))</f>
        <v/>
      </c>
      <c r="R1291" s="8">
        <f>IF(COUNT(D1291:P1291)=0,"",MEDIAN(D1291:P1291))</f>
        <v/>
      </c>
      <c r="S1291" s="8">
        <f>IF(COUNT(D1291:P1291)=0,"",MAX(D1291:P1291))</f>
        <v/>
      </c>
      <c r="T1291" s="9">
        <f>IF(OR(Q1291="",Q1291=0),"",(S1291-Q1291)/Q1291)</f>
        <v/>
      </c>
      <c r="U1291" s="7">
        <f>IF(COUNT(D1291:P1291)=0,"",INDEX($D$1:$P$1,MATCH(MIN(D1291:P1291),D1291:P1291,0)))</f>
        <v/>
      </c>
      <c r="V1291" s="8" t="n">
        <v>2870</v>
      </c>
      <c r="W1291" s="10" t="n">
        <v>1</v>
      </c>
    </row>
    <row r="1292">
      <c r="A1292" s="7" t="inlineStr">
        <is>
          <t>MAT-27-034</t>
        </is>
      </c>
      <c r="B1292" s="4" t="inlineStr">
        <is>
          <t>Dispensador de papel, institucional, de toalla</t>
        </is>
      </c>
      <c r="C1292" s="7" t="inlineStr">
        <is>
          <t>unidad</t>
        </is>
      </c>
      <c r="D1292" s="8" t="n"/>
      <c r="E1292" s="8" t="n"/>
      <c r="F1292" s="8" t="n"/>
      <c r="G1292" s="8" t="n"/>
      <c r="H1292" s="8" t="n"/>
      <c r="I1292" s="8" t="n"/>
      <c r="J1292" s="8" t="n"/>
      <c r="K1292" s="8" t="n">
        <v>2515</v>
      </c>
      <c r="L1292" s="8" t="n"/>
      <c r="M1292" s="8" t="n"/>
      <c r="N1292" s="8" t="n"/>
      <c r="O1292" s="8" t="n"/>
      <c r="P1292" s="8" t="n"/>
      <c r="Q1292" s="8">
        <f>IF(COUNT(D1292:P1292)=0,"",MIN(D1292:P1292))</f>
        <v/>
      </c>
      <c r="R1292" s="8">
        <f>IF(COUNT(D1292:P1292)=0,"",MEDIAN(D1292:P1292))</f>
        <v/>
      </c>
      <c r="S1292" s="8">
        <f>IF(COUNT(D1292:P1292)=0,"",MAX(D1292:P1292))</f>
        <v/>
      </c>
      <c r="T1292" s="9">
        <f>IF(OR(Q1292="",Q1292=0),"",(S1292-Q1292)/Q1292)</f>
        <v/>
      </c>
      <c r="U1292" s="7">
        <f>IF(COUNT(D1292:P1292)=0,"",INDEX($D$1:$P$1,MATCH(MIN(D1292:P1292),D1292:P1292,0)))</f>
        <v/>
      </c>
      <c r="V1292" s="8" t="n">
        <v>3245</v>
      </c>
      <c r="W1292" s="10" t="n">
        <v>1</v>
      </c>
    </row>
    <row r="1293">
      <c r="A1293" s="7" t="inlineStr">
        <is>
          <t>MAT-27-035</t>
        </is>
      </c>
      <c r="B1293" s="4" t="inlineStr">
        <is>
          <t>Cambiador de bebés de pared</t>
        </is>
      </c>
      <c r="C1293" s="7" t="inlineStr">
        <is>
          <t>unidad</t>
        </is>
      </c>
      <c r="D1293" s="8" t="n"/>
      <c r="E1293" s="8" t="n"/>
      <c r="F1293" s="8" t="n"/>
      <c r="G1293" s="8" t="n"/>
      <c r="H1293" s="8" t="n"/>
      <c r="I1293" s="8" t="n"/>
      <c r="J1293" s="8" t="n"/>
      <c r="K1293" s="8" t="n">
        <v>8705</v>
      </c>
      <c r="L1293" s="8" t="n"/>
      <c r="M1293" s="8" t="n"/>
      <c r="N1293" s="8" t="n"/>
      <c r="O1293" s="8" t="n"/>
      <c r="P1293" s="8" t="n"/>
      <c r="Q1293" s="8">
        <f>IF(COUNT(D1293:P1293)=0,"",MIN(D1293:P1293))</f>
        <v/>
      </c>
      <c r="R1293" s="8">
        <f>IF(COUNT(D1293:P1293)=0,"",MEDIAN(D1293:P1293))</f>
        <v/>
      </c>
      <c r="S1293" s="8">
        <f>IF(COUNT(D1293:P1293)=0,"",MAX(D1293:P1293))</f>
        <v/>
      </c>
      <c r="T1293" s="9">
        <f>IF(OR(Q1293="",Q1293=0),"",(S1293-Q1293)/Q1293)</f>
        <v/>
      </c>
      <c r="U1293" s="7">
        <f>IF(COUNT(D1293:P1293)=0,"",INDEX($D$1:$P$1,MATCH(MIN(D1293:P1293),D1293:P1293,0)))</f>
        <v/>
      </c>
      <c r="V1293" s="8" t="n">
        <v>8705</v>
      </c>
      <c r="W1293" s="10" t="n">
        <v>1</v>
      </c>
    </row>
    <row r="1294">
      <c r="A1294" s="7" t="inlineStr">
        <is>
          <t>MAT-28-001</t>
        </is>
      </c>
      <c r="B1294" s="4" t="inlineStr">
        <is>
          <t>Kit de alarma</t>
        </is>
      </c>
      <c r="C1294" s="7" t="inlineStr">
        <is>
          <t>juego</t>
        </is>
      </c>
      <c r="D1294" s="8" t="n">
        <v>7107.67</v>
      </c>
      <c r="E1294" s="8" t="n"/>
      <c r="F1294" s="8" t="n"/>
      <c r="G1294" s="8" t="n"/>
      <c r="H1294" s="8" t="n"/>
      <c r="I1294" s="8" t="n"/>
      <c r="J1294" s="8" t="n"/>
      <c r="K1294" s="8" t="n"/>
      <c r="L1294" s="8" t="n"/>
      <c r="M1294" s="8" t="n"/>
      <c r="N1294" s="8" t="n"/>
      <c r="O1294" s="8" t="n"/>
      <c r="P1294" s="8" t="n"/>
      <c r="Q1294" s="8">
        <f>IF(COUNT(D1294:P1294)=0,"",MIN(D1294:P1294))</f>
        <v/>
      </c>
      <c r="R1294" s="8">
        <f>IF(COUNT(D1294:P1294)=0,"",MEDIAN(D1294:P1294))</f>
        <v/>
      </c>
      <c r="S1294" s="8">
        <f>IF(COUNT(D1294:P1294)=0,"",MAX(D1294:P1294))</f>
        <v/>
      </c>
      <c r="T1294" s="9">
        <f>IF(OR(Q1294="",Q1294=0),"",(S1294-Q1294)/Q1294)</f>
        <v/>
      </c>
      <c r="U1294" s="7">
        <f>IF(COUNT(D1294:P1294)=0,"",INDEX($D$1:$P$1,MATCH(MIN(D1294:P1294),D1294:P1294,0)))</f>
        <v/>
      </c>
      <c r="V1294" s="8" t="n">
        <v>7107.67</v>
      </c>
      <c r="W1294" s="10" t="n">
        <v>1</v>
      </c>
    </row>
    <row r="1295">
      <c r="A1295" s="7" t="inlineStr">
        <is>
          <t>MAT-28-002</t>
        </is>
      </c>
      <c r="B1295" s="4" t="inlineStr">
        <is>
          <t>Panel de alarma</t>
        </is>
      </c>
      <c r="C1295" s="7" t="inlineStr">
        <is>
          <t>unidad</t>
        </is>
      </c>
      <c r="D1295" s="8" t="n">
        <v>3536.16</v>
      </c>
      <c r="E1295" s="8" t="n"/>
      <c r="F1295" s="8" t="n"/>
      <c r="G1295" s="8" t="n"/>
      <c r="H1295" s="8" t="n"/>
      <c r="I1295" s="8" t="n"/>
      <c r="J1295" s="8" t="n"/>
      <c r="K1295" s="8" t="n"/>
      <c r="L1295" s="8" t="n"/>
      <c r="M1295" s="8" t="n"/>
      <c r="N1295" s="8" t="n"/>
      <c r="O1295" s="8" t="n"/>
      <c r="P1295" s="8" t="n"/>
      <c r="Q1295" s="8">
        <f>IF(COUNT(D1295:P1295)=0,"",MIN(D1295:P1295))</f>
        <v/>
      </c>
      <c r="R1295" s="8">
        <f>IF(COUNT(D1295:P1295)=0,"",MEDIAN(D1295:P1295))</f>
        <v/>
      </c>
      <c r="S1295" s="8">
        <f>IF(COUNT(D1295:P1295)=0,"",MAX(D1295:P1295))</f>
        <v/>
      </c>
      <c r="T1295" s="9">
        <f>IF(OR(Q1295="",Q1295=0),"",(S1295-Q1295)/Q1295)</f>
        <v/>
      </c>
      <c r="U1295" s="7">
        <f>IF(COUNT(D1295:P1295)=0,"",INDEX($D$1:$P$1,MATCH(MIN(D1295:P1295),D1295:P1295,0)))</f>
        <v/>
      </c>
      <c r="V1295" s="8" t="n">
        <v>15771.4</v>
      </c>
      <c r="W1295" s="10" t="n">
        <v>1</v>
      </c>
    </row>
    <row r="1296">
      <c r="A1296" s="7" t="inlineStr">
        <is>
          <t>MAT-28-003</t>
        </is>
      </c>
      <c r="B1296" s="4" t="inlineStr">
        <is>
          <t>Panel de alarma 28 zonas</t>
        </is>
      </c>
      <c r="C1296" s="7" t="inlineStr">
        <is>
          <t>unidad</t>
        </is>
      </c>
      <c r="D1296" s="8" t="n">
        <v>7194.58</v>
      </c>
      <c r="E1296" s="8" t="n"/>
      <c r="F1296" s="8" t="n"/>
      <c r="G1296" s="8" t="n"/>
      <c r="H1296" s="8" t="n"/>
      <c r="I1296" s="8" t="n"/>
      <c r="J1296" s="8" t="n"/>
      <c r="K1296" s="8" t="n"/>
      <c r="L1296" s="8" t="n"/>
      <c r="M1296" s="8" t="n"/>
      <c r="N1296" s="8" t="n"/>
      <c r="O1296" s="8" t="n"/>
      <c r="P1296" s="8" t="n"/>
      <c r="Q1296" s="8">
        <f>IF(COUNT(D1296:P1296)=0,"",MIN(D1296:P1296))</f>
        <v/>
      </c>
      <c r="R1296" s="8">
        <f>IF(COUNT(D1296:P1296)=0,"",MEDIAN(D1296:P1296))</f>
        <v/>
      </c>
      <c r="S1296" s="8">
        <f>IF(COUNT(D1296:P1296)=0,"",MAX(D1296:P1296))</f>
        <v/>
      </c>
      <c r="T1296" s="9">
        <f>IF(OR(Q1296="",Q1296=0),"",(S1296-Q1296)/Q1296)</f>
        <v/>
      </c>
      <c r="U1296" s="7">
        <f>IF(COUNT(D1296:P1296)=0,"",INDEX($D$1:$P$1,MATCH(MIN(D1296:P1296),D1296:P1296,0)))</f>
        <v/>
      </c>
      <c r="V1296" s="8" t="n">
        <v>7194.58</v>
      </c>
      <c r="W1296" s="10" t="n">
        <v>1</v>
      </c>
    </row>
    <row r="1297">
      <c r="A1297" s="7" t="inlineStr">
        <is>
          <t>MAT-28-004</t>
        </is>
      </c>
      <c r="B1297" s="4" t="inlineStr">
        <is>
          <t>Panel de alarma 320 zonas</t>
        </is>
      </c>
      <c r="C1297" s="7" t="inlineStr">
        <is>
          <t>unidad</t>
        </is>
      </c>
      <c r="D1297" s="8" t="n">
        <v>13889.31</v>
      </c>
      <c r="E1297" s="8" t="n"/>
      <c r="F1297" s="8" t="n"/>
      <c r="G1297" s="8" t="n"/>
      <c r="H1297" s="8" t="n"/>
      <c r="I1297" s="8" t="n"/>
      <c r="J1297" s="8" t="n"/>
      <c r="K1297" s="8" t="n"/>
      <c r="L1297" s="8" t="n"/>
      <c r="M1297" s="8" t="n"/>
      <c r="N1297" s="8" t="n"/>
      <c r="O1297" s="8" t="n"/>
      <c r="P1297" s="8" t="n"/>
      <c r="Q1297" s="8">
        <f>IF(COUNT(D1297:P1297)=0,"",MIN(D1297:P1297))</f>
        <v/>
      </c>
      <c r="R1297" s="8">
        <f>IF(COUNT(D1297:P1297)=0,"",MEDIAN(D1297:P1297))</f>
        <v/>
      </c>
      <c r="S1297" s="8">
        <f>IF(COUNT(D1297:P1297)=0,"",MAX(D1297:P1297))</f>
        <v/>
      </c>
      <c r="T1297" s="9">
        <f>IF(OR(Q1297="",Q1297=0),"",(S1297-Q1297)/Q1297)</f>
        <v/>
      </c>
      <c r="U1297" s="7">
        <f>IF(COUNT(D1297:P1297)=0,"",INDEX($D$1:$P$1,MATCH(MIN(D1297:P1297),D1297:P1297,0)))</f>
        <v/>
      </c>
      <c r="V1297" s="8" t="n">
        <v>16552.7</v>
      </c>
      <c r="W1297" s="10" t="n">
        <v>1</v>
      </c>
    </row>
    <row r="1298">
      <c r="A1298" s="7" t="inlineStr">
        <is>
          <t>MAT-28-005</t>
        </is>
      </c>
      <c r="B1298" s="4" t="inlineStr">
        <is>
          <t>Panel de alarma 4 zonas</t>
        </is>
      </c>
      <c r="C1298" s="7" t="inlineStr">
        <is>
          <t>unidad</t>
        </is>
      </c>
      <c r="D1298" s="8" t="n">
        <v>18682.71</v>
      </c>
      <c r="E1298" s="8" t="n"/>
      <c r="F1298" s="8" t="n"/>
      <c r="G1298" s="8" t="n"/>
      <c r="H1298" s="8" t="n"/>
      <c r="I1298" s="8" t="n"/>
      <c r="J1298" s="8" t="n"/>
      <c r="K1298" s="8" t="n"/>
      <c r="L1298" s="8" t="n"/>
      <c r="M1298" s="8" t="n"/>
      <c r="N1298" s="8" t="n"/>
      <c r="O1298" s="8" t="n"/>
      <c r="P1298" s="8" t="n"/>
      <c r="Q1298" s="8">
        <f>IF(COUNT(D1298:P1298)=0,"",MIN(D1298:P1298))</f>
        <v/>
      </c>
      <c r="R1298" s="8">
        <f>IF(COUNT(D1298:P1298)=0,"",MEDIAN(D1298:P1298))</f>
        <v/>
      </c>
      <c r="S1298" s="8">
        <f>IF(COUNT(D1298:P1298)=0,"",MAX(D1298:P1298))</f>
        <v/>
      </c>
      <c r="T1298" s="9">
        <f>IF(OR(Q1298="",Q1298=0),"",(S1298-Q1298)/Q1298)</f>
        <v/>
      </c>
      <c r="U1298" s="7">
        <f>IF(COUNT(D1298:P1298)=0,"",INDEX($D$1:$P$1,MATCH(MIN(D1298:P1298),D1298:P1298,0)))</f>
        <v/>
      </c>
      <c r="V1298" s="8" t="n">
        <v>18682.71</v>
      </c>
      <c r="W1298" s="10" t="n">
        <v>1</v>
      </c>
    </row>
    <row r="1299">
      <c r="A1299" s="7" t="inlineStr">
        <is>
          <t>MAT-28-006</t>
        </is>
      </c>
      <c r="B1299" s="4" t="inlineStr">
        <is>
          <t>Panel de alarma 48 zonas</t>
        </is>
      </c>
      <c r="C1299" s="7" t="inlineStr">
        <is>
          <t>unidad</t>
        </is>
      </c>
      <c r="D1299" s="8" t="n">
        <v>8277.66</v>
      </c>
      <c r="E1299" s="8" t="n"/>
      <c r="F1299" s="8" t="n"/>
      <c r="G1299" s="8" t="n"/>
      <c r="H1299" s="8" t="n"/>
      <c r="I1299" s="8" t="n"/>
      <c r="J1299" s="8" t="n"/>
      <c r="K1299" s="8" t="n"/>
      <c r="L1299" s="8" t="n"/>
      <c r="M1299" s="8" t="n"/>
      <c r="N1299" s="8" t="n"/>
      <c r="O1299" s="8" t="n"/>
      <c r="P1299" s="8" t="n"/>
      <c r="Q1299" s="8">
        <f>IF(COUNT(D1299:P1299)=0,"",MIN(D1299:P1299))</f>
        <v/>
      </c>
      <c r="R1299" s="8">
        <f>IF(COUNT(D1299:P1299)=0,"",MEDIAN(D1299:P1299))</f>
        <v/>
      </c>
      <c r="S1299" s="8">
        <f>IF(COUNT(D1299:P1299)=0,"",MAX(D1299:P1299))</f>
        <v/>
      </c>
      <c r="T1299" s="9">
        <f>IF(OR(Q1299="",Q1299=0),"",(S1299-Q1299)/Q1299)</f>
        <v/>
      </c>
      <c r="U1299" s="7">
        <f>IF(COUNT(D1299:P1299)=0,"",INDEX($D$1:$P$1,MATCH(MIN(D1299:P1299),D1299:P1299,0)))</f>
        <v/>
      </c>
      <c r="V1299" s="8" t="n">
        <v>8277.66</v>
      </c>
      <c r="W1299" s="10" t="n">
        <v>1</v>
      </c>
    </row>
    <row r="1300">
      <c r="A1300" s="7" t="inlineStr">
        <is>
          <t>MAT-28-007</t>
        </is>
      </c>
      <c r="B1300" s="4" t="inlineStr">
        <is>
          <t>Panel de alarma 8 zonas</t>
        </is>
      </c>
      <c r="C1300" s="7" t="inlineStr">
        <is>
          <t>unidad</t>
        </is>
      </c>
      <c r="D1300" s="8" t="n">
        <v>11668.57</v>
      </c>
      <c r="E1300" s="8" t="n"/>
      <c r="F1300" s="8" t="n"/>
      <c r="G1300" s="8" t="n"/>
      <c r="H1300" s="8" t="n"/>
      <c r="I1300" s="8" t="n"/>
      <c r="J1300" s="8" t="n"/>
      <c r="K1300" s="8" t="n"/>
      <c r="L1300" s="8" t="n"/>
      <c r="M1300" s="8" t="n"/>
      <c r="N1300" s="8" t="n"/>
      <c r="O1300" s="8" t="n"/>
      <c r="P1300" s="8" t="n"/>
      <c r="Q1300" s="8">
        <f>IF(COUNT(D1300:P1300)=0,"",MIN(D1300:P1300))</f>
        <v/>
      </c>
      <c r="R1300" s="8">
        <f>IF(COUNT(D1300:P1300)=0,"",MEDIAN(D1300:P1300))</f>
        <v/>
      </c>
      <c r="S1300" s="8">
        <f>IF(COUNT(D1300:P1300)=0,"",MAX(D1300:P1300))</f>
        <v/>
      </c>
      <c r="T1300" s="9">
        <f>IF(OR(Q1300="",Q1300=0),"",(S1300-Q1300)/Q1300)</f>
        <v/>
      </c>
      <c r="U1300" s="7">
        <f>IF(COUNT(D1300:P1300)=0,"",INDEX($D$1:$P$1,MATCH(MIN(D1300:P1300),D1300:P1300,0)))</f>
        <v/>
      </c>
      <c r="V1300" s="8" t="n">
        <v>11668.57</v>
      </c>
      <c r="W1300" s="10" t="n">
        <v>1</v>
      </c>
    </row>
    <row r="1301">
      <c r="A1301" s="7" t="inlineStr">
        <is>
          <t>MAT-28-008</t>
        </is>
      </c>
      <c r="B1301" s="4" t="inlineStr">
        <is>
          <t>Teclado para alarma</t>
        </is>
      </c>
      <c r="C1301" s="7" t="inlineStr">
        <is>
          <t>unidad</t>
        </is>
      </c>
      <c r="D1301" s="8" t="n">
        <v>3449.44</v>
      </c>
      <c r="E1301" s="8" t="n"/>
      <c r="F1301" s="8" t="n"/>
      <c r="G1301" s="8" t="n"/>
      <c r="H1301" s="8" t="n"/>
      <c r="I1301" s="8" t="n"/>
      <c r="J1301" s="8" t="n"/>
      <c r="K1301" s="8" t="n"/>
      <c r="L1301" s="8" t="n"/>
      <c r="M1301" s="8" t="n"/>
      <c r="N1301" s="8" t="n"/>
      <c r="O1301" s="8" t="n"/>
      <c r="P1301" s="8" t="n"/>
      <c r="Q1301" s="8">
        <f>IF(COUNT(D1301:P1301)=0,"",MIN(D1301:P1301))</f>
        <v/>
      </c>
      <c r="R1301" s="8">
        <f>IF(COUNT(D1301:P1301)=0,"",MEDIAN(D1301:P1301))</f>
        <v/>
      </c>
      <c r="S1301" s="8">
        <f>IF(COUNT(D1301:P1301)=0,"",MAX(D1301:P1301))</f>
        <v/>
      </c>
      <c r="T1301" s="9">
        <f>IF(OR(Q1301="",Q1301=0),"",(S1301-Q1301)/Q1301)</f>
        <v/>
      </c>
      <c r="U1301" s="7">
        <f>IF(COUNT(D1301:P1301)=0,"",INDEX($D$1:$P$1,MATCH(MIN(D1301:P1301),D1301:P1301,0)))</f>
        <v/>
      </c>
      <c r="V1301" s="8" t="n">
        <v>6879.53</v>
      </c>
      <c r="W1301" s="10" t="n">
        <v>1</v>
      </c>
    </row>
    <row r="1302">
      <c r="A1302" s="7" t="inlineStr">
        <is>
          <t>MAT-28-009</t>
        </is>
      </c>
      <c r="B1302" s="4" t="inlineStr">
        <is>
          <t>Detector de movimiento</t>
        </is>
      </c>
      <c r="C1302" s="7" t="inlineStr">
        <is>
          <t>unidad</t>
        </is>
      </c>
      <c r="D1302" s="8" t="n">
        <v>266.05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>
        <f>IF(COUNT(D1302:P1302)=0,"",MIN(D1302:P1302))</f>
        <v/>
      </c>
      <c r="R1302" s="8">
        <f>IF(COUNT(D1302:P1302)=0,"",MEDIAN(D1302:P1302))</f>
        <v/>
      </c>
      <c r="S1302" s="8">
        <f>IF(COUNT(D1302:P1302)=0,"",MAX(D1302:P1302))</f>
        <v/>
      </c>
      <c r="T1302" s="9">
        <f>IF(OR(Q1302="",Q1302=0),"",(S1302-Q1302)/Q1302)</f>
        <v/>
      </c>
      <c r="U1302" s="7">
        <f>IF(COUNT(D1302:P1302)=0,"",INDEX($D$1:$P$1,MATCH(MIN(D1302:P1302),D1302:P1302,0)))</f>
        <v/>
      </c>
      <c r="V1302" s="8" t="n">
        <v>1486.93</v>
      </c>
      <c r="W1302" s="10" t="n">
        <v>1</v>
      </c>
    </row>
    <row r="1303">
      <c r="A1303" s="7" t="inlineStr">
        <is>
          <t>MAT-28-010</t>
        </is>
      </c>
      <c r="B1303" s="4" t="inlineStr">
        <is>
          <t>Detector de movimiento alcance 10 m</t>
        </is>
      </c>
      <c r="C1303" s="7" t="inlineStr">
        <is>
          <t>unidad</t>
        </is>
      </c>
      <c r="D1303" s="8" t="n">
        <v>7135.36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 t="n"/>
      <c r="P1303" s="8" t="n"/>
      <c r="Q1303" s="8">
        <f>IF(COUNT(D1303:P1303)=0,"",MIN(D1303:P1303))</f>
        <v/>
      </c>
      <c r="R1303" s="8">
        <f>IF(COUNT(D1303:P1303)=0,"",MEDIAN(D1303:P1303))</f>
        <v/>
      </c>
      <c r="S1303" s="8">
        <f>IF(COUNT(D1303:P1303)=0,"",MAX(D1303:P1303))</f>
        <v/>
      </c>
      <c r="T1303" s="9">
        <f>IF(OR(Q1303="",Q1303=0),"",(S1303-Q1303)/Q1303)</f>
        <v/>
      </c>
      <c r="U1303" s="7">
        <f>IF(COUNT(D1303:P1303)=0,"",INDEX($D$1:$P$1,MATCH(MIN(D1303:P1303),D1303:P1303,0)))</f>
        <v/>
      </c>
      <c r="V1303" s="8" t="n">
        <v>7135.36</v>
      </c>
      <c r="W1303" s="10" t="n">
        <v>1</v>
      </c>
    </row>
    <row r="1304">
      <c r="A1304" s="7" t="inlineStr">
        <is>
          <t>MAT-28-011</t>
        </is>
      </c>
      <c r="B1304" s="4" t="inlineStr">
        <is>
          <t>Detector de movimiento alcance 11 m</t>
        </is>
      </c>
      <c r="C1304" s="7" t="inlineStr">
        <is>
          <t>unidad</t>
        </is>
      </c>
      <c r="D1304" s="8" t="n">
        <v>5567.22</v>
      </c>
      <c r="E1304" s="8" t="n"/>
      <c r="F1304" s="8" t="n"/>
      <c r="G1304" s="8" t="n"/>
      <c r="H1304" s="8" t="n"/>
      <c r="I1304" s="8" t="n"/>
      <c r="J1304" s="8" t="n"/>
      <c r="K1304" s="8" t="n"/>
      <c r="L1304" s="8" t="n"/>
      <c r="M1304" s="8" t="n"/>
      <c r="N1304" s="8" t="n"/>
      <c r="O1304" s="8" t="n"/>
      <c r="P1304" s="8" t="n"/>
      <c r="Q1304" s="8">
        <f>IF(COUNT(D1304:P1304)=0,"",MIN(D1304:P1304))</f>
        <v/>
      </c>
      <c r="R1304" s="8">
        <f>IF(COUNT(D1304:P1304)=0,"",MEDIAN(D1304:P1304))</f>
        <v/>
      </c>
      <c r="S1304" s="8">
        <f>IF(COUNT(D1304:P1304)=0,"",MAX(D1304:P1304))</f>
        <v/>
      </c>
      <c r="T1304" s="9">
        <f>IF(OR(Q1304="",Q1304=0),"",(S1304-Q1304)/Q1304)</f>
        <v/>
      </c>
      <c r="U1304" s="7">
        <f>IF(COUNT(D1304:P1304)=0,"",INDEX($D$1:$P$1,MATCH(MIN(D1304:P1304),D1304:P1304,0)))</f>
        <v/>
      </c>
      <c r="V1304" s="8" t="n">
        <v>5567.22</v>
      </c>
      <c r="W1304" s="10" t="n">
        <v>1</v>
      </c>
    </row>
    <row r="1305">
      <c r="A1305" s="7" t="inlineStr">
        <is>
          <t>MAT-28-012</t>
        </is>
      </c>
      <c r="B1305" s="4" t="inlineStr">
        <is>
          <t>Detector de movimiento alcance 12 m</t>
        </is>
      </c>
      <c r="C1305" s="7" t="inlineStr">
        <is>
          <t>unidad</t>
        </is>
      </c>
      <c r="D1305" s="8" t="n">
        <v>820.3</v>
      </c>
      <c r="E1305" s="8" t="n"/>
      <c r="F1305" s="8" t="n"/>
      <c r="G1305" s="8" t="n"/>
      <c r="H1305" s="8" t="n"/>
      <c r="I1305" s="8" t="n"/>
      <c r="J1305" s="8" t="n"/>
      <c r="K1305" s="8" t="n"/>
      <c r="L1305" s="8" t="n"/>
      <c r="M1305" s="8" t="n"/>
      <c r="N1305" s="8" t="n"/>
      <c r="O1305" s="8" t="n"/>
      <c r="P1305" s="8" t="n"/>
      <c r="Q1305" s="8">
        <f>IF(COUNT(D1305:P1305)=0,"",MIN(D1305:P1305))</f>
        <v/>
      </c>
      <c r="R1305" s="8">
        <f>IF(COUNT(D1305:P1305)=0,"",MEDIAN(D1305:P1305))</f>
        <v/>
      </c>
      <c r="S1305" s="8">
        <f>IF(COUNT(D1305:P1305)=0,"",MAX(D1305:P1305))</f>
        <v/>
      </c>
      <c r="T1305" s="9">
        <f>IF(OR(Q1305="",Q1305=0),"",(S1305-Q1305)/Q1305)</f>
        <v/>
      </c>
      <c r="U1305" s="7">
        <f>IF(COUNT(D1305:P1305)=0,"",INDEX($D$1:$P$1,MATCH(MIN(D1305:P1305),D1305:P1305,0)))</f>
        <v/>
      </c>
      <c r="V1305" s="8" t="n">
        <v>2831.47</v>
      </c>
      <c r="W1305" s="10" t="n">
        <v>1</v>
      </c>
    </row>
    <row r="1306">
      <c r="A1306" s="7" t="inlineStr">
        <is>
          <t>MAT-28-013</t>
        </is>
      </c>
      <c r="B1306" s="4" t="inlineStr">
        <is>
          <t>Detector de movimiento alcance 15 m</t>
        </is>
      </c>
      <c r="C1306" s="7" t="inlineStr">
        <is>
          <t>unidad</t>
        </is>
      </c>
      <c r="D1306" s="8" t="n">
        <v>2675.69</v>
      </c>
      <c r="E1306" s="8" t="n"/>
      <c r="F1306" s="8" t="n"/>
      <c r="G1306" s="8" t="n"/>
      <c r="H1306" s="8" t="n"/>
      <c r="I1306" s="8" t="n"/>
      <c r="J1306" s="8" t="n"/>
      <c r="K1306" s="8" t="n"/>
      <c r="L1306" s="8" t="n"/>
      <c r="M1306" s="8" t="n"/>
      <c r="N1306" s="8" t="n"/>
      <c r="O1306" s="8" t="n"/>
      <c r="P1306" s="8" t="n"/>
      <c r="Q1306" s="8">
        <f>IF(COUNT(D1306:P1306)=0,"",MIN(D1306:P1306))</f>
        <v/>
      </c>
      <c r="R1306" s="8">
        <f>IF(COUNT(D1306:P1306)=0,"",MEDIAN(D1306:P1306))</f>
        <v/>
      </c>
      <c r="S1306" s="8">
        <f>IF(COUNT(D1306:P1306)=0,"",MAX(D1306:P1306))</f>
        <v/>
      </c>
      <c r="T1306" s="9">
        <f>IF(OR(Q1306="",Q1306=0),"",(S1306-Q1306)/Q1306)</f>
        <v/>
      </c>
      <c r="U1306" s="7">
        <f>IF(COUNT(D1306:P1306)=0,"",INDEX($D$1:$P$1,MATCH(MIN(D1306:P1306),D1306:P1306,0)))</f>
        <v/>
      </c>
      <c r="V1306" s="8" t="n">
        <v>2675.69</v>
      </c>
      <c r="W1306" s="10" t="n">
        <v>1</v>
      </c>
    </row>
    <row r="1307">
      <c r="A1307" s="7" t="inlineStr">
        <is>
          <t>MAT-28-014</t>
        </is>
      </c>
      <c r="B1307" s="4" t="inlineStr">
        <is>
          <t>Detector de movimiento alcance 16 m</t>
        </is>
      </c>
      <c r="C1307" s="7" t="inlineStr">
        <is>
          <t>unidad</t>
        </is>
      </c>
      <c r="D1307" s="8" t="n">
        <v>2944.96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>
        <f>IF(COUNT(D1307:P1307)=0,"",MIN(D1307:P1307))</f>
        <v/>
      </c>
      <c r="R1307" s="8">
        <f>IF(COUNT(D1307:P1307)=0,"",MEDIAN(D1307:P1307))</f>
        <v/>
      </c>
      <c r="S1307" s="8">
        <f>IF(COUNT(D1307:P1307)=0,"",MAX(D1307:P1307))</f>
        <v/>
      </c>
      <c r="T1307" s="9">
        <f>IF(OR(Q1307="",Q1307=0),"",(S1307-Q1307)/Q1307)</f>
        <v/>
      </c>
      <c r="U1307" s="7">
        <f>IF(COUNT(D1307:P1307)=0,"",INDEX($D$1:$P$1,MATCH(MIN(D1307:P1307),D1307:P1307,0)))</f>
        <v/>
      </c>
      <c r="V1307" s="8" t="n">
        <v>2944.96</v>
      </c>
      <c r="W1307" s="10" t="n">
        <v>1</v>
      </c>
    </row>
    <row r="1308">
      <c r="A1308" s="7" t="inlineStr">
        <is>
          <t>MAT-28-015</t>
        </is>
      </c>
      <c r="B1308" s="4" t="inlineStr">
        <is>
          <t>Contacto magnético para puerta o ventana</t>
        </is>
      </c>
      <c r="C1308" s="7" t="inlineStr">
        <is>
          <t>unidad</t>
        </is>
      </c>
      <c r="D1308" s="8" t="n">
        <v>506.24</v>
      </c>
      <c r="E1308" s="8" t="n"/>
      <c r="F1308" s="8" t="n"/>
      <c r="G1308" s="8" t="n"/>
      <c r="H1308" s="8" t="n"/>
      <c r="I1308" s="8" t="n"/>
      <c r="J1308" s="8" t="n"/>
      <c r="K1308" s="8" t="n"/>
      <c r="L1308" s="8" t="n"/>
      <c r="M1308" s="8" t="n"/>
      <c r="N1308" s="8" t="n"/>
      <c r="O1308" s="8" t="n"/>
      <c r="P1308" s="8" t="n"/>
      <c r="Q1308" s="8">
        <f>IF(COUNT(D1308:P1308)=0,"",MIN(D1308:P1308))</f>
        <v/>
      </c>
      <c r="R1308" s="8">
        <f>IF(COUNT(D1308:P1308)=0,"",MEDIAN(D1308:P1308))</f>
        <v/>
      </c>
      <c r="S1308" s="8">
        <f>IF(COUNT(D1308:P1308)=0,"",MAX(D1308:P1308))</f>
        <v/>
      </c>
      <c r="T1308" s="9">
        <f>IF(OR(Q1308="",Q1308=0),"",(S1308-Q1308)/Q1308)</f>
        <v/>
      </c>
      <c r="U1308" s="7">
        <f>IF(COUNT(D1308:P1308)=0,"",INDEX($D$1:$P$1,MATCH(MIN(D1308:P1308),D1308:P1308,0)))</f>
        <v/>
      </c>
      <c r="V1308" s="8" t="n">
        <v>1673.26</v>
      </c>
      <c r="W1308" s="10" t="n">
        <v>1</v>
      </c>
    </row>
    <row r="1309">
      <c r="A1309" s="7" t="inlineStr">
        <is>
          <t>MAT-28-016</t>
        </is>
      </c>
      <c r="B1309" s="4" t="inlineStr">
        <is>
          <t>Sirena de alarma</t>
        </is>
      </c>
      <c r="C1309" s="7" t="inlineStr">
        <is>
          <t>unidad</t>
        </is>
      </c>
      <c r="D1309" s="8" t="n">
        <v>713.99</v>
      </c>
      <c r="E1309" s="8" t="n"/>
      <c r="F1309" s="8" t="n"/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>
        <f>IF(COUNT(D1309:P1309)=0,"",MIN(D1309:P1309))</f>
        <v/>
      </c>
      <c r="R1309" s="8">
        <f>IF(COUNT(D1309:P1309)=0,"",MEDIAN(D1309:P1309))</f>
        <v/>
      </c>
      <c r="S1309" s="8">
        <f>IF(COUNT(D1309:P1309)=0,"",MAX(D1309:P1309))</f>
        <v/>
      </c>
      <c r="T1309" s="9">
        <f>IF(OR(Q1309="",Q1309=0),"",(S1309-Q1309)/Q1309)</f>
        <v/>
      </c>
      <c r="U1309" s="7">
        <f>IF(COUNT(D1309:P1309)=0,"",INDEX($D$1:$P$1,MATCH(MIN(D1309:P1309),D1309:P1309,0)))</f>
        <v/>
      </c>
      <c r="V1309" s="8" t="n">
        <v>12406.5</v>
      </c>
      <c r="W1309" s="10" t="n">
        <v>1</v>
      </c>
    </row>
    <row r="1310">
      <c r="A1310" s="7" t="inlineStr">
        <is>
          <t>MAT-28-017</t>
        </is>
      </c>
      <c r="B1310" s="4" t="inlineStr">
        <is>
          <t>Sirena de alarma de exterior</t>
        </is>
      </c>
      <c r="C1310" s="7" t="inlineStr">
        <is>
          <t>unidad</t>
        </is>
      </c>
      <c r="D1310" s="8" t="n">
        <v>5053.69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>
        <f>IF(COUNT(D1310:P1310)=0,"",MIN(D1310:P1310))</f>
        <v/>
      </c>
      <c r="R1310" s="8">
        <f>IF(COUNT(D1310:P1310)=0,"",MEDIAN(D1310:P1310))</f>
        <v/>
      </c>
      <c r="S1310" s="8">
        <f>IF(COUNT(D1310:P1310)=0,"",MAX(D1310:P1310))</f>
        <v/>
      </c>
      <c r="T1310" s="9">
        <f>IF(OR(Q1310="",Q1310=0),"",(S1310-Q1310)/Q1310)</f>
        <v/>
      </c>
      <c r="U1310" s="7">
        <f>IF(COUNT(D1310:P1310)=0,"",INDEX($D$1:$P$1,MATCH(MIN(D1310:P1310),D1310:P1310,0)))</f>
        <v/>
      </c>
      <c r="V1310" s="8" t="n">
        <v>5053.69</v>
      </c>
      <c r="W1310" s="10" t="n">
        <v>1</v>
      </c>
    </row>
    <row r="1311">
      <c r="A1311" s="7" t="inlineStr">
        <is>
          <t>MAT-28-018</t>
        </is>
      </c>
      <c r="B1311" s="4" t="inlineStr">
        <is>
          <t>Sirena de alarma de interior</t>
        </is>
      </c>
      <c r="C1311" s="7" t="inlineStr">
        <is>
          <t>unidad</t>
        </is>
      </c>
      <c r="D1311" s="8" t="n">
        <v>3381.4</v>
      </c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8" t="n"/>
      <c r="N1311" s="8" t="n"/>
      <c r="O1311" s="8" t="n"/>
      <c r="P1311" s="8" t="n"/>
      <c r="Q1311" s="8">
        <f>IF(COUNT(D1311:P1311)=0,"",MIN(D1311:P1311))</f>
        <v/>
      </c>
      <c r="R1311" s="8">
        <f>IF(COUNT(D1311:P1311)=0,"",MEDIAN(D1311:P1311))</f>
        <v/>
      </c>
      <c r="S1311" s="8">
        <f>IF(COUNT(D1311:P1311)=0,"",MAX(D1311:P1311))</f>
        <v/>
      </c>
      <c r="T1311" s="9">
        <f>IF(OR(Q1311="",Q1311=0),"",(S1311-Q1311)/Q1311)</f>
        <v/>
      </c>
      <c r="U1311" s="7">
        <f>IF(COUNT(D1311:P1311)=0,"",INDEX($D$1:$P$1,MATCH(MIN(D1311:P1311),D1311:P1311,0)))</f>
        <v/>
      </c>
      <c r="V1311" s="8" t="n">
        <v>3381.4</v>
      </c>
      <c r="W1311" s="10" t="n">
        <v>1</v>
      </c>
    </row>
    <row r="1312">
      <c r="A1312" s="7" t="inlineStr">
        <is>
          <t>MAT-28-019</t>
        </is>
      </c>
      <c r="B1312" s="4" t="inlineStr">
        <is>
          <t>Control de acceso</t>
        </is>
      </c>
      <c r="C1312" s="7" t="inlineStr">
        <is>
          <t>unidad</t>
        </is>
      </c>
      <c r="D1312" s="8" t="n">
        <v>5063.11</v>
      </c>
      <c r="E1312" s="8" t="n"/>
      <c r="F1312" s="8" t="n"/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>
        <f>IF(COUNT(D1312:P1312)=0,"",MIN(D1312:P1312))</f>
        <v/>
      </c>
      <c r="R1312" s="8">
        <f>IF(COUNT(D1312:P1312)=0,"",MEDIAN(D1312:P1312))</f>
        <v/>
      </c>
      <c r="S1312" s="8">
        <f>IF(COUNT(D1312:P1312)=0,"",MAX(D1312:P1312))</f>
        <v/>
      </c>
      <c r="T1312" s="9">
        <f>IF(OR(Q1312="",Q1312=0),"",(S1312-Q1312)/Q1312)</f>
        <v/>
      </c>
      <c r="U1312" s="7">
        <f>IF(COUNT(D1312:P1312)=0,"",INDEX($D$1:$P$1,MATCH(MIN(D1312:P1312),D1312:P1312,0)))</f>
        <v/>
      </c>
      <c r="V1312" s="8" t="n">
        <v>14529.44</v>
      </c>
      <c r="W1312" s="10" t="n">
        <v>1</v>
      </c>
    </row>
    <row r="1313">
      <c r="A1313" s="7" t="inlineStr">
        <is>
          <t>MAT-28-020</t>
        </is>
      </c>
      <c r="B1313" s="4" t="inlineStr">
        <is>
          <t>Control de acceso huella</t>
        </is>
      </c>
      <c r="C1313" s="7" t="inlineStr">
        <is>
          <t>unidad</t>
        </is>
      </c>
      <c r="D1313" s="8" t="n">
        <v>10930.42</v>
      </c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 t="n"/>
      <c r="P1313" s="8" t="n"/>
      <c r="Q1313" s="8">
        <f>IF(COUNT(D1313:P1313)=0,"",MIN(D1313:P1313))</f>
        <v/>
      </c>
      <c r="R1313" s="8">
        <f>IF(COUNT(D1313:P1313)=0,"",MEDIAN(D1313:P1313))</f>
        <v/>
      </c>
      <c r="S1313" s="8">
        <f>IF(COUNT(D1313:P1313)=0,"",MAX(D1313:P1313))</f>
        <v/>
      </c>
      <c r="T1313" s="9">
        <f>IF(OR(Q1313="",Q1313=0),"",(S1313-Q1313)/Q1313)</f>
        <v/>
      </c>
      <c r="U1313" s="7">
        <f>IF(COUNT(D1313:P1313)=0,"",INDEX($D$1:$P$1,MATCH(MIN(D1313:P1313),D1313:P1313,0)))</f>
        <v/>
      </c>
      <c r="V1313" s="8" t="n">
        <v>16289.94</v>
      </c>
      <c r="W1313" s="10" t="n">
        <v>1</v>
      </c>
    </row>
    <row r="1314">
      <c r="A1314" s="7" t="inlineStr">
        <is>
          <t>MAT-28-021</t>
        </is>
      </c>
      <c r="B1314" s="4" t="inlineStr">
        <is>
          <t>Control de acceso proximidad</t>
        </is>
      </c>
      <c r="C1314" s="7" t="inlineStr">
        <is>
          <t>unidad</t>
        </is>
      </c>
      <c r="D1314" s="8" t="n">
        <v>8365.110000000001</v>
      </c>
      <c r="E1314" s="8" t="n"/>
      <c r="F1314" s="8" t="n"/>
      <c r="G1314" s="8" t="n"/>
      <c r="H1314" s="8" t="n"/>
      <c r="I1314" s="8" t="n"/>
      <c r="J1314" s="8" t="n"/>
      <c r="K1314" s="8" t="n"/>
      <c r="L1314" s="8" t="n"/>
      <c r="M1314" s="8" t="n"/>
      <c r="N1314" s="8" t="n"/>
      <c r="O1314" s="8" t="n"/>
      <c r="P1314" s="8" t="n"/>
      <c r="Q1314" s="8">
        <f>IF(COUNT(D1314:P1314)=0,"",MIN(D1314:P1314))</f>
        <v/>
      </c>
      <c r="R1314" s="8">
        <f>IF(COUNT(D1314:P1314)=0,"",MEDIAN(D1314:P1314))</f>
        <v/>
      </c>
      <c r="S1314" s="8">
        <f>IF(COUNT(D1314:P1314)=0,"",MAX(D1314:P1314))</f>
        <v/>
      </c>
      <c r="T1314" s="9">
        <f>IF(OR(Q1314="",Q1314=0),"",(S1314-Q1314)/Q1314)</f>
        <v/>
      </c>
      <c r="U1314" s="7">
        <f>IF(COUNT(D1314:P1314)=0,"",INDEX($D$1:$P$1,MATCH(MIN(D1314:P1314),D1314:P1314,0)))</f>
        <v/>
      </c>
      <c r="V1314" s="8" t="n">
        <v>9465.780000000001</v>
      </c>
      <c r="W1314" s="10" t="n">
        <v>1</v>
      </c>
    </row>
    <row r="1315">
      <c r="A1315" s="7" t="inlineStr">
        <is>
          <t>MAT-28-022</t>
        </is>
      </c>
      <c r="B1315" s="4" t="inlineStr">
        <is>
          <t>Control de acceso teclado</t>
        </is>
      </c>
      <c r="C1315" s="7" t="inlineStr">
        <is>
          <t>unidad</t>
        </is>
      </c>
      <c r="D1315" s="8" t="n">
        <v>12767.79</v>
      </c>
      <c r="E1315" s="8" t="n"/>
      <c r="F1315" s="8" t="n"/>
      <c r="G1315" s="8" t="n"/>
      <c r="H1315" s="8" t="n"/>
      <c r="I1315" s="8" t="n"/>
      <c r="J1315" s="8" t="n"/>
      <c r="K1315" s="8" t="n"/>
      <c r="L1315" s="8" t="n"/>
      <c r="M1315" s="8" t="n"/>
      <c r="N1315" s="8" t="n"/>
      <c r="O1315" s="8" t="n"/>
      <c r="P1315" s="8" t="n"/>
      <c r="Q1315" s="8">
        <f>IF(COUNT(D1315:P1315)=0,"",MIN(D1315:P1315))</f>
        <v/>
      </c>
      <c r="R1315" s="8">
        <f>IF(COUNT(D1315:P1315)=0,"",MEDIAN(D1315:P1315))</f>
        <v/>
      </c>
      <c r="S1315" s="8">
        <f>IF(COUNT(D1315:P1315)=0,"",MAX(D1315:P1315))</f>
        <v/>
      </c>
      <c r="T1315" s="9">
        <f>IF(OR(Q1315="",Q1315=0),"",(S1315-Q1315)/Q1315)</f>
        <v/>
      </c>
      <c r="U1315" s="7">
        <f>IF(COUNT(D1315:P1315)=0,"",INDEX($D$1:$P$1,MATCH(MIN(D1315:P1315),D1315:P1315,0)))</f>
        <v/>
      </c>
      <c r="V1315" s="8" t="n">
        <v>12767.79</v>
      </c>
      <c r="W1315" s="10" t="n">
        <v>1</v>
      </c>
    </row>
    <row r="1316">
      <c r="A1316" s="7" t="inlineStr">
        <is>
          <t>MAT-28-024</t>
        </is>
      </c>
      <c r="B1316" s="4" t="inlineStr">
        <is>
          <t>Accesorio de sistema de alarma</t>
        </is>
      </c>
      <c r="C1316" s="7" t="inlineStr">
        <is>
          <t>unidad</t>
        </is>
      </c>
      <c r="D1316" s="8" t="n">
        <v>146.83</v>
      </c>
      <c r="E1316" s="8" t="n"/>
      <c r="F1316" s="8" t="n"/>
      <c r="G1316" s="8" t="n"/>
      <c r="H1316" s="8" t="n"/>
      <c r="I1316" s="8" t="n"/>
      <c r="J1316" s="8" t="n"/>
      <c r="K1316" s="8" t="n"/>
      <c r="L1316" s="8" t="n"/>
      <c r="M1316" s="8" t="n"/>
      <c r="N1316" s="8" t="n"/>
      <c r="O1316" s="8" t="n"/>
      <c r="P1316" s="8" t="n"/>
      <c r="Q1316" s="8">
        <f>IF(COUNT(D1316:P1316)=0,"",MIN(D1316:P1316))</f>
        <v/>
      </c>
      <c r="R1316" s="8">
        <f>IF(COUNT(D1316:P1316)=0,"",MEDIAN(D1316:P1316))</f>
        <v/>
      </c>
      <c r="S1316" s="8">
        <f>IF(COUNT(D1316:P1316)=0,"",MAX(D1316:P1316))</f>
        <v/>
      </c>
      <c r="T1316" s="9">
        <f>IF(OR(Q1316="",Q1316=0),"",(S1316-Q1316)/Q1316)</f>
        <v/>
      </c>
      <c r="U1316" s="7">
        <f>IF(COUNT(D1316:P1316)=0,"",INDEX($D$1:$P$1,MATCH(MIN(D1316:P1316),D1316:P1316,0)))</f>
        <v/>
      </c>
      <c r="V1316" s="8" t="n">
        <v>1838.69</v>
      </c>
      <c r="W1316" s="10" t="n">
        <v>1</v>
      </c>
    </row>
    <row r="1317">
      <c r="A1317" s="7" t="inlineStr">
        <is>
          <t>MAT-29-003</t>
        </is>
      </c>
      <c r="B1317" s="4" t="inlineStr">
        <is>
          <t>Detector para sistema de incendio de calor</t>
        </is>
      </c>
      <c r="C1317" s="7" t="inlineStr">
        <is>
          <t>unidad</t>
        </is>
      </c>
      <c r="D1317" s="8" t="n">
        <v>1508.54</v>
      </c>
      <c r="E1317" s="8" t="n"/>
      <c r="F1317" s="8" t="n"/>
      <c r="G1317" s="8" t="n"/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8">
        <f>IF(COUNT(D1317:P1317)=0,"",MIN(D1317:P1317))</f>
        <v/>
      </c>
      <c r="R1317" s="8">
        <f>IF(COUNT(D1317:P1317)=0,"",MEDIAN(D1317:P1317))</f>
        <v/>
      </c>
      <c r="S1317" s="8">
        <f>IF(COUNT(D1317:P1317)=0,"",MAX(D1317:P1317))</f>
        <v/>
      </c>
      <c r="T1317" s="9">
        <f>IF(OR(Q1317="",Q1317=0),"",(S1317-Q1317)/Q1317)</f>
        <v/>
      </c>
      <c r="U1317" s="7">
        <f>IF(COUNT(D1317:P1317)=0,"",INDEX($D$1:$P$1,MATCH(MIN(D1317:P1317),D1317:P1317,0)))</f>
        <v/>
      </c>
      <c r="V1317" s="8" t="n">
        <v>1780.89</v>
      </c>
      <c r="W1317" s="10" t="n">
        <v>1</v>
      </c>
    </row>
    <row r="1318">
      <c r="A1318" s="7" t="inlineStr">
        <is>
          <t>MAT-29-004</t>
        </is>
      </c>
      <c r="B1318" s="4" t="inlineStr">
        <is>
          <t>Detector para sistema de incendio de humo</t>
        </is>
      </c>
      <c r="C1318" s="7" t="inlineStr">
        <is>
          <t>unidad</t>
        </is>
      </c>
      <c r="D1318" s="8" t="n">
        <v>1934.03</v>
      </c>
      <c r="E1318" s="8" t="n"/>
      <c r="F1318" s="8" t="n"/>
      <c r="G1318" s="8" t="n"/>
      <c r="H1318" s="8" t="n"/>
      <c r="I1318" s="8" t="n"/>
      <c r="J1318" s="8" t="n"/>
      <c r="K1318" s="8" t="n"/>
      <c r="L1318" s="8" t="n"/>
      <c r="M1318" s="8" t="n"/>
      <c r="N1318" s="8" t="n"/>
      <c r="O1318" s="8" t="n"/>
      <c r="P1318" s="8" t="n"/>
      <c r="Q1318" s="8">
        <f>IF(COUNT(D1318:P1318)=0,"",MIN(D1318:P1318))</f>
        <v/>
      </c>
      <c r="R1318" s="8">
        <f>IF(COUNT(D1318:P1318)=0,"",MEDIAN(D1318:P1318))</f>
        <v/>
      </c>
      <c r="S1318" s="8">
        <f>IF(COUNT(D1318:P1318)=0,"",MAX(D1318:P1318))</f>
        <v/>
      </c>
      <c r="T1318" s="9">
        <f>IF(OR(Q1318="",Q1318=0),"",(S1318-Q1318)/Q1318)</f>
        <v/>
      </c>
      <c r="U1318" s="7">
        <f>IF(COUNT(D1318:P1318)=0,"",INDEX($D$1:$P$1,MATCH(MIN(D1318:P1318),D1318:P1318,0)))</f>
        <v/>
      </c>
      <c r="V1318" s="8" t="n">
        <v>2135.37</v>
      </c>
      <c r="W1318" s="10" t="n">
        <v>1</v>
      </c>
    </row>
    <row r="1319">
      <c r="A1319" s="7" t="inlineStr">
        <is>
          <t>MAT-29-005</t>
        </is>
      </c>
      <c r="B1319" s="4" t="inlineStr">
        <is>
          <t>Detector para sistema de incendio de humo y calor</t>
        </is>
      </c>
      <c r="C1319" s="7" t="inlineStr">
        <is>
          <t>unidad</t>
        </is>
      </c>
      <c r="D1319" s="8" t="n">
        <v>1657.72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>
        <f>IF(COUNT(D1319:P1319)=0,"",MIN(D1319:P1319))</f>
        <v/>
      </c>
      <c r="R1319" s="8">
        <f>IF(COUNT(D1319:P1319)=0,"",MEDIAN(D1319:P1319))</f>
        <v/>
      </c>
      <c r="S1319" s="8">
        <f>IF(COUNT(D1319:P1319)=0,"",MAX(D1319:P1319))</f>
        <v/>
      </c>
      <c r="T1319" s="9">
        <f>IF(OR(Q1319="",Q1319=0),"",(S1319-Q1319)/Q1319)</f>
        <v/>
      </c>
      <c r="U1319" s="7">
        <f>IF(COUNT(D1319:P1319)=0,"",INDEX($D$1:$P$1,MATCH(MIN(D1319:P1319),D1319:P1319,0)))</f>
        <v/>
      </c>
      <c r="V1319" s="8" t="n">
        <v>1657.72</v>
      </c>
      <c r="W1319" s="10" t="n">
        <v>1</v>
      </c>
    </row>
    <row r="1320">
      <c r="A1320" s="7" t="inlineStr">
        <is>
          <t>MAT-29-006</t>
        </is>
      </c>
      <c r="B1320" s="4" t="inlineStr">
        <is>
          <t>Estación manual de incendio</t>
        </is>
      </c>
      <c r="C1320" s="7" t="inlineStr">
        <is>
          <t>unidad</t>
        </is>
      </c>
      <c r="D1320" s="8" t="n">
        <v>870.3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>
        <f>IF(COUNT(D1320:P1320)=0,"",MIN(D1320:P1320))</f>
        <v/>
      </c>
      <c r="R1320" s="8">
        <f>IF(COUNT(D1320:P1320)=0,"",MEDIAN(D1320:P1320))</f>
        <v/>
      </c>
      <c r="S1320" s="8">
        <f>IF(COUNT(D1320:P1320)=0,"",MAX(D1320:P1320))</f>
        <v/>
      </c>
      <c r="T1320" s="9">
        <f>IF(OR(Q1320="",Q1320=0),"",(S1320-Q1320)/Q1320)</f>
        <v/>
      </c>
      <c r="U1320" s="7">
        <f>IF(COUNT(D1320:P1320)=0,"",INDEX($D$1:$P$1,MATCH(MIN(D1320:P1320),D1320:P1320,0)))</f>
        <v/>
      </c>
      <c r="V1320" s="8" t="n">
        <v>2358.36</v>
      </c>
      <c r="W1320" s="10" t="n">
        <v>1</v>
      </c>
    </row>
    <row r="1321">
      <c r="A1321" s="7" t="inlineStr">
        <is>
          <t>MAT-29-007</t>
        </is>
      </c>
      <c r="B1321" s="4" t="inlineStr">
        <is>
          <t>Sirena o estrobo de incendio</t>
        </is>
      </c>
      <c r="C1321" s="7" t="inlineStr">
        <is>
          <t>unidad</t>
        </is>
      </c>
      <c r="D1321" s="8" t="n">
        <v>3502.55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>
        <f>IF(COUNT(D1321:P1321)=0,"",MIN(D1321:P1321))</f>
        <v/>
      </c>
      <c r="R1321" s="8">
        <f>IF(COUNT(D1321:P1321)=0,"",MEDIAN(D1321:P1321))</f>
        <v/>
      </c>
      <c r="S1321" s="8">
        <f>IF(COUNT(D1321:P1321)=0,"",MAX(D1321:P1321))</f>
        <v/>
      </c>
      <c r="T1321" s="9">
        <f>IF(OR(Q1321="",Q1321=0),"",(S1321-Q1321)/Q1321)</f>
        <v/>
      </c>
      <c r="U1321" s="7">
        <f>IF(COUNT(D1321:P1321)=0,"",INDEX($D$1:$P$1,MATCH(MIN(D1321:P1321),D1321:P1321,0)))</f>
        <v/>
      </c>
      <c r="V1321" s="8" t="n">
        <v>3502.55</v>
      </c>
      <c r="W1321" s="10" t="n">
        <v>1</v>
      </c>
    </row>
    <row r="1322">
      <c r="A1322" s="7" t="inlineStr">
        <is>
          <t>MAT-29-008</t>
        </is>
      </c>
      <c r="B1322" s="4" t="inlineStr">
        <is>
          <t>Accesorio de sistema de incendio</t>
        </is>
      </c>
      <c r="C1322" s="7" t="inlineStr">
        <is>
          <t>unidad</t>
        </is>
      </c>
      <c r="D1322" s="8" t="n">
        <v>232.07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>
        <f>IF(COUNT(D1322:P1322)=0,"",MIN(D1322:P1322))</f>
        <v/>
      </c>
      <c r="R1322" s="8">
        <f>IF(COUNT(D1322:P1322)=0,"",MEDIAN(D1322:P1322))</f>
        <v/>
      </c>
      <c r="S1322" s="8">
        <f>IF(COUNT(D1322:P1322)=0,"",MAX(D1322:P1322))</f>
        <v/>
      </c>
      <c r="T1322" s="9">
        <f>IF(OR(Q1322="",Q1322=0),"",(S1322-Q1322)/Q1322)</f>
        <v/>
      </c>
      <c r="U1322" s="7">
        <f>IF(COUNT(D1322:P1322)=0,"",INDEX($D$1:$P$1,MATCH(MIN(D1322:P1322),D1322:P1322,0)))</f>
        <v/>
      </c>
      <c r="V1322" s="8" t="n">
        <v>270.76</v>
      </c>
      <c r="W1322" s="10" t="n">
        <v>1</v>
      </c>
    </row>
    <row r="1323">
      <c r="A1323" s="7" t="inlineStr">
        <is>
          <t>MAT-30-003</t>
        </is>
      </c>
      <c r="B1323" s="4" t="inlineStr">
        <is>
          <t>Cable de red blindado</t>
        </is>
      </c>
      <c r="C1323" s="7" t="inlineStr">
        <is>
          <t>rollo</t>
        </is>
      </c>
      <c r="D1323" s="8" t="n">
        <v>1675.6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>
        <f>IF(COUNT(D1323:P1323)=0,"",MIN(D1323:P1323))</f>
        <v/>
      </c>
      <c r="R1323" s="8">
        <f>IF(COUNT(D1323:P1323)=0,"",MEDIAN(D1323:P1323))</f>
        <v/>
      </c>
      <c r="S1323" s="8">
        <f>IF(COUNT(D1323:P1323)=0,"",MAX(D1323:P1323))</f>
        <v/>
      </c>
      <c r="T1323" s="9">
        <f>IF(OR(Q1323="",Q1323=0),"",(S1323-Q1323)/Q1323)</f>
        <v/>
      </c>
      <c r="U1323" s="7">
        <f>IF(COUNT(D1323:P1323)=0,"",INDEX($D$1:$P$1,MATCH(MIN(D1323:P1323),D1323:P1323,0)))</f>
        <v/>
      </c>
      <c r="V1323" s="8" t="n">
        <v>1675.6</v>
      </c>
      <c r="W1323" s="10" t="n">
        <v>1</v>
      </c>
    </row>
    <row r="1324">
      <c r="A1324" s="7" t="inlineStr">
        <is>
          <t>MAT-30-004</t>
        </is>
      </c>
      <c r="B1324" s="4" t="inlineStr">
        <is>
          <t>Cable de red Cat 5</t>
        </is>
      </c>
      <c r="C1324" s="7" t="inlineStr">
        <is>
          <t>rollo</t>
        </is>
      </c>
      <c r="D1324" s="8" t="n">
        <v>72.59999999999999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>
        <f>IF(COUNT(D1324:P1324)=0,"",MIN(D1324:P1324))</f>
        <v/>
      </c>
      <c r="R1324" s="8">
        <f>IF(COUNT(D1324:P1324)=0,"",MEDIAN(D1324:P1324))</f>
        <v/>
      </c>
      <c r="S1324" s="8">
        <f>IF(COUNT(D1324:P1324)=0,"",MAX(D1324:P1324))</f>
        <v/>
      </c>
      <c r="T1324" s="9">
        <f>IF(OR(Q1324="",Q1324=0),"",(S1324-Q1324)/Q1324)</f>
        <v/>
      </c>
      <c r="U1324" s="7">
        <f>IF(COUNT(D1324:P1324)=0,"",INDEX($D$1:$P$1,MATCH(MIN(D1324:P1324),D1324:P1324,0)))</f>
        <v/>
      </c>
      <c r="V1324" s="8" t="n">
        <v>106.6</v>
      </c>
      <c r="W1324" s="10" t="n">
        <v>1</v>
      </c>
    </row>
    <row r="1325">
      <c r="A1325" s="7" t="inlineStr">
        <is>
          <t>MAT-30-005</t>
        </is>
      </c>
      <c r="B1325" s="4" t="inlineStr">
        <is>
          <t>Cable de red Cat 5 blindado</t>
        </is>
      </c>
      <c r="C1325" s="7" t="inlineStr">
        <is>
          <t>rollo</t>
        </is>
      </c>
      <c r="D1325" s="8" t="n">
        <v>813.6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>
        <f>IF(COUNT(D1325:P1325)=0,"",MIN(D1325:P1325))</f>
        <v/>
      </c>
      <c r="R1325" s="8">
        <f>IF(COUNT(D1325:P1325)=0,"",MEDIAN(D1325:P1325))</f>
        <v/>
      </c>
      <c r="S1325" s="8">
        <f>IF(COUNT(D1325:P1325)=0,"",MAX(D1325:P1325))</f>
        <v/>
      </c>
      <c r="T1325" s="9">
        <f>IF(OR(Q1325="",Q1325=0),"",(S1325-Q1325)/Q1325)</f>
        <v/>
      </c>
      <c r="U1325" s="7">
        <f>IF(COUNT(D1325:P1325)=0,"",INDEX($D$1:$P$1,MATCH(MIN(D1325:P1325),D1325:P1325,0)))</f>
        <v/>
      </c>
      <c r="V1325" s="8" t="n">
        <v>813.6</v>
      </c>
      <c r="W1325" s="10" t="n">
        <v>1</v>
      </c>
    </row>
    <row r="1326">
      <c r="A1326" s="7" t="inlineStr">
        <is>
          <t>MAT-30-007</t>
        </is>
      </c>
      <c r="B1326" s="4" t="inlineStr">
        <is>
          <t>Cable de red Cat 6A</t>
        </is>
      </c>
      <c r="C1326" s="7" t="inlineStr">
        <is>
          <t>rollo</t>
        </is>
      </c>
      <c r="D1326" s="8" t="n">
        <v>215.59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>
        <f>IF(COUNT(D1326:P1326)=0,"",MIN(D1326:P1326))</f>
        <v/>
      </c>
      <c r="R1326" s="8">
        <f>IF(COUNT(D1326:P1326)=0,"",MEDIAN(D1326:P1326))</f>
        <v/>
      </c>
      <c r="S1326" s="8">
        <f>IF(COUNT(D1326:P1326)=0,"",MAX(D1326:P1326))</f>
        <v/>
      </c>
      <c r="T1326" s="9">
        <f>IF(OR(Q1326="",Q1326=0),"",(S1326-Q1326)/Q1326)</f>
        <v/>
      </c>
      <c r="U1326" s="7">
        <f>IF(COUNT(D1326:P1326)=0,"",INDEX($D$1:$P$1,MATCH(MIN(D1326:P1326),D1326:P1326,0)))</f>
        <v/>
      </c>
      <c r="V1326" s="8" t="n">
        <v>466.67</v>
      </c>
      <c r="W1326" s="10" t="n">
        <v>1</v>
      </c>
    </row>
    <row r="1327">
      <c r="A1327" s="7" t="inlineStr">
        <is>
          <t>MAT-30-009</t>
        </is>
      </c>
      <c r="B1327" s="4" t="inlineStr">
        <is>
          <t>Jack RJ45 Cat 5</t>
        </is>
      </c>
      <c r="C1327" s="7" t="inlineStr">
        <is>
          <t>unidad</t>
        </is>
      </c>
      <c r="D1327" s="8" t="n">
        <v>106.97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>
        <f>IF(COUNT(D1327:P1327)=0,"",MIN(D1327:P1327))</f>
        <v/>
      </c>
      <c r="R1327" s="8">
        <f>IF(COUNT(D1327:P1327)=0,"",MEDIAN(D1327:P1327))</f>
        <v/>
      </c>
      <c r="S1327" s="8">
        <f>IF(COUNT(D1327:P1327)=0,"",MAX(D1327:P1327))</f>
        <v/>
      </c>
      <c r="T1327" s="9">
        <f>IF(OR(Q1327="",Q1327=0),"",(S1327-Q1327)/Q1327)</f>
        <v/>
      </c>
      <c r="U1327" s="7">
        <f>IF(COUNT(D1327:P1327)=0,"",INDEX($D$1:$P$1,MATCH(MIN(D1327:P1327),D1327:P1327,0)))</f>
        <v/>
      </c>
      <c r="V1327" s="8" t="n">
        <v>106.97</v>
      </c>
      <c r="W1327" s="10" t="n">
        <v>1</v>
      </c>
    </row>
    <row r="1328">
      <c r="A1328" s="7" t="inlineStr">
        <is>
          <t>MAT-30-010</t>
        </is>
      </c>
      <c r="B1328" s="4" t="inlineStr">
        <is>
          <t>Jack RJ45 Cat 6</t>
        </is>
      </c>
      <c r="C1328" s="7" t="inlineStr">
        <is>
          <t>unidad</t>
        </is>
      </c>
      <c r="D1328" s="8" t="n">
        <v>189.16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>
        <f>IF(COUNT(D1328:P1328)=0,"",MIN(D1328:P1328))</f>
        <v/>
      </c>
      <c r="R1328" s="8">
        <f>IF(COUNT(D1328:P1328)=0,"",MEDIAN(D1328:P1328))</f>
        <v/>
      </c>
      <c r="S1328" s="8">
        <f>IF(COUNT(D1328:P1328)=0,"",MAX(D1328:P1328))</f>
        <v/>
      </c>
      <c r="T1328" s="9">
        <f>IF(OR(Q1328="",Q1328=0),"",(S1328-Q1328)/Q1328)</f>
        <v/>
      </c>
      <c r="U1328" s="7">
        <f>IF(COUNT(D1328:P1328)=0,"",INDEX($D$1:$P$1,MATCH(MIN(D1328:P1328),D1328:P1328,0)))</f>
        <v/>
      </c>
      <c r="V1328" s="8" t="n">
        <v>254.97</v>
      </c>
      <c r="W1328" s="10" t="n">
        <v>1</v>
      </c>
    </row>
    <row r="1329">
      <c r="A1329" s="7" t="inlineStr">
        <is>
          <t>MAT-30-011</t>
        </is>
      </c>
      <c r="B1329" s="4" t="inlineStr">
        <is>
          <t>Jack RJ45 Cat 6A</t>
        </is>
      </c>
      <c r="C1329" s="7" t="inlineStr">
        <is>
          <t>unidad</t>
        </is>
      </c>
      <c r="D1329" s="8" t="n">
        <v>256.97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>
        <f>IF(COUNT(D1329:P1329)=0,"",MIN(D1329:P1329))</f>
        <v/>
      </c>
      <c r="R1329" s="8">
        <f>IF(COUNT(D1329:P1329)=0,"",MEDIAN(D1329:P1329))</f>
        <v/>
      </c>
      <c r="S1329" s="8">
        <f>IF(COUNT(D1329:P1329)=0,"",MAX(D1329:P1329))</f>
        <v/>
      </c>
      <c r="T1329" s="9">
        <f>IF(OR(Q1329="",Q1329=0),"",(S1329-Q1329)/Q1329)</f>
        <v/>
      </c>
      <c r="U1329" s="7">
        <f>IF(COUNT(D1329:P1329)=0,"",INDEX($D$1:$P$1,MATCH(MIN(D1329:P1329),D1329:P1329,0)))</f>
        <v/>
      </c>
      <c r="V1329" s="8" t="n">
        <v>256.97</v>
      </c>
      <c r="W1329" s="10" t="n">
        <v>1</v>
      </c>
    </row>
    <row r="1330">
      <c r="A1330" s="7" t="inlineStr">
        <is>
          <t>MAT-30-012</t>
        </is>
      </c>
      <c r="B1330" s="4" t="inlineStr">
        <is>
          <t>Jack RJ45 Cat 6A blindado</t>
        </is>
      </c>
      <c r="C1330" s="7" t="inlineStr">
        <is>
          <t>unidad</t>
        </is>
      </c>
      <c r="D1330" s="8" t="n">
        <v>275.76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>
        <f>IF(COUNT(D1330:P1330)=0,"",MIN(D1330:P1330))</f>
        <v/>
      </c>
      <c r="R1330" s="8">
        <f>IF(COUNT(D1330:P1330)=0,"",MEDIAN(D1330:P1330))</f>
        <v/>
      </c>
      <c r="S1330" s="8">
        <f>IF(COUNT(D1330:P1330)=0,"",MAX(D1330:P1330))</f>
        <v/>
      </c>
      <c r="T1330" s="9">
        <f>IF(OR(Q1330="",Q1330=0),"",(S1330-Q1330)/Q1330)</f>
        <v/>
      </c>
      <c r="U1330" s="7">
        <f>IF(COUNT(D1330:P1330)=0,"",INDEX($D$1:$P$1,MATCH(MIN(D1330:P1330),D1330:P1330,0)))</f>
        <v/>
      </c>
      <c r="V1330" s="8" t="n">
        <v>334.53</v>
      </c>
      <c r="W1330" s="10" t="n">
        <v>1</v>
      </c>
    </row>
    <row r="1331">
      <c r="A1331" s="7" t="inlineStr">
        <is>
          <t>MAT-30-013</t>
        </is>
      </c>
      <c r="B1331" s="4" t="inlineStr">
        <is>
          <t>Patch panel</t>
        </is>
      </c>
      <c r="C1331" s="7" t="inlineStr">
        <is>
          <t>unidad</t>
        </is>
      </c>
      <c r="D1331" s="8" t="n">
        <v>192.87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>
        <f>IF(COUNT(D1331:P1331)=0,"",MIN(D1331:P1331))</f>
        <v/>
      </c>
      <c r="R1331" s="8">
        <f>IF(COUNT(D1331:P1331)=0,"",MEDIAN(D1331:P1331))</f>
        <v/>
      </c>
      <c r="S1331" s="8">
        <f>IF(COUNT(D1331:P1331)=0,"",MAX(D1331:P1331))</f>
        <v/>
      </c>
      <c r="T1331" s="9">
        <f>IF(OR(Q1331="",Q1331=0),"",(S1331-Q1331)/Q1331)</f>
        <v/>
      </c>
      <c r="U1331" s="7">
        <f>IF(COUNT(D1331:P1331)=0,"",INDEX($D$1:$P$1,MATCH(MIN(D1331:P1331),D1331:P1331,0)))</f>
        <v/>
      </c>
      <c r="V1331" s="8" t="n">
        <v>1305.12</v>
      </c>
      <c r="W1331" s="10" t="n">
        <v>1</v>
      </c>
    </row>
    <row r="1332">
      <c r="A1332" s="7" t="inlineStr">
        <is>
          <t>MAT-30-014</t>
        </is>
      </c>
      <c r="B1332" s="4" t="inlineStr">
        <is>
          <t>Patch panel 24 puertos</t>
        </is>
      </c>
      <c r="C1332" s="7" t="inlineStr">
        <is>
          <t>unidad</t>
        </is>
      </c>
      <c r="D1332" s="8" t="n">
        <v>5568.67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>
        <f>IF(COUNT(D1332:P1332)=0,"",MIN(D1332:P1332))</f>
        <v/>
      </c>
      <c r="R1332" s="8">
        <f>IF(COUNT(D1332:P1332)=0,"",MEDIAN(D1332:P1332))</f>
        <v/>
      </c>
      <c r="S1332" s="8">
        <f>IF(COUNT(D1332:P1332)=0,"",MAX(D1332:P1332))</f>
        <v/>
      </c>
      <c r="T1332" s="9">
        <f>IF(OR(Q1332="",Q1332=0),"",(S1332-Q1332)/Q1332)</f>
        <v/>
      </c>
      <c r="U1332" s="7">
        <f>IF(COUNT(D1332:P1332)=0,"",INDEX($D$1:$P$1,MATCH(MIN(D1332:P1332),D1332:P1332,0)))</f>
        <v/>
      </c>
      <c r="V1332" s="8" t="n">
        <v>5568.67</v>
      </c>
      <c r="W1332" s="10" t="n">
        <v>1</v>
      </c>
    </row>
    <row r="1333">
      <c r="A1333" s="7" t="inlineStr">
        <is>
          <t>MAT-30-015</t>
        </is>
      </c>
      <c r="B1333" s="4" t="inlineStr">
        <is>
          <t>Patch panel 48 puertos</t>
        </is>
      </c>
      <c r="C1333" s="7" t="inlineStr">
        <is>
          <t>unidad</t>
        </is>
      </c>
      <c r="D1333" s="8" t="n">
        <v>1782.28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>
        <f>IF(COUNT(D1333:P1333)=0,"",MIN(D1333:P1333))</f>
        <v/>
      </c>
      <c r="R1333" s="8">
        <f>IF(COUNT(D1333:P1333)=0,"",MEDIAN(D1333:P1333))</f>
        <v/>
      </c>
      <c r="S1333" s="8">
        <f>IF(COUNT(D1333:P1333)=0,"",MAX(D1333:P1333))</f>
        <v/>
      </c>
      <c r="T1333" s="9">
        <f>IF(OR(Q1333="",Q1333=0),"",(S1333-Q1333)/Q1333)</f>
        <v/>
      </c>
      <c r="U1333" s="7">
        <f>IF(COUNT(D1333:P1333)=0,"",INDEX($D$1:$P$1,MATCH(MIN(D1333:P1333),D1333:P1333,0)))</f>
        <v/>
      </c>
      <c r="V1333" s="8" t="n">
        <v>1782.28</v>
      </c>
      <c r="W1333" s="10" t="n">
        <v>1</v>
      </c>
    </row>
    <row r="1334">
      <c r="A1334" s="7" t="inlineStr">
        <is>
          <t>MAT-30-016</t>
        </is>
      </c>
      <c r="B1334" s="4" t="inlineStr">
        <is>
          <t>Placa de pared para datos</t>
        </is>
      </c>
      <c r="C1334" s="7" t="inlineStr">
        <is>
          <t>unidad</t>
        </is>
      </c>
      <c r="D1334" s="8" t="n">
        <v>77.06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>
        <f>IF(COUNT(D1334:P1334)=0,"",MIN(D1334:P1334))</f>
        <v/>
      </c>
      <c r="R1334" s="8">
        <f>IF(COUNT(D1334:P1334)=0,"",MEDIAN(D1334:P1334))</f>
        <v/>
      </c>
      <c r="S1334" s="8">
        <f>IF(COUNT(D1334:P1334)=0,"",MAX(D1334:P1334))</f>
        <v/>
      </c>
      <c r="T1334" s="9">
        <f>IF(OR(Q1334="",Q1334=0),"",(S1334-Q1334)/Q1334)</f>
        <v/>
      </c>
      <c r="U1334" s="7">
        <f>IF(COUNT(D1334:P1334)=0,"",INDEX($D$1:$P$1,MATCH(MIN(D1334:P1334),D1334:P1334,0)))</f>
        <v/>
      </c>
      <c r="V1334" s="8" t="n">
        <v>102.17</v>
      </c>
      <c r="W1334" s="10" t="n">
        <v>1</v>
      </c>
    </row>
    <row r="1335">
      <c r="A1335" s="7" t="inlineStr">
        <is>
          <t>MAT-30-019</t>
        </is>
      </c>
      <c r="B1335" s="4" t="inlineStr">
        <is>
          <t>Placa de pared para datos 3 puertos</t>
        </is>
      </c>
      <c r="C1335" s="7" t="inlineStr">
        <is>
          <t>unidad</t>
        </is>
      </c>
      <c r="D1335" s="8" t="n">
        <v>1196.92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>
        <f>IF(COUNT(D1335:P1335)=0,"",MIN(D1335:P1335))</f>
        <v/>
      </c>
      <c r="R1335" s="8">
        <f>IF(COUNT(D1335:P1335)=0,"",MEDIAN(D1335:P1335))</f>
        <v/>
      </c>
      <c r="S1335" s="8">
        <f>IF(COUNT(D1335:P1335)=0,"",MAX(D1335:P1335))</f>
        <v/>
      </c>
      <c r="T1335" s="9">
        <f>IF(OR(Q1335="",Q1335=0),"",(S1335-Q1335)/Q1335)</f>
        <v/>
      </c>
      <c r="U1335" s="7">
        <f>IF(COUNT(D1335:P1335)=0,"",INDEX($D$1:$P$1,MATCH(MIN(D1335:P1335),D1335:P1335,0)))</f>
        <v/>
      </c>
      <c r="V1335" s="8" t="n">
        <v>1196.92</v>
      </c>
      <c r="W1335" s="10" t="n">
        <v>1</v>
      </c>
    </row>
    <row r="1336">
      <c r="A1336" s="7" t="inlineStr">
        <is>
          <t>MAT-30-021</t>
        </is>
      </c>
      <c r="B1336" s="4" t="inlineStr">
        <is>
          <t>Equipo de red</t>
        </is>
      </c>
      <c r="C1336" s="7" t="inlineStr">
        <is>
          <t>unidad</t>
        </is>
      </c>
      <c r="D1336" s="8" t="n">
        <v>587.39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>
        <f>IF(COUNT(D1336:P1336)=0,"",MIN(D1336:P1336))</f>
        <v/>
      </c>
      <c r="R1336" s="8">
        <f>IF(COUNT(D1336:P1336)=0,"",MEDIAN(D1336:P1336))</f>
        <v/>
      </c>
      <c r="S1336" s="8">
        <f>IF(COUNT(D1336:P1336)=0,"",MAX(D1336:P1336))</f>
        <v/>
      </c>
      <c r="T1336" s="9">
        <f>IF(OR(Q1336="",Q1336=0),"",(S1336-Q1336)/Q1336)</f>
        <v/>
      </c>
      <c r="U1336" s="7">
        <f>IF(COUNT(D1336:P1336)=0,"",INDEX($D$1:$P$1,MATCH(MIN(D1336:P1336),D1336:P1336,0)))</f>
        <v/>
      </c>
      <c r="V1336" s="8" t="n">
        <v>4902.12</v>
      </c>
      <c r="W1336" s="10" t="n">
        <v>1</v>
      </c>
    </row>
    <row r="1337">
      <c r="A1337" s="7" t="inlineStr">
        <is>
          <t>MAT-30-022</t>
        </is>
      </c>
      <c r="B1337" s="4" t="inlineStr">
        <is>
          <t>Equipo de red 24 puertos</t>
        </is>
      </c>
      <c r="C1337" s="7" t="inlineStr">
        <is>
          <t>unidad</t>
        </is>
      </c>
      <c r="D1337" s="8" t="n">
        <v>16692.67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>
        <f>IF(COUNT(D1337:P1337)=0,"",MIN(D1337:P1337))</f>
        <v/>
      </c>
      <c r="R1337" s="8">
        <f>IF(COUNT(D1337:P1337)=0,"",MEDIAN(D1337:P1337))</f>
        <v/>
      </c>
      <c r="S1337" s="8">
        <f>IF(COUNT(D1337:P1337)=0,"",MAX(D1337:P1337))</f>
        <v/>
      </c>
      <c r="T1337" s="9">
        <f>IF(OR(Q1337="",Q1337=0),"",(S1337-Q1337)/Q1337)</f>
        <v/>
      </c>
      <c r="U1337" s="7">
        <f>IF(COUNT(D1337:P1337)=0,"",INDEX($D$1:$P$1,MATCH(MIN(D1337:P1337),D1337:P1337,0)))</f>
        <v/>
      </c>
      <c r="V1337" s="8" t="n">
        <v>16692.67</v>
      </c>
      <c r="W1337" s="10" t="n">
        <v>1</v>
      </c>
    </row>
    <row r="1338">
      <c r="A1338" s="7" t="inlineStr">
        <is>
          <t>MAT-30-027</t>
        </is>
      </c>
      <c r="B1338" s="4" t="inlineStr">
        <is>
          <t>Fuente de alimentación para sistemas 12 V</t>
        </is>
      </c>
      <c r="C1338" s="7" t="inlineStr">
        <is>
          <t>unidad</t>
        </is>
      </c>
      <c r="D1338" s="8" t="n">
        <v>1111.78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>
        <f>IF(COUNT(D1338:P1338)=0,"",MIN(D1338:P1338))</f>
        <v/>
      </c>
      <c r="R1338" s="8">
        <f>IF(COUNT(D1338:P1338)=0,"",MEDIAN(D1338:P1338))</f>
        <v/>
      </c>
      <c r="S1338" s="8">
        <f>IF(COUNT(D1338:P1338)=0,"",MAX(D1338:P1338))</f>
        <v/>
      </c>
      <c r="T1338" s="9">
        <f>IF(OR(Q1338="",Q1338=0),"",(S1338-Q1338)/Q1338)</f>
        <v/>
      </c>
      <c r="U1338" s="7">
        <f>IF(COUNT(D1338:P1338)=0,"",INDEX($D$1:$P$1,MATCH(MIN(D1338:P1338),D1338:P1338,0)))</f>
        <v/>
      </c>
      <c r="V1338" s="8" t="n">
        <v>2813.06</v>
      </c>
      <c r="W1338" s="10" t="n">
        <v>1</v>
      </c>
    </row>
    <row r="1339">
      <c r="A1339" s="7" t="inlineStr">
        <is>
          <t>MAT-30-028</t>
        </is>
      </c>
      <c r="B1339" s="4" t="inlineStr">
        <is>
          <t>Fuente de alimentación para sistemas 120 V</t>
        </is>
      </c>
      <c r="C1339" s="7" t="inlineStr">
        <is>
          <t>unidad</t>
        </is>
      </c>
      <c r="D1339" s="8" t="n">
        <v>906.34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>
        <f>IF(COUNT(D1339:P1339)=0,"",MIN(D1339:P1339))</f>
        <v/>
      </c>
      <c r="R1339" s="8">
        <f>IF(COUNT(D1339:P1339)=0,"",MEDIAN(D1339:P1339))</f>
        <v/>
      </c>
      <c r="S1339" s="8">
        <f>IF(COUNT(D1339:P1339)=0,"",MAX(D1339:P1339))</f>
        <v/>
      </c>
      <c r="T1339" s="9">
        <f>IF(OR(Q1339="",Q1339=0),"",(S1339-Q1339)/Q1339)</f>
        <v/>
      </c>
      <c r="U1339" s="7">
        <f>IF(COUNT(D1339:P1339)=0,"",INDEX($D$1:$P$1,MATCH(MIN(D1339:P1339),D1339:P1339,0)))</f>
        <v/>
      </c>
      <c r="V1339" s="8" t="n">
        <v>1031.86</v>
      </c>
      <c r="W1339" s="10" t="n">
        <v>1</v>
      </c>
    </row>
    <row r="1340">
      <c r="A1340" s="7" t="inlineStr">
        <is>
          <t>MAT-30-029</t>
        </is>
      </c>
      <c r="B1340" s="4" t="inlineStr">
        <is>
          <t>Fuente de alimentación para sistemas 24 V</t>
        </is>
      </c>
      <c r="C1340" s="7" t="inlineStr">
        <is>
          <t>unidad</t>
        </is>
      </c>
      <c r="D1340" s="8" t="n">
        <v>11089.49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>
        <f>IF(COUNT(D1340:P1340)=0,"",MIN(D1340:P1340))</f>
        <v/>
      </c>
      <c r="R1340" s="8">
        <f>IF(COUNT(D1340:P1340)=0,"",MEDIAN(D1340:P1340))</f>
        <v/>
      </c>
      <c r="S1340" s="8">
        <f>IF(COUNT(D1340:P1340)=0,"",MAX(D1340:P1340))</f>
        <v/>
      </c>
      <c r="T1340" s="9">
        <f>IF(OR(Q1340="",Q1340=0),"",(S1340-Q1340)/Q1340)</f>
        <v/>
      </c>
      <c r="U1340" s="7">
        <f>IF(COUNT(D1340:P1340)=0,"",INDEX($D$1:$P$1,MATCH(MIN(D1340:P1340),D1340:P1340,0)))</f>
        <v/>
      </c>
      <c r="V1340" s="8" t="n">
        <v>13861.06</v>
      </c>
      <c r="W1340" s="10" t="n">
        <v>1</v>
      </c>
    </row>
    <row r="1341">
      <c r="A1341" s="7" t="inlineStr">
        <is>
          <t>MAT-30-030</t>
        </is>
      </c>
      <c r="B1341" s="4" t="inlineStr">
        <is>
          <t>Fuente de alimentación para sistemas 275 V</t>
        </is>
      </c>
      <c r="C1341" s="7" t="inlineStr">
        <is>
          <t>unidad</t>
        </is>
      </c>
      <c r="D1341" s="8" t="n">
        <v>28.95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>
        <f>IF(COUNT(D1341:P1341)=0,"",MIN(D1341:P1341))</f>
        <v/>
      </c>
      <c r="R1341" s="8">
        <f>IF(COUNT(D1341:P1341)=0,"",MEDIAN(D1341:P1341))</f>
        <v/>
      </c>
      <c r="S1341" s="8">
        <f>IF(COUNT(D1341:P1341)=0,"",MAX(D1341:P1341))</f>
        <v/>
      </c>
      <c r="T1341" s="9">
        <f>IF(OR(Q1341="",Q1341=0),"",(S1341-Q1341)/Q1341)</f>
        <v/>
      </c>
      <c r="U1341" s="7">
        <f>IF(COUNT(D1341:P1341)=0,"",INDEX($D$1:$P$1,MATCH(MIN(D1341:P1341),D1341:P1341,0)))</f>
        <v/>
      </c>
      <c r="V1341" s="8" t="n">
        <v>28.95</v>
      </c>
      <c r="W1341" s="10" t="n">
        <v>1</v>
      </c>
    </row>
    <row r="1342">
      <c r="A1342" s="7" t="inlineStr">
        <is>
          <t>MAT-30-031</t>
        </is>
      </c>
      <c r="B1342" s="4" t="inlineStr">
        <is>
          <t>Fuente de alimentación para sistemas 277 V</t>
        </is>
      </c>
      <c r="C1342" s="7" t="inlineStr">
        <is>
          <t>unidad</t>
        </is>
      </c>
      <c r="D1342" s="8" t="n">
        <v>2150.5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>
        <f>IF(COUNT(D1342:P1342)=0,"",MIN(D1342:P1342))</f>
        <v/>
      </c>
      <c r="R1342" s="8">
        <f>IF(COUNT(D1342:P1342)=0,"",MEDIAN(D1342:P1342))</f>
        <v/>
      </c>
      <c r="S1342" s="8">
        <f>IF(COUNT(D1342:P1342)=0,"",MAX(D1342:P1342))</f>
        <v/>
      </c>
      <c r="T1342" s="9">
        <f>IF(OR(Q1342="",Q1342=0),"",(S1342-Q1342)/Q1342)</f>
        <v/>
      </c>
      <c r="U1342" s="7">
        <f>IF(COUNT(D1342:P1342)=0,"",INDEX($D$1:$P$1,MATCH(MIN(D1342:P1342),D1342:P1342,0)))</f>
        <v/>
      </c>
      <c r="V1342" s="8" t="n">
        <v>2150.5</v>
      </c>
      <c r="W1342" s="10" t="n">
        <v>1</v>
      </c>
    </row>
    <row r="1343">
      <c r="A1343" s="7" t="inlineStr">
        <is>
          <t>MAT-31-003</t>
        </is>
      </c>
      <c r="B1343" s="4" t="inlineStr">
        <is>
          <t>Interruptor inteligente 1 canales</t>
        </is>
      </c>
      <c r="C1343" s="7" t="inlineStr">
        <is>
          <t>unidad</t>
        </is>
      </c>
      <c r="D1343" s="8" t="n">
        <v>1089.61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>
        <f>IF(COUNT(D1343:P1343)=0,"",MIN(D1343:P1343))</f>
        <v/>
      </c>
      <c r="R1343" s="8">
        <f>IF(COUNT(D1343:P1343)=0,"",MEDIAN(D1343:P1343))</f>
        <v/>
      </c>
      <c r="S1343" s="8">
        <f>IF(COUNT(D1343:P1343)=0,"",MAX(D1343:P1343))</f>
        <v/>
      </c>
      <c r="T1343" s="9">
        <f>IF(OR(Q1343="",Q1343=0),"",(S1343-Q1343)/Q1343)</f>
        <v/>
      </c>
      <c r="U1343" s="7">
        <f>IF(COUNT(D1343:P1343)=0,"",INDEX($D$1:$P$1,MATCH(MIN(D1343:P1343),D1343:P1343,0)))</f>
        <v/>
      </c>
      <c r="V1343" s="8" t="n">
        <v>1549.16</v>
      </c>
      <c r="W1343" s="10" t="n">
        <v>1</v>
      </c>
    </row>
    <row r="1344">
      <c r="A1344" s="7" t="inlineStr">
        <is>
          <t>MAT-31-004</t>
        </is>
      </c>
      <c r="B1344" s="4" t="inlineStr">
        <is>
          <t>Interruptor inteligente 1 canales con neutro</t>
        </is>
      </c>
      <c r="C1344" s="7" t="inlineStr">
        <is>
          <t>unidad</t>
        </is>
      </c>
      <c r="D1344" s="8" t="n">
        <v>2892.27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>
        <f>IF(COUNT(D1344:P1344)=0,"",MIN(D1344:P1344))</f>
        <v/>
      </c>
      <c r="R1344" s="8">
        <f>IF(COUNT(D1344:P1344)=0,"",MEDIAN(D1344:P1344))</f>
        <v/>
      </c>
      <c r="S1344" s="8">
        <f>IF(COUNT(D1344:P1344)=0,"",MAX(D1344:P1344))</f>
        <v/>
      </c>
      <c r="T1344" s="9">
        <f>IF(OR(Q1344="",Q1344=0),"",(S1344-Q1344)/Q1344)</f>
        <v/>
      </c>
      <c r="U1344" s="7">
        <f>IF(COUNT(D1344:P1344)=0,"",INDEX($D$1:$P$1,MATCH(MIN(D1344:P1344),D1344:P1344,0)))</f>
        <v/>
      </c>
      <c r="V1344" s="8" t="n">
        <v>2892.27</v>
      </c>
      <c r="W1344" s="10" t="n">
        <v>1</v>
      </c>
    </row>
    <row r="1345">
      <c r="A1345" s="7" t="inlineStr">
        <is>
          <t>MAT-31-005</t>
        </is>
      </c>
      <c r="B1345" s="4" t="inlineStr">
        <is>
          <t>Interruptor inteligente 1 canales sin neutro</t>
        </is>
      </c>
      <c r="C1345" s="7" t="inlineStr">
        <is>
          <t>unidad</t>
        </is>
      </c>
      <c r="D1345" s="8" t="n">
        <v>2958.46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>
        <f>IF(COUNT(D1345:P1345)=0,"",MIN(D1345:P1345))</f>
        <v/>
      </c>
      <c r="R1345" s="8">
        <f>IF(COUNT(D1345:P1345)=0,"",MEDIAN(D1345:P1345))</f>
        <v/>
      </c>
      <c r="S1345" s="8">
        <f>IF(COUNT(D1345:P1345)=0,"",MAX(D1345:P1345))</f>
        <v/>
      </c>
      <c r="T1345" s="9">
        <f>IF(OR(Q1345="",Q1345=0),"",(S1345-Q1345)/Q1345)</f>
        <v/>
      </c>
      <c r="U1345" s="7">
        <f>IF(COUNT(D1345:P1345)=0,"",INDEX($D$1:$P$1,MATCH(MIN(D1345:P1345),D1345:P1345,0)))</f>
        <v/>
      </c>
      <c r="V1345" s="8" t="n">
        <v>2958.46</v>
      </c>
      <c r="W1345" s="10" t="n">
        <v>1</v>
      </c>
    </row>
    <row r="1346">
      <c r="A1346" s="7" t="inlineStr">
        <is>
          <t>MAT-31-006</t>
        </is>
      </c>
      <c r="B1346" s="4" t="inlineStr">
        <is>
          <t>Interruptor inteligente 2 canales</t>
        </is>
      </c>
      <c r="C1346" s="7" t="inlineStr">
        <is>
          <t>unidad</t>
        </is>
      </c>
      <c r="D1346" s="8" t="n">
        <v>1210.31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>
        <f>IF(COUNT(D1346:P1346)=0,"",MIN(D1346:P1346))</f>
        <v/>
      </c>
      <c r="R1346" s="8">
        <f>IF(COUNT(D1346:P1346)=0,"",MEDIAN(D1346:P1346))</f>
        <v/>
      </c>
      <c r="S1346" s="8">
        <f>IF(COUNT(D1346:P1346)=0,"",MAX(D1346:P1346))</f>
        <v/>
      </c>
      <c r="T1346" s="9">
        <f>IF(OR(Q1346="",Q1346=0),"",(S1346-Q1346)/Q1346)</f>
        <v/>
      </c>
      <c r="U1346" s="7">
        <f>IF(COUNT(D1346:P1346)=0,"",INDEX($D$1:$P$1,MATCH(MIN(D1346:P1346),D1346:P1346,0)))</f>
        <v/>
      </c>
      <c r="V1346" s="8" t="n">
        <v>1632.51</v>
      </c>
      <c r="W1346" s="10" t="n">
        <v>1</v>
      </c>
    </row>
    <row r="1347">
      <c r="A1347" s="7" t="inlineStr">
        <is>
          <t>MAT-31-007</t>
        </is>
      </c>
      <c r="B1347" s="4" t="inlineStr">
        <is>
          <t>Interruptor inteligente 2 canales con neutro</t>
        </is>
      </c>
      <c r="C1347" s="7" t="inlineStr">
        <is>
          <t>unidad</t>
        </is>
      </c>
      <c r="D1347" s="8" t="n">
        <v>2743.31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>
        <f>IF(COUNT(D1347:P1347)=0,"",MIN(D1347:P1347))</f>
        <v/>
      </c>
      <c r="R1347" s="8">
        <f>IF(COUNT(D1347:P1347)=0,"",MEDIAN(D1347:P1347))</f>
        <v/>
      </c>
      <c r="S1347" s="8">
        <f>IF(COUNT(D1347:P1347)=0,"",MAX(D1347:P1347))</f>
        <v/>
      </c>
      <c r="T1347" s="9">
        <f>IF(OR(Q1347="",Q1347=0),"",(S1347-Q1347)/Q1347)</f>
        <v/>
      </c>
      <c r="U1347" s="7">
        <f>IF(COUNT(D1347:P1347)=0,"",INDEX($D$1:$P$1,MATCH(MIN(D1347:P1347),D1347:P1347,0)))</f>
        <v/>
      </c>
      <c r="V1347" s="8" t="n">
        <v>2743.31</v>
      </c>
      <c r="W1347" s="10" t="n">
        <v>1</v>
      </c>
    </row>
    <row r="1348">
      <c r="A1348" s="7" t="inlineStr">
        <is>
          <t>MAT-31-008</t>
        </is>
      </c>
      <c r="B1348" s="4" t="inlineStr">
        <is>
          <t>Interruptor inteligente 2 canales sin neutro</t>
        </is>
      </c>
      <c r="C1348" s="7" t="inlineStr">
        <is>
          <t>unidad</t>
        </is>
      </c>
      <c r="D1348" s="8" t="n">
        <v>2743.31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>
        <f>IF(COUNT(D1348:P1348)=0,"",MIN(D1348:P1348))</f>
        <v/>
      </c>
      <c r="R1348" s="8">
        <f>IF(COUNT(D1348:P1348)=0,"",MEDIAN(D1348:P1348))</f>
        <v/>
      </c>
      <c r="S1348" s="8">
        <f>IF(COUNT(D1348:P1348)=0,"",MAX(D1348:P1348))</f>
        <v/>
      </c>
      <c r="T1348" s="9">
        <f>IF(OR(Q1348="",Q1348=0),"",(S1348-Q1348)/Q1348)</f>
        <v/>
      </c>
      <c r="U1348" s="7">
        <f>IF(COUNT(D1348:P1348)=0,"",INDEX($D$1:$P$1,MATCH(MIN(D1348:P1348),D1348:P1348,0)))</f>
        <v/>
      </c>
      <c r="V1348" s="8" t="n">
        <v>2743.31</v>
      </c>
      <c r="W1348" s="10" t="n">
        <v>1</v>
      </c>
    </row>
    <row r="1349">
      <c r="A1349" s="7" t="inlineStr">
        <is>
          <t>MAT-31-009</t>
        </is>
      </c>
      <c r="B1349" s="4" t="inlineStr">
        <is>
          <t>Interruptor inteligente 3 canales</t>
        </is>
      </c>
      <c r="C1349" s="7" t="inlineStr">
        <is>
          <t>unidad</t>
        </is>
      </c>
      <c r="D1349" s="8" t="n">
        <v>1497.83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>
        <f>IF(COUNT(D1349:P1349)=0,"",MIN(D1349:P1349))</f>
        <v/>
      </c>
      <c r="R1349" s="8">
        <f>IF(COUNT(D1349:P1349)=0,"",MEDIAN(D1349:P1349))</f>
        <v/>
      </c>
      <c r="S1349" s="8">
        <f>IF(COUNT(D1349:P1349)=0,"",MAX(D1349:P1349))</f>
        <v/>
      </c>
      <c r="T1349" s="9">
        <f>IF(OR(Q1349="",Q1349=0),"",(S1349-Q1349)/Q1349)</f>
        <v/>
      </c>
      <c r="U1349" s="7">
        <f>IF(COUNT(D1349:P1349)=0,"",INDEX($D$1:$P$1,MATCH(MIN(D1349:P1349),D1349:P1349,0)))</f>
        <v/>
      </c>
      <c r="V1349" s="8" t="n">
        <v>4577.22</v>
      </c>
      <c r="W1349" s="10" t="n">
        <v>1</v>
      </c>
    </row>
    <row r="1350">
      <c r="A1350" s="7" t="inlineStr">
        <is>
          <t>MAT-31-011</t>
        </is>
      </c>
      <c r="B1350" s="4" t="inlineStr">
        <is>
          <t>Central de domótica</t>
        </is>
      </c>
      <c r="C1350" s="7" t="inlineStr">
        <is>
          <t>unidad</t>
        </is>
      </c>
      <c r="D1350" s="8" t="n">
        <v>1143.26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>
        <f>IF(COUNT(D1350:P1350)=0,"",MIN(D1350:P1350))</f>
        <v/>
      </c>
      <c r="R1350" s="8">
        <f>IF(COUNT(D1350:P1350)=0,"",MEDIAN(D1350:P1350))</f>
        <v/>
      </c>
      <c r="S1350" s="8">
        <f>IF(COUNT(D1350:P1350)=0,"",MAX(D1350:P1350))</f>
        <v/>
      </c>
      <c r="T1350" s="9">
        <f>IF(OR(Q1350="",Q1350=0),"",(S1350-Q1350)/Q1350)</f>
        <v/>
      </c>
      <c r="U1350" s="7">
        <f>IF(COUNT(D1350:P1350)=0,"",INDEX($D$1:$P$1,MATCH(MIN(D1350:P1350),D1350:P1350,0)))</f>
        <v/>
      </c>
      <c r="V1350" s="8" t="n">
        <v>5847.29</v>
      </c>
      <c r="W1350" s="10" t="n">
        <v>1</v>
      </c>
    </row>
    <row r="1351">
      <c r="A1351" s="7" t="inlineStr">
        <is>
          <t>MAT-31-012</t>
        </is>
      </c>
      <c r="B1351" s="4" t="inlineStr">
        <is>
          <t>Kit de intercomunicador 4 apartamentos con video</t>
        </is>
      </c>
      <c r="C1351" s="7" t="inlineStr">
        <is>
          <t>juego</t>
        </is>
      </c>
      <c r="D1351" s="8" t="n">
        <v>32009.7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>
        <f>IF(COUNT(D1351:P1351)=0,"",MIN(D1351:P1351))</f>
        <v/>
      </c>
      <c r="R1351" s="8">
        <f>IF(COUNT(D1351:P1351)=0,"",MEDIAN(D1351:P1351))</f>
        <v/>
      </c>
      <c r="S1351" s="8">
        <f>IF(COUNT(D1351:P1351)=0,"",MAX(D1351:P1351))</f>
        <v/>
      </c>
      <c r="T1351" s="9">
        <f>IF(OR(Q1351="",Q1351=0),"",(S1351-Q1351)/Q1351)</f>
        <v/>
      </c>
      <c r="U1351" s="7">
        <f>IF(COUNT(D1351:P1351)=0,"",INDEX($D$1:$P$1,MATCH(MIN(D1351:P1351),D1351:P1351,0)))</f>
        <v/>
      </c>
      <c r="V1351" s="8" t="n">
        <v>32009.7</v>
      </c>
      <c r="W1351" s="10" t="n">
        <v>1</v>
      </c>
    </row>
    <row r="1352">
      <c r="A1352" s="7" t="inlineStr">
        <is>
          <t>MAT-31-013</t>
        </is>
      </c>
      <c r="B1352" s="4" t="inlineStr">
        <is>
          <t>Kit de intercomunicador 6 apartamentos con video</t>
        </is>
      </c>
      <c r="C1352" s="7" t="inlineStr">
        <is>
          <t>juego</t>
        </is>
      </c>
      <c r="D1352" s="8" t="n">
        <v>41504.58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>
        <f>IF(COUNT(D1352:P1352)=0,"",MIN(D1352:P1352))</f>
        <v/>
      </c>
      <c r="R1352" s="8">
        <f>IF(COUNT(D1352:P1352)=0,"",MEDIAN(D1352:P1352))</f>
        <v/>
      </c>
      <c r="S1352" s="8">
        <f>IF(COUNT(D1352:P1352)=0,"",MAX(D1352:P1352))</f>
        <v/>
      </c>
      <c r="T1352" s="9">
        <f>IF(OR(Q1352="",Q1352=0),"",(S1352-Q1352)/Q1352)</f>
        <v/>
      </c>
      <c r="U1352" s="7">
        <f>IF(COUNT(D1352:P1352)=0,"",INDEX($D$1:$P$1,MATCH(MIN(D1352:P1352),D1352:P1352,0)))</f>
        <v/>
      </c>
      <c r="V1352" s="8" t="n">
        <v>41504.58</v>
      </c>
      <c r="W1352" s="10" t="n">
        <v>1</v>
      </c>
    </row>
    <row r="1353">
      <c r="A1353" s="7" t="inlineStr">
        <is>
          <t>MAT-31-014</t>
        </is>
      </c>
      <c r="B1353" s="4" t="inlineStr">
        <is>
          <t>Kit de intercomunicador 8 apartamentos solo audio</t>
        </is>
      </c>
      <c r="C1353" s="7" t="inlineStr">
        <is>
          <t>juego</t>
        </is>
      </c>
      <c r="D1353" s="8" t="n">
        <v>16951.2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>
        <f>IF(COUNT(D1353:P1353)=0,"",MIN(D1353:P1353))</f>
        <v/>
      </c>
      <c r="R1353" s="8">
        <f>IF(COUNT(D1353:P1353)=0,"",MEDIAN(D1353:P1353))</f>
        <v/>
      </c>
      <c r="S1353" s="8">
        <f>IF(COUNT(D1353:P1353)=0,"",MAX(D1353:P1353))</f>
        <v/>
      </c>
      <c r="T1353" s="9">
        <f>IF(OR(Q1353="",Q1353=0),"",(S1353-Q1353)/Q1353)</f>
        <v/>
      </c>
      <c r="U1353" s="7">
        <f>IF(COUNT(D1353:P1353)=0,"",INDEX($D$1:$P$1,MATCH(MIN(D1353:P1353),D1353:P1353,0)))</f>
        <v/>
      </c>
      <c r="V1353" s="8" t="n">
        <v>16951.2</v>
      </c>
      <c r="W1353" s="10" t="n">
        <v>1</v>
      </c>
    </row>
    <row r="1354">
      <c r="A1354" s="7" t="inlineStr">
        <is>
          <t>MAT-31-015</t>
        </is>
      </c>
      <c r="B1354" s="4" t="inlineStr">
        <is>
          <t>Kit de intercomunicador 8 apartamentos con video</t>
        </is>
      </c>
      <c r="C1354" s="7" t="inlineStr">
        <is>
          <t>juego</t>
        </is>
      </c>
      <c r="D1354" s="8" t="n">
        <v>50715.2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>
        <f>IF(COUNT(D1354:P1354)=0,"",MIN(D1354:P1354))</f>
        <v/>
      </c>
      <c r="R1354" s="8">
        <f>IF(COUNT(D1354:P1354)=0,"",MEDIAN(D1354:P1354))</f>
        <v/>
      </c>
      <c r="S1354" s="8">
        <f>IF(COUNT(D1354:P1354)=0,"",MAX(D1354:P1354))</f>
        <v/>
      </c>
      <c r="T1354" s="9">
        <f>IF(OR(Q1354="",Q1354=0),"",(S1354-Q1354)/Q1354)</f>
        <v/>
      </c>
      <c r="U1354" s="7">
        <f>IF(COUNT(D1354:P1354)=0,"",INDEX($D$1:$P$1,MATCH(MIN(D1354:P1354),D1354:P1354,0)))</f>
        <v/>
      </c>
      <c r="V1354" s="8" t="n">
        <v>50715.2</v>
      </c>
      <c r="W1354" s="10" t="n">
        <v>1</v>
      </c>
    </row>
    <row r="1355">
      <c r="A1355" s="7" t="inlineStr">
        <is>
          <t>MAT-31-016</t>
        </is>
      </c>
      <c r="B1355" s="4" t="inlineStr">
        <is>
          <t>Kit de intercomunicador con video</t>
        </is>
      </c>
      <c r="C1355" s="7" t="inlineStr">
        <is>
          <t>juego</t>
        </is>
      </c>
      <c r="D1355" s="8" t="n">
        <v>8802.870000000001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>
        <f>IF(COUNT(D1355:P1355)=0,"",MIN(D1355:P1355))</f>
        <v/>
      </c>
      <c r="R1355" s="8">
        <f>IF(COUNT(D1355:P1355)=0,"",MEDIAN(D1355:P1355))</f>
        <v/>
      </c>
      <c r="S1355" s="8">
        <f>IF(COUNT(D1355:P1355)=0,"",MAX(D1355:P1355))</f>
        <v/>
      </c>
      <c r="T1355" s="9">
        <f>IF(OR(Q1355="",Q1355=0),"",(S1355-Q1355)/Q1355)</f>
        <v/>
      </c>
      <c r="U1355" s="7">
        <f>IF(COUNT(D1355:P1355)=0,"",INDEX($D$1:$P$1,MATCH(MIN(D1355:P1355),D1355:P1355,0)))</f>
        <v/>
      </c>
      <c r="V1355" s="8" t="n">
        <v>12858.25</v>
      </c>
      <c r="W1355" s="10" t="n">
        <v>1</v>
      </c>
    </row>
    <row r="1356">
      <c r="A1356" s="7" t="inlineStr">
        <is>
          <t>MAT-31-017</t>
        </is>
      </c>
      <c r="B1356" s="4" t="inlineStr">
        <is>
          <t>Estación de intercomunicador</t>
        </is>
      </c>
      <c r="C1356" s="7" t="inlineStr">
        <is>
          <t>unidad</t>
        </is>
      </c>
      <c r="D1356" s="8" t="n">
        <v>9200.34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>
        <f>IF(COUNT(D1356:P1356)=0,"",MIN(D1356:P1356))</f>
        <v/>
      </c>
      <c r="R1356" s="8">
        <f>IF(COUNT(D1356:P1356)=0,"",MEDIAN(D1356:P1356))</f>
        <v/>
      </c>
      <c r="S1356" s="8">
        <f>IF(COUNT(D1356:P1356)=0,"",MAX(D1356:P1356))</f>
        <v/>
      </c>
      <c r="T1356" s="9">
        <f>IF(OR(Q1356="",Q1356=0),"",(S1356-Q1356)/Q1356)</f>
        <v/>
      </c>
      <c r="U1356" s="7">
        <f>IF(COUNT(D1356:P1356)=0,"",INDEX($D$1:$P$1,MATCH(MIN(D1356:P1356),D1356:P1356,0)))</f>
        <v/>
      </c>
      <c r="V1356" s="8" t="n">
        <v>9200.34</v>
      </c>
      <c r="W1356" s="10" t="n">
        <v>1</v>
      </c>
    </row>
    <row r="1357">
      <c r="A1357" s="7" t="inlineStr">
        <is>
          <t>MAT-31-018</t>
        </is>
      </c>
      <c r="B1357" s="4" t="inlineStr">
        <is>
          <t>Estación de intercomunicador 7"</t>
        </is>
      </c>
      <c r="C1357" s="7" t="inlineStr">
        <is>
          <t>unidad</t>
        </is>
      </c>
      <c r="D1357" s="8" t="n">
        <v>14861.01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>
        <f>IF(COUNT(D1357:P1357)=0,"",MIN(D1357:P1357))</f>
        <v/>
      </c>
      <c r="R1357" s="8">
        <f>IF(COUNT(D1357:P1357)=0,"",MEDIAN(D1357:P1357))</f>
        <v/>
      </c>
      <c r="S1357" s="8">
        <f>IF(COUNT(D1357:P1357)=0,"",MAX(D1357:P1357))</f>
        <v/>
      </c>
      <c r="T1357" s="9">
        <f>IF(OR(Q1357="",Q1357=0),"",(S1357-Q1357)/Q1357)</f>
        <v/>
      </c>
      <c r="U1357" s="7">
        <f>IF(COUNT(D1357:P1357)=0,"",INDEX($D$1:$P$1,MATCH(MIN(D1357:P1357),D1357:P1357,0)))</f>
        <v/>
      </c>
      <c r="V1357" s="8" t="n">
        <v>14861.01</v>
      </c>
      <c r="W1357" s="10" t="n">
        <v>1</v>
      </c>
    </row>
    <row r="1358">
      <c r="A1358" s="7" t="inlineStr">
        <is>
          <t>MAT-31-019</t>
        </is>
      </c>
      <c r="B1358" s="4" t="inlineStr">
        <is>
          <t>Accesorio de intercomunicador</t>
        </is>
      </c>
      <c r="C1358" s="7" t="inlineStr">
        <is>
          <t>unidad</t>
        </is>
      </c>
      <c r="D1358" s="8" t="n">
        <v>305.08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>
        <f>IF(COUNT(D1358:P1358)=0,"",MIN(D1358:P1358))</f>
        <v/>
      </c>
      <c r="R1358" s="8">
        <f>IF(COUNT(D1358:P1358)=0,"",MEDIAN(D1358:P1358))</f>
        <v/>
      </c>
      <c r="S1358" s="8">
        <f>IF(COUNT(D1358:P1358)=0,"",MAX(D1358:P1358))</f>
        <v/>
      </c>
      <c r="T1358" s="9">
        <f>IF(OR(Q1358="",Q1358=0),"",(S1358-Q1358)/Q1358)</f>
        <v/>
      </c>
      <c r="U1358" s="7">
        <f>IF(COUNT(D1358:P1358)=0,"",INDEX($D$1:$P$1,MATCH(MIN(D1358:P1358),D1358:P1358,0)))</f>
        <v/>
      </c>
      <c r="V1358" s="8" t="n">
        <v>1765.47</v>
      </c>
      <c r="W1358" s="10" t="n">
        <v>1</v>
      </c>
    </row>
    <row r="1359">
      <c r="A1359" s="7" t="inlineStr">
        <is>
          <t>MAT-32-008</t>
        </is>
      </c>
      <c r="B1359" s="4" t="inlineStr">
        <is>
          <t>Tubo Acero Inoxidable SCH-40 1/2" x 20 pies</t>
        </is>
      </c>
      <c r="C1359" s="7" t="inlineStr">
        <is>
          <t>tubo</t>
        </is>
      </c>
      <c r="D1359" s="8" t="n"/>
      <c r="E1359" s="8" t="n">
        <v>3075</v>
      </c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>
        <f>IF(COUNT(D1359:P1359)=0,"",MIN(D1359:P1359))</f>
        <v/>
      </c>
      <c r="R1359" s="8">
        <f>IF(COUNT(D1359:P1359)=0,"",MEDIAN(D1359:P1359))</f>
        <v/>
      </c>
      <c r="S1359" s="8">
        <f>IF(COUNT(D1359:P1359)=0,"",MAX(D1359:P1359))</f>
        <v/>
      </c>
      <c r="T1359" s="9">
        <f>IF(OR(Q1359="",Q1359=0),"",(S1359-Q1359)/Q1359)</f>
        <v/>
      </c>
      <c r="U1359" s="7">
        <f>IF(COUNT(D1359:P1359)=0,"",INDEX($D$1:$P$1,MATCH(MIN(D1359:P1359),D1359:P1359,0)))</f>
        <v/>
      </c>
      <c r="V1359" s="8" t="n">
        <v>3075</v>
      </c>
      <c r="W1359" s="10" t="n">
        <v>1</v>
      </c>
    </row>
    <row r="1360">
      <c r="A1360" s="7" t="inlineStr">
        <is>
          <t>MAT-32-009</t>
        </is>
      </c>
      <c r="B1360" s="4" t="inlineStr">
        <is>
          <t>Tubo CPVC SDR-11 1/2" x 10 pies</t>
        </is>
      </c>
      <c r="C1360" s="7" t="inlineStr">
        <is>
          <t>tubo</t>
        </is>
      </c>
      <c r="D1360" s="8" t="n"/>
      <c r="E1360" s="8" t="n">
        <v>231</v>
      </c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>
        <f>IF(COUNT(D1360:P1360)=0,"",MIN(D1360:P1360))</f>
        <v/>
      </c>
      <c r="R1360" s="8">
        <f>IF(COUNT(D1360:P1360)=0,"",MEDIAN(D1360:P1360))</f>
        <v/>
      </c>
      <c r="S1360" s="8">
        <f>IF(COUNT(D1360:P1360)=0,"",MAX(D1360:P1360))</f>
        <v/>
      </c>
      <c r="T1360" s="9">
        <f>IF(OR(Q1360="",Q1360=0),"",(S1360-Q1360)/Q1360)</f>
        <v/>
      </c>
      <c r="U1360" s="7">
        <f>IF(COUNT(D1360:P1360)=0,"",INDEX($D$1:$P$1,MATCH(MIN(D1360:P1360),D1360:P1360,0)))</f>
        <v/>
      </c>
      <c r="V1360" s="8" t="n">
        <v>231</v>
      </c>
      <c r="W1360" s="10" t="n">
        <v>1</v>
      </c>
    </row>
    <row r="1361">
      <c r="A1361" s="7" t="inlineStr">
        <is>
          <t>MAT-32-010</t>
        </is>
      </c>
      <c r="B1361" s="4" t="inlineStr">
        <is>
          <t>Tubo CPVC SDR-11 1" x 10 pies</t>
        </is>
      </c>
      <c r="C1361" s="7" t="inlineStr">
        <is>
          <t>tubo</t>
        </is>
      </c>
      <c r="D1361" s="8" t="n"/>
      <c r="E1361" s="8" t="n">
        <v>650</v>
      </c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>
        <f>IF(COUNT(D1361:P1361)=0,"",MIN(D1361:P1361))</f>
        <v/>
      </c>
      <c r="R1361" s="8">
        <f>IF(COUNT(D1361:P1361)=0,"",MEDIAN(D1361:P1361))</f>
        <v/>
      </c>
      <c r="S1361" s="8">
        <f>IF(COUNT(D1361:P1361)=0,"",MAX(D1361:P1361))</f>
        <v/>
      </c>
      <c r="T1361" s="9">
        <f>IF(OR(Q1361="",Q1361=0),"",(S1361-Q1361)/Q1361)</f>
        <v/>
      </c>
      <c r="U1361" s="7">
        <f>IF(COUNT(D1361:P1361)=0,"",INDEX($D$1:$P$1,MATCH(MIN(D1361:P1361),D1361:P1361,0)))</f>
        <v/>
      </c>
      <c r="V1361" s="8" t="n">
        <v>650</v>
      </c>
      <c r="W1361" s="10" t="n">
        <v>1</v>
      </c>
    </row>
    <row r="1362">
      <c r="A1362" s="7" t="inlineStr">
        <is>
          <t>MAT-32-011</t>
        </is>
      </c>
      <c r="B1362" s="4" t="inlineStr">
        <is>
          <t>Tubo CPVC SDR-11 3/4" x 10 pies</t>
        </is>
      </c>
      <c r="C1362" s="7" t="inlineStr">
        <is>
          <t>tubo</t>
        </is>
      </c>
      <c r="D1362" s="8" t="n"/>
      <c r="E1362" s="8" t="n">
        <v>347</v>
      </c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>
        <f>IF(COUNT(D1362:P1362)=0,"",MIN(D1362:P1362))</f>
        <v/>
      </c>
      <c r="R1362" s="8">
        <f>IF(COUNT(D1362:P1362)=0,"",MEDIAN(D1362:P1362))</f>
        <v/>
      </c>
      <c r="S1362" s="8">
        <f>IF(COUNT(D1362:P1362)=0,"",MAX(D1362:P1362))</f>
        <v/>
      </c>
      <c r="T1362" s="9">
        <f>IF(OR(Q1362="",Q1362=0),"",(S1362-Q1362)/Q1362)</f>
        <v/>
      </c>
      <c r="U1362" s="7">
        <f>IF(COUNT(D1362:P1362)=0,"",INDEX($D$1:$P$1,MATCH(MIN(D1362:P1362),D1362:P1362,0)))</f>
        <v/>
      </c>
      <c r="V1362" s="8" t="n">
        <v>347</v>
      </c>
      <c r="W1362" s="10" t="n">
        <v>1</v>
      </c>
    </row>
    <row r="1363">
      <c r="A1363" s="7" t="inlineStr">
        <is>
          <t>MAT-32-012</t>
        </is>
      </c>
      <c r="B1363" s="4" t="inlineStr">
        <is>
          <t>Tubo PVC DRENAJE 2" x 19 pies</t>
        </is>
      </c>
      <c r="C1363" s="7" t="inlineStr">
        <is>
          <t>tubo</t>
        </is>
      </c>
      <c r="D1363" s="8" t="n"/>
      <c r="E1363" s="8" t="n">
        <v>267</v>
      </c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>
        <f>IF(COUNT(D1363:P1363)=0,"",MIN(D1363:P1363))</f>
        <v/>
      </c>
      <c r="R1363" s="8">
        <f>IF(COUNT(D1363:P1363)=0,"",MEDIAN(D1363:P1363))</f>
        <v/>
      </c>
      <c r="S1363" s="8">
        <f>IF(COUNT(D1363:P1363)=0,"",MAX(D1363:P1363))</f>
        <v/>
      </c>
      <c r="T1363" s="9">
        <f>IF(OR(Q1363="",Q1363=0),"",(S1363-Q1363)/Q1363)</f>
        <v/>
      </c>
      <c r="U1363" s="7">
        <f>IF(COUNT(D1363:P1363)=0,"",INDEX($D$1:$P$1,MATCH(MIN(D1363:P1363),D1363:P1363,0)))</f>
        <v/>
      </c>
      <c r="V1363" s="8" t="n">
        <v>498</v>
      </c>
      <c r="W1363" s="10" t="n">
        <v>1</v>
      </c>
    </row>
    <row r="1364">
      <c r="A1364" s="7" t="inlineStr">
        <is>
          <t>MAT-32-013</t>
        </is>
      </c>
      <c r="B1364" s="4" t="inlineStr">
        <is>
          <t>Tubo PVC DRENAJE 3" x 19 pies</t>
        </is>
      </c>
      <c r="C1364" s="7" t="inlineStr">
        <is>
          <t>tubo</t>
        </is>
      </c>
      <c r="D1364" s="8" t="n"/>
      <c r="E1364" s="8" t="n">
        <v>784.26</v>
      </c>
      <c r="F1364" s="8" t="n"/>
      <c r="G1364" s="8" t="n">
        <v>967</v>
      </c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>
        <f>IF(COUNT(D1364:P1364)=0,"",MIN(D1364:P1364))</f>
        <v/>
      </c>
      <c r="R1364" s="8">
        <f>IF(COUNT(D1364:P1364)=0,"",MEDIAN(D1364:P1364))</f>
        <v/>
      </c>
      <c r="S1364" s="8">
        <f>IF(COUNT(D1364:P1364)=0,"",MAX(D1364:P1364))</f>
        <v/>
      </c>
      <c r="T1364" s="9">
        <f>IF(OR(Q1364="",Q1364=0),"",(S1364-Q1364)/Q1364)</f>
        <v/>
      </c>
      <c r="U1364" s="7">
        <f>IF(COUNT(D1364:P1364)=0,"",INDEX($D$1:$P$1,MATCH(MIN(D1364:P1364),D1364:P1364,0)))</f>
        <v/>
      </c>
      <c r="V1364" s="8" t="n">
        <v>875.63</v>
      </c>
      <c r="W1364" s="10" t="n">
        <v>2</v>
      </c>
    </row>
    <row r="1365">
      <c r="A1365" s="7" t="inlineStr">
        <is>
          <t>MAT-32-014</t>
        </is>
      </c>
      <c r="B1365" s="4" t="inlineStr">
        <is>
          <t>Tubo PVC DRENAJE 4" x 19 pies</t>
        </is>
      </c>
      <c r="C1365" s="7" t="inlineStr">
        <is>
          <t>tubo</t>
        </is>
      </c>
      <c r="D1365" s="8" t="n"/>
      <c r="E1365" s="8" t="n">
        <v>1041</v>
      </c>
      <c r="F1365" s="8" t="n"/>
      <c r="G1365" s="8" t="n">
        <v>1001</v>
      </c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>
        <f>IF(COUNT(D1365:P1365)=0,"",MIN(D1365:P1365))</f>
        <v/>
      </c>
      <c r="R1365" s="8">
        <f>IF(COUNT(D1365:P1365)=0,"",MEDIAN(D1365:P1365))</f>
        <v/>
      </c>
      <c r="S1365" s="8">
        <f>IF(COUNT(D1365:P1365)=0,"",MAX(D1365:P1365))</f>
        <v/>
      </c>
      <c r="T1365" s="9">
        <f>IF(OR(Q1365="",Q1365=0),"",(S1365-Q1365)/Q1365)</f>
        <v/>
      </c>
      <c r="U1365" s="7">
        <f>IF(COUNT(D1365:P1365)=0,"",INDEX($D$1:$P$1,MATCH(MIN(D1365:P1365),D1365:P1365,0)))</f>
        <v/>
      </c>
      <c r="V1365" s="8" t="n">
        <v>1021</v>
      </c>
      <c r="W1365" s="10" t="n">
        <v>2</v>
      </c>
    </row>
    <row r="1366">
      <c r="A1366" s="7" t="inlineStr">
        <is>
          <t>MAT-32-015</t>
        </is>
      </c>
      <c r="B1366" s="4" t="inlineStr">
        <is>
          <t>Tubo PVC DRENAJE 6" x 19 pies</t>
        </is>
      </c>
      <c r="C1366" s="7" t="inlineStr">
        <is>
          <t>tubo</t>
        </is>
      </c>
      <c r="D1366" s="8" t="n"/>
      <c r="E1366" s="8" t="n">
        <v>3133.17</v>
      </c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>
        <f>IF(COUNT(D1366:P1366)=0,"",MIN(D1366:P1366))</f>
        <v/>
      </c>
      <c r="R1366" s="8">
        <f>IF(COUNT(D1366:P1366)=0,"",MEDIAN(D1366:P1366))</f>
        <v/>
      </c>
      <c r="S1366" s="8">
        <f>IF(COUNT(D1366:P1366)=0,"",MAX(D1366:P1366))</f>
        <v/>
      </c>
      <c r="T1366" s="9">
        <f>IF(OR(Q1366="",Q1366=0),"",(S1366-Q1366)/Q1366)</f>
        <v/>
      </c>
      <c r="U1366" s="7">
        <f>IF(COUNT(D1366:P1366)=0,"",INDEX($D$1:$P$1,MATCH(MIN(D1366:P1366),D1366:P1366,0)))</f>
        <v/>
      </c>
      <c r="V1366" s="8" t="n">
        <v>3133.17</v>
      </c>
      <c r="W1366" s="10" t="n">
        <v>1</v>
      </c>
    </row>
    <row r="1367">
      <c r="A1367" s="7" t="inlineStr">
        <is>
          <t>MAT-32-016</t>
        </is>
      </c>
      <c r="B1367" s="4" t="inlineStr">
        <is>
          <t>Tubo PVC DRENAJE 8" x 19 pies</t>
        </is>
      </c>
      <c r="C1367" s="7" t="inlineStr">
        <is>
          <t>tubo</t>
        </is>
      </c>
      <c r="D1367" s="8" t="n"/>
      <c r="E1367" s="8" t="n">
        <v>5301.3</v>
      </c>
      <c r="F1367" s="8" t="n"/>
      <c r="G1367" s="8" t="n"/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>
        <f>IF(COUNT(D1367:P1367)=0,"",MIN(D1367:P1367))</f>
        <v/>
      </c>
      <c r="R1367" s="8">
        <f>IF(COUNT(D1367:P1367)=0,"",MEDIAN(D1367:P1367))</f>
        <v/>
      </c>
      <c r="S1367" s="8">
        <f>IF(COUNT(D1367:P1367)=0,"",MAX(D1367:P1367))</f>
        <v/>
      </c>
      <c r="T1367" s="9">
        <f>IF(OR(Q1367="",Q1367=0),"",(S1367-Q1367)/Q1367)</f>
        <v/>
      </c>
      <c r="U1367" s="7">
        <f>IF(COUNT(D1367:P1367)=0,"",INDEX($D$1:$P$1,MATCH(MIN(D1367:P1367),D1367:P1367,0)))</f>
        <v/>
      </c>
      <c r="V1367" s="8" t="n">
        <v>5301.3</v>
      </c>
      <c r="W1367" s="10" t="n">
        <v>1</v>
      </c>
    </row>
    <row r="1368">
      <c r="A1368" s="7" t="inlineStr">
        <is>
          <t>MAT-32-017</t>
        </is>
      </c>
      <c r="B1368" s="4" t="inlineStr">
        <is>
          <t>Tubo PVC SCH-40 1 1/2" x 19 pies</t>
        </is>
      </c>
      <c r="C1368" s="7" t="inlineStr">
        <is>
          <t>tubo</t>
        </is>
      </c>
      <c r="D1368" s="8" t="n"/>
      <c r="E1368" s="8" t="n"/>
      <c r="F1368" s="8" t="n"/>
      <c r="G1368" s="8" t="n">
        <v>944</v>
      </c>
      <c r="H1368" s="8" t="n"/>
      <c r="I1368" s="8" t="n"/>
      <c r="J1368" s="8" t="n"/>
      <c r="K1368" s="8" t="n"/>
      <c r="L1368" s="8" t="n">
        <v>535</v>
      </c>
      <c r="M1368" s="8" t="n">
        <v>898</v>
      </c>
      <c r="N1368" s="8" t="n"/>
      <c r="O1368" s="8" t="n"/>
      <c r="P1368" s="8" t="n"/>
      <c r="Q1368" s="8">
        <f>IF(COUNT(D1368:P1368)=0,"",MIN(D1368:P1368))</f>
        <v/>
      </c>
      <c r="R1368" s="8">
        <f>IF(COUNT(D1368:P1368)=0,"",MEDIAN(D1368:P1368))</f>
        <v/>
      </c>
      <c r="S1368" s="8">
        <f>IF(COUNT(D1368:P1368)=0,"",MAX(D1368:P1368))</f>
        <v/>
      </c>
      <c r="T1368" s="9">
        <f>IF(OR(Q1368="",Q1368=0),"",(S1368-Q1368)/Q1368)</f>
        <v/>
      </c>
      <c r="U1368" s="7">
        <f>IF(COUNT(D1368:P1368)=0,"",INDEX($D$1:$P$1,MATCH(MIN(D1368:P1368),D1368:P1368,0)))</f>
        <v/>
      </c>
      <c r="V1368" s="8" t="n">
        <v>944</v>
      </c>
      <c r="W1368" s="10" t="n">
        <v>3</v>
      </c>
    </row>
    <row r="1369">
      <c r="A1369" s="7" t="inlineStr">
        <is>
          <t>MAT-32-018</t>
        </is>
      </c>
      <c r="B1369" s="4" t="inlineStr">
        <is>
          <t>Tubo PVC SCH-40 1/2" x 19 pies</t>
        </is>
      </c>
      <c r="C1369" s="7" t="inlineStr">
        <is>
          <t>tubo</t>
        </is>
      </c>
      <c r="D1369" s="8" t="n"/>
      <c r="E1369" s="8" t="n">
        <v>275</v>
      </c>
      <c r="F1369" s="8" t="n"/>
      <c r="G1369" s="8" t="n"/>
      <c r="H1369" s="8" t="n"/>
      <c r="I1369" s="8" t="n"/>
      <c r="J1369" s="8" t="n"/>
      <c r="K1369" s="8" t="n"/>
      <c r="L1369" s="8" t="n"/>
      <c r="M1369" s="8" t="n">
        <v>253.2</v>
      </c>
      <c r="N1369" s="8" t="n"/>
      <c r="O1369" s="8" t="n"/>
      <c r="P1369" s="8" t="n"/>
      <c r="Q1369" s="8">
        <f>IF(COUNT(D1369:P1369)=0,"",MIN(D1369:P1369))</f>
        <v/>
      </c>
      <c r="R1369" s="8">
        <f>IF(COUNT(D1369:P1369)=0,"",MEDIAN(D1369:P1369))</f>
        <v/>
      </c>
      <c r="S1369" s="8">
        <f>IF(COUNT(D1369:P1369)=0,"",MAX(D1369:P1369))</f>
        <v/>
      </c>
      <c r="T1369" s="9">
        <f>IF(OR(Q1369="",Q1369=0),"",(S1369-Q1369)/Q1369)</f>
        <v/>
      </c>
      <c r="U1369" s="7">
        <f>IF(COUNT(D1369:P1369)=0,"",INDEX($D$1:$P$1,MATCH(MIN(D1369:P1369),D1369:P1369,0)))</f>
        <v/>
      </c>
      <c r="V1369" s="8" t="n">
        <v>298.78</v>
      </c>
      <c r="W1369" s="10" t="n">
        <v>2</v>
      </c>
    </row>
    <row r="1370">
      <c r="A1370" s="7" t="inlineStr">
        <is>
          <t>MAT-32-019</t>
        </is>
      </c>
      <c r="B1370" s="4" t="inlineStr">
        <is>
          <t>Tubo PVC SCH-40 1" x 19 pies</t>
        </is>
      </c>
      <c r="C1370" s="7" t="inlineStr">
        <is>
          <t>tubo</t>
        </is>
      </c>
      <c r="D1370" s="8" t="n"/>
      <c r="E1370" s="8" t="n">
        <v>623</v>
      </c>
      <c r="F1370" s="8" t="n"/>
      <c r="G1370" s="8" t="n">
        <v>570</v>
      </c>
      <c r="H1370" s="8" t="n"/>
      <c r="I1370" s="8" t="n"/>
      <c r="J1370" s="8" t="n"/>
      <c r="K1370" s="8" t="n"/>
      <c r="L1370" s="8" t="n">
        <v>315</v>
      </c>
      <c r="M1370" s="8" t="n">
        <v>531.4</v>
      </c>
      <c r="N1370" s="8" t="n"/>
      <c r="O1370" s="8" t="n"/>
      <c r="P1370" s="8" t="n"/>
      <c r="Q1370" s="8">
        <f>IF(COUNT(D1370:P1370)=0,"",MIN(D1370:P1370))</f>
        <v/>
      </c>
      <c r="R1370" s="8">
        <f>IF(COUNT(D1370:P1370)=0,"",MEDIAN(D1370:P1370))</f>
        <v/>
      </c>
      <c r="S1370" s="8">
        <f>IF(COUNT(D1370:P1370)=0,"",MAX(D1370:P1370))</f>
        <v/>
      </c>
      <c r="T1370" s="9">
        <f>IF(OR(Q1370="",Q1370=0),"",(S1370-Q1370)/Q1370)</f>
        <v/>
      </c>
      <c r="U1370" s="7">
        <f>IF(COUNT(D1370:P1370)=0,"",INDEX($D$1:$P$1,MATCH(MIN(D1370:P1370),D1370:P1370,0)))</f>
        <v/>
      </c>
      <c r="V1370" s="8" t="n">
        <v>596.5</v>
      </c>
      <c r="W1370" s="10" t="n">
        <v>4</v>
      </c>
    </row>
    <row r="1371">
      <c r="A1371" s="7" t="inlineStr">
        <is>
          <t>MAT-32-020</t>
        </is>
      </c>
      <c r="B1371" s="4" t="inlineStr">
        <is>
          <t>Tubo PVC SCH-40 2" x 19 pies</t>
        </is>
      </c>
      <c r="C1371" s="7" t="inlineStr">
        <is>
          <t>tubo</t>
        </is>
      </c>
      <c r="D1371" s="8" t="n"/>
      <c r="E1371" s="8" t="n">
        <v>1416</v>
      </c>
      <c r="F1371" s="8" t="n"/>
      <c r="G1371" s="8" t="n"/>
      <c r="H1371" s="8" t="n"/>
      <c r="I1371" s="8" t="n"/>
      <c r="J1371" s="8" t="n"/>
      <c r="K1371" s="8" t="n"/>
      <c r="L1371" s="8" t="n">
        <v>745</v>
      </c>
      <c r="M1371" s="8" t="n">
        <v>1207.6</v>
      </c>
      <c r="N1371" s="8" t="n"/>
      <c r="O1371" s="8" t="n"/>
      <c r="P1371" s="8" t="n"/>
      <c r="Q1371" s="8">
        <f>IF(COUNT(D1371:P1371)=0,"",MIN(D1371:P1371))</f>
        <v/>
      </c>
      <c r="R1371" s="8">
        <f>IF(COUNT(D1371:P1371)=0,"",MEDIAN(D1371:P1371))</f>
        <v/>
      </c>
      <c r="S1371" s="8">
        <f>IF(COUNT(D1371:P1371)=0,"",MAX(D1371:P1371))</f>
        <v/>
      </c>
      <c r="T1371" s="9">
        <f>IF(OR(Q1371="",Q1371=0),"",(S1371-Q1371)/Q1371)</f>
        <v/>
      </c>
      <c r="U1371" s="7">
        <f>IF(COUNT(D1371:P1371)=0,"",INDEX($D$1:$P$1,MATCH(MIN(D1371:P1371),D1371:P1371,0)))</f>
        <v/>
      </c>
      <c r="V1371" s="8" t="n">
        <v>1416</v>
      </c>
      <c r="W1371" s="10" t="n">
        <v>3</v>
      </c>
    </row>
    <row r="1372">
      <c r="A1372" s="7" t="inlineStr">
        <is>
          <t>MAT-32-021</t>
        </is>
      </c>
      <c r="B1372" s="4" t="inlineStr">
        <is>
          <t>Tubo PVC SCH-40 2" x 9.5 pies</t>
        </is>
      </c>
      <c r="C1372" s="7" t="inlineStr">
        <is>
          <t>tubo</t>
        </is>
      </c>
      <c r="D1372" s="8" t="n"/>
      <c r="E1372" s="8" t="n">
        <v>698</v>
      </c>
      <c r="F1372" s="8" t="n"/>
      <c r="G1372" s="8" t="n"/>
      <c r="H1372" s="8" t="n"/>
      <c r="I1372" s="8" t="n"/>
      <c r="J1372" s="8" t="n"/>
      <c r="K1372" s="8" t="n"/>
      <c r="L1372" s="8" t="n"/>
      <c r="M1372" s="8" t="n"/>
      <c r="N1372" s="8" t="n"/>
      <c r="O1372" s="8" t="n"/>
      <c r="P1372" s="8" t="n"/>
      <c r="Q1372" s="8">
        <f>IF(COUNT(D1372:P1372)=0,"",MIN(D1372:P1372))</f>
        <v/>
      </c>
      <c r="R1372" s="8">
        <f>IF(COUNT(D1372:P1372)=0,"",MEDIAN(D1372:P1372))</f>
        <v/>
      </c>
      <c r="S1372" s="8">
        <f>IF(COUNT(D1372:P1372)=0,"",MAX(D1372:P1372))</f>
        <v/>
      </c>
      <c r="T1372" s="9">
        <f>IF(OR(Q1372="",Q1372=0),"",(S1372-Q1372)/Q1372)</f>
        <v/>
      </c>
      <c r="U1372" s="7">
        <f>IF(COUNT(D1372:P1372)=0,"",INDEX($D$1:$P$1,MATCH(MIN(D1372:P1372),D1372:P1372,0)))</f>
        <v/>
      </c>
      <c r="V1372" s="8" t="n">
        <v>698</v>
      </c>
      <c r="W1372" s="10" t="n">
        <v>1</v>
      </c>
    </row>
    <row r="1373">
      <c r="A1373" s="7" t="inlineStr">
        <is>
          <t>MAT-32-022</t>
        </is>
      </c>
      <c r="B1373" s="4" t="inlineStr">
        <is>
          <t>Tubo PVC SCH-40 3/4" x 19 pies</t>
        </is>
      </c>
      <c r="C1373" s="7" t="inlineStr">
        <is>
          <t>tubo</t>
        </is>
      </c>
      <c r="D1373" s="8" t="n"/>
      <c r="E1373" s="8" t="n">
        <v>217</v>
      </c>
      <c r="F1373" s="8" t="n"/>
      <c r="G1373" s="8" t="n">
        <v>388</v>
      </c>
      <c r="H1373" s="8" t="n"/>
      <c r="I1373" s="8" t="n"/>
      <c r="J1373" s="8" t="n"/>
      <c r="K1373" s="8" t="n"/>
      <c r="L1373" s="8" t="n">
        <v>235</v>
      </c>
      <c r="M1373" s="8" t="n">
        <v>358.9</v>
      </c>
      <c r="N1373" s="8" t="n"/>
      <c r="O1373" s="8" t="n"/>
      <c r="P1373" s="8" t="n"/>
      <c r="Q1373" s="8">
        <f>IF(COUNT(D1373:P1373)=0,"",MIN(D1373:P1373))</f>
        <v/>
      </c>
      <c r="R1373" s="8">
        <f>IF(COUNT(D1373:P1373)=0,"",MEDIAN(D1373:P1373))</f>
        <v/>
      </c>
      <c r="S1373" s="8">
        <f>IF(COUNT(D1373:P1373)=0,"",MAX(D1373:P1373))</f>
        <v/>
      </c>
      <c r="T1373" s="9">
        <f>IF(OR(Q1373="",Q1373=0),"",(S1373-Q1373)/Q1373)</f>
        <v/>
      </c>
      <c r="U1373" s="7">
        <f>IF(COUNT(D1373:P1373)=0,"",INDEX($D$1:$P$1,MATCH(MIN(D1373:P1373),D1373:P1373,0)))</f>
        <v/>
      </c>
      <c r="V1373" s="8" t="n">
        <v>388</v>
      </c>
      <c r="W1373" s="10" t="n">
        <v>4</v>
      </c>
    </row>
    <row r="1374">
      <c r="A1374" s="7" t="inlineStr">
        <is>
          <t>MAT-32-023</t>
        </is>
      </c>
      <c r="B1374" s="4" t="inlineStr">
        <is>
          <t>Tubo PVC SCH-40 3/4" x 9.5 pies</t>
        </is>
      </c>
      <c r="C1374" s="7" t="inlineStr">
        <is>
          <t>tubo</t>
        </is>
      </c>
      <c r="D1374" s="8" t="n"/>
      <c r="E1374" s="8" t="n">
        <v>154</v>
      </c>
      <c r="F1374" s="8" t="n"/>
      <c r="G1374" s="8" t="n"/>
      <c r="H1374" s="8" t="n"/>
      <c r="I1374" s="8" t="n"/>
      <c r="J1374" s="8" t="n"/>
      <c r="K1374" s="8" t="n"/>
      <c r="L1374" s="8" t="n"/>
      <c r="M1374" s="8" t="n"/>
      <c r="N1374" s="8" t="n"/>
      <c r="O1374" s="8" t="n"/>
      <c r="P1374" s="8" t="n"/>
      <c r="Q1374" s="8">
        <f>IF(COUNT(D1374:P1374)=0,"",MIN(D1374:P1374))</f>
        <v/>
      </c>
      <c r="R1374" s="8">
        <f>IF(COUNT(D1374:P1374)=0,"",MEDIAN(D1374:P1374))</f>
        <v/>
      </c>
      <c r="S1374" s="8">
        <f>IF(COUNT(D1374:P1374)=0,"",MAX(D1374:P1374))</f>
        <v/>
      </c>
      <c r="T1374" s="9">
        <f>IF(OR(Q1374="",Q1374=0),"",(S1374-Q1374)/Q1374)</f>
        <v/>
      </c>
      <c r="U1374" s="7">
        <f>IF(COUNT(D1374:P1374)=0,"",INDEX($D$1:$P$1,MATCH(MIN(D1374:P1374),D1374:P1374,0)))</f>
        <v/>
      </c>
      <c r="V1374" s="8" t="n">
        <v>154</v>
      </c>
      <c r="W1374" s="10" t="n">
        <v>1</v>
      </c>
    </row>
    <row r="1375">
      <c r="A1375" s="7" t="inlineStr">
        <is>
          <t>MAT-32-024</t>
        </is>
      </c>
      <c r="B1375" s="4" t="inlineStr">
        <is>
          <t>Tubo PVC SCH-40 3" x 19 pies</t>
        </is>
      </c>
      <c r="C1375" s="7" t="inlineStr">
        <is>
          <t>tubo</t>
        </is>
      </c>
      <c r="D1375" s="8" t="n"/>
      <c r="E1375" s="8" t="n">
        <v>2832</v>
      </c>
      <c r="F1375" s="8" t="n"/>
      <c r="G1375" s="8" t="n"/>
      <c r="H1375" s="8" t="n"/>
      <c r="I1375" s="8" t="n"/>
      <c r="J1375" s="8" t="n"/>
      <c r="K1375" s="8" t="n"/>
      <c r="L1375" s="8" t="n"/>
      <c r="M1375" s="8" t="n">
        <v>2507.1</v>
      </c>
      <c r="N1375" s="8" t="n"/>
      <c r="O1375" s="8" t="n"/>
      <c r="P1375" s="8" t="n"/>
      <c r="Q1375" s="8">
        <f>IF(COUNT(D1375:P1375)=0,"",MIN(D1375:P1375))</f>
        <v/>
      </c>
      <c r="R1375" s="8">
        <f>IF(COUNT(D1375:P1375)=0,"",MEDIAN(D1375:P1375))</f>
        <v/>
      </c>
      <c r="S1375" s="8">
        <f>IF(COUNT(D1375:P1375)=0,"",MAX(D1375:P1375))</f>
        <v/>
      </c>
      <c r="T1375" s="9">
        <f>IF(OR(Q1375="",Q1375=0),"",(S1375-Q1375)/Q1375)</f>
        <v/>
      </c>
      <c r="U1375" s="7">
        <f>IF(COUNT(D1375:P1375)=0,"",INDEX($D$1:$P$1,MATCH(MIN(D1375:P1375),D1375:P1375,0)))</f>
        <v/>
      </c>
      <c r="V1375" s="8" t="n">
        <v>2895.19</v>
      </c>
      <c r="W1375" s="10" t="n">
        <v>2</v>
      </c>
    </row>
    <row r="1376">
      <c r="A1376" s="7" t="inlineStr">
        <is>
          <t>MAT-32-025</t>
        </is>
      </c>
      <c r="B1376" s="4" t="inlineStr">
        <is>
          <t>Tubo PVC SCH-40 4" x 19 pies</t>
        </is>
      </c>
      <c r="C1376" s="7" t="inlineStr">
        <is>
          <t>tubo</t>
        </is>
      </c>
      <c r="D1376" s="8" t="n"/>
      <c r="E1376" s="8" t="n">
        <v>4020.28</v>
      </c>
      <c r="F1376" s="8" t="n"/>
      <c r="G1376" s="8" t="n"/>
      <c r="H1376" s="8" t="n"/>
      <c r="I1376" s="8" t="n"/>
      <c r="J1376" s="8" t="n"/>
      <c r="K1376" s="8" t="n"/>
      <c r="L1376" s="8" t="n"/>
      <c r="M1376" s="8" t="n">
        <v>3571.1</v>
      </c>
      <c r="N1376" s="8" t="n"/>
      <c r="O1376" s="8" t="n"/>
      <c r="P1376" s="8" t="n"/>
      <c r="Q1376" s="8">
        <f>IF(COUNT(D1376:P1376)=0,"",MIN(D1376:P1376))</f>
        <v/>
      </c>
      <c r="R1376" s="8">
        <f>IF(COUNT(D1376:P1376)=0,"",MEDIAN(D1376:P1376))</f>
        <v/>
      </c>
      <c r="S1376" s="8">
        <f>IF(COUNT(D1376:P1376)=0,"",MAX(D1376:P1376))</f>
        <v/>
      </c>
      <c r="T1376" s="9">
        <f>IF(OR(Q1376="",Q1376=0),"",(S1376-Q1376)/Q1376)</f>
        <v/>
      </c>
      <c r="U1376" s="7">
        <f>IF(COUNT(D1376:P1376)=0,"",INDEX($D$1:$P$1,MATCH(MIN(D1376:P1376),D1376:P1376,0)))</f>
        <v/>
      </c>
      <c r="V1376" s="8" t="n">
        <v>4117.09</v>
      </c>
      <c r="W1376" s="10" t="n">
        <v>2</v>
      </c>
    </row>
    <row r="1377">
      <c r="A1377" s="7" t="inlineStr">
        <is>
          <t>MAT-32-026</t>
        </is>
      </c>
      <c r="B1377" s="4" t="inlineStr">
        <is>
          <t>Tubo PVC SCH-40 6" x 19 pies</t>
        </is>
      </c>
      <c r="C1377" s="7" t="inlineStr">
        <is>
          <t>tubo</t>
        </is>
      </c>
      <c r="D1377" s="8" t="n"/>
      <c r="E1377" s="8" t="n">
        <v>7865</v>
      </c>
      <c r="F1377" s="8" t="n"/>
      <c r="G1377" s="8" t="n"/>
      <c r="H1377" s="8" t="n"/>
      <c r="I1377" s="8" t="n"/>
      <c r="J1377" s="8" t="n"/>
      <c r="K1377" s="8" t="n"/>
      <c r="L1377" s="8" t="n"/>
      <c r="M1377" s="8" t="n">
        <v>6907.8</v>
      </c>
      <c r="N1377" s="8" t="n"/>
      <c r="O1377" s="8" t="n"/>
      <c r="P1377" s="8" t="n"/>
      <c r="Q1377" s="8">
        <f>IF(COUNT(D1377:P1377)=0,"",MIN(D1377:P1377))</f>
        <v/>
      </c>
      <c r="R1377" s="8">
        <f>IF(COUNT(D1377:P1377)=0,"",MEDIAN(D1377:P1377))</f>
        <v/>
      </c>
      <c r="S1377" s="8">
        <f>IF(COUNT(D1377:P1377)=0,"",MAX(D1377:P1377))</f>
        <v/>
      </c>
      <c r="T1377" s="9">
        <f>IF(OR(Q1377="",Q1377=0),"",(S1377-Q1377)/Q1377)</f>
        <v/>
      </c>
      <c r="U1377" s="7">
        <f>IF(COUNT(D1377:P1377)=0,"",INDEX($D$1:$P$1,MATCH(MIN(D1377:P1377),D1377:P1377,0)))</f>
        <v/>
      </c>
      <c r="V1377" s="8" t="n">
        <v>8008.1</v>
      </c>
      <c r="W1377" s="10" t="n">
        <v>2</v>
      </c>
    </row>
    <row r="1378">
      <c r="A1378" s="7" t="inlineStr">
        <is>
          <t>MAT-32-027</t>
        </is>
      </c>
      <c r="B1378" s="4" t="inlineStr">
        <is>
          <t>Tubo PVC SCH-40 8" x 19 pies</t>
        </is>
      </c>
      <c r="C1378" s="7" t="inlineStr">
        <is>
          <t>tubo</t>
        </is>
      </c>
      <c r="D1378" s="8" t="n"/>
      <c r="E1378" s="8" t="n">
        <v>11841.41</v>
      </c>
      <c r="F1378" s="8" t="n"/>
      <c r="G1378" s="8" t="n"/>
      <c r="H1378" s="8" t="n"/>
      <c r="I1378" s="8" t="n"/>
      <c r="J1378" s="8" t="n"/>
      <c r="K1378" s="8" t="n"/>
      <c r="L1378" s="8" t="n"/>
      <c r="M1378" s="8" t="n">
        <v>10374.3</v>
      </c>
      <c r="N1378" s="8" t="n"/>
      <c r="O1378" s="8" t="n"/>
      <c r="P1378" s="8" t="n"/>
      <c r="Q1378" s="8">
        <f>IF(COUNT(D1378:P1378)=0,"",MIN(D1378:P1378))</f>
        <v/>
      </c>
      <c r="R1378" s="8">
        <f>IF(COUNT(D1378:P1378)=0,"",MEDIAN(D1378:P1378))</f>
        <v/>
      </c>
      <c r="S1378" s="8">
        <f>IF(COUNT(D1378:P1378)=0,"",MAX(D1378:P1378))</f>
        <v/>
      </c>
      <c r="T1378" s="9">
        <f>IF(OR(Q1378="",Q1378=0),"",(S1378-Q1378)/Q1378)</f>
        <v/>
      </c>
      <c r="U1378" s="7">
        <f>IF(COUNT(D1378:P1378)=0,"",INDEX($D$1:$P$1,MATCH(MIN(D1378:P1378),D1378:P1378,0)))</f>
        <v/>
      </c>
      <c r="V1378" s="8" t="n">
        <v>12041.54</v>
      </c>
      <c r="W1378" s="10" t="n">
        <v>2</v>
      </c>
    </row>
    <row r="1379">
      <c r="A1379" s="7" t="inlineStr">
        <is>
          <t>MAT-32-028</t>
        </is>
      </c>
      <c r="B1379" s="4" t="inlineStr">
        <is>
          <t>Tubo PVC SCH-80 1/2" x 19 pies</t>
        </is>
      </c>
      <c r="C1379" s="7" t="inlineStr">
        <is>
          <t>tubo</t>
        </is>
      </c>
      <c r="D1379" s="8" t="n"/>
      <c r="E1379" s="8" t="n">
        <v>465</v>
      </c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 t="n"/>
      <c r="P1379" s="8" t="n"/>
      <c r="Q1379" s="8">
        <f>IF(COUNT(D1379:P1379)=0,"",MIN(D1379:P1379))</f>
        <v/>
      </c>
      <c r="R1379" s="8">
        <f>IF(COUNT(D1379:P1379)=0,"",MEDIAN(D1379:P1379))</f>
        <v/>
      </c>
      <c r="S1379" s="8">
        <f>IF(COUNT(D1379:P1379)=0,"",MAX(D1379:P1379))</f>
        <v/>
      </c>
      <c r="T1379" s="9">
        <f>IF(OR(Q1379="",Q1379=0),"",(S1379-Q1379)/Q1379)</f>
        <v/>
      </c>
      <c r="U1379" s="7">
        <f>IF(COUNT(D1379:P1379)=0,"",INDEX($D$1:$P$1,MATCH(MIN(D1379:P1379),D1379:P1379,0)))</f>
        <v/>
      </c>
      <c r="V1379" s="8" t="n">
        <v>1098.5</v>
      </c>
      <c r="W1379" s="10" t="n">
        <v>1</v>
      </c>
    </row>
    <row r="1380">
      <c r="A1380" s="7" t="inlineStr">
        <is>
          <t>MAT-32-029</t>
        </is>
      </c>
      <c r="B1380" s="4" t="inlineStr">
        <is>
          <t>Tubo PVC SCH-80 1" x 19 pies</t>
        </is>
      </c>
      <c r="C1380" s="7" t="inlineStr">
        <is>
          <t>tubo</t>
        </is>
      </c>
      <c r="D1380" s="8" t="n"/>
      <c r="E1380" s="8" t="n">
        <v>905</v>
      </c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 t="n"/>
      <c r="P1380" s="8" t="n"/>
      <c r="Q1380" s="8">
        <f>IF(COUNT(D1380:P1380)=0,"",MIN(D1380:P1380))</f>
        <v/>
      </c>
      <c r="R1380" s="8">
        <f>IF(COUNT(D1380:P1380)=0,"",MEDIAN(D1380:P1380))</f>
        <v/>
      </c>
      <c r="S1380" s="8">
        <f>IF(COUNT(D1380:P1380)=0,"",MAX(D1380:P1380))</f>
        <v/>
      </c>
      <c r="T1380" s="9">
        <f>IF(OR(Q1380="",Q1380=0),"",(S1380-Q1380)/Q1380)</f>
        <v/>
      </c>
      <c r="U1380" s="7">
        <f>IF(COUNT(D1380:P1380)=0,"",INDEX($D$1:$P$1,MATCH(MIN(D1380:P1380),D1380:P1380,0)))</f>
        <v/>
      </c>
      <c r="V1380" s="8" t="n">
        <v>905</v>
      </c>
      <c r="W1380" s="10" t="n">
        <v>1</v>
      </c>
    </row>
    <row r="1381">
      <c r="A1381" s="7" t="inlineStr">
        <is>
          <t>MAT-32-030</t>
        </is>
      </c>
      <c r="B1381" s="4" t="inlineStr">
        <is>
          <t>Tubo PVC SCH-80 2" x 19 pies</t>
        </is>
      </c>
      <c r="C1381" s="7" t="inlineStr">
        <is>
          <t>tubo</t>
        </is>
      </c>
      <c r="D1381" s="8" t="n"/>
      <c r="E1381" s="8" t="n">
        <v>2276</v>
      </c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/>
      <c r="P1381" s="8" t="n"/>
      <c r="Q1381" s="8">
        <f>IF(COUNT(D1381:P1381)=0,"",MIN(D1381:P1381))</f>
        <v/>
      </c>
      <c r="R1381" s="8">
        <f>IF(COUNT(D1381:P1381)=0,"",MEDIAN(D1381:P1381))</f>
        <v/>
      </c>
      <c r="S1381" s="8">
        <f>IF(COUNT(D1381:P1381)=0,"",MAX(D1381:P1381))</f>
        <v/>
      </c>
      <c r="T1381" s="9">
        <f>IF(OR(Q1381="",Q1381=0),"",(S1381-Q1381)/Q1381)</f>
        <v/>
      </c>
      <c r="U1381" s="7">
        <f>IF(COUNT(D1381:P1381)=0,"",INDEX($D$1:$P$1,MATCH(MIN(D1381:P1381),D1381:P1381,0)))</f>
        <v/>
      </c>
      <c r="V1381" s="8" t="n">
        <v>2276</v>
      </c>
      <c r="W1381" s="10" t="n">
        <v>1</v>
      </c>
    </row>
    <row r="1382">
      <c r="A1382" s="7" t="inlineStr">
        <is>
          <t>MAT-32-031</t>
        </is>
      </c>
      <c r="B1382" s="4" t="inlineStr">
        <is>
          <t>Tubo PVC SCH-80 3/4" x 19 pies</t>
        </is>
      </c>
      <c r="C1382" s="7" t="inlineStr">
        <is>
          <t>tubo</t>
        </is>
      </c>
      <c r="D1382" s="8" t="n"/>
      <c r="E1382" s="8" t="n">
        <v>621</v>
      </c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>
        <f>IF(COUNT(D1382:P1382)=0,"",MIN(D1382:P1382))</f>
        <v/>
      </c>
      <c r="R1382" s="8">
        <f>IF(COUNT(D1382:P1382)=0,"",MEDIAN(D1382:P1382))</f>
        <v/>
      </c>
      <c r="S1382" s="8">
        <f>IF(COUNT(D1382:P1382)=0,"",MAX(D1382:P1382))</f>
        <v/>
      </c>
      <c r="T1382" s="9">
        <f>IF(OR(Q1382="",Q1382=0),"",(S1382-Q1382)/Q1382)</f>
        <v/>
      </c>
      <c r="U1382" s="7">
        <f>IF(COUNT(D1382:P1382)=0,"",INDEX($D$1:$P$1,MATCH(MIN(D1382:P1382),D1382:P1382,0)))</f>
        <v/>
      </c>
      <c r="V1382" s="8" t="n">
        <v>621</v>
      </c>
      <c r="W1382" s="10" t="n">
        <v>1</v>
      </c>
    </row>
    <row r="1383">
      <c r="A1383" s="7" t="inlineStr">
        <is>
          <t>MAT-32-032</t>
        </is>
      </c>
      <c r="B1383" s="4" t="inlineStr">
        <is>
          <t>Tubo PVC SCH-80 3" x 19 pies</t>
        </is>
      </c>
      <c r="C1383" s="7" t="inlineStr">
        <is>
          <t>tubo</t>
        </is>
      </c>
      <c r="D1383" s="8" t="n"/>
      <c r="E1383" s="8" t="n">
        <v>4177</v>
      </c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>
        <f>IF(COUNT(D1383:P1383)=0,"",MIN(D1383:P1383))</f>
        <v/>
      </c>
      <c r="R1383" s="8">
        <f>IF(COUNT(D1383:P1383)=0,"",MEDIAN(D1383:P1383))</f>
        <v/>
      </c>
      <c r="S1383" s="8">
        <f>IF(COUNT(D1383:P1383)=0,"",MAX(D1383:P1383))</f>
        <v/>
      </c>
      <c r="T1383" s="9">
        <f>IF(OR(Q1383="",Q1383=0),"",(S1383-Q1383)/Q1383)</f>
        <v/>
      </c>
      <c r="U1383" s="7">
        <f>IF(COUNT(D1383:P1383)=0,"",INDEX($D$1:$P$1,MATCH(MIN(D1383:P1383),D1383:P1383,0)))</f>
        <v/>
      </c>
      <c r="V1383" s="8" t="n">
        <v>4177</v>
      </c>
      <c r="W1383" s="10" t="n">
        <v>1</v>
      </c>
    </row>
    <row r="1384">
      <c r="A1384" s="7" t="inlineStr">
        <is>
          <t>MAT-32-033</t>
        </is>
      </c>
      <c r="B1384" s="4" t="inlineStr">
        <is>
          <t>Tubo PVC SDR-13.5 1/2" x 19 pies</t>
        </is>
      </c>
      <c r="C1384" s="7" t="inlineStr">
        <is>
          <t>tubo</t>
        </is>
      </c>
      <c r="D1384" s="8" t="n"/>
      <c r="E1384" s="8" t="n">
        <v>181</v>
      </c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>
        <f>IF(COUNT(D1384:P1384)=0,"",MIN(D1384:P1384))</f>
        <v/>
      </c>
      <c r="R1384" s="8">
        <f>IF(COUNT(D1384:P1384)=0,"",MEDIAN(D1384:P1384))</f>
        <v/>
      </c>
      <c r="S1384" s="8">
        <f>IF(COUNT(D1384:P1384)=0,"",MAX(D1384:P1384))</f>
        <v/>
      </c>
      <c r="T1384" s="9">
        <f>IF(OR(Q1384="",Q1384=0),"",(S1384-Q1384)/Q1384)</f>
        <v/>
      </c>
      <c r="U1384" s="7">
        <f>IF(COUNT(D1384:P1384)=0,"",INDEX($D$1:$P$1,MATCH(MIN(D1384:P1384),D1384:P1384,0)))</f>
        <v/>
      </c>
      <c r="V1384" s="8" t="n">
        <v>181</v>
      </c>
      <c r="W1384" s="10" t="n">
        <v>1</v>
      </c>
    </row>
    <row r="1385">
      <c r="A1385" s="7" t="inlineStr">
        <is>
          <t>MAT-32-034</t>
        </is>
      </c>
      <c r="B1385" s="4" t="inlineStr">
        <is>
          <t>Tubo PVC SDR-21 1" x 19 pies</t>
        </is>
      </c>
      <c r="C1385" s="7" t="inlineStr">
        <is>
          <t>tubo</t>
        </is>
      </c>
      <c r="D1385" s="8" t="n"/>
      <c r="E1385" s="8" t="n">
        <v>320</v>
      </c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>
        <f>IF(COUNT(D1385:P1385)=0,"",MIN(D1385:P1385))</f>
        <v/>
      </c>
      <c r="R1385" s="8">
        <f>IF(COUNT(D1385:P1385)=0,"",MEDIAN(D1385:P1385))</f>
        <v/>
      </c>
      <c r="S1385" s="8">
        <f>IF(COUNT(D1385:P1385)=0,"",MAX(D1385:P1385))</f>
        <v/>
      </c>
      <c r="T1385" s="9">
        <f>IF(OR(Q1385="",Q1385=0),"",(S1385-Q1385)/Q1385)</f>
        <v/>
      </c>
      <c r="U1385" s="7">
        <f>IF(COUNT(D1385:P1385)=0,"",INDEX($D$1:$P$1,MATCH(MIN(D1385:P1385),D1385:P1385,0)))</f>
        <v/>
      </c>
      <c r="V1385" s="8" t="n">
        <v>320</v>
      </c>
      <c r="W1385" s="10" t="n">
        <v>1</v>
      </c>
    </row>
    <row r="1386">
      <c r="A1386" s="7" t="inlineStr">
        <is>
          <t>MAT-32-035</t>
        </is>
      </c>
      <c r="B1386" s="4" t="inlineStr">
        <is>
          <t>Tubo PVC SDR-21 1" x 9.5 pies</t>
        </is>
      </c>
      <c r="C1386" s="7" t="inlineStr">
        <is>
          <t>tubo</t>
        </is>
      </c>
      <c r="D1386" s="8" t="n"/>
      <c r="E1386" s="8" t="n">
        <v>176</v>
      </c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>
        <f>IF(COUNT(D1386:P1386)=0,"",MIN(D1386:P1386))</f>
        <v/>
      </c>
      <c r="R1386" s="8">
        <f>IF(COUNT(D1386:P1386)=0,"",MEDIAN(D1386:P1386))</f>
        <v/>
      </c>
      <c r="S1386" s="8">
        <f>IF(COUNT(D1386:P1386)=0,"",MAX(D1386:P1386))</f>
        <v/>
      </c>
      <c r="T1386" s="9">
        <f>IF(OR(Q1386="",Q1386=0),"",(S1386-Q1386)/Q1386)</f>
        <v/>
      </c>
      <c r="U1386" s="7">
        <f>IF(COUNT(D1386:P1386)=0,"",INDEX($D$1:$P$1,MATCH(MIN(D1386:P1386),D1386:P1386,0)))</f>
        <v/>
      </c>
      <c r="V1386" s="8" t="n">
        <v>176</v>
      </c>
      <c r="W1386" s="10" t="n">
        <v>1</v>
      </c>
    </row>
    <row r="1387">
      <c r="A1387" s="7" t="inlineStr">
        <is>
          <t>MAT-32-036</t>
        </is>
      </c>
      <c r="B1387" s="4" t="inlineStr">
        <is>
          <t>Tubo PVC SDR-21 3/4" x 19 pies</t>
        </is>
      </c>
      <c r="C1387" s="7" t="inlineStr">
        <is>
          <t>tubo</t>
        </is>
      </c>
      <c r="D1387" s="8" t="n"/>
      <c r="E1387" s="8" t="n">
        <v>260</v>
      </c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>
        <f>IF(COUNT(D1387:P1387)=0,"",MIN(D1387:P1387))</f>
        <v/>
      </c>
      <c r="R1387" s="8">
        <f>IF(COUNT(D1387:P1387)=0,"",MEDIAN(D1387:P1387))</f>
        <v/>
      </c>
      <c r="S1387" s="8">
        <f>IF(COUNT(D1387:P1387)=0,"",MAX(D1387:P1387))</f>
        <v/>
      </c>
      <c r="T1387" s="9">
        <f>IF(OR(Q1387="",Q1387=0),"",(S1387-Q1387)/Q1387)</f>
        <v/>
      </c>
      <c r="U1387" s="7">
        <f>IF(COUNT(D1387:P1387)=0,"",INDEX($D$1:$P$1,MATCH(MIN(D1387:P1387),D1387:P1387,0)))</f>
        <v/>
      </c>
      <c r="V1387" s="8" t="n">
        <v>260</v>
      </c>
      <c r="W1387" s="10" t="n">
        <v>1</v>
      </c>
    </row>
    <row r="1388">
      <c r="A1388" s="7" t="inlineStr">
        <is>
          <t>MAT-32-037</t>
        </is>
      </c>
      <c r="B1388" s="4" t="inlineStr">
        <is>
          <t>Tubo PVC SDR-21 3/4" x 9.5 pies</t>
        </is>
      </c>
      <c r="C1388" s="7" t="inlineStr">
        <is>
          <t>tubo</t>
        </is>
      </c>
      <c r="D1388" s="8" t="n"/>
      <c r="E1388" s="8" t="n">
        <v>146</v>
      </c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>
        <f>IF(COUNT(D1388:P1388)=0,"",MIN(D1388:P1388))</f>
        <v/>
      </c>
      <c r="R1388" s="8">
        <f>IF(COUNT(D1388:P1388)=0,"",MEDIAN(D1388:P1388))</f>
        <v/>
      </c>
      <c r="S1388" s="8">
        <f>IF(COUNT(D1388:P1388)=0,"",MAX(D1388:P1388))</f>
        <v/>
      </c>
      <c r="T1388" s="9">
        <f>IF(OR(Q1388="",Q1388=0),"",(S1388-Q1388)/Q1388)</f>
        <v/>
      </c>
      <c r="U1388" s="7">
        <f>IF(COUNT(D1388:P1388)=0,"",INDEX($D$1:$P$1,MATCH(MIN(D1388:P1388),D1388:P1388,0)))</f>
        <v/>
      </c>
      <c r="V1388" s="8" t="n">
        <v>146</v>
      </c>
      <c r="W1388" s="10" t="n">
        <v>1</v>
      </c>
    </row>
    <row r="1389">
      <c r="A1389" s="7" t="inlineStr">
        <is>
          <t>MAT-32-038</t>
        </is>
      </c>
      <c r="B1389" s="4" t="inlineStr">
        <is>
          <t>Tubo PVC SDR-26 1 1/2" x 19 pies</t>
        </is>
      </c>
      <c r="C1389" s="7" t="inlineStr">
        <is>
          <t>tubo</t>
        </is>
      </c>
      <c r="D1389" s="8" t="n"/>
      <c r="E1389" s="8" t="n"/>
      <c r="F1389" s="8" t="n"/>
      <c r="G1389" s="8" t="n"/>
      <c r="H1389" s="8" t="n"/>
      <c r="I1389" s="8" t="n"/>
      <c r="J1389" s="8" t="n"/>
      <c r="K1389" s="8" t="n"/>
      <c r="L1389" s="8" t="n"/>
      <c r="M1389" s="8" t="n">
        <v>496.6</v>
      </c>
      <c r="N1389" s="8" t="n"/>
      <c r="O1389" s="8" t="n"/>
      <c r="P1389" s="8" t="n"/>
      <c r="Q1389" s="8">
        <f>IF(COUNT(D1389:P1389)=0,"",MIN(D1389:P1389))</f>
        <v/>
      </c>
      <c r="R1389" s="8">
        <f>IF(COUNT(D1389:P1389)=0,"",MEDIAN(D1389:P1389))</f>
        <v/>
      </c>
      <c r="S1389" s="8">
        <f>IF(COUNT(D1389:P1389)=0,"",MAX(D1389:P1389))</f>
        <v/>
      </c>
      <c r="T1389" s="9">
        <f>IF(OR(Q1389="",Q1389=0),"",(S1389-Q1389)/Q1389)</f>
        <v/>
      </c>
      <c r="U1389" s="7">
        <f>IF(COUNT(D1389:P1389)=0,"",INDEX($D$1:$P$1,MATCH(MIN(D1389:P1389),D1389:P1389,0)))</f>
        <v/>
      </c>
      <c r="V1389" s="8" t="n">
        <v>585.99</v>
      </c>
      <c r="W1389" s="10" t="n">
        <v>1</v>
      </c>
    </row>
    <row r="1390">
      <c r="A1390" s="7" t="inlineStr">
        <is>
          <t>MAT-32-039</t>
        </is>
      </c>
      <c r="B1390" s="4" t="inlineStr">
        <is>
          <t>Tubo PVC SDR-26 1/2" x 19 pies</t>
        </is>
      </c>
      <c r="C1390" s="7" t="inlineStr">
        <is>
          <t>tubo</t>
        </is>
      </c>
      <c r="D1390" s="8" t="n"/>
      <c r="E1390" s="8" t="n">
        <v>70.78</v>
      </c>
      <c r="F1390" s="8" t="n"/>
      <c r="G1390" s="8" t="n">
        <v>135</v>
      </c>
      <c r="H1390" s="8" t="n"/>
      <c r="I1390" s="8" t="n"/>
      <c r="J1390" s="8" t="n"/>
      <c r="K1390" s="8" t="n"/>
      <c r="L1390" s="8" t="n"/>
      <c r="M1390" s="8" t="n">
        <v>96.51000000000001</v>
      </c>
      <c r="N1390" s="8" t="n"/>
      <c r="O1390" s="8" t="n"/>
      <c r="P1390" s="8" t="n"/>
      <c r="Q1390" s="8">
        <f>IF(COUNT(D1390:P1390)=0,"",MIN(D1390:P1390))</f>
        <v/>
      </c>
      <c r="R1390" s="8">
        <f>IF(COUNT(D1390:P1390)=0,"",MEDIAN(D1390:P1390))</f>
        <v/>
      </c>
      <c r="S1390" s="8">
        <f>IF(COUNT(D1390:P1390)=0,"",MAX(D1390:P1390))</f>
        <v/>
      </c>
      <c r="T1390" s="9">
        <f>IF(OR(Q1390="",Q1390=0),"",(S1390-Q1390)/Q1390)</f>
        <v/>
      </c>
      <c r="U1390" s="7">
        <f>IF(COUNT(D1390:P1390)=0,"",INDEX($D$1:$P$1,MATCH(MIN(D1390:P1390),D1390:P1390,0)))</f>
        <v/>
      </c>
      <c r="V1390" s="8" t="n">
        <v>113.88</v>
      </c>
      <c r="W1390" s="10" t="n">
        <v>3</v>
      </c>
    </row>
    <row r="1391">
      <c r="A1391" s="7" t="inlineStr">
        <is>
          <t>MAT-32-040</t>
        </is>
      </c>
      <c r="B1391" s="4" t="inlineStr">
        <is>
          <t>Tubo PVC SDR-26 1/2" x 9.5 pies</t>
        </is>
      </c>
      <c r="C1391" s="7" t="inlineStr">
        <is>
          <t>tubo</t>
        </is>
      </c>
      <c r="D1391" s="8" t="n"/>
      <c r="E1391" s="8" t="n">
        <v>293</v>
      </c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>
        <f>IF(COUNT(D1391:P1391)=0,"",MIN(D1391:P1391))</f>
        <v/>
      </c>
      <c r="R1391" s="8">
        <f>IF(COUNT(D1391:P1391)=0,"",MEDIAN(D1391:P1391))</f>
        <v/>
      </c>
      <c r="S1391" s="8">
        <f>IF(COUNT(D1391:P1391)=0,"",MAX(D1391:P1391))</f>
        <v/>
      </c>
      <c r="T1391" s="9">
        <f>IF(OR(Q1391="",Q1391=0),"",(S1391-Q1391)/Q1391)</f>
        <v/>
      </c>
      <c r="U1391" s="7">
        <f>IF(COUNT(D1391:P1391)=0,"",INDEX($D$1:$P$1,MATCH(MIN(D1391:P1391),D1391:P1391,0)))</f>
        <v/>
      </c>
      <c r="V1391" s="8" t="n">
        <v>293</v>
      </c>
      <c r="W1391" s="10" t="n">
        <v>1</v>
      </c>
    </row>
    <row r="1392">
      <c r="A1392" s="7" t="inlineStr">
        <is>
          <t>MAT-32-041</t>
        </is>
      </c>
      <c r="B1392" s="4" t="inlineStr">
        <is>
          <t>Tubo PVC SDR-26 1" x 19 pies</t>
        </is>
      </c>
      <c r="C1392" s="7" t="inlineStr">
        <is>
          <t>tubo</t>
        </is>
      </c>
      <c r="D1392" s="8" t="n"/>
      <c r="E1392" s="8" t="n">
        <v>269</v>
      </c>
      <c r="F1392" s="8" t="n"/>
      <c r="G1392" s="8" t="n">
        <v>305</v>
      </c>
      <c r="H1392" s="8" t="n"/>
      <c r="I1392" s="8" t="n"/>
      <c r="J1392" s="8" t="n"/>
      <c r="K1392" s="8" t="n"/>
      <c r="L1392" s="8" t="n"/>
      <c r="M1392" s="8" t="n">
        <v>249.2</v>
      </c>
      <c r="N1392" s="8" t="n"/>
      <c r="O1392" s="8" t="n"/>
      <c r="P1392" s="8" t="n"/>
      <c r="Q1392" s="8">
        <f>IF(COUNT(D1392:P1392)=0,"",MIN(D1392:P1392))</f>
        <v/>
      </c>
      <c r="R1392" s="8">
        <f>IF(COUNT(D1392:P1392)=0,"",MEDIAN(D1392:P1392))</f>
        <v/>
      </c>
      <c r="S1392" s="8">
        <f>IF(COUNT(D1392:P1392)=0,"",MAX(D1392:P1392))</f>
        <v/>
      </c>
      <c r="T1392" s="9">
        <f>IF(OR(Q1392="",Q1392=0),"",(S1392-Q1392)/Q1392)</f>
        <v/>
      </c>
      <c r="U1392" s="7">
        <f>IF(COUNT(D1392:P1392)=0,"",INDEX($D$1:$P$1,MATCH(MIN(D1392:P1392),D1392:P1392,0)))</f>
        <v/>
      </c>
      <c r="V1392" s="8" t="n">
        <v>294.06</v>
      </c>
      <c r="W1392" s="10" t="n">
        <v>3</v>
      </c>
    </row>
    <row r="1393">
      <c r="A1393" s="7" t="inlineStr">
        <is>
          <t>MAT-32-042</t>
        </is>
      </c>
      <c r="B1393" s="4" t="inlineStr">
        <is>
          <t>Tubo PVC SDR-26 1" x 9.5 pies</t>
        </is>
      </c>
      <c r="C1393" s="7" t="inlineStr">
        <is>
          <t>tubo</t>
        </is>
      </c>
      <c r="D1393" s="8" t="n"/>
      <c r="E1393" s="8" t="n">
        <v>150</v>
      </c>
      <c r="F1393" s="8" t="n"/>
      <c r="G1393" s="8" t="n"/>
      <c r="H1393" s="8" t="n"/>
      <c r="I1393" s="8" t="n"/>
      <c r="J1393" s="8" t="n"/>
      <c r="K1393" s="8" t="n"/>
      <c r="L1393" s="8" t="n"/>
      <c r="M1393" s="8" t="n"/>
      <c r="N1393" s="8" t="n"/>
      <c r="O1393" s="8" t="n"/>
      <c r="P1393" s="8" t="n"/>
      <c r="Q1393" s="8">
        <f>IF(COUNT(D1393:P1393)=0,"",MIN(D1393:P1393))</f>
        <v/>
      </c>
      <c r="R1393" s="8">
        <f>IF(COUNT(D1393:P1393)=0,"",MEDIAN(D1393:P1393))</f>
        <v/>
      </c>
      <c r="S1393" s="8">
        <f>IF(COUNT(D1393:P1393)=0,"",MAX(D1393:P1393))</f>
        <v/>
      </c>
      <c r="T1393" s="9">
        <f>IF(OR(Q1393="",Q1393=0),"",(S1393-Q1393)/Q1393)</f>
        <v/>
      </c>
      <c r="U1393" s="7">
        <f>IF(COUNT(D1393:P1393)=0,"",INDEX($D$1:$P$1,MATCH(MIN(D1393:P1393),D1393:P1393,0)))</f>
        <v/>
      </c>
      <c r="V1393" s="8" t="n">
        <v>150</v>
      </c>
      <c r="W1393" s="10" t="n">
        <v>1</v>
      </c>
    </row>
    <row r="1394">
      <c r="A1394" s="7" t="inlineStr">
        <is>
          <t>MAT-32-043</t>
        </is>
      </c>
      <c r="B1394" s="4" t="inlineStr">
        <is>
          <t>Tubo PVC SDR-26 2" x 19 pies</t>
        </is>
      </c>
      <c r="C1394" s="7" t="inlineStr">
        <is>
          <t>tubo</t>
        </is>
      </c>
      <c r="D1394" s="8" t="n"/>
      <c r="E1394" s="8" t="n">
        <v>881.41</v>
      </c>
      <c r="F1394" s="8" t="n"/>
      <c r="G1394" s="8" t="n"/>
      <c r="H1394" s="8" t="n"/>
      <c r="I1394" s="8" t="n"/>
      <c r="J1394" s="8" t="n"/>
      <c r="K1394" s="8" t="n"/>
      <c r="L1394" s="8" t="n"/>
      <c r="M1394" s="8" t="n">
        <v>774</v>
      </c>
      <c r="N1394" s="8" t="n"/>
      <c r="O1394" s="8" t="n"/>
      <c r="P1394" s="8" t="n"/>
      <c r="Q1394" s="8">
        <f>IF(COUNT(D1394:P1394)=0,"",MIN(D1394:P1394))</f>
        <v/>
      </c>
      <c r="R1394" s="8">
        <f>IF(COUNT(D1394:P1394)=0,"",MEDIAN(D1394:P1394))</f>
        <v/>
      </c>
      <c r="S1394" s="8">
        <f>IF(COUNT(D1394:P1394)=0,"",MAX(D1394:P1394))</f>
        <v/>
      </c>
      <c r="T1394" s="9">
        <f>IF(OR(Q1394="",Q1394=0),"",(S1394-Q1394)/Q1394)</f>
        <v/>
      </c>
      <c r="U1394" s="7">
        <f>IF(COUNT(D1394:P1394)=0,"",INDEX($D$1:$P$1,MATCH(MIN(D1394:P1394),D1394:P1394,0)))</f>
        <v/>
      </c>
      <c r="V1394" s="8" t="n">
        <v>897.37</v>
      </c>
      <c r="W1394" s="10" t="n">
        <v>2</v>
      </c>
    </row>
    <row r="1395">
      <c r="A1395" s="7" t="inlineStr">
        <is>
          <t>MAT-32-044</t>
        </is>
      </c>
      <c r="B1395" s="4" t="inlineStr">
        <is>
          <t>Tubo PVC SDR-26 2" x 9.5 pies</t>
        </is>
      </c>
      <c r="C1395" s="7" t="inlineStr">
        <is>
          <t>tubo</t>
        </is>
      </c>
      <c r="D1395" s="8" t="n"/>
      <c r="E1395" s="8" t="n">
        <v>455</v>
      </c>
      <c r="F1395" s="8" t="n"/>
      <c r="G1395" s="8" t="n"/>
      <c r="H1395" s="8" t="n"/>
      <c r="I1395" s="8" t="n"/>
      <c r="J1395" s="8" t="n"/>
      <c r="K1395" s="8" t="n"/>
      <c r="L1395" s="8" t="n"/>
      <c r="M1395" s="8" t="n"/>
      <c r="N1395" s="8" t="n"/>
      <c r="O1395" s="8" t="n"/>
      <c r="P1395" s="8" t="n"/>
      <c r="Q1395" s="8">
        <f>IF(COUNT(D1395:P1395)=0,"",MIN(D1395:P1395))</f>
        <v/>
      </c>
      <c r="R1395" s="8">
        <f>IF(COUNT(D1395:P1395)=0,"",MEDIAN(D1395:P1395))</f>
        <v/>
      </c>
      <c r="S1395" s="8">
        <f>IF(COUNT(D1395:P1395)=0,"",MAX(D1395:P1395))</f>
        <v/>
      </c>
      <c r="T1395" s="9">
        <f>IF(OR(Q1395="",Q1395=0),"",(S1395-Q1395)/Q1395)</f>
        <v/>
      </c>
      <c r="U1395" s="7">
        <f>IF(COUNT(D1395:P1395)=0,"",INDEX($D$1:$P$1,MATCH(MIN(D1395:P1395),D1395:P1395,0)))</f>
        <v/>
      </c>
      <c r="V1395" s="8" t="n">
        <v>455</v>
      </c>
      <c r="W1395" s="10" t="n">
        <v>1</v>
      </c>
    </row>
    <row r="1396">
      <c r="A1396" s="7" t="inlineStr">
        <is>
          <t>MAT-32-045</t>
        </is>
      </c>
      <c r="B1396" s="4" t="inlineStr">
        <is>
          <t>Tubo PVC SDR-26 3/4" x 19 pies</t>
        </is>
      </c>
      <c r="C1396" s="7" t="inlineStr">
        <is>
          <t>tubo</t>
        </is>
      </c>
      <c r="D1396" s="8" t="n"/>
      <c r="E1396" s="8" t="n">
        <v>175</v>
      </c>
      <c r="F1396" s="8" t="n"/>
      <c r="G1396" s="8" t="n">
        <v>175</v>
      </c>
      <c r="H1396" s="8" t="n"/>
      <c r="I1396" s="8" t="n"/>
      <c r="J1396" s="8" t="n"/>
      <c r="K1396" s="8" t="n"/>
      <c r="L1396" s="8" t="n">
        <v>90</v>
      </c>
      <c r="M1396" s="8" t="n">
        <v>153.5</v>
      </c>
      <c r="N1396" s="8" t="n"/>
      <c r="O1396" s="8" t="n"/>
      <c r="P1396" s="8" t="n"/>
      <c r="Q1396" s="8">
        <f>IF(COUNT(D1396:P1396)=0,"",MIN(D1396:P1396))</f>
        <v/>
      </c>
      <c r="R1396" s="8">
        <f>IF(COUNT(D1396:P1396)=0,"",MEDIAN(D1396:P1396))</f>
        <v/>
      </c>
      <c r="S1396" s="8">
        <f>IF(COUNT(D1396:P1396)=0,"",MAX(D1396:P1396))</f>
        <v/>
      </c>
      <c r="T1396" s="9">
        <f>IF(OR(Q1396="",Q1396=0),"",(S1396-Q1396)/Q1396)</f>
        <v/>
      </c>
      <c r="U1396" s="7">
        <f>IF(COUNT(D1396:P1396)=0,"",INDEX($D$1:$P$1,MATCH(MIN(D1396:P1396),D1396:P1396,0)))</f>
        <v/>
      </c>
      <c r="V1396" s="8" t="n">
        <v>175</v>
      </c>
      <c r="W1396" s="10" t="n">
        <v>4</v>
      </c>
    </row>
    <row r="1397">
      <c r="A1397" s="7" t="inlineStr">
        <is>
          <t>MAT-32-046</t>
        </is>
      </c>
      <c r="B1397" s="4" t="inlineStr">
        <is>
          <t>Tubo PVC SDR-26 3/4" x 9.5 pies</t>
        </is>
      </c>
      <c r="C1397" s="7" t="inlineStr">
        <is>
          <t>tubo</t>
        </is>
      </c>
      <c r="D1397" s="8" t="n"/>
      <c r="E1397" s="8" t="n">
        <v>94</v>
      </c>
      <c r="F1397" s="8" t="n"/>
      <c r="G1397" s="8" t="n"/>
      <c r="H1397" s="8" t="n"/>
      <c r="I1397" s="8" t="n"/>
      <c r="J1397" s="8" t="n"/>
      <c r="K1397" s="8" t="n"/>
      <c r="L1397" s="8" t="n"/>
      <c r="M1397" s="8" t="n"/>
      <c r="N1397" s="8" t="n"/>
      <c r="O1397" s="8" t="n"/>
      <c r="P1397" s="8" t="n"/>
      <c r="Q1397" s="8">
        <f>IF(COUNT(D1397:P1397)=0,"",MIN(D1397:P1397))</f>
        <v/>
      </c>
      <c r="R1397" s="8">
        <f>IF(COUNT(D1397:P1397)=0,"",MEDIAN(D1397:P1397))</f>
        <v/>
      </c>
      <c r="S1397" s="8">
        <f>IF(COUNT(D1397:P1397)=0,"",MAX(D1397:P1397))</f>
        <v/>
      </c>
      <c r="T1397" s="9">
        <f>IF(OR(Q1397="",Q1397=0),"",(S1397-Q1397)/Q1397)</f>
        <v/>
      </c>
      <c r="U1397" s="7">
        <f>IF(COUNT(D1397:P1397)=0,"",INDEX($D$1:$P$1,MATCH(MIN(D1397:P1397),D1397:P1397,0)))</f>
        <v/>
      </c>
      <c r="V1397" s="8" t="n">
        <v>94</v>
      </c>
      <c r="W1397" s="10" t="n">
        <v>1</v>
      </c>
    </row>
    <row r="1398">
      <c r="A1398" s="7" t="inlineStr">
        <is>
          <t>MAT-32-047</t>
        </is>
      </c>
      <c r="B1398" s="4" t="inlineStr">
        <is>
          <t>Tubo PVC SDR-26 3" x 19 pies</t>
        </is>
      </c>
      <c r="C1398" s="7" t="inlineStr">
        <is>
          <t>tubo</t>
        </is>
      </c>
      <c r="D1398" s="8" t="n"/>
      <c r="E1398" s="8" t="n">
        <v>1928.2</v>
      </c>
      <c r="F1398" s="8" t="n"/>
      <c r="G1398" s="8" t="n">
        <v>2172</v>
      </c>
      <c r="H1398" s="8" t="n"/>
      <c r="I1398" s="8" t="n"/>
      <c r="J1398" s="8" t="n"/>
      <c r="K1398" s="8" t="n"/>
      <c r="L1398" s="8" t="n"/>
      <c r="M1398" s="8" t="n">
        <v>1693.3</v>
      </c>
      <c r="N1398" s="8" t="n"/>
      <c r="O1398" s="8" t="n"/>
      <c r="P1398" s="8" t="n"/>
      <c r="Q1398" s="8">
        <f>IF(COUNT(D1398:P1398)=0,"",MIN(D1398:P1398))</f>
        <v/>
      </c>
      <c r="R1398" s="8">
        <f>IF(COUNT(D1398:P1398)=0,"",MEDIAN(D1398:P1398))</f>
        <v/>
      </c>
      <c r="S1398" s="8">
        <f>IF(COUNT(D1398:P1398)=0,"",MAX(D1398:P1398))</f>
        <v/>
      </c>
      <c r="T1398" s="9">
        <f>IF(OR(Q1398="",Q1398=0),"",(S1398-Q1398)/Q1398)</f>
        <v/>
      </c>
      <c r="U1398" s="7">
        <f>IF(COUNT(D1398:P1398)=0,"",INDEX($D$1:$P$1,MATCH(MIN(D1398:P1398),D1398:P1398,0)))</f>
        <v/>
      </c>
      <c r="V1398" s="8" t="n">
        <v>1998.09</v>
      </c>
      <c r="W1398" s="10" t="n">
        <v>3</v>
      </c>
    </row>
    <row r="1399">
      <c r="A1399" s="7" t="inlineStr">
        <is>
          <t>MAT-32-048</t>
        </is>
      </c>
      <c r="B1399" s="4" t="inlineStr">
        <is>
          <t>Tubo PVC SDR-26 3" x 9.5 pies</t>
        </is>
      </c>
      <c r="C1399" s="7" t="inlineStr">
        <is>
          <t>tubo</t>
        </is>
      </c>
      <c r="D1399" s="8" t="n"/>
      <c r="E1399" s="8" t="n">
        <v>988</v>
      </c>
      <c r="F1399" s="8" t="n"/>
      <c r="G1399" s="8" t="n"/>
      <c r="H1399" s="8" t="n"/>
      <c r="I1399" s="8" t="n"/>
      <c r="J1399" s="8" t="n"/>
      <c r="K1399" s="8" t="n"/>
      <c r="L1399" s="8" t="n"/>
      <c r="M1399" s="8" t="n"/>
      <c r="N1399" s="8" t="n"/>
      <c r="O1399" s="8" t="n"/>
      <c r="P1399" s="8" t="n"/>
      <c r="Q1399" s="8">
        <f>IF(COUNT(D1399:P1399)=0,"",MIN(D1399:P1399))</f>
        <v/>
      </c>
      <c r="R1399" s="8">
        <f>IF(COUNT(D1399:P1399)=0,"",MEDIAN(D1399:P1399))</f>
        <v/>
      </c>
      <c r="S1399" s="8">
        <f>IF(COUNT(D1399:P1399)=0,"",MAX(D1399:P1399))</f>
        <v/>
      </c>
      <c r="T1399" s="9">
        <f>IF(OR(Q1399="",Q1399=0),"",(S1399-Q1399)/Q1399)</f>
        <v/>
      </c>
      <c r="U1399" s="7">
        <f>IF(COUNT(D1399:P1399)=0,"",INDEX($D$1:$P$1,MATCH(MIN(D1399:P1399),D1399:P1399,0)))</f>
        <v/>
      </c>
      <c r="V1399" s="8" t="n">
        <v>988</v>
      </c>
      <c r="W1399" s="10" t="n">
        <v>1</v>
      </c>
    </row>
    <row r="1400">
      <c r="A1400" s="7" t="inlineStr">
        <is>
          <t>MAT-32-049</t>
        </is>
      </c>
      <c r="B1400" s="4" t="inlineStr">
        <is>
          <t>Tubo PVC SDR-26 4" x 19 pies</t>
        </is>
      </c>
      <c r="C1400" s="7" t="inlineStr">
        <is>
          <t>tubo</t>
        </is>
      </c>
      <c r="D1400" s="8" t="n"/>
      <c r="E1400" s="8" t="n">
        <v>3133</v>
      </c>
      <c r="F1400" s="8" t="n"/>
      <c r="G1400" s="8" t="n"/>
      <c r="H1400" s="8" t="n"/>
      <c r="I1400" s="8" t="n"/>
      <c r="J1400" s="8" t="n"/>
      <c r="K1400" s="8" t="n"/>
      <c r="L1400" s="8" t="n"/>
      <c r="M1400" s="8" t="n">
        <v>2781</v>
      </c>
      <c r="N1400" s="8" t="n"/>
      <c r="O1400" s="8" t="n"/>
      <c r="P1400" s="8" t="n"/>
      <c r="Q1400" s="8">
        <f>IF(COUNT(D1400:P1400)=0,"",MIN(D1400:P1400))</f>
        <v/>
      </c>
      <c r="R1400" s="8">
        <f>IF(COUNT(D1400:P1400)=0,"",MEDIAN(D1400:P1400))</f>
        <v/>
      </c>
      <c r="S1400" s="8">
        <f>IF(COUNT(D1400:P1400)=0,"",MAX(D1400:P1400))</f>
        <v/>
      </c>
      <c r="T1400" s="9">
        <f>IF(OR(Q1400="",Q1400=0),"",(S1400-Q1400)/Q1400)</f>
        <v/>
      </c>
      <c r="U1400" s="7">
        <f>IF(COUNT(D1400:P1400)=0,"",INDEX($D$1:$P$1,MATCH(MIN(D1400:P1400),D1400:P1400,0)))</f>
        <v/>
      </c>
      <c r="V1400" s="8" t="n">
        <v>3207.29</v>
      </c>
      <c r="W1400" s="10" t="n">
        <v>2</v>
      </c>
    </row>
    <row r="1401">
      <c r="A1401" s="7" t="inlineStr">
        <is>
          <t>MAT-32-050</t>
        </is>
      </c>
      <c r="B1401" s="4" t="inlineStr">
        <is>
          <t>Tubo PVC SDR-26 6" x 19 pies</t>
        </is>
      </c>
      <c r="C1401" s="7" t="inlineStr">
        <is>
          <t>tubo</t>
        </is>
      </c>
      <c r="D1401" s="8" t="n"/>
      <c r="E1401" s="8" t="n">
        <v>6884.88</v>
      </c>
      <c r="F1401" s="8" t="n"/>
      <c r="G1401" s="8" t="n"/>
      <c r="H1401" s="8" t="n"/>
      <c r="I1401" s="8" t="n"/>
      <c r="J1401" s="8" t="n"/>
      <c r="K1401" s="8" t="n"/>
      <c r="L1401" s="8" t="n"/>
      <c r="M1401" s="8" t="n">
        <v>6031</v>
      </c>
      <c r="N1401" s="8" t="n"/>
      <c r="O1401" s="8" t="n"/>
      <c r="P1401" s="8" t="n"/>
      <c r="Q1401" s="8">
        <f>IF(COUNT(D1401:P1401)=0,"",MIN(D1401:P1401))</f>
        <v/>
      </c>
      <c r="R1401" s="8">
        <f>IF(COUNT(D1401:P1401)=0,"",MEDIAN(D1401:P1401))</f>
        <v/>
      </c>
      <c r="S1401" s="8">
        <f>IF(COUNT(D1401:P1401)=0,"",MAX(D1401:P1401))</f>
        <v/>
      </c>
      <c r="T1401" s="9">
        <f>IF(OR(Q1401="",Q1401=0),"",(S1401-Q1401)/Q1401)</f>
        <v/>
      </c>
      <c r="U1401" s="7">
        <f>IF(COUNT(D1401:P1401)=0,"",INDEX($D$1:$P$1,MATCH(MIN(D1401:P1401),D1401:P1401,0)))</f>
        <v/>
      </c>
      <c r="V1401" s="8" t="n">
        <v>7000.73</v>
      </c>
      <c r="W1401" s="10" t="n">
        <v>2</v>
      </c>
    </row>
    <row r="1402">
      <c r="A1402" s="7" t="inlineStr">
        <is>
          <t>MAT-32-051</t>
        </is>
      </c>
      <c r="B1402" s="4" t="inlineStr">
        <is>
          <t>Tubo PVC SDR-26 8" x 19 pies</t>
        </is>
      </c>
      <c r="C1402" s="7" t="inlineStr">
        <is>
          <t>tubo</t>
        </is>
      </c>
      <c r="D1402" s="8" t="n"/>
      <c r="E1402" s="8" t="n">
        <v>11666.54</v>
      </c>
      <c r="F1402" s="8" t="n"/>
      <c r="G1402" s="8" t="n"/>
      <c r="H1402" s="8" t="n"/>
      <c r="I1402" s="8" t="n"/>
      <c r="J1402" s="8" t="n"/>
      <c r="K1402" s="8" t="n"/>
      <c r="L1402" s="8" t="n">
        <v>10360</v>
      </c>
      <c r="M1402" s="8" t="n">
        <v>10110.1</v>
      </c>
      <c r="N1402" s="8" t="n"/>
      <c r="O1402" s="8" t="n"/>
      <c r="P1402" s="8" t="n"/>
      <c r="Q1402" s="8">
        <f>IF(COUNT(D1402:P1402)=0,"",MIN(D1402:P1402))</f>
        <v/>
      </c>
      <c r="R1402" s="8">
        <f>IF(COUNT(D1402:P1402)=0,"",MEDIAN(D1402:P1402))</f>
        <v/>
      </c>
      <c r="S1402" s="8">
        <f>IF(COUNT(D1402:P1402)=0,"",MAX(D1402:P1402))</f>
        <v/>
      </c>
      <c r="T1402" s="9">
        <f>IF(OR(Q1402="",Q1402=0),"",(S1402-Q1402)/Q1402)</f>
        <v/>
      </c>
      <c r="U1402" s="7">
        <f>IF(COUNT(D1402:P1402)=0,"",INDEX($D$1:$P$1,MATCH(MIN(D1402:P1402),D1402:P1402,0)))</f>
        <v/>
      </c>
      <c r="V1402" s="8" t="n">
        <v>11666.54</v>
      </c>
      <c r="W1402" s="10" t="n">
        <v>3</v>
      </c>
    </row>
    <row r="1403">
      <c r="A1403" s="7" t="inlineStr">
        <is>
          <t>MAT-32-052</t>
        </is>
      </c>
      <c r="B1403" s="4" t="inlineStr">
        <is>
          <t>Tubo PVC SDR-32.5 10" x 19 pies</t>
        </is>
      </c>
      <c r="C1403" s="7" t="inlineStr">
        <is>
          <t>tubo</t>
        </is>
      </c>
      <c r="D1403" s="8" t="n"/>
      <c r="E1403" s="8" t="n">
        <v>15540.55</v>
      </c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 t="n"/>
      <c r="P1403" s="8" t="n"/>
      <c r="Q1403" s="8">
        <f>IF(COUNT(D1403:P1403)=0,"",MIN(D1403:P1403))</f>
        <v/>
      </c>
      <c r="R1403" s="8">
        <f>IF(COUNT(D1403:P1403)=0,"",MEDIAN(D1403:P1403))</f>
        <v/>
      </c>
      <c r="S1403" s="8">
        <f>IF(COUNT(D1403:P1403)=0,"",MAX(D1403:P1403))</f>
        <v/>
      </c>
      <c r="T1403" s="9">
        <f>IF(OR(Q1403="",Q1403=0),"",(S1403-Q1403)/Q1403)</f>
        <v/>
      </c>
      <c r="U1403" s="7">
        <f>IF(COUNT(D1403:P1403)=0,"",INDEX($D$1:$P$1,MATCH(MIN(D1403:P1403),D1403:P1403,0)))</f>
        <v/>
      </c>
      <c r="V1403" s="8" t="n">
        <v>15540.55</v>
      </c>
      <c r="W1403" s="10" t="n">
        <v>1</v>
      </c>
    </row>
    <row r="1404">
      <c r="A1404" s="7" t="inlineStr">
        <is>
          <t>MAT-32-053</t>
        </is>
      </c>
      <c r="B1404" s="4" t="inlineStr">
        <is>
          <t>Tubo PVC SDR-32.5 2" x 19 pies</t>
        </is>
      </c>
      <c r="C1404" s="7" t="inlineStr">
        <is>
          <t>tubo</t>
        </is>
      </c>
      <c r="D1404" s="8" t="n"/>
      <c r="E1404" s="8" t="n">
        <v>711.42</v>
      </c>
      <c r="F1404" s="8" t="n"/>
      <c r="G1404" s="8" t="n"/>
      <c r="H1404" s="8" t="n"/>
      <c r="I1404" s="8" t="n"/>
      <c r="J1404" s="8" t="n"/>
      <c r="K1404" s="8" t="n"/>
      <c r="L1404" s="8" t="n"/>
      <c r="M1404" s="8" t="n"/>
      <c r="N1404" s="8" t="n"/>
      <c r="O1404" s="8" t="n"/>
      <c r="P1404" s="8" t="n"/>
      <c r="Q1404" s="8">
        <f>IF(COUNT(D1404:P1404)=0,"",MIN(D1404:P1404))</f>
        <v/>
      </c>
      <c r="R1404" s="8">
        <f>IF(COUNT(D1404:P1404)=0,"",MEDIAN(D1404:P1404))</f>
        <v/>
      </c>
      <c r="S1404" s="8">
        <f>IF(COUNT(D1404:P1404)=0,"",MAX(D1404:P1404))</f>
        <v/>
      </c>
      <c r="T1404" s="9">
        <f>IF(OR(Q1404="",Q1404=0),"",(S1404-Q1404)/Q1404)</f>
        <v/>
      </c>
      <c r="U1404" s="7">
        <f>IF(COUNT(D1404:P1404)=0,"",INDEX($D$1:$P$1,MATCH(MIN(D1404:P1404),D1404:P1404,0)))</f>
        <v/>
      </c>
      <c r="V1404" s="8" t="n">
        <v>711.42</v>
      </c>
      <c r="W1404" s="10" t="n">
        <v>1</v>
      </c>
    </row>
    <row r="1405">
      <c r="A1405" s="7" t="inlineStr">
        <is>
          <t>MAT-32-054</t>
        </is>
      </c>
      <c r="B1405" s="4" t="inlineStr">
        <is>
          <t>Tubo PVC SDR-32.5 3" x 19 pies</t>
        </is>
      </c>
      <c r="C1405" s="7" t="inlineStr">
        <is>
          <t>tubo</t>
        </is>
      </c>
      <c r="D1405" s="8" t="n"/>
      <c r="E1405" s="8" t="n">
        <v>1549.5</v>
      </c>
      <c r="F1405" s="8" t="n"/>
      <c r="G1405" s="8" t="n"/>
      <c r="H1405" s="8" t="n"/>
      <c r="I1405" s="8" t="n"/>
      <c r="J1405" s="8" t="n"/>
      <c r="K1405" s="8" t="n"/>
      <c r="L1405" s="8" t="n"/>
      <c r="M1405" s="8" t="n"/>
      <c r="N1405" s="8" t="n"/>
      <c r="O1405" s="8" t="n"/>
      <c r="P1405" s="8" t="n"/>
      <c r="Q1405" s="8">
        <f>IF(COUNT(D1405:P1405)=0,"",MIN(D1405:P1405))</f>
        <v/>
      </c>
      <c r="R1405" s="8">
        <f>IF(COUNT(D1405:P1405)=0,"",MEDIAN(D1405:P1405))</f>
        <v/>
      </c>
      <c r="S1405" s="8">
        <f>IF(COUNT(D1405:P1405)=0,"",MAX(D1405:P1405))</f>
        <v/>
      </c>
      <c r="T1405" s="9">
        <f>IF(OR(Q1405="",Q1405=0),"",(S1405-Q1405)/Q1405)</f>
        <v/>
      </c>
      <c r="U1405" s="7">
        <f>IF(COUNT(D1405:P1405)=0,"",INDEX($D$1:$P$1,MATCH(MIN(D1405:P1405),D1405:P1405,0)))</f>
        <v/>
      </c>
      <c r="V1405" s="8" t="n">
        <v>1549.5</v>
      </c>
      <c r="W1405" s="10" t="n">
        <v>1</v>
      </c>
    </row>
    <row r="1406">
      <c r="A1406" s="7" t="inlineStr">
        <is>
          <t>MAT-32-055</t>
        </is>
      </c>
      <c r="B1406" s="4" t="inlineStr">
        <is>
          <t>Tubo PVC SDR-32.5 4" x 19 pies</t>
        </is>
      </c>
      <c r="C1406" s="7" t="inlineStr">
        <is>
          <t>tubo</t>
        </is>
      </c>
      <c r="D1406" s="8" t="n"/>
      <c r="E1406" s="8" t="n">
        <v>2548.33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>
        <f>IF(COUNT(D1406:P1406)=0,"",MIN(D1406:P1406))</f>
        <v/>
      </c>
      <c r="R1406" s="8">
        <f>IF(COUNT(D1406:P1406)=0,"",MEDIAN(D1406:P1406))</f>
        <v/>
      </c>
      <c r="S1406" s="8">
        <f>IF(COUNT(D1406:P1406)=0,"",MAX(D1406:P1406))</f>
        <v/>
      </c>
      <c r="T1406" s="9">
        <f>IF(OR(Q1406="",Q1406=0),"",(S1406-Q1406)/Q1406)</f>
        <v/>
      </c>
      <c r="U1406" s="7">
        <f>IF(COUNT(D1406:P1406)=0,"",INDEX($D$1:$P$1,MATCH(MIN(D1406:P1406),D1406:P1406,0)))</f>
        <v/>
      </c>
      <c r="V1406" s="8" t="n">
        <v>2548.33</v>
      </c>
      <c r="W1406" s="10" t="n">
        <v>1</v>
      </c>
    </row>
    <row r="1407">
      <c r="A1407" s="7" t="inlineStr">
        <is>
          <t>MAT-32-056</t>
        </is>
      </c>
      <c r="B1407" s="4" t="inlineStr">
        <is>
          <t>Tubo PVC SDR-32.5 6" x 19 pies</t>
        </is>
      </c>
      <c r="C1407" s="7" t="inlineStr">
        <is>
          <t>tubo</t>
        </is>
      </c>
      <c r="D1407" s="8" t="n"/>
      <c r="E1407" s="8" t="n">
        <v>9381.73</v>
      </c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 t="n"/>
      <c r="P1407" s="8" t="n"/>
      <c r="Q1407" s="8">
        <f>IF(COUNT(D1407:P1407)=0,"",MIN(D1407:P1407))</f>
        <v/>
      </c>
      <c r="R1407" s="8">
        <f>IF(COUNT(D1407:P1407)=0,"",MEDIAN(D1407:P1407))</f>
        <v/>
      </c>
      <c r="S1407" s="8">
        <f>IF(COUNT(D1407:P1407)=0,"",MAX(D1407:P1407))</f>
        <v/>
      </c>
      <c r="T1407" s="9">
        <f>IF(OR(Q1407="",Q1407=0),"",(S1407-Q1407)/Q1407)</f>
        <v/>
      </c>
      <c r="U1407" s="7">
        <f>IF(COUNT(D1407:P1407)=0,"",INDEX($D$1:$P$1,MATCH(MIN(D1407:P1407),D1407:P1407,0)))</f>
        <v/>
      </c>
      <c r="V1407" s="8" t="n">
        <v>9381.73</v>
      </c>
      <c r="W1407" s="10" t="n">
        <v>1</v>
      </c>
    </row>
    <row r="1408">
      <c r="A1408" s="7" t="inlineStr">
        <is>
          <t>MAT-32-057</t>
        </is>
      </c>
      <c r="B1408" s="4" t="inlineStr">
        <is>
          <t>Tubo PVC SDR-32.5 8" x 19 pies</t>
        </is>
      </c>
      <c r="C1408" s="7" t="inlineStr">
        <is>
          <t>tubo</t>
        </is>
      </c>
      <c r="D1408" s="8" t="n"/>
      <c r="E1408" s="8" t="n">
        <v>9381.73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>
        <f>IF(COUNT(D1408:P1408)=0,"",MIN(D1408:P1408))</f>
        <v/>
      </c>
      <c r="R1408" s="8">
        <f>IF(COUNT(D1408:P1408)=0,"",MEDIAN(D1408:P1408))</f>
        <v/>
      </c>
      <c r="S1408" s="8">
        <f>IF(COUNT(D1408:P1408)=0,"",MAX(D1408:P1408))</f>
        <v/>
      </c>
      <c r="T1408" s="9">
        <f>IF(OR(Q1408="",Q1408=0),"",(S1408-Q1408)/Q1408)</f>
        <v/>
      </c>
      <c r="U1408" s="7">
        <f>IF(COUNT(D1408:P1408)=0,"",INDEX($D$1:$P$1,MATCH(MIN(D1408:P1408),D1408:P1408,0)))</f>
        <v/>
      </c>
      <c r="V1408" s="8" t="n">
        <v>9381.73</v>
      </c>
      <c r="W1408" s="10" t="n">
        <v>1</v>
      </c>
    </row>
    <row r="1409">
      <c r="A1409" s="7" t="inlineStr">
        <is>
          <t>MAT-32-058</t>
        </is>
      </c>
      <c r="B1409" s="4" t="inlineStr">
        <is>
          <t>Tubo PVC SDR-41 1 1/2" x 19 pies</t>
        </is>
      </c>
      <c r="C1409" s="7" t="inlineStr">
        <is>
          <t>tubo</t>
        </is>
      </c>
      <c r="D1409" s="8" t="n"/>
      <c r="E1409" s="8" t="n"/>
      <c r="F1409" s="8" t="n"/>
      <c r="G1409" s="8" t="n">
        <v>453</v>
      </c>
      <c r="H1409" s="8" t="n"/>
      <c r="I1409" s="8" t="n"/>
      <c r="J1409" s="8" t="n"/>
      <c r="K1409" s="8" t="n"/>
      <c r="L1409" s="8" t="n"/>
      <c r="M1409" s="8" t="n">
        <v>337.8</v>
      </c>
      <c r="N1409" s="8" t="n"/>
      <c r="O1409" s="8" t="n"/>
      <c r="P1409" s="8" t="n"/>
      <c r="Q1409" s="8">
        <f>IF(COUNT(D1409:P1409)=0,"",MIN(D1409:P1409))</f>
        <v/>
      </c>
      <c r="R1409" s="8">
        <f>IF(COUNT(D1409:P1409)=0,"",MEDIAN(D1409:P1409))</f>
        <v/>
      </c>
      <c r="S1409" s="8">
        <f>IF(COUNT(D1409:P1409)=0,"",MAX(D1409:P1409))</f>
        <v/>
      </c>
      <c r="T1409" s="9">
        <f>IF(OR(Q1409="",Q1409=0),"",(S1409-Q1409)/Q1409)</f>
        <v/>
      </c>
      <c r="U1409" s="7">
        <f>IF(COUNT(D1409:P1409)=0,"",INDEX($D$1:$P$1,MATCH(MIN(D1409:P1409),D1409:P1409,0)))</f>
        <v/>
      </c>
      <c r="V1409" s="8" t="n">
        <v>425.8</v>
      </c>
      <c r="W1409" s="10" t="n">
        <v>2</v>
      </c>
    </row>
    <row r="1410">
      <c r="A1410" s="7" t="inlineStr">
        <is>
          <t>MAT-32-059</t>
        </is>
      </c>
      <c r="B1410" s="4" t="inlineStr">
        <is>
          <t>Tubo PVC SDR-41 1/2" x 19 pies</t>
        </is>
      </c>
      <c r="C1410" s="7" t="inlineStr">
        <is>
          <t>tubo</t>
        </is>
      </c>
      <c r="D1410" s="8" t="n"/>
      <c r="E1410" s="8" t="n">
        <v>386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/>
      <c r="P1410" s="8" t="n"/>
      <c r="Q1410" s="8">
        <f>IF(COUNT(D1410:P1410)=0,"",MIN(D1410:P1410))</f>
        <v/>
      </c>
      <c r="R1410" s="8">
        <f>IF(COUNT(D1410:P1410)=0,"",MEDIAN(D1410:P1410))</f>
        <v/>
      </c>
      <c r="S1410" s="8">
        <f>IF(COUNT(D1410:P1410)=0,"",MAX(D1410:P1410))</f>
        <v/>
      </c>
      <c r="T1410" s="9">
        <f>IF(OR(Q1410="",Q1410=0),"",(S1410-Q1410)/Q1410)</f>
        <v/>
      </c>
      <c r="U1410" s="7">
        <f>IF(COUNT(D1410:P1410)=0,"",INDEX($D$1:$P$1,MATCH(MIN(D1410:P1410),D1410:P1410,0)))</f>
        <v/>
      </c>
      <c r="V1410" s="8" t="n">
        <v>386</v>
      </c>
      <c r="W1410" s="10" t="n">
        <v>1</v>
      </c>
    </row>
    <row r="1411">
      <c r="A1411" s="7" t="inlineStr">
        <is>
          <t>MAT-32-060</t>
        </is>
      </c>
      <c r="B1411" s="4" t="inlineStr">
        <is>
          <t>Tubo PVC SDR-41 1/2" x 9.5 pies</t>
        </is>
      </c>
      <c r="C1411" s="7" t="inlineStr">
        <is>
          <t>tubo</t>
        </is>
      </c>
      <c r="D1411" s="8" t="n"/>
      <c r="E1411" s="8" t="n">
        <v>202</v>
      </c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 t="n"/>
      <c r="P1411" s="8" t="n"/>
      <c r="Q1411" s="8">
        <f>IF(COUNT(D1411:P1411)=0,"",MIN(D1411:P1411))</f>
        <v/>
      </c>
      <c r="R1411" s="8">
        <f>IF(COUNT(D1411:P1411)=0,"",MEDIAN(D1411:P1411))</f>
        <v/>
      </c>
      <c r="S1411" s="8">
        <f>IF(COUNT(D1411:P1411)=0,"",MAX(D1411:P1411))</f>
        <v/>
      </c>
      <c r="T1411" s="9">
        <f>IF(OR(Q1411="",Q1411=0),"",(S1411-Q1411)/Q1411)</f>
        <v/>
      </c>
      <c r="U1411" s="7">
        <f>IF(COUNT(D1411:P1411)=0,"",INDEX($D$1:$P$1,MATCH(MIN(D1411:P1411),D1411:P1411,0)))</f>
        <v/>
      </c>
      <c r="V1411" s="8" t="n">
        <v>202</v>
      </c>
      <c r="W1411" s="10" t="n">
        <v>1</v>
      </c>
    </row>
    <row r="1412">
      <c r="A1412" s="7" t="inlineStr">
        <is>
          <t>MAT-32-061</t>
        </is>
      </c>
      <c r="B1412" s="4" t="inlineStr">
        <is>
          <t>Tubo PVC SDR-41 10" x 19 pies</t>
        </is>
      </c>
      <c r="C1412" s="7" t="inlineStr">
        <is>
          <t>tubo</t>
        </is>
      </c>
      <c r="D1412" s="8" t="n"/>
      <c r="E1412" s="8" t="n">
        <v>12736.57</v>
      </c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 t="n"/>
      <c r="P1412" s="8" t="n"/>
      <c r="Q1412" s="8">
        <f>IF(COUNT(D1412:P1412)=0,"",MIN(D1412:P1412))</f>
        <v/>
      </c>
      <c r="R1412" s="8">
        <f>IF(COUNT(D1412:P1412)=0,"",MEDIAN(D1412:P1412))</f>
        <v/>
      </c>
      <c r="S1412" s="8">
        <f>IF(COUNT(D1412:P1412)=0,"",MAX(D1412:P1412))</f>
        <v/>
      </c>
      <c r="T1412" s="9">
        <f>IF(OR(Q1412="",Q1412=0),"",(S1412-Q1412)/Q1412)</f>
        <v/>
      </c>
      <c r="U1412" s="7">
        <f>IF(COUNT(D1412:P1412)=0,"",INDEX($D$1:$P$1,MATCH(MIN(D1412:P1412),D1412:P1412,0)))</f>
        <v/>
      </c>
      <c r="V1412" s="8" t="n">
        <v>12736.57</v>
      </c>
      <c r="W1412" s="10" t="n">
        <v>1</v>
      </c>
    </row>
    <row r="1413">
      <c r="A1413" s="7" t="inlineStr">
        <is>
          <t>MAT-32-062</t>
        </is>
      </c>
      <c r="B1413" s="4" t="inlineStr">
        <is>
          <t>Tubo PVC SDR-41 12" x 19 pies</t>
        </is>
      </c>
      <c r="C1413" s="7" t="inlineStr">
        <is>
          <t>tubo</t>
        </is>
      </c>
      <c r="D1413" s="8" t="n"/>
      <c r="E1413" s="8" t="n">
        <v>17906.86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/>
      <c r="P1413" s="8" t="n"/>
      <c r="Q1413" s="8">
        <f>IF(COUNT(D1413:P1413)=0,"",MIN(D1413:P1413))</f>
        <v/>
      </c>
      <c r="R1413" s="8">
        <f>IF(COUNT(D1413:P1413)=0,"",MEDIAN(D1413:P1413))</f>
        <v/>
      </c>
      <c r="S1413" s="8">
        <f>IF(COUNT(D1413:P1413)=0,"",MAX(D1413:P1413))</f>
        <v/>
      </c>
      <c r="T1413" s="9">
        <f>IF(OR(Q1413="",Q1413=0),"",(S1413-Q1413)/Q1413)</f>
        <v/>
      </c>
      <c r="U1413" s="7">
        <f>IF(COUNT(D1413:P1413)=0,"",INDEX($D$1:$P$1,MATCH(MIN(D1413:P1413),D1413:P1413,0)))</f>
        <v/>
      </c>
      <c r="V1413" s="8" t="n">
        <v>17906.86</v>
      </c>
      <c r="W1413" s="10" t="n">
        <v>1</v>
      </c>
    </row>
    <row r="1414">
      <c r="A1414" s="7" t="inlineStr">
        <is>
          <t>MAT-32-063</t>
        </is>
      </c>
      <c r="B1414" s="4" t="inlineStr">
        <is>
          <t>Tubo PVC SDR-41 2" x 19 pies</t>
        </is>
      </c>
      <c r="C1414" s="7" t="inlineStr">
        <is>
          <t>tubo</t>
        </is>
      </c>
      <c r="D1414" s="8" t="n"/>
      <c r="E1414" s="8" t="n">
        <v>561</v>
      </c>
      <c r="F1414" s="8" t="n"/>
      <c r="G1414" s="8" t="n"/>
      <c r="H1414" s="8" t="n"/>
      <c r="I1414" s="8" t="n"/>
      <c r="J1414" s="8" t="n"/>
      <c r="K1414" s="8" t="n"/>
      <c r="L1414" s="8" t="n"/>
      <c r="M1414" s="8" t="n">
        <v>496.9</v>
      </c>
      <c r="N1414" s="8" t="n"/>
      <c r="O1414" s="8" t="n"/>
      <c r="P1414" s="8" t="n"/>
      <c r="Q1414" s="8">
        <f>IF(COUNT(D1414:P1414)=0,"",MIN(D1414:P1414))</f>
        <v/>
      </c>
      <c r="R1414" s="8">
        <f>IF(COUNT(D1414:P1414)=0,"",MEDIAN(D1414:P1414))</f>
        <v/>
      </c>
      <c r="S1414" s="8">
        <f>IF(COUNT(D1414:P1414)=0,"",MAX(D1414:P1414))</f>
        <v/>
      </c>
      <c r="T1414" s="9">
        <f>IF(OR(Q1414="",Q1414=0),"",(S1414-Q1414)/Q1414)</f>
        <v/>
      </c>
      <c r="U1414" s="7">
        <f>IF(COUNT(D1414:P1414)=0,"",INDEX($D$1:$P$1,MATCH(MIN(D1414:P1414),D1414:P1414,0)))</f>
        <v/>
      </c>
      <c r="V1414" s="8" t="n">
        <v>573.67</v>
      </c>
      <c r="W1414" s="10" t="n">
        <v>2</v>
      </c>
    </row>
    <row r="1415">
      <c r="A1415" s="7" t="inlineStr">
        <is>
          <t>MAT-32-064</t>
        </is>
      </c>
      <c r="B1415" s="4" t="inlineStr">
        <is>
          <t>Tubo PVC SDR-41 3" x 19 pies</t>
        </is>
      </c>
      <c r="C1415" s="7" t="inlineStr">
        <is>
          <t>tubo</t>
        </is>
      </c>
      <c r="D1415" s="8" t="n"/>
      <c r="E1415" s="8" t="n">
        <v>990</v>
      </c>
      <c r="F1415" s="8" t="n"/>
      <c r="G1415" s="8" t="n">
        <v>1150</v>
      </c>
      <c r="H1415" s="8" t="n"/>
      <c r="I1415" s="8" t="n"/>
      <c r="J1415" s="8" t="n"/>
      <c r="K1415" s="8" t="n"/>
      <c r="L1415" s="8" t="n">
        <v>670</v>
      </c>
      <c r="M1415" s="8" t="n">
        <v>918.5</v>
      </c>
      <c r="N1415" s="8" t="n"/>
      <c r="O1415" s="8" t="n"/>
      <c r="P1415" s="8" t="n"/>
      <c r="Q1415" s="8">
        <f>IF(COUNT(D1415:P1415)=0,"",MIN(D1415:P1415))</f>
        <v/>
      </c>
      <c r="R1415" s="8">
        <f>IF(COUNT(D1415:P1415)=0,"",MEDIAN(D1415:P1415))</f>
        <v/>
      </c>
      <c r="S1415" s="8">
        <f>IF(COUNT(D1415:P1415)=0,"",MAX(D1415:P1415))</f>
        <v/>
      </c>
      <c r="T1415" s="9">
        <f>IF(OR(Q1415="",Q1415=0),"",(S1415-Q1415)/Q1415)</f>
        <v/>
      </c>
      <c r="U1415" s="7">
        <f>IF(COUNT(D1415:P1415)=0,"",INDEX($D$1:$P$1,MATCH(MIN(D1415:P1415),D1415:P1415,0)))</f>
        <v/>
      </c>
      <c r="V1415" s="8" t="n">
        <v>1036.92</v>
      </c>
      <c r="W1415" s="10" t="n">
        <v>4</v>
      </c>
    </row>
    <row r="1416">
      <c r="A1416" s="7" t="inlineStr">
        <is>
          <t>MAT-32-065</t>
        </is>
      </c>
      <c r="B1416" s="4" t="inlineStr">
        <is>
          <t>Tubo PVC SDR-41 4" x 19 pies</t>
        </is>
      </c>
      <c r="C1416" s="7" t="inlineStr">
        <is>
          <t>tubo</t>
        </is>
      </c>
      <c r="D1416" s="8" t="n"/>
      <c r="E1416" s="8" t="n">
        <v>1738.6</v>
      </c>
      <c r="F1416" s="8" t="n"/>
      <c r="G1416" s="8" t="n"/>
      <c r="H1416" s="8" t="n"/>
      <c r="I1416" s="8" t="n"/>
      <c r="J1416" s="8" t="n"/>
      <c r="K1416" s="8" t="n"/>
      <c r="L1416" s="8" t="n"/>
      <c r="M1416" s="8" t="n">
        <v>1527</v>
      </c>
      <c r="N1416" s="8" t="n"/>
      <c r="O1416" s="8" t="n"/>
      <c r="P1416" s="8" t="n"/>
      <c r="Q1416" s="8">
        <f>IF(COUNT(D1416:P1416)=0,"",MIN(D1416:P1416))</f>
        <v/>
      </c>
      <c r="R1416" s="8">
        <f>IF(COUNT(D1416:P1416)=0,"",MEDIAN(D1416:P1416))</f>
        <v/>
      </c>
      <c r="S1416" s="8">
        <f>IF(COUNT(D1416:P1416)=0,"",MAX(D1416:P1416))</f>
        <v/>
      </c>
      <c r="T1416" s="9">
        <f>IF(OR(Q1416="",Q1416=0),"",(S1416-Q1416)/Q1416)</f>
        <v/>
      </c>
      <c r="U1416" s="7">
        <f>IF(COUNT(D1416:P1416)=0,"",INDEX($D$1:$P$1,MATCH(MIN(D1416:P1416),D1416:P1416,0)))</f>
        <v/>
      </c>
      <c r="V1416" s="8" t="n">
        <v>1770.23</v>
      </c>
      <c r="W1416" s="10" t="n">
        <v>2</v>
      </c>
    </row>
    <row r="1417">
      <c r="A1417" s="7" t="inlineStr">
        <is>
          <t>MAT-32-066</t>
        </is>
      </c>
      <c r="B1417" s="4" t="inlineStr">
        <is>
          <t>Tubo PVC SDR-41 4" x 9.5 pies</t>
        </is>
      </c>
      <c r="C1417" s="7" t="inlineStr">
        <is>
          <t>tubo</t>
        </is>
      </c>
      <c r="D1417" s="8" t="n"/>
      <c r="E1417" s="8" t="n">
        <v>868</v>
      </c>
      <c r="F1417" s="8" t="n"/>
      <c r="G1417" s="8" t="n"/>
      <c r="H1417" s="8" t="n"/>
      <c r="I1417" s="8" t="n"/>
      <c r="J1417" s="8" t="n"/>
      <c r="K1417" s="8" t="n"/>
      <c r="L1417" s="8" t="n"/>
      <c r="M1417" s="8" t="n"/>
      <c r="N1417" s="8" t="n"/>
      <c r="O1417" s="8" t="n"/>
      <c r="P1417" s="8" t="n"/>
      <c r="Q1417" s="8">
        <f>IF(COUNT(D1417:P1417)=0,"",MIN(D1417:P1417))</f>
        <v/>
      </c>
      <c r="R1417" s="8">
        <f>IF(COUNT(D1417:P1417)=0,"",MEDIAN(D1417:P1417))</f>
        <v/>
      </c>
      <c r="S1417" s="8">
        <f>IF(COUNT(D1417:P1417)=0,"",MAX(D1417:P1417))</f>
        <v/>
      </c>
      <c r="T1417" s="9">
        <f>IF(OR(Q1417="",Q1417=0),"",(S1417-Q1417)/Q1417)</f>
        <v/>
      </c>
      <c r="U1417" s="7">
        <f>IF(COUNT(D1417:P1417)=0,"",INDEX($D$1:$P$1,MATCH(MIN(D1417:P1417),D1417:P1417,0)))</f>
        <v/>
      </c>
      <c r="V1417" s="8" t="n">
        <v>868</v>
      </c>
      <c r="W1417" s="10" t="n">
        <v>1</v>
      </c>
    </row>
    <row r="1418">
      <c r="A1418" s="7" t="inlineStr">
        <is>
          <t>MAT-32-067</t>
        </is>
      </c>
      <c r="B1418" s="4" t="inlineStr">
        <is>
          <t>Tubo PVC SDR-41 6" x 19 pies</t>
        </is>
      </c>
      <c r="C1418" s="7" t="inlineStr">
        <is>
          <t>tubo</t>
        </is>
      </c>
      <c r="D1418" s="8" t="n"/>
      <c r="E1418" s="8" t="n">
        <v>4920.87</v>
      </c>
      <c r="F1418" s="8" t="n"/>
      <c r="G1418" s="8" t="n"/>
      <c r="H1418" s="8" t="n"/>
      <c r="I1418" s="8" t="n"/>
      <c r="J1418" s="8" t="n"/>
      <c r="K1418" s="8" t="n"/>
      <c r="L1418" s="8" t="n"/>
      <c r="M1418" s="8" t="n">
        <v>4322</v>
      </c>
      <c r="N1418" s="8" t="n"/>
      <c r="O1418" s="8" t="n"/>
      <c r="P1418" s="8" t="n"/>
      <c r="Q1418" s="8">
        <f>IF(COUNT(D1418:P1418)=0,"",MIN(D1418:P1418))</f>
        <v/>
      </c>
      <c r="R1418" s="8">
        <f>IF(COUNT(D1418:P1418)=0,"",MEDIAN(D1418:P1418))</f>
        <v/>
      </c>
      <c r="S1418" s="8">
        <f>IF(COUNT(D1418:P1418)=0,"",MAX(D1418:P1418))</f>
        <v/>
      </c>
      <c r="T1418" s="9">
        <f>IF(OR(Q1418="",Q1418=0),"",(S1418-Q1418)/Q1418)</f>
        <v/>
      </c>
      <c r="U1418" s="7">
        <f>IF(COUNT(D1418:P1418)=0,"",INDEX($D$1:$P$1,MATCH(MIN(D1418:P1418),D1418:P1418,0)))</f>
        <v/>
      </c>
      <c r="V1418" s="8" t="n">
        <v>5010.42</v>
      </c>
      <c r="W1418" s="10" t="n">
        <v>2</v>
      </c>
    </row>
    <row r="1419">
      <c r="A1419" s="7" t="inlineStr">
        <is>
          <t>MAT-32-068</t>
        </is>
      </c>
      <c r="B1419" s="4" t="inlineStr">
        <is>
          <t>Tubo PVC SDR-41 8" x 19 pies</t>
        </is>
      </c>
      <c r="C1419" s="7" t="inlineStr">
        <is>
          <t>tubo</t>
        </is>
      </c>
      <c r="D1419" s="8" t="n"/>
      <c r="E1419" s="8" t="n">
        <v>7570</v>
      </c>
      <c r="F1419" s="8" t="n"/>
      <c r="G1419" s="8" t="n"/>
      <c r="H1419" s="8" t="n"/>
      <c r="I1419" s="8" t="n"/>
      <c r="J1419" s="8" t="n"/>
      <c r="K1419" s="8" t="n"/>
      <c r="L1419" s="8" t="n">
        <v>4819.99</v>
      </c>
      <c r="M1419" s="8" t="n">
        <v>6720.9</v>
      </c>
      <c r="N1419" s="8" t="n"/>
      <c r="O1419" s="8" t="n"/>
      <c r="P1419" s="8" t="n"/>
      <c r="Q1419" s="8">
        <f>IF(COUNT(D1419:P1419)=0,"",MIN(D1419:P1419))</f>
        <v/>
      </c>
      <c r="R1419" s="8">
        <f>IF(COUNT(D1419:P1419)=0,"",MEDIAN(D1419:P1419))</f>
        <v/>
      </c>
      <c r="S1419" s="8">
        <f>IF(COUNT(D1419:P1419)=0,"",MAX(D1419:P1419))</f>
        <v/>
      </c>
      <c r="T1419" s="9">
        <f>IF(OR(Q1419="",Q1419=0),"",(S1419-Q1419)/Q1419)</f>
        <v/>
      </c>
      <c r="U1419" s="7">
        <f>IF(COUNT(D1419:P1419)=0,"",INDEX($D$1:$P$1,MATCH(MIN(D1419:P1419),D1419:P1419,0)))</f>
        <v/>
      </c>
      <c r="V1419" s="8" t="n">
        <v>7570</v>
      </c>
      <c r="W1419" s="10" t="n">
        <v>3</v>
      </c>
    </row>
    <row r="1420">
      <c r="A1420" s="7" t="inlineStr">
        <is>
          <t>MAT-32-069</t>
        </is>
      </c>
      <c r="B1420" s="4" t="inlineStr">
        <is>
          <t>Abrazadera de manguera 1 1/2"</t>
        </is>
      </c>
      <c r="C1420" s="7" t="inlineStr">
        <is>
          <t>unidad</t>
        </is>
      </c>
      <c r="D1420" s="8" t="n"/>
      <c r="E1420" s="8" t="n"/>
      <c r="F1420" s="8" t="n"/>
      <c r="G1420" s="8" t="n">
        <v>39</v>
      </c>
      <c r="H1420" s="8" t="n"/>
      <c r="I1420" s="8" t="n"/>
      <c r="J1420" s="8" t="n"/>
      <c r="K1420" s="8" t="n"/>
      <c r="L1420" s="8" t="n"/>
      <c r="M1420" s="8" t="n"/>
      <c r="N1420" s="8" t="n"/>
      <c r="O1420" s="8" t="n"/>
      <c r="P1420" s="8" t="n"/>
      <c r="Q1420" s="8">
        <f>IF(COUNT(D1420:P1420)=0,"",MIN(D1420:P1420))</f>
        <v/>
      </c>
      <c r="R1420" s="8">
        <f>IF(COUNT(D1420:P1420)=0,"",MEDIAN(D1420:P1420))</f>
        <v/>
      </c>
      <c r="S1420" s="8">
        <f>IF(COUNT(D1420:P1420)=0,"",MAX(D1420:P1420))</f>
        <v/>
      </c>
      <c r="T1420" s="9">
        <f>IF(OR(Q1420="",Q1420=0),"",(S1420-Q1420)/Q1420)</f>
        <v/>
      </c>
      <c r="U1420" s="7">
        <f>IF(COUNT(D1420:P1420)=0,"",INDEX($D$1:$P$1,MATCH(MIN(D1420:P1420),D1420:P1420,0)))</f>
        <v/>
      </c>
      <c r="V1420" s="8" t="n">
        <v>53</v>
      </c>
      <c r="W1420" s="10" t="n">
        <v>1</v>
      </c>
    </row>
    <row r="1421">
      <c r="A1421" s="7" t="inlineStr">
        <is>
          <t>MAT-32-070</t>
        </is>
      </c>
      <c r="B1421" s="4" t="inlineStr">
        <is>
          <t>Abrazadera de manguera 1/2"</t>
        </is>
      </c>
      <c r="C1421" s="7" t="inlineStr">
        <is>
          <t>unidad</t>
        </is>
      </c>
      <c r="D1421" s="8" t="n"/>
      <c r="E1421" s="8" t="n"/>
      <c r="F1421" s="8" t="n"/>
      <c r="G1421" s="8" t="n">
        <v>53</v>
      </c>
      <c r="H1421" s="8" t="n"/>
      <c r="I1421" s="8" t="n"/>
      <c r="J1421" s="8" t="n"/>
      <c r="K1421" s="8" t="n"/>
      <c r="L1421" s="8" t="n"/>
      <c r="M1421" s="8" t="n"/>
      <c r="N1421" s="8" t="n"/>
      <c r="O1421" s="8" t="n"/>
      <c r="P1421" s="8" t="n"/>
      <c r="Q1421" s="8">
        <f>IF(COUNT(D1421:P1421)=0,"",MIN(D1421:P1421))</f>
        <v/>
      </c>
      <c r="R1421" s="8">
        <f>IF(COUNT(D1421:P1421)=0,"",MEDIAN(D1421:P1421))</f>
        <v/>
      </c>
      <c r="S1421" s="8">
        <f>IF(COUNT(D1421:P1421)=0,"",MAX(D1421:P1421))</f>
        <v/>
      </c>
      <c r="T1421" s="9">
        <f>IF(OR(Q1421="",Q1421=0),"",(S1421-Q1421)/Q1421)</f>
        <v/>
      </c>
      <c r="U1421" s="7">
        <f>IF(COUNT(D1421:P1421)=0,"",INDEX($D$1:$P$1,MATCH(MIN(D1421:P1421),D1421:P1421,0)))</f>
        <v/>
      </c>
      <c r="V1421" s="8" t="n">
        <v>53</v>
      </c>
      <c r="W1421" s="10" t="n">
        <v>1</v>
      </c>
    </row>
    <row r="1422">
      <c r="A1422" s="7" t="inlineStr">
        <is>
          <t>MAT-32-071</t>
        </is>
      </c>
      <c r="B1422" s="4" t="inlineStr">
        <is>
          <t>Abrazadera de manguera 1"</t>
        </is>
      </c>
      <c r="C1422" s="7" t="inlineStr">
        <is>
          <t>unidad</t>
        </is>
      </c>
      <c r="D1422" s="8" t="n"/>
      <c r="E1422" s="8" t="n"/>
      <c r="F1422" s="8" t="n"/>
      <c r="G1422" s="8" t="n">
        <v>56</v>
      </c>
      <c r="H1422" s="8" t="n"/>
      <c r="I1422" s="8" t="n"/>
      <c r="J1422" s="8" t="n"/>
      <c r="K1422" s="8" t="n"/>
      <c r="L1422" s="8" t="n"/>
      <c r="M1422" s="8" t="n"/>
      <c r="N1422" s="8" t="n"/>
      <c r="O1422" s="8" t="n"/>
      <c r="P1422" s="8" t="n"/>
      <c r="Q1422" s="8">
        <f>IF(COUNT(D1422:P1422)=0,"",MIN(D1422:P1422))</f>
        <v/>
      </c>
      <c r="R1422" s="8">
        <f>IF(COUNT(D1422:P1422)=0,"",MEDIAN(D1422:P1422))</f>
        <v/>
      </c>
      <c r="S1422" s="8">
        <f>IF(COUNT(D1422:P1422)=0,"",MAX(D1422:P1422))</f>
        <v/>
      </c>
      <c r="T1422" s="9">
        <f>IF(OR(Q1422="",Q1422=0),"",(S1422-Q1422)/Q1422)</f>
        <v/>
      </c>
      <c r="U1422" s="7">
        <f>IF(COUNT(D1422:P1422)=0,"",INDEX($D$1:$P$1,MATCH(MIN(D1422:P1422),D1422:P1422,0)))</f>
        <v/>
      </c>
      <c r="V1422" s="8" t="n">
        <v>56</v>
      </c>
      <c r="W1422" s="10" t="n">
        <v>1</v>
      </c>
    </row>
    <row r="1423">
      <c r="A1423" s="7" t="inlineStr">
        <is>
          <t>MAT-32-072</t>
        </is>
      </c>
      <c r="B1423" s="4" t="inlineStr">
        <is>
          <t>Abrazadera de manguera 2"</t>
        </is>
      </c>
      <c r="C1423" s="7" t="inlineStr">
        <is>
          <t>unidad</t>
        </is>
      </c>
      <c r="D1423" s="8" t="n"/>
      <c r="E1423" s="8" t="n"/>
      <c r="F1423" s="8" t="n"/>
      <c r="G1423" s="8" t="n">
        <v>68</v>
      </c>
      <c r="H1423" s="8" t="n"/>
      <c r="I1423" s="8" t="n"/>
      <c r="J1423" s="8" t="n"/>
      <c r="K1423" s="8" t="n"/>
      <c r="L1423" s="8" t="n"/>
      <c r="M1423" s="8" t="n"/>
      <c r="N1423" s="8" t="n"/>
      <c r="O1423" s="8" t="n"/>
      <c r="P1423" s="8" t="n"/>
      <c r="Q1423" s="8">
        <f>IF(COUNT(D1423:P1423)=0,"",MIN(D1423:P1423))</f>
        <v/>
      </c>
      <c r="R1423" s="8">
        <f>IF(COUNT(D1423:P1423)=0,"",MEDIAN(D1423:P1423))</f>
        <v/>
      </c>
      <c r="S1423" s="8">
        <f>IF(COUNT(D1423:P1423)=0,"",MAX(D1423:P1423))</f>
        <v/>
      </c>
      <c r="T1423" s="9">
        <f>IF(OR(Q1423="",Q1423=0),"",(S1423-Q1423)/Q1423)</f>
        <v/>
      </c>
      <c r="U1423" s="7">
        <f>IF(COUNT(D1423:P1423)=0,"",INDEX($D$1:$P$1,MATCH(MIN(D1423:P1423),D1423:P1423,0)))</f>
        <v/>
      </c>
      <c r="V1423" s="8" t="n">
        <v>68</v>
      </c>
      <c r="W1423" s="10" t="n">
        <v>1</v>
      </c>
    </row>
    <row r="1424">
      <c r="A1424" s="7" t="inlineStr">
        <is>
          <t>MAT-32-073</t>
        </is>
      </c>
      <c r="B1424" s="4" t="inlineStr">
        <is>
          <t>Abrazadera de manguera 3/4"</t>
        </is>
      </c>
      <c r="C1424" s="7" t="inlineStr">
        <is>
          <t>unidad</t>
        </is>
      </c>
      <c r="D1424" s="8" t="n"/>
      <c r="E1424" s="8" t="n"/>
      <c r="F1424" s="8" t="n"/>
      <c r="G1424" s="8" t="n">
        <v>65</v>
      </c>
      <c r="H1424" s="8" t="n"/>
      <c r="I1424" s="8" t="n"/>
      <c r="J1424" s="8" t="n"/>
      <c r="K1424" s="8" t="n"/>
      <c r="L1424" s="8" t="n"/>
      <c r="M1424" s="8" t="n"/>
      <c r="N1424" s="8" t="n"/>
      <c r="O1424" s="8" t="n"/>
      <c r="P1424" s="8" t="n"/>
      <c r="Q1424" s="8">
        <f>IF(COUNT(D1424:P1424)=0,"",MIN(D1424:P1424))</f>
        <v/>
      </c>
      <c r="R1424" s="8">
        <f>IF(COUNT(D1424:P1424)=0,"",MEDIAN(D1424:P1424))</f>
        <v/>
      </c>
      <c r="S1424" s="8">
        <f>IF(COUNT(D1424:P1424)=0,"",MAX(D1424:P1424))</f>
        <v/>
      </c>
      <c r="T1424" s="9">
        <f>IF(OR(Q1424="",Q1424=0),"",(S1424-Q1424)/Q1424)</f>
        <v/>
      </c>
      <c r="U1424" s="7">
        <f>IF(COUNT(D1424:P1424)=0,"",INDEX($D$1:$P$1,MATCH(MIN(D1424:P1424),D1424:P1424,0)))</f>
        <v/>
      </c>
      <c r="V1424" s="8" t="n">
        <v>65</v>
      </c>
      <c r="W1424" s="10" t="n">
        <v>1</v>
      </c>
    </row>
    <row r="1425">
      <c r="A1425" s="7" t="inlineStr">
        <is>
          <t>MAT-32-074</t>
        </is>
      </c>
      <c r="B1425" s="4" t="inlineStr">
        <is>
          <t>Adaptador hembra de bronce 12" x 1/2"</t>
        </is>
      </c>
      <c r="C1425" s="7" t="inlineStr">
        <is>
          <t>unidad</t>
        </is>
      </c>
      <c r="D1425" s="8" t="n"/>
      <c r="E1425" s="8" t="n">
        <v>265</v>
      </c>
      <c r="F1425" s="8" t="n"/>
      <c r="G1425" s="8" t="n"/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>
        <f>IF(COUNT(D1425:P1425)=0,"",MIN(D1425:P1425))</f>
        <v/>
      </c>
      <c r="R1425" s="8">
        <f>IF(COUNT(D1425:P1425)=0,"",MEDIAN(D1425:P1425))</f>
        <v/>
      </c>
      <c r="S1425" s="8">
        <f>IF(COUNT(D1425:P1425)=0,"",MAX(D1425:P1425))</f>
        <v/>
      </c>
      <c r="T1425" s="9">
        <f>IF(OR(Q1425="",Q1425=0),"",(S1425-Q1425)/Q1425)</f>
        <v/>
      </c>
      <c r="U1425" s="7">
        <f>IF(COUNT(D1425:P1425)=0,"",INDEX($D$1:$P$1,MATCH(MIN(D1425:P1425),D1425:P1425,0)))</f>
        <v/>
      </c>
      <c r="V1425" s="8" t="n">
        <v>265</v>
      </c>
      <c r="W1425" s="10" t="n">
        <v>1</v>
      </c>
    </row>
    <row r="1426">
      <c r="A1426" s="7" t="inlineStr">
        <is>
          <t>MAT-32-075</t>
        </is>
      </c>
      <c r="B1426" s="4" t="inlineStr">
        <is>
          <t>Adaptador hembra de bronce 12" x 3/8"</t>
        </is>
      </c>
      <c r="C1426" s="7" t="inlineStr">
        <is>
          <t>unidad</t>
        </is>
      </c>
      <c r="D1426" s="8" t="n"/>
      <c r="E1426" s="8" t="n">
        <v>282</v>
      </c>
      <c r="F1426" s="8" t="n"/>
      <c r="G1426" s="8" t="n"/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>
        <f>IF(COUNT(D1426:P1426)=0,"",MIN(D1426:P1426))</f>
        <v/>
      </c>
      <c r="R1426" s="8">
        <f>IF(COUNT(D1426:P1426)=0,"",MEDIAN(D1426:P1426))</f>
        <v/>
      </c>
      <c r="S1426" s="8">
        <f>IF(COUNT(D1426:P1426)=0,"",MAX(D1426:P1426))</f>
        <v/>
      </c>
      <c r="T1426" s="9">
        <f>IF(OR(Q1426="",Q1426=0),"",(S1426-Q1426)/Q1426)</f>
        <v/>
      </c>
      <c r="U1426" s="7">
        <f>IF(COUNT(D1426:P1426)=0,"",INDEX($D$1:$P$1,MATCH(MIN(D1426:P1426),D1426:P1426,0)))</f>
        <v/>
      </c>
      <c r="V1426" s="8" t="n">
        <v>282</v>
      </c>
      <c r="W1426" s="10" t="n">
        <v>1</v>
      </c>
    </row>
    <row r="1427">
      <c r="A1427" s="7" t="inlineStr">
        <is>
          <t>MAT-32-076</t>
        </is>
      </c>
      <c r="B1427" s="4" t="inlineStr">
        <is>
          <t>Adaptador hembra de bronce 15" x 1/2"</t>
        </is>
      </c>
      <c r="C1427" s="7" t="inlineStr">
        <is>
          <t>unidad</t>
        </is>
      </c>
      <c r="D1427" s="8" t="n"/>
      <c r="E1427" s="8" t="n">
        <v>204</v>
      </c>
      <c r="F1427" s="8" t="n"/>
      <c r="G1427" s="8" t="n"/>
      <c r="H1427" s="8" t="n"/>
      <c r="I1427" s="8" t="n"/>
      <c r="J1427" s="8" t="n"/>
      <c r="K1427" s="8" t="n"/>
      <c r="L1427" s="8" t="n"/>
      <c r="M1427" s="8" t="n"/>
      <c r="N1427" s="8" t="n"/>
      <c r="O1427" s="8" t="n"/>
      <c r="P1427" s="8" t="n"/>
      <c r="Q1427" s="8">
        <f>IF(COUNT(D1427:P1427)=0,"",MIN(D1427:P1427))</f>
        <v/>
      </c>
      <c r="R1427" s="8">
        <f>IF(COUNT(D1427:P1427)=0,"",MEDIAN(D1427:P1427))</f>
        <v/>
      </c>
      <c r="S1427" s="8">
        <f>IF(COUNT(D1427:P1427)=0,"",MAX(D1427:P1427))</f>
        <v/>
      </c>
      <c r="T1427" s="9">
        <f>IF(OR(Q1427="",Q1427=0),"",(S1427-Q1427)/Q1427)</f>
        <v/>
      </c>
      <c r="U1427" s="7">
        <f>IF(COUNT(D1427:P1427)=0,"",INDEX($D$1:$P$1,MATCH(MIN(D1427:P1427),D1427:P1427,0)))</f>
        <v/>
      </c>
      <c r="V1427" s="8" t="n">
        <v>204</v>
      </c>
      <c r="W1427" s="10" t="n">
        <v>1</v>
      </c>
    </row>
    <row r="1428">
      <c r="A1428" s="7" t="inlineStr">
        <is>
          <t>MAT-32-077</t>
        </is>
      </c>
      <c r="B1428" s="4" t="inlineStr">
        <is>
          <t>Adaptador hembra de bronce 15" x 3/4"</t>
        </is>
      </c>
      <c r="C1428" s="7" t="inlineStr">
        <is>
          <t>unidad</t>
        </is>
      </c>
      <c r="D1428" s="8" t="n"/>
      <c r="E1428" s="8" t="n">
        <v>349</v>
      </c>
      <c r="F1428" s="8" t="n"/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 t="n"/>
      <c r="P1428" s="8" t="n"/>
      <c r="Q1428" s="8">
        <f>IF(COUNT(D1428:P1428)=0,"",MIN(D1428:P1428))</f>
        <v/>
      </c>
      <c r="R1428" s="8">
        <f>IF(COUNT(D1428:P1428)=0,"",MEDIAN(D1428:P1428))</f>
        <v/>
      </c>
      <c r="S1428" s="8">
        <f>IF(COUNT(D1428:P1428)=0,"",MAX(D1428:P1428))</f>
        <v/>
      </c>
      <c r="T1428" s="9">
        <f>IF(OR(Q1428="",Q1428=0),"",(S1428-Q1428)/Q1428)</f>
        <v/>
      </c>
      <c r="U1428" s="7">
        <f>IF(COUNT(D1428:P1428)=0,"",INDEX($D$1:$P$1,MATCH(MIN(D1428:P1428),D1428:P1428,0)))</f>
        <v/>
      </c>
      <c r="V1428" s="8" t="n">
        <v>349</v>
      </c>
      <c r="W1428" s="10" t="n">
        <v>1</v>
      </c>
    </row>
    <row r="1429">
      <c r="A1429" s="7" t="inlineStr">
        <is>
          <t>MAT-32-078</t>
        </is>
      </c>
      <c r="B1429" s="4" t="inlineStr">
        <is>
          <t>Adaptador hembra de bronce 15" x 3/8"</t>
        </is>
      </c>
      <c r="C1429" s="7" t="inlineStr">
        <is>
          <t>unidad</t>
        </is>
      </c>
      <c r="D1429" s="8" t="n"/>
      <c r="E1429" s="8" t="n">
        <v>279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>
        <f>IF(COUNT(D1429:P1429)=0,"",MIN(D1429:P1429))</f>
        <v/>
      </c>
      <c r="R1429" s="8">
        <f>IF(COUNT(D1429:P1429)=0,"",MEDIAN(D1429:P1429))</f>
        <v/>
      </c>
      <c r="S1429" s="8">
        <f>IF(COUNT(D1429:P1429)=0,"",MAX(D1429:P1429))</f>
        <v/>
      </c>
      <c r="T1429" s="9">
        <f>IF(OR(Q1429="",Q1429=0),"",(S1429-Q1429)/Q1429)</f>
        <v/>
      </c>
      <c r="U1429" s="7">
        <f>IF(COUNT(D1429:P1429)=0,"",INDEX($D$1:$P$1,MATCH(MIN(D1429:P1429),D1429:P1429,0)))</f>
        <v/>
      </c>
      <c r="V1429" s="8" t="n">
        <v>279</v>
      </c>
      <c r="W1429" s="10" t="n">
        <v>1</v>
      </c>
    </row>
    <row r="1430">
      <c r="A1430" s="7" t="inlineStr">
        <is>
          <t>MAT-32-079</t>
        </is>
      </c>
      <c r="B1430" s="4" t="inlineStr">
        <is>
          <t>Adaptador hembra de bronce 18" x 1/2"</t>
        </is>
      </c>
      <c r="C1430" s="7" t="inlineStr">
        <is>
          <t>unidad</t>
        </is>
      </c>
      <c r="D1430" s="8" t="n"/>
      <c r="E1430" s="8" t="n">
        <v>253</v>
      </c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>
        <f>IF(COUNT(D1430:P1430)=0,"",MIN(D1430:P1430))</f>
        <v/>
      </c>
      <c r="R1430" s="8">
        <f>IF(COUNT(D1430:P1430)=0,"",MEDIAN(D1430:P1430))</f>
        <v/>
      </c>
      <c r="S1430" s="8">
        <f>IF(COUNT(D1430:P1430)=0,"",MAX(D1430:P1430))</f>
        <v/>
      </c>
      <c r="T1430" s="9">
        <f>IF(OR(Q1430="",Q1430=0),"",(S1430-Q1430)/Q1430)</f>
        <v/>
      </c>
      <c r="U1430" s="7">
        <f>IF(COUNT(D1430:P1430)=0,"",INDEX($D$1:$P$1,MATCH(MIN(D1430:P1430),D1430:P1430,0)))</f>
        <v/>
      </c>
      <c r="V1430" s="8" t="n">
        <v>253</v>
      </c>
      <c r="W1430" s="10" t="n">
        <v>1</v>
      </c>
    </row>
    <row r="1431">
      <c r="A1431" s="7" t="inlineStr">
        <is>
          <t>MAT-32-080</t>
        </is>
      </c>
      <c r="B1431" s="4" t="inlineStr">
        <is>
          <t>Adaptador hembra de bronce 18" x 3/4"</t>
        </is>
      </c>
      <c r="C1431" s="7" t="inlineStr">
        <is>
          <t>unidad</t>
        </is>
      </c>
      <c r="D1431" s="8" t="n"/>
      <c r="E1431" s="8" t="n">
        <v>356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>
        <f>IF(COUNT(D1431:P1431)=0,"",MIN(D1431:P1431))</f>
        <v/>
      </c>
      <c r="R1431" s="8">
        <f>IF(COUNT(D1431:P1431)=0,"",MEDIAN(D1431:P1431))</f>
        <v/>
      </c>
      <c r="S1431" s="8">
        <f>IF(COUNT(D1431:P1431)=0,"",MAX(D1431:P1431))</f>
        <v/>
      </c>
      <c r="T1431" s="9">
        <f>IF(OR(Q1431="",Q1431=0),"",(S1431-Q1431)/Q1431)</f>
        <v/>
      </c>
      <c r="U1431" s="7">
        <f>IF(COUNT(D1431:P1431)=0,"",INDEX($D$1:$P$1,MATCH(MIN(D1431:P1431),D1431:P1431,0)))</f>
        <v/>
      </c>
      <c r="V1431" s="8" t="n">
        <v>356</v>
      </c>
      <c r="W1431" s="10" t="n">
        <v>1</v>
      </c>
    </row>
    <row r="1432">
      <c r="A1432" s="7" t="inlineStr">
        <is>
          <t>MAT-32-081</t>
        </is>
      </c>
      <c r="B1432" s="4" t="inlineStr">
        <is>
          <t>Adaptador hembra de bronce 25" x 3/4"</t>
        </is>
      </c>
      <c r="C1432" s="7" t="inlineStr">
        <is>
          <t>unidad</t>
        </is>
      </c>
      <c r="D1432" s="8" t="n"/>
      <c r="E1432" s="8" t="n">
        <v>423</v>
      </c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 t="n"/>
      <c r="P1432" s="8" t="n"/>
      <c r="Q1432" s="8">
        <f>IF(COUNT(D1432:P1432)=0,"",MIN(D1432:P1432))</f>
        <v/>
      </c>
      <c r="R1432" s="8">
        <f>IF(COUNT(D1432:P1432)=0,"",MEDIAN(D1432:P1432))</f>
        <v/>
      </c>
      <c r="S1432" s="8">
        <f>IF(COUNT(D1432:P1432)=0,"",MAX(D1432:P1432))</f>
        <v/>
      </c>
      <c r="T1432" s="9">
        <f>IF(OR(Q1432="",Q1432=0),"",(S1432-Q1432)/Q1432)</f>
        <v/>
      </c>
      <c r="U1432" s="7">
        <f>IF(COUNT(D1432:P1432)=0,"",INDEX($D$1:$P$1,MATCH(MIN(D1432:P1432),D1432:P1432,0)))</f>
        <v/>
      </c>
      <c r="V1432" s="8" t="n">
        <v>423</v>
      </c>
      <c r="W1432" s="10" t="n">
        <v>1</v>
      </c>
    </row>
    <row r="1433">
      <c r="A1433" s="7" t="inlineStr">
        <is>
          <t>MAT-32-082</t>
        </is>
      </c>
      <c r="B1433" s="4" t="inlineStr">
        <is>
          <t>Adaptador hembra de bronce 3/8" x 1/2"</t>
        </is>
      </c>
      <c r="C1433" s="7" t="inlineStr">
        <is>
          <t>unidad</t>
        </is>
      </c>
      <c r="D1433" s="8" t="n"/>
      <c r="E1433" s="8" t="n">
        <v>135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>
        <f>IF(COUNT(D1433:P1433)=0,"",MIN(D1433:P1433))</f>
        <v/>
      </c>
      <c r="R1433" s="8">
        <f>IF(COUNT(D1433:P1433)=0,"",MEDIAN(D1433:P1433))</f>
        <v/>
      </c>
      <c r="S1433" s="8">
        <f>IF(COUNT(D1433:P1433)=0,"",MAX(D1433:P1433))</f>
        <v/>
      </c>
      <c r="T1433" s="9">
        <f>IF(OR(Q1433="",Q1433=0),"",(S1433-Q1433)/Q1433)</f>
        <v/>
      </c>
      <c r="U1433" s="7">
        <f>IF(COUNT(D1433:P1433)=0,"",INDEX($D$1:$P$1,MATCH(MIN(D1433:P1433),D1433:P1433,0)))</f>
        <v/>
      </c>
      <c r="V1433" s="8" t="n">
        <v>144.5</v>
      </c>
      <c r="W1433" s="10" t="n">
        <v>1</v>
      </c>
    </row>
    <row r="1434">
      <c r="A1434" s="7" t="inlineStr">
        <is>
          <t>MAT-32-083</t>
        </is>
      </c>
      <c r="B1434" s="4" t="inlineStr">
        <is>
          <t>Adaptador hembra de bronce 3/8" x 1/4"</t>
        </is>
      </c>
      <c r="C1434" s="7" t="inlineStr">
        <is>
          <t>unidad</t>
        </is>
      </c>
      <c r="D1434" s="8" t="n"/>
      <c r="E1434" s="8" t="n">
        <v>104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/>
      <c r="P1434" s="8" t="n"/>
      <c r="Q1434" s="8">
        <f>IF(COUNT(D1434:P1434)=0,"",MIN(D1434:P1434))</f>
        <v/>
      </c>
      <c r="R1434" s="8">
        <f>IF(COUNT(D1434:P1434)=0,"",MEDIAN(D1434:P1434))</f>
        <v/>
      </c>
      <c r="S1434" s="8">
        <f>IF(COUNT(D1434:P1434)=0,"",MAX(D1434:P1434))</f>
        <v/>
      </c>
      <c r="T1434" s="9">
        <f>IF(OR(Q1434="",Q1434=0),"",(S1434-Q1434)/Q1434)</f>
        <v/>
      </c>
      <c r="U1434" s="7">
        <f>IF(COUNT(D1434:P1434)=0,"",INDEX($D$1:$P$1,MATCH(MIN(D1434:P1434),D1434:P1434,0)))</f>
        <v/>
      </c>
      <c r="V1434" s="8" t="n">
        <v>104</v>
      </c>
      <c r="W1434" s="10" t="n">
        <v>1</v>
      </c>
    </row>
    <row r="1435">
      <c r="A1435" s="7" t="inlineStr">
        <is>
          <t>MAT-32-084</t>
        </is>
      </c>
      <c r="B1435" s="4" t="inlineStr">
        <is>
          <t>Adaptador hembra de bronce 3/8" x 3/4"</t>
        </is>
      </c>
      <c r="C1435" s="7" t="inlineStr">
        <is>
          <t>unidad</t>
        </is>
      </c>
      <c r="D1435" s="8" t="n"/>
      <c r="E1435" s="8" t="n">
        <v>183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/>
      <c r="P1435" s="8" t="n"/>
      <c r="Q1435" s="8">
        <f>IF(COUNT(D1435:P1435)=0,"",MIN(D1435:P1435))</f>
        <v/>
      </c>
      <c r="R1435" s="8">
        <f>IF(COUNT(D1435:P1435)=0,"",MEDIAN(D1435:P1435))</f>
        <v/>
      </c>
      <c r="S1435" s="8">
        <f>IF(COUNT(D1435:P1435)=0,"",MAX(D1435:P1435))</f>
        <v/>
      </c>
      <c r="T1435" s="9">
        <f>IF(OR(Q1435="",Q1435=0),"",(S1435-Q1435)/Q1435)</f>
        <v/>
      </c>
      <c r="U1435" s="7">
        <f>IF(COUNT(D1435:P1435)=0,"",INDEX($D$1:$P$1,MATCH(MIN(D1435:P1435),D1435:P1435,0)))</f>
        <v/>
      </c>
      <c r="V1435" s="8" t="n">
        <v>183</v>
      </c>
      <c r="W1435" s="10" t="n">
        <v>1</v>
      </c>
    </row>
    <row r="1436">
      <c r="A1436" s="7" t="inlineStr">
        <is>
          <t>MAT-32-085</t>
        </is>
      </c>
      <c r="B1436" s="4" t="inlineStr">
        <is>
          <t>Adaptador hembra de bronce 3/8" x 3/8"</t>
        </is>
      </c>
      <c r="C1436" s="7" t="inlineStr">
        <is>
          <t>unidad</t>
        </is>
      </c>
      <c r="D1436" s="8" t="n"/>
      <c r="E1436" s="8" t="n">
        <v>90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>
        <f>IF(COUNT(D1436:P1436)=0,"",MIN(D1436:P1436))</f>
        <v/>
      </c>
      <c r="R1436" s="8">
        <f>IF(COUNT(D1436:P1436)=0,"",MEDIAN(D1436:P1436))</f>
        <v/>
      </c>
      <c r="S1436" s="8">
        <f>IF(COUNT(D1436:P1436)=0,"",MAX(D1436:P1436))</f>
        <v/>
      </c>
      <c r="T1436" s="9">
        <f>IF(OR(Q1436="",Q1436=0),"",(S1436-Q1436)/Q1436)</f>
        <v/>
      </c>
      <c r="U1436" s="7">
        <f>IF(COUNT(D1436:P1436)=0,"",INDEX($D$1:$P$1,MATCH(MIN(D1436:P1436),D1436:P1436,0)))</f>
        <v/>
      </c>
      <c r="V1436" s="8" t="n">
        <v>90</v>
      </c>
      <c r="W1436" s="10" t="n">
        <v>1</v>
      </c>
    </row>
    <row r="1437">
      <c r="A1437" s="7" t="inlineStr">
        <is>
          <t>MAT-32-086</t>
        </is>
      </c>
      <c r="B1437" s="4" t="inlineStr">
        <is>
          <t>Adaptador hembra de bronce 32" x 1"</t>
        </is>
      </c>
      <c r="C1437" s="7" t="inlineStr">
        <is>
          <t>unidad</t>
        </is>
      </c>
      <c r="D1437" s="8" t="n"/>
      <c r="E1437" s="8" t="n">
        <v>535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>
        <f>IF(COUNT(D1437:P1437)=0,"",MIN(D1437:P1437))</f>
        <v/>
      </c>
      <c r="R1437" s="8">
        <f>IF(COUNT(D1437:P1437)=0,"",MEDIAN(D1437:P1437))</f>
        <v/>
      </c>
      <c r="S1437" s="8">
        <f>IF(COUNT(D1437:P1437)=0,"",MAX(D1437:P1437))</f>
        <v/>
      </c>
      <c r="T1437" s="9">
        <f>IF(OR(Q1437="",Q1437=0),"",(S1437-Q1437)/Q1437)</f>
        <v/>
      </c>
      <c r="U1437" s="7">
        <f>IF(COUNT(D1437:P1437)=0,"",INDEX($D$1:$P$1,MATCH(MIN(D1437:P1437),D1437:P1437,0)))</f>
        <v/>
      </c>
      <c r="V1437" s="8" t="n">
        <v>535</v>
      </c>
      <c r="W1437" s="10" t="n">
        <v>1</v>
      </c>
    </row>
    <row r="1438">
      <c r="A1438" s="7" t="inlineStr">
        <is>
          <t>MAT-32-087</t>
        </is>
      </c>
      <c r="B1438" s="4" t="inlineStr">
        <is>
          <t>Adaptador hembra de CPVC 1/2"</t>
        </is>
      </c>
      <c r="C1438" s="7" t="inlineStr">
        <is>
          <t>unidad</t>
        </is>
      </c>
      <c r="D1438" s="8" t="n"/>
      <c r="E1438" s="8" t="n">
        <v>11.01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>
        <f>IF(COUNT(D1438:P1438)=0,"",MIN(D1438:P1438))</f>
        <v/>
      </c>
      <c r="R1438" s="8">
        <f>IF(COUNT(D1438:P1438)=0,"",MEDIAN(D1438:P1438))</f>
        <v/>
      </c>
      <c r="S1438" s="8">
        <f>IF(COUNT(D1438:P1438)=0,"",MAX(D1438:P1438))</f>
        <v/>
      </c>
      <c r="T1438" s="9">
        <f>IF(OR(Q1438="",Q1438=0),"",(S1438-Q1438)/Q1438)</f>
        <v/>
      </c>
      <c r="U1438" s="7">
        <f>IF(COUNT(D1438:P1438)=0,"",INDEX($D$1:$P$1,MATCH(MIN(D1438:P1438),D1438:P1438,0)))</f>
        <v/>
      </c>
      <c r="V1438" s="8" t="n">
        <v>11.01</v>
      </c>
      <c r="W1438" s="10" t="n">
        <v>1</v>
      </c>
    </row>
    <row r="1439">
      <c r="A1439" s="7" t="inlineStr">
        <is>
          <t>MAT-32-088</t>
        </is>
      </c>
      <c r="B1439" s="4" t="inlineStr">
        <is>
          <t>Adaptador hembra de CPVC 1"</t>
        </is>
      </c>
      <c r="C1439" s="7" t="inlineStr">
        <is>
          <t>unidad</t>
        </is>
      </c>
      <c r="D1439" s="8" t="n"/>
      <c r="E1439" s="8" t="n">
        <v>26.25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>
        <f>IF(COUNT(D1439:P1439)=0,"",MIN(D1439:P1439))</f>
        <v/>
      </c>
      <c r="R1439" s="8">
        <f>IF(COUNT(D1439:P1439)=0,"",MEDIAN(D1439:P1439))</f>
        <v/>
      </c>
      <c r="S1439" s="8">
        <f>IF(COUNT(D1439:P1439)=0,"",MAX(D1439:P1439))</f>
        <v/>
      </c>
      <c r="T1439" s="9">
        <f>IF(OR(Q1439="",Q1439=0),"",(S1439-Q1439)/Q1439)</f>
        <v/>
      </c>
      <c r="U1439" s="7">
        <f>IF(COUNT(D1439:P1439)=0,"",INDEX($D$1:$P$1,MATCH(MIN(D1439:P1439),D1439:P1439,0)))</f>
        <v/>
      </c>
      <c r="V1439" s="8" t="n">
        <v>26.25</v>
      </c>
      <c r="W1439" s="10" t="n">
        <v>1</v>
      </c>
    </row>
    <row r="1440">
      <c r="A1440" s="7" t="inlineStr">
        <is>
          <t>MAT-32-089</t>
        </is>
      </c>
      <c r="B1440" s="4" t="inlineStr">
        <is>
          <t>Adaptador hembra de CPVC 3/4"</t>
        </is>
      </c>
      <c r="C1440" s="7" t="inlineStr">
        <is>
          <t>unidad</t>
        </is>
      </c>
      <c r="D1440" s="8" t="n"/>
      <c r="E1440" s="8" t="n">
        <v>27.22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>
        <f>IF(COUNT(D1440:P1440)=0,"",MIN(D1440:P1440))</f>
        <v/>
      </c>
      <c r="R1440" s="8">
        <f>IF(COUNT(D1440:P1440)=0,"",MEDIAN(D1440:P1440))</f>
        <v/>
      </c>
      <c r="S1440" s="8">
        <f>IF(COUNT(D1440:P1440)=0,"",MAX(D1440:P1440))</f>
        <v/>
      </c>
      <c r="T1440" s="9">
        <f>IF(OR(Q1440="",Q1440=0),"",(S1440-Q1440)/Q1440)</f>
        <v/>
      </c>
      <c r="U1440" s="7">
        <f>IF(COUNT(D1440:P1440)=0,"",INDEX($D$1:$P$1,MATCH(MIN(D1440:P1440),D1440:P1440,0)))</f>
        <v/>
      </c>
      <c r="V1440" s="8" t="n">
        <v>27.22</v>
      </c>
      <c r="W1440" s="10" t="n">
        <v>1</v>
      </c>
    </row>
    <row r="1441">
      <c r="A1441" s="7" t="inlineStr">
        <is>
          <t>MAT-32-090</t>
        </is>
      </c>
      <c r="B1441" s="4" t="inlineStr">
        <is>
          <t>Adaptador hembra de plástico 5/8"</t>
        </is>
      </c>
      <c r="C1441" s="7" t="inlineStr">
        <is>
          <t>unidad</t>
        </is>
      </c>
      <c r="D1441" s="8" t="n"/>
      <c r="E1441" s="8" t="n">
        <v>106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>
        <f>IF(COUNT(D1441:P1441)=0,"",MIN(D1441:P1441))</f>
        <v/>
      </c>
      <c r="R1441" s="8">
        <f>IF(COUNT(D1441:P1441)=0,"",MEDIAN(D1441:P1441))</f>
        <v/>
      </c>
      <c r="S1441" s="8">
        <f>IF(COUNT(D1441:P1441)=0,"",MAX(D1441:P1441))</f>
        <v/>
      </c>
      <c r="T1441" s="9">
        <f>IF(OR(Q1441="",Q1441=0),"",(S1441-Q1441)/Q1441)</f>
        <v/>
      </c>
      <c r="U1441" s="7">
        <f>IF(COUNT(D1441:P1441)=0,"",INDEX($D$1:$P$1,MATCH(MIN(D1441:P1441),D1441:P1441,0)))</f>
        <v/>
      </c>
      <c r="V1441" s="8" t="n">
        <v>106</v>
      </c>
      <c r="W1441" s="10" t="n">
        <v>1</v>
      </c>
    </row>
    <row r="1442">
      <c r="A1442" s="7" t="inlineStr">
        <is>
          <t>MAT-32-091</t>
        </is>
      </c>
      <c r="B1442" s="4" t="inlineStr">
        <is>
          <t>Adaptador hembra de PPR 20 mm</t>
        </is>
      </c>
      <c r="C1442" s="7" t="inlineStr">
        <is>
          <t>unidad</t>
        </is>
      </c>
      <c r="D1442" s="8" t="n"/>
      <c r="E1442" s="8" t="n">
        <v>58.58</v>
      </c>
      <c r="F1442" s="8" t="n"/>
      <c r="G1442" s="8" t="n">
        <v>172</v>
      </c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>
        <f>IF(COUNT(D1442:P1442)=0,"",MIN(D1442:P1442))</f>
        <v/>
      </c>
      <c r="R1442" s="8">
        <f>IF(COUNT(D1442:P1442)=0,"",MEDIAN(D1442:P1442))</f>
        <v/>
      </c>
      <c r="S1442" s="8">
        <f>IF(COUNT(D1442:P1442)=0,"",MAX(D1442:P1442))</f>
        <v/>
      </c>
      <c r="T1442" s="9">
        <f>IF(OR(Q1442="",Q1442=0),"",(S1442-Q1442)/Q1442)</f>
        <v/>
      </c>
      <c r="U1442" s="7">
        <f>IF(COUNT(D1442:P1442)=0,"",INDEX($D$1:$P$1,MATCH(MIN(D1442:P1442),D1442:P1442,0)))</f>
        <v/>
      </c>
      <c r="V1442" s="8" t="n">
        <v>69</v>
      </c>
      <c r="W1442" s="10" t="n">
        <v>2</v>
      </c>
    </row>
    <row r="1443">
      <c r="A1443" s="7" t="inlineStr">
        <is>
          <t>MAT-32-092</t>
        </is>
      </c>
      <c r="B1443" s="4" t="inlineStr">
        <is>
          <t>Adaptador hembra de PPR 25 mm</t>
        </is>
      </c>
      <c r="C1443" s="7" t="inlineStr">
        <is>
          <t>unidad</t>
        </is>
      </c>
      <c r="D1443" s="8" t="n"/>
      <c r="E1443" s="8" t="n">
        <v>60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/>
      <c r="P1443" s="8" t="n"/>
      <c r="Q1443" s="8">
        <f>IF(COUNT(D1443:P1443)=0,"",MIN(D1443:P1443))</f>
        <v/>
      </c>
      <c r="R1443" s="8">
        <f>IF(COUNT(D1443:P1443)=0,"",MEDIAN(D1443:P1443))</f>
        <v/>
      </c>
      <c r="S1443" s="8">
        <f>IF(COUNT(D1443:P1443)=0,"",MAX(D1443:P1443))</f>
        <v/>
      </c>
      <c r="T1443" s="9">
        <f>IF(OR(Q1443="",Q1443=0),"",(S1443-Q1443)/Q1443)</f>
        <v/>
      </c>
      <c r="U1443" s="7">
        <f>IF(COUNT(D1443:P1443)=0,"",INDEX($D$1:$P$1,MATCH(MIN(D1443:P1443),D1443:P1443,0)))</f>
        <v/>
      </c>
      <c r="V1443" s="8" t="n">
        <v>68</v>
      </c>
      <c r="W1443" s="10" t="n">
        <v>1</v>
      </c>
    </row>
    <row r="1444">
      <c r="A1444" s="7" t="inlineStr">
        <is>
          <t>MAT-32-093</t>
        </is>
      </c>
      <c r="B1444" s="4" t="inlineStr">
        <is>
          <t>Adaptador hembra de PPR 32 mm</t>
        </is>
      </c>
      <c r="C1444" s="7" t="inlineStr">
        <is>
          <t>unidad</t>
        </is>
      </c>
      <c r="D1444" s="8" t="n"/>
      <c r="E1444" s="8" t="n">
        <v>56.64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>
        <f>IF(COUNT(D1444:P1444)=0,"",MIN(D1444:P1444))</f>
        <v/>
      </c>
      <c r="R1444" s="8">
        <f>IF(COUNT(D1444:P1444)=0,"",MEDIAN(D1444:P1444))</f>
        <v/>
      </c>
      <c r="S1444" s="8">
        <f>IF(COUNT(D1444:P1444)=0,"",MAX(D1444:P1444))</f>
        <v/>
      </c>
      <c r="T1444" s="9">
        <f>IF(OR(Q1444="",Q1444=0),"",(S1444-Q1444)/Q1444)</f>
        <v/>
      </c>
      <c r="U1444" s="7">
        <f>IF(COUNT(D1444:P1444)=0,"",INDEX($D$1:$P$1,MATCH(MIN(D1444:P1444),D1444:P1444,0)))</f>
        <v/>
      </c>
      <c r="V1444" s="8" t="n">
        <v>80</v>
      </c>
      <c r="W1444" s="10" t="n">
        <v>1</v>
      </c>
    </row>
    <row r="1445">
      <c r="A1445" s="7" t="inlineStr">
        <is>
          <t>MAT-32-094</t>
        </is>
      </c>
      <c r="B1445" s="4" t="inlineStr">
        <is>
          <t>Adaptador hembra de PPR 50 mm</t>
        </is>
      </c>
      <c r="C1445" s="7" t="inlineStr">
        <is>
          <t>unidad</t>
        </is>
      </c>
      <c r="D1445" s="8" t="n"/>
      <c r="E1445" s="8" t="n">
        <v>270</v>
      </c>
      <c r="F1445" s="8" t="n"/>
      <c r="G1445" s="8" t="n"/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>
        <f>IF(COUNT(D1445:P1445)=0,"",MIN(D1445:P1445))</f>
        <v/>
      </c>
      <c r="R1445" s="8">
        <f>IF(COUNT(D1445:P1445)=0,"",MEDIAN(D1445:P1445))</f>
        <v/>
      </c>
      <c r="S1445" s="8">
        <f>IF(COUNT(D1445:P1445)=0,"",MAX(D1445:P1445))</f>
        <v/>
      </c>
      <c r="T1445" s="9">
        <f>IF(OR(Q1445="",Q1445=0),"",(S1445-Q1445)/Q1445)</f>
        <v/>
      </c>
      <c r="U1445" s="7">
        <f>IF(COUNT(D1445:P1445)=0,"",INDEX($D$1:$P$1,MATCH(MIN(D1445:P1445),D1445:P1445,0)))</f>
        <v/>
      </c>
      <c r="V1445" s="8" t="n">
        <v>270</v>
      </c>
      <c r="W1445" s="10" t="n">
        <v>1</v>
      </c>
    </row>
    <row r="1446">
      <c r="A1446" s="7" t="inlineStr">
        <is>
          <t>MAT-32-095</t>
        </is>
      </c>
      <c r="B1446" s="4" t="inlineStr">
        <is>
          <t>Adaptador hembra de PVC 1 1/2"</t>
        </is>
      </c>
      <c r="C1446" s="7" t="inlineStr">
        <is>
          <t>unidad</t>
        </is>
      </c>
      <c r="D1446" s="8" t="n"/>
      <c r="E1446" s="8" t="n">
        <v>19.21</v>
      </c>
      <c r="F1446" s="8" t="n"/>
      <c r="G1446" s="8" t="n">
        <v>75</v>
      </c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>
        <f>IF(COUNT(D1446:P1446)=0,"",MIN(D1446:P1446))</f>
        <v/>
      </c>
      <c r="R1446" s="8">
        <f>IF(COUNT(D1446:P1446)=0,"",MEDIAN(D1446:P1446))</f>
        <v/>
      </c>
      <c r="S1446" s="8">
        <f>IF(COUNT(D1446:P1446)=0,"",MAX(D1446:P1446))</f>
        <v/>
      </c>
      <c r="T1446" s="9">
        <f>IF(OR(Q1446="",Q1446=0),"",(S1446-Q1446)/Q1446)</f>
        <v/>
      </c>
      <c r="U1446" s="7">
        <f>IF(COUNT(D1446:P1446)=0,"",INDEX($D$1:$P$1,MATCH(MIN(D1446:P1446),D1446:P1446,0)))</f>
        <v/>
      </c>
      <c r="V1446" s="8" t="n">
        <v>47.15</v>
      </c>
      <c r="W1446" s="10" t="n">
        <v>2</v>
      </c>
    </row>
    <row r="1447">
      <c r="A1447" s="7" t="inlineStr">
        <is>
          <t>MAT-32-096</t>
        </is>
      </c>
      <c r="B1447" s="4" t="inlineStr">
        <is>
          <t>Adaptador hembra de PVC 1/2"</t>
        </is>
      </c>
      <c r="C1447" s="7" t="inlineStr">
        <is>
          <t>unidad</t>
        </is>
      </c>
      <c r="D1447" s="8" t="n"/>
      <c r="E1447" s="8" t="n">
        <v>4.73</v>
      </c>
      <c r="F1447" s="8" t="n"/>
      <c r="G1447" s="8" t="n">
        <v>20</v>
      </c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>
        <f>IF(COUNT(D1447:P1447)=0,"",MIN(D1447:P1447))</f>
        <v/>
      </c>
      <c r="R1447" s="8">
        <f>IF(COUNT(D1447:P1447)=0,"",MEDIAN(D1447:P1447))</f>
        <v/>
      </c>
      <c r="S1447" s="8">
        <f>IF(COUNT(D1447:P1447)=0,"",MAX(D1447:P1447))</f>
        <v/>
      </c>
      <c r="T1447" s="9">
        <f>IF(OR(Q1447="",Q1447=0),"",(S1447-Q1447)/Q1447)</f>
        <v/>
      </c>
      <c r="U1447" s="7">
        <f>IF(COUNT(D1447:P1447)=0,"",INDEX($D$1:$P$1,MATCH(MIN(D1447:P1447),D1447:P1447,0)))</f>
        <v/>
      </c>
      <c r="V1447" s="8" t="n">
        <v>10.51</v>
      </c>
      <c r="W1447" s="10" t="n">
        <v>2</v>
      </c>
    </row>
    <row r="1448">
      <c r="A1448" s="7" t="inlineStr">
        <is>
          <t>MAT-32-097</t>
        </is>
      </c>
      <c r="B1448" s="4" t="inlineStr">
        <is>
          <t>Adaptador hembra de PVC 1"</t>
        </is>
      </c>
      <c r="C1448" s="7" t="inlineStr">
        <is>
          <t>unidad</t>
        </is>
      </c>
      <c r="D1448" s="8" t="n"/>
      <c r="E1448" s="8" t="n">
        <v>11.28</v>
      </c>
      <c r="F1448" s="8" t="n"/>
      <c r="G1448" s="8" t="n">
        <v>45</v>
      </c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>
        <f>IF(COUNT(D1448:P1448)=0,"",MIN(D1448:P1448))</f>
        <v/>
      </c>
      <c r="R1448" s="8">
        <f>IF(COUNT(D1448:P1448)=0,"",MEDIAN(D1448:P1448))</f>
        <v/>
      </c>
      <c r="S1448" s="8">
        <f>IF(COUNT(D1448:P1448)=0,"",MAX(D1448:P1448))</f>
        <v/>
      </c>
      <c r="T1448" s="9">
        <f>IF(OR(Q1448="",Q1448=0),"",(S1448-Q1448)/Q1448)</f>
        <v/>
      </c>
      <c r="U1448" s="7">
        <f>IF(COUNT(D1448:P1448)=0,"",INDEX($D$1:$P$1,MATCH(MIN(D1448:P1448),D1448:P1448,0)))</f>
        <v/>
      </c>
      <c r="V1448" s="8" t="n">
        <v>23.63</v>
      </c>
      <c r="W1448" s="10" t="n">
        <v>2</v>
      </c>
    </row>
    <row r="1449">
      <c r="A1449" s="7" t="inlineStr">
        <is>
          <t>MAT-32-098</t>
        </is>
      </c>
      <c r="B1449" s="4" t="inlineStr">
        <is>
          <t>Adaptador hembra de PVC 2"</t>
        </is>
      </c>
      <c r="C1449" s="7" t="inlineStr">
        <is>
          <t>unidad</t>
        </is>
      </c>
      <c r="D1449" s="8" t="n"/>
      <c r="E1449" s="8" t="n">
        <v>27.15</v>
      </c>
      <c r="F1449" s="8" t="n"/>
      <c r="G1449" s="8" t="n">
        <v>130</v>
      </c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>
        <f>IF(COUNT(D1449:P1449)=0,"",MIN(D1449:P1449))</f>
        <v/>
      </c>
      <c r="R1449" s="8">
        <f>IF(COUNT(D1449:P1449)=0,"",MEDIAN(D1449:P1449))</f>
        <v/>
      </c>
      <c r="S1449" s="8">
        <f>IF(COUNT(D1449:P1449)=0,"",MAX(D1449:P1449))</f>
        <v/>
      </c>
      <c r="T1449" s="9">
        <f>IF(OR(Q1449="",Q1449=0),"",(S1449-Q1449)/Q1449)</f>
        <v/>
      </c>
      <c r="U1449" s="7">
        <f>IF(COUNT(D1449:P1449)=0,"",INDEX($D$1:$P$1,MATCH(MIN(D1449:P1449),D1449:P1449,0)))</f>
        <v/>
      </c>
      <c r="V1449" s="8" t="n">
        <v>67.28</v>
      </c>
      <c r="W1449" s="10" t="n">
        <v>2</v>
      </c>
    </row>
    <row r="1450">
      <c r="A1450" s="7" t="inlineStr">
        <is>
          <t>MAT-32-099</t>
        </is>
      </c>
      <c r="B1450" s="4" t="inlineStr">
        <is>
          <t>Adaptador hembra de PVC 3/4"</t>
        </is>
      </c>
      <c r="C1450" s="7" t="inlineStr">
        <is>
          <t>unidad</t>
        </is>
      </c>
      <c r="D1450" s="8" t="n"/>
      <c r="E1450" s="8" t="n">
        <v>6.78</v>
      </c>
      <c r="F1450" s="8" t="n"/>
      <c r="G1450" s="8" t="n">
        <v>26</v>
      </c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>
        <f>IF(COUNT(D1450:P1450)=0,"",MIN(D1450:P1450))</f>
        <v/>
      </c>
      <c r="R1450" s="8">
        <f>IF(COUNT(D1450:P1450)=0,"",MEDIAN(D1450:P1450))</f>
        <v/>
      </c>
      <c r="S1450" s="8">
        <f>IF(COUNT(D1450:P1450)=0,"",MAX(D1450:P1450))</f>
        <v/>
      </c>
      <c r="T1450" s="9">
        <f>IF(OR(Q1450="",Q1450=0),"",(S1450-Q1450)/Q1450)</f>
        <v/>
      </c>
      <c r="U1450" s="7">
        <f>IF(COUNT(D1450:P1450)=0,"",INDEX($D$1:$P$1,MATCH(MIN(D1450:P1450),D1450:P1450,0)))</f>
        <v/>
      </c>
      <c r="V1450" s="8" t="n">
        <v>25.11</v>
      </c>
      <c r="W1450" s="10" t="n">
        <v>2</v>
      </c>
    </row>
    <row r="1451">
      <c r="A1451" s="7" t="inlineStr">
        <is>
          <t>MAT-32-100</t>
        </is>
      </c>
      <c r="B1451" s="4" t="inlineStr">
        <is>
          <t>Adaptador hembra de PVC 3"</t>
        </is>
      </c>
      <c r="C1451" s="7" t="inlineStr">
        <is>
          <t>unidad</t>
        </is>
      </c>
      <c r="D1451" s="8" t="n"/>
      <c r="E1451" s="8" t="n">
        <v>70.8</v>
      </c>
      <c r="F1451" s="8" t="n"/>
      <c r="G1451" s="8" t="n">
        <v>177</v>
      </c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>
        <f>IF(COUNT(D1451:P1451)=0,"",MIN(D1451:P1451))</f>
        <v/>
      </c>
      <c r="R1451" s="8">
        <f>IF(COUNT(D1451:P1451)=0,"",MEDIAN(D1451:P1451))</f>
        <v/>
      </c>
      <c r="S1451" s="8">
        <f>IF(COUNT(D1451:P1451)=0,"",MAX(D1451:P1451))</f>
        <v/>
      </c>
      <c r="T1451" s="9">
        <f>IF(OR(Q1451="",Q1451=0),"",(S1451-Q1451)/Q1451)</f>
        <v/>
      </c>
      <c r="U1451" s="7">
        <f>IF(COUNT(D1451:P1451)=0,"",INDEX($D$1:$P$1,MATCH(MIN(D1451:P1451),D1451:P1451,0)))</f>
        <v/>
      </c>
      <c r="V1451" s="8" t="n">
        <v>81.23</v>
      </c>
      <c r="W1451" s="10" t="n">
        <v>2</v>
      </c>
    </row>
    <row r="1452">
      <c r="A1452" s="7" t="inlineStr">
        <is>
          <t>MAT-32-101</t>
        </is>
      </c>
      <c r="B1452" s="4" t="inlineStr">
        <is>
          <t>Adaptador hembra de PVC 4"</t>
        </is>
      </c>
      <c r="C1452" s="7" t="inlineStr">
        <is>
          <t>unidad</t>
        </is>
      </c>
      <c r="D1452" s="8" t="n"/>
      <c r="E1452" s="8" t="n">
        <v>94</v>
      </c>
      <c r="F1452" s="8" t="n"/>
      <c r="G1452" s="8" t="n">
        <v>172</v>
      </c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>
        <f>IF(COUNT(D1452:P1452)=0,"",MIN(D1452:P1452))</f>
        <v/>
      </c>
      <c r="R1452" s="8">
        <f>IF(COUNT(D1452:P1452)=0,"",MEDIAN(D1452:P1452))</f>
        <v/>
      </c>
      <c r="S1452" s="8">
        <f>IF(COUNT(D1452:P1452)=0,"",MAX(D1452:P1452))</f>
        <v/>
      </c>
      <c r="T1452" s="9">
        <f>IF(OR(Q1452="",Q1452=0),"",(S1452-Q1452)/Q1452)</f>
        <v/>
      </c>
      <c r="U1452" s="7">
        <f>IF(COUNT(D1452:P1452)=0,"",INDEX($D$1:$P$1,MATCH(MIN(D1452:P1452),D1452:P1452,0)))</f>
        <v/>
      </c>
      <c r="V1452" s="8" t="n">
        <v>128.31</v>
      </c>
      <c r="W1452" s="10" t="n">
        <v>2</v>
      </c>
    </row>
    <row r="1453">
      <c r="A1453" s="7" t="inlineStr">
        <is>
          <t>MAT-32-102</t>
        </is>
      </c>
      <c r="B1453" s="4" t="inlineStr">
        <is>
          <t>Adaptador hembra de PVC 6"</t>
        </is>
      </c>
      <c r="C1453" s="7" t="inlineStr">
        <is>
          <t>unidad</t>
        </is>
      </c>
      <c r="D1453" s="8" t="n"/>
      <c r="E1453" s="8" t="n">
        <v>790</v>
      </c>
      <c r="F1453" s="8" t="n"/>
      <c r="G1453" s="8" t="n"/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>
        <f>IF(COUNT(D1453:P1453)=0,"",MIN(D1453:P1453))</f>
        <v/>
      </c>
      <c r="R1453" s="8">
        <f>IF(COUNT(D1453:P1453)=0,"",MEDIAN(D1453:P1453))</f>
        <v/>
      </c>
      <c r="S1453" s="8">
        <f>IF(COUNT(D1453:P1453)=0,"",MAX(D1453:P1453))</f>
        <v/>
      </c>
      <c r="T1453" s="9">
        <f>IF(OR(Q1453="",Q1453=0),"",(S1453-Q1453)/Q1453)</f>
        <v/>
      </c>
      <c r="U1453" s="7">
        <f>IF(COUNT(D1453:P1453)=0,"",INDEX($D$1:$P$1,MATCH(MIN(D1453:P1453),D1453:P1453,0)))</f>
        <v/>
      </c>
      <c r="V1453" s="8" t="n">
        <v>790</v>
      </c>
      <c r="W1453" s="10" t="n">
        <v>1</v>
      </c>
    </row>
    <row r="1454">
      <c r="A1454" s="7" t="inlineStr">
        <is>
          <t>MAT-32-103</t>
        </is>
      </c>
      <c r="B1454" s="4" t="inlineStr">
        <is>
          <t>Adaptador macho de bronce 0.31" x 3/8"</t>
        </is>
      </c>
      <c r="C1454" s="7" t="inlineStr">
        <is>
          <t>unidad</t>
        </is>
      </c>
      <c r="D1454" s="8" t="n"/>
      <c r="E1454" s="8" t="n">
        <v>88</v>
      </c>
      <c r="F1454" s="8" t="n"/>
      <c r="G1454" s="8" t="n"/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>
        <f>IF(COUNT(D1454:P1454)=0,"",MIN(D1454:P1454))</f>
        <v/>
      </c>
      <c r="R1454" s="8">
        <f>IF(COUNT(D1454:P1454)=0,"",MEDIAN(D1454:P1454))</f>
        <v/>
      </c>
      <c r="S1454" s="8">
        <f>IF(COUNT(D1454:P1454)=0,"",MAX(D1454:P1454))</f>
        <v/>
      </c>
      <c r="T1454" s="9">
        <f>IF(OR(Q1454="",Q1454=0),"",(S1454-Q1454)/Q1454)</f>
        <v/>
      </c>
      <c r="U1454" s="7">
        <f>IF(COUNT(D1454:P1454)=0,"",INDEX($D$1:$P$1,MATCH(MIN(D1454:P1454),D1454:P1454,0)))</f>
        <v/>
      </c>
      <c r="V1454" s="8" t="n">
        <v>88</v>
      </c>
      <c r="W1454" s="10" t="n">
        <v>1</v>
      </c>
    </row>
    <row r="1455">
      <c r="A1455" s="7" t="inlineStr">
        <is>
          <t>MAT-32-104</t>
        </is>
      </c>
      <c r="B1455" s="4" t="inlineStr">
        <is>
          <t>Adaptador macho de bronce 1/2" x 1/2"</t>
        </is>
      </c>
      <c r="C1455" s="7" t="inlineStr">
        <is>
          <t>unidad</t>
        </is>
      </c>
      <c r="D1455" s="8" t="n"/>
      <c r="E1455" s="8" t="n">
        <v>111</v>
      </c>
      <c r="F1455" s="8" t="n"/>
      <c r="G1455" s="8" t="n"/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>
        <f>IF(COUNT(D1455:P1455)=0,"",MIN(D1455:P1455))</f>
        <v/>
      </c>
      <c r="R1455" s="8">
        <f>IF(COUNT(D1455:P1455)=0,"",MEDIAN(D1455:P1455))</f>
        <v/>
      </c>
      <c r="S1455" s="8">
        <f>IF(COUNT(D1455:P1455)=0,"",MAX(D1455:P1455))</f>
        <v/>
      </c>
      <c r="T1455" s="9">
        <f>IF(OR(Q1455="",Q1455=0),"",(S1455-Q1455)/Q1455)</f>
        <v/>
      </c>
      <c r="U1455" s="7">
        <f>IF(COUNT(D1455:P1455)=0,"",INDEX($D$1:$P$1,MATCH(MIN(D1455:P1455),D1455:P1455,0)))</f>
        <v/>
      </c>
      <c r="V1455" s="8" t="n">
        <v>154</v>
      </c>
      <c r="W1455" s="10" t="n">
        <v>1</v>
      </c>
    </row>
    <row r="1456">
      <c r="A1456" s="7" t="inlineStr">
        <is>
          <t>MAT-32-105</t>
        </is>
      </c>
      <c r="B1456" s="4" t="inlineStr">
        <is>
          <t>Adaptador macho de bronce 1/2" x 3/4"</t>
        </is>
      </c>
      <c r="C1456" s="7" t="inlineStr">
        <is>
          <t>unidad</t>
        </is>
      </c>
      <c r="D1456" s="8" t="n"/>
      <c r="E1456" s="8" t="n">
        <v>196</v>
      </c>
      <c r="F1456" s="8" t="n"/>
      <c r="G1456" s="8" t="n"/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>
        <f>IF(COUNT(D1456:P1456)=0,"",MIN(D1456:P1456))</f>
        <v/>
      </c>
      <c r="R1456" s="8">
        <f>IF(COUNT(D1456:P1456)=0,"",MEDIAN(D1456:P1456))</f>
        <v/>
      </c>
      <c r="S1456" s="8">
        <f>IF(COUNT(D1456:P1456)=0,"",MAX(D1456:P1456))</f>
        <v/>
      </c>
      <c r="T1456" s="9">
        <f>IF(OR(Q1456="",Q1456=0),"",(S1456-Q1456)/Q1456)</f>
        <v/>
      </c>
      <c r="U1456" s="7">
        <f>IF(COUNT(D1456:P1456)=0,"",INDEX($D$1:$P$1,MATCH(MIN(D1456:P1456),D1456:P1456,0)))</f>
        <v/>
      </c>
      <c r="V1456" s="8" t="n">
        <v>196</v>
      </c>
      <c r="W1456" s="10" t="n">
        <v>1</v>
      </c>
    </row>
    <row r="1457">
      <c r="A1457" s="7" t="inlineStr">
        <is>
          <t>MAT-32-106</t>
        </is>
      </c>
      <c r="B1457" s="4" t="inlineStr">
        <is>
          <t>Adaptador macho de bronce 1/2" x 3/8"</t>
        </is>
      </c>
      <c r="C1457" s="7" t="inlineStr">
        <is>
          <t>unidad</t>
        </is>
      </c>
      <c r="D1457" s="8" t="n"/>
      <c r="E1457" s="8" t="n">
        <v>94</v>
      </c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>
        <f>IF(COUNT(D1457:P1457)=0,"",MIN(D1457:P1457))</f>
        <v/>
      </c>
      <c r="R1457" s="8">
        <f>IF(COUNT(D1457:P1457)=0,"",MEDIAN(D1457:P1457))</f>
        <v/>
      </c>
      <c r="S1457" s="8">
        <f>IF(COUNT(D1457:P1457)=0,"",MAX(D1457:P1457))</f>
        <v/>
      </c>
      <c r="T1457" s="9">
        <f>IF(OR(Q1457="",Q1457=0),"",(S1457-Q1457)/Q1457)</f>
        <v/>
      </c>
      <c r="U1457" s="7">
        <f>IF(COUNT(D1457:P1457)=0,"",INDEX($D$1:$P$1,MATCH(MIN(D1457:P1457),D1457:P1457,0)))</f>
        <v/>
      </c>
      <c r="V1457" s="8" t="n">
        <v>115.5</v>
      </c>
      <c r="W1457" s="10" t="n">
        <v>1</v>
      </c>
    </row>
    <row r="1458">
      <c r="A1458" s="7" t="inlineStr">
        <is>
          <t>MAT-32-107</t>
        </is>
      </c>
      <c r="B1458" s="4" t="inlineStr">
        <is>
          <t>Adaptador macho de bronce 1/4" x 1/2"</t>
        </is>
      </c>
      <c r="C1458" s="7" t="inlineStr">
        <is>
          <t>unidad</t>
        </is>
      </c>
      <c r="D1458" s="8" t="n"/>
      <c r="E1458" s="8" t="n">
        <v>120</v>
      </c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>
        <f>IF(COUNT(D1458:P1458)=0,"",MIN(D1458:P1458))</f>
        <v/>
      </c>
      <c r="R1458" s="8">
        <f>IF(COUNT(D1458:P1458)=0,"",MEDIAN(D1458:P1458))</f>
        <v/>
      </c>
      <c r="S1458" s="8">
        <f>IF(COUNT(D1458:P1458)=0,"",MAX(D1458:P1458))</f>
        <v/>
      </c>
      <c r="T1458" s="9">
        <f>IF(OR(Q1458="",Q1458=0),"",(S1458-Q1458)/Q1458)</f>
        <v/>
      </c>
      <c r="U1458" s="7">
        <f>IF(COUNT(D1458:P1458)=0,"",INDEX($D$1:$P$1,MATCH(MIN(D1458:P1458),D1458:P1458,0)))</f>
        <v/>
      </c>
      <c r="V1458" s="8" t="n">
        <v>120</v>
      </c>
      <c r="W1458" s="10" t="n">
        <v>1</v>
      </c>
    </row>
    <row r="1459">
      <c r="A1459" s="7" t="inlineStr">
        <is>
          <t>MAT-32-108</t>
        </is>
      </c>
      <c r="B1459" s="4" t="inlineStr">
        <is>
          <t>Adaptador macho de bronce 1/4" x 1/4"</t>
        </is>
      </c>
      <c r="C1459" s="7" t="inlineStr">
        <is>
          <t>unidad</t>
        </is>
      </c>
      <c r="D1459" s="8" t="n"/>
      <c r="E1459" s="8" t="n">
        <v>62.17</v>
      </c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>
        <f>IF(COUNT(D1459:P1459)=0,"",MIN(D1459:P1459))</f>
        <v/>
      </c>
      <c r="R1459" s="8">
        <f>IF(COUNT(D1459:P1459)=0,"",MEDIAN(D1459:P1459))</f>
        <v/>
      </c>
      <c r="S1459" s="8">
        <f>IF(COUNT(D1459:P1459)=0,"",MAX(D1459:P1459))</f>
        <v/>
      </c>
      <c r="T1459" s="9">
        <f>IF(OR(Q1459="",Q1459=0),"",(S1459-Q1459)/Q1459)</f>
        <v/>
      </c>
      <c r="U1459" s="7">
        <f>IF(COUNT(D1459:P1459)=0,"",INDEX($D$1:$P$1,MATCH(MIN(D1459:P1459),D1459:P1459,0)))</f>
        <v/>
      </c>
      <c r="V1459" s="8" t="n">
        <v>75.09</v>
      </c>
      <c r="W1459" s="10" t="n">
        <v>1</v>
      </c>
    </row>
    <row r="1460">
      <c r="A1460" s="7" t="inlineStr">
        <is>
          <t>MAT-32-109</t>
        </is>
      </c>
      <c r="B1460" s="4" t="inlineStr">
        <is>
          <t>Adaptador macho de bronce 1/4" x 1/8"</t>
        </is>
      </c>
      <c r="C1460" s="7" t="inlineStr">
        <is>
          <t>unidad</t>
        </is>
      </c>
      <c r="D1460" s="8" t="n"/>
      <c r="E1460" s="8" t="n">
        <v>43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>
        <f>IF(COUNT(D1460:P1460)=0,"",MIN(D1460:P1460))</f>
        <v/>
      </c>
      <c r="R1460" s="8">
        <f>IF(COUNT(D1460:P1460)=0,"",MEDIAN(D1460:P1460))</f>
        <v/>
      </c>
      <c r="S1460" s="8">
        <f>IF(COUNT(D1460:P1460)=0,"",MAX(D1460:P1460))</f>
        <v/>
      </c>
      <c r="T1460" s="9">
        <f>IF(OR(Q1460="",Q1460=0),"",(S1460-Q1460)/Q1460)</f>
        <v/>
      </c>
      <c r="U1460" s="7">
        <f>IF(COUNT(D1460:P1460)=0,"",INDEX($D$1:$P$1,MATCH(MIN(D1460:P1460),D1460:P1460,0)))</f>
        <v/>
      </c>
      <c r="V1460" s="8" t="n">
        <v>51.5</v>
      </c>
      <c r="W1460" s="10" t="n">
        <v>1</v>
      </c>
    </row>
    <row r="1461">
      <c r="A1461" s="7" t="inlineStr">
        <is>
          <t>MAT-32-110</t>
        </is>
      </c>
      <c r="B1461" s="4" t="inlineStr">
        <is>
          <t>Adaptador macho de bronce 1/4" x 3/8"</t>
        </is>
      </c>
      <c r="C1461" s="7" t="inlineStr">
        <is>
          <t>unidad</t>
        </is>
      </c>
      <c r="D1461" s="8" t="n"/>
      <c r="E1461" s="8" t="n">
        <v>81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>
        <f>IF(COUNT(D1461:P1461)=0,"",MIN(D1461:P1461))</f>
        <v/>
      </c>
      <c r="R1461" s="8">
        <f>IF(COUNT(D1461:P1461)=0,"",MEDIAN(D1461:P1461))</f>
        <v/>
      </c>
      <c r="S1461" s="8">
        <f>IF(COUNT(D1461:P1461)=0,"",MAX(D1461:P1461))</f>
        <v/>
      </c>
      <c r="T1461" s="9">
        <f>IF(OR(Q1461="",Q1461=0),"",(S1461-Q1461)/Q1461)</f>
        <v/>
      </c>
      <c r="U1461" s="7">
        <f>IF(COUNT(D1461:P1461)=0,"",INDEX($D$1:$P$1,MATCH(MIN(D1461:P1461),D1461:P1461,0)))</f>
        <v/>
      </c>
      <c r="V1461" s="8" t="n">
        <v>81</v>
      </c>
      <c r="W1461" s="10" t="n">
        <v>1</v>
      </c>
    </row>
    <row r="1462">
      <c r="A1462" s="7" t="inlineStr">
        <is>
          <t>MAT-32-111</t>
        </is>
      </c>
      <c r="B1462" s="4" t="inlineStr">
        <is>
          <t>Adaptador macho de bronce 12" x 1/2"</t>
        </is>
      </c>
      <c r="C1462" s="7" t="inlineStr">
        <is>
          <t>unidad</t>
        </is>
      </c>
      <c r="D1462" s="8" t="n"/>
      <c r="E1462" s="8" t="n">
        <v>232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>
        <f>IF(COUNT(D1462:P1462)=0,"",MIN(D1462:P1462))</f>
        <v/>
      </c>
      <c r="R1462" s="8">
        <f>IF(COUNT(D1462:P1462)=0,"",MEDIAN(D1462:P1462))</f>
        <v/>
      </c>
      <c r="S1462" s="8">
        <f>IF(COUNT(D1462:P1462)=0,"",MAX(D1462:P1462))</f>
        <v/>
      </c>
      <c r="T1462" s="9">
        <f>IF(OR(Q1462="",Q1462=0),"",(S1462-Q1462)/Q1462)</f>
        <v/>
      </c>
      <c r="U1462" s="7">
        <f>IF(COUNT(D1462:P1462)=0,"",INDEX($D$1:$P$1,MATCH(MIN(D1462:P1462),D1462:P1462,0)))</f>
        <v/>
      </c>
      <c r="V1462" s="8" t="n">
        <v>232</v>
      </c>
      <c r="W1462" s="10" t="n">
        <v>1</v>
      </c>
    </row>
    <row r="1463">
      <c r="A1463" s="7" t="inlineStr">
        <is>
          <t>MAT-32-112</t>
        </is>
      </c>
      <c r="B1463" s="4" t="inlineStr">
        <is>
          <t>Adaptador macho de bronce 12" x 3/8"</t>
        </is>
      </c>
      <c r="C1463" s="7" t="inlineStr">
        <is>
          <t>unidad</t>
        </is>
      </c>
      <c r="D1463" s="8" t="n"/>
      <c r="E1463" s="8" t="n">
        <v>326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>
        <f>IF(COUNT(D1463:P1463)=0,"",MIN(D1463:P1463))</f>
        <v/>
      </c>
      <c r="R1463" s="8">
        <f>IF(COUNT(D1463:P1463)=0,"",MEDIAN(D1463:P1463))</f>
        <v/>
      </c>
      <c r="S1463" s="8">
        <f>IF(COUNT(D1463:P1463)=0,"",MAX(D1463:P1463))</f>
        <v/>
      </c>
      <c r="T1463" s="9">
        <f>IF(OR(Q1463="",Q1463=0),"",(S1463-Q1463)/Q1463)</f>
        <v/>
      </c>
      <c r="U1463" s="7">
        <f>IF(COUNT(D1463:P1463)=0,"",INDEX($D$1:$P$1,MATCH(MIN(D1463:P1463),D1463:P1463,0)))</f>
        <v/>
      </c>
      <c r="V1463" s="8" t="n">
        <v>326</v>
      </c>
      <c r="W1463" s="10" t="n">
        <v>1</v>
      </c>
    </row>
    <row r="1464">
      <c r="A1464" s="7" t="inlineStr">
        <is>
          <t>MAT-32-113</t>
        </is>
      </c>
      <c r="B1464" s="4" t="inlineStr">
        <is>
          <t>Adaptador macho de bronce 15" x 1/2"</t>
        </is>
      </c>
      <c r="C1464" s="7" t="inlineStr">
        <is>
          <t>unidad</t>
        </is>
      </c>
      <c r="D1464" s="8" t="n"/>
      <c r="E1464" s="8" t="n">
        <v>205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>
        <f>IF(COUNT(D1464:P1464)=0,"",MIN(D1464:P1464))</f>
        <v/>
      </c>
      <c r="R1464" s="8">
        <f>IF(COUNT(D1464:P1464)=0,"",MEDIAN(D1464:P1464))</f>
        <v/>
      </c>
      <c r="S1464" s="8">
        <f>IF(COUNT(D1464:P1464)=0,"",MAX(D1464:P1464))</f>
        <v/>
      </c>
      <c r="T1464" s="9">
        <f>IF(OR(Q1464="",Q1464=0),"",(S1464-Q1464)/Q1464)</f>
        <v/>
      </c>
      <c r="U1464" s="7">
        <f>IF(COUNT(D1464:P1464)=0,"",INDEX($D$1:$P$1,MATCH(MIN(D1464:P1464),D1464:P1464,0)))</f>
        <v/>
      </c>
      <c r="V1464" s="8" t="n">
        <v>205</v>
      </c>
      <c r="W1464" s="10" t="n">
        <v>1</v>
      </c>
    </row>
    <row r="1465">
      <c r="A1465" s="7" t="inlineStr">
        <is>
          <t>MAT-32-114</t>
        </is>
      </c>
      <c r="B1465" s="4" t="inlineStr">
        <is>
          <t>Adaptador macho de bronce 15" x 3/4"</t>
        </is>
      </c>
      <c r="C1465" s="7" t="inlineStr">
        <is>
          <t>unidad</t>
        </is>
      </c>
      <c r="D1465" s="8" t="n"/>
      <c r="E1465" s="8" t="n">
        <v>377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>
        <f>IF(COUNT(D1465:P1465)=0,"",MIN(D1465:P1465))</f>
        <v/>
      </c>
      <c r="R1465" s="8">
        <f>IF(COUNT(D1465:P1465)=0,"",MEDIAN(D1465:P1465))</f>
        <v/>
      </c>
      <c r="S1465" s="8">
        <f>IF(COUNT(D1465:P1465)=0,"",MAX(D1465:P1465))</f>
        <v/>
      </c>
      <c r="T1465" s="9">
        <f>IF(OR(Q1465="",Q1465=0),"",(S1465-Q1465)/Q1465)</f>
        <v/>
      </c>
      <c r="U1465" s="7">
        <f>IF(COUNT(D1465:P1465)=0,"",INDEX($D$1:$P$1,MATCH(MIN(D1465:P1465),D1465:P1465,0)))</f>
        <v/>
      </c>
      <c r="V1465" s="8" t="n">
        <v>377</v>
      </c>
      <c r="W1465" s="10" t="n">
        <v>1</v>
      </c>
    </row>
    <row r="1466">
      <c r="A1466" s="7" t="inlineStr">
        <is>
          <t>MAT-32-115</t>
        </is>
      </c>
      <c r="B1466" s="4" t="inlineStr">
        <is>
          <t>Adaptador macho de bronce 15" x 3/8"</t>
        </is>
      </c>
      <c r="C1466" s="7" t="inlineStr">
        <is>
          <t>unidad</t>
        </is>
      </c>
      <c r="D1466" s="8" t="n"/>
      <c r="E1466" s="8" t="n">
        <v>309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>
        <f>IF(COUNT(D1466:P1466)=0,"",MIN(D1466:P1466))</f>
        <v/>
      </c>
      <c r="R1466" s="8">
        <f>IF(COUNT(D1466:P1466)=0,"",MEDIAN(D1466:P1466))</f>
        <v/>
      </c>
      <c r="S1466" s="8">
        <f>IF(COUNT(D1466:P1466)=0,"",MAX(D1466:P1466))</f>
        <v/>
      </c>
      <c r="T1466" s="9">
        <f>IF(OR(Q1466="",Q1466=0),"",(S1466-Q1466)/Q1466)</f>
        <v/>
      </c>
      <c r="U1466" s="7">
        <f>IF(COUNT(D1466:P1466)=0,"",INDEX($D$1:$P$1,MATCH(MIN(D1466:P1466),D1466:P1466,0)))</f>
        <v/>
      </c>
      <c r="V1466" s="8" t="n">
        <v>309</v>
      </c>
      <c r="W1466" s="10" t="n">
        <v>1</v>
      </c>
    </row>
    <row r="1467">
      <c r="A1467" s="7" t="inlineStr">
        <is>
          <t>MAT-32-116</t>
        </is>
      </c>
      <c r="B1467" s="4" t="inlineStr">
        <is>
          <t>Adaptador macho de bronce 18" x 1/2"</t>
        </is>
      </c>
      <c r="C1467" s="7" t="inlineStr">
        <is>
          <t>unidad</t>
        </is>
      </c>
      <c r="D1467" s="8" t="n"/>
      <c r="E1467" s="8" t="n">
        <v>232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>
        <f>IF(COUNT(D1467:P1467)=0,"",MIN(D1467:P1467))</f>
        <v/>
      </c>
      <c r="R1467" s="8">
        <f>IF(COUNT(D1467:P1467)=0,"",MEDIAN(D1467:P1467))</f>
        <v/>
      </c>
      <c r="S1467" s="8">
        <f>IF(COUNT(D1467:P1467)=0,"",MAX(D1467:P1467))</f>
        <v/>
      </c>
      <c r="T1467" s="9">
        <f>IF(OR(Q1467="",Q1467=0),"",(S1467-Q1467)/Q1467)</f>
        <v/>
      </c>
      <c r="U1467" s="7">
        <f>IF(COUNT(D1467:P1467)=0,"",INDEX($D$1:$P$1,MATCH(MIN(D1467:P1467),D1467:P1467,0)))</f>
        <v/>
      </c>
      <c r="V1467" s="8" t="n">
        <v>232</v>
      </c>
      <c r="W1467" s="10" t="n">
        <v>1</v>
      </c>
    </row>
    <row r="1468">
      <c r="A1468" s="7" t="inlineStr">
        <is>
          <t>MAT-32-117</t>
        </is>
      </c>
      <c r="B1468" s="4" t="inlineStr">
        <is>
          <t>Adaptador macho de bronce 18" x 3/4"</t>
        </is>
      </c>
      <c r="C1468" s="7" t="inlineStr">
        <is>
          <t>unidad</t>
        </is>
      </c>
      <c r="D1468" s="8" t="n"/>
      <c r="E1468" s="8" t="n">
        <v>315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>
        <f>IF(COUNT(D1468:P1468)=0,"",MIN(D1468:P1468))</f>
        <v/>
      </c>
      <c r="R1468" s="8">
        <f>IF(COUNT(D1468:P1468)=0,"",MEDIAN(D1468:P1468))</f>
        <v/>
      </c>
      <c r="S1468" s="8">
        <f>IF(COUNT(D1468:P1468)=0,"",MAX(D1468:P1468))</f>
        <v/>
      </c>
      <c r="T1468" s="9">
        <f>IF(OR(Q1468="",Q1468=0),"",(S1468-Q1468)/Q1468)</f>
        <v/>
      </c>
      <c r="U1468" s="7">
        <f>IF(COUNT(D1468:P1468)=0,"",INDEX($D$1:$P$1,MATCH(MIN(D1468:P1468),D1468:P1468,0)))</f>
        <v/>
      </c>
      <c r="V1468" s="8" t="n">
        <v>315</v>
      </c>
      <c r="W1468" s="10" t="n">
        <v>1</v>
      </c>
    </row>
    <row r="1469">
      <c r="A1469" s="7" t="inlineStr">
        <is>
          <t>MAT-32-118</t>
        </is>
      </c>
      <c r="B1469" s="4" t="inlineStr">
        <is>
          <t>Adaptador macho de bronce 25" x 3/4"</t>
        </is>
      </c>
      <c r="C1469" s="7" t="inlineStr">
        <is>
          <t>unidad</t>
        </is>
      </c>
      <c r="D1469" s="8" t="n"/>
      <c r="E1469" s="8" t="n">
        <v>390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>
        <f>IF(COUNT(D1469:P1469)=0,"",MIN(D1469:P1469))</f>
        <v/>
      </c>
      <c r="R1469" s="8">
        <f>IF(COUNT(D1469:P1469)=0,"",MEDIAN(D1469:P1469))</f>
        <v/>
      </c>
      <c r="S1469" s="8">
        <f>IF(COUNT(D1469:P1469)=0,"",MAX(D1469:P1469))</f>
        <v/>
      </c>
      <c r="T1469" s="9">
        <f>IF(OR(Q1469="",Q1469=0),"",(S1469-Q1469)/Q1469)</f>
        <v/>
      </c>
      <c r="U1469" s="7">
        <f>IF(COUNT(D1469:P1469)=0,"",INDEX($D$1:$P$1,MATCH(MIN(D1469:P1469),D1469:P1469,0)))</f>
        <v/>
      </c>
      <c r="V1469" s="8" t="n">
        <v>390</v>
      </c>
      <c r="W1469" s="10" t="n">
        <v>1</v>
      </c>
    </row>
    <row r="1470">
      <c r="A1470" s="7" t="inlineStr">
        <is>
          <t>MAT-32-119</t>
        </is>
      </c>
      <c r="B1470" s="4" t="inlineStr">
        <is>
          <t>Adaptador macho de bronce 3/8" x 1/2"</t>
        </is>
      </c>
      <c r="C1470" s="7" t="inlineStr">
        <is>
          <t>unidad</t>
        </is>
      </c>
      <c r="D1470" s="8" t="n"/>
      <c r="E1470" s="8" t="n">
        <v>149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>
        <f>IF(COUNT(D1470:P1470)=0,"",MIN(D1470:P1470))</f>
        <v/>
      </c>
      <c r="R1470" s="8">
        <f>IF(COUNT(D1470:P1470)=0,"",MEDIAN(D1470:P1470))</f>
        <v/>
      </c>
      <c r="S1470" s="8">
        <f>IF(COUNT(D1470:P1470)=0,"",MAX(D1470:P1470))</f>
        <v/>
      </c>
      <c r="T1470" s="9">
        <f>IF(OR(Q1470="",Q1470=0),"",(S1470-Q1470)/Q1470)</f>
        <v/>
      </c>
      <c r="U1470" s="7">
        <f>IF(COUNT(D1470:P1470)=0,"",INDEX($D$1:$P$1,MATCH(MIN(D1470:P1470),D1470:P1470,0)))</f>
        <v/>
      </c>
      <c r="V1470" s="8" t="n">
        <v>149</v>
      </c>
      <c r="W1470" s="10" t="n">
        <v>1</v>
      </c>
    </row>
    <row r="1471">
      <c r="A1471" s="7" t="inlineStr">
        <is>
          <t>MAT-32-120</t>
        </is>
      </c>
      <c r="B1471" s="4" t="inlineStr">
        <is>
          <t>Adaptador macho de bronce 3/8" x 3/8"</t>
        </is>
      </c>
      <c r="C1471" s="7" t="inlineStr">
        <is>
          <t>unidad</t>
        </is>
      </c>
      <c r="D1471" s="8" t="n"/>
      <c r="E1471" s="8" t="n">
        <v>68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>
        <f>IF(COUNT(D1471:P1471)=0,"",MIN(D1471:P1471))</f>
        <v/>
      </c>
      <c r="R1471" s="8">
        <f>IF(COUNT(D1471:P1471)=0,"",MEDIAN(D1471:P1471))</f>
        <v/>
      </c>
      <c r="S1471" s="8">
        <f>IF(COUNT(D1471:P1471)=0,"",MAX(D1471:P1471))</f>
        <v/>
      </c>
      <c r="T1471" s="9">
        <f>IF(OR(Q1471="",Q1471=0),"",(S1471-Q1471)/Q1471)</f>
        <v/>
      </c>
      <c r="U1471" s="7">
        <f>IF(COUNT(D1471:P1471)=0,"",INDEX($D$1:$P$1,MATCH(MIN(D1471:P1471),D1471:P1471,0)))</f>
        <v/>
      </c>
      <c r="V1471" s="8" t="n">
        <v>78</v>
      </c>
      <c r="W1471" s="10" t="n">
        <v>1</v>
      </c>
    </row>
    <row r="1472">
      <c r="A1472" s="7" t="inlineStr">
        <is>
          <t>MAT-32-121</t>
        </is>
      </c>
      <c r="B1472" s="4" t="inlineStr">
        <is>
          <t>Adaptador macho de bronce 32" x 1"</t>
        </is>
      </c>
      <c r="C1472" s="7" t="inlineStr">
        <is>
          <t>unidad</t>
        </is>
      </c>
      <c r="D1472" s="8" t="n"/>
      <c r="E1472" s="8" t="n">
        <v>597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>
        <f>IF(COUNT(D1472:P1472)=0,"",MIN(D1472:P1472))</f>
        <v/>
      </c>
      <c r="R1472" s="8">
        <f>IF(COUNT(D1472:P1472)=0,"",MEDIAN(D1472:P1472))</f>
        <v/>
      </c>
      <c r="S1472" s="8">
        <f>IF(COUNT(D1472:P1472)=0,"",MAX(D1472:P1472))</f>
        <v/>
      </c>
      <c r="T1472" s="9">
        <f>IF(OR(Q1472="",Q1472=0),"",(S1472-Q1472)/Q1472)</f>
        <v/>
      </c>
      <c r="U1472" s="7">
        <f>IF(COUNT(D1472:P1472)=0,"",INDEX($D$1:$P$1,MATCH(MIN(D1472:P1472),D1472:P1472,0)))</f>
        <v/>
      </c>
      <c r="V1472" s="8" t="n">
        <v>597</v>
      </c>
      <c r="W1472" s="10" t="n">
        <v>1</v>
      </c>
    </row>
    <row r="1473">
      <c r="A1473" s="7" t="inlineStr">
        <is>
          <t>MAT-32-122</t>
        </is>
      </c>
      <c r="B1473" s="4" t="inlineStr">
        <is>
          <t>Adaptador macho de bronce 5/8" x 1/2"</t>
        </is>
      </c>
      <c r="C1473" s="7" t="inlineStr">
        <is>
          <t>unidad</t>
        </is>
      </c>
      <c r="D1473" s="8" t="n"/>
      <c r="E1473" s="8" t="n">
        <v>152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>
        <f>IF(COUNT(D1473:P1473)=0,"",MIN(D1473:P1473))</f>
        <v/>
      </c>
      <c r="R1473" s="8">
        <f>IF(COUNT(D1473:P1473)=0,"",MEDIAN(D1473:P1473))</f>
        <v/>
      </c>
      <c r="S1473" s="8">
        <f>IF(COUNT(D1473:P1473)=0,"",MAX(D1473:P1473))</f>
        <v/>
      </c>
      <c r="T1473" s="9">
        <f>IF(OR(Q1473="",Q1473=0),"",(S1473-Q1473)/Q1473)</f>
        <v/>
      </c>
      <c r="U1473" s="7">
        <f>IF(COUNT(D1473:P1473)=0,"",INDEX($D$1:$P$1,MATCH(MIN(D1473:P1473),D1473:P1473,0)))</f>
        <v/>
      </c>
      <c r="V1473" s="8" t="n">
        <v>152</v>
      </c>
      <c r="W1473" s="10" t="n">
        <v>1</v>
      </c>
    </row>
    <row r="1474">
      <c r="A1474" s="7" t="inlineStr">
        <is>
          <t>MAT-32-123</t>
        </is>
      </c>
      <c r="B1474" s="4" t="inlineStr">
        <is>
          <t>Adaptador macho de cobre 1" x 1 1/8"</t>
        </is>
      </c>
      <c r="C1474" s="7" t="inlineStr">
        <is>
          <t>unidad</t>
        </is>
      </c>
      <c r="D1474" s="8" t="n"/>
      <c r="E1474" s="8" t="n">
        <v>119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>
        <f>IF(COUNT(D1474:P1474)=0,"",MIN(D1474:P1474))</f>
        <v/>
      </c>
      <c r="R1474" s="8">
        <f>IF(COUNT(D1474:P1474)=0,"",MEDIAN(D1474:P1474))</f>
        <v/>
      </c>
      <c r="S1474" s="8">
        <f>IF(COUNT(D1474:P1474)=0,"",MAX(D1474:P1474))</f>
        <v/>
      </c>
      <c r="T1474" s="9">
        <f>IF(OR(Q1474="",Q1474=0),"",(S1474-Q1474)/Q1474)</f>
        <v/>
      </c>
      <c r="U1474" s="7">
        <f>IF(COUNT(D1474:P1474)=0,"",INDEX($D$1:$P$1,MATCH(MIN(D1474:P1474),D1474:P1474,0)))</f>
        <v/>
      </c>
      <c r="V1474" s="8" t="n">
        <v>119</v>
      </c>
      <c r="W1474" s="10" t="n">
        <v>1</v>
      </c>
    </row>
    <row r="1475">
      <c r="A1475" s="7" t="inlineStr">
        <is>
          <t>MAT-32-124</t>
        </is>
      </c>
      <c r="B1475" s="4" t="inlineStr">
        <is>
          <t>Adaptador macho de CPVC 1/2"</t>
        </is>
      </c>
      <c r="C1475" s="7" t="inlineStr">
        <is>
          <t>unidad</t>
        </is>
      </c>
      <c r="D1475" s="8" t="n"/>
      <c r="E1475" s="8" t="n">
        <v>13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>
        <f>IF(COUNT(D1475:P1475)=0,"",MIN(D1475:P1475))</f>
        <v/>
      </c>
      <c r="R1475" s="8">
        <f>IF(COUNT(D1475:P1475)=0,"",MEDIAN(D1475:P1475))</f>
        <v/>
      </c>
      <c r="S1475" s="8">
        <f>IF(COUNT(D1475:P1475)=0,"",MAX(D1475:P1475))</f>
        <v/>
      </c>
      <c r="T1475" s="9">
        <f>IF(OR(Q1475="",Q1475=0),"",(S1475-Q1475)/Q1475)</f>
        <v/>
      </c>
      <c r="U1475" s="7">
        <f>IF(COUNT(D1475:P1475)=0,"",INDEX($D$1:$P$1,MATCH(MIN(D1475:P1475),D1475:P1475,0)))</f>
        <v/>
      </c>
      <c r="V1475" s="8" t="n">
        <v>13</v>
      </c>
      <c r="W1475" s="10" t="n">
        <v>1</v>
      </c>
    </row>
    <row r="1476">
      <c r="A1476" s="7" t="inlineStr">
        <is>
          <t>MAT-32-125</t>
        </is>
      </c>
      <c r="B1476" s="4" t="inlineStr">
        <is>
          <t>Adaptador macho de CPVC 1"</t>
        </is>
      </c>
      <c r="C1476" s="7" t="inlineStr">
        <is>
          <t>unidad</t>
        </is>
      </c>
      <c r="D1476" s="8" t="n"/>
      <c r="E1476" s="8" t="n">
        <v>32.71</v>
      </c>
      <c r="F1476" s="8" t="n"/>
      <c r="G1476" s="8" t="n"/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>
        <f>IF(COUNT(D1476:P1476)=0,"",MIN(D1476:P1476))</f>
        <v/>
      </c>
      <c r="R1476" s="8">
        <f>IF(COUNT(D1476:P1476)=0,"",MEDIAN(D1476:P1476))</f>
        <v/>
      </c>
      <c r="S1476" s="8">
        <f>IF(COUNT(D1476:P1476)=0,"",MAX(D1476:P1476))</f>
        <v/>
      </c>
      <c r="T1476" s="9">
        <f>IF(OR(Q1476="",Q1476=0),"",(S1476-Q1476)/Q1476)</f>
        <v/>
      </c>
      <c r="U1476" s="7">
        <f>IF(COUNT(D1476:P1476)=0,"",INDEX($D$1:$P$1,MATCH(MIN(D1476:P1476),D1476:P1476,0)))</f>
        <v/>
      </c>
      <c r="V1476" s="8" t="n">
        <v>32.71</v>
      </c>
      <c r="W1476" s="10" t="n">
        <v>1</v>
      </c>
    </row>
    <row r="1477">
      <c r="A1477" s="7" t="inlineStr">
        <is>
          <t>MAT-32-126</t>
        </is>
      </c>
      <c r="B1477" s="4" t="inlineStr">
        <is>
          <t>Adaptador macho de CPVC 3/4"</t>
        </is>
      </c>
      <c r="C1477" s="7" t="inlineStr">
        <is>
          <t>unidad</t>
        </is>
      </c>
      <c r="D1477" s="8" t="n"/>
      <c r="E1477" s="8" t="n">
        <v>18.22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>
        <f>IF(COUNT(D1477:P1477)=0,"",MIN(D1477:P1477))</f>
        <v/>
      </c>
      <c r="R1477" s="8">
        <f>IF(COUNT(D1477:P1477)=0,"",MEDIAN(D1477:P1477))</f>
        <v/>
      </c>
      <c r="S1477" s="8">
        <f>IF(COUNT(D1477:P1477)=0,"",MAX(D1477:P1477))</f>
        <v/>
      </c>
      <c r="T1477" s="9">
        <f>IF(OR(Q1477="",Q1477=0),"",(S1477-Q1477)/Q1477)</f>
        <v/>
      </c>
      <c r="U1477" s="7">
        <f>IF(COUNT(D1477:P1477)=0,"",INDEX($D$1:$P$1,MATCH(MIN(D1477:P1477),D1477:P1477,0)))</f>
        <v/>
      </c>
      <c r="V1477" s="8" t="n">
        <v>18.22</v>
      </c>
      <c r="W1477" s="10" t="n">
        <v>1</v>
      </c>
    </row>
    <row r="1478">
      <c r="A1478" s="7" t="inlineStr">
        <is>
          <t>MAT-32-127</t>
        </is>
      </c>
      <c r="B1478" s="4" t="inlineStr">
        <is>
          <t>Adaptador macho de plástico 1/2"</t>
        </is>
      </c>
      <c r="C1478" s="7" t="inlineStr">
        <is>
          <t>unidad</t>
        </is>
      </c>
      <c r="D1478" s="8" t="n"/>
      <c r="E1478" s="8" t="n">
        <v>155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>
        <f>IF(COUNT(D1478:P1478)=0,"",MIN(D1478:P1478))</f>
        <v/>
      </c>
      <c r="R1478" s="8">
        <f>IF(COUNT(D1478:P1478)=0,"",MEDIAN(D1478:P1478))</f>
        <v/>
      </c>
      <c r="S1478" s="8">
        <f>IF(COUNT(D1478:P1478)=0,"",MAX(D1478:P1478))</f>
        <v/>
      </c>
      <c r="T1478" s="9">
        <f>IF(OR(Q1478="",Q1478=0),"",(S1478-Q1478)/Q1478)</f>
        <v/>
      </c>
      <c r="U1478" s="7">
        <f>IF(COUNT(D1478:P1478)=0,"",INDEX($D$1:$P$1,MATCH(MIN(D1478:P1478),D1478:P1478,0)))</f>
        <v/>
      </c>
      <c r="V1478" s="8" t="n">
        <v>155</v>
      </c>
      <c r="W1478" s="10" t="n">
        <v>1</v>
      </c>
    </row>
    <row r="1479">
      <c r="A1479" s="7" t="inlineStr">
        <is>
          <t>MAT-32-128</t>
        </is>
      </c>
      <c r="B1479" s="4" t="inlineStr">
        <is>
          <t>Adaptador macho de plástico 1"</t>
        </is>
      </c>
      <c r="C1479" s="7" t="inlineStr">
        <is>
          <t>unidad</t>
        </is>
      </c>
      <c r="D1479" s="8" t="n"/>
      <c r="E1479" s="8" t="n">
        <v>190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>
        <f>IF(COUNT(D1479:P1479)=0,"",MIN(D1479:P1479))</f>
        <v/>
      </c>
      <c r="R1479" s="8">
        <f>IF(COUNT(D1479:P1479)=0,"",MEDIAN(D1479:P1479))</f>
        <v/>
      </c>
      <c r="S1479" s="8">
        <f>IF(COUNT(D1479:P1479)=0,"",MAX(D1479:P1479))</f>
        <v/>
      </c>
      <c r="T1479" s="9">
        <f>IF(OR(Q1479="",Q1479=0),"",(S1479-Q1479)/Q1479)</f>
        <v/>
      </c>
      <c r="U1479" s="7">
        <f>IF(COUNT(D1479:P1479)=0,"",INDEX($D$1:$P$1,MATCH(MIN(D1479:P1479),D1479:P1479,0)))</f>
        <v/>
      </c>
      <c r="V1479" s="8" t="n">
        <v>190</v>
      </c>
      <c r="W1479" s="10" t="n">
        <v>1</v>
      </c>
    </row>
    <row r="1480">
      <c r="A1480" s="7" t="inlineStr">
        <is>
          <t>MAT-32-129</t>
        </is>
      </c>
      <c r="B1480" s="4" t="inlineStr">
        <is>
          <t>Adaptador macho de plástico 2"</t>
        </is>
      </c>
      <c r="C1480" s="7" t="inlineStr">
        <is>
          <t>unidad</t>
        </is>
      </c>
      <c r="D1480" s="8" t="n"/>
      <c r="E1480" s="8" t="n">
        <v>285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>
        <f>IF(COUNT(D1480:P1480)=0,"",MIN(D1480:P1480))</f>
        <v/>
      </c>
      <c r="R1480" s="8">
        <f>IF(COUNT(D1480:P1480)=0,"",MEDIAN(D1480:P1480))</f>
        <v/>
      </c>
      <c r="S1480" s="8">
        <f>IF(COUNT(D1480:P1480)=0,"",MAX(D1480:P1480))</f>
        <v/>
      </c>
      <c r="T1480" s="9">
        <f>IF(OR(Q1480="",Q1480=0),"",(S1480-Q1480)/Q1480)</f>
        <v/>
      </c>
      <c r="U1480" s="7">
        <f>IF(COUNT(D1480:P1480)=0,"",INDEX($D$1:$P$1,MATCH(MIN(D1480:P1480),D1480:P1480,0)))</f>
        <v/>
      </c>
      <c r="V1480" s="8" t="n">
        <v>285</v>
      </c>
      <c r="W1480" s="10" t="n">
        <v>1</v>
      </c>
    </row>
    <row r="1481">
      <c r="A1481" s="7" t="inlineStr">
        <is>
          <t>MAT-32-130</t>
        </is>
      </c>
      <c r="B1481" s="4" t="inlineStr">
        <is>
          <t>Adaptador macho de plástico 3/4" x 0"</t>
        </is>
      </c>
      <c r="C1481" s="7" t="inlineStr">
        <is>
          <t>unidad</t>
        </is>
      </c>
      <c r="D1481" s="8" t="n"/>
      <c r="E1481" s="8" t="n">
        <v>187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>
        <f>IF(COUNT(D1481:P1481)=0,"",MIN(D1481:P1481))</f>
        <v/>
      </c>
      <c r="R1481" s="8">
        <f>IF(COUNT(D1481:P1481)=0,"",MEDIAN(D1481:P1481))</f>
        <v/>
      </c>
      <c r="S1481" s="8">
        <f>IF(COUNT(D1481:P1481)=0,"",MAX(D1481:P1481))</f>
        <v/>
      </c>
      <c r="T1481" s="9">
        <f>IF(OR(Q1481="",Q1481=0),"",(S1481-Q1481)/Q1481)</f>
        <v/>
      </c>
      <c r="U1481" s="7">
        <f>IF(COUNT(D1481:P1481)=0,"",INDEX($D$1:$P$1,MATCH(MIN(D1481:P1481),D1481:P1481,0)))</f>
        <v/>
      </c>
      <c r="V1481" s="8" t="n">
        <v>187</v>
      </c>
      <c r="W1481" s="10" t="n">
        <v>1</v>
      </c>
    </row>
    <row r="1482">
      <c r="A1482" s="7" t="inlineStr">
        <is>
          <t>MAT-32-131</t>
        </is>
      </c>
      <c r="B1482" s="4" t="inlineStr">
        <is>
          <t>Adaptador macho de PPR 20 mm</t>
        </is>
      </c>
      <c r="C1482" s="7" t="inlineStr">
        <is>
          <t>unidad</t>
        </is>
      </c>
      <c r="D1482" s="8" t="n"/>
      <c r="E1482" s="8" t="n">
        <v>63.5</v>
      </c>
      <c r="F1482" s="8" t="n"/>
      <c r="G1482" s="8" t="n">
        <v>188</v>
      </c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>
        <f>IF(COUNT(D1482:P1482)=0,"",MIN(D1482:P1482))</f>
        <v/>
      </c>
      <c r="R1482" s="8">
        <f>IF(COUNT(D1482:P1482)=0,"",MEDIAN(D1482:P1482))</f>
        <v/>
      </c>
      <c r="S1482" s="8">
        <f>IF(COUNT(D1482:P1482)=0,"",MAX(D1482:P1482))</f>
        <v/>
      </c>
      <c r="T1482" s="9">
        <f>IF(OR(Q1482="",Q1482=0),"",(S1482-Q1482)/Q1482)</f>
        <v/>
      </c>
      <c r="U1482" s="7">
        <f>IF(COUNT(D1482:P1482)=0,"",INDEX($D$1:$P$1,MATCH(MIN(D1482:P1482),D1482:P1482,0)))</f>
        <v/>
      </c>
      <c r="V1482" s="8" t="n">
        <v>136.06</v>
      </c>
      <c r="W1482" s="10" t="n">
        <v>2</v>
      </c>
    </row>
    <row r="1483">
      <c r="A1483" s="7" t="inlineStr">
        <is>
          <t>MAT-32-132</t>
        </is>
      </c>
      <c r="B1483" s="4" t="inlineStr">
        <is>
          <t>Adaptador macho de PPR 25 mm</t>
        </is>
      </c>
      <c r="C1483" s="7" t="inlineStr">
        <is>
          <t>unidad</t>
        </is>
      </c>
      <c r="D1483" s="8" t="n"/>
      <c r="E1483" s="8" t="n">
        <v>74.16</v>
      </c>
      <c r="F1483" s="8" t="n"/>
      <c r="G1483" s="8" t="n">
        <v>253</v>
      </c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>
        <f>IF(COUNT(D1483:P1483)=0,"",MIN(D1483:P1483))</f>
        <v/>
      </c>
      <c r="R1483" s="8">
        <f>IF(COUNT(D1483:P1483)=0,"",MEDIAN(D1483:P1483))</f>
        <v/>
      </c>
      <c r="S1483" s="8">
        <f>IF(COUNT(D1483:P1483)=0,"",MAX(D1483:P1483))</f>
        <v/>
      </c>
      <c r="T1483" s="9">
        <f>IF(OR(Q1483="",Q1483=0),"",(S1483-Q1483)/Q1483)</f>
        <v/>
      </c>
      <c r="U1483" s="7">
        <f>IF(COUNT(D1483:P1483)=0,"",INDEX($D$1:$P$1,MATCH(MIN(D1483:P1483),D1483:P1483,0)))</f>
        <v/>
      </c>
      <c r="V1483" s="8" t="n">
        <v>91</v>
      </c>
      <c r="W1483" s="10" t="n">
        <v>2</v>
      </c>
    </row>
    <row r="1484">
      <c r="A1484" s="7" t="inlineStr">
        <is>
          <t>MAT-32-133</t>
        </is>
      </c>
      <c r="B1484" s="4" t="inlineStr">
        <is>
          <t>Adaptador macho de PPR 32 mm</t>
        </is>
      </c>
      <c r="C1484" s="7" t="inlineStr">
        <is>
          <t>unidad</t>
        </is>
      </c>
      <c r="D1484" s="8" t="n"/>
      <c r="E1484" s="8" t="n">
        <v>78.15000000000001</v>
      </c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>
        <f>IF(COUNT(D1484:P1484)=0,"",MIN(D1484:P1484))</f>
        <v/>
      </c>
      <c r="R1484" s="8">
        <f>IF(COUNT(D1484:P1484)=0,"",MEDIAN(D1484:P1484))</f>
        <v/>
      </c>
      <c r="S1484" s="8">
        <f>IF(COUNT(D1484:P1484)=0,"",MAX(D1484:P1484))</f>
        <v/>
      </c>
      <c r="T1484" s="9">
        <f>IF(OR(Q1484="",Q1484=0),"",(S1484-Q1484)/Q1484)</f>
        <v/>
      </c>
      <c r="U1484" s="7">
        <f>IF(COUNT(D1484:P1484)=0,"",INDEX($D$1:$P$1,MATCH(MIN(D1484:P1484),D1484:P1484,0)))</f>
        <v/>
      </c>
      <c r="V1484" s="8" t="n">
        <v>83.45</v>
      </c>
      <c r="W1484" s="10" t="n">
        <v>1</v>
      </c>
    </row>
    <row r="1485">
      <c r="A1485" s="7" t="inlineStr">
        <is>
          <t>MAT-32-134</t>
        </is>
      </c>
      <c r="B1485" s="4" t="inlineStr">
        <is>
          <t>Adaptador macho de PPR 50 mm</t>
        </is>
      </c>
      <c r="C1485" s="7" t="inlineStr">
        <is>
          <t>unidad</t>
        </is>
      </c>
      <c r="D1485" s="8" t="n"/>
      <c r="E1485" s="8" t="n">
        <v>310</v>
      </c>
      <c r="F1485" s="8" t="n"/>
      <c r="G1485" s="8" t="n"/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>
        <f>IF(COUNT(D1485:P1485)=0,"",MIN(D1485:P1485))</f>
        <v/>
      </c>
      <c r="R1485" s="8">
        <f>IF(COUNT(D1485:P1485)=0,"",MEDIAN(D1485:P1485))</f>
        <v/>
      </c>
      <c r="S1485" s="8">
        <f>IF(COUNT(D1485:P1485)=0,"",MAX(D1485:P1485))</f>
        <v/>
      </c>
      <c r="T1485" s="9">
        <f>IF(OR(Q1485="",Q1485=0),"",(S1485-Q1485)/Q1485)</f>
        <v/>
      </c>
      <c r="U1485" s="7">
        <f>IF(COUNT(D1485:P1485)=0,"",INDEX($D$1:$P$1,MATCH(MIN(D1485:P1485),D1485:P1485,0)))</f>
        <v/>
      </c>
      <c r="V1485" s="8" t="n">
        <v>310</v>
      </c>
      <c r="W1485" s="10" t="n">
        <v>1</v>
      </c>
    </row>
    <row r="1486">
      <c r="A1486" s="7" t="inlineStr">
        <is>
          <t>MAT-32-135</t>
        </is>
      </c>
      <c r="B1486" s="4" t="inlineStr">
        <is>
          <t>Adaptador macho de PVC 1 1/2"</t>
        </is>
      </c>
      <c r="C1486" s="7" t="inlineStr">
        <is>
          <t>unidad</t>
        </is>
      </c>
      <c r="D1486" s="8" t="n"/>
      <c r="E1486" s="8" t="n">
        <v>19.31</v>
      </c>
      <c r="F1486" s="8" t="n"/>
      <c r="G1486" s="8" t="n">
        <v>95</v>
      </c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>
        <f>IF(COUNT(D1486:P1486)=0,"",MIN(D1486:P1486))</f>
        <v/>
      </c>
      <c r="R1486" s="8">
        <f>IF(COUNT(D1486:P1486)=0,"",MEDIAN(D1486:P1486))</f>
        <v/>
      </c>
      <c r="S1486" s="8">
        <f>IF(COUNT(D1486:P1486)=0,"",MAX(D1486:P1486))</f>
        <v/>
      </c>
      <c r="T1486" s="9">
        <f>IF(OR(Q1486="",Q1486=0),"",(S1486-Q1486)/Q1486)</f>
        <v/>
      </c>
      <c r="U1486" s="7">
        <f>IF(COUNT(D1486:P1486)=0,"",INDEX($D$1:$P$1,MATCH(MIN(D1486:P1486),D1486:P1486,0)))</f>
        <v/>
      </c>
      <c r="V1486" s="8" t="n">
        <v>34.5</v>
      </c>
      <c r="W1486" s="10" t="n">
        <v>2</v>
      </c>
    </row>
    <row r="1487">
      <c r="A1487" s="7" t="inlineStr">
        <is>
          <t>MAT-32-136</t>
        </is>
      </c>
      <c r="B1487" s="4" t="inlineStr">
        <is>
          <t>Adaptador macho de PVC 1/2"</t>
        </is>
      </c>
      <c r="C1487" s="7" t="inlineStr">
        <is>
          <t>unidad</t>
        </is>
      </c>
      <c r="D1487" s="8" t="n"/>
      <c r="E1487" s="8" t="n">
        <v>4.08</v>
      </c>
      <c r="F1487" s="8" t="n"/>
      <c r="G1487" s="8" t="n">
        <v>26</v>
      </c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>
        <f>IF(COUNT(D1487:P1487)=0,"",MIN(D1487:P1487))</f>
        <v/>
      </c>
      <c r="R1487" s="8">
        <f>IF(COUNT(D1487:P1487)=0,"",MEDIAN(D1487:P1487))</f>
        <v/>
      </c>
      <c r="S1487" s="8">
        <f>IF(COUNT(D1487:P1487)=0,"",MAX(D1487:P1487))</f>
        <v/>
      </c>
      <c r="T1487" s="9">
        <f>IF(OR(Q1487="",Q1487=0),"",(S1487-Q1487)/Q1487)</f>
        <v/>
      </c>
      <c r="U1487" s="7">
        <f>IF(COUNT(D1487:P1487)=0,"",INDEX($D$1:$P$1,MATCH(MIN(D1487:P1487),D1487:P1487,0)))</f>
        <v/>
      </c>
      <c r="V1487" s="8" t="n">
        <v>5.36</v>
      </c>
      <c r="W1487" s="10" t="n">
        <v>2</v>
      </c>
    </row>
    <row r="1488">
      <c r="A1488" s="7" t="inlineStr">
        <is>
          <t>MAT-32-137</t>
        </is>
      </c>
      <c r="B1488" s="4" t="inlineStr">
        <is>
          <t>Adaptador macho de PVC 1"</t>
        </is>
      </c>
      <c r="C1488" s="7" t="inlineStr">
        <is>
          <t>unidad</t>
        </is>
      </c>
      <c r="D1488" s="8" t="n"/>
      <c r="E1488" s="8" t="n">
        <v>8.73</v>
      </c>
      <c r="F1488" s="8" t="n"/>
      <c r="G1488" s="8" t="n">
        <v>40</v>
      </c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>
        <f>IF(COUNT(D1488:P1488)=0,"",MIN(D1488:P1488))</f>
        <v/>
      </c>
      <c r="R1488" s="8">
        <f>IF(COUNT(D1488:P1488)=0,"",MEDIAN(D1488:P1488))</f>
        <v/>
      </c>
      <c r="S1488" s="8">
        <f>IF(COUNT(D1488:P1488)=0,"",MAX(D1488:P1488))</f>
        <v/>
      </c>
      <c r="T1488" s="9">
        <f>IF(OR(Q1488="",Q1488=0),"",(S1488-Q1488)/Q1488)</f>
        <v/>
      </c>
      <c r="U1488" s="7">
        <f>IF(COUNT(D1488:P1488)=0,"",INDEX($D$1:$P$1,MATCH(MIN(D1488:P1488),D1488:P1488,0)))</f>
        <v/>
      </c>
      <c r="V1488" s="8" t="n">
        <v>18.2</v>
      </c>
      <c r="W1488" s="10" t="n">
        <v>2</v>
      </c>
    </row>
    <row r="1489">
      <c r="A1489" s="7" t="inlineStr">
        <is>
          <t>MAT-32-138</t>
        </is>
      </c>
      <c r="B1489" s="4" t="inlineStr">
        <is>
          <t>Adaptador macho de PVC 2"</t>
        </is>
      </c>
      <c r="C1489" s="7" t="inlineStr">
        <is>
          <t>unidad</t>
        </is>
      </c>
      <c r="D1489" s="8" t="n"/>
      <c r="E1489" s="8" t="n">
        <v>28.05</v>
      </c>
      <c r="F1489" s="8" t="n"/>
      <c r="G1489" s="8" t="n">
        <v>105</v>
      </c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>
        <f>IF(COUNT(D1489:P1489)=0,"",MIN(D1489:P1489))</f>
        <v/>
      </c>
      <c r="R1489" s="8">
        <f>IF(COUNT(D1489:P1489)=0,"",MEDIAN(D1489:P1489))</f>
        <v/>
      </c>
      <c r="S1489" s="8">
        <f>IF(COUNT(D1489:P1489)=0,"",MAX(D1489:P1489))</f>
        <v/>
      </c>
      <c r="T1489" s="9">
        <f>IF(OR(Q1489="",Q1489=0),"",(S1489-Q1489)/Q1489)</f>
        <v/>
      </c>
      <c r="U1489" s="7">
        <f>IF(COUNT(D1489:P1489)=0,"",INDEX($D$1:$P$1,MATCH(MIN(D1489:P1489),D1489:P1489,0)))</f>
        <v/>
      </c>
      <c r="V1489" s="8" t="n">
        <v>60.76</v>
      </c>
      <c r="W1489" s="10" t="n">
        <v>2</v>
      </c>
    </row>
    <row r="1490">
      <c r="A1490" s="7" t="inlineStr">
        <is>
          <t>MAT-32-139</t>
        </is>
      </c>
      <c r="B1490" s="4" t="inlineStr">
        <is>
          <t>Adaptador macho de PVC 3/4"</t>
        </is>
      </c>
      <c r="C1490" s="7" t="inlineStr">
        <is>
          <t>unidad</t>
        </is>
      </c>
      <c r="D1490" s="8" t="n"/>
      <c r="E1490" s="8" t="n">
        <v>5.62</v>
      </c>
      <c r="F1490" s="8" t="n"/>
      <c r="G1490" s="8" t="n">
        <v>26</v>
      </c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>
        <f>IF(COUNT(D1490:P1490)=0,"",MIN(D1490:P1490))</f>
        <v/>
      </c>
      <c r="R1490" s="8">
        <f>IF(COUNT(D1490:P1490)=0,"",MEDIAN(D1490:P1490))</f>
        <v/>
      </c>
      <c r="S1490" s="8">
        <f>IF(COUNT(D1490:P1490)=0,"",MAX(D1490:P1490))</f>
        <v/>
      </c>
      <c r="T1490" s="9">
        <f>IF(OR(Q1490="",Q1490=0),"",(S1490-Q1490)/Q1490)</f>
        <v/>
      </c>
      <c r="U1490" s="7">
        <f>IF(COUNT(D1490:P1490)=0,"",INDEX($D$1:$P$1,MATCH(MIN(D1490:P1490),D1490:P1490,0)))</f>
        <v/>
      </c>
      <c r="V1490" s="8" t="n">
        <v>10.75</v>
      </c>
      <c r="W1490" s="10" t="n">
        <v>2</v>
      </c>
    </row>
    <row r="1491">
      <c r="A1491" s="7" t="inlineStr">
        <is>
          <t>MAT-32-140</t>
        </is>
      </c>
      <c r="B1491" s="4" t="inlineStr">
        <is>
          <t>Adaptador macho de PVC 3"</t>
        </is>
      </c>
      <c r="C1491" s="7" t="inlineStr">
        <is>
          <t>unidad</t>
        </is>
      </c>
      <c r="D1491" s="8" t="n"/>
      <c r="E1491" s="8" t="n">
        <v>85</v>
      </c>
      <c r="F1491" s="8" t="n"/>
      <c r="G1491" s="8" t="n">
        <v>271</v>
      </c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>
        <f>IF(COUNT(D1491:P1491)=0,"",MIN(D1491:P1491))</f>
        <v/>
      </c>
      <c r="R1491" s="8">
        <f>IF(COUNT(D1491:P1491)=0,"",MEDIAN(D1491:P1491))</f>
        <v/>
      </c>
      <c r="S1491" s="8">
        <f>IF(COUNT(D1491:P1491)=0,"",MAX(D1491:P1491))</f>
        <v/>
      </c>
      <c r="T1491" s="9">
        <f>IF(OR(Q1491="",Q1491=0),"",(S1491-Q1491)/Q1491)</f>
        <v/>
      </c>
      <c r="U1491" s="7">
        <f>IF(COUNT(D1491:P1491)=0,"",INDEX($D$1:$P$1,MATCH(MIN(D1491:P1491),D1491:P1491,0)))</f>
        <v/>
      </c>
      <c r="V1491" s="8" t="n">
        <v>157</v>
      </c>
      <c r="W1491" s="10" t="n">
        <v>2</v>
      </c>
    </row>
    <row r="1492">
      <c r="A1492" s="7" t="inlineStr">
        <is>
          <t>MAT-32-141</t>
        </is>
      </c>
      <c r="B1492" s="4" t="inlineStr">
        <is>
          <t>Adaptador macho de PVC 4"</t>
        </is>
      </c>
      <c r="C1492" s="7" t="inlineStr">
        <is>
          <t>unidad</t>
        </is>
      </c>
      <c r="D1492" s="8" t="n"/>
      <c r="E1492" s="8" t="n">
        <v>120</v>
      </c>
      <c r="F1492" s="8" t="n"/>
      <c r="G1492" s="8" t="n">
        <v>291</v>
      </c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>
        <f>IF(COUNT(D1492:P1492)=0,"",MIN(D1492:P1492))</f>
        <v/>
      </c>
      <c r="R1492" s="8">
        <f>IF(COUNT(D1492:P1492)=0,"",MEDIAN(D1492:P1492))</f>
        <v/>
      </c>
      <c r="S1492" s="8">
        <f>IF(COUNT(D1492:P1492)=0,"",MAX(D1492:P1492))</f>
        <v/>
      </c>
      <c r="T1492" s="9">
        <f>IF(OR(Q1492="",Q1492=0),"",(S1492-Q1492)/Q1492)</f>
        <v/>
      </c>
      <c r="U1492" s="7">
        <f>IF(COUNT(D1492:P1492)=0,"",INDEX($D$1:$P$1,MATCH(MIN(D1492:P1492),D1492:P1492,0)))</f>
        <v/>
      </c>
      <c r="V1492" s="8" t="n">
        <v>234.99</v>
      </c>
      <c r="W1492" s="10" t="n">
        <v>2</v>
      </c>
    </row>
    <row r="1493">
      <c r="A1493" s="7" t="inlineStr">
        <is>
          <t>MAT-32-142</t>
        </is>
      </c>
      <c r="B1493" s="4" t="inlineStr">
        <is>
          <t>Adaptador macho de PVC 6"</t>
        </is>
      </c>
      <c r="C1493" s="7" t="inlineStr">
        <is>
          <t>unidad</t>
        </is>
      </c>
      <c r="D1493" s="8" t="n"/>
      <c r="E1493" s="8" t="n">
        <v>567</v>
      </c>
      <c r="F1493" s="8" t="n"/>
      <c r="G1493" s="8" t="n"/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>
        <f>IF(COUNT(D1493:P1493)=0,"",MIN(D1493:P1493))</f>
        <v/>
      </c>
      <c r="R1493" s="8">
        <f>IF(COUNT(D1493:P1493)=0,"",MEDIAN(D1493:P1493))</f>
        <v/>
      </c>
      <c r="S1493" s="8">
        <f>IF(COUNT(D1493:P1493)=0,"",MAX(D1493:P1493))</f>
        <v/>
      </c>
      <c r="T1493" s="9">
        <f>IF(OR(Q1493="",Q1493=0),"",(S1493-Q1493)/Q1493)</f>
        <v/>
      </c>
      <c r="U1493" s="7">
        <f>IF(COUNT(D1493:P1493)=0,"",INDEX($D$1:$P$1,MATCH(MIN(D1493:P1493),D1493:P1493,0)))</f>
        <v/>
      </c>
      <c r="V1493" s="8" t="n">
        <v>567</v>
      </c>
      <c r="W1493" s="10" t="n">
        <v>1</v>
      </c>
    </row>
    <row r="1494">
      <c r="A1494" s="7" t="inlineStr">
        <is>
          <t>MAT-32-143</t>
        </is>
      </c>
      <c r="B1494" s="4" t="inlineStr">
        <is>
          <t>Adaptador de bronce 7/8" x 1/2"</t>
        </is>
      </c>
      <c r="C1494" s="7" t="inlineStr">
        <is>
          <t>unidad</t>
        </is>
      </c>
      <c r="D1494" s="8" t="n"/>
      <c r="E1494" s="8" t="n">
        <v>176</v>
      </c>
      <c r="F1494" s="8" t="n"/>
      <c r="G1494" s="8" t="n"/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>
        <f>IF(COUNT(D1494:P1494)=0,"",MIN(D1494:P1494))</f>
        <v/>
      </c>
      <c r="R1494" s="8">
        <f>IF(COUNT(D1494:P1494)=0,"",MEDIAN(D1494:P1494))</f>
        <v/>
      </c>
      <c r="S1494" s="8">
        <f>IF(COUNT(D1494:P1494)=0,"",MAX(D1494:P1494))</f>
        <v/>
      </c>
      <c r="T1494" s="9">
        <f>IF(OR(Q1494="",Q1494=0),"",(S1494-Q1494)/Q1494)</f>
        <v/>
      </c>
      <c r="U1494" s="7">
        <f>IF(COUNT(D1494:P1494)=0,"",INDEX($D$1:$P$1,MATCH(MIN(D1494:P1494),D1494:P1494,0)))</f>
        <v/>
      </c>
      <c r="V1494" s="8" t="n">
        <v>176</v>
      </c>
      <c r="W1494" s="10" t="n">
        <v>1</v>
      </c>
    </row>
    <row r="1495">
      <c r="A1495" s="7" t="inlineStr">
        <is>
          <t>MAT-32-144</t>
        </is>
      </c>
      <c r="B1495" s="4" t="inlineStr">
        <is>
          <t>Anilla de cobre 0.19"</t>
        </is>
      </c>
      <c r="C1495" s="7" t="inlineStr">
        <is>
          <t>unidad</t>
        </is>
      </c>
      <c r="D1495" s="8" t="n"/>
      <c r="E1495" s="8" t="n"/>
      <c r="F1495" s="8" t="n"/>
      <c r="G1495" s="8" t="n">
        <v>31</v>
      </c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>
        <f>IF(COUNT(D1495:P1495)=0,"",MIN(D1495:P1495))</f>
        <v/>
      </c>
      <c r="R1495" s="8">
        <f>IF(COUNT(D1495:P1495)=0,"",MEDIAN(D1495:P1495))</f>
        <v/>
      </c>
      <c r="S1495" s="8">
        <f>IF(COUNT(D1495:P1495)=0,"",MAX(D1495:P1495))</f>
        <v/>
      </c>
      <c r="T1495" s="9">
        <f>IF(OR(Q1495="",Q1495=0),"",(S1495-Q1495)/Q1495)</f>
        <v/>
      </c>
      <c r="U1495" s="7">
        <f>IF(COUNT(D1495:P1495)=0,"",INDEX($D$1:$P$1,MATCH(MIN(D1495:P1495),D1495:P1495,0)))</f>
        <v/>
      </c>
      <c r="V1495" s="8" t="n">
        <v>31</v>
      </c>
      <c r="W1495" s="10" t="n">
        <v>1</v>
      </c>
    </row>
    <row r="1496">
      <c r="A1496" s="7" t="inlineStr">
        <is>
          <t>MAT-32-145</t>
        </is>
      </c>
      <c r="B1496" s="4" t="inlineStr">
        <is>
          <t>Anilla de cobre 0.31"</t>
        </is>
      </c>
      <c r="C1496" s="7" t="inlineStr">
        <is>
          <t>unidad</t>
        </is>
      </c>
      <c r="D1496" s="8" t="n"/>
      <c r="E1496" s="8" t="n"/>
      <c r="F1496" s="8" t="n"/>
      <c r="G1496" s="8" t="n">
        <v>19</v>
      </c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>
        <f>IF(COUNT(D1496:P1496)=0,"",MIN(D1496:P1496))</f>
        <v/>
      </c>
      <c r="R1496" s="8">
        <f>IF(COUNT(D1496:P1496)=0,"",MEDIAN(D1496:P1496))</f>
        <v/>
      </c>
      <c r="S1496" s="8">
        <f>IF(COUNT(D1496:P1496)=0,"",MAX(D1496:P1496))</f>
        <v/>
      </c>
      <c r="T1496" s="9">
        <f>IF(OR(Q1496="",Q1496=0),"",(S1496-Q1496)/Q1496)</f>
        <v/>
      </c>
      <c r="U1496" s="7">
        <f>IF(COUNT(D1496:P1496)=0,"",INDEX($D$1:$P$1,MATCH(MIN(D1496:P1496),D1496:P1496,0)))</f>
        <v/>
      </c>
      <c r="V1496" s="8" t="n">
        <v>19</v>
      </c>
      <c r="W1496" s="10" t="n">
        <v>1</v>
      </c>
    </row>
    <row r="1497">
      <c r="A1497" s="7" t="inlineStr">
        <is>
          <t>MAT-32-146</t>
        </is>
      </c>
      <c r="B1497" s="4" t="inlineStr">
        <is>
          <t>Anilla de cobre 1/2"</t>
        </is>
      </c>
      <c r="C1497" s="7" t="inlineStr">
        <is>
          <t>unidad</t>
        </is>
      </c>
      <c r="D1497" s="8" t="n"/>
      <c r="E1497" s="8" t="n"/>
      <c r="F1497" s="8" t="n"/>
      <c r="G1497" s="8" t="n">
        <v>32</v>
      </c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>
        <f>IF(COUNT(D1497:P1497)=0,"",MIN(D1497:P1497))</f>
        <v/>
      </c>
      <c r="R1497" s="8">
        <f>IF(COUNT(D1497:P1497)=0,"",MEDIAN(D1497:P1497))</f>
        <v/>
      </c>
      <c r="S1497" s="8">
        <f>IF(COUNT(D1497:P1497)=0,"",MAX(D1497:P1497))</f>
        <v/>
      </c>
      <c r="T1497" s="9">
        <f>IF(OR(Q1497="",Q1497=0),"",(S1497-Q1497)/Q1497)</f>
        <v/>
      </c>
      <c r="U1497" s="7">
        <f>IF(COUNT(D1497:P1497)=0,"",INDEX($D$1:$P$1,MATCH(MIN(D1497:P1497),D1497:P1497,0)))</f>
        <v/>
      </c>
      <c r="V1497" s="8" t="n">
        <v>32</v>
      </c>
      <c r="W1497" s="10" t="n">
        <v>1</v>
      </c>
    </row>
    <row r="1498">
      <c r="A1498" s="7" t="inlineStr">
        <is>
          <t>MAT-32-147</t>
        </is>
      </c>
      <c r="B1498" s="4" t="inlineStr">
        <is>
          <t>Anilla de cobre 1/4"</t>
        </is>
      </c>
      <c r="C1498" s="7" t="inlineStr">
        <is>
          <t>unidad</t>
        </is>
      </c>
      <c r="D1498" s="8" t="n"/>
      <c r="E1498" s="8" t="n"/>
      <c r="F1498" s="8" t="n"/>
      <c r="G1498" s="8" t="n">
        <v>31</v>
      </c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>
        <f>IF(COUNT(D1498:P1498)=0,"",MIN(D1498:P1498))</f>
        <v/>
      </c>
      <c r="R1498" s="8">
        <f>IF(COUNT(D1498:P1498)=0,"",MEDIAN(D1498:P1498))</f>
        <v/>
      </c>
      <c r="S1498" s="8">
        <f>IF(COUNT(D1498:P1498)=0,"",MAX(D1498:P1498))</f>
        <v/>
      </c>
      <c r="T1498" s="9">
        <f>IF(OR(Q1498="",Q1498=0),"",(S1498-Q1498)/Q1498)</f>
        <v/>
      </c>
      <c r="U1498" s="7">
        <f>IF(COUNT(D1498:P1498)=0,"",INDEX($D$1:$P$1,MATCH(MIN(D1498:P1498),D1498:P1498,0)))</f>
        <v/>
      </c>
      <c r="V1498" s="8" t="n">
        <v>31</v>
      </c>
      <c r="W1498" s="10" t="n">
        <v>1</v>
      </c>
    </row>
    <row r="1499">
      <c r="A1499" s="7" t="inlineStr">
        <is>
          <t>MAT-32-148</t>
        </is>
      </c>
      <c r="B1499" s="4" t="inlineStr">
        <is>
          <t>Anilla de cobre 3/8"</t>
        </is>
      </c>
      <c r="C1499" s="7" t="inlineStr">
        <is>
          <t>unidad</t>
        </is>
      </c>
      <c r="D1499" s="8" t="n"/>
      <c r="E1499" s="8" t="n"/>
      <c r="F1499" s="8" t="n"/>
      <c r="G1499" s="8" t="n">
        <v>31</v>
      </c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>
        <f>IF(COUNT(D1499:P1499)=0,"",MIN(D1499:P1499))</f>
        <v/>
      </c>
      <c r="R1499" s="8">
        <f>IF(COUNT(D1499:P1499)=0,"",MEDIAN(D1499:P1499))</f>
        <v/>
      </c>
      <c r="S1499" s="8">
        <f>IF(COUNT(D1499:P1499)=0,"",MAX(D1499:P1499))</f>
        <v/>
      </c>
      <c r="T1499" s="9">
        <f>IF(OR(Q1499="",Q1499=0),"",(S1499-Q1499)/Q1499)</f>
        <v/>
      </c>
      <c r="U1499" s="7">
        <f>IF(COUNT(D1499:P1499)=0,"",INDEX($D$1:$P$1,MATCH(MIN(D1499:P1499),D1499:P1499,0)))</f>
        <v/>
      </c>
      <c r="V1499" s="8" t="n">
        <v>31</v>
      </c>
      <c r="W1499" s="10" t="n">
        <v>1</v>
      </c>
    </row>
    <row r="1500">
      <c r="A1500" s="7" t="inlineStr">
        <is>
          <t>MAT-32-149</t>
        </is>
      </c>
      <c r="B1500" s="4" t="inlineStr">
        <is>
          <t>Codo de 45° de CPVC 1/2"</t>
        </is>
      </c>
      <c r="C1500" s="7" t="inlineStr">
        <is>
          <t>unidad</t>
        </is>
      </c>
      <c r="D1500" s="8" t="n"/>
      <c r="E1500" s="8" t="n">
        <v>10.5</v>
      </c>
      <c r="F1500" s="8" t="n"/>
      <c r="G1500" s="8" t="n"/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>
        <f>IF(COUNT(D1500:P1500)=0,"",MIN(D1500:P1500))</f>
        <v/>
      </c>
      <c r="R1500" s="8">
        <f>IF(COUNT(D1500:P1500)=0,"",MEDIAN(D1500:P1500))</f>
        <v/>
      </c>
      <c r="S1500" s="8">
        <f>IF(COUNT(D1500:P1500)=0,"",MAX(D1500:P1500))</f>
        <v/>
      </c>
      <c r="T1500" s="9">
        <f>IF(OR(Q1500="",Q1500=0),"",(S1500-Q1500)/Q1500)</f>
        <v/>
      </c>
      <c r="U1500" s="7">
        <f>IF(COUNT(D1500:P1500)=0,"",INDEX($D$1:$P$1,MATCH(MIN(D1500:P1500),D1500:P1500,0)))</f>
        <v/>
      </c>
      <c r="V1500" s="8" t="n">
        <v>10.5</v>
      </c>
      <c r="W1500" s="10" t="n">
        <v>1</v>
      </c>
    </row>
    <row r="1501">
      <c r="A1501" s="7" t="inlineStr">
        <is>
          <t>MAT-32-150</t>
        </is>
      </c>
      <c r="B1501" s="4" t="inlineStr">
        <is>
          <t>Codo de 45° de CPVC 1"</t>
        </is>
      </c>
      <c r="C1501" s="7" t="inlineStr">
        <is>
          <t>unidad</t>
        </is>
      </c>
      <c r="D1501" s="8" t="n"/>
      <c r="E1501" s="8" t="n">
        <v>33.39</v>
      </c>
      <c r="F1501" s="8" t="n"/>
      <c r="G1501" s="8" t="n"/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>
        <f>IF(COUNT(D1501:P1501)=0,"",MIN(D1501:P1501))</f>
        <v/>
      </c>
      <c r="R1501" s="8">
        <f>IF(COUNT(D1501:P1501)=0,"",MEDIAN(D1501:P1501))</f>
        <v/>
      </c>
      <c r="S1501" s="8">
        <f>IF(COUNT(D1501:P1501)=0,"",MAX(D1501:P1501))</f>
        <v/>
      </c>
      <c r="T1501" s="9">
        <f>IF(OR(Q1501="",Q1501=0),"",(S1501-Q1501)/Q1501)</f>
        <v/>
      </c>
      <c r="U1501" s="7">
        <f>IF(COUNT(D1501:P1501)=0,"",INDEX($D$1:$P$1,MATCH(MIN(D1501:P1501),D1501:P1501,0)))</f>
        <v/>
      </c>
      <c r="V1501" s="8" t="n">
        <v>33.39</v>
      </c>
      <c r="W1501" s="10" t="n">
        <v>1</v>
      </c>
    </row>
    <row r="1502">
      <c r="A1502" s="7" t="inlineStr">
        <is>
          <t>MAT-32-151</t>
        </is>
      </c>
      <c r="B1502" s="4" t="inlineStr">
        <is>
          <t>Codo de 45° de CPVC 3/4"</t>
        </is>
      </c>
      <c r="C1502" s="7" t="inlineStr">
        <is>
          <t>unidad</t>
        </is>
      </c>
      <c r="D1502" s="8" t="n"/>
      <c r="E1502" s="8" t="n">
        <v>25.61</v>
      </c>
      <c r="F1502" s="8" t="n"/>
      <c r="G1502" s="8" t="n"/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>
        <f>IF(COUNT(D1502:P1502)=0,"",MIN(D1502:P1502))</f>
        <v/>
      </c>
      <c r="R1502" s="8">
        <f>IF(COUNT(D1502:P1502)=0,"",MEDIAN(D1502:P1502))</f>
        <v/>
      </c>
      <c r="S1502" s="8">
        <f>IF(COUNT(D1502:P1502)=0,"",MAX(D1502:P1502))</f>
        <v/>
      </c>
      <c r="T1502" s="9">
        <f>IF(OR(Q1502="",Q1502=0),"",(S1502-Q1502)/Q1502)</f>
        <v/>
      </c>
      <c r="U1502" s="7">
        <f>IF(COUNT(D1502:P1502)=0,"",INDEX($D$1:$P$1,MATCH(MIN(D1502:P1502),D1502:P1502,0)))</f>
        <v/>
      </c>
      <c r="V1502" s="8" t="n">
        <v>25.61</v>
      </c>
      <c r="W1502" s="10" t="n">
        <v>1</v>
      </c>
    </row>
    <row r="1503">
      <c r="A1503" s="7" t="inlineStr">
        <is>
          <t>MAT-32-152</t>
        </is>
      </c>
      <c r="B1503" s="4" t="inlineStr">
        <is>
          <t>Codo de 45° de HG 1 1/2"</t>
        </is>
      </c>
      <c r="C1503" s="7" t="inlineStr">
        <is>
          <t>unidad</t>
        </is>
      </c>
      <c r="D1503" s="8" t="n"/>
      <c r="E1503" s="8" t="n">
        <v>120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>
        <f>IF(COUNT(D1503:P1503)=0,"",MIN(D1503:P1503))</f>
        <v/>
      </c>
      <c r="R1503" s="8">
        <f>IF(COUNT(D1503:P1503)=0,"",MEDIAN(D1503:P1503))</f>
        <v/>
      </c>
      <c r="S1503" s="8">
        <f>IF(COUNT(D1503:P1503)=0,"",MAX(D1503:P1503))</f>
        <v/>
      </c>
      <c r="T1503" s="9">
        <f>IF(OR(Q1503="",Q1503=0),"",(S1503-Q1503)/Q1503)</f>
        <v/>
      </c>
      <c r="U1503" s="7">
        <f>IF(COUNT(D1503:P1503)=0,"",INDEX($D$1:$P$1,MATCH(MIN(D1503:P1503),D1503:P1503,0)))</f>
        <v/>
      </c>
      <c r="V1503" s="8" t="n">
        <v>120</v>
      </c>
      <c r="W1503" s="10" t="n">
        <v>1</v>
      </c>
    </row>
    <row r="1504">
      <c r="A1504" s="7" t="inlineStr">
        <is>
          <t>MAT-32-153</t>
        </is>
      </c>
      <c r="B1504" s="4" t="inlineStr">
        <is>
          <t>Codo de 45° de HG 1/2"</t>
        </is>
      </c>
      <c r="C1504" s="7" t="inlineStr">
        <is>
          <t>unidad</t>
        </is>
      </c>
      <c r="D1504" s="8" t="n"/>
      <c r="E1504" s="8" t="n">
        <v>25.82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>
        <f>IF(COUNT(D1504:P1504)=0,"",MIN(D1504:P1504))</f>
        <v/>
      </c>
      <c r="R1504" s="8">
        <f>IF(COUNT(D1504:P1504)=0,"",MEDIAN(D1504:P1504))</f>
        <v/>
      </c>
      <c r="S1504" s="8">
        <f>IF(COUNT(D1504:P1504)=0,"",MAX(D1504:P1504))</f>
        <v/>
      </c>
      <c r="T1504" s="9">
        <f>IF(OR(Q1504="",Q1504=0),"",(S1504-Q1504)/Q1504)</f>
        <v/>
      </c>
      <c r="U1504" s="7">
        <f>IF(COUNT(D1504:P1504)=0,"",INDEX($D$1:$P$1,MATCH(MIN(D1504:P1504),D1504:P1504,0)))</f>
        <v/>
      </c>
      <c r="V1504" s="8" t="n">
        <v>25.82</v>
      </c>
      <c r="W1504" s="10" t="n">
        <v>1</v>
      </c>
    </row>
    <row r="1505">
      <c r="A1505" s="7" t="inlineStr">
        <is>
          <t>MAT-32-154</t>
        </is>
      </c>
      <c r="B1505" s="4" t="inlineStr">
        <is>
          <t>Codo de 45° de HG 1/4"</t>
        </is>
      </c>
      <c r="C1505" s="7" t="inlineStr">
        <is>
          <t>unidad</t>
        </is>
      </c>
      <c r="D1505" s="8" t="n"/>
      <c r="E1505" s="8" t="n">
        <v>35.9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>
        <f>IF(COUNT(D1505:P1505)=0,"",MIN(D1505:P1505))</f>
        <v/>
      </c>
      <c r="R1505" s="8">
        <f>IF(COUNT(D1505:P1505)=0,"",MEDIAN(D1505:P1505))</f>
        <v/>
      </c>
      <c r="S1505" s="8">
        <f>IF(COUNT(D1505:P1505)=0,"",MAX(D1505:P1505))</f>
        <v/>
      </c>
      <c r="T1505" s="9">
        <f>IF(OR(Q1505="",Q1505=0),"",(S1505-Q1505)/Q1505)</f>
        <v/>
      </c>
      <c r="U1505" s="7">
        <f>IF(COUNT(D1505:P1505)=0,"",INDEX($D$1:$P$1,MATCH(MIN(D1505:P1505),D1505:P1505,0)))</f>
        <v/>
      </c>
      <c r="V1505" s="8" t="n">
        <v>35.9</v>
      </c>
      <c r="W1505" s="10" t="n">
        <v>1</v>
      </c>
    </row>
    <row r="1506">
      <c r="A1506" s="7" t="inlineStr">
        <is>
          <t>MAT-32-155</t>
        </is>
      </c>
      <c r="B1506" s="4" t="inlineStr">
        <is>
          <t>Codo de 45° de HG 1"</t>
        </is>
      </c>
      <c r="C1506" s="7" t="inlineStr">
        <is>
          <t>unidad</t>
        </is>
      </c>
      <c r="D1506" s="8" t="n"/>
      <c r="E1506" s="8" t="n">
        <v>57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>
        <f>IF(COUNT(D1506:P1506)=0,"",MIN(D1506:P1506))</f>
        <v/>
      </c>
      <c r="R1506" s="8">
        <f>IF(COUNT(D1506:P1506)=0,"",MEDIAN(D1506:P1506))</f>
        <v/>
      </c>
      <c r="S1506" s="8">
        <f>IF(COUNT(D1506:P1506)=0,"",MAX(D1506:P1506))</f>
        <v/>
      </c>
      <c r="T1506" s="9">
        <f>IF(OR(Q1506="",Q1506=0),"",(S1506-Q1506)/Q1506)</f>
        <v/>
      </c>
      <c r="U1506" s="7">
        <f>IF(COUNT(D1506:P1506)=0,"",INDEX($D$1:$P$1,MATCH(MIN(D1506:P1506),D1506:P1506,0)))</f>
        <v/>
      </c>
      <c r="V1506" s="8" t="n">
        <v>57</v>
      </c>
      <c r="W1506" s="10" t="n">
        <v>1</v>
      </c>
    </row>
    <row r="1507">
      <c r="A1507" s="7" t="inlineStr">
        <is>
          <t>MAT-32-156</t>
        </is>
      </c>
      <c r="B1507" s="4" t="inlineStr">
        <is>
          <t>Codo de 45° de HG 2"</t>
        </is>
      </c>
      <c r="C1507" s="7" t="inlineStr">
        <is>
          <t>unidad</t>
        </is>
      </c>
      <c r="D1507" s="8" t="n"/>
      <c r="E1507" s="8" t="n">
        <v>181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>
        <f>IF(COUNT(D1507:P1507)=0,"",MIN(D1507:P1507))</f>
        <v/>
      </c>
      <c r="R1507" s="8">
        <f>IF(COUNT(D1507:P1507)=0,"",MEDIAN(D1507:P1507))</f>
        <v/>
      </c>
      <c r="S1507" s="8">
        <f>IF(COUNT(D1507:P1507)=0,"",MAX(D1507:P1507))</f>
        <v/>
      </c>
      <c r="T1507" s="9">
        <f>IF(OR(Q1507="",Q1507=0),"",(S1507-Q1507)/Q1507)</f>
        <v/>
      </c>
      <c r="U1507" s="7">
        <f>IF(COUNT(D1507:P1507)=0,"",INDEX($D$1:$P$1,MATCH(MIN(D1507:P1507),D1507:P1507,0)))</f>
        <v/>
      </c>
      <c r="V1507" s="8" t="n">
        <v>181</v>
      </c>
      <c r="W1507" s="10" t="n">
        <v>1</v>
      </c>
    </row>
    <row r="1508">
      <c r="A1508" s="7" t="inlineStr">
        <is>
          <t>MAT-32-157</t>
        </is>
      </c>
      <c r="B1508" s="4" t="inlineStr">
        <is>
          <t>Codo de 45° de HG 3/8"</t>
        </is>
      </c>
      <c r="C1508" s="7" t="inlineStr">
        <is>
          <t>unidad</t>
        </is>
      </c>
      <c r="D1508" s="8" t="n"/>
      <c r="E1508" s="8" t="n">
        <v>4.27</v>
      </c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>
        <f>IF(COUNT(D1508:P1508)=0,"",MIN(D1508:P1508))</f>
        <v/>
      </c>
      <c r="R1508" s="8">
        <f>IF(COUNT(D1508:P1508)=0,"",MEDIAN(D1508:P1508))</f>
        <v/>
      </c>
      <c r="S1508" s="8">
        <f>IF(COUNT(D1508:P1508)=0,"",MAX(D1508:P1508))</f>
        <v/>
      </c>
      <c r="T1508" s="9">
        <f>IF(OR(Q1508="",Q1508=0),"",(S1508-Q1508)/Q1508)</f>
        <v/>
      </c>
      <c r="U1508" s="7">
        <f>IF(COUNT(D1508:P1508)=0,"",INDEX($D$1:$P$1,MATCH(MIN(D1508:P1508),D1508:P1508,0)))</f>
        <v/>
      </c>
      <c r="V1508" s="8" t="n">
        <v>4.27</v>
      </c>
      <c r="W1508" s="10" t="n">
        <v>1</v>
      </c>
    </row>
    <row r="1509">
      <c r="A1509" s="7" t="inlineStr">
        <is>
          <t>MAT-32-158</t>
        </is>
      </c>
      <c r="B1509" s="4" t="inlineStr">
        <is>
          <t>Codo de 45° de PPR 20 mm</t>
        </is>
      </c>
      <c r="C1509" s="7" t="inlineStr">
        <is>
          <t>unidad</t>
        </is>
      </c>
      <c r="D1509" s="8" t="n"/>
      <c r="E1509" s="8" t="n">
        <v>5.85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>
        <f>IF(COUNT(D1509:P1509)=0,"",MIN(D1509:P1509))</f>
        <v/>
      </c>
      <c r="R1509" s="8">
        <f>IF(COUNT(D1509:P1509)=0,"",MEDIAN(D1509:P1509))</f>
        <v/>
      </c>
      <c r="S1509" s="8">
        <f>IF(COUNT(D1509:P1509)=0,"",MAX(D1509:P1509))</f>
        <v/>
      </c>
      <c r="T1509" s="9">
        <f>IF(OR(Q1509="",Q1509=0),"",(S1509-Q1509)/Q1509)</f>
        <v/>
      </c>
      <c r="U1509" s="7">
        <f>IF(COUNT(D1509:P1509)=0,"",INDEX($D$1:$P$1,MATCH(MIN(D1509:P1509),D1509:P1509,0)))</f>
        <v/>
      </c>
      <c r="V1509" s="8" t="n">
        <v>5.85</v>
      </c>
      <c r="W1509" s="10" t="n">
        <v>1</v>
      </c>
    </row>
    <row r="1510">
      <c r="A1510" s="7" t="inlineStr">
        <is>
          <t>MAT-32-159</t>
        </is>
      </c>
      <c r="B1510" s="4" t="inlineStr">
        <is>
          <t>Codo de 45° de PPR 25 mm</t>
        </is>
      </c>
      <c r="C1510" s="7" t="inlineStr">
        <is>
          <t>unidad</t>
        </is>
      </c>
      <c r="D1510" s="8" t="n"/>
      <c r="E1510" s="8" t="n">
        <v>8.08</v>
      </c>
      <c r="F1510" s="8" t="n"/>
      <c r="G1510" s="8" t="n">
        <v>37</v>
      </c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>
        <f>IF(COUNT(D1510:P1510)=0,"",MIN(D1510:P1510))</f>
        <v/>
      </c>
      <c r="R1510" s="8">
        <f>IF(COUNT(D1510:P1510)=0,"",MEDIAN(D1510:P1510))</f>
        <v/>
      </c>
      <c r="S1510" s="8">
        <f>IF(COUNT(D1510:P1510)=0,"",MAX(D1510:P1510))</f>
        <v/>
      </c>
      <c r="T1510" s="9">
        <f>IF(OR(Q1510="",Q1510=0),"",(S1510-Q1510)/Q1510)</f>
        <v/>
      </c>
      <c r="U1510" s="7">
        <f>IF(COUNT(D1510:P1510)=0,"",INDEX($D$1:$P$1,MATCH(MIN(D1510:P1510),D1510:P1510,0)))</f>
        <v/>
      </c>
      <c r="V1510" s="8" t="n">
        <v>22.54</v>
      </c>
      <c r="W1510" s="10" t="n">
        <v>2</v>
      </c>
    </row>
    <row r="1511">
      <c r="A1511" s="7" t="inlineStr">
        <is>
          <t>MAT-32-160</t>
        </is>
      </c>
      <c r="B1511" s="4" t="inlineStr">
        <is>
          <t>Codo de 45° de PPR 32 mm</t>
        </is>
      </c>
      <c r="C1511" s="7" t="inlineStr">
        <is>
          <t>unidad</t>
        </is>
      </c>
      <c r="D1511" s="8" t="n"/>
      <c r="E1511" s="8" t="n">
        <v>14.42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>
        <f>IF(COUNT(D1511:P1511)=0,"",MIN(D1511:P1511))</f>
        <v/>
      </c>
      <c r="R1511" s="8">
        <f>IF(COUNT(D1511:P1511)=0,"",MEDIAN(D1511:P1511))</f>
        <v/>
      </c>
      <c r="S1511" s="8">
        <f>IF(COUNT(D1511:P1511)=0,"",MAX(D1511:P1511))</f>
        <v/>
      </c>
      <c r="T1511" s="9">
        <f>IF(OR(Q1511="",Q1511=0),"",(S1511-Q1511)/Q1511)</f>
        <v/>
      </c>
      <c r="U1511" s="7">
        <f>IF(COUNT(D1511:P1511)=0,"",INDEX($D$1:$P$1,MATCH(MIN(D1511:P1511),D1511:P1511,0)))</f>
        <v/>
      </c>
      <c r="V1511" s="8" t="n">
        <v>14.42</v>
      </c>
      <c r="W1511" s="10" t="n">
        <v>1</v>
      </c>
    </row>
    <row r="1512">
      <c r="A1512" s="7" t="inlineStr">
        <is>
          <t>MAT-32-161</t>
        </is>
      </c>
      <c r="B1512" s="4" t="inlineStr">
        <is>
          <t>Codo de 45° de PPR 50 mm</t>
        </is>
      </c>
      <c r="C1512" s="7" t="inlineStr">
        <is>
          <t>unidad</t>
        </is>
      </c>
      <c r="D1512" s="8" t="n"/>
      <c r="E1512" s="8" t="n">
        <v>46.63</v>
      </c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>
        <f>IF(COUNT(D1512:P1512)=0,"",MIN(D1512:P1512))</f>
        <v/>
      </c>
      <c r="R1512" s="8">
        <f>IF(COUNT(D1512:P1512)=0,"",MEDIAN(D1512:P1512))</f>
        <v/>
      </c>
      <c r="S1512" s="8">
        <f>IF(COUNT(D1512:P1512)=0,"",MAX(D1512:P1512))</f>
        <v/>
      </c>
      <c r="T1512" s="9">
        <f>IF(OR(Q1512="",Q1512=0),"",(S1512-Q1512)/Q1512)</f>
        <v/>
      </c>
      <c r="U1512" s="7">
        <f>IF(COUNT(D1512:P1512)=0,"",INDEX($D$1:$P$1,MATCH(MIN(D1512:P1512),D1512:P1512,0)))</f>
        <v/>
      </c>
      <c r="V1512" s="8" t="n">
        <v>46.63</v>
      </c>
      <c r="W1512" s="10" t="n">
        <v>1</v>
      </c>
    </row>
    <row r="1513">
      <c r="A1513" s="7" t="inlineStr">
        <is>
          <t>MAT-32-162</t>
        </is>
      </c>
      <c r="B1513" s="4" t="inlineStr">
        <is>
          <t>Codo de 45° de PVC drenaje 1 1/2"</t>
        </is>
      </c>
      <c r="C1513" s="7" t="inlineStr">
        <is>
          <t>unidad</t>
        </is>
      </c>
      <c r="D1513" s="8" t="n"/>
      <c r="E1513" s="8" t="n">
        <v>11</v>
      </c>
      <c r="F1513" s="8" t="n"/>
      <c r="G1513" s="8" t="n">
        <v>45</v>
      </c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>
        <f>IF(COUNT(D1513:P1513)=0,"",MIN(D1513:P1513))</f>
        <v/>
      </c>
      <c r="R1513" s="8">
        <f>IF(COUNT(D1513:P1513)=0,"",MEDIAN(D1513:P1513))</f>
        <v/>
      </c>
      <c r="S1513" s="8">
        <f>IF(COUNT(D1513:P1513)=0,"",MAX(D1513:P1513))</f>
        <v/>
      </c>
      <c r="T1513" s="9">
        <f>IF(OR(Q1513="",Q1513=0),"",(S1513-Q1513)/Q1513)</f>
        <v/>
      </c>
      <c r="U1513" s="7">
        <f>IF(COUNT(D1513:P1513)=0,"",INDEX($D$1:$P$1,MATCH(MIN(D1513:P1513),D1513:P1513,0)))</f>
        <v/>
      </c>
      <c r="V1513" s="8" t="n">
        <v>14.84</v>
      </c>
      <c r="W1513" s="10" t="n">
        <v>2</v>
      </c>
    </row>
    <row r="1514">
      <c r="A1514" s="7" t="inlineStr">
        <is>
          <t>MAT-32-163</t>
        </is>
      </c>
      <c r="B1514" s="4" t="inlineStr">
        <is>
          <t>Codo de 45° de PVC drenaje 2"</t>
        </is>
      </c>
      <c r="C1514" s="7" t="inlineStr">
        <is>
          <t>unidad</t>
        </is>
      </c>
      <c r="D1514" s="8" t="n"/>
      <c r="E1514" s="8" t="n">
        <v>15.6</v>
      </c>
      <c r="F1514" s="8" t="n"/>
      <c r="G1514" s="8" t="n">
        <v>55</v>
      </c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>
        <f>IF(COUNT(D1514:P1514)=0,"",MIN(D1514:P1514))</f>
        <v/>
      </c>
      <c r="R1514" s="8">
        <f>IF(COUNT(D1514:P1514)=0,"",MEDIAN(D1514:P1514))</f>
        <v/>
      </c>
      <c r="S1514" s="8">
        <f>IF(COUNT(D1514:P1514)=0,"",MAX(D1514:P1514))</f>
        <v/>
      </c>
      <c r="T1514" s="9">
        <f>IF(OR(Q1514="",Q1514=0),"",(S1514-Q1514)/Q1514)</f>
        <v/>
      </c>
      <c r="U1514" s="7">
        <f>IF(COUNT(D1514:P1514)=0,"",INDEX($D$1:$P$1,MATCH(MIN(D1514:P1514),D1514:P1514,0)))</f>
        <v/>
      </c>
      <c r="V1514" s="8" t="n">
        <v>20.33</v>
      </c>
      <c r="W1514" s="10" t="n">
        <v>2</v>
      </c>
    </row>
    <row r="1515">
      <c r="A1515" s="7" t="inlineStr">
        <is>
          <t>MAT-32-164</t>
        </is>
      </c>
      <c r="B1515" s="4" t="inlineStr">
        <is>
          <t>Codo de 45° de PVC drenaje 3"</t>
        </is>
      </c>
      <c r="C1515" s="7" t="inlineStr">
        <is>
          <t>unidad</t>
        </is>
      </c>
      <c r="D1515" s="8" t="n"/>
      <c r="E1515" s="8" t="n">
        <v>41</v>
      </c>
      <c r="F1515" s="8" t="n"/>
      <c r="G1515" s="8" t="n">
        <v>85</v>
      </c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>
        <f>IF(COUNT(D1515:P1515)=0,"",MIN(D1515:P1515))</f>
        <v/>
      </c>
      <c r="R1515" s="8">
        <f>IF(COUNT(D1515:P1515)=0,"",MEDIAN(D1515:P1515))</f>
        <v/>
      </c>
      <c r="S1515" s="8">
        <f>IF(COUNT(D1515:P1515)=0,"",MAX(D1515:P1515))</f>
        <v/>
      </c>
      <c r="T1515" s="9">
        <f>IF(OR(Q1515="",Q1515=0),"",(S1515-Q1515)/Q1515)</f>
        <v/>
      </c>
      <c r="U1515" s="7">
        <f>IF(COUNT(D1515:P1515)=0,"",INDEX($D$1:$P$1,MATCH(MIN(D1515:P1515),D1515:P1515,0)))</f>
        <v/>
      </c>
      <c r="V1515" s="8" t="n">
        <v>55.48</v>
      </c>
      <c r="W1515" s="10" t="n">
        <v>2</v>
      </c>
    </row>
    <row r="1516">
      <c r="A1516" s="7" t="inlineStr">
        <is>
          <t>MAT-32-165</t>
        </is>
      </c>
      <c r="B1516" s="4" t="inlineStr">
        <is>
          <t>Codo de 45° de PVC drenaje 4"</t>
        </is>
      </c>
      <c r="C1516" s="7" t="inlineStr">
        <is>
          <t>unidad</t>
        </is>
      </c>
      <c r="D1516" s="8" t="n"/>
      <c r="E1516" s="8" t="n">
        <v>66</v>
      </c>
      <c r="F1516" s="8" t="n"/>
      <c r="G1516" s="8" t="n">
        <v>135</v>
      </c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>
        <f>IF(COUNT(D1516:P1516)=0,"",MIN(D1516:P1516))</f>
        <v/>
      </c>
      <c r="R1516" s="8">
        <f>IF(COUNT(D1516:P1516)=0,"",MEDIAN(D1516:P1516))</f>
        <v/>
      </c>
      <c r="S1516" s="8">
        <f>IF(COUNT(D1516:P1516)=0,"",MAX(D1516:P1516))</f>
        <v/>
      </c>
      <c r="T1516" s="9">
        <f>IF(OR(Q1516="",Q1516=0),"",(S1516-Q1516)/Q1516)</f>
        <v/>
      </c>
      <c r="U1516" s="7">
        <f>IF(COUNT(D1516:P1516)=0,"",INDEX($D$1:$P$1,MATCH(MIN(D1516:P1516),D1516:P1516,0)))</f>
        <v/>
      </c>
      <c r="V1516" s="8" t="n">
        <v>90.86</v>
      </c>
      <c r="W1516" s="10" t="n">
        <v>2</v>
      </c>
    </row>
    <row r="1517">
      <c r="A1517" s="7" t="inlineStr">
        <is>
          <t>MAT-32-166</t>
        </is>
      </c>
      <c r="B1517" s="4" t="inlineStr">
        <is>
          <t>Codo de 45° de PVC drenaje 6"</t>
        </is>
      </c>
      <c r="C1517" s="7" t="inlineStr">
        <is>
          <t>unidad</t>
        </is>
      </c>
      <c r="D1517" s="8" t="n"/>
      <c r="E1517" s="8" t="n">
        <v>445</v>
      </c>
      <c r="F1517" s="8" t="n"/>
      <c r="G1517" s="8" t="n">
        <v>612</v>
      </c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>
        <f>IF(COUNT(D1517:P1517)=0,"",MIN(D1517:P1517))</f>
        <v/>
      </c>
      <c r="R1517" s="8">
        <f>IF(COUNT(D1517:P1517)=0,"",MEDIAN(D1517:P1517))</f>
        <v/>
      </c>
      <c r="S1517" s="8">
        <f>IF(COUNT(D1517:P1517)=0,"",MAX(D1517:P1517))</f>
        <v/>
      </c>
      <c r="T1517" s="9">
        <f>IF(OR(Q1517="",Q1517=0),"",(S1517-Q1517)/Q1517)</f>
        <v/>
      </c>
      <c r="U1517" s="7">
        <f>IF(COUNT(D1517:P1517)=0,"",INDEX($D$1:$P$1,MATCH(MIN(D1517:P1517),D1517:P1517,0)))</f>
        <v/>
      </c>
      <c r="V1517" s="8" t="n">
        <v>528.5</v>
      </c>
      <c r="W1517" s="10" t="n">
        <v>2</v>
      </c>
    </row>
    <row r="1518">
      <c r="A1518" s="7" t="inlineStr">
        <is>
          <t>MAT-32-167</t>
        </is>
      </c>
      <c r="B1518" s="4" t="inlineStr">
        <is>
          <t>Codo de 45° de PVC 1 1/2"</t>
        </is>
      </c>
      <c r="C1518" s="7" t="inlineStr">
        <is>
          <t>unidad</t>
        </is>
      </c>
      <c r="D1518" s="8" t="n"/>
      <c r="E1518" s="8" t="n">
        <v>101</v>
      </c>
      <c r="F1518" s="8" t="n"/>
      <c r="G1518" s="8" t="n"/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>
        <f>IF(COUNT(D1518:P1518)=0,"",MIN(D1518:P1518))</f>
        <v/>
      </c>
      <c r="R1518" s="8">
        <f>IF(COUNT(D1518:P1518)=0,"",MEDIAN(D1518:P1518))</f>
        <v/>
      </c>
      <c r="S1518" s="8">
        <f>IF(COUNT(D1518:P1518)=0,"",MAX(D1518:P1518))</f>
        <v/>
      </c>
      <c r="T1518" s="9">
        <f>IF(OR(Q1518="",Q1518=0),"",(S1518-Q1518)/Q1518)</f>
        <v/>
      </c>
      <c r="U1518" s="7">
        <f>IF(COUNT(D1518:P1518)=0,"",INDEX($D$1:$P$1,MATCH(MIN(D1518:P1518),D1518:P1518,0)))</f>
        <v/>
      </c>
      <c r="V1518" s="8" t="n">
        <v>101</v>
      </c>
      <c r="W1518" s="10" t="n">
        <v>1</v>
      </c>
    </row>
    <row r="1519">
      <c r="A1519" s="7" t="inlineStr">
        <is>
          <t>MAT-32-168</t>
        </is>
      </c>
      <c r="B1519" s="4" t="inlineStr">
        <is>
          <t>Codo de 45° de PVC 1/2"</t>
        </is>
      </c>
      <c r="C1519" s="7" t="inlineStr">
        <is>
          <t>unidad</t>
        </is>
      </c>
      <c r="D1519" s="8" t="n"/>
      <c r="E1519" s="8" t="n">
        <v>12.69</v>
      </c>
      <c r="F1519" s="8" t="n"/>
      <c r="G1519" s="8" t="n"/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>
        <f>IF(COUNT(D1519:P1519)=0,"",MIN(D1519:P1519))</f>
        <v/>
      </c>
      <c r="R1519" s="8">
        <f>IF(COUNT(D1519:P1519)=0,"",MEDIAN(D1519:P1519))</f>
        <v/>
      </c>
      <c r="S1519" s="8">
        <f>IF(COUNT(D1519:P1519)=0,"",MAX(D1519:P1519))</f>
        <v/>
      </c>
      <c r="T1519" s="9">
        <f>IF(OR(Q1519="",Q1519=0),"",(S1519-Q1519)/Q1519)</f>
        <v/>
      </c>
      <c r="U1519" s="7">
        <f>IF(COUNT(D1519:P1519)=0,"",INDEX($D$1:$P$1,MATCH(MIN(D1519:P1519),D1519:P1519,0)))</f>
        <v/>
      </c>
      <c r="V1519" s="8" t="n">
        <v>12.69</v>
      </c>
      <c r="W1519" s="10" t="n">
        <v>1</v>
      </c>
    </row>
    <row r="1520">
      <c r="A1520" s="7" t="inlineStr">
        <is>
          <t>MAT-32-169</t>
        </is>
      </c>
      <c r="B1520" s="4" t="inlineStr">
        <is>
          <t>Codo de 45° de PVC 1"</t>
        </is>
      </c>
      <c r="C1520" s="7" t="inlineStr">
        <is>
          <t>unidad</t>
        </is>
      </c>
      <c r="D1520" s="8" t="n"/>
      <c r="E1520" s="8" t="n">
        <v>33.87</v>
      </c>
      <c r="F1520" s="8" t="n"/>
      <c r="G1520" s="8" t="n"/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>
        <f>IF(COUNT(D1520:P1520)=0,"",MIN(D1520:P1520))</f>
        <v/>
      </c>
      <c r="R1520" s="8">
        <f>IF(COUNT(D1520:P1520)=0,"",MEDIAN(D1520:P1520))</f>
        <v/>
      </c>
      <c r="S1520" s="8">
        <f>IF(COUNT(D1520:P1520)=0,"",MAX(D1520:P1520))</f>
        <v/>
      </c>
      <c r="T1520" s="9">
        <f>IF(OR(Q1520="",Q1520=0),"",(S1520-Q1520)/Q1520)</f>
        <v/>
      </c>
      <c r="U1520" s="7">
        <f>IF(COUNT(D1520:P1520)=0,"",INDEX($D$1:$P$1,MATCH(MIN(D1520:P1520),D1520:P1520,0)))</f>
        <v/>
      </c>
      <c r="V1520" s="8" t="n">
        <v>33.87</v>
      </c>
      <c r="W1520" s="10" t="n">
        <v>1</v>
      </c>
    </row>
    <row r="1521">
      <c r="A1521" s="7" t="inlineStr">
        <is>
          <t>MAT-32-170</t>
        </is>
      </c>
      <c r="B1521" s="4" t="inlineStr">
        <is>
          <t>Codo de 45° de PVC 2"</t>
        </is>
      </c>
      <c r="C1521" s="7" t="inlineStr">
        <is>
          <t>unidad</t>
        </is>
      </c>
      <c r="D1521" s="8" t="n"/>
      <c r="E1521" s="8" t="n">
        <v>85.05</v>
      </c>
      <c r="F1521" s="8" t="n"/>
      <c r="G1521" s="8" t="n"/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>
        <f>IF(COUNT(D1521:P1521)=0,"",MIN(D1521:P1521))</f>
        <v/>
      </c>
      <c r="R1521" s="8">
        <f>IF(COUNT(D1521:P1521)=0,"",MEDIAN(D1521:P1521))</f>
        <v/>
      </c>
      <c r="S1521" s="8">
        <f>IF(COUNT(D1521:P1521)=0,"",MAX(D1521:P1521))</f>
        <v/>
      </c>
      <c r="T1521" s="9">
        <f>IF(OR(Q1521="",Q1521=0),"",(S1521-Q1521)/Q1521)</f>
        <v/>
      </c>
      <c r="U1521" s="7">
        <f>IF(COUNT(D1521:P1521)=0,"",INDEX($D$1:$P$1,MATCH(MIN(D1521:P1521),D1521:P1521,0)))</f>
        <v/>
      </c>
      <c r="V1521" s="8" t="n">
        <v>85.05</v>
      </c>
      <c r="W1521" s="10" t="n">
        <v>1</v>
      </c>
    </row>
    <row r="1522">
      <c r="A1522" s="7" t="inlineStr">
        <is>
          <t>MAT-32-171</t>
        </is>
      </c>
      <c r="B1522" s="4" t="inlineStr">
        <is>
          <t>Codo de 45° de PVC 3/4"</t>
        </is>
      </c>
      <c r="C1522" s="7" t="inlineStr">
        <is>
          <t>unidad</t>
        </is>
      </c>
      <c r="D1522" s="8" t="n"/>
      <c r="E1522" s="8" t="n">
        <v>20.29</v>
      </c>
      <c r="F1522" s="8" t="n"/>
      <c r="G1522" s="8" t="n"/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>
        <f>IF(COUNT(D1522:P1522)=0,"",MIN(D1522:P1522))</f>
        <v/>
      </c>
      <c r="R1522" s="8">
        <f>IF(COUNT(D1522:P1522)=0,"",MEDIAN(D1522:P1522))</f>
        <v/>
      </c>
      <c r="S1522" s="8">
        <f>IF(COUNT(D1522:P1522)=0,"",MAX(D1522:P1522))</f>
        <v/>
      </c>
      <c r="T1522" s="9">
        <f>IF(OR(Q1522="",Q1522=0),"",(S1522-Q1522)/Q1522)</f>
        <v/>
      </c>
      <c r="U1522" s="7">
        <f>IF(COUNT(D1522:P1522)=0,"",INDEX($D$1:$P$1,MATCH(MIN(D1522:P1522),D1522:P1522,0)))</f>
        <v/>
      </c>
      <c r="V1522" s="8" t="n">
        <v>20.29</v>
      </c>
      <c r="W1522" s="10" t="n">
        <v>1</v>
      </c>
    </row>
    <row r="1523">
      <c r="A1523" s="7" t="inlineStr">
        <is>
          <t>MAT-32-172</t>
        </is>
      </c>
      <c r="B1523" s="4" t="inlineStr">
        <is>
          <t>Codo de 45° de PVC presión 1 1/2"</t>
        </is>
      </c>
      <c r="C1523" s="7" t="inlineStr">
        <is>
          <t>unidad</t>
        </is>
      </c>
      <c r="D1523" s="8" t="n"/>
      <c r="E1523" s="8" t="n">
        <v>29.55</v>
      </c>
      <c r="F1523" s="8" t="n"/>
      <c r="G1523" s="8" t="n">
        <v>65</v>
      </c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>
        <f>IF(COUNT(D1523:P1523)=0,"",MIN(D1523:P1523))</f>
        <v/>
      </c>
      <c r="R1523" s="8">
        <f>IF(COUNT(D1523:P1523)=0,"",MEDIAN(D1523:P1523))</f>
        <v/>
      </c>
      <c r="S1523" s="8">
        <f>IF(COUNT(D1523:P1523)=0,"",MAX(D1523:P1523))</f>
        <v/>
      </c>
      <c r="T1523" s="9">
        <f>IF(OR(Q1523="",Q1523=0),"",(S1523-Q1523)/Q1523)</f>
        <v/>
      </c>
      <c r="U1523" s="7">
        <f>IF(COUNT(D1523:P1523)=0,"",INDEX($D$1:$P$1,MATCH(MIN(D1523:P1523),D1523:P1523,0)))</f>
        <v/>
      </c>
      <c r="V1523" s="8" t="n">
        <v>47.28</v>
      </c>
      <c r="W1523" s="10" t="n">
        <v>2</v>
      </c>
    </row>
    <row r="1524">
      <c r="A1524" s="7" t="inlineStr">
        <is>
          <t>MAT-32-173</t>
        </is>
      </c>
      <c r="B1524" s="4" t="inlineStr">
        <is>
          <t>Codo de 45° de PVC presión 1/2"</t>
        </is>
      </c>
      <c r="C1524" s="7" t="inlineStr">
        <is>
          <t>unidad</t>
        </is>
      </c>
      <c r="D1524" s="8" t="n"/>
      <c r="E1524" s="8" t="n">
        <v>4.75</v>
      </c>
      <c r="F1524" s="8" t="n"/>
      <c r="G1524" s="8" t="n">
        <v>35</v>
      </c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>
        <f>IF(COUNT(D1524:P1524)=0,"",MIN(D1524:P1524))</f>
        <v/>
      </c>
      <c r="R1524" s="8">
        <f>IF(COUNT(D1524:P1524)=0,"",MEDIAN(D1524:P1524))</f>
        <v/>
      </c>
      <c r="S1524" s="8">
        <f>IF(COUNT(D1524:P1524)=0,"",MAX(D1524:P1524))</f>
        <v/>
      </c>
      <c r="T1524" s="9">
        <f>IF(OR(Q1524="",Q1524=0),"",(S1524-Q1524)/Q1524)</f>
        <v/>
      </c>
      <c r="U1524" s="7">
        <f>IF(COUNT(D1524:P1524)=0,"",INDEX($D$1:$P$1,MATCH(MIN(D1524:P1524),D1524:P1524,0)))</f>
        <v/>
      </c>
      <c r="V1524" s="8" t="n">
        <v>7.08</v>
      </c>
      <c r="W1524" s="10" t="n">
        <v>2</v>
      </c>
    </row>
    <row r="1525">
      <c r="A1525" s="7" t="inlineStr">
        <is>
          <t>MAT-32-174</t>
        </is>
      </c>
      <c r="B1525" s="4" t="inlineStr">
        <is>
          <t>Codo de 45° de PVC presión 1"</t>
        </is>
      </c>
      <c r="C1525" s="7" t="inlineStr">
        <is>
          <t>unidad</t>
        </is>
      </c>
      <c r="D1525" s="8" t="n"/>
      <c r="E1525" s="8" t="n">
        <v>14.1</v>
      </c>
      <c r="F1525" s="8" t="n"/>
      <c r="G1525" s="8" t="n">
        <v>90</v>
      </c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>
        <f>IF(COUNT(D1525:P1525)=0,"",MIN(D1525:P1525))</f>
        <v/>
      </c>
      <c r="R1525" s="8">
        <f>IF(COUNT(D1525:P1525)=0,"",MEDIAN(D1525:P1525))</f>
        <v/>
      </c>
      <c r="S1525" s="8">
        <f>IF(COUNT(D1525:P1525)=0,"",MAX(D1525:P1525))</f>
        <v/>
      </c>
      <c r="T1525" s="9">
        <f>IF(OR(Q1525="",Q1525=0),"",(S1525-Q1525)/Q1525)</f>
        <v/>
      </c>
      <c r="U1525" s="7">
        <f>IF(COUNT(D1525:P1525)=0,"",INDEX($D$1:$P$1,MATCH(MIN(D1525:P1525),D1525:P1525,0)))</f>
        <v/>
      </c>
      <c r="V1525" s="8" t="n">
        <v>22.03</v>
      </c>
      <c r="W1525" s="10" t="n">
        <v>2</v>
      </c>
    </row>
    <row r="1526">
      <c r="A1526" s="7" t="inlineStr">
        <is>
          <t>MAT-32-175</t>
        </is>
      </c>
      <c r="B1526" s="4" t="inlineStr">
        <is>
          <t>Codo de 45° de PVC presión 2"</t>
        </is>
      </c>
      <c r="C1526" s="7" t="inlineStr">
        <is>
          <t>unidad</t>
        </is>
      </c>
      <c r="D1526" s="8" t="n"/>
      <c r="E1526" s="8" t="n">
        <v>33.12</v>
      </c>
      <c r="F1526" s="8" t="n"/>
      <c r="G1526" s="8" t="n"/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>
        <f>IF(COUNT(D1526:P1526)=0,"",MIN(D1526:P1526))</f>
        <v/>
      </c>
      <c r="R1526" s="8">
        <f>IF(COUNT(D1526:P1526)=0,"",MEDIAN(D1526:P1526))</f>
        <v/>
      </c>
      <c r="S1526" s="8">
        <f>IF(COUNT(D1526:P1526)=0,"",MAX(D1526:P1526))</f>
        <v/>
      </c>
      <c r="T1526" s="9">
        <f>IF(OR(Q1526="",Q1526=0),"",(S1526-Q1526)/Q1526)</f>
        <v/>
      </c>
      <c r="U1526" s="7">
        <f>IF(COUNT(D1526:P1526)=0,"",INDEX($D$1:$P$1,MATCH(MIN(D1526:P1526),D1526:P1526,0)))</f>
        <v/>
      </c>
      <c r="V1526" s="8" t="n">
        <v>40.63</v>
      </c>
      <c r="W1526" s="10" t="n">
        <v>1</v>
      </c>
    </row>
    <row r="1527">
      <c r="A1527" s="7" t="inlineStr">
        <is>
          <t>MAT-32-176</t>
        </is>
      </c>
      <c r="B1527" s="4" t="inlineStr">
        <is>
          <t>Codo de 45° de PVC presión 3/4"</t>
        </is>
      </c>
      <c r="C1527" s="7" t="inlineStr">
        <is>
          <t>unidad</t>
        </is>
      </c>
      <c r="D1527" s="8" t="n"/>
      <c r="E1527" s="8" t="n">
        <v>9.050000000000001</v>
      </c>
      <c r="F1527" s="8" t="n"/>
      <c r="G1527" s="8" t="n">
        <v>25</v>
      </c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>
        <f>IF(COUNT(D1527:P1527)=0,"",MIN(D1527:P1527))</f>
        <v/>
      </c>
      <c r="R1527" s="8">
        <f>IF(COUNT(D1527:P1527)=0,"",MEDIAN(D1527:P1527))</f>
        <v/>
      </c>
      <c r="S1527" s="8">
        <f>IF(COUNT(D1527:P1527)=0,"",MAX(D1527:P1527))</f>
        <v/>
      </c>
      <c r="T1527" s="9">
        <f>IF(OR(Q1527="",Q1527=0),"",(S1527-Q1527)/Q1527)</f>
        <v/>
      </c>
      <c r="U1527" s="7">
        <f>IF(COUNT(D1527:P1527)=0,"",INDEX($D$1:$P$1,MATCH(MIN(D1527:P1527),D1527:P1527,0)))</f>
        <v/>
      </c>
      <c r="V1527" s="8" t="n">
        <v>12.38</v>
      </c>
      <c r="W1527" s="10" t="n">
        <v>2</v>
      </c>
    </row>
    <row r="1528">
      <c r="A1528" s="7" t="inlineStr">
        <is>
          <t>MAT-32-177</t>
        </is>
      </c>
      <c r="B1528" s="4" t="inlineStr">
        <is>
          <t>Codo de 45° de PVC presión 3"</t>
        </is>
      </c>
      <c r="C1528" s="7" t="inlineStr">
        <is>
          <t>unidad</t>
        </is>
      </c>
      <c r="D1528" s="8" t="n"/>
      <c r="E1528" s="8" t="n">
        <v>142.32</v>
      </c>
      <c r="F1528" s="8" t="n"/>
      <c r="G1528" s="8" t="n"/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>
        <f>IF(COUNT(D1528:P1528)=0,"",MIN(D1528:P1528))</f>
        <v/>
      </c>
      <c r="R1528" s="8">
        <f>IF(COUNT(D1528:P1528)=0,"",MEDIAN(D1528:P1528))</f>
        <v/>
      </c>
      <c r="S1528" s="8">
        <f>IF(COUNT(D1528:P1528)=0,"",MAX(D1528:P1528))</f>
        <v/>
      </c>
      <c r="T1528" s="9">
        <f>IF(OR(Q1528="",Q1528=0),"",(S1528-Q1528)/Q1528)</f>
        <v/>
      </c>
      <c r="U1528" s="7">
        <f>IF(COUNT(D1528:P1528)=0,"",INDEX($D$1:$P$1,MATCH(MIN(D1528:P1528),D1528:P1528,0)))</f>
        <v/>
      </c>
      <c r="V1528" s="8" t="n">
        <v>142.32</v>
      </c>
      <c r="W1528" s="10" t="n">
        <v>1</v>
      </c>
    </row>
    <row r="1529">
      <c r="A1529" s="7" t="inlineStr">
        <is>
          <t>MAT-32-178</t>
        </is>
      </c>
      <c r="B1529" s="4" t="inlineStr">
        <is>
          <t>Codo de 45° de PVC presión 4"</t>
        </is>
      </c>
      <c r="C1529" s="7" t="inlineStr">
        <is>
          <t>unidad</t>
        </is>
      </c>
      <c r="D1529" s="8" t="n"/>
      <c r="E1529" s="8" t="n">
        <v>273.86</v>
      </c>
      <c r="F1529" s="8" t="n"/>
      <c r="G1529" s="8" t="n"/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>
        <f>IF(COUNT(D1529:P1529)=0,"",MIN(D1529:P1529))</f>
        <v/>
      </c>
      <c r="R1529" s="8">
        <f>IF(COUNT(D1529:P1529)=0,"",MEDIAN(D1529:P1529))</f>
        <v/>
      </c>
      <c r="S1529" s="8">
        <f>IF(COUNT(D1529:P1529)=0,"",MAX(D1529:P1529))</f>
        <v/>
      </c>
      <c r="T1529" s="9">
        <f>IF(OR(Q1529="",Q1529=0),"",(S1529-Q1529)/Q1529)</f>
        <v/>
      </c>
      <c r="U1529" s="7">
        <f>IF(COUNT(D1529:P1529)=0,"",INDEX($D$1:$P$1,MATCH(MIN(D1529:P1529),D1529:P1529,0)))</f>
        <v/>
      </c>
      <c r="V1529" s="8" t="n">
        <v>273.86</v>
      </c>
      <c r="W1529" s="10" t="n">
        <v>1</v>
      </c>
    </row>
    <row r="1530">
      <c r="A1530" s="7" t="inlineStr">
        <is>
          <t>MAT-32-179</t>
        </is>
      </c>
      <c r="B1530" s="4" t="inlineStr">
        <is>
          <t>Codo de 45° de PVC presión 6"</t>
        </is>
      </c>
      <c r="C1530" s="7" t="inlineStr">
        <is>
          <t>unidad</t>
        </is>
      </c>
      <c r="D1530" s="8" t="n"/>
      <c r="E1530" s="8" t="n">
        <v>576</v>
      </c>
      <c r="F1530" s="8" t="n"/>
      <c r="G1530" s="8" t="n"/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>
        <f>IF(COUNT(D1530:P1530)=0,"",MIN(D1530:P1530))</f>
        <v/>
      </c>
      <c r="R1530" s="8">
        <f>IF(COUNT(D1530:P1530)=0,"",MEDIAN(D1530:P1530))</f>
        <v/>
      </c>
      <c r="S1530" s="8">
        <f>IF(COUNT(D1530:P1530)=0,"",MAX(D1530:P1530))</f>
        <v/>
      </c>
      <c r="T1530" s="9">
        <f>IF(OR(Q1530="",Q1530=0),"",(S1530-Q1530)/Q1530)</f>
        <v/>
      </c>
      <c r="U1530" s="7">
        <f>IF(COUNT(D1530:P1530)=0,"",INDEX($D$1:$P$1,MATCH(MIN(D1530:P1530),D1530:P1530,0)))</f>
        <v/>
      </c>
      <c r="V1530" s="8" t="n">
        <v>745.5</v>
      </c>
      <c r="W1530" s="10" t="n">
        <v>1</v>
      </c>
    </row>
    <row r="1531">
      <c r="A1531" s="7" t="inlineStr">
        <is>
          <t>MAT-32-180</t>
        </is>
      </c>
      <c r="B1531" s="4" t="inlineStr">
        <is>
          <t>Codo de 45° de PVC presión 8"</t>
        </is>
      </c>
      <c r="C1531" s="7" t="inlineStr">
        <is>
          <t>unidad</t>
        </is>
      </c>
      <c r="D1531" s="8" t="n"/>
      <c r="E1531" s="8" t="n">
        <v>4409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>
        <f>IF(COUNT(D1531:P1531)=0,"",MIN(D1531:P1531))</f>
        <v/>
      </c>
      <c r="R1531" s="8">
        <f>IF(COUNT(D1531:P1531)=0,"",MEDIAN(D1531:P1531))</f>
        <v/>
      </c>
      <c r="S1531" s="8">
        <f>IF(COUNT(D1531:P1531)=0,"",MAX(D1531:P1531))</f>
        <v/>
      </c>
      <c r="T1531" s="9">
        <f>IF(OR(Q1531="",Q1531=0),"",(S1531-Q1531)/Q1531)</f>
        <v/>
      </c>
      <c r="U1531" s="7">
        <f>IF(COUNT(D1531:P1531)=0,"",INDEX($D$1:$P$1,MATCH(MIN(D1531:P1531),D1531:P1531,0)))</f>
        <v/>
      </c>
      <c r="V1531" s="8" t="n">
        <v>4409</v>
      </c>
      <c r="W1531" s="10" t="n">
        <v>1</v>
      </c>
    </row>
    <row r="1532">
      <c r="A1532" s="7" t="inlineStr">
        <is>
          <t>MAT-32-181</t>
        </is>
      </c>
      <c r="B1532" s="4" t="inlineStr">
        <is>
          <t>Codo de 90° de cobre 1 1/8"</t>
        </is>
      </c>
      <c r="C1532" s="7" t="inlineStr">
        <is>
          <t>unidad</t>
        </is>
      </c>
      <c r="D1532" s="8" t="n"/>
      <c r="E1532" s="8" t="n">
        <v>380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>
        <f>IF(COUNT(D1532:P1532)=0,"",MIN(D1532:P1532))</f>
        <v/>
      </c>
      <c r="R1532" s="8">
        <f>IF(COUNT(D1532:P1532)=0,"",MEDIAN(D1532:P1532))</f>
        <v/>
      </c>
      <c r="S1532" s="8">
        <f>IF(COUNT(D1532:P1532)=0,"",MAX(D1532:P1532))</f>
        <v/>
      </c>
      <c r="T1532" s="9">
        <f>IF(OR(Q1532="",Q1532=0),"",(S1532-Q1532)/Q1532)</f>
        <v/>
      </c>
      <c r="U1532" s="7">
        <f>IF(COUNT(D1532:P1532)=0,"",INDEX($D$1:$P$1,MATCH(MIN(D1532:P1532),D1532:P1532,0)))</f>
        <v/>
      </c>
      <c r="V1532" s="8" t="n">
        <v>380</v>
      </c>
      <c r="W1532" s="10" t="n">
        <v>1</v>
      </c>
    </row>
    <row r="1533">
      <c r="A1533" s="7" t="inlineStr">
        <is>
          <t>MAT-32-182</t>
        </is>
      </c>
      <c r="B1533" s="4" t="inlineStr">
        <is>
          <t>Codo de 90° de cobre 1/2"</t>
        </is>
      </c>
      <c r="C1533" s="7" t="inlineStr">
        <is>
          <t>unidad</t>
        </is>
      </c>
      <c r="D1533" s="8" t="n"/>
      <c r="E1533" s="8" t="n">
        <v>49.82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>
        <f>IF(COUNT(D1533:P1533)=0,"",MIN(D1533:P1533))</f>
        <v/>
      </c>
      <c r="R1533" s="8">
        <f>IF(COUNT(D1533:P1533)=0,"",MEDIAN(D1533:P1533))</f>
        <v/>
      </c>
      <c r="S1533" s="8">
        <f>IF(COUNT(D1533:P1533)=0,"",MAX(D1533:P1533))</f>
        <v/>
      </c>
      <c r="T1533" s="9">
        <f>IF(OR(Q1533="",Q1533=0),"",(S1533-Q1533)/Q1533)</f>
        <v/>
      </c>
      <c r="U1533" s="7">
        <f>IF(COUNT(D1533:P1533)=0,"",INDEX($D$1:$P$1,MATCH(MIN(D1533:P1533),D1533:P1533,0)))</f>
        <v/>
      </c>
      <c r="V1533" s="8" t="n">
        <v>49.82</v>
      </c>
      <c r="W1533" s="10" t="n">
        <v>1</v>
      </c>
    </row>
    <row r="1534">
      <c r="A1534" s="7" t="inlineStr">
        <is>
          <t>MAT-32-183</t>
        </is>
      </c>
      <c r="B1534" s="4" t="inlineStr">
        <is>
          <t>Codo de 90° de cobre 3/4"</t>
        </is>
      </c>
      <c r="C1534" s="7" t="inlineStr">
        <is>
          <t>unidad</t>
        </is>
      </c>
      <c r="D1534" s="8" t="n"/>
      <c r="E1534" s="8" t="n">
        <v>107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>
        <f>IF(COUNT(D1534:P1534)=0,"",MIN(D1534:P1534))</f>
        <v/>
      </c>
      <c r="R1534" s="8">
        <f>IF(COUNT(D1534:P1534)=0,"",MEDIAN(D1534:P1534))</f>
        <v/>
      </c>
      <c r="S1534" s="8">
        <f>IF(COUNT(D1534:P1534)=0,"",MAX(D1534:P1534))</f>
        <v/>
      </c>
      <c r="T1534" s="9">
        <f>IF(OR(Q1534="",Q1534=0),"",(S1534-Q1534)/Q1534)</f>
        <v/>
      </c>
      <c r="U1534" s="7">
        <f>IF(COUNT(D1534:P1534)=0,"",INDEX($D$1:$P$1,MATCH(MIN(D1534:P1534),D1534:P1534,0)))</f>
        <v/>
      </c>
      <c r="V1534" s="8" t="n">
        <v>107</v>
      </c>
      <c r="W1534" s="10" t="n">
        <v>1</v>
      </c>
    </row>
    <row r="1535">
      <c r="A1535" s="7" t="inlineStr">
        <is>
          <t>MAT-32-184</t>
        </is>
      </c>
      <c r="B1535" s="4" t="inlineStr">
        <is>
          <t>Codo de 90° de cobre 3/8"</t>
        </is>
      </c>
      <c r="C1535" s="7" t="inlineStr">
        <is>
          <t>unidad</t>
        </is>
      </c>
      <c r="D1535" s="8" t="n"/>
      <c r="E1535" s="8" t="n">
        <v>46.98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>
        <f>IF(COUNT(D1535:P1535)=0,"",MIN(D1535:P1535))</f>
        <v/>
      </c>
      <c r="R1535" s="8">
        <f>IF(COUNT(D1535:P1535)=0,"",MEDIAN(D1535:P1535))</f>
        <v/>
      </c>
      <c r="S1535" s="8">
        <f>IF(COUNT(D1535:P1535)=0,"",MAX(D1535:P1535))</f>
        <v/>
      </c>
      <c r="T1535" s="9">
        <f>IF(OR(Q1535="",Q1535=0),"",(S1535-Q1535)/Q1535)</f>
        <v/>
      </c>
      <c r="U1535" s="7">
        <f>IF(COUNT(D1535:P1535)=0,"",INDEX($D$1:$P$1,MATCH(MIN(D1535:P1535),D1535:P1535,0)))</f>
        <v/>
      </c>
      <c r="V1535" s="8" t="n">
        <v>46.98</v>
      </c>
      <c r="W1535" s="10" t="n">
        <v>1</v>
      </c>
    </row>
    <row r="1536">
      <c r="A1536" s="7" t="inlineStr">
        <is>
          <t>MAT-32-185</t>
        </is>
      </c>
      <c r="B1536" s="4" t="inlineStr">
        <is>
          <t>Codo de 90° de cobre 5/8"</t>
        </is>
      </c>
      <c r="C1536" s="7" t="inlineStr">
        <is>
          <t>unidad</t>
        </is>
      </c>
      <c r="D1536" s="8" t="n"/>
      <c r="E1536" s="8" t="n">
        <v>80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>
        <f>IF(COUNT(D1536:P1536)=0,"",MIN(D1536:P1536))</f>
        <v/>
      </c>
      <c r="R1536" s="8">
        <f>IF(COUNT(D1536:P1536)=0,"",MEDIAN(D1536:P1536))</f>
        <v/>
      </c>
      <c r="S1536" s="8">
        <f>IF(COUNT(D1536:P1536)=0,"",MAX(D1536:P1536))</f>
        <v/>
      </c>
      <c r="T1536" s="9">
        <f>IF(OR(Q1536="",Q1536=0),"",(S1536-Q1536)/Q1536)</f>
        <v/>
      </c>
      <c r="U1536" s="7">
        <f>IF(COUNT(D1536:P1536)=0,"",INDEX($D$1:$P$1,MATCH(MIN(D1536:P1536),D1536:P1536,0)))</f>
        <v/>
      </c>
      <c r="V1536" s="8" t="n">
        <v>80</v>
      </c>
      <c r="W1536" s="10" t="n">
        <v>1</v>
      </c>
    </row>
    <row r="1537">
      <c r="A1537" s="7" t="inlineStr">
        <is>
          <t>MAT-32-186</t>
        </is>
      </c>
      <c r="B1537" s="4" t="inlineStr">
        <is>
          <t>Codo de 90° de cobre 7/8"</t>
        </is>
      </c>
      <c r="C1537" s="7" t="inlineStr">
        <is>
          <t>unidad</t>
        </is>
      </c>
      <c r="D1537" s="8" t="n"/>
      <c r="E1537" s="8" t="n">
        <v>159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>
        <f>IF(COUNT(D1537:P1537)=0,"",MIN(D1537:P1537))</f>
        <v/>
      </c>
      <c r="R1537" s="8">
        <f>IF(COUNT(D1537:P1537)=0,"",MEDIAN(D1537:P1537))</f>
        <v/>
      </c>
      <c r="S1537" s="8">
        <f>IF(COUNT(D1537:P1537)=0,"",MAX(D1537:P1537))</f>
        <v/>
      </c>
      <c r="T1537" s="9">
        <f>IF(OR(Q1537="",Q1537=0),"",(S1537-Q1537)/Q1537)</f>
        <v/>
      </c>
      <c r="U1537" s="7">
        <f>IF(COUNT(D1537:P1537)=0,"",INDEX($D$1:$P$1,MATCH(MIN(D1537:P1537),D1537:P1537,0)))</f>
        <v/>
      </c>
      <c r="V1537" s="8" t="n">
        <v>159</v>
      </c>
      <c r="W1537" s="10" t="n">
        <v>1</v>
      </c>
    </row>
    <row r="1538">
      <c r="A1538" s="7" t="inlineStr">
        <is>
          <t>MAT-32-187</t>
        </is>
      </c>
      <c r="B1538" s="4" t="inlineStr">
        <is>
          <t>Codo de 90° de CPVC 1/2"</t>
        </is>
      </c>
      <c r="C1538" s="7" t="inlineStr">
        <is>
          <t>unidad</t>
        </is>
      </c>
      <c r="D1538" s="8" t="n"/>
      <c r="E1538" s="8" t="n">
        <v>10.61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>
        <f>IF(COUNT(D1538:P1538)=0,"",MIN(D1538:P1538))</f>
        <v/>
      </c>
      <c r="R1538" s="8">
        <f>IF(COUNT(D1538:P1538)=0,"",MEDIAN(D1538:P1538))</f>
        <v/>
      </c>
      <c r="S1538" s="8">
        <f>IF(COUNT(D1538:P1538)=0,"",MAX(D1538:P1538))</f>
        <v/>
      </c>
      <c r="T1538" s="9">
        <f>IF(OR(Q1538="",Q1538=0),"",(S1538-Q1538)/Q1538)</f>
        <v/>
      </c>
      <c r="U1538" s="7">
        <f>IF(COUNT(D1538:P1538)=0,"",INDEX($D$1:$P$1,MATCH(MIN(D1538:P1538),D1538:P1538,0)))</f>
        <v/>
      </c>
      <c r="V1538" s="8" t="n">
        <v>10.61</v>
      </c>
      <c r="W1538" s="10" t="n">
        <v>1</v>
      </c>
    </row>
    <row r="1539">
      <c r="A1539" s="7" t="inlineStr">
        <is>
          <t>MAT-32-188</t>
        </is>
      </c>
      <c r="B1539" s="4" t="inlineStr">
        <is>
          <t>Codo de 90° de CPVC 1"</t>
        </is>
      </c>
      <c r="C1539" s="7" t="inlineStr">
        <is>
          <t>unidad</t>
        </is>
      </c>
      <c r="D1539" s="8" t="n"/>
      <c r="E1539" s="8" t="n">
        <v>45.15</v>
      </c>
      <c r="F1539" s="8" t="n"/>
      <c r="G1539" s="8" t="n"/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>
        <f>IF(COUNT(D1539:P1539)=0,"",MIN(D1539:P1539))</f>
        <v/>
      </c>
      <c r="R1539" s="8">
        <f>IF(COUNT(D1539:P1539)=0,"",MEDIAN(D1539:P1539))</f>
        <v/>
      </c>
      <c r="S1539" s="8">
        <f>IF(COUNT(D1539:P1539)=0,"",MAX(D1539:P1539))</f>
        <v/>
      </c>
      <c r="T1539" s="9">
        <f>IF(OR(Q1539="",Q1539=0),"",(S1539-Q1539)/Q1539)</f>
        <v/>
      </c>
      <c r="U1539" s="7">
        <f>IF(COUNT(D1539:P1539)=0,"",INDEX($D$1:$P$1,MATCH(MIN(D1539:P1539),D1539:P1539,0)))</f>
        <v/>
      </c>
      <c r="V1539" s="8" t="n">
        <v>45.15</v>
      </c>
      <c r="W1539" s="10" t="n">
        <v>1</v>
      </c>
    </row>
    <row r="1540">
      <c r="A1540" s="7" t="inlineStr">
        <is>
          <t>MAT-32-189</t>
        </is>
      </c>
      <c r="B1540" s="4" t="inlineStr">
        <is>
          <t>Codo de 90° de CPVC 3/4"</t>
        </is>
      </c>
      <c r="C1540" s="7" t="inlineStr">
        <is>
          <t>unidad</t>
        </is>
      </c>
      <c r="D1540" s="8" t="n"/>
      <c r="E1540" s="8" t="n">
        <v>15.75</v>
      </c>
      <c r="F1540" s="8" t="n"/>
      <c r="G1540" s="8" t="n"/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>
        <f>IF(COUNT(D1540:P1540)=0,"",MIN(D1540:P1540))</f>
        <v/>
      </c>
      <c r="R1540" s="8">
        <f>IF(COUNT(D1540:P1540)=0,"",MEDIAN(D1540:P1540))</f>
        <v/>
      </c>
      <c r="S1540" s="8">
        <f>IF(COUNT(D1540:P1540)=0,"",MAX(D1540:P1540))</f>
        <v/>
      </c>
      <c r="T1540" s="9">
        <f>IF(OR(Q1540="",Q1540=0),"",(S1540-Q1540)/Q1540)</f>
        <v/>
      </c>
      <c r="U1540" s="7">
        <f>IF(COUNT(D1540:P1540)=0,"",INDEX($D$1:$P$1,MATCH(MIN(D1540:P1540),D1540:P1540,0)))</f>
        <v/>
      </c>
      <c r="V1540" s="8" t="n">
        <v>15.75</v>
      </c>
      <c r="W1540" s="10" t="n">
        <v>1</v>
      </c>
    </row>
    <row r="1541">
      <c r="A1541" s="7" t="inlineStr">
        <is>
          <t>MAT-32-190</t>
        </is>
      </c>
      <c r="B1541" s="4" t="inlineStr">
        <is>
          <t>Codo de 90° de HG 1 1/2"</t>
        </is>
      </c>
      <c r="C1541" s="7" t="inlineStr">
        <is>
          <t>unidad</t>
        </is>
      </c>
      <c r="D1541" s="8" t="n"/>
      <c r="E1541" s="8" t="n">
        <v>106</v>
      </c>
      <c r="F1541" s="8" t="n"/>
      <c r="G1541" s="8" t="n"/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>
        <f>IF(COUNT(D1541:P1541)=0,"",MIN(D1541:P1541))</f>
        <v/>
      </c>
      <c r="R1541" s="8">
        <f>IF(COUNT(D1541:P1541)=0,"",MEDIAN(D1541:P1541))</f>
        <v/>
      </c>
      <c r="S1541" s="8">
        <f>IF(COUNT(D1541:P1541)=0,"",MAX(D1541:P1541))</f>
        <v/>
      </c>
      <c r="T1541" s="9">
        <f>IF(OR(Q1541="",Q1541=0),"",(S1541-Q1541)/Q1541)</f>
        <v/>
      </c>
      <c r="U1541" s="7">
        <f>IF(COUNT(D1541:P1541)=0,"",INDEX($D$1:$P$1,MATCH(MIN(D1541:P1541),D1541:P1541,0)))</f>
        <v/>
      </c>
      <c r="V1541" s="8" t="n">
        <v>106</v>
      </c>
      <c r="W1541" s="10" t="n">
        <v>1</v>
      </c>
    </row>
    <row r="1542">
      <c r="A1542" s="7" t="inlineStr">
        <is>
          <t>MAT-32-191</t>
        </is>
      </c>
      <c r="B1542" s="4" t="inlineStr">
        <is>
          <t>Codo de 90° de HG 1 1/4"</t>
        </is>
      </c>
      <c r="C1542" s="7" t="inlineStr">
        <is>
          <t>unidad</t>
        </is>
      </c>
      <c r="D1542" s="8" t="n"/>
      <c r="E1542" s="8" t="n">
        <v>87</v>
      </c>
      <c r="F1542" s="8" t="n"/>
      <c r="G1542" s="8" t="n"/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>
        <f>IF(COUNT(D1542:P1542)=0,"",MIN(D1542:P1542))</f>
        <v/>
      </c>
      <c r="R1542" s="8">
        <f>IF(COUNT(D1542:P1542)=0,"",MEDIAN(D1542:P1542))</f>
        <v/>
      </c>
      <c r="S1542" s="8">
        <f>IF(COUNT(D1542:P1542)=0,"",MAX(D1542:P1542))</f>
        <v/>
      </c>
      <c r="T1542" s="9">
        <f>IF(OR(Q1542="",Q1542=0),"",(S1542-Q1542)/Q1542)</f>
        <v/>
      </c>
      <c r="U1542" s="7">
        <f>IF(COUNT(D1542:P1542)=0,"",INDEX($D$1:$P$1,MATCH(MIN(D1542:P1542),D1542:P1542,0)))</f>
        <v/>
      </c>
      <c r="V1542" s="8" t="n">
        <v>87</v>
      </c>
      <c r="W1542" s="10" t="n">
        <v>1</v>
      </c>
    </row>
    <row r="1543">
      <c r="A1543" s="7" t="inlineStr">
        <is>
          <t>MAT-32-192</t>
        </is>
      </c>
      <c r="B1543" s="4" t="inlineStr">
        <is>
          <t>Codo de 90° de HG 1/2"</t>
        </is>
      </c>
      <c r="C1543" s="7" t="inlineStr">
        <is>
          <t>unidad</t>
        </is>
      </c>
      <c r="D1543" s="8" t="n"/>
      <c r="E1543" s="8" t="n">
        <v>24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>
        <f>IF(COUNT(D1543:P1543)=0,"",MIN(D1543:P1543))</f>
        <v/>
      </c>
      <c r="R1543" s="8">
        <f>IF(COUNT(D1543:P1543)=0,"",MEDIAN(D1543:P1543))</f>
        <v/>
      </c>
      <c r="S1543" s="8">
        <f>IF(COUNT(D1543:P1543)=0,"",MAX(D1543:P1543))</f>
        <v/>
      </c>
      <c r="T1543" s="9">
        <f>IF(OR(Q1543="",Q1543=0),"",(S1543-Q1543)/Q1543)</f>
        <v/>
      </c>
      <c r="U1543" s="7">
        <f>IF(COUNT(D1543:P1543)=0,"",INDEX($D$1:$P$1,MATCH(MIN(D1543:P1543),D1543:P1543,0)))</f>
        <v/>
      </c>
      <c r="V1543" s="8" t="n">
        <v>24</v>
      </c>
      <c r="W1543" s="10" t="n">
        <v>1</v>
      </c>
    </row>
    <row r="1544">
      <c r="A1544" s="7" t="inlineStr">
        <is>
          <t>MAT-32-193</t>
        </is>
      </c>
      <c r="B1544" s="4" t="inlineStr">
        <is>
          <t>Codo de 90° de HG 1/4"</t>
        </is>
      </c>
      <c r="C1544" s="7" t="inlineStr">
        <is>
          <t>unidad</t>
        </is>
      </c>
      <c r="D1544" s="8" t="n"/>
      <c r="E1544" s="8" t="n">
        <v>38.35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>
        <f>IF(COUNT(D1544:P1544)=0,"",MIN(D1544:P1544))</f>
        <v/>
      </c>
      <c r="R1544" s="8">
        <f>IF(COUNT(D1544:P1544)=0,"",MEDIAN(D1544:P1544))</f>
        <v/>
      </c>
      <c r="S1544" s="8">
        <f>IF(COUNT(D1544:P1544)=0,"",MAX(D1544:P1544))</f>
        <v/>
      </c>
      <c r="T1544" s="9">
        <f>IF(OR(Q1544="",Q1544=0),"",(S1544-Q1544)/Q1544)</f>
        <v/>
      </c>
      <c r="U1544" s="7">
        <f>IF(COUNT(D1544:P1544)=0,"",INDEX($D$1:$P$1,MATCH(MIN(D1544:P1544),D1544:P1544,0)))</f>
        <v/>
      </c>
      <c r="V1544" s="8" t="n">
        <v>38.35</v>
      </c>
      <c r="W1544" s="10" t="n">
        <v>1</v>
      </c>
    </row>
    <row r="1545">
      <c r="A1545" s="7" t="inlineStr">
        <is>
          <t>MAT-32-194</t>
        </is>
      </c>
      <c r="B1545" s="4" t="inlineStr">
        <is>
          <t>Codo de 90° de HG 1"</t>
        </is>
      </c>
      <c r="C1545" s="7" t="inlineStr">
        <is>
          <t>unidad</t>
        </is>
      </c>
      <c r="D1545" s="8" t="n"/>
      <c r="E1545" s="8" t="n">
        <v>51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>
        <f>IF(COUNT(D1545:P1545)=0,"",MIN(D1545:P1545))</f>
        <v/>
      </c>
      <c r="R1545" s="8">
        <f>IF(COUNT(D1545:P1545)=0,"",MEDIAN(D1545:P1545))</f>
        <v/>
      </c>
      <c r="S1545" s="8">
        <f>IF(COUNT(D1545:P1545)=0,"",MAX(D1545:P1545))</f>
        <v/>
      </c>
      <c r="T1545" s="9">
        <f>IF(OR(Q1545="",Q1545=0),"",(S1545-Q1545)/Q1545)</f>
        <v/>
      </c>
      <c r="U1545" s="7">
        <f>IF(COUNT(D1545:P1545)=0,"",INDEX($D$1:$P$1,MATCH(MIN(D1545:P1545),D1545:P1545,0)))</f>
        <v/>
      </c>
      <c r="V1545" s="8" t="n">
        <v>51</v>
      </c>
      <c r="W1545" s="10" t="n">
        <v>1</v>
      </c>
    </row>
    <row r="1546">
      <c r="A1546" s="7" t="inlineStr">
        <is>
          <t>MAT-32-195</t>
        </is>
      </c>
      <c r="B1546" s="4" t="inlineStr">
        <is>
          <t>Codo de 90° de HG 2"</t>
        </is>
      </c>
      <c r="C1546" s="7" t="inlineStr">
        <is>
          <t>unidad</t>
        </is>
      </c>
      <c r="D1546" s="8" t="n"/>
      <c r="E1546" s="8" t="n">
        <v>170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>
        <f>IF(COUNT(D1546:P1546)=0,"",MIN(D1546:P1546))</f>
        <v/>
      </c>
      <c r="R1546" s="8">
        <f>IF(COUNT(D1546:P1546)=0,"",MEDIAN(D1546:P1546))</f>
        <v/>
      </c>
      <c r="S1546" s="8">
        <f>IF(COUNT(D1546:P1546)=0,"",MAX(D1546:P1546))</f>
        <v/>
      </c>
      <c r="T1546" s="9">
        <f>IF(OR(Q1546="",Q1546=0),"",(S1546-Q1546)/Q1546)</f>
        <v/>
      </c>
      <c r="U1546" s="7">
        <f>IF(COUNT(D1546:P1546)=0,"",INDEX($D$1:$P$1,MATCH(MIN(D1546:P1546),D1546:P1546,0)))</f>
        <v/>
      </c>
      <c r="V1546" s="8" t="n">
        <v>170</v>
      </c>
      <c r="W1546" s="10" t="n">
        <v>1</v>
      </c>
    </row>
    <row r="1547">
      <c r="A1547" s="7" t="inlineStr">
        <is>
          <t>MAT-32-196</t>
        </is>
      </c>
      <c r="B1547" s="4" t="inlineStr">
        <is>
          <t>Codo de 90° de HG 3/4"</t>
        </is>
      </c>
      <c r="C1547" s="7" t="inlineStr">
        <is>
          <t>unidad</t>
        </is>
      </c>
      <c r="D1547" s="8" t="n"/>
      <c r="E1547" s="8" t="n">
        <v>34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>
        <f>IF(COUNT(D1547:P1547)=0,"",MIN(D1547:P1547))</f>
        <v/>
      </c>
      <c r="R1547" s="8">
        <f>IF(COUNT(D1547:P1547)=0,"",MEDIAN(D1547:P1547))</f>
        <v/>
      </c>
      <c r="S1547" s="8">
        <f>IF(COUNT(D1547:P1547)=0,"",MAX(D1547:P1547))</f>
        <v/>
      </c>
      <c r="T1547" s="9">
        <f>IF(OR(Q1547="",Q1547=0),"",(S1547-Q1547)/Q1547)</f>
        <v/>
      </c>
      <c r="U1547" s="7">
        <f>IF(COUNT(D1547:P1547)=0,"",INDEX($D$1:$P$1,MATCH(MIN(D1547:P1547),D1547:P1547,0)))</f>
        <v/>
      </c>
      <c r="V1547" s="8" t="n">
        <v>34</v>
      </c>
      <c r="W1547" s="10" t="n">
        <v>1</v>
      </c>
    </row>
    <row r="1548">
      <c r="A1548" s="7" t="inlineStr">
        <is>
          <t>MAT-32-197</t>
        </is>
      </c>
      <c r="B1548" s="4" t="inlineStr">
        <is>
          <t>Codo de 90° de HG 3/8"</t>
        </is>
      </c>
      <c r="C1548" s="7" t="inlineStr">
        <is>
          <t>unidad</t>
        </is>
      </c>
      <c r="D1548" s="8" t="n"/>
      <c r="E1548" s="8" t="n">
        <v>51.55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>
        <f>IF(COUNT(D1548:P1548)=0,"",MIN(D1548:P1548))</f>
        <v/>
      </c>
      <c r="R1548" s="8">
        <f>IF(COUNT(D1548:P1548)=0,"",MEDIAN(D1548:P1548))</f>
        <v/>
      </c>
      <c r="S1548" s="8">
        <f>IF(COUNT(D1548:P1548)=0,"",MAX(D1548:P1548))</f>
        <v/>
      </c>
      <c r="T1548" s="9">
        <f>IF(OR(Q1548="",Q1548=0),"",(S1548-Q1548)/Q1548)</f>
        <v/>
      </c>
      <c r="U1548" s="7">
        <f>IF(COUNT(D1548:P1548)=0,"",INDEX($D$1:$P$1,MATCH(MIN(D1548:P1548),D1548:P1548,0)))</f>
        <v/>
      </c>
      <c r="V1548" s="8" t="n">
        <v>51.55</v>
      </c>
      <c r="W1548" s="10" t="n">
        <v>1</v>
      </c>
    </row>
    <row r="1549">
      <c r="A1549" s="7" t="inlineStr">
        <is>
          <t>MAT-32-198</t>
        </is>
      </c>
      <c r="B1549" s="4" t="inlineStr">
        <is>
          <t>Codo de 90° de HG 3"</t>
        </is>
      </c>
      <c r="C1549" s="7" t="inlineStr">
        <is>
          <t>unidad</t>
        </is>
      </c>
      <c r="D1549" s="8" t="n"/>
      <c r="E1549" s="8" t="n">
        <v>464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>
        <f>IF(COUNT(D1549:P1549)=0,"",MIN(D1549:P1549))</f>
        <v/>
      </c>
      <c r="R1549" s="8">
        <f>IF(COUNT(D1549:P1549)=0,"",MEDIAN(D1549:P1549))</f>
        <v/>
      </c>
      <c r="S1549" s="8">
        <f>IF(COUNT(D1549:P1549)=0,"",MAX(D1549:P1549))</f>
        <v/>
      </c>
      <c r="T1549" s="9">
        <f>IF(OR(Q1549="",Q1549=0),"",(S1549-Q1549)/Q1549)</f>
        <v/>
      </c>
      <c r="U1549" s="7">
        <f>IF(COUNT(D1549:P1549)=0,"",INDEX($D$1:$P$1,MATCH(MIN(D1549:P1549),D1549:P1549,0)))</f>
        <v/>
      </c>
      <c r="V1549" s="8" t="n">
        <v>464</v>
      </c>
      <c r="W1549" s="10" t="n">
        <v>1</v>
      </c>
    </row>
    <row r="1550">
      <c r="A1550" s="7" t="inlineStr">
        <is>
          <t>MAT-32-199</t>
        </is>
      </c>
      <c r="B1550" s="4" t="inlineStr">
        <is>
          <t>Codo de 90° de HG 4"</t>
        </is>
      </c>
      <c r="C1550" s="7" t="inlineStr">
        <is>
          <t>unidad</t>
        </is>
      </c>
      <c r="D1550" s="8" t="n"/>
      <c r="E1550" s="8" t="n">
        <v>840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>
        <f>IF(COUNT(D1550:P1550)=0,"",MIN(D1550:P1550))</f>
        <v/>
      </c>
      <c r="R1550" s="8">
        <f>IF(COUNT(D1550:P1550)=0,"",MEDIAN(D1550:P1550))</f>
        <v/>
      </c>
      <c r="S1550" s="8">
        <f>IF(COUNT(D1550:P1550)=0,"",MAX(D1550:P1550))</f>
        <v/>
      </c>
      <c r="T1550" s="9">
        <f>IF(OR(Q1550="",Q1550=0),"",(S1550-Q1550)/Q1550)</f>
        <v/>
      </c>
      <c r="U1550" s="7">
        <f>IF(COUNT(D1550:P1550)=0,"",INDEX($D$1:$P$1,MATCH(MIN(D1550:P1550),D1550:P1550,0)))</f>
        <v/>
      </c>
      <c r="V1550" s="8" t="n">
        <v>840</v>
      </c>
      <c r="W1550" s="10" t="n">
        <v>1</v>
      </c>
    </row>
    <row r="1551">
      <c r="A1551" s="7" t="inlineStr">
        <is>
          <t>MAT-32-200</t>
        </is>
      </c>
      <c r="B1551" s="4" t="inlineStr">
        <is>
          <t>Codo de 90° de plástico 50"</t>
        </is>
      </c>
      <c r="C1551" s="7" t="inlineStr">
        <is>
          <t>unidad</t>
        </is>
      </c>
      <c r="D1551" s="8" t="n"/>
      <c r="E1551" s="8" t="n">
        <v>315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>
        <f>IF(COUNT(D1551:P1551)=0,"",MIN(D1551:P1551))</f>
        <v/>
      </c>
      <c r="R1551" s="8">
        <f>IF(COUNT(D1551:P1551)=0,"",MEDIAN(D1551:P1551))</f>
        <v/>
      </c>
      <c r="S1551" s="8">
        <f>IF(COUNT(D1551:P1551)=0,"",MAX(D1551:P1551))</f>
        <v/>
      </c>
      <c r="T1551" s="9">
        <f>IF(OR(Q1551="",Q1551=0),"",(S1551-Q1551)/Q1551)</f>
        <v/>
      </c>
      <c r="U1551" s="7">
        <f>IF(COUNT(D1551:P1551)=0,"",INDEX($D$1:$P$1,MATCH(MIN(D1551:P1551),D1551:P1551,0)))</f>
        <v/>
      </c>
      <c r="V1551" s="8" t="n">
        <v>315</v>
      </c>
      <c r="W1551" s="10" t="n">
        <v>1</v>
      </c>
    </row>
    <row r="1552">
      <c r="A1552" s="7" t="inlineStr">
        <is>
          <t>MAT-32-201</t>
        </is>
      </c>
      <c r="B1552" s="4" t="inlineStr">
        <is>
          <t>Codo de 90° de plástico 63"</t>
        </is>
      </c>
      <c r="C1552" s="7" t="inlineStr">
        <is>
          <t>unidad</t>
        </is>
      </c>
      <c r="D1552" s="8" t="n"/>
      <c r="E1552" s="8" t="n">
        <v>370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>
        <f>IF(COUNT(D1552:P1552)=0,"",MIN(D1552:P1552))</f>
        <v/>
      </c>
      <c r="R1552" s="8">
        <f>IF(COUNT(D1552:P1552)=0,"",MEDIAN(D1552:P1552))</f>
        <v/>
      </c>
      <c r="S1552" s="8">
        <f>IF(COUNT(D1552:P1552)=0,"",MAX(D1552:P1552))</f>
        <v/>
      </c>
      <c r="T1552" s="9">
        <f>IF(OR(Q1552="",Q1552=0),"",(S1552-Q1552)/Q1552)</f>
        <v/>
      </c>
      <c r="U1552" s="7">
        <f>IF(COUNT(D1552:P1552)=0,"",INDEX($D$1:$P$1,MATCH(MIN(D1552:P1552),D1552:P1552,0)))</f>
        <v/>
      </c>
      <c r="V1552" s="8" t="n">
        <v>415</v>
      </c>
      <c r="W1552" s="10" t="n">
        <v>1</v>
      </c>
    </row>
    <row r="1553">
      <c r="A1553" s="7" t="inlineStr">
        <is>
          <t>MAT-32-202</t>
        </is>
      </c>
      <c r="B1553" s="4" t="inlineStr">
        <is>
          <t>Codo de 90° de PPR 20 mm</t>
        </is>
      </c>
      <c r="C1553" s="7" t="inlineStr">
        <is>
          <t>unidad</t>
        </is>
      </c>
      <c r="D1553" s="8" t="n"/>
      <c r="E1553" s="8" t="n">
        <v>6.25</v>
      </c>
      <c r="F1553" s="8" t="n"/>
      <c r="G1553" s="8" t="n">
        <v>33</v>
      </c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>
        <f>IF(COUNT(D1553:P1553)=0,"",MIN(D1553:P1553))</f>
        <v/>
      </c>
      <c r="R1553" s="8">
        <f>IF(COUNT(D1553:P1553)=0,"",MEDIAN(D1553:P1553))</f>
        <v/>
      </c>
      <c r="S1553" s="8">
        <f>IF(COUNT(D1553:P1553)=0,"",MAX(D1553:P1553))</f>
        <v/>
      </c>
      <c r="T1553" s="9">
        <f>IF(OR(Q1553="",Q1553=0),"",(S1553-Q1553)/Q1553)</f>
        <v/>
      </c>
      <c r="U1553" s="7">
        <f>IF(COUNT(D1553:P1553)=0,"",INDEX($D$1:$P$1,MATCH(MIN(D1553:P1553),D1553:P1553,0)))</f>
        <v/>
      </c>
      <c r="V1553" s="8" t="n">
        <v>19.63</v>
      </c>
      <c r="W1553" s="10" t="n">
        <v>2</v>
      </c>
    </row>
    <row r="1554">
      <c r="A1554" s="7" t="inlineStr">
        <is>
          <t>MAT-32-203</t>
        </is>
      </c>
      <c r="B1554" s="4" t="inlineStr">
        <is>
          <t>Codo de 90° de PPR 25 mm</t>
        </is>
      </c>
      <c r="C1554" s="7" t="inlineStr">
        <is>
          <t>unidad</t>
        </is>
      </c>
      <c r="D1554" s="8" t="n"/>
      <c r="E1554" s="8" t="n">
        <v>9.92</v>
      </c>
      <c r="F1554" s="8" t="n"/>
      <c r="G1554" s="8" t="n">
        <v>40</v>
      </c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>
        <f>IF(COUNT(D1554:P1554)=0,"",MIN(D1554:P1554))</f>
        <v/>
      </c>
      <c r="R1554" s="8">
        <f>IF(COUNT(D1554:P1554)=0,"",MEDIAN(D1554:P1554))</f>
        <v/>
      </c>
      <c r="S1554" s="8">
        <f>IF(COUNT(D1554:P1554)=0,"",MAX(D1554:P1554))</f>
        <v/>
      </c>
      <c r="T1554" s="9">
        <f>IF(OR(Q1554="",Q1554=0),"",(S1554-Q1554)/Q1554)</f>
        <v/>
      </c>
      <c r="U1554" s="7">
        <f>IF(COUNT(D1554:P1554)=0,"",INDEX($D$1:$P$1,MATCH(MIN(D1554:P1554),D1554:P1554,0)))</f>
        <v/>
      </c>
      <c r="V1554" s="8" t="n">
        <v>24.96</v>
      </c>
      <c r="W1554" s="10" t="n">
        <v>2</v>
      </c>
    </row>
    <row r="1555">
      <c r="A1555" s="7" t="inlineStr">
        <is>
          <t>MAT-32-204</t>
        </is>
      </c>
      <c r="B1555" s="4" t="inlineStr">
        <is>
          <t>Codo de 90° de PPR 32 mm</t>
        </is>
      </c>
      <c r="C1555" s="7" t="inlineStr">
        <is>
          <t>unidad</t>
        </is>
      </c>
      <c r="D1555" s="8" t="n"/>
      <c r="E1555" s="8" t="n">
        <v>17.67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>
        <f>IF(COUNT(D1555:P1555)=0,"",MIN(D1555:P1555))</f>
        <v/>
      </c>
      <c r="R1555" s="8">
        <f>IF(COUNT(D1555:P1555)=0,"",MEDIAN(D1555:P1555))</f>
        <v/>
      </c>
      <c r="S1555" s="8">
        <f>IF(COUNT(D1555:P1555)=0,"",MAX(D1555:P1555))</f>
        <v/>
      </c>
      <c r="T1555" s="9">
        <f>IF(OR(Q1555="",Q1555=0),"",(S1555-Q1555)/Q1555)</f>
        <v/>
      </c>
      <c r="U1555" s="7">
        <f>IF(COUNT(D1555:P1555)=0,"",INDEX($D$1:$P$1,MATCH(MIN(D1555:P1555),D1555:P1555,0)))</f>
        <v/>
      </c>
      <c r="V1555" s="8" t="n">
        <v>17.67</v>
      </c>
      <c r="W1555" s="10" t="n">
        <v>1</v>
      </c>
    </row>
    <row r="1556">
      <c r="A1556" s="7" t="inlineStr">
        <is>
          <t>MAT-32-205</t>
        </is>
      </c>
      <c r="B1556" s="4" t="inlineStr">
        <is>
          <t>Codo de 90° de PPR 50 mm</t>
        </is>
      </c>
      <c r="C1556" s="7" t="inlineStr">
        <is>
          <t>unidad</t>
        </is>
      </c>
      <c r="D1556" s="8" t="n"/>
      <c r="E1556" s="8" t="n">
        <v>60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>
        <f>IF(COUNT(D1556:P1556)=0,"",MIN(D1556:P1556))</f>
        <v/>
      </c>
      <c r="R1556" s="8">
        <f>IF(COUNT(D1556:P1556)=0,"",MEDIAN(D1556:P1556))</f>
        <v/>
      </c>
      <c r="S1556" s="8">
        <f>IF(COUNT(D1556:P1556)=0,"",MAX(D1556:P1556))</f>
        <v/>
      </c>
      <c r="T1556" s="9">
        <f>IF(OR(Q1556="",Q1556=0),"",(S1556-Q1556)/Q1556)</f>
        <v/>
      </c>
      <c r="U1556" s="7">
        <f>IF(COUNT(D1556:P1556)=0,"",INDEX($D$1:$P$1,MATCH(MIN(D1556:P1556),D1556:P1556,0)))</f>
        <v/>
      </c>
      <c r="V1556" s="8" t="n">
        <v>60</v>
      </c>
      <c r="W1556" s="10" t="n">
        <v>1</v>
      </c>
    </row>
    <row r="1557">
      <c r="A1557" s="7" t="inlineStr">
        <is>
          <t>MAT-32-206</t>
        </is>
      </c>
      <c r="B1557" s="4" t="inlineStr">
        <is>
          <t>Codo de 90° de PVC drenaje 1 1/2"</t>
        </is>
      </c>
      <c r="C1557" s="7" t="inlineStr">
        <is>
          <t>unidad</t>
        </is>
      </c>
      <c r="D1557" s="8" t="n"/>
      <c r="E1557" s="8" t="n">
        <v>17.32</v>
      </c>
      <c r="F1557" s="8" t="n"/>
      <c r="G1557" s="8" t="n">
        <v>30</v>
      </c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>
        <f>IF(COUNT(D1557:P1557)=0,"",MIN(D1557:P1557))</f>
        <v/>
      </c>
      <c r="R1557" s="8">
        <f>IF(COUNT(D1557:P1557)=0,"",MEDIAN(D1557:P1557))</f>
        <v/>
      </c>
      <c r="S1557" s="8">
        <f>IF(COUNT(D1557:P1557)=0,"",MAX(D1557:P1557))</f>
        <v/>
      </c>
      <c r="T1557" s="9">
        <f>IF(OR(Q1557="",Q1557=0),"",(S1557-Q1557)/Q1557)</f>
        <v/>
      </c>
      <c r="U1557" s="7">
        <f>IF(COUNT(D1557:P1557)=0,"",INDEX($D$1:$P$1,MATCH(MIN(D1557:P1557),D1557:P1557,0)))</f>
        <v/>
      </c>
      <c r="V1557" s="8" t="n">
        <v>23.66</v>
      </c>
      <c r="W1557" s="10" t="n">
        <v>2</v>
      </c>
    </row>
    <row r="1558">
      <c r="A1558" s="7" t="inlineStr">
        <is>
          <t>MAT-32-207</t>
        </is>
      </c>
      <c r="B1558" s="4" t="inlineStr">
        <is>
          <t>Codo de 90° de PVC drenaje 2"</t>
        </is>
      </c>
      <c r="C1558" s="7" t="inlineStr">
        <is>
          <t>unidad</t>
        </is>
      </c>
      <c r="D1558" s="8" t="n"/>
      <c r="E1558" s="8" t="n">
        <v>16.01</v>
      </c>
      <c r="F1558" s="8" t="n"/>
      <c r="G1558" s="8" t="n">
        <v>35</v>
      </c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>
        <f>IF(COUNT(D1558:P1558)=0,"",MIN(D1558:P1558))</f>
        <v/>
      </c>
      <c r="R1558" s="8">
        <f>IF(COUNT(D1558:P1558)=0,"",MEDIAN(D1558:P1558))</f>
        <v/>
      </c>
      <c r="S1558" s="8">
        <f>IF(COUNT(D1558:P1558)=0,"",MAX(D1558:P1558))</f>
        <v/>
      </c>
      <c r="T1558" s="9">
        <f>IF(OR(Q1558="",Q1558=0),"",(S1558-Q1558)/Q1558)</f>
        <v/>
      </c>
      <c r="U1558" s="7">
        <f>IF(COUNT(D1558:P1558)=0,"",INDEX($D$1:$P$1,MATCH(MIN(D1558:P1558),D1558:P1558,0)))</f>
        <v/>
      </c>
      <c r="V1558" s="8" t="n">
        <v>26.8</v>
      </c>
      <c r="W1558" s="10" t="n">
        <v>2</v>
      </c>
    </row>
    <row r="1559">
      <c r="A1559" s="7" t="inlineStr">
        <is>
          <t>MAT-32-208</t>
        </is>
      </c>
      <c r="B1559" s="4" t="inlineStr">
        <is>
          <t>Codo de 90° de PVC drenaje 3"</t>
        </is>
      </c>
      <c r="C1559" s="7" t="inlineStr">
        <is>
          <t>unidad</t>
        </is>
      </c>
      <c r="D1559" s="8" t="n"/>
      <c r="E1559" s="8" t="n">
        <v>54.53</v>
      </c>
      <c r="F1559" s="8" t="n"/>
      <c r="G1559" s="8" t="n">
        <v>95</v>
      </c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>
        <f>IF(COUNT(D1559:P1559)=0,"",MIN(D1559:P1559))</f>
        <v/>
      </c>
      <c r="R1559" s="8">
        <f>IF(COUNT(D1559:P1559)=0,"",MEDIAN(D1559:P1559))</f>
        <v/>
      </c>
      <c r="S1559" s="8">
        <f>IF(COUNT(D1559:P1559)=0,"",MAX(D1559:P1559))</f>
        <v/>
      </c>
      <c r="T1559" s="9">
        <f>IF(OR(Q1559="",Q1559=0),"",(S1559-Q1559)/Q1559)</f>
        <v/>
      </c>
      <c r="U1559" s="7">
        <f>IF(COUNT(D1559:P1559)=0,"",INDEX($D$1:$P$1,MATCH(MIN(D1559:P1559),D1559:P1559,0)))</f>
        <v/>
      </c>
      <c r="V1559" s="8" t="n">
        <v>75.16</v>
      </c>
      <c r="W1559" s="10" t="n">
        <v>2</v>
      </c>
    </row>
    <row r="1560">
      <c r="A1560" s="7" t="inlineStr">
        <is>
          <t>MAT-32-209</t>
        </is>
      </c>
      <c r="B1560" s="4" t="inlineStr">
        <is>
          <t>Codo de 90° de PVC drenaje 4"</t>
        </is>
      </c>
      <c r="C1560" s="7" t="inlineStr">
        <is>
          <t>unidad</t>
        </is>
      </c>
      <c r="D1560" s="8" t="n"/>
      <c r="E1560" s="8" t="n">
        <v>89.5</v>
      </c>
      <c r="F1560" s="8" t="n"/>
      <c r="G1560" s="8" t="n"/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>
        <f>IF(COUNT(D1560:P1560)=0,"",MIN(D1560:P1560))</f>
        <v/>
      </c>
      <c r="R1560" s="8">
        <f>IF(COUNT(D1560:P1560)=0,"",MEDIAN(D1560:P1560))</f>
        <v/>
      </c>
      <c r="S1560" s="8">
        <f>IF(COUNT(D1560:P1560)=0,"",MAX(D1560:P1560))</f>
        <v/>
      </c>
      <c r="T1560" s="9">
        <f>IF(OR(Q1560="",Q1560=0),"",(S1560-Q1560)/Q1560)</f>
        <v/>
      </c>
      <c r="U1560" s="7">
        <f>IF(COUNT(D1560:P1560)=0,"",INDEX($D$1:$P$1,MATCH(MIN(D1560:P1560),D1560:P1560,0)))</f>
        <v/>
      </c>
      <c r="V1560" s="8" t="n">
        <v>113.88</v>
      </c>
      <c r="W1560" s="10" t="n">
        <v>1</v>
      </c>
    </row>
    <row r="1561">
      <c r="A1561" s="7" t="inlineStr">
        <is>
          <t>MAT-32-210</t>
        </is>
      </c>
      <c r="B1561" s="4" t="inlineStr">
        <is>
          <t>Codo de 90° de PVC drenaje 6"</t>
        </is>
      </c>
      <c r="C1561" s="7" t="inlineStr">
        <is>
          <t>unidad</t>
        </is>
      </c>
      <c r="D1561" s="8" t="n"/>
      <c r="E1561" s="8" t="n">
        <v>256</v>
      </c>
      <c r="F1561" s="8" t="n"/>
      <c r="G1561" s="8" t="n"/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>
        <f>IF(COUNT(D1561:P1561)=0,"",MIN(D1561:P1561))</f>
        <v/>
      </c>
      <c r="R1561" s="8">
        <f>IF(COUNT(D1561:P1561)=0,"",MEDIAN(D1561:P1561))</f>
        <v/>
      </c>
      <c r="S1561" s="8">
        <f>IF(COUNT(D1561:P1561)=0,"",MAX(D1561:P1561))</f>
        <v/>
      </c>
      <c r="T1561" s="9">
        <f>IF(OR(Q1561="",Q1561=0),"",(S1561-Q1561)/Q1561)</f>
        <v/>
      </c>
      <c r="U1561" s="7">
        <f>IF(COUNT(D1561:P1561)=0,"",INDEX($D$1:$P$1,MATCH(MIN(D1561:P1561),D1561:P1561,0)))</f>
        <v/>
      </c>
      <c r="V1561" s="8" t="n">
        <v>360.5</v>
      </c>
      <c r="W1561" s="10" t="n">
        <v>1</v>
      </c>
    </row>
    <row r="1562">
      <c r="A1562" s="7" t="inlineStr">
        <is>
          <t>MAT-32-211</t>
        </is>
      </c>
      <c r="B1562" s="4" t="inlineStr">
        <is>
          <t>Codo de 90° de PVC 1 1/2"</t>
        </is>
      </c>
      <c r="C1562" s="7" t="inlineStr">
        <is>
          <t>unidad</t>
        </is>
      </c>
      <c r="D1562" s="8" t="n"/>
      <c r="E1562" s="8" t="n">
        <v>70.2</v>
      </c>
      <c r="F1562" s="8" t="n"/>
      <c r="G1562" s="8" t="n"/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>
        <f>IF(COUNT(D1562:P1562)=0,"",MIN(D1562:P1562))</f>
        <v/>
      </c>
      <c r="R1562" s="8">
        <f>IF(COUNT(D1562:P1562)=0,"",MEDIAN(D1562:P1562))</f>
        <v/>
      </c>
      <c r="S1562" s="8">
        <f>IF(COUNT(D1562:P1562)=0,"",MAX(D1562:P1562))</f>
        <v/>
      </c>
      <c r="T1562" s="9">
        <f>IF(OR(Q1562="",Q1562=0),"",(S1562-Q1562)/Q1562)</f>
        <v/>
      </c>
      <c r="U1562" s="7">
        <f>IF(COUNT(D1562:P1562)=0,"",INDEX($D$1:$P$1,MATCH(MIN(D1562:P1562),D1562:P1562,0)))</f>
        <v/>
      </c>
      <c r="V1562" s="8" t="n">
        <v>70.2</v>
      </c>
      <c r="W1562" s="10" t="n">
        <v>1</v>
      </c>
    </row>
    <row r="1563">
      <c r="A1563" s="7" t="inlineStr">
        <is>
          <t>MAT-32-212</t>
        </is>
      </c>
      <c r="B1563" s="4" t="inlineStr">
        <is>
          <t>Codo de 90° de PVC 1"</t>
        </is>
      </c>
      <c r="C1563" s="7" t="inlineStr">
        <is>
          <t>unidad</t>
        </is>
      </c>
      <c r="D1563" s="8" t="n"/>
      <c r="E1563" s="8" t="n">
        <v>40.38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>
        <f>IF(COUNT(D1563:P1563)=0,"",MIN(D1563:P1563))</f>
        <v/>
      </c>
      <c r="R1563" s="8">
        <f>IF(COUNT(D1563:P1563)=0,"",MEDIAN(D1563:P1563))</f>
        <v/>
      </c>
      <c r="S1563" s="8">
        <f>IF(COUNT(D1563:P1563)=0,"",MAX(D1563:P1563))</f>
        <v/>
      </c>
      <c r="T1563" s="9">
        <f>IF(OR(Q1563="",Q1563=0),"",(S1563-Q1563)/Q1563)</f>
        <v/>
      </c>
      <c r="U1563" s="7">
        <f>IF(COUNT(D1563:P1563)=0,"",INDEX($D$1:$P$1,MATCH(MIN(D1563:P1563),D1563:P1563,0)))</f>
        <v/>
      </c>
      <c r="V1563" s="8" t="n">
        <v>40.38</v>
      </c>
      <c r="W1563" s="10" t="n">
        <v>1</v>
      </c>
    </row>
    <row r="1564">
      <c r="A1564" s="7" t="inlineStr">
        <is>
          <t>MAT-32-213</t>
        </is>
      </c>
      <c r="B1564" s="4" t="inlineStr">
        <is>
          <t>Codo de 90° de PVC 2"</t>
        </is>
      </c>
      <c r="C1564" s="7" t="inlineStr">
        <is>
          <t>unidad</t>
        </is>
      </c>
      <c r="D1564" s="8" t="n"/>
      <c r="E1564" s="8" t="n">
        <v>120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>
        <f>IF(COUNT(D1564:P1564)=0,"",MIN(D1564:P1564))</f>
        <v/>
      </c>
      <c r="R1564" s="8">
        <f>IF(COUNT(D1564:P1564)=0,"",MEDIAN(D1564:P1564))</f>
        <v/>
      </c>
      <c r="S1564" s="8">
        <f>IF(COUNT(D1564:P1564)=0,"",MAX(D1564:P1564))</f>
        <v/>
      </c>
      <c r="T1564" s="9">
        <f>IF(OR(Q1564="",Q1564=0),"",(S1564-Q1564)/Q1564)</f>
        <v/>
      </c>
      <c r="U1564" s="7">
        <f>IF(COUNT(D1564:P1564)=0,"",INDEX($D$1:$P$1,MATCH(MIN(D1564:P1564),D1564:P1564,0)))</f>
        <v/>
      </c>
      <c r="V1564" s="8" t="n">
        <v>120</v>
      </c>
      <c r="W1564" s="10" t="n">
        <v>1</v>
      </c>
    </row>
    <row r="1565">
      <c r="A1565" s="7" t="inlineStr">
        <is>
          <t>MAT-32-214</t>
        </is>
      </c>
      <c r="B1565" s="4" t="inlineStr">
        <is>
          <t>Codo de 90° de PVC 3/4"</t>
        </is>
      </c>
      <c r="C1565" s="7" t="inlineStr">
        <is>
          <t>unidad</t>
        </is>
      </c>
      <c r="D1565" s="8" t="n"/>
      <c r="E1565" s="8" t="n">
        <v>22.22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>
        <f>IF(COUNT(D1565:P1565)=0,"",MIN(D1565:P1565))</f>
        <v/>
      </c>
      <c r="R1565" s="8">
        <f>IF(COUNT(D1565:P1565)=0,"",MEDIAN(D1565:P1565))</f>
        <v/>
      </c>
      <c r="S1565" s="8">
        <f>IF(COUNT(D1565:P1565)=0,"",MAX(D1565:P1565))</f>
        <v/>
      </c>
      <c r="T1565" s="9">
        <f>IF(OR(Q1565="",Q1565=0),"",(S1565-Q1565)/Q1565)</f>
        <v/>
      </c>
      <c r="U1565" s="7">
        <f>IF(COUNT(D1565:P1565)=0,"",INDEX($D$1:$P$1,MATCH(MIN(D1565:P1565),D1565:P1565,0)))</f>
        <v/>
      </c>
      <c r="V1565" s="8" t="n">
        <v>22.22</v>
      </c>
      <c r="W1565" s="10" t="n">
        <v>1</v>
      </c>
    </row>
    <row r="1566">
      <c r="A1566" s="7" t="inlineStr">
        <is>
          <t>MAT-32-215</t>
        </is>
      </c>
      <c r="B1566" s="4" t="inlineStr">
        <is>
          <t>Codo de 90° de PVC presión 1 1/2"</t>
        </is>
      </c>
      <c r="C1566" s="7" t="inlineStr">
        <is>
          <t>unidad</t>
        </is>
      </c>
      <c r="D1566" s="8" t="n"/>
      <c r="E1566" s="8" t="n">
        <v>28.52</v>
      </c>
      <c r="F1566" s="8" t="n"/>
      <c r="G1566" s="8" t="n">
        <v>55</v>
      </c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>
        <f>IF(COUNT(D1566:P1566)=0,"",MIN(D1566:P1566))</f>
        <v/>
      </c>
      <c r="R1566" s="8">
        <f>IF(COUNT(D1566:P1566)=0,"",MEDIAN(D1566:P1566))</f>
        <v/>
      </c>
      <c r="S1566" s="8">
        <f>IF(COUNT(D1566:P1566)=0,"",MAX(D1566:P1566))</f>
        <v/>
      </c>
      <c r="T1566" s="9">
        <f>IF(OR(Q1566="",Q1566=0),"",(S1566-Q1566)/Q1566)</f>
        <v/>
      </c>
      <c r="U1566" s="7">
        <f>IF(COUNT(D1566:P1566)=0,"",INDEX($D$1:$P$1,MATCH(MIN(D1566:P1566),D1566:P1566,0)))</f>
        <v/>
      </c>
      <c r="V1566" s="8" t="n">
        <v>44.53</v>
      </c>
      <c r="W1566" s="10" t="n">
        <v>2</v>
      </c>
    </row>
    <row r="1567">
      <c r="A1567" s="7" t="inlineStr">
        <is>
          <t>MAT-32-216</t>
        </is>
      </c>
      <c r="B1567" s="4" t="inlineStr">
        <is>
          <t>Codo de 90° de PVC presión 1/2"</t>
        </is>
      </c>
      <c r="C1567" s="7" t="inlineStr">
        <is>
          <t>unidad</t>
        </is>
      </c>
      <c r="D1567" s="8" t="n"/>
      <c r="E1567" s="8" t="n">
        <v>5.75</v>
      </c>
      <c r="F1567" s="8" t="n"/>
      <c r="G1567" s="8" t="n">
        <v>15</v>
      </c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>
        <f>IF(COUNT(D1567:P1567)=0,"",MIN(D1567:P1567))</f>
        <v/>
      </c>
      <c r="R1567" s="8">
        <f>IF(COUNT(D1567:P1567)=0,"",MEDIAN(D1567:P1567))</f>
        <v/>
      </c>
      <c r="S1567" s="8">
        <f>IF(COUNT(D1567:P1567)=0,"",MAX(D1567:P1567))</f>
        <v/>
      </c>
      <c r="T1567" s="9">
        <f>IF(OR(Q1567="",Q1567=0),"",(S1567-Q1567)/Q1567)</f>
        <v/>
      </c>
      <c r="U1567" s="7">
        <f>IF(COUNT(D1567:P1567)=0,"",INDEX($D$1:$P$1,MATCH(MIN(D1567:P1567),D1567:P1567,0)))</f>
        <v/>
      </c>
      <c r="V1567" s="8" t="n">
        <v>10</v>
      </c>
      <c r="W1567" s="10" t="n">
        <v>2</v>
      </c>
    </row>
    <row r="1568">
      <c r="A1568" s="7" t="inlineStr">
        <is>
          <t>MAT-32-217</t>
        </is>
      </c>
      <c r="B1568" s="4" t="inlineStr">
        <is>
          <t>Codo de 90° de PVC presión 1"</t>
        </is>
      </c>
      <c r="C1568" s="7" t="inlineStr">
        <is>
          <t>unidad</t>
        </is>
      </c>
      <c r="D1568" s="8" t="n"/>
      <c r="E1568" s="8" t="n">
        <v>11.38</v>
      </c>
      <c r="F1568" s="8" t="n"/>
      <c r="G1568" s="8" t="n">
        <v>27</v>
      </c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>
        <f>IF(COUNT(D1568:P1568)=0,"",MIN(D1568:P1568))</f>
        <v/>
      </c>
      <c r="R1568" s="8">
        <f>IF(COUNT(D1568:P1568)=0,"",MEDIAN(D1568:P1568))</f>
        <v/>
      </c>
      <c r="S1568" s="8">
        <f>IF(COUNT(D1568:P1568)=0,"",MAX(D1568:P1568))</f>
        <v/>
      </c>
      <c r="T1568" s="9">
        <f>IF(OR(Q1568="",Q1568=0),"",(S1568-Q1568)/Q1568)</f>
        <v/>
      </c>
      <c r="U1568" s="7">
        <f>IF(COUNT(D1568:P1568)=0,"",INDEX($D$1:$P$1,MATCH(MIN(D1568:P1568),D1568:P1568,0)))</f>
        <v/>
      </c>
      <c r="V1568" s="8" t="n">
        <v>20.05</v>
      </c>
      <c r="W1568" s="10" t="n">
        <v>2</v>
      </c>
    </row>
    <row r="1569">
      <c r="A1569" s="7" t="inlineStr">
        <is>
          <t>MAT-32-218</t>
        </is>
      </c>
      <c r="B1569" s="4" t="inlineStr">
        <is>
          <t>Codo de 90° de PVC presión 2"</t>
        </is>
      </c>
      <c r="C1569" s="7" t="inlineStr">
        <is>
          <t>unidad</t>
        </is>
      </c>
      <c r="D1569" s="8" t="n"/>
      <c r="E1569" s="8" t="n">
        <v>46.28</v>
      </c>
      <c r="F1569" s="8" t="n"/>
      <c r="G1569" s="8" t="n">
        <v>145</v>
      </c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>
        <f>IF(COUNT(D1569:P1569)=0,"",MIN(D1569:P1569))</f>
        <v/>
      </c>
      <c r="R1569" s="8">
        <f>IF(COUNT(D1569:P1569)=0,"",MEDIAN(D1569:P1569))</f>
        <v/>
      </c>
      <c r="S1569" s="8">
        <f>IF(COUNT(D1569:P1569)=0,"",MAX(D1569:P1569))</f>
        <v/>
      </c>
      <c r="T1569" s="9">
        <f>IF(OR(Q1569="",Q1569=0),"",(S1569-Q1569)/Q1569)</f>
        <v/>
      </c>
      <c r="U1569" s="7">
        <f>IF(COUNT(D1569:P1569)=0,"",INDEX($D$1:$P$1,MATCH(MIN(D1569:P1569),D1569:P1569,0)))</f>
        <v/>
      </c>
      <c r="V1569" s="8" t="n">
        <v>67.15000000000001</v>
      </c>
      <c r="W1569" s="10" t="n">
        <v>2</v>
      </c>
    </row>
    <row r="1570">
      <c r="A1570" s="7" t="inlineStr">
        <is>
          <t>MAT-32-219</t>
        </is>
      </c>
      <c r="B1570" s="4" t="inlineStr">
        <is>
          <t>Codo de 90° de PVC presión 3/4"</t>
        </is>
      </c>
      <c r="C1570" s="7" t="inlineStr">
        <is>
          <t>unidad</t>
        </is>
      </c>
      <c r="D1570" s="8" t="n"/>
      <c r="E1570" s="8" t="n">
        <v>8.42</v>
      </c>
      <c r="F1570" s="8" t="n"/>
      <c r="G1570" s="8" t="n">
        <v>15</v>
      </c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>
        <f>IF(COUNT(D1570:P1570)=0,"",MIN(D1570:P1570))</f>
        <v/>
      </c>
      <c r="R1570" s="8">
        <f>IF(COUNT(D1570:P1570)=0,"",MEDIAN(D1570:P1570))</f>
        <v/>
      </c>
      <c r="S1570" s="8">
        <f>IF(COUNT(D1570:P1570)=0,"",MAX(D1570:P1570))</f>
        <v/>
      </c>
      <c r="T1570" s="9">
        <f>IF(OR(Q1570="",Q1570=0),"",(S1570-Q1570)/Q1570)</f>
        <v/>
      </c>
      <c r="U1570" s="7">
        <f>IF(COUNT(D1570:P1570)=0,"",INDEX($D$1:$P$1,MATCH(MIN(D1570:P1570),D1570:P1570,0)))</f>
        <v/>
      </c>
      <c r="V1570" s="8" t="n">
        <v>12.15</v>
      </c>
      <c r="W1570" s="10" t="n">
        <v>2</v>
      </c>
    </row>
    <row r="1571">
      <c r="A1571" s="7" t="inlineStr">
        <is>
          <t>MAT-32-220</t>
        </is>
      </c>
      <c r="B1571" s="4" t="inlineStr">
        <is>
          <t>Codo de 90° de PVC presión 3"</t>
        </is>
      </c>
      <c r="C1571" s="7" t="inlineStr">
        <is>
          <t>unidad</t>
        </is>
      </c>
      <c r="D1571" s="8" t="n"/>
      <c r="E1571" s="8" t="n">
        <v>126</v>
      </c>
      <c r="F1571" s="8" t="n"/>
      <c r="G1571" s="8" t="n">
        <v>233</v>
      </c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>
        <f>IF(COUNT(D1571:P1571)=0,"",MIN(D1571:P1571))</f>
        <v/>
      </c>
      <c r="R1571" s="8">
        <f>IF(COUNT(D1571:P1571)=0,"",MEDIAN(D1571:P1571))</f>
        <v/>
      </c>
      <c r="S1571" s="8">
        <f>IF(COUNT(D1571:P1571)=0,"",MAX(D1571:P1571))</f>
        <v/>
      </c>
      <c r="T1571" s="9">
        <f>IF(OR(Q1571="",Q1571=0),"",(S1571-Q1571)/Q1571)</f>
        <v/>
      </c>
      <c r="U1571" s="7">
        <f>IF(COUNT(D1571:P1571)=0,"",INDEX($D$1:$P$1,MATCH(MIN(D1571:P1571),D1571:P1571,0)))</f>
        <v/>
      </c>
      <c r="V1571" s="8" t="n">
        <v>187.35</v>
      </c>
      <c r="W1571" s="10" t="n">
        <v>2</v>
      </c>
    </row>
    <row r="1572">
      <c r="A1572" s="7" t="inlineStr">
        <is>
          <t>MAT-32-221</t>
        </is>
      </c>
      <c r="B1572" s="4" t="inlineStr">
        <is>
          <t>Codo de 90° de PVC presión 4"</t>
        </is>
      </c>
      <c r="C1572" s="7" t="inlineStr">
        <is>
          <t>unidad</t>
        </is>
      </c>
      <c r="D1572" s="8" t="n"/>
      <c r="E1572" s="8" t="n">
        <v>206</v>
      </c>
      <c r="F1572" s="8" t="n"/>
      <c r="G1572" s="8" t="n">
        <v>370</v>
      </c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>
        <f>IF(COUNT(D1572:P1572)=0,"",MIN(D1572:P1572))</f>
        <v/>
      </c>
      <c r="R1572" s="8">
        <f>IF(COUNT(D1572:P1572)=0,"",MEDIAN(D1572:P1572))</f>
        <v/>
      </c>
      <c r="S1572" s="8">
        <f>IF(COUNT(D1572:P1572)=0,"",MAX(D1572:P1572))</f>
        <v/>
      </c>
      <c r="T1572" s="9">
        <f>IF(OR(Q1572="",Q1572=0),"",(S1572-Q1572)/Q1572)</f>
        <v/>
      </c>
      <c r="U1572" s="7">
        <f>IF(COUNT(D1572:P1572)=0,"",INDEX($D$1:$P$1,MATCH(MIN(D1572:P1572),D1572:P1572,0)))</f>
        <v/>
      </c>
      <c r="V1572" s="8" t="n">
        <v>309.43</v>
      </c>
      <c r="W1572" s="10" t="n">
        <v>2</v>
      </c>
    </row>
    <row r="1573">
      <c r="A1573" s="7" t="inlineStr">
        <is>
          <t>MAT-32-222</t>
        </is>
      </c>
      <c r="B1573" s="4" t="inlineStr">
        <is>
          <t>Codo de 90° de PVC presión 6"</t>
        </is>
      </c>
      <c r="C1573" s="7" t="inlineStr">
        <is>
          <t>unidad</t>
        </is>
      </c>
      <c r="D1573" s="8" t="n"/>
      <c r="E1573" s="8" t="n">
        <v>710</v>
      </c>
      <c r="F1573" s="8" t="n"/>
      <c r="G1573" s="8" t="n"/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>
        <f>IF(COUNT(D1573:P1573)=0,"",MIN(D1573:P1573))</f>
        <v/>
      </c>
      <c r="R1573" s="8">
        <f>IF(COUNT(D1573:P1573)=0,"",MEDIAN(D1573:P1573))</f>
        <v/>
      </c>
      <c r="S1573" s="8">
        <f>IF(COUNT(D1573:P1573)=0,"",MAX(D1573:P1573))</f>
        <v/>
      </c>
      <c r="T1573" s="9">
        <f>IF(OR(Q1573="",Q1573=0),"",(S1573-Q1573)/Q1573)</f>
        <v/>
      </c>
      <c r="U1573" s="7">
        <f>IF(COUNT(D1573:P1573)=0,"",INDEX($D$1:$P$1,MATCH(MIN(D1573:P1573),D1573:P1573,0)))</f>
        <v/>
      </c>
      <c r="V1573" s="8" t="n">
        <v>787.5</v>
      </c>
      <c r="W1573" s="10" t="n">
        <v>1</v>
      </c>
    </row>
    <row r="1574">
      <c r="A1574" s="7" t="inlineStr">
        <is>
          <t>MAT-32-223</t>
        </is>
      </c>
      <c r="B1574" s="4" t="inlineStr">
        <is>
          <t>Codo de 90° de PVC presión 8"</t>
        </is>
      </c>
      <c r="C1574" s="7" t="inlineStr">
        <is>
          <t>unidad</t>
        </is>
      </c>
      <c r="D1574" s="8" t="n"/>
      <c r="E1574" s="8" t="n">
        <v>4205</v>
      </c>
      <c r="F1574" s="8" t="n"/>
      <c r="G1574" s="8" t="n"/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>
        <f>IF(COUNT(D1574:P1574)=0,"",MIN(D1574:P1574))</f>
        <v/>
      </c>
      <c r="R1574" s="8">
        <f>IF(COUNT(D1574:P1574)=0,"",MEDIAN(D1574:P1574))</f>
        <v/>
      </c>
      <c r="S1574" s="8">
        <f>IF(COUNT(D1574:P1574)=0,"",MAX(D1574:P1574))</f>
        <v/>
      </c>
      <c r="T1574" s="9">
        <f>IF(OR(Q1574="",Q1574=0),"",(S1574-Q1574)/Q1574)</f>
        <v/>
      </c>
      <c r="U1574" s="7">
        <f>IF(COUNT(D1574:P1574)=0,"",INDEX($D$1:$P$1,MATCH(MIN(D1574:P1574),D1574:P1574,0)))</f>
        <v/>
      </c>
      <c r="V1574" s="8" t="n">
        <v>4205</v>
      </c>
      <c r="W1574" s="10" t="n">
        <v>1</v>
      </c>
    </row>
    <row r="1575">
      <c r="A1575" s="7" t="inlineStr">
        <is>
          <t>MAT-32-224</t>
        </is>
      </c>
      <c r="B1575" s="4" t="inlineStr">
        <is>
          <t>Codo de bronce 1/2"</t>
        </is>
      </c>
      <c r="C1575" s="7" t="inlineStr">
        <is>
          <t>unidad</t>
        </is>
      </c>
      <c r="D1575" s="8" t="n"/>
      <c r="E1575" s="8" t="n">
        <v>195</v>
      </c>
      <c r="F1575" s="8" t="n"/>
      <c r="G1575" s="8" t="n"/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>
        <f>IF(COUNT(D1575:P1575)=0,"",MIN(D1575:P1575))</f>
        <v/>
      </c>
      <c r="R1575" s="8">
        <f>IF(COUNT(D1575:P1575)=0,"",MEDIAN(D1575:P1575))</f>
        <v/>
      </c>
      <c r="S1575" s="8">
        <f>IF(COUNT(D1575:P1575)=0,"",MAX(D1575:P1575))</f>
        <v/>
      </c>
      <c r="T1575" s="9">
        <f>IF(OR(Q1575="",Q1575=0),"",(S1575-Q1575)/Q1575)</f>
        <v/>
      </c>
      <c r="U1575" s="7">
        <f>IF(COUNT(D1575:P1575)=0,"",INDEX($D$1:$P$1,MATCH(MIN(D1575:P1575),D1575:P1575,0)))</f>
        <v/>
      </c>
      <c r="V1575" s="8" t="n">
        <v>195</v>
      </c>
      <c r="W1575" s="10" t="n">
        <v>1</v>
      </c>
    </row>
    <row r="1576">
      <c r="A1576" s="7" t="inlineStr">
        <is>
          <t>MAT-32-225</t>
        </is>
      </c>
      <c r="B1576" s="4" t="inlineStr">
        <is>
          <t>Codo de bronce 1/4"</t>
        </is>
      </c>
      <c r="C1576" s="7" t="inlineStr">
        <is>
          <t>unidad</t>
        </is>
      </c>
      <c r="D1576" s="8" t="n"/>
      <c r="E1576" s="8" t="n">
        <v>60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>
        <f>IF(COUNT(D1576:P1576)=0,"",MIN(D1576:P1576))</f>
        <v/>
      </c>
      <c r="R1576" s="8">
        <f>IF(COUNT(D1576:P1576)=0,"",MEDIAN(D1576:P1576))</f>
        <v/>
      </c>
      <c r="S1576" s="8">
        <f>IF(COUNT(D1576:P1576)=0,"",MAX(D1576:P1576))</f>
        <v/>
      </c>
      <c r="T1576" s="9">
        <f>IF(OR(Q1576="",Q1576=0),"",(S1576-Q1576)/Q1576)</f>
        <v/>
      </c>
      <c r="U1576" s="7">
        <f>IF(COUNT(D1576:P1576)=0,"",INDEX($D$1:$P$1,MATCH(MIN(D1576:P1576),D1576:P1576,0)))</f>
        <v/>
      </c>
      <c r="V1576" s="8" t="n">
        <v>65</v>
      </c>
      <c r="W1576" s="10" t="n">
        <v>1</v>
      </c>
    </row>
    <row r="1577">
      <c r="A1577" s="7" t="inlineStr">
        <is>
          <t>MAT-32-226</t>
        </is>
      </c>
      <c r="B1577" s="4" t="inlineStr">
        <is>
          <t>Codo de bronce 12"</t>
        </is>
      </c>
      <c r="C1577" s="7" t="inlineStr">
        <is>
          <t>unidad</t>
        </is>
      </c>
      <c r="D1577" s="8" t="n"/>
      <c r="E1577" s="8" t="n">
        <v>407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>
        <f>IF(COUNT(D1577:P1577)=0,"",MIN(D1577:P1577))</f>
        <v/>
      </c>
      <c r="R1577" s="8">
        <f>IF(COUNT(D1577:P1577)=0,"",MEDIAN(D1577:P1577))</f>
        <v/>
      </c>
      <c r="S1577" s="8">
        <f>IF(COUNT(D1577:P1577)=0,"",MAX(D1577:P1577))</f>
        <v/>
      </c>
      <c r="T1577" s="9">
        <f>IF(OR(Q1577="",Q1577=0),"",(S1577-Q1577)/Q1577)</f>
        <v/>
      </c>
      <c r="U1577" s="7">
        <f>IF(COUNT(D1577:P1577)=0,"",INDEX($D$1:$P$1,MATCH(MIN(D1577:P1577),D1577:P1577,0)))</f>
        <v/>
      </c>
      <c r="V1577" s="8" t="n">
        <v>407</v>
      </c>
      <c r="W1577" s="10" t="n">
        <v>1</v>
      </c>
    </row>
    <row r="1578">
      <c r="A1578" s="7" t="inlineStr">
        <is>
          <t>MAT-32-227</t>
        </is>
      </c>
      <c r="B1578" s="4" t="inlineStr">
        <is>
          <t>Codo de bronce 12" x 1/2"</t>
        </is>
      </c>
      <c r="C1578" s="7" t="inlineStr">
        <is>
          <t>unidad</t>
        </is>
      </c>
      <c r="D1578" s="8" t="n"/>
      <c r="E1578" s="8" t="n">
        <v>279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>
        <f>IF(COUNT(D1578:P1578)=0,"",MIN(D1578:P1578))</f>
        <v/>
      </c>
      <c r="R1578" s="8">
        <f>IF(COUNT(D1578:P1578)=0,"",MEDIAN(D1578:P1578))</f>
        <v/>
      </c>
      <c r="S1578" s="8">
        <f>IF(COUNT(D1578:P1578)=0,"",MAX(D1578:P1578))</f>
        <v/>
      </c>
      <c r="T1578" s="9">
        <f>IF(OR(Q1578="",Q1578=0),"",(S1578-Q1578)/Q1578)</f>
        <v/>
      </c>
      <c r="U1578" s="7">
        <f>IF(COUNT(D1578:P1578)=0,"",INDEX($D$1:$P$1,MATCH(MIN(D1578:P1578),D1578:P1578,0)))</f>
        <v/>
      </c>
      <c r="V1578" s="8" t="n">
        <v>287</v>
      </c>
      <c r="W1578" s="10" t="n">
        <v>1</v>
      </c>
    </row>
    <row r="1579">
      <c r="A1579" s="7" t="inlineStr">
        <is>
          <t>MAT-32-228</t>
        </is>
      </c>
      <c r="B1579" s="4" t="inlineStr">
        <is>
          <t>Codo de bronce 15"</t>
        </is>
      </c>
      <c r="C1579" s="7" t="inlineStr">
        <is>
          <t>unidad</t>
        </is>
      </c>
      <c r="D1579" s="8" t="n"/>
      <c r="E1579" s="8" t="n">
        <v>422</v>
      </c>
      <c r="F1579" s="8" t="n"/>
      <c r="G1579" s="8" t="n"/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>
        <f>IF(COUNT(D1579:P1579)=0,"",MIN(D1579:P1579))</f>
        <v/>
      </c>
      <c r="R1579" s="8">
        <f>IF(COUNT(D1579:P1579)=0,"",MEDIAN(D1579:P1579))</f>
        <v/>
      </c>
      <c r="S1579" s="8">
        <f>IF(COUNT(D1579:P1579)=0,"",MAX(D1579:P1579))</f>
        <v/>
      </c>
      <c r="T1579" s="9">
        <f>IF(OR(Q1579="",Q1579=0),"",(S1579-Q1579)/Q1579)</f>
        <v/>
      </c>
      <c r="U1579" s="7">
        <f>IF(COUNT(D1579:P1579)=0,"",INDEX($D$1:$P$1,MATCH(MIN(D1579:P1579),D1579:P1579,0)))</f>
        <v/>
      </c>
      <c r="V1579" s="8" t="n">
        <v>432</v>
      </c>
      <c r="W1579" s="10" t="n">
        <v>1</v>
      </c>
    </row>
    <row r="1580">
      <c r="A1580" s="7" t="inlineStr">
        <is>
          <t>MAT-32-229</t>
        </is>
      </c>
      <c r="B1580" s="4" t="inlineStr">
        <is>
          <t>Codo de bronce 15" x 1/2"</t>
        </is>
      </c>
      <c r="C1580" s="7" t="inlineStr">
        <is>
          <t>unidad</t>
        </is>
      </c>
      <c r="D1580" s="8" t="n"/>
      <c r="E1580" s="8" t="n">
        <v>269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>
        <f>IF(COUNT(D1580:P1580)=0,"",MIN(D1580:P1580))</f>
        <v/>
      </c>
      <c r="R1580" s="8">
        <f>IF(COUNT(D1580:P1580)=0,"",MEDIAN(D1580:P1580))</f>
        <v/>
      </c>
      <c r="S1580" s="8">
        <f>IF(COUNT(D1580:P1580)=0,"",MAX(D1580:P1580))</f>
        <v/>
      </c>
      <c r="T1580" s="9">
        <f>IF(OR(Q1580="",Q1580=0),"",(S1580-Q1580)/Q1580)</f>
        <v/>
      </c>
      <c r="U1580" s="7">
        <f>IF(COUNT(D1580:P1580)=0,"",INDEX($D$1:$P$1,MATCH(MIN(D1580:P1580),D1580:P1580,0)))</f>
        <v/>
      </c>
      <c r="V1580" s="8" t="n">
        <v>294.5</v>
      </c>
      <c r="W1580" s="10" t="n">
        <v>1</v>
      </c>
    </row>
    <row r="1581">
      <c r="A1581" s="7" t="inlineStr">
        <is>
          <t>MAT-32-230</t>
        </is>
      </c>
      <c r="B1581" s="4" t="inlineStr">
        <is>
          <t>Codo de bronce 15" x 3/4"</t>
        </is>
      </c>
      <c r="C1581" s="7" t="inlineStr">
        <is>
          <t>unidad</t>
        </is>
      </c>
      <c r="D1581" s="8" t="n"/>
      <c r="E1581" s="8" t="n">
        <v>430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>
        <f>IF(COUNT(D1581:P1581)=0,"",MIN(D1581:P1581))</f>
        <v/>
      </c>
      <c r="R1581" s="8">
        <f>IF(COUNT(D1581:P1581)=0,"",MEDIAN(D1581:P1581))</f>
        <v/>
      </c>
      <c r="S1581" s="8">
        <f>IF(COUNT(D1581:P1581)=0,"",MAX(D1581:P1581))</f>
        <v/>
      </c>
      <c r="T1581" s="9">
        <f>IF(OR(Q1581="",Q1581=0),"",(S1581-Q1581)/Q1581)</f>
        <v/>
      </c>
      <c r="U1581" s="7">
        <f>IF(COUNT(D1581:P1581)=0,"",INDEX($D$1:$P$1,MATCH(MIN(D1581:P1581),D1581:P1581,0)))</f>
        <v/>
      </c>
      <c r="V1581" s="8" t="n">
        <v>430</v>
      </c>
      <c r="W1581" s="10" t="n">
        <v>1</v>
      </c>
    </row>
    <row r="1582">
      <c r="A1582" s="7" t="inlineStr">
        <is>
          <t>MAT-32-231</t>
        </is>
      </c>
      <c r="B1582" s="4" t="inlineStr">
        <is>
          <t>Codo de bronce 18"</t>
        </is>
      </c>
      <c r="C1582" s="7" t="inlineStr">
        <is>
          <t>unidad</t>
        </is>
      </c>
      <c r="D1582" s="8" t="n"/>
      <c r="E1582" s="8" t="n">
        <v>592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>
        <f>IF(COUNT(D1582:P1582)=0,"",MIN(D1582:P1582))</f>
        <v/>
      </c>
      <c r="R1582" s="8">
        <f>IF(COUNT(D1582:P1582)=0,"",MEDIAN(D1582:P1582))</f>
        <v/>
      </c>
      <c r="S1582" s="8">
        <f>IF(COUNT(D1582:P1582)=0,"",MAX(D1582:P1582))</f>
        <v/>
      </c>
      <c r="T1582" s="9">
        <f>IF(OR(Q1582="",Q1582=0),"",(S1582-Q1582)/Q1582)</f>
        <v/>
      </c>
      <c r="U1582" s="7">
        <f>IF(COUNT(D1582:P1582)=0,"",INDEX($D$1:$P$1,MATCH(MIN(D1582:P1582),D1582:P1582,0)))</f>
        <v/>
      </c>
      <c r="V1582" s="8" t="n">
        <v>592</v>
      </c>
      <c r="W1582" s="10" t="n">
        <v>1</v>
      </c>
    </row>
    <row r="1583">
      <c r="A1583" s="7" t="inlineStr">
        <is>
          <t>MAT-32-232</t>
        </is>
      </c>
      <c r="B1583" s="4" t="inlineStr">
        <is>
          <t>Codo de bronce 18" x 1/2"</t>
        </is>
      </c>
      <c r="C1583" s="7" t="inlineStr">
        <is>
          <t>unidad</t>
        </is>
      </c>
      <c r="D1583" s="8" t="n"/>
      <c r="E1583" s="8" t="n">
        <v>370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>
        <f>IF(COUNT(D1583:P1583)=0,"",MIN(D1583:P1583))</f>
        <v/>
      </c>
      <c r="R1583" s="8">
        <f>IF(COUNT(D1583:P1583)=0,"",MEDIAN(D1583:P1583))</f>
        <v/>
      </c>
      <c r="S1583" s="8">
        <f>IF(COUNT(D1583:P1583)=0,"",MAX(D1583:P1583))</f>
        <v/>
      </c>
      <c r="T1583" s="9">
        <f>IF(OR(Q1583="",Q1583=0),"",(S1583-Q1583)/Q1583)</f>
        <v/>
      </c>
      <c r="U1583" s="7">
        <f>IF(COUNT(D1583:P1583)=0,"",INDEX($D$1:$P$1,MATCH(MIN(D1583:P1583),D1583:P1583,0)))</f>
        <v/>
      </c>
      <c r="V1583" s="8" t="n">
        <v>421</v>
      </c>
      <c r="W1583" s="10" t="n">
        <v>1</v>
      </c>
    </row>
    <row r="1584">
      <c r="A1584" s="7" t="inlineStr">
        <is>
          <t>MAT-32-233</t>
        </is>
      </c>
      <c r="B1584" s="4" t="inlineStr">
        <is>
          <t>Codo de bronce 18" x 3/4"</t>
        </is>
      </c>
      <c r="C1584" s="7" t="inlineStr">
        <is>
          <t>unidad</t>
        </is>
      </c>
      <c r="D1584" s="8" t="n"/>
      <c r="E1584" s="8" t="n">
        <v>415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>
        <f>IF(COUNT(D1584:P1584)=0,"",MIN(D1584:P1584))</f>
        <v/>
      </c>
      <c r="R1584" s="8">
        <f>IF(COUNT(D1584:P1584)=0,"",MEDIAN(D1584:P1584))</f>
        <v/>
      </c>
      <c r="S1584" s="8">
        <f>IF(COUNT(D1584:P1584)=0,"",MAX(D1584:P1584))</f>
        <v/>
      </c>
      <c r="T1584" s="9">
        <f>IF(OR(Q1584="",Q1584=0),"",(S1584-Q1584)/Q1584)</f>
        <v/>
      </c>
      <c r="U1584" s="7">
        <f>IF(COUNT(D1584:P1584)=0,"",INDEX($D$1:$P$1,MATCH(MIN(D1584:P1584),D1584:P1584,0)))</f>
        <v/>
      </c>
      <c r="V1584" s="8" t="n">
        <v>499</v>
      </c>
      <c r="W1584" s="10" t="n">
        <v>1</v>
      </c>
    </row>
    <row r="1585">
      <c r="A1585" s="7" t="inlineStr">
        <is>
          <t>MAT-32-234</t>
        </is>
      </c>
      <c r="B1585" s="4" t="inlineStr">
        <is>
          <t>Codo de bronce 25 mm</t>
        </is>
      </c>
      <c r="C1585" s="7" t="inlineStr">
        <is>
          <t>unidad</t>
        </is>
      </c>
      <c r="D1585" s="8" t="n"/>
      <c r="E1585" s="8" t="n">
        <v>724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>
        <f>IF(COUNT(D1585:P1585)=0,"",MIN(D1585:P1585))</f>
        <v/>
      </c>
      <c r="R1585" s="8">
        <f>IF(COUNT(D1585:P1585)=0,"",MEDIAN(D1585:P1585))</f>
        <v/>
      </c>
      <c r="S1585" s="8">
        <f>IF(COUNT(D1585:P1585)=0,"",MAX(D1585:P1585))</f>
        <v/>
      </c>
      <c r="T1585" s="9">
        <f>IF(OR(Q1585="",Q1585=0),"",(S1585-Q1585)/Q1585)</f>
        <v/>
      </c>
      <c r="U1585" s="7">
        <f>IF(COUNT(D1585:P1585)=0,"",INDEX($D$1:$P$1,MATCH(MIN(D1585:P1585),D1585:P1585,0)))</f>
        <v/>
      </c>
      <c r="V1585" s="8" t="n">
        <v>724</v>
      </c>
      <c r="W1585" s="10" t="n">
        <v>1</v>
      </c>
    </row>
    <row r="1586">
      <c r="A1586" s="7" t="inlineStr">
        <is>
          <t>MAT-32-235</t>
        </is>
      </c>
      <c r="B1586" s="4" t="inlineStr">
        <is>
          <t>Codo de bronce 25"</t>
        </is>
      </c>
      <c r="C1586" s="7" t="inlineStr">
        <is>
          <t>unidad</t>
        </is>
      </c>
      <c r="D1586" s="8" t="n"/>
      <c r="E1586" s="8" t="n">
        <v>500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>
        <f>IF(COUNT(D1586:P1586)=0,"",MIN(D1586:P1586))</f>
        <v/>
      </c>
      <c r="R1586" s="8">
        <f>IF(COUNT(D1586:P1586)=0,"",MEDIAN(D1586:P1586))</f>
        <v/>
      </c>
      <c r="S1586" s="8">
        <f>IF(COUNT(D1586:P1586)=0,"",MAX(D1586:P1586))</f>
        <v/>
      </c>
      <c r="T1586" s="9">
        <f>IF(OR(Q1586="",Q1586=0),"",(S1586-Q1586)/Q1586)</f>
        <v/>
      </c>
      <c r="U1586" s="7">
        <f>IF(COUNT(D1586:P1586)=0,"",INDEX($D$1:$P$1,MATCH(MIN(D1586:P1586),D1586:P1586,0)))</f>
        <v/>
      </c>
      <c r="V1586" s="8" t="n">
        <v>500</v>
      </c>
      <c r="W1586" s="10" t="n">
        <v>1</v>
      </c>
    </row>
    <row r="1587">
      <c r="A1587" s="7" t="inlineStr">
        <is>
          <t>MAT-32-236</t>
        </is>
      </c>
      <c r="B1587" s="4" t="inlineStr">
        <is>
          <t>Codo de bronce 3/8"</t>
        </is>
      </c>
      <c r="C1587" s="7" t="inlineStr">
        <is>
          <t>unidad</t>
        </is>
      </c>
      <c r="D1587" s="8" t="n"/>
      <c r="E1587" s="8" t="n">
        <v>99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>
        <f>IF(COUNT(D1587:P1587)=0,"",MIN(D1587:P1587))</f>
        <v/>
      </c>
      <c r="R1587" s="8">
        <f>IF(COUNT(D1587:P1587)=0,"",MEDIAN(D1587:P1587))</f>
        <v/>
      </c>
      <c r="S1587" s="8">
        <f>IF(COUNT(D1587:P1587)=0,"",MAX(D1587:P1587))</f>
        <v/>
      </c>
      <c r="T1587" s="9">
        <f>IF(OR(Q1587="",Q1587=0),"",(S1587-Q1587)/Q1587)</f>
        <v/>
      </c>
      <c r="U1587" s="7">
        <f>IF(COUNT(D1587:P1587)=0,"",INDEX($D$1:$P$1,MATCH(MIN(D1587:P1587),D1587:P1587,0)))</f>
        <v/>
      </c>
      <c r="V1587" s="8" t="n">
        <v>147</v>
      </c>
      <c r="W1587" s="10" t="n">
        <v>1</v>
      </c>
    </row>
    <row r="1588">
      <c r="A1588" s="7" t="inlineStr">
        <is>
          <t>MAT-32-237</t>
        </is>
      </c>
      <c r="B1588" s="4" t="inlineStr">
        <is>
          <t>Codo de bronce 32 mm</t>
        </is>
      </c>
      <c r="C1588" s="7" t="inlineStr">
        <is>
          <t>unidad</t>
        </is>
      </c>
      <c r="D1588" s="8" t="n"/>
      <c r="E1588" s="8" t="n">
        <v>1429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>
        <f>IF(COUNT(D1588:P1588)=0,"",MIN(D1588:P1588))</f>
        <v/>
      </c>
      <c r="R1588" s="8">
        <f>IF(COUNT(D1588:P1588)=0,"",MEDIAN(D1588:P1588))</f>
        <v/>
      </c>
      <c r="S1588" s="8">
        <f>IF(COUNT(D1588:P1588)=0,"",MAX(D1588:P1588))</f>
        <v/>
      </c>
      <c r="T1588" s="9">
        <f>IF(OR(Q1588="",Q1588=0),"",(S1588-Q1588)/Q1588)</f>
        <v/>
      </c>
      <c r="U1588" s="7">
        <f>IF(COUNT(D1588:P1588)=0,"",INDEX($D$1:$P$1,MATCH(MIN(D1588:P1588),D1588:P1588,0)))</f>
        <v/>
      </c>
      <c r="V1588" s="8" t="n">
        <v>1429</v>
      </c>
      <c r="W1588" s="10" t="n">
        <v>1</v>
      </c>
    </row>
    <row r="1589">
      <c r="A1589" s="7" t="inlineStr">
        <is>
          <t>MAT-32-238</t>
        </is>
      </c>
      <c r="B1589" s="4" t="inlineStr">
        <is>
          <t>Codo de bronce 32"</t>
        </is>
      </c>
      <c r="C1589" s="7" t="inlineStr">
        <is>
          <t>unidad</t>
        </is>
      </c>
      <c r="D1589" s="8" t="n"/>
      <c r="E1589" s="8" t="n">
        <v>882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>
        <f>IF(COUNT(D1589:P1589)=0,"",MIN(D1589:P1589))</f>
        <v/>
      </c>
      <c r="R1589" s="8">
        <f>IF(COUNT(D1589:P1589)=0,"",MEDIAN(D1589:P1589))</f>
        <v/>
      </c>
      <c r="S1589" s="8">
        <f>IF(COUNT(D1589:P1589)=0,"",MAX(D1589:P1589))</f>
        <v/>
      </c>
      <c r="T1589" s="9">
        <f>IF(OR(Q1589="",Q1589=0),"",(S1589-Q1589)/Q1589)</f>
        <v/>
      </c>
      <c r="U1589" s="7">
        <f>IF(COUNT(D1589:P1589)=0,"",INDEX($D$1:$P$1,MATCH(MIN(D1589:P1589),D1589:P1589,0)))</f>
        <v/>
      </c>
      <c r="V1589" s="8" t="n">
        <v>882</v>
      </c>
      <c r="W1589" s="10" t="n">
        <v>1</v>
      </c>
    </row>
    <row r="1590">
      <c r="A1590" s="7" t="inlineStr">
        <is>
          <t>MAT-32-239</t>
        </is>
      </c>
      <c r="B1590" s="4" t="inlineStr">
        <is>
          <t>Codo de HG 1 1/2"</t>
        </is>
      </c>
      <c r="C1590" s="7" t="inlineStr">
        <is>
          <t>unidad</t>
        </is>
      </c>
      <c r="D1590" s="8" t="n"/>
      <c r="E1590" s="8" t="n">
        <v>134</v>
      </c>
      <c r="F1590" s="8" t="n"/>
      <c r="G1590" s="8" t="n">
        <v>234</v>
      </c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>
        <f>IF(COUNT(D1590:P1590)=0,"",MIN(D1590:P1590))</f>
        <v/>
      </c>
      <c r="R1590" s="8">
        <f>IF(COUNT(D1590:P1590)=0,"",MEDIAN(D1590:P1590))</f>
        <v/>
      </c>
      <c r="S1590" s="8">
        <f>IF(COUNT(D1590:P1590)=0,"",MAX(D1590:P1590))</f>
        <v/>
      </c>
      <c r="T1590" s="9">
        <f>IF(OR(Q1590="",Q1590=0),"",(S1590-Q1590)/Q1590)</f>
        <v/>
      </c>
      <c r="U1590" s="7">
        <f>IF(COUNT(D1590:P1590)=0,"",INDEX($D$1:$P$1,MATCH(MIN(D1590:P1590),D1590:P1590,0)))</f>
        <v/>
      </c>
      <c r="V1590" s="8" t="n">
        <v>184</v>
      </c>
      <c r="W1590" s="10" t="n">
        <v>2</v>
      </c>
    </row>
    <row r="1591">
      <c r="A1591" s="7" t="inlineStr">
        <is>
          <t>MAT-32-240</t>
        </is>
      </c>
      <c r="B1591" s="4" t="inlineStr">
        <is>
          <t>Codo de HG 1 1/4"</t>
        </is>
      </c>
      <c r="C1591" s="7" t="inlineStr">
        <is>
          <t>unidad</t>
        </is>
      </c>
      <c r="D1591" s="8" t="n"/>
      <c r="E1591" s="8" t="n"/>
      <c r="F1591" s="8" t="n"/>
      <c r="G1591" s="8" t="n">
        <v>130</v>
      </c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>
        <f>IF(COUNT(D1591:P1591)=0,"",MIN(D1591:P1591))</f>
        <v/>
      </c>
      <c r="R1591" s="8">
        <f>IF(COUNT(D1591:P1591)=0,"",MEDIAN(D1591:P1591))</f>
        <v/>
      </c>
      <c r="S1591" s="8">
        <f>IF(COUNT(D1591:P1591)=0,"",MAX(D1591:P1591))</f>
        <v/>
      </c>
      <c r="T1591" s="9">
        <f>IF(OR(Q1591="",Q1591=0),"",(S1591-Q1591)/Q1591)</f>
        <v/>
      </c>
      <c r="U1591" s="7">
        <f>IF(COUNT(D1591:P1591)=0,"",INDEX($D$1:$P$1,MATCH(MIN(D1591:P1591),D1591:P1591,0)))</f>
        <v/>
      </c>
      <c r="V1591" s="8" t="n">
        <v>130</v>
      </c>
      <c r="W1591" s="10" t="n">
        <v>1</v>
      </c>
    </row>
    <row r="1592">
      <c r="A1592" s="7" t="inlineStr">
        <is>
          <t>MAT-32-241</t>
        </is>
      </c>
      <c r="B1592" s="4" t="inlineStr">
        <is>
          <t>Codo de HG 1/2"</t>
        </is>
      </c>
      <c r="C1592" s="7" t="inlineStr">
        <is>
          <t>unidad</t>
        </is>
      </c>
      <c r="D1592" s="8" t="n"/>
      <c r="E1592" s="8" t="n">
        <v>26</v>
      </c>
      <c r="F1592" s="8" t="n"/>
      <c r="G1592" s="8" t="n">
        <v>30</v>
      </c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>
        <f>IF(COUNT(D1592:P1592)=0,"",MIN(D1592:P1592))</f>
        <v/>
      </c>
      <c r="R1592" s="8">
        <f>IF(COUNT(D1592:P1592)=0,"",MEDIAN(D1592:P1592))</f>
        <v/>
      </c>
      <c r="S1592" s="8">
        <f>IF(COUNT(D1592:P1592)=0,"",MAX(D1592:P1592))</f>
        <v/>
      </c>
      <c r="T1592" s="9">
        <f>IF(OR(Q1592="",Q1592=0),"",(S1592-Q1592)/Q1592)</f>
        <v/>
      </c>
      <c r="U1592" s="7">
        <f>IF(COUNT(D1592:P1592)=0,"",INDEX($D$1:$P$1,MATCH(MIN(D1592:P1592),D1592:P1592,0)))</f>
        <v/>
      </c>
      <c r="V1592" s="8" t="n">
        <v>28</v>
      </c>
      <c r="W1592" s="10" t="n">
        <v>2</v>
      </c>
    </row>
    <row r="1593">
      <c r="A1593" s="7" t="inlineStr">
        <is>
          <t>MAT-32-242</t>
        </is>
      </c>
      <c r="B1593" s="4" t="inlineStr">
        <is>
          <t>Codo de HG 1/4"</t>
        </is>
      </c>
      <c r="C1593" s="7" t="inlineStr">
        <is>
          <t>unidad</t>
        </is>
      </c>
      <c r="D1593" s="8" t="n"/>
      <c r="E1593" s="8" t="n"/>
      <c r="F1593" s="8" t="n"/>
      <c r="G1593" s="8" t="n">
        <v>75</v>
      </c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>
        <f>IF(COUNT(D1593:P1593)=0,"",MIN(D1593:P1593))</f>
        <v/>
      </c>
      <c r="R1593" s="8">
        <f>IF(COUNT(D1593:P1593)=0,"",MEDIAN(D1593:P1593))</f>
        <v/>
      </c>
      <c r="S1593" s="8">
        <f>IF(COUNT(D1593:P1593)=0,"",MAX(D1593:P1593))</f>
        <v/>
      </c>
      <c r="T1593" s="9">
        <f>IF(OR(Q1593="",Q1593=0),"",(S1593-Q1593)/Q1593)</f>
        <v/>
      </c>
      <c r="U1593" s="7">
        <f>IF(COUNT(D1593:P1593)=0,"",INDEX($D$1:$P$1,MATCH(MIN(D1593:P1593),D1593:P1593,0)))</f>
        <v/>
      </c>
      <c r="V1593" s="8" t="n">
        <v>75</v>
      </c>
      <c r="W1593" s="10" t="n">
        <v>1</v>
      </c>
    </row>
    <row r="1594">
      <c r="A1594" s="7" t="inlineStr">
        <is>
          <t>MAT-32-243</t>
        </is>
      </c>
      <c r="B1594" s="4" t="inlineStr">
        <is>
          <t>Codo de HG 1"</t>
        </is>
      </c>
      <c r="C1594" s="7" t="inlineStr">
        <is>
          <t>unidad</t>
        </is>
      </c>
      <c r="D1594" s="8" t="n"/>
      <c r="E1594" s="8" t="n"/>
      <c r="F1594" s="8" t="n"/>
      <c r="G1594" s="8" t="n">
        <v>65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>
        <f>IF(COUNT(D1594:P1594)=0,"",MIN(D1594:P1594))</f>
        <v/>
      </c>
      <c r="R1594" s="8">
        <f>IF(COUNT(D1594:P1594)=0,"",MEDIAN(D1594:P1594))</f>
        <v/>
      </c>
      <c r="S1594" s="8">
        <f>IF(COUNT(D1594:P1594)=0,"",MAX(D1594:P1594))</f>
        <v/>
      </c>
      <c r="T1594" s="9">
        <f>IF(OR(Q1594="",Q1594=0),"",(S1594-Q1594)/Q1594)</f>
        <v/>
      </c>
      <c r="U1594" s="7">
        <f>IF(COUNT(D1594:P1594)=0,"",INDEX($D$1:$P$1,MATCH(MIN(D1594:P1594),D1594:P1594,0)))</f>
        <v/>
      </c>
      <c r="V1594" s="8" t="n">
        <v>65</v>
      </c>
      <c r="W1594" s="10" t="n">
        <v>1</v>
      </c>
    </row>
    <row r="1595">
      <c r="A1595" s="7" t="inlineStr">
        <is>
          <t>MAT-32-244</t>
        </is>
      </c>
      <c r="B1595" s="4" t="inlineStr">
        <is>
          <t>Codo de HG 2"</t>
        </is>
      </c>
      <c r="C1595" s="7" t="inlineStr">
        <is>
          <t>unidad</t>
        </is>
      </c>
      <c r="D1595" s="8" t="n"/>
      <c r="E1595" s="8" t="n">
        <v>191</v>
      </c>
      <c r="F1595" s="8" t="n"/>
      <c r="G1595" s="8" t="n">
        <v>291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>
        <f>IF(COUNT(D1595:P1595)=0,"",MIN(D1595:P1595))</f>
        <v/>
      </c>
      <c r="R1595" s="8">
        <f>IF(COUNT(D1595:P1595)=0,"",MEDIAN(D1595:P1595))</f>
        <v/>
      </c>
      <c r="S1595" s="8">
        <f>IF(COUNT(D1595:P1595)=0,"",MAX(D1595:P1595))</f>
        <v/>
      </c>
      <c r="T1595" s="9">
        <f>IF(OR(Q1595="",Q1595=0),"",(S1595-Q1595)/Q1595)</f>
        <v/>
      </c>
      <c r="U1595" s="7">
        <f>IF(COUNT(D1595:P1595)=0,"",INDEX($D$1:$P$1,MATCH(MIN(D1595:P1595),D1595:P1595,0)))</f>
        <v/>
      </c>
      <c r="V1595" s="8" t="n">
        <v>241</v>
      </c>
      <c r="W1595" s="10" t="n">
        <v>2</v>
      </c>
    </row>
    <row r="1596">
      <c r="A1596" s="7" t="inlineStr">
        <is>
          <t>MAT-32-245</t>
        </is>
      </c>
      <c r="B1596" s="4" t="inlineStr">
        <is>
          <t>Codo de HG 3/4"</t>
        </is>
      </c>
      <c r="C1596" s="7" t="inlineStr">
        <is>
          <t>unidad</t>
        </is>
      </c>
      <c r="D1596" s="8" t="n"/>
      <c r="E1596" s="8" t="n"/>
      <c r="F1596" s="8" t="n"/>
      <c r="G1596" s="8" t="n">
        <v>51</v>
      </c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>
        <f>IF(COUNT(D1596:P1596)=0,"",MIN(D1596:P1596))</f>
        <v/>
      </c>
      <c r="R1596" s="8">
        <f>IF(COUNT(D1596:P1596)=0,"",MEDIAN(D1596:P1596))</f>
        <v/>
      </c>
      <c r="S1596" s="8">
        <f>IF(COUNT(D1596:P1596)=0,"",MAX(D1596:P1596))</f>
        <v/>
      </c>
      <c r="T1596" s="9">
        <f>IF(OR(Q1596="",Q1596=0),"",(S1596-Q1596)/Q1596)</f>
        <v/>
      </c>
      <c r="U1596" s="7">
        <f>IF(COUNT(D1596:P1596)=0,"",INDEX($D$1:$P$1,MATCH(MIN(D1596:P1596),D1596:P1596,0)))</f>
        <v/>
      </c>
      <c r="V1596" s="8" t="n">
        <v>51</v>
      </c>
      <c r="W1596" s="10" t="n">
        <v>1</v>
      </c>
    </row>
    <row r="1597">
      <c r="A1597" s="7" t="inlineStr">
        <is>
          <t>MAT-32-246</t>
        </is>
      </c>
      <c r="B1597" s="4" t="inlineStr">
        <is>
          <t>Codo de HG 3/8"</t>
        </is>
      </c>
      <c r="C1597" s="7" t="inlineStr">
        <is>
          <t>unidad</t>
        </is>
      </c>
      <c r="D1597" s="8" t="n"/>
      <c r="E1597" s="8" t="n"/>
      <c r="F1597" s="8" t="n"/>
      <c r="G1597" s="8" t="n">
        <v>50</v>
      </c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>
        <f>IF(COUNT(D1597:P1597)=0,"",MIN(D1597:P1597))</f>
        <v/>
      </c>
      <c r="R1597" s="8">
        <f>IF(COUNT(D1597:P1597)=0,"",MEDIAN(D1597:P1597))</f>
        <v/>
      </c>
      <c r="S1597" s="8">
        <f>IF(COUNT(D1597:P1597)=0,"",MAX(D1597:P1597))</f>
        <v/>
      </c>
      <c r="T1597" s="9">
        <f>IF(OR(Q1597="",Q1597=0),"",(S1597-Q1597)/Q1597)</f>
        <v/>
      </c>
      <c r="U1597" s="7">
        <f>IF(COUNT(D1597:P1597)=0,"",INDEX($D$1:$P$1,MATCH(MIN(D1597:P1597),D1597:P1597,0)))</f>
        <v/>
      </c>
      <c r="V1597" s="8" t="n">
        <v>50</v>
      </c>
      <c r="W1597" s="10" t="n">
        <v>1</v>
      </c>
    </row>
    <row r="1598">
      <c r="A1598" s="7" t="inlineStr">
        <is>
          <t>MAT-32-247</t>
        </is>
      </c>
      <c r="B1598" s="4" t="inlineStr">
        <is>
          <t>Codo de niquelado 1/2"</t>
        </is>
      </c>
      <c r="C1598" s="7" t="inlineStr">
        <is>
          <t>unidad</t>
        </is>
      </c>
      <c r="D1598" s="8" t="n"/>
      <c r="E1598" s="8" t="n"/>
      <c r="F1598" s="8" t="n"/>
      <c r="G1598" s="8" t="n">
        <v>363</v>
      </c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>
        <f>IF(COUNT(D1598:P1598)=0,"",MIN(D1598:P1598))</f>
        <v/>
      </c>
      <c r="R1598" s="8">
        <f>IF(COUNT(D1598:P1598)=0,"",MEDIAN(D1598:P1598))</f>
        <v/>
      </c>
      <c r="S1598" s="8">
        <f>IF(COUNT(D1598:P1598)=0,"",MAX(D1598:P1598))</f>
        <v/>
      </c>
      <c r="T1598" s="9">
        <f>IF(OR(Q1598="",Q1598=0),"",(S1598-Q1598)/Q1598)</f>
        <v/>
      </c>
      <c r="U1598" s="7">
        <f>IF(COUNT(D1598:P1598)=0,"",INDEX($D$1:$P$1,MATCH(MIN(D1598:P1598),D1598:P1598,0)))</f>
        <v/>
      </c>
      <c r="V1598" s="8" t="n">
        <v>363</v>
      </c>
      <c r="W1598" s="10" t="n">
        <v>1</v>
      </c>
    </row>
    <row r="1599">
      <c r="A1599" s="7" t="inlineStr">
        <is>
          <t>MAT-32-248</t>
        </is>
      </c>
      <c r="B1599" s="4" t="inlineStr">
        <is>
          <t>Codo de plástico 16 mm</t>
        </is>
      </c>
      <c r="C1599" s="7" t="inlineStr">
        <is>
          <t>unidad</t>
        </is>
      </c>
      <c r="D1599" s="8" t="n"/>
      <c r="E1599" s="8" t="n">
        <v>28.58</v>
      </c>
      <c r="F1599" s="8" t="n"/>
      <c r="G1599" s="8" t="n"/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>
        <f>IF(COUNT(D1599:P1599)=0,"",MIN(D1599:P1599))</f>
        <v/>
      </c>
      <c r="R1599" s="8">
        <f>IF(COUNT(D1599:P1599)=0,"",MEDIAN(D1599:P1599))</f>
        <v/>
      </c>
      <c r="S1599" s="8">
        <f>IF(COUNT(D1599:P1599)=0,"",MAX(D1599:P1599))</f>
        <v/>
      </c>
      <c r="T1599" s="9">
        <f>IF(OR(Q1599="",Q1599=0),"",(S1599-Q1599)/Q1599)</f>
        <v/>
      </c>
      <c r="U1599" s="7">
        <f>IF(COUNT(D1599:P1599)=0,"",INDEX($D$1:$P$1,MATCH(MIN(D1599:P1599),D1599:P1599,0)))</f>
        <v/>
      </c>
      <c r="V1599" s="8" t="n">
        <v>28.58</v>
      </c>
      <c r="W1599" s="10" t="n">
        <v>1</v>
      </c>
    </row>
    <row r="1600">
      <c r="A1600" s="7" t="inlineStr">
        <is>
          <t>MAT-32-249</t>
        </is>
      </c>
      <c r="B1600" s="4" t="inlineStr">
        <is>
          <t>Codo de PPR 20 mm</t>
        </is>
      </c>
      <c r="C1600" s="7" t="inlineStr">
        <is>
          <t>unidad</t>
        </is>
      </c>
      <c r="D1600" s="8" t="n"/>
      <c r="E1600" s="8" t="n">
        <v>8.59</v>
      </c>
      <c r="F1600" s="8" t="n"/>
      <c r="G1600" s="8" t="n"/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>
        <f>IF(COUNT(D1600:P1600)=0,"",MIN(D1600:P1600))</f>
        <v/>
      </c>
      <c r="R1600" s="8">
        <f>IF(COUNT(D1600:P1600)=0,"",MEDIAN(D1600:P1600))</f>
        <v/>
      </c>
      <c r="S1600" s="8">
        <f>IF(COUNT(D1600:P1600)=0,"",MAX(D1600:P1600))</f>
        <v/>
      </c>
      <c r="T1600" s="9">
        <f>IF(OR(Q1600="",Q1600=0),"",(S1600-Q1600)/Q1600)</f>
        <v/>
      </c>
      <c r="U1600" s="7">
        <f>IF(COUNT(D1600:P1600)=0,"",INDEX($D$1:$P$1,MATCH(MIN(D1600:P1600),D1600:P1600,0)))</f>
        <v/>
      </c>
      <c r="V1600" s="8" t="n">
        <v>65.56999999999999</v>
      </c>
      <c r="W1600" s="10" t="n">
        <v>1</v>
      </c>
    </row>
    <row r="1601">
      <c r="A1601" s="7" t="inlineStr">
        <is>
          <t>MAT-32-250</t>
        </is>
      </c>
      <c r="B1601" s="4" t="inlineStr">
        <is>
          <t>Codo de PPR 25 mm</t>
        </is>
      </c>
      <c r="C1601" s="7" t="inlineStr">
        <is>
          <t>unidad</t>
        </is>
      </c>
      <c r="D1601" s="8" t="n"/>
      <c r="E1601" s="8" t="n">
        <v>15.37</v>
      </c>
      <c r="F1601" s="8" t="n"/>
      <c r="G1601" s="8" t="n"/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>
        <f>IF(COUNT(D1601:P1601)=0,"",MIN(D1601:P1601))</f>
        <v/>
      </c>
      <c r="R1601" s="8">
        <f>IF(COUNT(D1601:P1601)=0,"",MEDIAN(D1601:P1601))</f>
        <v/>
      </c>
      <c r="S1601" s="8">
        <f>IF(COUNT(D1601:P1601)=0,"",MAX(D1601:P1601))</f>
        <v/>
      </c>
      <c r="T1601" s="9">
        <f>IF(OR(Q1601="",Q1601=0),"",(S1601-Q1601)/Q1601)</f>
        <v/>
      </c>
      <c r="U1601" s="7">
        <f>IF(COUNT(D1601:P1601)=0,"",INDEX($D$1:$P$1,MATCH(MIN(D1601:P1601),D1601:P1601,0)))</f>
        <v/>
      </c>
      <c r="V1601" s="8" t="n">
        <v>80</v>
      </c>
      <c r="W1601" s="10" t="n">
        <v>1</v>
      </c>
    </row>
    <row r="1602">
      <c r="A1602" s="7" t="inlineStr">
        <is>
          <t>MAT-32-251</t>
        </is>
      </c>
      <c r="B1602" s="4" t="inlineStr">
        <is>
          <t>Codo de PPR 32 mm</t>
        </is>
      </c>
      <c r="C1602" s="7" t="inlineStr">
        <is>
          <t>unidad</t>
        </is>
      </c>
      <c r="D1602" s="8" t="n"/>
      <c r="E1602" s="8" t="n">
        <v>87.15000000000001</v>
      </c>
      <c r="F1602" s="8" t="n"/>
      <c r="G1602" s="8" t="n"/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>
        <f>IF(COUNT(D1602:P1602)=0,"",MIN(D1602:P1602))</f>
        <v/>
      </c>
      <c r="R1602" s="8">
        <f>IF(COUNT(D1602:P1602)=0,"",MEDIAN(D1602:P1602))</f>
        <v/>
      </c>
      <c r="S1602" s="8">
        <f>IF(COUNT(D1602:P1602)=0,"",MAX(D1602:P1602))</f>
        <v/>
      </c>
      <c r="T1602" s="9">
        <f>IF(OR(Q1602="",Q1602=0),"",(S1602-Q1602)/Q1602)</f>
        <v/>
      </c>
      <c r="U1602" s="7">
        <f>IF(COUNT(D1602:P1602)=0,"",INDEX($D$1:$P$1,MATCH(MIN(D1602:P1602),D1602:P1602,0)))</f>
        <v/>
      </c>
      <c r="V1602" s="8" t="n">
        <v>92.89</v>
      </c>
      <c r="W1602" s="10" t="n">
        <v>1</v>
      </c>
    </row>
    <row r="1603">
      <c r="A1603" s="7" t="inlineStr">
        <is>
          <t>MAT-32-252</t>
        </is>
      </c>
      <c r="B1603" s="4" t="inlineStr">
        <is>
          <t>Codo de PVC 1" x 1"</t>
        </is>
      </c>
      <c r="C1603" s="7" t="inlineStr">
        <is>
          <t>unidad</t>
        </is>
      </c>
      <c r="D1603" s="8" t="n"/>
      <c r="E1603" s="8" t="n">
        <v>47.12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>
        <f>IF(COUNT(D1603:P1603)=0,"",MIN(D1603:P1603))</f>
        <v/>
      </c>
      <c r="R1603" s="8">
        <f>IF(COUNT(D1603:P1603)=0,"",MEDIAN(D1603:P1603))</f>
        <v/>
      </c>
      <c r="S1603" s="8">
        <f>IF(COUNT(D1603:P1603)=0,"",MAX(D1603:P1603))</f>
        <v/>
      </c>
      <c r="T1603" s="9">
        <f>IF(OR(Q1603="",Q1603=0),"",(S1603-Q1603)/Q1603)</f>
        <v/>
      </c>
      <c r="U1603" s="7">
        <f>IF(COUNT(D1603:P1603)=0,"",INDEX($D$1:$P$1,MATCH(MIN(D1603:P1603),D1603:P1603,0)))</f>
        <v/>
      </c>
      <c r="V1603" s="8" t="n">
        <v>47.12</v>
      </c>
      <c r="W1603" s="10" t="n">
        <v>1</v>
      </c>
    </row>
    <row r="1604">
      <c r="A1604" s="7" t="inlineStr">
        <is>
          <t>MAT-32-253</t>
        </is>
      </c>
      <c r="B1604" s="4" t="inlineStr">
        <is>
          <t>Codo de PVC 3/4"</t>
        </is>
      </c>
      <c r="C1604" s="7" t="inlineStr">
        <is>
          <t>unidad</t>
        </is>
      </c>
      <c r="D1604" s="8" t="n"/>
      <c r="E1604" s="8" t="n">
        <v>40</v>
      </c>
      <c r="F1604" s="8" t="n"/>
      <c r="G1604" s="8" t="n"/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>
        <f>IF(COUNT(D1604:P1604)=0,"",MIN(D1604:P1604))</f>
        <v/>
      </c>
      <c r="R1604" s="8">
        <f>IF(COUNT(D1604:P1604)=0,"",MEDIAN(D1604:P1604))</f>
        <v/>
      </c>
      <c r="S1604" s="8">
        <f>IF(COUNT(D1604:P1604)=0,"",MAX(D1604:P1604))</f>
        <v/>
      </c>
      <c r="T1604" s="9">
        <f>IF(OR(Q1604="",Q1604=0),"",(S1604-Q1604)/Q1604)</f>
        <v/>
      </c>
      <c r="U1604" s="7">
        <f>IF(COUNT(D1604:P1604)=0,"",INDEX($D$1:$P$1,MATCH(MIN(D1604:P1604),D1604:P1604,0)))</f>
        <v/>
      </c>
      <c r="V1604" s="8" t="n">
        <v>40</v>
      </c>
      <c r="W1604" s="10" t="n">
        <v>1</v>
      </c>
    </row>
    <row r="1605">
      <c r="A1605" s="7" t="inlineStr">
        <is>
          <t>MAT-32-254</t>
        </is>
      </c>
      <c r="B1605" s="4" t="inlineStr">
        <is>
          <t>Codo niple de bronce 3/8"</t>
        </is>
      </c>
      <c r="C1605" s="7" t="inlineStr">
        <is>
          <t>unidad</t>
        </is>
      </c>
      <c r="D1605" s="8" t="n"/>
      <c r="E1605" s="8" t="n"/>
      <c r="F1605" s="8" t="n"/>
      <c r="G1605" s="8" t="n">
        <v>179</v>
      </c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>
        <f>IF(COUNT(D1605:P1605)=0,"",MIN(D1605:P1605))</f>
        <v/>
      </c>
      <c r="R1605" s="8">
        <f>IF(COUNT(D1605:P1605)=0,"",MEDIAN(D1605:P1605))</f>
        <v/>
      </c>
      <c r="S1605" s="8">
        <f>IF(COUNT(D1605:P1605)=0,"",MAX(D1605:P1605))</f>
        <v/>
      </c>
      <c r="T1605" s="9">
        <f>IF(OR(Q1605="",Q1605=0),"",(S1605-Q1605)/Q1605)</f>
        <v/>
      </c>
      <c r="U1605" s="7">
        <f>IF(COUNT(D1605:P1605)=0,"",INDEX($D$1:$P$1,MATCH(MIN(D1605:P1605),D1605:P1605,0)))</f>
        <v/>
      </c>
      <c r="V1605" s="8" t="n">
        <v>179</v>
      </c>
      <c r="W1605" s="10" t="n">
        <v>1</v>
      </c>
    </row>
    <row r="1606">
      <c r="A1606" s="7" t="inlineStr">
        <is>
          <t>MAT-32-255</t>
        </is>
      </c>
      <c r="B1606" s="4" t="inlineStr">
        <is>
          <t>Codo niple de HG 1 1/2"</t>
        </is>
      </c>
      <c r="C1606" s="7" t="inlineStr">
        <is>
          <t>unidad</t>
        </is>
      </c>
      <c r="D1606" s="8" t="n"/>
      <c r="E1606" s="8" t="n"/>
      <c r="F1606" s="8" t="n"/>
      <c r="G1606" s="8" t="n">
        <v>215</v>
      </c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>
        <f>IF(COUNT(D1606:P1606)=0,"",MIN(D1606:P1606))</f>
        <v/>
      </c>
      <c r="R1606" s="8">
        <f>IF(COUNT(D1606:P1606)=0,"",MEDIAN(D1606:P1606))</f>
        <v/>
      </c>
      <c r="S1606" s="8">
        <f>IF(COUNT(D1606:P1606)=0,"",MAX(D1606:P1606))</f>
        <v/>
      </c>
      <c r="T1606" s="9">
        <f>IF(OR(Q1606="",Q1606=0),"",(S1606-Q1606)/Q1606)</f>
        <v/>
      </c>
      <c r="U1606" s="7">
        <f>IF(COUNT(D1606:P1606)=0,"",INDEX($D$1:$P$1,MATCH(MIN(D1606:P1606),D1606:P1606,0)))</f>
        <v/>
      </c>
      <c r="V1606" s="8" t="n">
        <v>215</v>
      </c>
      <c r="W1606" s="10" t="n">
        <v>1</v>
      </c>
    </row>
    <row r="1607">
      <c r="A1607" s="7" t="inlineStr">
        <is>
          <t>MAT-32-256</t>
        </is>
      </c>
      <c r="B1607" s="4" t="inlineStr">
        <is>
          <t>Codo niple de HG 1 1/4"</t>
        </is>
      </c>
      <c r="C1607" s="7" t="inlineStr">
        <is>
          <t>unidad</t>
        </is>
      </c>
      <c r="D1607" s="8" t="n"/>
      <c r="E1607" s="8" t="n"/>
      <c r="F1607" s="8" t="n"/>
      <c r="G1607" s="8" t="n">
        <v>160</v>
      </c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>
        <f>IF(COUNT(D1607:P1607)=0,"",MIN(D1607:P1607))</f>
        <v/>
      </c>
      <c r="R1607" s="8">
        <f>IF(COUNT(D1607:P1607)=0,"",MEDIAN(D1607:P1607))</f>
        <v/>
      </c>
      <c r="S1607" s="8">
        <f>IF(COUNT(D1607:P1607)=0,"",MAX(D1607:P1607))</f>
        <v/>
      </c>
      <c r="T1607" s="9">
        <f>IF(OR(Q1607="",Q1607=0),"",(S1607-Q1607)/Q1607)</f>
        <v/>
      </c>
      <c r="U1607" s="7">
        <f>IF(COUNT(D1607:P1607)=0,"",INDEX($D$1:$P$1,MATCH(MIN(D1607:P1607),D1607:P1607,0)))</f>
        <v/>
      </c>
      <c r="V1607" s="8" t="n">
        <v>160</v>
      </c>
      <c r="W1607" s="10" t="n">
        <v>1</v>
      </c>
    </row>
    <row r="1608">
      <c r="A1608" s="7" t="inlineStr">
        <is>
          <t>MAT-32-257</t>
        </is>
      </c>
      <c r="B1608" s="4" t="inlineStr">
        <is>
          <t>Codo niple de HG 1/2"</t>
        </is>
      </c>
      <c r="C1608" s="7" t="inlineStr">
        <is>
          <t>unidad</t>
        </is>
      </c>
      <c r="D1608" s="8" t="n"/>
      <c r="E1608" s="8" t="n"/>
      <c r="F1608" s="8" t="n"/>
      <c r="G1608" s="8" t="n">
        <v>45</v>
      </c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>
        <f>IF(COUNT(D1608:P1608)=0,"",MIN(D1608:P1608))</f>
        <v/>
      </c>
      <c r="R1608" s="8">
        <f>IF(COUNT(D1608:P1608)=0,"",MEDIAN(D1608:P1608))</f>
        <v/>
      </c>
      <c r="S1608" s="8">
        <f>IF(COUNT(D1608:P1608)=0,"",MAX(D1608:P1608))</f>
        <v/>
      </c>
      <c r="T1608" s="9">
        <f>IF(OR(Q1608="",Q1608=0),"",(S1608-Q1608)/Q1608)</f>
        <v/>
      </c>
      <c r="U1608" s="7">
        <f>IF(COUNT(D1608:P1608)=0,"",INDEX($D$1:$P$1,MATCH(MIN(D1608:P1608),D1608:P1608,0)))</f>
        <v/>
      </c>
      <c r="V1608" s="8" t="n">
        <v>45</v>
      </c>
      <c r="W1608" s="10" t="n">
        <v>1</v>
      </c>
    </row>
    <row r="1609">
      <c r="A1609" s="7" t="inlineStr">
        <is>
          <t>MAT-32-258</t>
        </is>
      </c>
      <c r="B1609" s="4" t="inlineStr">
        <is>
          <t>Codo niple de HG 1/4"</t>
        </is>
      </c>
      <c r="C1609" s="7" t="inlineStr">
        <is>
          <t>unidad</t>
        </is>
      </c>
      <c r="D1609" s="8" t="n"/>
      <c r="E1609" s="8" t="n"/>
      <c r="F1609" s="8" t="n"/>
      <c r="G1609" s="8" t="n">
        <v>39</v>
      </c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>
        <f>IF(COUNT(D1609:P1609)=0,"",MIN(D1609:P1609))</f>
        <v/>
      </c>
      <c r="R1609" s="8">
        <f>IF(COUNT(D1609:P1609)=0,"",MEDIAN(D1609:P1609))</f>
        <v/>
      </c>
      <c r="S1609" s="8">
        <f>IF(COUNT(D1609:P1609)=0,"",MAX(D1609:P1609))</f>
        <v/>
      </c>
      <c r="T1609" s="9">
        <f>IF(OR(Q1609="",Q1609=0),"",(S1609-Q1609)/Q1609)</f>
        <v/>
      </c>
      <c r="U1609" s="7">
        <f>IF(COUNT(D1609:P1609)=0,"",INDEX($D$1:$P$1,MATCH(MIN(D1609:P1609),D1609:P1609,0)))</f>
        <v/>
      </c>
      <c r="V1609" s="8" t="n">
        <v>39</v>
      </c>
      <c r="W1609" s="10" t="n">
        <v>1</v>
      </c>
    </row>
    <row r="1610">
      <c r="A1610" s="7" t="inlineStr">
        <is>
          <t>MAT-32-259</t>
        </is>
      </c>
      <c r="B1610" s="4" t="inlineStr">
        <is>
          <t>Codo niple de HG 1"</t>
        </is>
      </c>
      <c r="C1610" s="7" t="inlineStr">
        <is>
          <t>unidad</t>
        </is>
      </c>
      <c r="D1610" s="8" t="n"/>
      <c r="E1610" s="8" t="n"/>
      <c r="F1610" s="8" t="n"/>
      <c r="G1610" s="8" t="n">
        <v>149</v>
      </c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>
        <f>IF(COUNT(D1610:P1610)=0,"",MIN(D1610:P1610))</f>
        <v/>
      </c>
      <c r="R1610" s="8">
        <f>IF(COUNT(D1610:P1610)=0,"",MEDIAN(D1610:P1610))</f>
        <v/>
      </c>
      <c r="S1610" s="8">
        <f>IF(COUNT(D1610:P1610)=0,"",MAX(D1610:P1610))</f>
        <v/>
      </c>
      <c r="T1610" s="9">
        <f>IF(OR(Q1610="",Q1610=0),"",(S1610-Q1610)/Q1610)</f>
        <v/>
      </c>
      <c r="U1610" s="7">
        <f>IF(COUNT(D1610:P1610)=0,"",INDEX($D$1:$P$1,MATCH(MIN(D1610:P1610),D1610:P1610,0)))</f>
        <v/>
      </c>
      <c r="V1610" s="8" t="n">
        <v>149</v>
      </c>
      <c r="W1610" s="10" t="n">
        <v>1</v>
      </c>
    </row>
    <row r="1611">
      <c r="A1611" s="7" t="inlineStr">
        <is>
          <t>MAT-32-260</t>
        </is>
      </c>
      <c r="B1611" s="4" t="inlineStr">
        <is>
          <t>Codo niple de HG 2"</t>
        </is>
      </c>
      <c r="C1611" s="7" t="inlineStr">
        <is>
          <t>unidad</t>
        </is>
      </c>
      <c r="D1611" s="8" t="n"/>
      <c r="E1611" s="8" t="n"/>
      <c r="F1611" s="8" t="n"/>
      <c r="G1611" s="8" t="n">
        <v>266</v>
      </c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>
        <f>IF(COUNT(D1611:P1611)=0,"",MIN(D1611:P1611))</f>
        <v/>
      </c>
      <c r="R1611" s="8">
        <f>IF(COUNT(D1611:P1611)=0,"",MEDIAN(D1611:P1611))</f>
        <v/>
      </c>
      <c r="S1611" s="8">
        <f>IF(COUNT(D1611:P1611)=0,"",MAX(D1611:P1611))</f>
        <v/>
      </c>
      <c r="T1611" s="9">
        <f>IF(OR(Q1611="",Q1611=0),"",(S1611-Q1611)/Q1611)</f>
        <v/>
      </c>
      <c r="U1611" s="7">
        <f>IF(COUNT(D1611:P1611)=0,"",INDEX($D$1:$P$1,MATCH(MIN(D1611:P1611),D1611:P1611,0)))</f>
        <v/>
      </c>
      <c r="V1611" s="8" t="n">
        <v>266</v>
      </c>
      <c r="W1611" s="10" t="n">
        <v>1</v>
      </c>
    </row>
    <row r="1612">
      <c r="A1612" s="7" t="inlineStr">
        <is>
          <t>MAT-32-261</t>
        </is>
      </c>
      <c r="B1612" s="4" t="inlineStr">
        <is>
          <t>Codo niple de HG 3/4"</t>
        </is>
      </c>
      <c r="C1612" s="7" t="inlineStr">
        <is>
          <t>unidad</t>
        </is>
      </c>
      <c r="D1612" s="8" t="n"/>
      <c r="E1612" s="8" t="n"/>
      <c r="F1612" s="8" t="n"/>
      <c r="G1612" s="8" t="n">
        <v>92</v>
      </c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>
        <f>IF(COUNT(D1612:P1612)=0,"",MIN(D1612:P1612))</f>
        <v/>
      </c>
      <c r="R1612" s="8">
        <f>IF(COUNT(D1612:P1612)=0,"",MEDIAN(D1612:P1612))</f>
        <v/>
      </c>
      <c r="S1612" s="8">
        <f>IF(COUNT(D1612:P1612)=0,"",MAX(D1612:P1612))</f>
        <v/>
      </c>
      <c r="T1612" s="9">
        <f>IF(OR(Q1612="",Q1612=0),"",(S1612-Q1612)/Q1612)</f>
        <v/>
      </c>
      <c r="U1612" s="7">
        <f>IF(COUNT(D1612:P1612)=0,"",INDEX($D$1:$P$1,MATCH(MIN(D1612:P1612),D1612:P1612,0)))</f>
        <v/>
      </c>
      <c r="V1612" s="8" t="n">
        <v>92</v>
      </c>
      <c r="W1612" s="10" t="n">
        <v>1</v>
      </c>
    </row>
    <row r="1613">
      <c r="A1613" s="7" t="inlineStr">
        <is>
          <t>MAT-32-262</t>
        </is>
      </c>
      <c r="B1613" s="4" t="inlineStr">
        <is>
          <t>Codo niple de niquelado 1/2"</t>
        </is>
      </c>
      <c r="C1613" s="7" t="inlineStr">
        <is>
          <t>unidad</t>
        </is>
      </c>
      <c r="D1613" s="8" t="n"/>
      <c r="E1613" s="8" t="n"/>
      <c r="F1613" s="8" t="n"/>
      <c r="G1613" s="8" t="n">
        <v>333</v>
      </c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>
        <f>IF(COUNT(D1613:P1613)=0,"",MIN(D1613:P1613))</f>
        <v/>
      </c>
      <c r="R1613" s="8">
        <f>IF(COUNT(D1613:P1613)=0,"",MEDIAN(D1613:P1613))</f>
        <v/>
      </c>
      <c r="S1613" s="8">
        <f>IF(COUNT(D1613:P1613)=0,"",MAX(D1613:P1613))</f>
        <v/>
      </c>
      <c r="T1613" s="9">
        <f>IF(OR(Q1613="",Q1613=0),"",(S1613-Q1613)/Q1613)</f>
        <v/>
      </c>
      <c r="U1613" s="7">
        <f>IF(COUNT(D1613:P1613)=0,"",INDEX($D$1:$P$1,MATCH(MIN(D1613:P1613),D1613:P1613,0)))</f>
        <v/>
      </c>
      <c r="V1613" s="8" t="n">
        <v>333</v>
      </c>
      <c r="W1613" s="10" t="n">
        <v>1</v>
      </c>
    </row>
    <row r="1614">
      <c r="A1614" s="7" t="inlineStr">
        <is>
          <t>MAT-32-263</t>
        </is>
      </c>
      <c r="B1614" s="4" t="inlineStr">
        <is>
          <t>Coupling de HG 1 1/2"</t>
        </is>
      </c>
      <c r="C1614" s="7" t="inlineStr">
        <is>
          <t>unidad</t>
        </is>
      </c>
      <c r="D1614" s="8" t="n"/>
      <c r="E1614" s="8" t="n"/>
      <c r="F1614" s="8" t="n"/>
      <c r="G1614" s="8" t="n">
        <v>199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>
        <f>IF(COUNT(D1614:P1614)=0,"",MIN(D1614:P1614))</f>
        <v/>
      </c>
      <c r="R1614" s="8">
        <f>IF(COUNT(D1614:P1614)=0,"",MEDIAN(D1614:P1614))</f>
        <v/>
      </c>
      <c r="S1614" s="8">
        <f>IF(COUNT(D1614:P1614)=0,"",MAX(D1614:P1614))</f>
        <v/>
      </c>
      <c r="T1614" s="9">
        <f>IF(OR(Q1614="",Q1614=0),"",(S1614-Q1614)/Q1614)</f>
        <v/>
      </c>
      <c r="U1614" s="7">
        <f>IF(COUNT(D1614:P1614)=0,"",INDEX($D$1:$P$1,MATCH(MIN(D1614:P1614),D1614:P1614,0)))</f>
        <v/>
      </c>
      <c r="V1614" s="8" t="n">
        <v>199</v>
      </c>
      <c r="W1614" s="10" t="n">
        <v>1</v>
      </c>
    </row>
    <row r="1615">
      <c r="A1615" s="7" t="inlineStr">
        <is>
          <t>MAT-32-264</t>
        </is>
      </c>
      <c r="B1615" s="4" t="inlineStr">
        <is>
          <t>Coupling de HG 1 1/4"</t>
        </is>
      </c>
      <c r="C1615" s="7" t="inlineStr">
        <is>
          <t>unidad</t>
        </is>
      </c>
      <c r="D1615" s="8" t="n"/>
      <c r="E1615" s="8" t="n"/>
      <c r="F1615" s="8" t="n"/>
      <c r="G1615" s="8" t="n">
        <v>141</v>
      </c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>
        <f>IF(COUNT(D1615:P1615)=0,"",MIN(D1615:P1615))</f>
        <v/>
      </c>
      <c r="R1615" s="8">
        <f>IF(COUNT(D1615:P1615)=0,"",MEDIAN(D1615:P1615))</f>
        <v/>
      </c>
      <c r="S1615" s="8">
        <f>IF(COUNT(D1615:P1615)=0,"",MAX(D1615:P1615))</f>
        <v/>
      </c>
      <c r="T1615" s="9">
        <f>IF(OR(Q1615="",Q1615=0),"",(S1615-Q1615)/Q1615)</f>
        <v/>
      </c>
      <c r="U1615" s="7">
        <f>IF(COUNT(D1615:P1615)=0,"",INDEX($D$1:$P$1,MATCH(MIN(D1615:P1615),D1615:P1615,0)))</f>
        <v/>
      </c>
      <c r="V1615" s="8" t="n">
        <v>141</v>
      </c>
      <c r="W1615" s="10" t="n">
        <v>1</v>
      </c>
    </row>
    <row r="1616">
      <c r="A1616" s="7" t="inlineStr">
        <is>
          <t>MAT-32-265</t>
        </is>
      </c>
      <c r="B1616" s="4" t="inlineStr">
        <is>
          <t>Coupling de HG 1/2"</t>
        </is>
      </c>
      <c r="C1616" s="7" t="inlineStr">
        <is>
          <t>unidad</t>
        </is>
      </c>
      <c r="D1616" s="8" t="n"/>
      <c r="E1616" s="8" t="n"/>
      <c r="F1616" s="8" t="n"/>
      <c r="G1616" s="8" t="n">
        <v>25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>
        <f>IF(COUNT(D1616:P1616)=0,"",MIN(D1616:P1616))</f>
        <v/>
      </c>
      <c r="R1616" s="8">
        <f>IF(COUNT(D1616:P1616)=0,"",MEDIAN(D1616:P1616))</f>
        <v/>
      </c>
      <c r="S1616" s="8">
        <f>IF(COUNT(D1616:P1616)=0,"",MAX(D1616:P1616))</f>
        <v/>
      </c>
      <c r="T1616" s="9">
        <f>IF(OR(Q1616="",Q1616=0),"",(S1616-Q1616)/Q1616)</f>
        <v/>
      </c>
      <c r="U1616" s="7">
        <f>IF(COUNT(D1616:P1616)=0,"",INDEX($D$1:$P$1,MATCH(MIN(D1616:P1616),D1616:P1616,0)))</f>
        <v/>
      </c>
      <c r="V1616" s="8" t="n">
        <v>25</v>
      </c>
      <c r="W1616" s="10" t="n">
        <v>1</v>
      </c>
    </row>
    <row r="1617">
      <c r="A1617" s="7" t="inlineStr">
        <is>
          <t>MAT-32-266</t>
        </is>
      </c>
      <c r="B1617" s="4" t="inlineStr">
        <is>
          <t>Coupling de HG 1"</t>
        </is>
      </c>
      <c r="C1617" s="7" t="inlineStr">
        <is>
          <t>unidad</t>
        </is>
      </c>
      <c r="D1617" s="8" t="n"/>
      <c r="E1617" s="8" t="n"/>
      <c r="F1617" s="8" t="n"/>
      <c r="G1617" s="8" t="n">
        <v>65</v>
      </c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>
        <f>IF(COUNT(D1617:P1617)=0,"",MIN(D1617:P1617))</f>
        <v/>
      </c>
      <c r="R1617" s="8">
        <f>IF(COUNT(D1617:P1617)=0,"",MEDIAN(D1617:P1617))</f>
        <v/>
      </c>
      <c r="S1617" s="8">
        <f>IF(COUNT(D1617:P1617)=0,"",MAX(D1617:P1617))</f>
        <v/>
      </c>
      <c r="T1617" s="9">
        <f>IF(OR(Q1617="",Q1617=0),"",(S1617-Q1617)/Q1617)</f>
        <v/>
      </c>
      <c r="U1617" s="7">
        <f>IF(COUNT(D1617:P1617)=0,"",INDEX($D$1:$P$1,MATCH(MIN(D1617:P1617),D1617:P1617,0)))</f>
        <v/>
      </c>
      <c r="V1617" s="8" t="n">
        <v>65</v>
      </c>
      <c r="W1617" s="10" t="n">
        <v>1</v>
      </c>
    </row>
    <row r="1618">
      <c r="A1618" s="7" t="inlineStr">
        <is>
          <t>MAT-32-267</t>
        </is>
      </c>
      <c r="B1618" s="4" t="inlineStr">
        <is>
          <t>Coupling de HG 2"</t>
        </is>
      </c>
      <c r="C1618" s="7" t="inlineStr">
        <is>
          <t>unidad</t>
        </is>
      </c>
      <c r="D1618" s="8" t="n"/>
      <c r="E1618" s="8" t="n"/>
      <c r="F1618" s="8" t="n"/>
      <c r="G1618" s="8" t="n">
        <v>237</v>
      </c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>
        <f>IF(COUNT(D1618:P1618)=0,"",MIN(D1618:P1618))</f>
        <v/>
      </c>
      <c r="R1618" s="8">
        <f>IF(COUNT(D1618:P1618)=0,"",MEDIAN(D1618:P1618))</f>
        <v/>
      </c>
      <c r="S1618" s="8">
        <f>IF(COUNT(D1618:P1618)=0,"",MAX(D1618:P1618))</f>
        <v/>
      </c>
      <c r="T1618" s="9">
        <f>IF(OR(Q1618="",Q1618=0),"",(S1618-Q1618)/Q1618)</f>
        <v/>
      </c>
      <c r="U1618" s="7">
        <f>IF(COUNT(D1618:P1618)=0,"",INDEX($D$1:$P$1,MATCH(MIN(D1618:P1618),D1618:P1618,0)))</f>
        <v/>
      </c>
      <c r="V1618" s="8" t="n">
        <v>237</v>
      </c>
      <c r="W1618" s="10" t="n">
        <v>1</v>
      </c>
    </row>
    <row r="1619">
      <c r="A1619" s="7" t="inlineStr">
        <is>
          <t>MAT-32-268</t>
        </is>
      </c>
      <c r="B1619" s="4" t="inlineStr">
        <is>
          <t>Coupling de HG 3/4"</t>
        </is>
      </c>
      <c r="C1619" s="7" t="inlineStr">
        <is>
          <t>unidad</t>
        </is>
      </c>
      <c r="D1619" s="8" t="n"/>
      <c r="E1619" s="8" t="n"/>
      <c r="F1619" s="8" t="n"/>
      <c r="G1619" s="8" t="n">
        <v>35</v>
      </c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>
        <f>IF(COUNT(D1619:P1619)=0,"",MIN(D1619:P1619))</f>
        <v/>
      </c>
      <c r="R1619" s="8">
        <f>IF(COUNT(D1619:P1619)=0,"",MEDIAN(D1619:P1619))</f>
        <v/>
      </c>
      <c r="S1619" s="8">
        <f>IF(COUNT(D1619:P1619)=0,"",MAX(D1619:P1619))</f>
        <v/>
      </c>
      <c r="T1619" s="9">
        <f>IF(OR(Q1619="",Q1619=0),"",(S1619-Q1619)/Q1619)</f>
        <v/>
      </c>
      <c r="U1619" s="7">
        <f>IF(COUNT(D1619:P1619)=0,"",INDEX($D$1:$P$1,MATCH(MIN(D1619:P1619),D1619:P1619,0)))</f>
        <v/>
      </c>
      <c r="V1619" s="8" t="n">
        <v>35</v>
      </c>
      <c r="W1619" s="10" t="n">
        <v>1</v>
      </c>
    </row>
    <row r="1620">
      <c r="A1620" s="7" t="inlineStr">
        <is>
          <t>MAT-32-269</t>
        </is>
      </c>
      <c r="B1620" s="4" t="inlineStr">
        <is>
          <t>Coupling de HG 3/8"</t>
        </is>
      </c>
      <c r="C1620" s="7" t="inlineStr">
        <is>
          <t>unidad</t>
        </is>
      </c>
      <c r="D1620" s="8" t="n"/>
      <c r="E1620" s="8" t="n"/>
      <c r="F1620" s="8" t="n"/>
      <c r="G1620" s="8" t="n">
        <v>42</v>
      </c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>
        <f>IF(COUNT(D1620:P1620)=0,"",MIN(D1620:P1620))</f>
        <v/>
      </c>
      <c r="R1620" s="8">
        <f>IF(COUNT(D1620:P1620)=0,"",MEDIAN(D1620:P1620))</f>
        <v/>
      </c>
      <c r="S1620" s="8">
        <f>IF(COUNT(D1620:P1620)=0,"",MAX(D1620:P1620))</f>
        <v/>
      </c>
      <c r="T1620" s="9">
        <f>IF(OR(Q1620="",Q1620=0),"",(S1620-Q1620)/Q1620)</f>
        <v/>
      </c>
      <c r="U1620" s="7">
        <f>IF(COUNT(D1620:P1620)=0,"",INDEX($D$1:$P$1,MATCH(MIN(D1620:P1620),D1620:P1620,0)))</f>
        <v/>
      </c>
      <c r="V1620" s="8" t="n">
        <v>42</v>
      </c>
      <c r="W1620" s="10" t="n">
        <v>1</v>
      </c>
    </row>
    <row r="1621">
      <c r="A1621" s="7" t="inlineStr">
        <is>
          <t>MAT-32-270</t>
        </is>
      </c>
      <c r="B1621" s="4" t="inlineStr">
        <is>
          <t>Coupling de niquelado 1/2"</t>
        </is>
      </c>
      <c r="C1621" s="7" t="inlineStr">
        <is>
          <t>unidad</t>
        </is>
      </c>
      <c r="D1621" s="8" t="n"/>
      <c r="E1621" s="8" t="n"/>
      <c r="F1621" s="8" t="n"/>
      <c r="G1621" s="8" t="n">
        <v>247</v>
      </c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>
        <f>IF(COUNT(D1621:P1621)=0,"",MIN(D1621:P1621))</f>
        <v/>
      </c>
      <c r="R1621" s="8">
        <f>IF(COUNT(D1621:P1621)=0,"",MEDIAN(D1621:P1621))</f>
        <v/>
      </c>
      <c r="S1621" s="8">
        <f>IF(COUNT(D1621:P1621)=0,"",MAX(D1621:P1621))</f>
        <v/>
      </c>
      <c r="T1621" s="9">
        <f>IF(OR(Q1621="",Q1621=0),"",(S1621-Q1621)/Q1621)</f>
        <v/>
      </c>
      <c r="U1621" s="7">
        <f>IF(COUNT(D1621:P1621)=0,"",INDEX($D$1:$P$1,MATCH(MIN(D1621:P1621),D1621:P1621,0)))</f>
        <v/>
      </c>
      <c r="V1621" s="8" t="n">
        <v>247</v>
      </c>
      <c r="W1621" s="10" t="n">
        <v>1</v>
      </c>
    </row>
    <row r="1622">
      <c r="A1622" s="7" t="inlineStr">
        <is>
          <t>MAT-32-271</t>
        </is>
      </c>
      <c r="B1622" s="4" t="inlineStr">
        <is>
          <t>Coupling de PPR 25 mm</t>
        </is>
      </c>
      <c r="C1622" s="7" t="inlineStr">
        <is>
          <t>unidad</t>
        </is>
      </c>
      <c r="D1622" s="8" t="n"/>
      <c r="E1622" s="8" t="n"/>
      <c r="F1622" s="8" t="n"/>
      <c r="G1622" s="8" t="n">
        <v>40</v>
      </c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>
        <f>IF(COUNT(D1622:P1622)=0,"",MIN(D1622:P1622))</f>
        <v/>
      </c>
      <c r="R1622" s="8">
        <f>IF(COUNT(D1622:P1622)=0,"",MEDIAN(D1622:P1622))</f>
        <v/>
      </c>
      <c r="S1622" s="8">
        <f>IF(COUNT(D1622:P1622)=0,"",MAX(D1622:P1622))</f>
        <v/>
      </c>
      <c r="T1622" s="9">
        <f>IF(OR(Q1622="",Q1622=0),"",(S1622-Q1622)/Q1622)</f>
        <v/>
      </c>
      <c r="U1622" s="7">
        <f>IF(COUNT(D1622:P1622)=0,"",INDEX($D$1:$P$1,MATCH(MIN(D1622:P1622),D1622:P1622,0)))</f>
        <v/>
      </c>
      <c r="V1622" s="8" t="n">
        <v>40</v>
      </c>
      <c r="W1622" s="10" t="n">
        <v>1</v>
      </c>
    </row>
    <row r="1623">
      <c r="A1623" s="7" t="inlineStr">
        <is>
          <t>MAT-32-272</t>
        </is>
      </c>
      <c r="B1623" s="4" t="inlineStr">
        <is>
          <t>Coupling de PPR 32 mm</t>
        </is>
      </c>
      <c r="C1623" s="7" t="inlineStr">
        <is>
          <t>unidad</t>
        </is>
      </c>
      <c r="D1623" s="8" t="n"/>
      <c r="E1623" s="8" t="n"/>
      <c r="F1623" s="8" t="n"/>
      <c r="G1623" s="8" t="n">
        <v>35</v>
      </c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>
        <f>IF(COUNT(D1623:P1623)=0,"",MIN(D1623:P1623))</f>
        <v/>
      </c>
      <c r="R1623" s="8">
        <f>IF(COUNT(D1623:P1623)=0,"",MEDIAN(D1623:P1623))</f>
        <v/>
      </c>
      <c r="S1623" s="8">
        <f>IF(COUNT(D1623:P1623)=0,"",MAX(D1623:P1623))</f>
        <v/>
      </c>
      <c r="T1623" s="9">
        <f>IF(OR(Q1623="",Q1623=0),"",(S1623-Q1623)/Q1623)</f>
        <v/>
      </c>
      <c r="U1623" s="7">
        <f>IF(COUNT(D1623:P1623)=0,"",INDEX($D$1:$P$1,MATCH(MIN(D1623:P1623),D1623:P1623,0)))</f>
        <v/>
      </c>
      <c r="V1623" s="8" t="n">
        <v>35</v>
      </c>
      <c r="W1623" s="10" t="n">
        <v>1</v>
      </c>
    </row>
    <row r="1624">
      <c r="A1624" s="7" t="inlineStr">
        <is>
          <t>MAT-32-273</t>
        </is>
      </c>
      <c r="B1624" s="4" t="inlineStr">
        <is>
          <t>Coupling de PVC presión 1 1/2"</t>
        </is>
      </c>
      <c r="C1624" s="7" t="inlineStr">
        <is>
          <t>unidad</t>
        </is>
      </c>
      <c r="D1624" s="8" t="n"/>
      <c r="E1624" s="8" t="n"/>
      <c r="F1624" s="8" t="n"/>
      <c r="G1624" s="8" t="n">
        <v>65</v>
      </c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>
        <f>IF(COUNT(D1624:P1624)=0,"",MIN(D1624:P1624))</f>
        <v/>
      </c>
      <c r="R1624" s="8">
        <f>IF(COUNT(D1624:P1624)=0,"",MEDIAN(D1624:P1624))</f>
        <v/>
      </c>
      <c r="S1624" s="8">
        <f>IF(COUNT(D1624:P1624)=0,"",MAX(D1624:P1624))</f>
        <v/>
      </c>
      <c r="T1624" s="9">
        <f>IF(OR(Q1624="",Q1624=0),"",(S1624-Q1624)/Q1624)</f>
        <v/>
      </c>
      <c r="U1624" s="7">
        <f>IF(COUNT(D1624:P1624)=0,"",INDEX($D$1:$P$1,MATCH(MIN(D1624:P1624),D1624:P1624,0)))</f>
        <v/>
      </c>
      <c r="V1624" s="8" t="n">
        <v>65</v>
      </c>
      <c r="W1624" s="10" t="n">
        <v>1</v>
      </c>
    </row>
    <row r="1625">
      <c r="A1625" s="7" t="inlineStr">
        <is>
          <t>MAT-32-274</t>
        </is>
      </c>
      <c r="B1625" s="4" t="inlineStr">
        <is>
          <t>Coupling de PVC presión 1/2"</t>
        </is>
      </c>
      <c r="C1625" s="7" t="inlineStr">
        <is>
          <t>unidad</t>
        </is>
      </c>
      <c r="D1625" s="8" t="n"/>
      <c r="E1625" s="8" t="n"/>
      <c r="F1625" s="8" t="n"/>
      <c r="G1625" s="8" t="n">
        <v>27</v>
      </c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>
        <f>IF(COUNT(D1625:P1625)=0,"",MIN(D1625:P1625))</f>
        <v/>
      </c>
      <c r="R1625" s="8">
        <f>IF(COUNT(D1625:P1625)=0,"",MEDIAN(D1625:P1625))</f>
        <v/>
      </c>
      <c r="S1625" s="8">
        <f>IF(COUNT(D1625:P1625)=0,"",MAX(D1625:P1625))</f>
        <v/>
      </c>
      <c r="T1625" s="9">
        <f>IF(OR(Q1625="",Q1625=0),"",(S1625-Q1625)/Q1625)</f>
        <v/>
      </c>
      <c r="U1625" s="7">
        <f>IF(COUNT(D1625:P1625)=0,"",INDEX($D$1:$P$1,MATCH(MIN(D1625:P1625),D1625:P1625,0)))</f>
        <v/>
      </c>
      <c r="V1625" s="8" t="n">
        <v>27</v>
      </c>
      <c r="W1625" s="10" t="n">
        <v>1</v>
      </c>
    </row>
    <row r="1626">
      <c r="A1626" s="7" t="inlineStr">
        <is>
          <t>MAT-32-275</t>
        </is>
      </c>
      <c r="B1626" s="4" t="inlineStr">
        <is>
          <t>Coupling de PVC presión 1"</t>
        </is>
      </c>
      <c r="C1626" s="7" t="inlineStr">
        <is>
          <t>unidad</t>
        </is>
      </c>
      <c r="D1626" s="8" t="n"/>
      <c r="E1626" s="8" t="n"/>
      <c r="F1626" s="8" t="n"/>
      <c r="G1626" s="8" t="n">
        <v>41</v>
      </c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>
        <f>IF(COUNT(D1626:P1626)=0,"",MIN(D1626:P1626))</f>
        <v/>
      </c>
      <c r="R1626" s="8">
        <f>IF(COUNT(D1626:P1626)=0,"",MEDIAN(D1626:P1626))</f>
        <v/>
      </c>
      <c r="S1626" s="8">
        <f>IF(COUNT(D1626:P1626)=0,"",MAX(D1626:P1626))</f>
        <v/>
      </c>
      <c r="T1626" s="9">
        <f>IF(OR(Q1626="",Q1626=0),"",(S1626-Q1626)/Q1626)</f>
        <v/>
      </c>
      <c r="U1626" s="7">
        <f>IF(COUNT(D1626:P1626)=0,"",INDEX($D$1:$P$1,MATCH(MIN(D1626:P1626),D1626:P1626,0)))</f>
        <v/>
      </c>
      <c r="V1626" s="8" t="n">
        <v>41</v>
      </c>
      <c r="W1626" s="10" t="n">
        <v>1</v>
      </c>
    </row>
    <row r="1627">
      <c r="A1627" s="7" t="inlineStr">
        <is>
          <t>MAT-32-276</t>
        </is>
      </c>
      <c r="B1627" s="4" t="inlineStr">
        <is>
          <t>Coupling de PVC presión 2"</t>
        </is>
      </c>
      <c r="C1627" s="7" t="inlineStr">
        <is>
          <t>unidad</t>
        </is>
      </c>
      <c r="D1627" s="8" t="n"/>
      <c r="E1627" s="8" t="n"/>
      <c r="F1627" s="8" t="n"/>
      <c r="G1627" s="8" t="n">
        <v>95</v>
      </c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>
        <f>IF(COUNT(D1627:P1627)=0,"",MIN(D1627:P1627))</f>
        <v/>
      </c>
      <c r="R1627" s="8">
        <f>IF(COUNT(D1627:P1627)=0,"",MEDIAN(D1627:P1627))</f>
        <v/>
      </c>
      <c r="S1627" s="8">
        <f>IF(COUNT(D1627:P1627)=0,"",MAX(D1627:P1627))</f>
        <v/>
      </c>
      <c r="T1627" s="9">
        <f>IF(OR(Q1627="",Q1627=0),"",(S1627-Q1627)/Q1627)</f>
        <v/>
      </c>
      <c r="U1627" s="7">
        <f>IF(COUNT(D1627:P1627)=0,"",INDEX($D$1:$P$1,MATCH(MIN(D1627:P1627),D1627:P1627,0)))</f>
        <v/>
      </c>
      <c r="V1627" s="8" t="n">
        <v>95</v>
      </c>
      <c r="W1627" s="10" t="n">
        <v>1</v>
      </c>
    </row>
    <row r="1628">
      <c r="A1628" s="7" t="inlineStr">
        <is>
          <t>MAT-32-277</t>
        </is>
      </c>
      <c r="B1628" s="4" t="inlineStr">
        <is>
          <t>Coupling de PVC presión 3/4"</t>
        </is>
      </c>
      <c r="C1628" s="7" t="inlineStr">
        <is>
          <t>unidad</t>
        </is>
      </c>
      <c r="D1628" s="8" t="n"/>
      <c r="E1628" s="8" t="n"/>
      <c r="F1628" s="8" t="n"/>
      <c r="G1628" s="8" t="n">
        <v>26</v>
      </c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>
        <f>IF(COUNT(D1628:P1628)=0,"",MIN(D1628:P1628))</f>
        <v/>
      </c>
      <c r="R1628" s="8">
        <f>IF(COUNT(D1628:P1628)=0,"",MEDIAN(D1628:P1628))</f>
        <v/>
      </c>
      <c r="S1628" s="8">
        <f>IF(COUNT(D1628:P1628)=0,"",MAX(D1628:P1628))</f>
        <v/>
      </c>
      <c r="T1628" s="9">
        <f>IF(OR(Q1628="",Q1628=0),"",(S1628-Q1628)/Q1628)</f>
        <v/>
      </c>
      <c r="U1628" s="7">
        <f>IF(COUNT(D1628:P1628)=0,"",INDEX($D$1:$P$1,MATCH(MIN(D1628:P1628),D1628:P1628,0)))</f>
        <v/>
      </c>
      <c r="V1628" s="8" t="n">
        <v>26</v>
      </c>
      <c r="W1628" s="10" t="n">
        <v>1</v>
      </c>
    </row>
    <row r="1629">
      <c r="A1629" s="7" t="inlineStr">
        <is>
          <t>MAT-32-278</t>
        </is>
      </c>
      <c r="B1629" s="4" t="inlineStr">
        <is>
          <t>Coupling de PVC presión 3"</t>
        </is>
      </c>
      <c r="C1629" s="7" t="inlineStr">
        <is>
          <t>unidad</t>
        </is>
      </c>
      <c r="D1629" s="8" t="n"/>
      <c r="E1629" s="8" t="n"/>
      <c r="F1629" s="8" t="n"/>
      <c r="G1629" s="8" t="n">
        <v>215</v>
      </c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>
        <f>IF(COUNT(D1629:P1629)=0,"",MIN(D1629:P1629))</f>
        <v/>
      </c>
      <c r="R1629" s="8">
        <f>IF(COUNT(D1629:P1629)=0,"",MEDIAN(D1629:P1629))</f>
        <v/>
      </c>
      <c r="S1629" s="8">
        <f>IF(COUNT(D1629:P1629)=0,"",MAX(D1629:P1629))</f>
        <v/>
      </c>
      <c r="T1629" s="9">
        <f>IF(OR(Q1629="",Q1629=0),"",(S1629-Q1629)/Q1629)</f>
        <v/>
      </c>
      <c r="U1629" s="7">
        <f>IF(COUNT(D1629:P1629)=0,"",INDEX($D$1:$P$1,MATCH(MIN(D1629:P1629),D1629:P1629,0)))</f>
        <v/>
      </c>
      <c r="V1629" s="8" t="n">
        <v>215</v>
      </c>
      <c r="W1629" s="10" t="n">
        <v>1</v>
      </c>
    </row>
    <row r="1630">
      <c r="A1630" s="7" t="inlineStr">
        <is>
          <t>MAT-32-279</t>
        </is>
      </c>
      <c r="B1630" s="4" t="inlineStr">
        <is>
          <t>Coupling de PVC presión 4"</t>
        </is>
      </c>
      <c r="C1630" s="7" t="inlineStr">
        <is>
          <t>unidad</t>
        </is>
      </c>
      <c r="D1630" s="8" t="n"/>
      <c r="E1630" s="8" t="n"/>
      <c r="F1630" s="8" t="n"/>
      <c r="G1630" s="8" t="n">
        <v>335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>
        <f>IF(COUNT(D1630:P1630)=0,"",MIN(D1630:P1630))</f>
        <v/>
      </c>
      <c r="R1630" s="8">
        <f>IF(COUNT(D1630:P1630)=0,"",MEDIAN(D1630:P1630))</f>
        <v/>
      </c>
      <c r="S1630" s="8">
        <f>IF(COUNT(D1630:P1630)=0,"",MAX(D1630:P1630))</f>
        <v/>
      </c>
      <c r="T1630" s="9">
        <f>IF(OR(Q1630="",Q1630=0),"",(S1630-Q1630)/Q1630)</f>
        <v/>
      </c>
      <c r="U1630" s="7">
        <f>IF(COUNT(D1630:P1630)=0,"",INDEX($D$1:$P$1,MATCH(MIN(D1630:P1630),D1630:P1630,0)))</f>
        <v/>
      </c>
      <c r="V1630" s="8" t="n">
        <v>335</v>
      </c>
      <c r="W1630" s="10" t="n">
        <v>1</v>
      </c>
    </row>
    <row r="1631">
      <c r="A1631" s="7" t="inlineStr">
        <is>
          <t>MAT-32-280</t>
        </is>
      </c>
      <c r="B1631" s="4" t="inlineStr">
        <is>
          <t>Cruz de PVC presión 1"</t>
        </is>
      </c>
      <c r="C1631" s="7" t="inlineStr">
        <is>
          <t>unidad</t>
        </is>
      </c>
      <c r="D1631" s="8" t="n"/>
      <c r="E1631" s="8" t="n"/>
      <c r="F1631" s="8" t="n"/>
      <c r="G1631" s="8" t="n">
        <v>136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>
        <f>IF(COUNT(D1631:P1631)=0,"",MIN(D1631:P1631))</f>
        <v/>
      </c>
      <c r="R1631" s="8">
        <f>IF(COUNT(D1631:P1631)=0,"",MEDIAN(D1631:P1631))</f>
        <v/>
      </c>
      <c r="S1631" s="8">
        <f>IF(COUNT(D1631:P1631)=0,"",MAX(D1631:P1631))</f>
        <v/>
      </c>
      <c r="T1631" s="9">
        <f>IF(OR(Q1631="",Q1631=0),"",(S1631-Q1631)/Q1631)</f>
        <v/>
      </c>
      <c r="U1631" s="7">
        <f>IF(COUNT(D1631:P1631)=0,"",INDEX($D$1:$P$1,MATCH(MIN(D1631:P1631),D1631:P1631,0)))</f>
        <v/>
      </c>
      <c r="V1631" s="8" t="n">
        <v>136</v>
      </c>
      <c r="W1631" s="10" t="n">
        <v>1</v>
      </c>
    </row>
    <row r="1632">
      <c r="A1632" s="7" t="inlineStr">
        <is>
          <t>MAT-32-281</t>
        </is>
      </c>
      <c r="B1632" s="4" t="inlineStr">
        <is>
          <t>Fitting de manguera 1/2" x 1/4"</t>
        </is>
      </c>
      <c r="C1632" s="7" t="inlineStr">
        <is>
          <t>unidad</t>
        </is>
      </c>
      <c r="D1632" s="8" t="n"/>
      <c r="E1632" s="8" t="n"/>
      <c r="F1632" s="8" t="n"/>
      <c r="G1632" s="8" t="n">
        <v>165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>
        <f>IF(COUNT(D1632:P1632)=0,"",MIN(D1632:P1632))</f>
        <v/>
      </c>
      <c r="R1632" s="8">
        <f>IF(COUNT(D1632:P1632)=0,"",MEDIAN(D1632:P1632))</f>
        <v/>
      </c>
      <c r="S1632" s="8">
        <f>IF(COUNT(D1632:P1632)=0,"",MAX(D1632:P1632))</f>
        <v/>
      </c>
      <c r="T1632" s="9">
        <f>IF(OR(Q1632="",Q1632=0),"",(S1632-Q1632)/Q1632)</f>
        <v/>
      </c>
      <c r="U1632" s="7">
        <f>IF(COUNT(D1632:P1632)=0,"",INDEX($D$1:$P$1,MATCH(MIN(D1632:P1632),D1632:P1632,0)))</f>
        <v/>
      </c>
      <c r="V1632" s="8" t="n">
        <v>165</v>
      </c>
      <c r="W1632" s="10" t="n">
        <v>1</v>
      </c>
    </row>
    <row r="1633">
      <c r="A1633" s="7" t="inlineStr">
        <is>
          <t>MAT-32-282</t>
        </is>
      </c>
      <c r="B1633" s="4" t="inlineStr">
        <is>
          <t>Fitting de manguera 1/2" x 3/8"</t>
        </is>
      </c>
      <c r="C1633" s="7" t="inlineStr">
        <is>
          <t>unidad</t>
        </is>
      </c>
      <c r="D1633" s="8" t="n"/>
      <c r="E1633" s="8" t="n"/>
      <c r="F1633" s="8" t="n"/>
      <c r="G1633" s="8" t="n">
        <v>205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>
        <f>IF(COUNT(D1633:P1633)=0,"",MIN(D1633:P1633))</f>
        <v/>
      </c>
      <c r="R1633" s="8">
        <f>IF(COUNT(D1633:P1633)=0,"",MEDIAN(D1633:P1633))</f>
        <v/>
      </c>
      <c r="S1633" s="8">
        <f>IF(COUNT(D1633:P1633)=0,"",MAX(D1633:P1633))</f>
        <v/>
      </c>
      <c r="T1633" s="9">
        <f>IF(OR(Q1633="",Q1633=0),"",(S1633-Q1633)/Q1633)</f>
        <v/>
      </c>
      <c r="U1633" s="7">
        <f>IF(COUNT(D1633:P1633)=0,"",INDEX($D$1:$P$1,MATCH(MIN(D1633:P1633),D1633:P1633,0)))</f>
        <v/>
      </c>
      <c r="V1633" s="8" t="n">
        <v>205</v>
      </c>
      <c r="W1633" s="10" t="n">
        <v>1</v>
      </c>
    </row>
    <row r="1634">
      <c r="A1634" s="7" t="inlineStr">
        <is>
          <t>MAT-32-283</t>
        </is>
      </c>
      <c r="B1634" s="4" t="inlineStr">
        <is>
          <t>Fitting de manguera 1/4" x 3/8"</t>
        </is>
      </c>
      <c r="C1634" s="7" t="inlineStr">
        <is>
          <t>unidad</t>
        </is>
      </c>
      <c r="D1634" s="8" t="n"/>
      <c r="E1634" s="8" t="n"/>
      <c r="F1634" s="8" t="n"/>
      <c r="G1634" s="8" t="n">
        <v>122</v>
      </c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>
        <f>IF(COUNT(D1634:P1634)=0,"",MIN(D1634:P1634))</f>
        <v/>
      </c>
      <c r="R1634" s="8">
        <f>IF(COUNT(D1634:P1634)=0,"",MEDIAN(D1634:P1634))</f>
        <v/>
      </c>
      <c r="S1634" s="8">
        <f>IF(COUNT(D1634:P1634)=0,"",MAX(D1634:P1634))</f>
        <v/>
      </c>
      <c r="T1634" s="9">
        <f>IF(OR(Q1634="",Q1634=0),"",(S1634-Q1634)/Q1634)</f>
        <v/>
      </c>
      <c r="U1634" s="7">
        <f>IF(COUNT(D1634:P1634)=0,"",INDEX($D$1:$P$1,MATCH(MIN(D1634:P1634),D1634:P1634,0)))</f>
        <v/>
      </c>
      <c r="V1634" s="8" t="n">
        <v>122</v>
      </c>
      <c r="W1634" s="10" t="n">
        <v>1</v>
      </c>
    </row>
    <row r="1635">
      <c r="A1635" s="7" t="inlineStr">
        <is>
          <t>MAT-32-284</t>
        </is>
      </c>
      <c r="B1635" s="4" t="inlineStr">
        <is>
          <t>Fitting de manguera 3/8" x 1/4"</t>
        </is>
      </c>
      <c r="C1635" s="7" t="inlineStr">
        <is>
          <t>unidad</t>
        </is>
      </c>
      <c r="D1635" s="8" t="n"/>
      <c r="E1635" s="8" t="n"/>
      <c r="F1635" s="8" t="n"/>
      <c r="G1635" s="8" t="n">
        <v>102</v>
      </c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>
        <f>IF(COUNT(D1635:P1635)=0,"",MIN(D1635:P1635))</f>
        <v/>
      </c>
      <c r="R1635" s="8">
        <f>IF(COUNT(D1635:P1635)=0,"",MEDIAN(D1635:P1635))</f>
        <v/>
      </c>
      <c r="S1635" s="8">
        <f>IF(COUNT(D1635:P1635)=0,"",MAX(D1635:P1635))</f>
        <v/>
      </c>
      <c r="T1635" s="9">
        <f>IF(OR(Q1635="",Q1635=0),"",(S1635-Q1635)/Q1635)</f>
        <v/>
      </c>
      <c r="U1635" s="7">
        <f>IF(COUNT(D1635:P1635)=0,"",INDEX($D$1:$P$1,MATCH(MIN(D1635:P1635),D1635:P1635,0)))</f>
        <v/>
      </c>
      <c r="V1635" s="8" t="n">
        <v>102</v>
      </c>
      <c r="W1635" s="10" t="n">
        <v>1</v>
      </c>
    </row>
    <row r="1636">
      <c r="A1636" s="7" t="inlineStr">
        <is>
          <t>MAT-32-285</t>
        </is>
      </c>
      <c r="B1636" s="4" t="inlineStr">
        <is>
          <t>Junta de PVC 1 1/2"</t>
        </is>
      </c>
      <c r="C1636" s="7" t="inlineStr">
        <is>
          <t>unidad</t>
        </is>
      </c>
      <c r="D1636" s="8" t="n"/>
      <c r="E1636" s="8" t="n"/>
      <c r="F1636" s="8" t="n"/>
      <c r="G1636" s="8" t="n">
        <v>308</v>
      </c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>
        <f>IF(COUNT(D1636:P1636)=0,"",MIN(D1636:P1636))</f>
        <v/>
      </c>
      <c r="R1636" s="8">
        <f>IF(COUNT(D1636:P1636)=0,"",MEDIAN(D1636:P1636))</f>
        <v/>
      </c>
      <c r="S1636" s="8">
        <f>IF(COUNT(D1636:P1636)=0,"",MAX(D1636:P1636))</f>
        <v/>
      </c>
      <c r="T1636" s="9">
        <f>IF(OR(Q1636="",Q1636=0),"",(S1636-Q1636)/Q1636)</f>
        <v/>
      </c>
      <c r="U1636" s="7">
        <f>IF(COUNT(D1636:P1636)=0,"",INDEX($D$1:$P$1,MATCH(MIN(D1636:P1636),D1636:P1636,0)))</f>
        <v/>
      </c>
      <c r="V1636" s="8" t="n">
        <v>308</v>
      </c>
      <c r="W1636" s="10" t="n">
        <v>1</v>
      </c>
    </row>
    <row r="1637">
      <c r="A1637" s="7" t="inlineStr">
        <is>
          <t>MAT-32-286</t>
        </is>
      </c>
      <c r="B1637" s="4" t="inlineStr">
        <is>
          <t>Junta de PVC 1/2"</t>
        </is>
      </c>
      <c r="C1637" s="7" t="inlineStr">
        <is>
          <t>unidad</t>
        </is>
      </c>
      <c r="D1637" s="8" t="n"/>
      <c r="E1637" s="8" t="n"/>
      <c r="F1637" s="8" t="n"/>
      <c r="G1637" s="8" t="n">
        <v>86</v>
      </c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>
        <f>IF(COUNT(D1637:P1637)=0,"",MIN(D1637:P1637))</f>
        <v/>
      </c>
      <c r="R1637" s="8">
        <f>IF(COUNT(D1637:P1637)=0,"",MEDIAN(D1637:P1637))</f>
        <v/>
      </c>
      <c r="S1637" s="8">
        <f>IF(COUNT(D1637:P1637)=0,"",MAX(D1637:P1637))</f>
        <v/>
      </c>
      <c r="T1637" s="9">
        <f>IF(OR(Q1637="",Q1637=0),"",(S1637-Q1637)/Q1637)</f>
        <v/>
      </c>
      <c r="U1637" s="7">
        <f>IF(COUNT(D1637:P1637)=0,"",INDEX($D$1:$P$1,MATCH(MIN(D1637:P1637),D1637:P1637,0)))</f>
        <v/>
      </c>
      <c r="V1637" s="8" t="n">
        <v>86</v>
      </c>
      <c r="W1637" s="10" t="n">
        <v>1</v>
      </c>
    </row>
    <row r="1638">
      <c r="A1638" s="7" t="inlineStr">
        <is>
          <t>MAT-32-287</t>
        </is>
      </c>
      <c r="B1638" s="4" t="inlineStr">
        <is>
          <t>Junta de PVC 1"</t>
        </is>
      </c>
      <c r="C1638" s="7" t="inlineStr">
        <is>
          <t>unidad</t>
        </is>
      </c>
      <c r="D1638" s="8" t="n"/>
      <c r="E1638" s="8" t="n"/>
      <c r="F1638" s="8" t="n"/>
      <c r="G1638" s="8" t="n">
        <v>160</v>
      </c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>
        <f>IF(COUNT(D1638:P1638)=0,"",MIN(D1638:P1638))</f>
        <v/>
      </c>
      <c r="R1638" s="8">
        <f>IF(COUNT(D1638:P1638)=0,"",MEDIAN(D1638:P1638))</f>
        <v/>
      </c>
      <c r="S1638" s="8">
        <f>IF(COUNT(D1638:P1638)=0,"",MAX(D1638:P1638))</f>
        <v/>
      </c>
      <c r="T1638" s="9">
        <f>IF(OR(Q1638="",Q1638=0),"",(S1638-Q1638)/Q1638)</f>
        <v/>
      </c>
      <c r="U1638" s="7">
        <f>IF(COUNT(D1638:P1638)=0,"",INDEX($D$1:$P$1,MATCH(MIN(D1638:P1638),D1638:P1638,0)))</f>
        <v/>
      </c>
      <c r="V1638" s="8" t="n">
        <v>160</v>
      </c>
      <c r="W1638" s="10" t="n">
        <v>1</v>
      </c>
    </row>
    <row r="1639">
      <c r="A1639" s="7" t="inlineStr">
        <is>
          <t>MAT-32-288</t>
        </is>
      </c>
      <c r="B1639" s="4" t="inlineStr">
        <is>
          <t>Junta de PVC 3/4"</t>
        </is>
      </c>
      <c r="C1639" s="7" t="inlineStr">
        <is>
          <t>unidad</t>
        </is>
      </c>
      <c r="D1639" s="8" t="n"/>
      <c r="E1639" s="8" t="n"/>
      <c r="F1639" s="8" t="n"/>
      <c r="G1639" s="8" t="n">
        <v>135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>
        <f>IF(COUNT(D1639:P1639)=0,"",MIN(D1639:P1639))</f>
        <v/>
      </c>
      <c r="R1639" s="8">
        <f>IF(COUNT(D1639:P1639)=0,"",MEDIAN(D1639:P1639))</f>
        <v/>
      </c>
      <c r="S1639" s="8">
        <f>IF(COUNT(D1639:P1639)=0,"",MAX(D1639:P1639))</f>
        <v/>
      </c>
      <c r="T1639" s="9">
        <f>IF(OR(Q1639="",Q1639=0),"",(S1639-Q1639)/Q1639)</f>
        <v/>
      </c>
      <c r="U1639" s="7">
        <f>IF(COUNT(D1639:P1639)=0,"",INDEX($D$1:$P$1,MATCH(MIN(D1639:P1639),D1639:P1639,0)))</f>
        <v/>
      </c>
      <c r="V1639" s="8" t="n">
        <v>135</v>
      </c>
      <c r="W1639" s="10" t="n">
        <v>1</v>
      </c>
    </row>
    <row r="1640">
      <c r="A1640" s="7" t="inlineStr">
        <is>
          <t>MAT-32-289</t>
        </is>
      </c>
      <c r="B1640" s="4" t="inlineStr">
        <is>
          <t>Niple de bronce 1/2" x 2"</t>
        </is>
      </c>
      <c r="C1640" s="7" t="inlineStr">
        <is>
          <t>unidad</t>
        </is>
      </c>
      <c r="D1640" s="8" t="n"/>
      <c r="E1640" s="8" t="n">
        <v>133</v>
      </c>
      <c r="F1640" s="8" t="n"/>
      <c r="G1640" s="8" t="n"/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>
        <f>IF(COUNT(D1640:P1640)=0,"",MIN(D1640:P1640))</f>
        <v/>
      </c>
      <c r="R1640" s="8">
        <f>IF(COUNT(D1640:P1640)=0,"",MEDIAN(D1640:P1640))</f>
        <v/>
      </c>
      <c r="S1640" s="8">
        <f>IF(COUNT(D1640:P1640)=0,"",MAX(D1640:P1640))</f>
        <v/>
      </c>
      <c r="T1640" s="9">
        <f>IF(OR(Q1640="",Q1640=0),"",(S1640-Q1640)/Q1640)</f>
        <v/>
      </c>
      <c r="U1640" s="7">
        <f>IF(COUNT(D1640:P1640)=0,"",INDEX($D$1:$P$1,MATCH(MIN(D1640:P1640),D1640:P1640,0)))</f>
        <v/>
      </c>
      <c r="V1640" s="8" t="n">
        <v>133</v>
      </c>
      <c r="W1640" s="10" t="n">
        <v>1</v>
      </c>
    </row>
    <row r="1641">
      <c r="A1641" s="7" t="inlineStr">
        <is>
          <t>MAT-32-290</t>
        </is>
      </c>
      <c r="B1641" s="4" t="inlineStr">
        <is>
          <t>Niple de bronce 1/2" x 3"</t>
        </is>
      </c>
      <c r="C1641" s="7" t="inlineStr">
        <is>
          <t>unidad</t>
        </is>
      </c>
      <c r="D1641" s="8" t="n"/>
      <c r="E1641" s="8" t="n">
        <v>192</v>
      </c>
      <c r="F1641" s="8" t="n"/>
      <c r="G1641" s="8" t="n"/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>
        <f>IF(COUNT(D1641:P1641)=0,"",MIN(D1641:P1641))</f>
        <v/>
      </c>
      <c r="R1641" s="8">
        <f>IF(COUNT(D1641:P1641)=0,"",MEDIAN(D1641:P1641))</f>
        <v/>
      </c>
      <c r="S1641" s="8">
        <f>IF(COUNT(D1641:P1641)=0,"",MAX(D1641:P1641))</f>
        <v/>
      </c>
      <c r="T1641" s="9">
        <f>IF(OR(Q1641="",Q1641=0),"",(S1641-Q1641)/Q1641)</f>
        <v/>
      </c>
      <c r="U1641" s="7">
        <f>IF(COUNT(D1641:P1641)=0,"",INDEX($D$1:$P$1,MATCH(MIN(D1641:P1641),D1641:P1641,0)))</f>
        <v/>
      </c>
      <c r="V1641" s="8" t="n">
        <v>192</v>
      </c>
      <c r="W1641" s="10" t="n">
        <v>1</v>
      </c>
    </row>
    <row r="1642">
      <c r="A1642" s="7" t="inlineStr">
        <is>
          <t>MAT-32-291</t>
        </is>
      </c>
      <c r="B1642" s="4" t="inlineStr">
        <is>
          <t>Niple de bronce 1/4" x 1 1/2"</t>
        </is>
      </c>
      <c r="C1642" s="7" t="inlineStr">
        <is>
          <t>unidad</t>
        </is>
      </c>
      <c r="D1642" s="8" t="n"/>
      <c r="E1642" s="8" t="n">
        <v>66</v>
      </c>
      <c r="F1642" s="8" t="n"/>
      <c r="G1642" s="8" t="n"/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>
        <f>IF(COUNT(D1642:P1642)=0,"",MIN(D1642:P1642))</f>
        <v/>
      </c>
      <c r="R1642" s="8">
        <f>IF(COUNT(D1642:P1642)=0,"",MEDIAN(D1642:P1642))</f>
        <v/>
      </c>
      <c r="S1642" s="8">
        <f>IF(COUNT(D1642:P1642)=0,"",MAX(D1642:P1642))</f>
        <v/>
      </c>
      <c r="T1642" s="9">
        <f>IF(OR(Q1642="",Q1642=0),"",(S1642-Q1642)/Q1642)</f>
        <v/>
      </c>
      <c r="U1642" s="7">
        <f>IF(COUNT(D1642:P1642)=0,"",INDEX($D$1:$P$1,MATCH(MIN(D1642:P1642),D1642:P1642,0)))</f>
        <v/>
      </c>
      <c r="V1642" s="8" t="n">
        <v>66</v>
      </c>
      <c r="W1642" s="10" t="n">
        <v>1</v>
      </c>
    </row>
    <row r="1643">
      <c r="A1643" s="7" t="inlineStr">
        <is>
          <t>MAT-32-292</t>
        </is>
      </c>
      <c r="B1643" s="4" t="inlineStr">
        <is>
          <t>Niple de bronce 1/4" x 3"</t>
        </is>
      </c>
      <c r="C1643" s="7" t="inlineStr">
        <is>
          <t>unidad</t>
        </is>
      </c>
      <c r="D1643" s="8" t="n"/>
      <c r="E1643" s="8" t="n">
        <v>165</v>
      </c>
      <c r="F1643" s="8" t="n"/>
      <c r="G1643" s="8" t="n"/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>
        <f>IF(COUNT(D1643:P1643)=0,"",MIN(D1643:P1643))</f>
        <v/>
      </c>
      <c r="R1643" s="8">
        <f>IF(COUNT(D1643:P1643)=0,"",MEDIAN(D1643:P1643))</f>
        <v/>
      </c>
      <c r="S1643" s="8">
        <f>IF(COUNT(D1643:P1643)=0,"",MAX(D1643:P1643))</f>
        <v/>
      </c>
      <c r="T1643" s="9">
        <f>IF(OR(Q1643="",Q1643=0),"",(S1643-Q1643)/Q1643)</f>
        <v/>
      </c>
      <c r="U1643" s="7">
        <f>IF(COUNT(D1643:P1643)=0,"",INDEX($D$1:$P$1,MATCH(MIN(D1643:P1643),D1643:P1643,0)))</f>
        <v/>
      </c>
      <c r="V1643" s="8" t="n">
        <v>165</v>
      </c>
      <c r="W1643" s="10" t="n">
        <v>1</v>
      </c>
    </row>
    <row r="1644">
      <c r="A1644" s="7" t="inlineStr">
        <is>
          <t>MAT-32-293</t>
        </is>
      </c>
      <c r="B1644" s="4" t="inlineStr">
        <is>
          <t>Niple de bronce 1/8" x 1 1/2"</t>
        </is>
      </c>
      <c r="C1644" s="7" t="inlineStr">
        <is>
          <t>unidad</t>
        </is>
      </c>
      <c r="D1644" s="8" t="n"/>
      <c r="E1644" s="8" t="n">
        <v>51</v>
      </c>
      <c r="F1644" s="8" t="n"/>
      <c r="G1644" s="8" t="n"/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>
        <f>IF(COUNT(D1644:P1644)=0,"",MIN(D1644:P1644))</f>
        <v/>
      </c>
      <c r="R1644" s="8">
        <f>IF(COUNT(D1644:P1644)=0,"",MEDIAN(D1644:P1644))</f>
        <v/>
      </c>
      <c r="S1644" s="8">
        <f>IF(COUNT(D1644:P1644)=0,"",MAX(D1644:P1644))</f>
        <v/>
      </c>
      <c r="T1644" s="9">
        <f>IF(OR(Q1644="",Q1644=0),"",(S1644-Q1644)/Q1644)</f>
        <v/>
      </c>
      <c r="U1644" s="7">
        <f>IF(COUNT(D1644:P1644)=0,"",INDEX($D$1:$P$1,MATCH(MIN(D1644:P1644),D1644:P1644,0)))</f>
        <v/>
      </c>
      <c r="V1644" s="8" t="n">
        <v>51</v>
      </c>
      <c r="W1644" s="10" t="n">
        <v>1</v>
      </c>
    </row>
    <row r="1645">
      <c r="A1645" s="7" t="inlineStr">
        <is>
          <t>MAT-32-294</t>
        </is>
      </c>
      <c r="B1645" s="4" t="inlineStr">
        <is>
          <t>Niple de bronce 3/8" x 1 1/2"</t>
        </is>
      </c>
      <c r="C1645" s="7" t="inlineStr">
        <is>
          <t>unidad</t>
        </is>
      </c>
      <c r="D1645" s="8" t="n"/>
      <c r="E1645" s="8" t="n">
        <v>87</v>
      </c>
      <c r="F1645" s="8" t="n"/>
      <c r="G1645" s="8" t="n"/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>
        <f>IF(COUNT(D1645:P1645)=0,"",MIN(D1645:P1645))</f>
        <v/>
      </c>
      <c r="R1645" s="8">
        <f>IF(COUNT(D1645:P1645)=0,"",MEDIAN(D1645:P1645))</f>
        <v/>
      </c>
      <c r="S1645" s="8">
        <f>IF(COUNT(D1645:P1645)=0,"",MAX(D1645:P1645))</f>
        <v/>
      </c>
      <c r="T1645" s="9">
        <f>IF(OR(Q1645="",Q1645=0),"",(S1645-Q1645)/Q1645)</f>
        <v/>
      </c>
      <c r="U1645" s="7">
        <f>IF(COUNT(D1645:P1645)=0,"",INDEX($D$1:$P$1,MATCH(MIN(D1645:P1645),D1645:P1645,0)))</f>
        <v/>
      </c>
      <c r="V1645" s="8" t="n">
        <v>87</v>
      </c>
      <c r="W1645" s="10" t="n">
        <v>1</v>
      </c>
    </row>
    <row r="1646">
      <c r="A1646" s="7" t="inlineStr">
        <is>
          <t>MAT-32-295</t>
        </is>
      </c>
      <c r="B1646" s="4" t="inlineStr">
        <is>
          <t>Niple de bronce 3/8" x 2"</t>
        </is>
      </c>
      <c r="C1646" s="7" t="inlineStr">
        <is>
          <t>unidad</t>
        </is>
      </c>
      <c r="D1646" s="8" t="n"/>
      <c r="E1646" s="8" t="n">
        <v>90</v>
      </c>
      <c r="F1646" s="8" t="n"/>
      <c r="G1646" s="8" t="n"/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>
        <f>IF(COUNT(D1646:P1646)=0,"",MIN(D1646:P1646))</f>
        <v/>
      </c>
      <c r="R1646" s="8">
        <f>IF(COUNT(D1646:P1646)=0,"",MEDIAN(D1646:P1646))</f>
        <v/>
      </c>
      <c r="S1646" s="8">
        <f>IF(COUNT(D1646:P1646)=0,"",MAX(D1646:P1646))</f>
        <v/>
      </c>
      <c r="T1646" s="9">
        <f>IF(OR(Q1646="",Q1646=0),"",(S1646-Q1646)/Q1646)</f>
        <v/>
      </c>
      <c r="U1646" s="7">
        <f>IF(COUNT(D1646:P1646)=0,"",INDEX($D$1:$P$1,MATCH(MIN(D1646:P1646),D1646:P1646,0)))</f>
        <v/>
      </c>
      <c r="V1646" s="8" t="n">
        <v>90</v>
      </c>
      <c r="W1646" s="10" t="n">
        <v>1</v>
      </c>
    </row>
    <row r="1647">
      <c r="A1647" s="7" t="inlineStr">
        <is>
          <t>MAT-32-296</t>
        </is>
      </c>
      <c r="B1647" s="4" t="inlineStr">
        <is>
          <t>Niple de cobre 1/4" x 1 1/2"</t>
        </is>
      </c>
      <c r="C1647" s="7" t="inlineStr">
        <is>
          <t>unidad</t>
        </is>
      </c>
      <c r="D1647" s="8" t="n"/>
      <c r="E1647" s="8" t="n"/>
      <c r="F1647" s="8" t="n"/>
      <c r="G1647" s="8" t="n">
        <v>121</v>
      </c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>
        <f>IF(COUNT(D1647:P1647)=0,"",MIN(D1647:P1647))</f>
        <v/>
      </c>
      <c r="R1647" s="8">
        <f>IF(COUNT(D1647:P1647)=0,"",MEDIAN(D1647:P1647))</f>
        <v/>
      </c>
      <c r="S1647" s="8">
        <f>IF(COUNT(D1647:P1647)=0,"",MAX(D1647:P1647))</f>
        <v/>
      </c>
      <c r="T1647" s="9">
        <f>IF(OR(Q1647="",Q1647=0),"",(S1647-Q1647)/Q1647)</f>
        <v/>
      </c>
      <c r="U1647" s="7">
        <f>IF(COUNT(D1647:P1647)=0,"",INDEX($D$1:$P$1,MATCH(MIN(D1647:P1647),D1647:P1647,0)))</f>
        <v/>
      </c>
      <c r="V1647" s="8" t="n">
        <v>121</v>
      </c>
      <c r="W1647" s="10" t="n">
        <v>1</v>
      </c>
    </row>
    <row r="1648">
      <c r="A1648" s="7" t="inlineStr">
        <is>
          <t>MAT-32-297</t>
        </is>
      </c>
      <c r="B1648" s="4" t="inlineStr">
        <is>
          <t>Niple de cobre 3/4" x 3"</t>
        </is>
      </c>
      <c r="C1648" s="7" t="inlineStr">
        <is>
          <t>unidad</t>
        </is>
      </c>
      <c r="D1648" s="8" t="n"/>
      <c r="E1648" s="8" t="n"/>
      <c r="F1648" s="8" t="n"/>
      <c r="G1648" s="8" t="n">
        <v>230</v>
      </c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>
        <f>IF(COUNT(D1648:P1648)=0,"",MIN(D1648:P1648))</f>
        <v/>
      </c>
      <c r="R1648" s="8">
        <f>IF(COUNT(D1648:P1648)=0,"",MEDIAN(D1648:P1648))</f>
        <v/>
      </c>
      <c r="S1648" s="8">
        <f>IF(COUNT(D1648:P1648)=0,"",MAX(D1648:P1648))</f>
        <v/>
      </c>
      <c r="T1648" s="9">
        <f>IF(OR(Q1648="",Q1648=0),"",(S1648-Q1648)/Q1648)</f>
        <v/>
      </c>
      <c r="U1648" s="7">
        <f>IF(COUNT(D1648:P1648)=0,"",INDEX($D$1:$P$1,MATCH(MIN(D1648:P1648),D1648:P1648,0)))</f>
        <v/>
      </c>
      <c r="V1648" s="8" t="n">
        <v>230</v>
      </c>
      <c r="W1648" s="10" t="n">
        <v>1</v>
      </c>
    </row>
    <row r="1649">
      <c r="A1649" s="7" t="inlineStr">
        <is>
          <t>MAT-32-298</t>
        </is>
      </c>
      <c r="B1649" s="4" t="inlineStr">
        <is>
          <t>Niple de cobre 3/8" x 1 1/2"</t>
        </is>
      </c>
      <c r="C1649" s="7" t="inlineStr">
        <is>
          <t>unidad</t>
        </is>
      </c>
      <c r="D1649" s="8" t="n"/>
      <c r="E1649" s="8" t="n"/>
      <c r="F1649" s="8" t="n"/>
      <c r="G1649" s="8" t="n">
        <v>193</v>
      </c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>
        <f>IF(COUNT(D1649:P1649)=0,"",MIN(D1649:P1649))</f>
        <v/>
      </c>
      <c r="R1649" s="8">
        <f>IF(COUNT(D1649:P1649)=0,"",MEDIAN(D1649:P1649))</f>
        <v/>
      </c>
      <c r="S1649" s="8">
        <f>IF(COUNT(D1649:P1649)=0,"",MAX(D1649:P1649))</f>
        <v/>
      </c>
      <c r="T1649" s="9">
        <f>IF(OR(Q1649="",Q1649=0),"",(S1649-Q1649)/Q1649)</f>
        <v/>
      </c>
      <c r="U1649" s="7">
        <f>IF(COUNT(D1649:P1649)=0,"",INDEX($D$1:$P$1,MATCH(MIN(D1649:P1649),D1649:P1649,0)))</f>
        <v/>
      </c>
      <c r="V1649" s="8" t="n">
        <v>193</v>
      </c>
      <c r="W1649" s="10" t="n">
        <v>1</v>
      </c>
    </row>
    <row r="1650">
      <c r="A1650" s="7" t="inlineStr">
        <is>
          <t>MAT-32-299</t>
        </is>
      </c>
      <c r="B1650" s="4" t="inlineStr">
        <is>
          <t>Niple de cobre 3/8" x 1"</t>
        </is>
      </c>
      <c r="C1650" s="7" t="inlineStr">
        <is>
          <t>unidad</t>
        </is>
      </c>
      <c r="D1650" s="8" t="n"/>
      <c r="E1650" s="8" t="n"/>
      <c r="F1650" s="8" t="n"/>
      <c r="G1650" s="8" t="n">
        <v>177</v>
      </c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>
        <f>IF(COUNT(D1650:P1650)=0,"",MIN(D1650:P1650))</f>
        <v/>
      </c>
      <c r="R1650" s="8">
        <f>IF(COUNT(D1650:P1650)=0,"",MEDIAN(D1650:P1650))</f>
        <v/>
      </c>
      <c r="S1650" s="8">
        <f>IF(COUNT(D1650:P1650)=0,"",MAX(D1650:P1650))</f>
        <v/>
      </c>
      <c r="T1650" s="9">
        <f>IF(OR(Q1650="",Q1650=0),"",(S1650-Q1650)/Q1650)</f>
        <v/>
      </c>
      <c r="U1650" s="7">
        <f>IF(COUNT(D1650:P1650)=0,"",INDEX($D$1:$P$1,MATCH(MIN(D1650:P1650),D1650:P1650,0)))</f>
        <v/>
      </c>
      <c r="V1650" s="8" t="n">
        <v>177</v>
      </c>
      <c r="W1650" s="10" t="n">
        <v>1</v>
      </c>
    </row>
    <row r="1651">
      <c r="A1651" s="7" t="inlineStr">
        <is>
          <t>MAT-32-300</t>
        </is>
      </c>
      <c r="B1651" s="4" t="inlineStr">
        <is>
          <t>Niple de cobre 3/8" x 2"</t>
        </is>
      </c>
      <c r="C1651" s="7" t="inlineStr">
        <is>
          <t>unidad</t>
        </is>
      </c>
      <c r="D1651" s="8" t="n"/>
      <c r="E1651" s="8" t="n"/>
      <c r="F1651" s="8" t="n"/>
      <c r="G1651" s="8" t="n">
        <v>189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>
        <f>IF(COUNT(D1651:P1651)=0,"",MIN(D1651:P1651))</f>
        <v/>
      </c>
      <c r="R1651" s="8">
        <f>IF(COUNT(D1651:P1651)=0,"",MEDIAN(D1651:P1651))</f>
        <v/>
      </c>
      <c r="S1651" s="8">
        <f>IF(COUNT(D1651:P1651)=0,"",MAX(D1651:P1651))</f>
        <v/>
      </c>
      <c r="T1651" s="9">
        <f>IF(OR(Q1651="",Q1651=0),"",(S1651-Q1651)/Q1651)</f>
        <v/>
      </c>
      <c r="U1651" s="7">
        <f>IF(COUNT(D1651:P1651)=0,"",INDEX($D$1:$P$1,MATCH(MIN(D1651:P1651),D1651:P1651,0)))</f>
        <v/>
      </c>
      <c r="V1651" s="8" t="n">
        <v>189</v>
      </c>
      <c r="W1651" s="10" t="n">
        <v>1</v>
      </c>
    </row>
    <row r="1652">
      <c r="A1652" s="7" t="inlineStr">
        <is>
          <t>MAT-32-301</t>
        </is>
      </c>
      <c r="B1652" s="4" t="inlineStr">
        <is>
          <t>Niple de HG 1 1/2" x 10"</t>
        </is>
      </c>
      <c r="C1652" s="7" t="inlineStr">
        <is>
          <t>unidad</t>
        </is>
      </c>
      <c r="D1652" s="8" t="n"/>
      <c r="E1652" s="8" t="n"/>
      <c r="F1652" s="8" t="n"/>
      <c r="G1652" s="8" t="n">
        <v>372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>
        <f>IF(COUNT(D1652:P1652)=0,"",MIN(D1652:P1652))</f>
        <v/>
      </c>
      <c r="R1652" s="8">
        <f>IF(COUNT(D1652:P1652)=0,"",MEDIAN(D1652:P1652))</f>
        <v/>
      </c>
      <c r="S1652" s="8">
        <f>IF(COUNT(D1652:P1652)=0,"",MAX(D1652:P1652))</f>
        <v/>
      </c>
      <c r="T1652" s="9">
        <f>IF(OR(Q1652="",Q1652=0),"",(S1652-Q1652)/Q1652)</f>
        <v/>
      </c>
      <c r="U1652" s="7">
        <f>IF(COUNT(D1652:P1652)=0,"",INDEX($D$1:$P$1,MATCH(MIN(D1652:P1652),D1652:P1652,0)))</f>
        <v/>
      </c>
      <c r="V1652" s="8" t="n">
        <v>372</v>
      </c>
      <c r="W1652" s="10" t="n">
        <v>1</v>
      </c>
    </row>
    <row r="1653">
      <c r="A1653" s="7" t="inlineStr">
        <is>
          <t>MAT-32-302</t>
        </is>
      </c>
      <c r="B1653" s="4" t="inlineStr">
        <is>
          <t>Niple de HG 1 1/2" x 2 1/2"</t>
        </is>
      </c>
      <c r="C1653" s="7" t="inlineStr">
        <is>
          <t>unidad</t>
        </is>
      </c>
      <c r="D1653" s="8" t="n"/>
      <c r="E1653" s="8" t="n">
        <v>82</v>
      </c>
      <c r="F1653" s="8" t="n"/>
      <c r="G1653" s="8" t="n"/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>
        <f>IF(COUNT(D1653:P1653)=0,"",MIN(D1653:P1653))</f>
        <v/>
      </c>
      <c r="R1653" s="8">
        <f>IF(COUNT(D1653:P1653)=0,"",MEDIAN(D1653:P1653))</f>
        <v/>
      </c>
      <c r="S1653" s="8">
        <f>IF(COUNT(D1653:P1653)=0,"",MAX(D1653:P1653))</f>
        <v/>
      </c>
      <c r="T1653" s="9">
        <f>IF(OR(Q1653="",Q1653=0),"",(S1653-Q1653)/Q1653)</f>
        <v/>
      </c>
      <c r="U1653" s="7">
        <f>IF(COUNT(D1653:P1653)=0,"",INDEX($D$1:$P$1,MATCH(MIN(D1653:P1653),D1653:P1653,0)))</f>
        <v/>
      </c>
      <c r="V1653" s="8" t="n">
        <v>82</v>
      </c>
      <c r="W1653" s="10" t="n">
        <v>1</v>
      </c>
    </row>
    <row r="1654">
      <c r="A1654" s="7" t="inlineStr">
        <is>
          <t>MAT-32-303</t>
        </is>
      </c>
      <c r="B1654" s="4" t="inlineStr">
        <is>
          <t>Niple de HG 1 1/2" x 2"</t>
        </is>
      </c>
      <c r="C1654" s="7" t="inlineStr">
        <is>
          <t>unidad</t>
        </is>
      </c>
      <c r="D1654" s="8" t="n"/>
      <c r="E1654" s="8" t="n">
        <v>85</v>
      </c>
      <c r="F1654" s="8" t="n"/>
      <c r="G1654" s="8" t="n"/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>
        <f>IF(COUNT(D1654:P1654)=0,"",MIN(D1654:P1654))</f>
        <v/>
      </c>
      <c r="R1654" s="8">
        <f>IF(COUNT(D1654:P1654)=0,"",MEDIAN(D1654:P1654))</f>
        <v/>
      </c>
      <c r="S1654" s="8">
        <f>IF(COUNT(D1654:P1654)=0,"",MAX(D1654:P1654))</f>
        <v/>
      </c>
      <c r="T1654" s="9">
        <f>IF(OR(Q1654="",Q1654=0),"",(S1654-Q1654)/Q1654)</f>
        <v/>
      </c>
      <c r="U1654" s="7">
        <f>IF(COUNT(D1654:P1654)=0,"",INDEX($D$1:$P$1,MATCH(MIN(D1654:P1654),D1654:P1654,0)))</f>
        <v/>
      </c>
      <c r="V1654" s="8" t="n">
        <v>85</v>
      </c>
      <c r="W1654" s="10" t="n">
        <v>1</v>
      </c>
    </row>
    <row r="1655">
      <c r="A1655" s="7" t="inlineStr">
        <is>
          <t>MAT-32-304</t>
        </is>
      </c>
      <c r="B1655" s="4" t="inlineStr">
        <is>
          <t>Niple de HG 1 1/2" x 3"</t>
        </is>
      </c>
      <c r="C1655" s="7" t="inlineStr">
        <is>
          <t>unidad</t>
        </is>
      </c>
      <c r="D1655" s="8" t="n"/>
      <c r="E1655" s="8" t="n">
        <v>102</v>
      </c>
      <c r="F1655" s="8" t="n"/>
      <c r="G1655" s="8" t="n">
        <v>187</v>
      </c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>
        <f>IF(COUNT(D1655:P1655)=0,"",MIN(D1655:P1655))</f>
        <v/>
      </c>
      <c r="R1655" s="8">
        <f>IF(COUNT(D1655:P1655)=0,"",MEDIAN(D1655:P1655))</f>
        <v/>
      </c>
      <c r="S1655" s="8">
        <f>IF(COUNT(D1655:P1655)=0,"",MAX(D1655:P1655))</f>
        <v/>
      </c>
      <c r="T1655" s="9">
        <f>IF(OR(Q1655="",Q1655=0),"",(S1655-Q1655)/Q1655)</f>
        <v/>
      </c>
      <c r="U1655" s="7">
        <f>IF(COUNT(D1655:P1655)=0,"",INDEX($D$1:$P$1,MATCH(MIN(D1655:P1655),D1655:P1655,0)))</f>
        <v/>
      </c>
      <c r="V1655" s="8" t="n">
        <v>144.5</v>
      </c>
      <c r="W1655" s="10" t="n">
        <v>2</v>
      </c>
    </row>
    <row r="1656">
      <c r="A1656" s="7" t="inlineStr">
        <is>
          <t>MAT-32-305</t>
        </is>
      </c>
      <c r="B1656" s="4" t="inlineStr">
        <is>
          <t>Niple de HG 1 1/2" x 4"</t>
        </is>
      </c>
      <c r="C1656" s="7" t="inlineStr">
        <is>
          <t>unidad</t>
        </is>
      </c>
      <c r="D1656" s="8" t="n"/>
      <c r="E1656" s="8" t="n">
        <v>104</v>
      </c>
      <c r="F1656" s="8" t="n"/>
      <c r="G1656" s="8" t="n">
        <v>257</v>
      </c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>
        <f>IF(COUNT(D1656:P1656)=0,"",MIN(D1656:P1656))</f>
        <v/>
      </c>
      <c r="R1656" s="8">
        <f>IF(COUNT(D1656:P1656)=0,"",MEDIAN(D1656:P1656))</f>
        <v/>
      </c>
      <c r="S1656" s="8">
        <f>IF(COUNT(D1656:P1656)=0,"",MAX(D1656:P1656))</f>
        <v/>
      </c>
      <c r="T1656" s="9">
        <f>IF(OR(Q1656="",Q1656=0),"",(S1656-Q1656)/Q1656)</f>
        <v/>
      </c>
      <c r="U1656" s="7">
        <f>IF(COUNT(D1656:P1656)=0,"",INDEX($D$1:$P$1,MATCH(MIN(D1656:P1656),D1656:P1656,0)))</f>
        <v/>
      </c>
      <c r="V1656" s="8" t="n">
        <v>180.5</v>
      </c>
      <c r="W1656" s="10" t="n">
        <v>2</v>
      </c>
    </row>
    <row r="1657">
      <c r="A1657" s="7" t="inlineStr">
        <is>
          <t>MAT-32-306</t>
        </is>
      </c>
      <c r="B1657" s="4" t="inlineStr">
        <is>
          <t>Niple de HG 1 1/2" x 5"</t>
        </is>
      </c>
      <c r="C1657" s="7" t="inlineStr">
        <is>
          <t>unidad</t>
        </is>
      </c>
      <c r="D1657" s="8" t="n"/>
      <c r="E1657" s="8" t="n">
        <v>150</v>
      </c>
      <c r="F1657" s="8" t="n"/>
      <c r="G1657" s="8" t="n"/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>
        <f>IF(COUNT(D1657:P1657)=0,"",MIN(D1657:P1657))</f>
        <v/>
      </c>
      <c r="R1657" s="8">
        <f>IF(COUNT(D1657:P1657)=0,"",MEDIAN(D1657:P1657))</f>
        <v/>
      </c>
      <c r="S1657" s="8">
        <f>IF(COUNT(D1657:P1657)=0,"",MAX(D1657:P1657))</f>
        <v/>
      </c>
      <c r="T1657" s="9">
        <f>IF(OR(Q1657="",Q1657=0),"",(S1657-Q1657)/Q1657)</f>
        <v/>
      </c>
      <c r="U1657" s="7">
        <f>IF(COUNT(D1657:P1657)=0,"",INDEX($D$1:$P$1,MATCH(MIN(D1657:P1657),D1657:P1657,0)))</f>
        <v/>
      </c>
      <c r="V1657" s="8" t="n">
        <v>150</v>
      </c>
      <c r="W1657" s="10" t="n">
        <v>1</v>
      </c>
    </row>
    <row r="1658">
      <c r="A1658" s="7" t="inlineStr">
        <is>
          <t>MAT-32-307</t>
        </is>
      </c>
      <c r="B1658" s="4" t="inlineStr">
        <is>
          <t>Niple de HG 1 1/2" x 6"</t>
        </is>
      </c>
      <c r="C1658" s="7" t="inlineStr">
        <is>
          <t>unidad</t>
        </is>
      </c>
      <c r="D1658" s="8" t="n"/>
      <c r="E1658" s="8" t="n">
        <v>141</v>
      </c>
      <c r="F1658" s="8" t="n"/>
      <c r="G1658" s="8" t="n">
        <v>379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>
        <f>IF(COUNT(D1658:P1658)=0,"",MIN(D1658:P1658))</f>
        <v/>
      </c>
      <c r="R1658" s="8">
        <f>IF(COUNT(D1658:P1658)=0,"",MEDIAN(D1658:P1658))</f>
        <v/>
      </c>
      <c r="S1658" s="8">
        <f>IF(COUNT(D1658:P1658)=0,"",MAX(D1658:P1658))</f>
        <v/>
      </c>
      <c r="T1658" s="9">
        <f>IF(OR(Q1658="",Q1658=0),"",(S1658-Q1658)/Q1658)</f>
        <v/>
      </c>
      <c r="U1658" s="7">
        <f>IF(COUNT(D1658:P1658)=0,"",INDEX($D$1:$P$1,MATCH(MIN(D1658:P1658),D1658:P1658,0)))</f>
        <v/>
      </c>
      <c r="V1658" s="8" t="n">
        <v>260</v>
      </c>
      <c r="W1658" s="10" t="n">
        <v>2</v>
      </c>
    </row>
    <row r="1659">
      <c r="A1659" s="7" t="inlineStr">
        <is>
          <t>MAT-32-308</t>
        </is>
      </c>
      <c r="B1659" s="4" t="inlineStr">
        <is>
          <t>Niple de HG 1 1/4" x 2"</t>
        </is>
      </c>
      <c r="C1659" s="7" t="inlineStr">
        <is>
          <t>unidad</t>
        </is>
      </c>
      <c r="D1659" s="8" t="n"/>
      <c r="E1659" s="8" t="n"/>
      <c r="F1659" s="8" t="n"/>
      <c r="G1659" s="8" t="n">
        <v>170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>
        <f>IF(COUNT(D1659:P1659)=0,"",MIN(D1659:P1659))</f>
        <v/>
      </c>
      <c r="R1659" s="8">
        <f>IF(COUNT(D1659:P1659)=0,"",MEDIAN(D1659:P1659))</f>
        <v/>
      </c>
      <c r="S1659" s="8">
        <f>IF(COUNT(D1659:P1659)=0,"",MAX(D1659:P1659))</f>
        <v/>
      </c>
      <c r="T1659" s="9">
        <f>IF(OR(Q1659="",Q1659=0),"",(S1659-Q1659)/Q1659)</f>
        <v/>
      </c>
      <c r="U1659" s="7">
        <f>IF(COUNT(D1659:P1659)=0,"",INDEX($D$1:$P$1,MATCH(MIN(D1659:P1659),D1659:P1659,0)))</f>
        <v/>
      </c>
      <c r="V1659" s="8" t="n">
        <v>170</v>
      </c>
      <c r="W1659" s="10" t="n">
        <v>1</v>
      </c>
    </row>
    <row r="1660">
      <c r="A1660" s="7" t="inlineStr">
        <is>
          <t>MAT-32-309</t>
        </is>
      </c>
      <c r="B1660" s="4" t="inlineStr">
        <is>
          <t>Niple de HG 1 1/4" x 3"</t>
        </is>
      </c>
      <c r="C1660" s="7" t="inlineStr">
        <is>
          <t>unidad</t>
        </is>
      </c>
      <c r="D1660" s="8" t="n"/>
      <c r="E1660" s="8" t="n">
        <v>78</v>
      </c>
      <c r="F1660" s="8" t="n"/>
      <c r="G1660" s="8" t="n">
        <v>174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>
        <f>IF(COUNT(D1660:P1660)=0,"",MIN(D1660:P1660))</f>
        <v/>
      </c>
      <c r="R1660" s="8">
        <f>IF(COUNT(D1660:P1660)=0,"",MEDIAN(D1660:P1660))</f>
        <v/>
      </c>
      <c r="S1660" s="8">
        <f>IF(COUNT(D1660:P1660)=0,"",MAX(D1660:P1660))</f>
        <v/>
      </c>
      <c r="T1660" s="9">
        <f>IF(OR(Q1660="",Q1660=0),"",(S1660-Q1660)/Q1660)</f>
        <v/>
      </c>
      <c r="U1660" s="7">
        <f>IF(COUNT(D1660:P1660)=0,"",INDEX($D$1:$P$1,MATCH(MIN(D1660:P1660),D1660:P1660,0)))</f>
        <v/>
      </c>
      <c r="V1660" s="8" t="n">
        <v>126</v>
      </c>
      <c r="W1660" s="10" t="n">
        <v>2</v>
      </c>
    </row>
    <row r="1661">
      <c r="A1661" s="7" t="inlineStr">
        <is>
          <t>MAT-32-310</t>
        </is>
      </c>
      <c r="B1661" s="4" t="inlineStr">
        <is>
          <t>Niple de HG 1 1/4" x 4"</t>
        </is>
      </c>
      <c r="C1661" s="7" t="inlineStr">
        <is>
          <t>unidad</t>
        </is>
      </c>
      <c r="D1661" s="8" t="n"/>
      <c r="E1661" s="8" t="n">
        <v>101</v>
      </c>
      <c r="F1661" s="8" t="n"/>
      <c r="G1661" s="8" t="n">
        <v>191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>
        <f>IF(COUNT(D1661:P1661)=0,"",MIN(D1661:P1661))</f>
        <v/>
      </c>
      <c r="R1661" s="8">
        <f>IF(COUNT(D1661:P1661)=0,"",MEDIAN(D1661:P1661))</f>
        <v/>
      </c>
      <c r="S1661" s="8">
        <f>IF(COUNT(D1661:P1661)=0,"",MAX(D1661:P1661))</f>
        <v/>
      </c>
      <c r="T1661" s="9">
        <f>IF(OR(Q1661="",Q1661=0),"",(S1661-Q1661)/Q1661)</f>
        <v/>
      </c>
      <c r="U1661" s="7">
        <f>IF(COUNT(D1661:P1661)=0,"",INDEX($D$1:$P$1,MATCH(MIN(D1661:P1661),D1661:P1661,0)))</f>
        <v/>
      </c>
      <c r="V1661" s="8" t="n">
        <v>146</v>
      </c>
      <c r="W1661" s="10" t="n">
        <v>2</v>
      </c>
    </row>
    <row r="1662">
      <c r="A1662" s="7" t="inlineStr">
        <is>
          <t>MAT-32-311</t>
        </is>
      </c>
      <c r="B1662" s="4" t="inlineStr">
        <is>
          <t>Niple de HG 1 1/4" x 5"</t>
        </is>
      </c>
      <c r="C1662" s="7" t="inlineStr">
        <is>
          <t>unidad</t>
        </is>
      </c>
      <c r="D1662" s="8" t="n"/>
      <c r="E1662" s="8" t="n">
        <v>98</v>
      </c>
      <c r="F1662" s="8" t="n"/>
      <c r="G1662" s="8" t="n"/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>
        <f>IF(COUNT(D1662:P1662)=0,"",MIN(D1662:P1662))</f>
        <v/>
      </c>
      <c r="R1662" s="8">
        <f>IF(COUNT(D1662:P1662)=0,"",MEDIAN(D1662:P1662))</f>
        <v/>
      </c>
      <c r="S1662" s="8">
        <f>IF(COUNT(D1662:P1662)=0,"",MAX(D1662:P1662))</f>
        <v/>
      </c>
      <c r="T1662" s="9">
        <f>IF(OR(Q1662="",Q1662=0),"",(S1662-Q1662)/Q1662)</f>
        <v/>
      </c>
      <c r="U1662" s="7">
        <f>IF(COUNT(D1662:P1662)=0,"",INDEX($D$1:$P$1,MATCH(MIN(D1662:P1662),D1662:P1662,0)))</f>
        <v/>
      </c>
      <c r="V1662" s="8" t="n">
        <v>98</v>
      </c>
      <c r="W1662" s="10" t="n">
        <v>1</v>
      </c>
    </row>
    <row r="1663">
      <c r="A1663" s="7" t="inlineStr">
        <is>
          <t>MAT-32-312</t>
        </is>
      </c>
      <c r="B1663" s="4" t="inlineStr">
        <is>
          <t>Niple de HG 1 1/4" x 6"</t>
        </is>
      </c>
      <c r="C1663" s="7" t="inlineStr">
        <is>
          <t>unidad</t>
        </is>
      </c>
      <c r="D1663" s="8" t="n"/>
      <c r="E1663" s="8" t="n">
        <v>118</v>
      </c>
      <c r="F1663" s="8" t="n"/>
      <c r="G1663" s="8" t="n">
        <v>236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>
        <f>IF(COUNT(D1663:P1663)=0,"",MIN(D1663:P1663))</f>
        <v/>
      </c>
      <c r="R1663" s="8">
        <f>IF(COUNT(D1663:P1663)=0,"",MEDIAN(D1663:P1663))</f>
        <v/>
      </c>
      <c r="S1663" s="8">
        <f>IF(COUNT(D1663:P1663)=0,"",MAX(D1663:P1663))</f>
        <v/>
      </c>
      <c r="T1663" s="9">
        <f>IF(OR(Q1663="",Q1663=0),"",(S1663-Q1663)/Q1663)</f>
        <v/>
      </c>
      <c r="U1663" s="7">
        <f>IF(COUNT(D1663:P1663)=0,"",INDEX($D$1:$P$1,MATCH(MIN(D1663:P1663),D1663:P1663,0)))</f>
        <v/>
      </c>
      <c r="V1663" s="8" t="n">
        <v>177</v>
      </c>
      <c r="W1663" s="10" t="n">
        <v>2</v>
      </c>
    </row>
    <row r="1664">
      <c r="A1664" s="7" t="inlineStr">
        <is>
          <t>MAT-32-313</t>
        </is>
      </c>
      <c r="B1664" s="4" t="inlineStr">
        <is>
          <t>Niple de HG 1/2" x 1 1/2"</t>
        </is>
      </c>
      <c r="C1664" s="7" t="inlineStr">
        <is>
          <t>unidad</t>
        </is>
      </c>
      <c r="D1664" s="8" t="n"/>
      <c r="E1664" s="8" t="n">
        <v>17.47</v>
      </c>
      <c r="F1664" s="8" t="n"/>
      <c r="G1664" s="8" t="n">
        <v>75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>
        <f>IF(COUNT(D1664:P1664)=0,"",MIN(D1664:P1664))</f>
        <v/>
      </c>
      <c r="R1664" s="8">
        <f>IF(COUNT(D1664:P1664)=0,"",MEDIAN(D1664:P1664))</f>
        <v/>
      </c>
      <c r="S1664" s="8">
        <f>IF(COUNT(D1664:P1664)=0,"",MAX(D1664:P1664))</f>
        <v/>
      </c>
      <c r="T1664" s="9">
        <f>IF(OR(Q1664="",Q1664=0),"",(S1664-Q1664)/Q1664)</f>
        <v/>
      </c>
      <c r="U1664" s="7">
        <f>IF(COUNT(D1664:P1664)=0,"",INDEX($D$1:$P$1,MATCH(MIN(D1664:P1664),D1664:P1664,0)))</f>
        <v/>
      </c>
      <c r="V1664" s="8" t="n">
        <v>46.24</v>
      </c>
      <c r="W1664" s="10" t="n">
        <v>2</v>
      </c>
    </row>
    <row r="1665">
      <c r="A1665" s="7" t="inlineStr">
        <is>
          <t>MAT-32-314</t>
        </is>
      </c>
      <c r="B1665" s="4" t="inlineStr">
        <is>
          <t>Niple de HG 1/2" x 10"</t>
        </is>
      </c>
      <c r="C1665" s="7" t="inlineStr">
        <is>
          <t>unidad</t>
        </is>
      </c>
      <c r="D1665" s="8" t="n"/>
      <c r="E1665" s="8" t="n">
        <v>115</v>
      </c>
      <c r="F1665" s="8" t="n"/>
      <c r="G1665" s="8" t="n">
        <v>199</v>
      </c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>
        <f>IF(COUNT(D1665:P1665)=0,"",MIN(D1665:P1665))</f>
        <v/>
      </c>
      <c r="R1665" s="8">
        <f>IF(COUNT(D1665:P1665)=0,"",MEDIAN(D1665:P1665))</f>
        <v/>
      </c>
      <c r="S1665" s="8">
        <f>IF(COUNT(D1665:P1665)=0,"",MAX(D1665:P1665))</f>
        <v/>
      </c>
      <c r="T1665" s="9">
        <f>IF(OR(Q1665="",Q1665=0),"",(S1665-Q1665)/Q1665)</f>
        <v/>
      </c>
      <c r="U1665" s="7">
        <f>IF(COUNT(D1665:P1665)=0,"",INDEX($D$1:$P$1,MATCH(MIN(D1665:P1665),D1665:P1665,0)))</f>
        <v/>
      </c>
      <c r="V1665" s="8" t="n">
        <v>157</v>
      </c>
      <c r="W1665" s="10" t="n">
        <v>2</v>
      </c>
    </row>
    <row r="1666">
      <c r="A1666" s="7" t="inlineStr">
        <is>
          <t>MAT-32-315</t>
        </is>
      </c>
      <c r="B1666" s="4" t="inlineStr">
        <is>
          <t>Niple de HG 1/2" x 12"</t>
        </is>
      </c>
      <c r="C1666" s="7" t="inlineStr">
        <is>
          <t>unidad</t>
        </is>
      </c>
      <c r="D1666" s="8" t="n"/>
      <c r="E1666" s="8" t="n">
        <v>119</v>
      </c>
      <c r="F1666" s="8" t="n"/>
      <c r="G1666" s="8" t="n">
        <v>259</v>
      </c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>
        <f>IF(COUNT(D1666:P1666)=0,"",MIN(D1666:P1666))</f>
        <v/>
      </c>
      <c r="R1666" s="8">
        <f>IF(COUNT(D1666:P1666)=0,"",MEDIAN(D1666:P1666))</f>
        <v/>
      </c>
      <c r="S1666" s="8">
        <f>IF(COUNT(D1666:P1666)=0,"",MAX(D1666:P1666))</f>
        <v/>
      </c>
      <c r="T1666" s="9">
        <f>IF(OR(Q1666="",Q1666=0),"",(S1666-Q1666)/Q1666)</f>
        <v/>
      </c>
      <c r="U1666" s="7">
        <f>IF(COUNT(D1666:P1666)=0,"",INDEX($D$1:$P$1,MATCH(MIN(D1666:P1666),D1666:P1666,0)))</f>
        <v/>
      </c>
      <c r="V1666" s="8" t="n">
        <v>189</v>
      </c>
      <c r="W1666" s="10" t="n">
        <v>2</v>
      </c>
    </row>
    <row r="1667">
      <c r="A1667" s="7" t="inlineStr">
        <is>
          <t>MAT-32-316</t>
        </is>
      </c>
      <c r="B1667" s="4" t="inlineStr">
        <is>
          <t>Niple de HG 1/2" x 1"</t>
        </is>
      </c>
      <c r="C1667" s="7" t="inlineStr">
        <is>
          <t>unidad</t>
        </is>
      </c>
      <c r="D1667" s="8" t="n"/>
      <c r="E1667" s="8" t="n">
        <v>16.38</v>
      </c>
      <c r="F1667" s="8" t="n"/>
      <c r="G1667" s="8" t="n">
        <v>67</v>
      </c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>
        <f>IF(COUNT(D1667:P1667)=0,"",MIN(D1667:P1667))</f>
        <v/>
      </c>
      <c r="R1667" s="8">
        <f>IF(COUNT(D1667:P1667)=0,"",MEDIAN(D1667:P1667))</f>
        <v/>
      </c>
      <c r="S1667" s="8">
        <f>IF(COUNT(D1667:P1667)=0,"",MAX(D1667:P1667))</f>
        <v/>
      </c>
      <c r="T1667" s="9">
        <f>IF(OR(Q1667="",Q1667=0),"",(S1667-Q1667)/Q1667)</f>
        <v/>
      </c>
      <c r="U1667" s="7">
        <f>IF(COUNT(D1667:P1667)=0,"",INDEX($D$1:$P$1,MATCH(MIN(D1667:P1667),D1667:P1667,0)))</f>
        <v/>
      </c>
      <c r="V1667" s="8" t="n">
        <v>41.69</v>
      </c>
      <c r="W1667" s="10" t="n">
        <v>2</v>
      </c>
    </row>
    <row r="1668">
      <c r="A1668" s="7" t="inlineStr">
        <is>
          <t>MAT-32-317</t>
        </is>
      </c>
      <c r="B1668" s="4" t="inlineStr">
        <is>
          <t>Niple de HG 1/2" x 2 1/2"</t>
        </is>
      </c>
      <c r="C1668" s="7" t="inlineStr">
        <is>
          <t>unidad</t>
        </is>
      </c>
      <c r="D1668" s="8" t="n"/>
      <c r="E1668" s="8" t="n">
        <v>24.02</v>
      </c>
      <c r="F1668" s="8" t="n"/>
      <c r="G1668" s="8" t="n">
        <v>65</v>
      </c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>
        <f>IF(COUNT(D1668:P1668)=0,"",MIN(D1668:P1668))</f>
        <v/>
      </c>
      <c r="R1668" s="8">
        <f>IF(COUNT(D1668:P1668)=0,"",MEDIAN(D1668:P1668))</f>
        <v/>
      </c>
      <c r="S1668" s="8">
        <f>IF(COUNT(D1668:P1668)=0,"",MAX(D1668:P1668))</f>
        <v/>
      </c>
      <c r="T1668" s="9">
        <f>IF(OR(Q1668="",Q1668=0),"",(S1668-Q1668)/Q1668)</f>
        <v/>
      </c>
      <c r="U1668" s="7">
        <f>IF(COUNT(D1668:P1668)=0,"",INDEX($D$1:$P$1,MATCH(MIN(D1668:P1668),D1668:P1668,0)))</f>
        <v/>
      </c>
      <c r="V1668" s="8" t="n">
        <v>44.51</v>
      </c>
      <c r="W1668" s="10" t="n">
        <v>2</v>
      </c>
    </row>
    <row r="1669">
      <c r="A1669" s="7" t="inlineStr">
        <is>
          <t>MAT-32-318</t>
        </is>
      </c>
      <c r="B1669" s="4" t="inlineStr">
        <is>
          <t>Niple de HG 1/2" x 2"</t>
        </is>
      </c>
      <c r="C1669" s="7" t="inlineStr">
        <is>
          <t>unidad</t>
        </is>
      </c>
      <c r="D1669" s="8" t="n"/>
      <c r="E1669" s="8" t="n">
        <v>19.66</v>
      </c>
      <c r="F1669" s="8" t="n"/>
      <c r="G1669" s="8" t="n">
        <v>65</v>
      </c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>
        <f>IF(COUNT(D1669:P1669)=0,"",MIN(D1669:P1669))</f>
        <v/>
      </c>
      <c r="R1669" s="8">
        <f>IF(COUNT(D1669:P1669)=0,"",MEDIAN(D1669:P1669))</f>
        <v/>
      </c>
      <c r="S1669" s="8">
        <f>IF(COUNT(D1669:P1669)=0,"",MAX(D1669:P1669))</f>
        <v/>
      </c>
      <c r="T1669" s="9">
        <f>IF(OR(Q1669="",Q1669=0),"",(S1669-Q1669)/Q1669)</f>
        <v/>
      </c>
      <c r="U1669" s="7">
        <f>IF(COUNT(D1669:P1669)=0,"",INDEX($D$1:$P$1,MATCH(MIN(D1669:P1669),D1669:P1669,0)))</f>
        <v/>
      </c>
      <c r="V1669" s="8" t="n">
        <v>42.33</v>
      </c>
      <c r="W1669" s="10" t="n">
        <v>2</v>
      </c>
    </row>
    <row r="1670">
      <c r="A1670" s="7" t="inlineStr">
        <is>
          <t>MAT-32-319</t>
        </is>
      </c>
      <c r="B1670" s="4" t="inlineStr">
        <is>
          <t>Niple de HG 1/2" x 3"</t>
        </is>
      </c>
      <c r="C1670" s="7" t="inlineStr">
        <is>
          <t>unidad</t>
        </is>
      </c>
      <c r="D1670" s="8" t="n"/>
      <c r="E1670" s="8" t="n">
        <v>27.3</v>
      </c>
      <c r="F1670" s="8" t="n"/>
      <c r="G1670" s="8" t="n">
        <v>65</v>
      </c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>
        <f>IF(COUNT(D1670:P1670)=0,"",MIN(D1670:P1670))</f>
        <v/>
      </c>
      <c r="R1670" s="8">
        <f>IF(COUNT(D1670:P1670)=0,"",MEDIAN(D1670:P1670))</f>
        <v/>
      </c>
      <c r="S1670" s="8">
        <f>IF(COUNT(D1670:P1670)=0,"",MAX(D1670:P1670))</f>
        <v/>
      </c>
      <c r="T1670" s="9">
        <f>IF(OR(Q1670="",Q1670=0),"",(S1670-Q1670)/Q1670)</f>
        <v/>
      </c>
      <c r="U1670" s="7">
        <f>IF(COUNT(D1670:P1670)=0,"",INDEX($D$1:$P$1,MATCH(MIN(D1670:P1670),D1670:P1670,0)))</f>
        <v/>
      </c>
      <c r="V1670" s="8" t="n">
        <v>46.15</v>
      </c>
      <c r="W1670" s="10" t="n">
        <v>2</v>
      </c>
    </row>
    <row r="1671">
      <c r="A1671" s="7" t="inlineStr">
        <is>
          <t>MAT-32-320</t>
        </is>
      </c>
      <c r="B1671" s="4" t="inlineStr">
        <is>
          <t>Niple de HG 1/2" x 4"</t>
        </is>
      </c>
      <c r="C1671" s="7" t="inlineStr">
        <is>
          <t>unidad</t>
        </is>
      </c>
      <c r="D1671" s="8" t="n"/>
      <c r="E1671" s="8" t="n">
        <v>34.5</v>
      </c>
      <c r="F1671" s="8" t="n"/>
      <c r="G1671" s="8" t="n">
        <v>155</v>
      </c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>
        <f>IF(COUNT(D1671:P1671)=0,"",MIN(D1671:P1671))</f>
        <v/>
      </c>
      <c r="R1671" s="8">
        <f>IF(COUNT(D1671:P1671)=0,"",MEDIAN(D1671:P1671))</f>
        <v/>
      </c>
      <c r="S1671" s="8">
        <f>IF(COUNT(D1671:P1671)=0,"",MAX(D1671:P1671))</f>
        <v/>
      </c>
      <c r="T1671" s="9">
        <f>IF(OR(Q1671="",Q1671=0),"",(S1671-Q1671)/Q1671)</f>
        <v/>
      </c>
      <c r="U1671" s="7">
        <f>IF(COUNT(D1671:P1671)=0,"",INDEX($D$1:$P$1,MATCH(MIN(D1671:P1671),D1671:P1671,0)))</f>
        <v/>
      </c>
      <c r="V1671" s="8" t="n">
        <v>94.75</v>
      </c>
      <c r="W1671" s="10" t="n">
        <v>2</v>
      </c>
    </row>
    <row r="1672">
      <c r="A1672" s="7" t="inlineStr">
        <is>
          <t>MAT-32-321</t>
        </is>
      </c>
      <c r="B1672" s="4" t="inlineStr">
        <is>
          <t>Niple de HG 1/2" x 5"</t>
        </is>
      </c>
      <c r="C1672" s="7" t="inlineStr">
        <is>
          <t>unidad</t>
        </is>
      </c>
      <c r="D1672" s="8" t="n"/>
      <c r="E1672" s="8" t="n">
        <v>41.5</v>
      </c>
      <c r="F1672" s="8" t="n"/>
      <c r="G1672" s="8" t="n">
        <v>182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>
        <f>IF(COUNT(D1672:P1672)=0,"",MIN(D1672:P1672))</f>
        <v/>
      </c>
      <c r="R1672" s="8">
        <f>IF(COUNT(D1672:P1672)=0,"",MEDIAN(D1672:P1672))</f>
        <v/>
      </c>
      <c r="S1672" s="8">
        <f>IF(COUNT(D1672:P1672)=0,"",MAX(D1672:P1672))</f>
        <v/>
      </c>
      <c r="T1672" s="9">
        <f>IF(OR(Q1672="",Q1672=0),"",(S1672-Q1672)/Q1672)</f>
        <v/>
      </c>
      <c r="U1672" s="7">
        <f>IF(COUNT(D1672:P1672)=0,"",INDEX($D$1:$P$1,MATCH(MIN(D1672:P1672),D1672:P1672,0)))</f>
        <v/>
      </c>
      <c r="V1672" s="8" t="n">
        <v>111.75</v>
      </c>
      <c r="W1672" s="10" t="n">
        <v>2</v>
      </c>
    </row>
    <row r="1673">
      <c r="A1673" s="7" t="inlineStr">
        <is>
          <t>MAT-32-322</t>
        </is>
      </c>
      <c r="B1673" s="4" t="inlineStr">
        <is>
          <t>Niple de HG 1/2" x 6"</t>
        </is>
      </c>
      <c r="C1673" s="7" t="inlineStr">
        <is>
          <t>unidad</t>
        </is>
      </c>
      <c r="D1673" s="8" t="n"/>
      <c r="E1673" s="8" t="n">
        <v>70</v>
      </c>
      <c r="F1673" s="8" t="n"/>
      <c r="G1673" s="8" t="n">
        <v>49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>
        <f>IF(COUNT(D1673:P1673)=0,"",MIN(D1673:P1673))</f>
        <v/>
      </c>
      <c r="R1673" s="8">
        <f>IF(COUNT(D1673:P1673)=0,"",MEDIAN(D1673:P1673))</f>
        <v/>
      </c>
      <c r="S1673" s="8">
        <f>IF(COUNT(D1673:P1673)=0,"",MAX(D1673:P1673))</f>
        <v/>
      </c>
      <c r="T1673" s="9">
        <f>IF(OR(Q1673="",Q1673=0),"",(S1673-Q1673)/Q1673)</f>
        <v/>
      </c>
      <c r="U1673" s="7">
        <f>IF(COUNT(D1673:P1673)=0,"",INDEX($D$1:$P$1,MATCH(MIN(D1673:P1673),D1673:P1673,0)))</f>
        <v/>
      </c>
      <c r="V1673" s="8" t="n">
        <v>59.5</v>
      </c>
      <c r="W1673" s="10" t="n">
        <v>2</v>
      </c>
    </row>
    <row r="1674">
      <c r="A1674" s="7" t="inlineStr">
        <is>
          <t>MAT-32-323</t>
        </is>
      </c>
      <c r="B1674" s="4" t="inlineStr">
        <is>
          <t>Niple de HG 1/2" x 8"</t>
        </is>
      </c>
      <c r="C1674" s="7" t="inlineStr">
        <is>
          <t>unidad</t>
        </is>
      </c>
      <c r="D1674" s="8" t="n"/>
      <c r="E1674" s="8" t="n">
        <v>77</v>
      </c>
      <c r="F1674" s="8" t="n"/>
      <c r="G1674" s="8" t="n">
        <v>187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>
        <f>IF(COUNT(D1674:P1674)=0,"",MIN(D1674:P1674))</f>
        <v/>
      </c>
      <c r="R1674" s="8">
        <f>IF(COUNT(D1674:P1674)=0,"",MEDIAN(D1674:P1674))</f>
        <v/>
      </c>
      <c r="S1674" s="8">
        <f>IF(COUNT(D1674:P1674)=0,"",MAX(D1674:P1674))</f>
        <v/>
      </c>
      <c r="T1674" s="9">
        <f>IF(OR(Q1674="",Q1674=0),"",(S1674-Q1674)/Q1674)</f>
        <v/>
      </c>
      <c r="U1674" s="7">
        <f>IF(COUNT(D1674:P1674)=0,"",INDEX($D$1:$P$1,MATCH(MIN(D1674:P1674),D1674:P1674,0)))</f>
        <v/>
      </c>
      <c r="V1674" s="8" t="n">
        <v>132</v>
      </c>
      <c r="W1674" s="10" t="n">
        <v>2</v>
      </c>
    </row>
    <row r="1675">
      <c r="A1675" s="7" t="inlineStr">
        <is>
          <t>MAT-32-324</t>
        </is>
      </c>
      <c r="B1675" s="4" t="inlineStr">
        <is>
          <t>Niple de HG 1/4" x 1 1/2"</t>
        </is>
      </c>
      <c r="C1675" s="7" t="inlineStr">
        <is>
          <t>unidad</t>
        </is>
      </c>
      <c r="D1675" s="8" t="n"/>
      <c r="E1675" s="8" t="n">
        <v>27.3</v>
      </c>
      <c r="F1675" s="8" t="n"/>
      <c r="G1675" s="8" t="n"/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>
        <f>IF(COUNT(D1675:P1675)=0,"",MIN(D1675:P1675))</f>
        <v/>
      </c>
      <c r="R1675" s="8">
        <f>IF(COUNT(D1675:P1675)=0,"",MEDIAN(D1675:P1675))</f>
        <v/>
      </c>
      <c r="S1675" s="8">
        <f>IF(COUNT(D1675:P1675)=0,"",MAX(D1675:P1675))</f>
        <v/>
      </c>
      <c r="T1675" s="9">
        <f>IF(OR(Q1675="",Q1675=0),"",(S1675-Q1675)/Q1675)</f>
        <v/>
      </c>
      <c r="U1675" s="7">
        <f>IF(COUNT(D1675:P1675)=0,"",INDEX($D$1:$P$1,MATCH(MIN(D1675:P1675),D1675:P1675,0)))</f>
        <v/>
      </c>
      <c r="V1675" s="8" t="n">
        <v>27.3</v>
      </c>
      <c r="W1675" s="10" t="n">
        <v>1</v>
      </c>
    </row>
    <row r="1676">
      <c r="A1676" s="7" t="inlineStr">
        <is>
          <t>MAT-32-325</t>
        </is>
      </c>
      <c r="B1676" s="4" t="inlineStr">
        <is>
          <t>Niple de HG 1/4" x 2"</t>
        </is>
      </c>
      <c r="C1676" s="7" t="inlineStr">
        <is>
          <t>unidad</t>
        </is>
      </c>
      <c r="D1676" s="8" t="n"/>
      <c r="E1676" s="8" t="n">
        <v>29.45</v>
      </c>
      <c r="F1676" s="8" t="n"/>
      <c r="G1676" s="8" t="n">
        <v>170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>
        <f>IF(COUNT(D1676:P1676)=0,"",MIN(D1676:P1676))</f>
        <v/>
      </c>
      <c r="R1676" s="8">
        <f>IF(COUNT(D1676:P1676)=0,"",MEDIAN(D1676:P1676))</f>
        <v/>
      </c>
      <c r="S1676" s="8">
        <f>IF(COUNT(D1676:P1676)=0,"",MAX(D1676:P1676))</f>
        <v/>
      </c>
      <c r="T1676" s="9">
        <f>IF(OR(Q1676="",Q1676=0),"",(S1676-Q1676)/Q1676)</f>
        <v/>
      </c>
      <c r="U1676" s="7">
        <f>IF(COUNT(D1676:P1676)=0,"",INDEX($D$1:$P$1,MATCH(MIN(D1676:P1676),D1676:P1676,0)))</f>
        <v/>
      </c>
      <c r="V1676" s="8" t="n">
        <v>99.73</v>
      </c>
      <c r="W1676" s="10" t="n">
        <v>2</v>
      </c>
    </row>
    <row r="1677">
      <c r="A1677" s="7" t="inlineStr">
        <is>
          <t>MAT-32-326</t>
        </is>
      </c>
      <c r="B1677" s="4" t="inlineStr">
        <is>
          <t>Niple de HG 1/4" x 3"</t>
        </is>
      </c>
      <c r="C1677" s="7" t="inlineStr">
        <is>
          <t>unidad</t>
        </is>
      </c>
      <c r="D1677" s="8" t="n"/>
      <c r="E1677" s="8" t="n">
        <v>26.76</v>
      </c>
      <c r="F1677" s="8" t="n"/>
      <c r="G1677" s="8" t="n"/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>
        <f>IF(COUNT(D1677:P1677)=0,"",MIN(D1677:P1677))</f>
        <v/>
      </c>
      <c r="R1677" s="8">
        <f>IF(COUNT(D1677:P1677)=0,"",MEDIAN(D1677:P1677))</f>
        <v/>
      </c>
      <c r="S1677" s="8">
        <f>IF(COUNT(D1677:P1677)=0,"",MAX(D1677:P1677))</f>
        <v/>
      </c>
      <c r="T1677" s="9">
        <f>IF(OR(Q1677="",Q1677=0),"",(S1677-Q1677)/Q1677)</f>
        <v/>
      </c>
      <c r="U1677" s="7">
        <f>IF(COUNT(D1677:P1677)=0,"",INDEX($D$1:$P$1,MATCH(MIN(D1677:P1677),D1677:P1677,0)))</f>
        <v/>
      </c>
      <c r="V1677" s="8" t="n">
        <v>26.76</v>
      </c>
      <c r="W1677" s="10" t="n">
        <v>1</v>
      </c>
    </row>
    <row r="1678">
      <c r="A1678" s="7" t="inlineStr">
        <is>
          <t>MAT-32-327</t>
        </is>
      </c>
      <c r="B1678" s="4" t="inlineStr">
        <is>
          <t>Niple de HG 1/4" x 4"</t>
        </is>
      </c>
      <c r="C1678" s="7" t="inlineStr">
        <is>
          <t>unidad</t>
        </is>
      </c>
      <c r="D1678" s="8" t="n"/>
      <c r="E1678" s="8" t="n">
        <v>35.88</v>
      </c>
      <c r="F1678" s="8" t="n"/>
      <c r="G1678" s="8" t="n">
        <v>204</v>
      </c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>
        <f>IF(COUNT(D1678:P1678)=0,"",MIN(D1678:P1678))</f>
        <v/>
      </c>
      <c r="R1678" s="8">
        <f>IF(COUNT(D1678:P1678)=0,"",MEDIAN(D1678:P1678))</f>
        <v/>
      </c>
      <c r="S1678" s="8">
        <f>IF(COUNT(D1678:P1678)=0,"",MAX(D1678:P1678))</f>
        <v/>
      </c>
      <c r="T1678" s="9">
        <f>IF(OR(Q1678="",Q1678=0),"",(S1678-Q1678)/Q1678)</f>
        <v/>
      </c>
      <c r="U1678" s="7">
        <f>IF(COUNT(D1678:P1678)=0,"",INDEX($D$1:$P$1,MATCH(MIN(D1678:P1678),D1678:P1678,0)))</f>
        <v/>
      </c>
      <c r="V1678" s="8" t="n">
        <v>119.94</v>
      </c>
      <c r="W1678" s="10" t="n">
        <v>2</v>
      </c>
    </row>
    <row r="1679">
      <c r="A1679" s="7" t="inlineStr">
        <is>
          <t>MAT-32-328</t>
        </is>
      </c>
      <c r="B1679" s="4" t="inlineStr">
        <is>
          <t>Niple de HG 1" x 1 1/2"</t>
        </is>
      </c>
      <c r="C1679" s="7" t="inlineStr">
        <is>
          <t>unidad</t>
        </is>
      </c>
      <c r="D1679" s="8" t="n"/>
      <c r="E1679" s="8" t="n">
        <v>38.22</v>
      </c>
      <c r="F1679" s="8" t="n"/>
      <c r="G1679" s="8" t="n"/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>
        <f>IF(COUNT(D1679:P1679)=0,"",MIN(D1679:P1679))</f>
        <v/>
      </c>
      <c r="R1679" s="8">
        <f>IF(COUNT(D1679:P1679)=0,"",MEDIAN(D1679:P1679))</f>
        <v/>
      </c>
      <c r="S1679" s="8">
        <f>IF(COUNT(D1679:P1679)=0,"",MAX(D1679:P1679))</f>
        <v/>
      </c>
      <c r="T1679" s="9">
        <f>IF(OR(Q1679="",Q1679=0),"",(S1679-Q1679)/Q1679)</f>
        <v/>
      </c>
      <c r="U1679" s="7">
        <f>IF(COUNT(D1679:P1679)=0,"",INDEX($D$1:$P$1,MATCH(MIN(D1679:P1679),D1679:P1679,0)))</f>
        <v/>
      </c>
      <c r="V1679" s="8" t="n">
        <v>38.22</v>
      </c>
      <c r="W1679" s="10" t="n">
        <v>1</v>
      </c>
    </row>
    <row r="1680">
      <c r="A1680" s="7" t="inlineStr">
        <is>
          <t>MAT-32-329</t>
        </is>
      </c>
      <c r="B1680" s="4" t="inlineStr">
        <is>
          <t>Niple de HG 1" x 10"</t>
        </is>
      </c>
      <c r="C1680" s="7" t="inlineStr">
        <is>
          <t>unidad</t>
        </is>
      </c>
      <c r="D1680" s="8" t="n"/>
      <c r="E1680" s="8" t="n"/>
      <c r="F1680" s="8" t="n"/>
      <c r="G1680" s="8" t="n">
        <v>344</v>
      </c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>
        <f>IF(COUNT(D1680:P1680)=0,"",MIN(D1680:P1680))</f>
        <v/>
      </c>
      <c r="R1680" s="8">
        <f>IF(COUNT(D1680:P1680)=0,"",MEDIAN(D1680:P1680))</f>
        <v/>
      </c>
      <c r="S1680" s="8">
        <f>IF(COUNT(D1680:P1680)=0,"",MAX(D1680:P1680))</f>
        <v/>
      </c>
      <c r="T1680" s="9">
        <f>IF(OR(Q1680="",Q1680=0),"",(S1680-Q1680)/Q1680)</f>
        <v/>
      </c>
      <c r="U1680" s="7">
        <f>IF(COUNT(D1680:P1680)=0,"",INDEX($D$1:$P$1,MATCH(MIN(D1680:P1680),D1680:P1680,0)))</f>
        <v/>
      </c>
      <c r="V1680" s="8" t="n">
        <v>344</v>
      </c>
      <c r="W1680" s="10" t="n">
        <v>1</v>
      </c>
    </row>
    <row r="1681">
      <c r="A1681" s="7" t="inlineStr">
        <is>
          <t>MAT-32-330</t>
        </is>
      </c>
      <c r="B1681" s="4" t="inlineStr">
        <is>
          <t>Niple de HG 1" x 2 1/2"</t>
        </is>
      </c>
      <c r="C1681" s="7" t="inlineStr">
        <is>
          <t>unidad</t>
        </is>
      </c>
      <c r="D1681" s="8" t="n"/>
      <c r="E1681" s="8" t="n">
        <v>45.86</v>
      </c>
      <c r="F1681" s="8" t="n"/>
      <c r="G1681" s="8" t="n">
        <v>130</v>
      </c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>
        <f>IF(COUNT(D1681:P1681)=0,"",MIN(D1681:P1681))</f>
        <v/>
      </c>
      <c r="R1681" s="8">
        <f>IF(COUNT(D1681:P1681)=0,"",MEDIAN(D1681:P1681))</f>
        <v/>
      </c>
      <c r="S1681" s="8">
        <f>IF(COUNT(D1681:P1681)=0,"",MAX(D1681:P1681))</f>
        <v/>
      </c>
      <c r="T1681" s="9">
        <f>IF(OR(Q1681="",Q1681=0),"",(S1681-Q1681)/Q1681)</f>
        <v/>
      </c>
      <c r="U1681" s="7">
        <f>IF(COUNT(D1681:P1681)=0,"",INDEX($D$1:$P$1,MATCH(MIN(D1681:P1681),D1681:P1681,0)))</f>
        <v/>
      </c>
      <c r="V1681" s="8" t="n">
        <v>87.93000000000001</v>
      </c>
      <c r="W1681" s="10" t="n">
        <v>2</v>
      </c>
    </row>
    <row r="1682">
      <c r="A1682" s="7" t="inlineStr">
        <is>
          <t>MAT-32-331</t>
        </is>
      </c>
      <c r="B1682" s="4" t="inlineStr">
        <is>
          <t>Niple de HG 1" x 2"</t>
        </is>
      </c>
      <c r="C1682" s="7" t="inlineStr">
        <is>
          <t>unidad</t>
        </is>
      </c>
      <c r="D1682" s="8" t="n"/>
      <c r="E1682" s="8" t="n">
        <v>48.61</v>
      </c>
      <c r="F1682" s="8" t="n"/>
      <c r="G1682" s="8" t="n">
        <v>53</v>
      </c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>
        <f>IF(COUNT(D1682:P1682)=0,"",MIN(D1682:P1682))</f>
        <v/>
      </c>
      <c r="R1682" s="8">
        <f>IF(COUNT(D1682:P1682)=0,"",MEDIAN(D1682:P1682))</f>
        <v/>
      </c>
      <c r="S1682" s="8">
        <f>IF(COUNT(D1682:P1682)=0,"",MAX(D1682:P1682))</f>
        <v/>
      </c>
      <c r="T1682" s="9">
        <f>IF(OR(Q1682="",Q1682=0),"",(S1682-Q1682)/Q1682)</f>
        <v/>
      </c>
      <c r="U1682" s="7">
        <f>IF(COUNT(D1682:P1682)=0,"",INDEX($D$1:$P$1,MATCH(MIN(D1682:P1682),D1682:P1682,0)))</f>
        <v/>
      </c>
      <c r="V1682" s="8" t="n">
        <v>50.81</v>
      </c>
      <c r="W1682" s="10" t="n">
        <v>2</v>
      </c>
    </row>
    <row r="1683">
      <c r="A1683" s="7" t="inlineStr">
        <is>
          <t>MAT-32-332</t>
        </is>
      </c>
      <c r="B1683" s="4" t="inlineStr">
        <is>
          <t>Niple de HG 1" x 3"</t>
        </is>
      </c>
      <c r="C1683" s="7" t="inlineStr">
        <is>
          <t>unidad</t>
        </is>
      </c>
      <c r="D1683" s="8" t="n"/>
      <c r="E1683" s="8" t="n"/>
      <c r="F1683" s="8" t="n"/>
      <c r="G1683" s="8" t="n">
        <v>63</v>
      </c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>
        <f>IF(COUNT(D1683:P1683)=0,"",MIN(D1683:P1683))</f>
        <v/>
      </c>
      <c r="R1683" s="8">
        <f>IF(COUNT(D1683:P1683)=0,"",MEDIAN(D1683:P1683))</f>
        <v/>
      </c>
      <c r="S1683" s="8">
        <f>IF(COUNT(D1683:P1683)=0,"",MAX(D1683:P1683))</f>
        <v/>
      </c>
      <c r="T1683" s="9">
        <f>IF(OR(Q1683="",Q1683=0),"",(S1683-Q1683)/Q1683)</f>
        <v/>
      </c>
      <c r="U1683" s="7">
        <f>IF(COUNT(D1683:P1683)=0,"",INDEX($D$1:$P$1,MATCH(MIN(D1683:P1683),D1683:P1683,0)))</f>
        <v/>
      </c>
      <c r="V1683" s="8" t="n">
        <v>63</v>
      </c>
      <c r="W1683" s="10" t="n">
        <v>1</v>
      </c>
    </row>
    <row r="1684">
      <c r="A1684" s="7" t="inlineStr">
        <is>
          <t>MAT-32-333</t>
        </is>
      </c>
      <c r="B1684" s="4" t="inlineStr">
        <is>
          <t>Niple de HG 1" x 4"</t>
        </is>
      </c>
      <c r="C1684" s="7" t="inlineStr">
        <is>
          <t>unidad</t>
        </is>
      </c>
      <c r="D1684" s="8" t="n"/>
      <c r="E1684" s="8" t="n">
        <v>88</v>
      </c>
      <c r="F1684" s="8" t="n"/>
      <c r="G1684" s="8" t="n">
        <v>65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>
        <f>IF(COUNT(D1684:P1684)=0,"",MIN(D1684:P1684))</f>
        <v/>
      </c>
      <c r="R1684" s="8">
        <f>IF(COUNT(D1684:P1684)=0,"",MEDIAN(D1684:P1684))</f>
        <v/>
      </c>
      <c r="S1684" s="8">
        <f>IF(COUNT(D1684:P1684)=0,"",MAX(D1684:P1684))</f>
        <v/>
      </c>
      <c r="T1684" s="9">
        <f>IF(OR(Q1684="",Q1684=0),"",(S1684-Q1684)/Q1684)</f>
        <v/>
      </c>
      <c r="U1684" s="7">
        <f>IF(COUNT(D1684:P1684)=0,"",INDEX($D$1:$P$1,MATCH(MIN(D1684:P1684),D1684:P1684,0)))</f>
        <v/>
      </c>
      <c r="V1684" s="8" t="n">
        <v>76.5</v>
      </c>
      <c r="W1684" s="10" t="n">
        <v>2</v>
      </c>
    </row>
    <row r="1685">
      <c r="A1685" s="7" t="inlineStr">
        <is>
          <t>MAT-32-334</t>
        </is>
      </c>
      <c r="B1685" s="4" t="inlineStr">
        <is>
          <t>Niple de HG 1" x 5"</t>
        </is>
      </c>
      <c r="C1685" s="7" t="inlineStr">
        <is>
          <t>unidad</t>
        </is>
      </c>
      <c r="D1685" s="8" t="n"/>
      <c r="E1685" s="8" t="n">
        <v>108</v>
      </c>
      <c r="F1685" s="8" t="n"/>
      <c r="G1685" s="8" t="n">
        <v>31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>
        <f>IF(COUNT(D1685:P1685)=0,"",MIN(D1685:P1685))</f>
        <v/>
      </c>
      <c r="R1685" s="8">
        <f>IF(COUNT(D1685:P1685)=0,"",MEDIAN(D1685:P1685))</f>
        <v/>
      </c>
      <c r="S1685" s="8">
        <f>IF(COUNT(D1685:P1685)=0,"",MAX(D1685:P1685))</f>
        <v/>
      </c>
      <c r="T1685" s="9">
        <f>IF(OR(Q1685="",Q1685=0),"",(S1685-Q1685)/Q1685)</f>
        <v/>
      </c>
      <c r="U1685" s="7">
        <f>IF(COUNT(D1685:P1685)=0,"",INDEX($D$1:$P$1,MATCH(MIN(D1685:P1685),D1685:P1685,0)))</f>
        <v/>
      </c>
      <c r="V1685" s="8" t="n">
        <v>69.5</v>
      </c>
      <c r="W1685" s="10" t="n">
        <v>2</v>
      </c>
    </row>
    <row r="1686">
      <c r="A1686" s="7" t="inlineStr">
        <is>
          <t>MAT-32-335</t>
        </is>
      </c>
      <c r="B1686" s="4" t="inlineStr">
        <is>
          <t>Niple de HG 1" x 6"</t>
        </is>
      </c>
      <c r="C1686" s="7" t="inlineStr">
        <is>
          <t>unidad</t>
        </is>
      </c>
      <c r="D1686" s="8" t="n"/>
      <c r="E1686" s="8" t="n">
        <v>91</v>
      </c>
      <c r="F1686" s="8" t="n"/>
      <c r="G1686" s="8" t="n">
        <v>86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>
        <f>IF(COUNT(D1686:P1686)=0,"",MIN(D1686:P1686))</f>
        <v/>
      </c>
      <c r="R1686" s="8">
        <f>IF(COUNT(D1686:P1686)=0,"",MEDIAN(D1686:P1686))</f>
        <v/>
      </c>
      <c r="S1686" s="8">
        <f>IF(COUNT(D1686:P1686)=0,"",MAX(D1686:P1686))</f>
        <v/>
      </c>
      <c r="T1686" s="9">
        <f>IF(OR(Q1686="",Q1686=0),"",(S1686-Q1686)/Q1686)</f>
        <v/>
      </c>
      <c r="U1686" s="7">
        <f>IF(COUNT(D1686:P1686)=0,"",INDEX($D$1:$P$1,MATCH(MIN(D1686:P1686),D1686:P1686,0)))</f>
        <v/>
      </c>
      <c r="V1686" s="8" t="n">
        <v>88.5</v>
      </c>
      <c r="W1686" s="10" t="n">
        <v>2</v>
      </c>
    </row>
    <row r="1687">
      <c r="A1687" s="7" t="inlineStr">
        <is>
          <t>MAT-32-336</t>
        </is>
      </c>
      <c r="B1687" s="4" t="inlineStr">
        <is>
          <t>Niple de HG 2" x 2"</t>
        </is>
      </c>
      <c r="C1687" s="7" t="inlineStr">
        <is>
          <t>unidad</t>
        </is>
      </c>
      <c r="D1687" s="8" t="n"/>
      <c r="E1687" s="8" t="n">
        <v>78</v>
      </c>
      <c r="F1687" s="8" t="n"/>
      <c r="G1687" s="8" t="n"/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>
        <f>IF(COUNT(D1687:P1687)=0,"",MIN(D1687:P1687))</f>
        <v/>
      </c>
      <c r="R1687" s="8">
        <f>IF(COUNT(D1687:P1687)=0,"",MEDIAN(D1687:P1687))</f>
        <v/>
      </c>
      <c r="S1687" s="8">
        <f>IF(COUNT(D1687:P1687)=0,"",MAX(D1687:P1687))</f>
        <v/>
      </c>
      <c r="T1687" s="9">
        <f>IF(OR(Q1687="",Q1687=0),"",(S1687-Q1687)/Q1687)</f>
        <v/>
      </c>
      <c r="U1687" s="7">
        <f>IF(COUNT(D1687:P1687)=0,"",INDEX($D$1:$P$1,MATCH(MIN(D1687:P1687),D1687:P1687,0)))</f>
        <v/>
      </c>
      <c r="V1687" s="8" t="n">
        <v>78</v>
      </c>
      <c r="W1687" s="10" t="n">
        <v>1</v>
      </c>
    </row>
    <row r="1688">
      <c r="A1688" s="7" t="inlineStr">
        <is>
          <t>MAT-32-337</t>
        </is>
      </c>
      <c r="B1688" s="4" t="inlineStr">
        <is>
          <t>Niple de HG 2" x 3"</t>
        </is>
      </c>
      <c r="C1688" s="7" t="inlineStr">
        <is>
          <t>unidad</t>
        </is>
      </c>
      <c r="D1688" s="8" t="n"/>
      <c r="E1688" s="8" t="n">
        <v>99</v>
      </c>
      <c r="F1688" s="8" t="n"/>
      <c r="G1688" s="8" t="n">
        <v>338</v>
      </c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>
        <f>IF(COUNT(D1688:P1688)=0,"",MIN(D1688:P1688))</f>
        <v/>
      </c>
      <c r="R1688" s="8">
        <f>IF(COUNT(D1688:P1688)=0,"",MEDIAN(D1688:P1688))</f>
        <v/>
      </c>
      <c r="S1688" s="8">
        <f>IF(COUNT(D1688:P1688)=0,"",MAX(D1688:P1688))</f>
        <v/>
      </c>
      <c r="T1688" s="9">
        <f>IF(OR(Q1688="",Q1688=0),"",(S1688-Q1688)/Q1688)</f>
        <v/>
      </c>
      <c r="U1688" s="7">
        <f>IF(COUNT(D1688:P1688)=0,"",INDEX($D$1:$P$1,MATCH(MIN(D1688:P1688),D1688:P1688,0)))</f>
        <v/>
      </c>
      <c r="V1688" s="8" t="n">
        <v>218.5</v>
      </c>
      <c r="W1688" s="10" t="n">
        <v>2</v>
      </c>
    </row>
    <row r="1689">
      <c r="A1689" s="7" t="inlineStr">
        <is>
          <t>MAT-32-338</t>
        </is>
      </c>
      <c r="B1689" s="4" t="inlineStr">
        <is>
          <t>Niple de HG 2" x 4"</t>
        </is>
      </c>
      <c r="C1689" s="7" t="inlineStr">
        <is>
          <t>unidad</t>
        </is>
      </c>
      <c r="D1689" s="8" t="n"/>
      <c r="E1689" s="8" t="n">
        <v>123</v>
      </c>
      <c r="F1689" s="8" t="n"/>
      <c r="G1689" s="8" t="n">
        <v>368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>
        <f>IF(COUNT(D1689:P1689)=0,"",MIN(D1689:P1689))</f>
        <v/>
      </c>
      <c r="R1689" s="8">
        <f>IF(COUNT(D1689:P1689)=0,"",MEDIAN(D1689:P1689))</f>
        <v/>
      </c>
      <c r="S1689" s="8">
        <f>IF(COUNT(D1689:P1689)=0,"",MAX(D1689:P1689))</f>
        <v/>
      </c>
      <c r="T1689" s="9">
        <f>IF(OR(Q1689="",Q1689=0),"",(S1689-Q1689)/Q1689)</f>
        <v/>
      </c>
      <c r="U1689" s="7">
        <f>IF(COUNT(D1689:P1689)=0,"",INDEX($D$1:$P$1,MATCH(MIN(D1689:P1689),D1689:P1689,0)))</f>
        <v/>
      </c>
      <c r="V1689" s="8" t="n">
        <v>245.5</v>
      </c>
      <c r="W1689" s="10" t="n">
        <v>2</v>
      </c>
    </row>
    <row r="1690">
      <c r="A1690" s="7" t="inlineStr">
        <is>
          <t>MAT-32-339</t>
        </is>
      </c>
      <c r="B1690" s="4" t="inlineStr">
        <is>
          <t>Niple de HG 2" x 5"</t>
        </is>
      </c>
      <c r="C1690" s="7" t="inlineStr">
        <is>
          <t>unidad</t>
        </is>
      </c>
      <c r="D1690" s="8" t="n"/>
      <c r="E1690" s="8" t="n">
        <v>188</v>
      </c>
      <c r="F1690" s="8" t="n"/>
      <c r="G1690" s="8" t="n">
        <v>257</v>
      </c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>
        <f>IF(COUNT(D1690:P1690)=0,"",MIN(D1690:P1690))</f>
        <v/>
      </c>
      <c r="R1690" s="8">
        <f>IF(COUNT(D1690:P1690)=0,"",MEDIAN(D1690:P1690))</f>
        <v/>
      </c>
      <c r="S1690" s="8">
        <f>IF(COUNT(D1690:P1690)=0,"",MAX(D1690:P1690))</f>
        <v/>
      </c>
      <c r="T1690" s="9">
        <f>IF(OR(Q1690="",Q1690=0),"",(S1690-Q1690)/Q1690)</f>
        <v/>
      </c>
      <c r="U1690" s="7">
        <f>IF(COUNT(D1690:P1690)=0,"",INDEX($D$1:$P$1,MATCH(MIN(D1690:P1690),D1690:P1690,0)))</f>
        <v/>
      </c>
      <c r="V1690" s="8" t="n">
        <v>222.5</v>
      </c>
      <c r="W1690" s="10" t="n">
        <v>2</v>
      </c>
    </row>
    <row r="1691">
      <c r="A1691" s="7" t="inlineStr">
        <is>
          <t>MAT-32-340</t>
        </is>
      </c>
      <c r="B1691" s="4" t="inlineStr">
        <is>
          <t>Niple de HG 2" x 6"</t>
        </is>
      </c>
      <c r="C1691" s="7" t="inlineStr">
        <is>
          <t>unidad</t>
        </is>
      </c>
      <c r="D1691" s="8" t="n"/>
      <c r="E1691" s="8" t="n">
        <v>234</v>
      </c>
      <c r="F1691" s="8" t="n"/>
      <c r="G1691" s="8" t="n"/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>
        <f>IF(COUNT(D1691:P1691)=0,"",MIN(D1691:P1691))</f>
        <v/>
      </c>
      <c r="R1691" s="8">
        <f>IF(COUNT(D1691:P1691)=0,"",MEDIAN(D1691:P1691))</f>
        <v/>
      </c>
      <c r="S1691" s="8">
        <f>IF(COUNT(D1691:P1691)=0,"",MAX(D1691:P1691))</f>
        <v/>
      </c>
      <c r="T1691" s="9">
        <f>IF(OR(Q1691="",Q1691=0),"",(S1691-Q1691)/Q1691)</f>
        <v/>
      </c>
      <c r="U1691" s="7">
        <f>IF(COUNT(D1691:P1691)=0,"",INDEX($D$1:$P$1,MATCH(MIN(D1691:P1691),D1691:P1691,0)))</f>
        <v/>
      </c>
      <c r="V1691" s="8" t="n">
        <v>234</v>
      </c>
      <c r="W1691" s="10" t="n">
        <v>1</v>
      </c>
    </row>
    <row r="1692">
      <c r="A1692" s="7" t="inlineStr">
        <is>
          <t>MAT-32-341</t>
        </is>
      </c>
      <c r="B1692" s="4" t="inlineStr">
        <is>
          <t>Niple de HG 3/4" x 1 1/2"</t>
        </is>
      </c>
      <c r="C1692" s="7" t="inlineStr">
        <is>
          <t>unidad</t>
        </is>
      </c>
      <c r="D1692" s="8" t="n"/>
      <c r="E1692" s="8" t="n">
        <v>25.12</v>
      </c>
      <c r="F1692" s="8" t="n"/>
      <c r="G1692" s="8" t="n">
        <v>77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>
        <f>IF(COUNT(D1692:P1692)=0,"",MIN(D1692:P1692))</f>
        <v/>
      </c>
      <c r="R1692" s="8">
        <f>IF(COUNT(D1692:P1692)=0,"",MEDIAN(D1692:P1692))</f>
        <v/>
      </c>
      <c r="S1692" s="8">
        <f>IF(COUNT(D1692:P1692)=0,"",MAX(D1692:P1692))</f>
        <v/>
      </c>
      <c r="T1692" s="9">
        <f>IF(OR(Q1692="",Q1692=0),"",(S1692-Q1692)/Q1692)</f>
        <v/>
      </c>
      <c r="U1692" s="7">
        <f>IF(COUNT(D1692:P1692)=0,"",INDEX($D$1:$P$1,MATCH(MIN(D1692:P1692),D1692:P1692,0)))</f>
        <v/>
      </c>
      <c r="V1692" s="8" t="n">
        <v>51.06</v>
      </c>
      <c r="W1692" s="10" t="n">
        <v>2</v>
      </c>
    </row>
    <row r="1693">
      <c r="A1693" s="7" t="inlineStr">
        <is>
          <t>MAT-32-342</t>
        </is>
      </c>
      <c r="B1693" s="4" t="inlineStr">
        <is>
          <t>Niple de HG 3/4" x 10"</t>
        </is>
      </c>
      <c r="C1693" s="7" t="inlineStr">
        <is>
          <t>unidad</t>
        </is>
      </c>
      <c r="D1693" s="8" t="n"/>
      <c r="E1693" s="8" t="n">
        <v>88</v>
      </c>
      <c r="F1693" s="8" t="n"/>
      <c r="G1693" s="8" t="n"/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>
        <f>IF(COUNT(D1693:P1693)=0,"",MIN(D1693:P1693))</f>
        <v/>
      </c>
      <c r="R1693" s="8">
        <f>IF(COUNT(D1693:P1693)=0,"",MEDIAN(D1693:P1693))</f>
        <v/>
      </c>
      <c r="S1693" s="8">
        <f>IF(COUNT(D1693:P1693)=0,"",MAX(D1693:P1693))</f>
        <v/>
      </c>
      <c r="T1693" s="9">
        <f>IF(OR(Q1693="",Q1693=0),"",(S1693-Q1693)/Q1693)</f>
        <v/>
      </c>
      <c r="U1693" s="7">
        <f>IF(COUNT(D1693:P1693)=0,"",INDEX($D$1:$P$1,MATCH(MIN(D1693:P1693),D1693:P1693,0)))</f>
        <v/>
      </c>
      <c r="V1693" s="8" t="n">
        <v>88</v>
      </c>
      <c r="W1693" s="10" t="n">
        <v>1</v>
      </c>
    </row>
    <row r="1694">
      <c r="A1694" s="7" t="inlineStr">
        <is>
          <t>MAT-32-343</t>
        </is>
      </c>
      <c r="B1694" s="4" t="inlineStr">
        <is>
          <t>Niple de HG 3/4" x 12"</t>
        </is>
      </c>
      <c r="C1694" s="7" t="inlineStr">
        <is>
          <t>unidad</t>
        </is>
      </c>
      <c r="D1694" s="8" t="n"/>
      <c r="E1694" s="8" t="n">
        <v>109</v>
      </c>
      <c r="F1694" s="8" t="n"/>
      <c r="G1694" s="8" t="n"/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>
        <f>IF(COUNT(D1694:P1694)=0,"",MIN(D1694:P1694))</f>
        <v/>
      </c>
      <c r="R1694" s="8">
        <f>IF(COUNT(D1694:P1694)=0,"",MEDIAN(D1694:P1694))</f>
        <v/>
      </c>
      <c r="S1694" s="8">
        <f>IF(COUNT(D1694:P1694)=0,"",MAX(D1694:P1694))</f>
        <v/>
      </c>
      <c r="T1694" s="9">
        <f>IF(OR(Q1694="",Q1694=0),"",(S1694-Q1694)/Q1694)</f>
        <v/>
      </c>
      <c r="U1694" s="7">
        <f>IF(COUNT(D1694:P1694)=0,"",INDEX($D$1:$P$1,MATCH(MIN(D1694:P1694),D1694:P1694,0)))</f>
        <v/>
      </c>
      <c r="V1694" s="8" t="n">
        <v>109</v>
      </c>
      <c r="W1694" s="10" t="n">
        <v>1</v>
      </c>
    </row>
    <row r="1695">
      <c r="A1695" s="7" t="inlineStr">
        <is>
          <t>MAT-32-344</t>
        </is>
      </c>
      <c r="B1695" s="4" t="inlineStr">
        <is>
          <t>Niple de HG 3/4" x 1"</t>
        </is>
      </c>
      <c r="C1695" s="7" t="inlineStr">
        <is>
          <t>unidad</t>
        </is>
      </c>
      <c r="D1695" s="8" t="n"/>
      <c r="E1695" s="8" t="n">
        <v>21.54</v>
      </c>
      <c r="F1695" s="8" t="n"/>
      <c r="G1695" s="8" t="n">
        <v>62</v>
      </c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>
        <f>IF(COUNT(D1695:P1695)=0,"",MIN(D1695:P1695))</f>
        <v/>
      </c>
      <c r="R1695" s="8">
        <f>IF(COUNT(D1695:P1695)=0,"",MEDIAN(D1695:P1695))</f>
        <v/>
      </c>
      <c r="S1695" s="8">
        <f>IF(COUNT(D1695:P1695)=0,"",MAX(D1695:P1695))</f>
        <v/>
      </c>
      <c r="T1695" s="9">
        <f>IF(OR(Q1695="",Q1695=0),"",(S1695-Q1695)/Q1695)</f>
        <v/>
      </c>
      <c r="U1695" s="7">
        <f>IF(COUNT(D1695:P1695)=0,"",INDEX($D$1:$P$1,MATCH(MIN(D1695:P1695),D1695:P1695,0)))</f>
        <v/>
      </c>
      <c r="V1695" s="8" t="n">
        <v>41.77</v>
      </c>
      <c r="W1695" s="10" t="n">
        <v>2</v>
      </c>
    </row>
    <row r="1696">
      <c r="A1696" s="7" t="inlineStr">
        <is>
          <t>MAT-32-345</t>
        </is>
      </c>
      <c r="B1696" s="4" t="inlineStr">
        <is>
          <t>Niple de HG 3/4" x 2 1/2"</t>
        </is>
      </c>
      <c r="C1696" s="7" t="inlineStr">
        <is>
          <t>unidad</t>
        </is>
      </c>
      <c r="D1696" s="8" t="n"/>
      <c r="E1696" s="8" t="n">
        <v>27.3</v>
      </c>
      <c r="F1696" s="8" t="n"/>
      <c r="G1696" s="8" t="n">
        <v>131</v>
      </c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>
        <f>IF(COUNT(D1696:P1696)=0,"",MIN(D1696:P1696))</f>
        <v/>
      </c>
      <c r="R1696" s="8">
        <f>IF(COUNT(D1696:P1696)=0,"",MEDIAN(D1696:P1696))</f>
        <v/>
      </c>
      <c r="S1696" s="8">
        <f>IF(COUNT(D1696:P1696)=0,"",MAX(D1696:P1696))</f>
        <v/>
      </c>
      <c r="T1696" s="9">
        <f>IF(OR(Q1696="",Q1696=0),"",(S1696-Q1696)/Q1696)</f>
        <v/>
      </c>
      <c r="U1696" s="7">
        <f>IF(COUNT(D1696:P1696)=0,"",INDEX($D$1:$P$1,MATCH(MIN(D1696:P1696),D1696:P1696,0)))</f>
        <v/>
      </c>
      <c r="V1696" s="8" t="n">
        <v>79.15000000000001</v>
      </c>
      <c r="W1696" s="10" t="n">
        <v>2</v>
      </c>
    </row>
    <row r="1697">
      <c r="A1697" s="7" t="inlineStr">
        <is>
          <t>MAT-32-346</t>
        </is>
      </c>
      <c r="B1697" s="4" t="inlineStr">
        <is>
          <t>Niple de HG 3/4" x 2"</t>
        </is>
      </c>
      <c r="C1697" s="7" t="inlineStr">
        <is>
          <t>unidad</t>
        </is>
      </c>
      <c r="D1697" s="8" t="n"/>
      <c r="E1697" s="8" t="n">
        <v>21.84</v>
      </c>
      <c r="F1697" s="8" t="n"/>
      <c r="G1697" s="8" t="n">
        <v>120</v>
      </c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>
        <f>IF(COUNT(D1697:P1697)=0,"",MIN(D1697:P1697))</f>
        <v/>
      </c>
      <c r="R1697" s="8">
        <f>IF(COUNT(D1697:P1697)=0,"",MEDIAN(D1697:P1697))</f>
        <v/>
      </c>
      <c r="S1697" s="8">
        <f>IF(COUNT(D1697:P1697)=0,"",MAX(D1697:P1697))</f>
        <v/>
      </c>
      <c r="T1697" s="9">
        <f>IF(OR(Q1697="",Q1697=0),"",(S1697-Q1697)/Q1697)</f>
        <v/>
      </c>
      <c r="U1697" s="7">
        <f>IF(COUNT(D1697:P1697)=0,"",INDEX($D$1:$P$1,MATCH(MIN(D1697:P1697),D1697:P1697,0)))</f>
        <v/>
      </c>
      <c r="V1697" s="8" t="n">
        <v>70.92</v>
      </c>
      <c r="W1697" s="10" t="n">
        <v>2</v>
      </c>
    </row>
    <row r="1698">
      <c r="A1698" s="7" t="inlineStr">
        <is>
          <t>MAT-32-347</t>
        </is>
      </c>
      <c r="B1698" s="4" t="inlineStr">
        <is>
          <t>Niple de HG 3/4" x 3 1/2"</t>
        </is>
      </c>
      <c r="C1698" s="7" t="inlineStr">
        <is>
          <t>unidad</t>
        </is>
      </c>
      <c r="D1698" s="8" t="n"/>
      <c r="E1698" s="8" t="n">
        <v>35.35</v>
      </c>
      <c r="F1698" s="8" t="n"/>
      <c r="G1698" s="8" t="n"/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>
        <f>IF(COUNT(D1698:P1698)=0,"",MIN(D1698:P1698))</f>
        <v/>
      </c>
      <c r="R1698" s="8">
        <f>IF(COUNT(D1698:P1698)=0,"",MEDIAN(D1698:P1698))</f>
        <v/>
      </c>
      <c r="S1698" s="8">
        <f>IF(COUNT(D1698:P1698)=0,"",MAX(D1698:P1698))</f>
        <v/>
      </c>
      <c r="T1698" s="9">
        <f>IF(OR(Q1698="",Q1698=0),"",(S1698-Q1698)/Q1698)</f>
        <v/>
      </c>
      <c r="U1698" s="7">
        <f>IF(COUNT(D1698:P1698)=0,"",INDEX($D$1:$P$1,MATCH(MIN(D1698:P1698),D1698:P1698,0)))</f>
        <v/>
      </c>
      <c r="V1698" s="8" t="n">
        <v>35.35</v>
      </c>
      <c r="W1698" s="10" t="n">
        <v>1</v>
      </c>
    </row>
    <row r="1699">
      <c r="A1699" s="7" t="inlineStr">
        <is>
          <t>MAT-32-348</t>
        </is>
      </c>
      <c r="B1699" s="4" t="inlineStr">
        <is>
          <t>Niple de HG 3/4" x 3"</t>
        </is>
      </c>
      <c r="C1699" s="7" t="inlineStr">
        <is>
          <t>unidad</t>
        </is>
      </c>
      <c r="D1699" s="8" t="n"/>
      <c r="E1699" s="8" t="n">
        <v>33.77</v>
      </c>
      <c r="F1699" s="8" t="n"/>
      <c r="G1699" s="8" t="n">
        <v>149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>
        <f>IF(COUNT(D1699:P1699)=0,"",MIN(D1699:P1699))</f>
        <v/>
      </c>
      <c r="R1699" s="8">
        <f>IF(COUNT(D1699:P1699)=0,"",MEDIAN(D1699:P1699))</f>
        <v/>
      </c>
      <c r="S1699" s="8">
        <f>IF(COUNT(D1699:P1699)=0,"",MAX(D1699:P1699))</f>
        <v/>
      </c>
      <c r="T1699" s="9">
        <f>IF(OR(Q1699="",Q1699=0),"",(S1699-Q1699)/Q1699)</f>
        <v/>
      </c>
      <c r="U1699" s="7">
        <f>IF(COUNT(D1699:P1699)=0,"",INDEX($D$1:$P$1,MATCH(MIN(D1699:P1699),D1699:P1699,0)))</f>
        <v/>
      </c>
      <c r="V1699" s="8" t="n">
        <v>91.39</v>
      </c>
      <c r="W1699" s="10" t="n">
        <v>2</v>
      </c>
    </row>
    <row r="1700">
      <c r="A1700" s="7" t="inlineStr">
        <is>
          <t>MAT-32-349</t>
        </is>
      </c>
      <c r="B1700" s="4" t="inlineStr">
        <is>
          <t>Niple de HG 3/4" x 4"</t>
        </is>
      </c>
      <c r="C1700" s="7" t="inlineStr">
        <is>
          <t>unidad</t>
        </is>
      </c>
      <c r="D1700" s="8" t="n"/>
      <c r="E1700" s="8" t="n">
        <v>51</v>
      </c>
      <c r="F1700" s="8" t="n"/>
      <c r="G1700" s="8" t="n">
        <v>160</v>
      </c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>
        <f>IF(COUNT(D1700:P1700)=0,"",MIN(D1700:P1700))</f>
        <v/>
      </c>
      <c r="R1700" s="8">
        <f>IF(COUNT(D1700:P1700)=0,"",MEDIAN(D1700:P1700))</f>
        <v/>
      </c>
      <c r="S1700" s="8">
        <f>IF(COUNT(D1700:P1700)=0,"",MAX(D1700:P1700))</f>
        <v/>
      </c>
      <c r="T1700" s="9">
        <f>IF(OR(Q1700="",Q1700=0),"",(S1700-Q1700)/Q1700)</f>
        <v/>
      </c>
      <c r="U1700" s="7">
        <f>IF(COUNT(D1700:P1700)=0,"",INDEX($D$1:$P$1,MATCH(MIN(D1700:P1700),D1700:P1700,0)))</f>
        <v/>
      </c>
      <c r="V1700" s="8" t="n">
        <v>105.5</v>
      </c>
      <c r="W1700" s="10" t="n">
        <v>2</v>
      </c>
    </row>
    <row r="1701">
      <c r="A1701" s="7" t="inlineStr">
        <is>
          <t>MAT-32-350</t>
        </is>
      </c>
      <c r="B1701" s="4" t="inlineStr">
        <is>
          <t>Niple de HG 3/4" x 5"</t>
        </is>
      </c>
      <c r="C1701" s="7" t="inlineStr">
        <is>
          <t>unidad</t>
        </is>
      </c>
      <c r="D1701" s="8" t="n"/>
      <c r="E1701" s="8" t="n">
        <v>54</v>
      </c>
      <c r="F1701" s="8" t="n"/>
      <c r="G1701" s="8" t="n">
        <v>194</v>
      </c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>
        <f>IF(COUNT(D1701:P1701)=0,"",MIN(D1701:P1701))</f>
        <v/>
      </c>
      <c r="R1701" s="8">
        <f>IF(COUNT(D1701:P1701)=0,"",MEDIAN(D1701:P1701))</f>
        <v/>
      </c>
      <c r="S1701" s="8">
        <f>IF(COUNT(D1701:P1701)=0,"",MAX(D1701:P1701))</f>
        <v/>
      </c>
      <c r="T1701" s="9">
        <f>IF(OR(Q1701="",Q1701=0),"",(S1701-Q1701)/Q1701)</f>
        <v/>
      </c>
      <c r="U1701" s="7">
        <f>IF(COUNT(D1701:P1701)=0,"",INDEX($D$1:$P$1,MATCH(MIN(D1701:P1701),D1701:P1701,0)))</f>
        <v/>
      </c>
      <c r="V1701" s="8" t="n">
        <v>124</v>
      </c>
      <c r="W1701" s="10" t="n">
        <v>2</v>
      </c>
    </row>
    <row r="1702">
      <c r="A1702" s="7" t="inlineStr">
        <is>
          <t>MAT-32-351</t>
        </is>
      </c>
      <c r="B1702" s="4" t="inlineStr">
        <is>
          <t>Niple de HG 3/4" x 6"</t>
        </is>
      </c>
      <c r="C1702" s="7" t="inlineStr">
        <is>
          <t>unidad</t>
        </is>
      </c>
      <c r="D1702" s="8" t="n"/>
      <c r="E1702" s="8" t="n">
        <v>87</v>
      </c>
      <c r="F1702" s="8" t="n"/>
      <c r="G1702" s="8" t="n">
        <v>248</v>
      </c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>
        <f>IF(COUNT(D1702:P1702)=0,"",MIN(D1702:P1702))</f>
        <v/>
      </c>
      <c r="R1702" s="8">
        <f>IF(COUNT(D1702:P1702)=0,"",MEDIAN(D1702:P1702))</f>
        <v/>
      </c>
      <c r="S1702" s="8">
        <f>IF(COUNT(D1702:P1702)=0,"",MAX(D1702:P1702))</f>
        <v/>
      </c>
      <c r="T1702" s="9">
        <f>IF(OR(Q1702="",Q1702=0),"",(S1702-Q1702)/Q1702)</f>
        <v/>
      </c>
      <c r="U1702" s="7">
        <f>IF(COUNT(D1702:P1702)=0,"",INDEX($D$1:$P$1,MATCH(MIN(D1702:P1702),D1702:P1702,0)))</f>
        <v/>
      </c>
      <c r="V1702" s="8" t="n">
        <v>167.5</v>
      </c>
      <c r="W1702" s="10" t="n">
        <v>2</v>
      </c>
    </row>
    <row r="1703">
      <c r="A1703" s="7" t="inlineStr">
        <is>
          <t>MAT-32-352</t>
        </is>
      </c>
      <c r="B1703" s="4" t="inlineStr">
        <is>
          <t>Niple de HG 3/4" x 8"</t>
        </is>
      </c>
      <c r="C1703" s="7" t="inlineStr">
        <is>
          <t>unidad</t>
        </is>
      </c>
      <c r="D1703" s="8" t="n"/>
      <c r="E1703" s="8" t="n">
        <v>81</v>
      </c>
      <c r="F1703" s="8" t="n"/>
      <c r="G1703" s="8" t="n"/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>
        <f>IF(COUNT(D1703:P1703)=0,"",MIN(D1703:P1703))</f>
        <v/>
      </c>
      <c r="R1703" s="8">
        <f>IF(COUNT(D1703:P1703)=0,"",MEDIAN(D1703:P1703))</f>
        <v/>
      </c>
      <c r="S1703" s="8">
        <f>IF(COUNT(D1703:P1703)=0,"",MAX(D1703:P1703))</f>
        <v/>
      </c>
      <c r="T1703" s="9">
        <f>IF(OR(Q1703="",Q1703=0),"",(S1703-Q1703)/Q1703)</f>
        <v/>
      </c>
      <c r="U1703" s="7">
        <f>IF(COUNT(D1703:P1703)=0,"",INDEX($D$1:$P$1,MATCH(MIN(D1703:P1703),D1703:P1703,0)))</f>
        <v/>
      </c>
      <c r="V1703" s="8" t="n">
        <v>81</v>
      </c>
      <c r="W1703" s="10" t="n">
        <v>1</v>
      </c>
    </row>
    <row r="1704">
      <c r="A1704" s="7" t="inlineStr">
        <is>
          <t>MAT-32-353</t>
        </is>
      </c>
      <c r="B1704" s="4" t="inlineStr">
        <is>
          <t>Niple de HG 3/8" x 2 1/2"</t>
        </is>
      </c>
      <c r="C1704" s="7" t="inlineStr">
        <is>
          <t>unidad</t>
        </is>
      </c>
      <c r="D1704" s="8" t="n"/>
      <c r="E1704" s="8" t="n">
        <v>24.74</v>
      </c>
      <c r="F1704" s="8" t="n"/>
      <c r="G1704" s="8" t="n">
        <v>155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>
        <f>IF(COUNT(D1704:P1704)=0,"",MIN(D1704:P1704))</f>
        <v/>
      </c>
      <c r="R1704" s="8">
        <f>IF(COUNT(D1704:P1704)=0,"",MEDIAN(D1704:P1704))</f>
        <v/>
      </c>
      <c r="S1704" s="8">
        <f>IF(COUNT(D1704:P1704)=0,"",MAX(D1704:P1704))</f>
        <v/>
      </c>
      <c r="T1704" s="9">
        <f>IF(OR(Q1704="",Q1704=0),"",(S1704-Q1704)/Q1704)</f>
        <v/>
      </c>
      <c r="U1704" s="7">
        <f>IF(COUNT(D1704:P1704)=0,"",INDEX($D$1:$P$1,MATCH(MIN(D1704:P1704),D1704:P1704,0)))</f>
        <v/>
      </c>
      <c r="V1704" s="8" t="n">
        <v>89.87</v>
      </c>
      <c r="W1704" s="10" t="n">
        <v>2</v>
      </c>
    </row>
    <row r="1705">
      <c r="A1705" s="7" t="inlineStr">
        <is>
          <t>MAT-32-354</t>
        </is>
      </c>
      <c r="B1705" s="4" t="inlineStr">
        <is>
          <t>Niple de HG 3/8" x 2"</t>
        </is>
      </c>
      <c r="C1705" s="7" t="inlineStr">
        <is>
          <t>unidad</t>
        </is>
      </c>
      <c r="D1705" s="8" t="n"/>
      <c r="E1705" s="8" t="n">
        <v>61.6</v>
      </c>
      <c r="F1705" s="8" t="n"/>
      <c r="G1705" s="8" t="n">
        <v>160</v>
      </c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>
        <f>IF(COUNT(D1705:P1705)=0,"",MIN(D1705:P1705))</f>
        <v/>
      </c>
      <c r="R1705" s="8">
        <f>IF(COUNT(D1705:P1705)=0,"",MEDIAN(D1705:P1705))</f>
        <v/>
      </c>
      <c r="S1705" s="8">
        <f>IF(COUNT(D1705:P1705)=0,"",MAX(D1705:P1705))</f>
        <v/>
      </c>
      <c r="T1705" s="9">
        <f>IF(OR(Q1705="",Q1705=0),"",(S1705-Q1705)/Q1705)</f>
        <v/>
      </c>
      <c r="U1705" s="7">
        <f>IF(COUNT(D1705:P1705)=0,"",INDEX($D$1:$P$1,MATCH(MIN(D1705:P1705),D1705:P1705,0)))</f>
        <v/>
      </c>
      <c r="V1705" s="8" t="n">
        <v>110.8</v>
      </c>
      <c r="W1705" s="10" t="n">
        <v>2</v>
      </c>
    </row>
    <row r="1706">
      <c r="A1706" s="7" t="inlineStr">
        <is>
          <t>MAT-32-355</t>
        </is>
      </c>
      <c r="B1706" s="4" t="inlineStr">
        <is>
          <t>Niple de HG 3/8" x 3 1/2"</t>
        </is>
      </c>
      <c r="C1706" s="7" t="inlineStr">
        <is>
          <t>unidad</t>
        </is>
      </c>
      <c r="D1706" s="8" t="n"/>
      <c r="E1706" s="8" t="n"/>
      <c r="F1706" s="8" t="n"/>
      <c r="G1706" s="8" t="n">
        <v>194</v>
      </c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>
        <f>IF(COUNT(D1706:P1706)=0,"",MIN(D1706:P1706))</f>
        <v/>
      </c>
      <c r="R1706" s="8">
        <f>IF(COUNT(D1706:P1706)=0,"",MEDIAN(D1706:P1706))</f>
        <v/>
      </c>
      <c r="S1706" s="8">
        <f>IF(COUNT(D1706:P1706)=0,"",MAX(D1706:P1706))</f>
        <v/>
      </c>
      <c r="T1706" s="9">
        <f>IF(OR(Q1706="",Q1706=0),"",(S1706-Q1706)/Q1706)</f>
        <v/>
      </c>
      <c r="U1706" s="7">
        <f>IF(COUNT(D1706:P1706)=0,"",INDEX($D$1:$P$1,MATCH(MIN(D1706:P1706),D1706:P1706,0)))</f>
        <v/>
      </c>
      <c r="V1706" s="8" t="n">
        <v>194</v>
      </c>
      <c r="W1706" s="10" t="n">
        <v>1</v>
      </c>
    </row>
    <row r="1707">
      <c r="A1707" s="7" t="inlineStr">
        <is>
          <t>MAT-32-356</t>
        </is>
      </c>
      <c r="B1707" s="4" t="inlineStr">
        <is>
          <t>Niple de HG 3/8" x 3"</t>
        </is>
      </c>
      <c r="C1707" s="7" t="inlineStr">
        <is>
          <t>unidad</t>
        </is>
      </c>
      <c r="D1707" s="8" t="n"/>
      <c r="E1707" s="8" t="n">
        <v>27.3</v>
      </c>
      <c r="F1707" s="8" t="n"/>
      <c r="G1707" s="8" t="n">
        <v>185</v>
      </c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>
        <f>IF(COUNT(D1707:P1707)=0,"",MIN(D1707:P1707))</f>
        <v/>
      </c>
      <c r="R1707" s="8">
        <f>IF(COUNT(D1707:P1707)=0,"",MEDIAN(D1707:P1707))</f>
        <v/>
      </c>
      <c r="S1707" s="8">
        <f>IF(COUNT(D1707:P1707)=0,"",MAX(D1707:P1707))</f>
        <v/>
      </c>
      <c r="T1707" s="9">
        <f>IF(OR(Q1707="",Q1707=0),"",(S1707-Q1707)/Q1707)</f>
        <v/>
      </c>
      <c r="U1707" s="7">
        <f>IF(COUNT(D1707:P1707)=0,"",INDEX($D$1:$P$1,MATCH(MIN(D1707:P1707),D1707:P1707,0)))</f>
        <v/>
      </c>
      <c r="V1707" s="8" t="n">
        <v>106.15</v>
      </c>
      <c r="W1707" s="10" t="n">
        <v>2</v>
      </c>
    </row>
    <row r="1708">
      <c r="A1708" s="7" t="inlineStr">
        <is>
          <t>MAT-32-357</t>
        </is>
      </c>
      <c r="B1708" s="4" t="inlineStr">
        <is>
          <t>Niple de HG 3/8" x 4 1/2"</t>
        </is>
      </c>
      <c r="C1708" s="7" t="inlineStr">
        <is>
          <t>unidad</t>
        </is>
      </c>
      <c r="D1708" s="8" t="n"/>
      <c r="E1708" s="8" t="n"/>
      <c r="F1708" s="8" t="n"/>
      <c r="G1708" s="8" t="n">
        <v>194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>
        <f>IF(COUNT(D1708:P1708)=0,"",MIN(D1708:P1708))</f>
        <v/>
      </c>
      <c r="R1708" s="8">
        <f>IF(COUNT(D1708:P1708)=0,"",MEDIAN(D1708:P1708))</f>
        <v/>
      </c>
      <c r="S1708" s="8">
        <f>IF(COUNT(D1708:P1708)=0,"",MAX(D1708:P1708))</f>
        <v/>
      </c>
      <c r="T1708" s="9">
        <f>IF(OR(Q1708="",Q1708=0),"",(S1708-Q1708)/Q1708)</f>
        <v/>
      </c>
      <c r="U1708" s="7">
        <f>IF(COUNT(D1708:P1708)=0,"",INDEX($D$1:$P$1,MATCH(MIN(D1708:P1708),D1708:P1708,0)))</f>
        <v/>
      </c>
      <c r="V1708" s="8" t="n">
        <v>194</v>
      </c>
      <c r="W1708" s="10" t="n">
        <v>1</v>
      </c>
    </row>
    <row r="1709">
      <c r="A1709" s="7" t="inlineStr">
        <is>
          <t>MAT-32-359</t>
        </is>
      </c>
      <c r="B1709" s="4" t="inlineStr">
        <is>
          <t>Niple de HG 3/8" x 5 1/2"</t>
        </is>
      </c>
      <c r="C1709" s="7" t="inlineStr">
        <is>
          <t>unidad</t>
        </is>
      </c>
      <c r="D1709" s="8" t="n"/>
      <c r="E1709" s="8" t="n"/>
      <c r="F1709" s="8" t="n"/>
      <c r="G1709" s="8" t="n">
        <v>229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>
        <f>IF(COUNT(D1709:P1709)=0,"",MIN(D1709:P1709))</f>
        <v/>
      </c>
      <c r="R1709" s="8">
        <f>IF(COUNT(D1709:P1709)=0,"",MEDIAN(D1709:P1709))</f>
        <v/>
      </c>
      <c r="S1709" s="8">
        <f>IF(COUNT(D1709:P1709)=0,"",MAX(D1709:P1709))</f>
        <v/>
      </c>
      <c r="T1709" s="9">
        <f>IF(OR(Q1709="",Q1709=0),"",(S1709-Q1709)/Q1709)</f>
        <v/>
      </c>
      <c r="U1709" s="7">
        <f>IF(COUNT(D1709:P1709)=0,"",INDEX($D$1:$P$1,MATCH(MIN(D1709:P1709),D1709:P1709,0)))</f>
        <v/>
      </c>
      <c r="V1709" s="8" t="n">
        <v>229</v>
      </c>
      <c r="W1709" s="10" t="n">
        <v>1</v>
      </c>
    </row>
    <row r="1710">
      <c r="A1710" s="7" t="inlineStr">
        <is>
          <t>MAT-32-360</t>
        </is>
      </c>
      <c r="B1710" s="4" t="inlineStr">
        <is>
          <t>Niple de HG 3/8" x 5"</t>
        </is>
      </c>
      <c r="C1710" s="7" t="inlineStr">
        <is>
          <t>unidad</t>
        </is>
      </c>
      <c r="D1710" s="8" t="n"/>
      <c r="E1710" s="8" t="n"/>
      <c r="F1710" s="8" t="n"/>
      <c r="G1710" s="8" t="n">
        <v>255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>
        <f>IF(COUNT(D1710:P1710)=0,"",MIN(D1710:P1710))</f>
        <v/>
      </c>
      <c r="R1710" s="8">
        <f>IF(COUNT(D1710:P1710)=0,"",MEDIAN(D1710:P1710))</f>
        <v/>
      </c>
      <c r="S1710" s="8">
        <f>IF(COUNT(D1710:P1710)=0,"",MAX(D1710:P1710))</f>
        <v/>
      </c>
      <c r="T1710" s="9">
        <f>IF(OR(Q1710="",Q1710=0),"",(S1710-Q1710)/Q1710)</f>
        <v/>
      </c>
      <c r="U1710" s="7">
        <f>IF(COUNT(D1710:P1710)=0,"",INDEX($D$1:$P$1,MATCH(MIN(D1710:P1710),D1710:P1710,0)))</f>
        <v/>
      </c>
      <c r="V1710" s="8" t="n">
        <v>255</v>
      </c>
      <c r="W1710" s="10" t="n">
        <v>1</v>
      </c>
    </row>
    <row r="1711">
      <c r="A1711" s="7" t="inlineStr">
        <is>
          <t>MAT-32-361</t>
        </is>
      </c>
      <c r="B1711" s="4" t="inlineStr">
        <is>
          <t>Niple de HG 3/8" x 6"</t>
        </is>
      </c>
      <c r="C1711" s="7" t="inlineStr">
        <is>
          <t>unidad</t>
        </is>
      </c>
      <c r="D1711" s="8" t="n"/>
      <c r="E1711" s="8" t="n"/>
      <c r="F1711" s="8" t="n"/>
      <c r="G1711" s="8" t="n">
        <v>327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>
        <f>IF(COUNT(D1711:P1711)=0,"",MIN(D1711:P1711))</f>
        <v/>
      </c>
      <c r="R1711" s="8">
        <f>IF(COUNT(D1711:P1711)=0,"",MEDIAN(D1711:P1711))</f>
        <v/>
      </c>
      <c r="S1711" s="8">
        <f>IF(COUNT(D1711:P1711)=0,"",MAX(D1711:P1711))</f>
        <v/>
      </c>
      <c r="T1711" s="9">
        <f>IF(OR(Q1711="",Q1711=0),"",(S1711-Q1711)/Q1711)</f>
        <v/>
      </c>
      <c r="U1711" s="7">
        <f>IF(COUNT(D1711:P1711)=0,"",INDEX($D$1:$P$1,MATCH(MIN(D1711:P1711),D1711:P1711,0)))</f>
        <v/>
      </c>
      <c r="V1711" s="8" t="n">
        <v>327</v>
      </c>
      <c r="W1711" s="10" t="n">
        <v>1</v>
      </c>
    </row>
    <row r="1712">
      <c r="A1712" s="7" t="inlineStr">
        <is>
          <t>MAT-32-362</t>
        </is>
      </c>
      <c r="B1712" s="4" t="inlineStr">
        <is>
          <t>Niple de HG 3" x 4"</t>
        </is>
      </c>
      <c r="C1712" s="7" t="inlineStr">
        <is>
          <t>unidad</t>
        </is>
      </c>
      <c r="D1712" s="8" t="n"/>
      <c r="E1712" s="8" t="n">
        <v>277</v>
      </c>
      <c r="F1712" s="8" t="n"/>
      <c r="G1712" s="8" t="n"/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>
        <f>IF(COUNT(D1712:P1712)=0,"",MIN(D1712:P1712))</f>
        <v/>
      </c>
      <c r="R1712" s="8">
        <f>IF(COUNT(D1712:P1712)=0,"",MEDIAN(D1712:P1712))</f>
        <v/>
      </c>
      <c r="S1712" s="8">
        <f>IF(COUNT(D1712:P1712)=0,"",MAX(D1712:P1712))</f>
        <v/>
      </c>
      <c r="T1712" s="9">
        <f>IF(OR(Q1712="",Q1712=0),"",(S1712-Q1712)/Q1712)</f>
        <v/>
      </c>
      <c r="U1712" s="7">
        <f>IF(COUNT(D1712:P1712)=0,"",INDEX($D$1:$P$1,MATCH(MIN(D1712:P1712),D1712:P1712,0)))</f>
        <v/>
      </c>
      <c r="V1712" s="8" t="n">
        <v>277</v>
      </c>
      <c r="W1712" s="10" t="n">
        <v>1</v>
      </c>
    </row>
    <row r="1713">
      <c r="A1713" s="7" t="inlineStr">
        <is>
          <t>MAT-32-363</t>
        </is>
      </c>
      <c r="B1713" s="4" t="inlineStr">
        <is>
          <t>Niple de niquelado 1/2" x 1 1/2"</t>
        </is>
      </c>
      <c r="C1713" s="7" t="inlineStr">
        <is>
          <t>unidad</t>
        </is>
      </c>
      <c r="D1713" s="8" t="n"/>
      <c r="E1713" s="8" t="n">
        <v>17</v>
      </c>
      <c r="F1713" s="8" t="n"/>
      <c r="G1713" s="8" t="n"/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>
        <f>IF(COUNT(D1713:P1713)=0,"",MIN(D1713:P1713))</f>
        <v/>
      </c>
      <c r="R1713" s="8">
        <f>IF(COUNT(D1713:P1713)=0,"",MEDIAN(D1713:P1713))</f>
        <v/>
      </c>
      <c r="S1713" s="8">
        <f>IF(COUNT(D1713:P1713)=0,"",MAX(D1713:P1713))</f>
        <v/>
      </c>
      <c r="T1713" s="9">
        <f>IF(OR(Q1713="",Q1713=0),"",(S1713-Q1713)/Q1713)</f>
        <v/>
      </c>
      <c r="U1713" s="7">
        <f>IF(COUNT(D1713:P1713)=0,"",INDEX($D$1:$P$1,MATCH(MIN(D1713:P1713),D1713:P1713,0)))</f>
        <v/>
      </c>
      <c r="V1713" s="8" t="n">
        <v>17</v>
      </c>
      <c r="W1713" s="10" t="n">
        <v>1</v>
      </c>
    </row>
    <row r="1714">
      <c r="A1714" s="7" t="inlineStr">
        <is>
          <t>MAT-32-364</t>
        </is>
      </c>
      <c r="B1714" s="4" t="inlineStr">
        <is>
          <t>Niple de niquelado 1/2" x 2 1/2"</t>
        </is>
      </c>
      <c r="C1714" s="7" t="inlineStr">
        <is>
          <t>unidad</t>
        </is>
      </c>
      <c r="D1714" s="8" t="n"/>
      <c r="E1714" s="8" t="n">
        <v>24</v>
      </c>
      <c r="F1714" s="8" t="n"/>
      <c r="G1714" s="8" t="n">
        <v>59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>
        <f>IF(COUNT(D1714:P1714)=0,"",MIN(D1714:P1714))</f>
        <v/>
      </c>
      <c r="R1714" s="8">
        <f>IF(COUNT(D1714:P1714)=0,"",MEDIAN(D1714:P1714))</f>
        <v/>
      </c>
      <c r="S1714" s="8">
        <f>IF(COUNT(D1714:P1714)=0,"",MAX(D1714:P1714))</f>
        <v/>
      </c>
      <c r="T1714" s="9">
        <f>IF(OR(Q1714="",Q1714=0),"",(S1714-Q1714)/Q1714)</f>
        <v/>
      </c>
      <c r="U1714" s="7">
        <f>IF(COUNT(D1714:P1714)=0,"",INDEX($D$1:$P$1,MATCH(MIN(D1714:P1714),D1714:P1714,0)))</f>
        <v/>
      </c>
      <c r="V1714" s="8" t="n">
        <v>144.5</v>
      </c>
      <c r="W1714" s="10" t="n">
        <v>2</v>
      </c>
    </row>
    <row r="1715">
      <c r="A1715" s="7" t="inlineStr">
        <is>
          <t>MAT-32-365</t>
        </is>
      </c>
      <c r="B1715" s="4" t="inlineStr">
        <is>
          <t>Niple de niquelado 1/2" x 2"</t>
        </is>
      </c>
      <c r="C1715" s="7" t="inlineStr">
        <is>
          <t>unidad</t>
        </is>
      </c>
      <c r="D1715" s="8" t="n"/>
      <c r="E1715" s="8" t="n">
        <v>15.75</v>
      </c>
      <c r="F1715" s="8" t="n"/>
      <c r="G1715" s="8" t="n">
        <v>52</v>
      </c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>
        <f>IF(COUNT(D1715:P1715)=0,"",MIN(D1715:P1715))</f>
        <v/>
      </c>
      <c r="R1715" s="8">
        <f>IF(COUNT(D1715:P1715)=0,"",MEDIAN(D1715:P1715))</f>
        <v/>
      </c>
      <c r="S1715" s="8">
        <f>IF(COUNT(D1715:P1715)=0,"",MAX(D1715:P1715))</f>
        <v/>
      </c>
      <c r="T1715" s="9">
        <f>IF(OR(Q1715="",Q1715=0),"",(S1715-Q1715)/Q1715)</f>
        <v/>
      </c>
      <c r="U1715" s="7">
        <f>IF(COUNT(D1715:P1715)=0,"",INDEX($D$1:$P$1,MATCH(MIN(D1715:P1715),D1715:P1715,0)))</f>
        <v/>
      </c>
      <c r="V1715" s="8" t="n">
        <v>101</v>
      </c>
      <c r="W1715" s="10" t="n">
        <v>2</v>
      </c>
    </row>
    <row r="1716">
      <c r="A1716" s="7" t="inlineStr">
        <is>
          <t>MAT-32-368</t>
        </is>
      </c>
      <c r="B1716" s="4" t="inlineStr">
        <is>
          <t>Niple de niquelado 3/8" x 2 1/2"</t>
        </is>
      </c>
      <c r="C1716" s="7" t="inlineStr">
        <is>
          <t>unidad</t>
        </is>
      </c>
      <c r="D1716" s="8" t="n"/>
      <c r="E1716" s="8" t="n">
        <v>24.04</v>
      </c>
      <c r="F1716" s="8" t="n"/>
      <c r="G1716" s="8" t="n"/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>
        <f>IF(COUNT(D1716:P1716)=0,"",MIN(D1716:P1716))</f>
        <v/>
      </c>
      <c r="R1716" s="8">
        <f>IF(COUNT(D1716:P1716)=0,"",MEDIAN(D1716:P1716))</f>
        <v/>
      </c>
      <c r="S1716" s="8">
        <f>IF(COUNT(D1716:P1716)=0,"",MAX(D1716:P1716))</f>
        <v/>
      </c>
      <c r="T1716" s="9">
        <f>IF(OR(Q1716="",Q1716=0),"",(S1716-Q1716)/Q1716)</f>
        <v/>
      </c>
      <c r="U1716" s="7">
        <f>IF(COUNT(D1716:P1716)=0,"",INDEX($D$1:$P$1,MATCH(MIN(D1716:P1716),D1716:P1716,0)))</f>
        <v/>
      </c>
      <c r="V1716" s="8" t="n">
        <v>24.04</v>
      </c>
      <c r="W1716" s="10" t="n">
        <v>1</v>
      </c>
    </row>
    <row r="1717">
      <c r="A1717" s="7" t="inlineStr">
        <is>
          <t>MAT-32-369</t>
        </is>
      </c>
      <c r="B1717" s="4" t="inlineStr">
        <is>
          <t>Niple de niquelado 3/8" x 2"</t>
        </is>
      </c>
      <c r="C1717" s="7" t="inlineStr">
        <is>
          <t>unidad</t>
        </is>
      </c>
      <c r="D1717" s="8" t="n"/>
      <c r="E1717" s="8" t="n"/>
      <c r="F1717" s="8" t="n"/>
      <c r="G1717" s="8" t="n">
        <v>47</v>
      </c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>
        <f>IF(COUNT(D1717:P1717)=0,"",MIN(D1717:P1717))</f>
        <v/>
      </c>
      <c r="R1717" s="8">
        <f>IF(COUNT(D1717:P1717)=0,"",MEDIAN(D1717:P1717))</f>
        <v/>
      </c>
      <c r="S1717" s="8">
        <f>IF(COUNT(D1717:P1717)=0,"",MAX(D1717:P1717))</f>
        <v/>
      </c>
      <c r="T1717" s="9">
        <f>IF(OR(Q1717="",Q1717=0),"",(S1717-Q1717)/Q1717)</f>
        <v/>
      </c>
      <c r="U1717" s="7">
        <f>IF(COUNT(D1717:P1717)=0,"",INDEX($D$1:$P$1,MATCH(MIN(D1717:P1717),D1717:P1717,0)))</f>
        <v/>
      </c>
      <c r="V1717" s="8" t="n">
        <v>47</v>
      </c>
      <c r="W1717" s="10" t="n">
        <v>1</v>
      </c>
    </row>
    <row r="1718">
      <c r="A1718" s="7" t="inlineStr">
        <is>
          <t>MAT-32-370</t>
        </is>
      </c>
      <c r="B1718" s="4" t="inlineStr">
        <is>
          <t>Niple de niquelado 3/8" x 3"</t>
        </is>
      </c>
      <c r="C1718" s="7" t="inlineStr">
        <is>
          <t>unidad</t>
        </is>
      </c>
      <c r="D1718" s="8" t="n"/>
      <c r="E1718" s="8" t="n">
        <v>26.25</v>
      </c>
      <c r="F1718" s="8" t="n"/>
      <c r="G1718" s="8" t="n">
        <v>59</v>
      </c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>
        <f>IF(COUNT(D1718:P1718)=0,"",MIN(D1718:P1718))</f>
        <v/>
      </c>
      <c r="R1718" s="8">
        <f>IF(COUNT(D1718:P1718)=0,"",MEDIAN(D1718:P1718))</f>
        <v/>
      </c>
      <c r="S1718" s="8">
        <f>IF(COUNT(D1718:P1718)=0,"",MAX(D1718:P1718))</f>
        <v/>
      </c>
      <c r="T1718" s="9">
        <f>IF(OR(Q1718="",Q1718=0),"",(S1718-Q1718)/Q1718)</f>
        <v/>
      </c>
      <c r="U1718" s="7">
        <f>IF(COUNT(D1718:P1718)=0,"",INDEX($D$1:$P$1,MATCH(MIN(D1718:P1718),D1718:P1718,0)))</f>
        <v/>
      </c>
      <c r="V1718" s="8" t="n">
        <v>42.63</v>
      </c>
      <c r="W1718" s="10" t="n">
        <v>2</v>
      </c>
    </row>
    <row r="1719">
      <c r="A1719" s="7" t="inlineStr">
        <is>
          <t>MAT-32-371</t>
        </is>
      </c>
      <c r="B1719" s="4" t="inlineStr">
        <is>
          <t>Reducción bushing de bronce 1/2" x 1/4"</t>
        </is>
      </c>
      <c r="C1719" s="7" t="inlineStr">
        <is>
          <t>unidad</t>
        </is>
      </c>
      <c r="D1719" s="8" t="n"/>
      <c r="E1719" s="8" t="n">
        <v>90</v>
      </c>
      <c r="F1719" s="8" t="n"/>
      <c r="G1719" s="8" t="n"/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>
        <f>IF(COUNT(D1719:P1719)=0,"",MIN(D1719:P1719))</f>
        <v/>
      </c>
      <c r="R1719" s="8">
        <f>IF(COUNT(D1719:P1719)=0,"",MEDIAN(D1719:P1719))</f>
        <v/>
      </c>
      <c r="S1719" s="8">
        <f>IF(COUNT(D1719:P1719)=0,"",MAX(D1719:P1719))</f>
        <v/>
      </c>
      <c r="T1719" s="9">
        <f>IF(OR(Q1719="",Q1719=0),"",(S1719-Q1719)/Q1719)</f>
        <v/>
      </c>
      <c r="U1719" s="7">
        <f>IF(COUNT(D1719:P1719)=0,"",INDEX($D$1:$P$1,MATCH(MIN(D1719:P1719),D1719:P1719,0)))</f>
        <v/>
      </c>
      <c r="V1719" s="8" t="n">
        <v>90</v>
      </c>
      <c r="W1719" s="10" t="n">
        <v>1</v>
      </c>
    </row>
    <row r="1720">
      <c r="A1720" s="7" t="inlineStr">
        <is>
          <t>MAT-32-372</t>
        </is>
      </c>
      <c r="B1720" s="4" t="inlineStr">
        <is>
          <t>Reducción bushing de bronce 1/2" x 1/8"</t>
        </is>
      </c>
      <c r="C1720" s="7" t="inlineStr">
        <is>
          <t>unidad</t>
        </is>
      </c>
      <c r="D1720" s="8" t="n"/>
      <c r="E1720" s="8" t="n">
        <v>102</v>
      </c>
      <c r="F1720" s="8" t="n"/>
      <c r="G1720" s="8" t="n"/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>
        <f>IF(COUNT(D1720:P1720)=0,"",MIN(D1720:P1720))</f>
        <v/>
      </c>
      <c r="R1720" s="8">
        <f>IF(COUNT(D1720:P1720)=0,"",MEDIAN(D1720:P1720))</f>
        <v/>
      </c>
      <c r="S1720" s="8">
        <f>IF(COUNT(D1720:P1720)=0,"",MAX(D1720:P1720))</f>
        <v/>
      </c>
      <c r="T1720" s="9">
        <f>IF(OR(Q1720="",Q1720=0),"",(S1720-Q1720)/Q1720)</f>
        <v/>
      </c>
      <c r="U1720" s="7">
        <f>IF(COUNT(D1720:P1720)=0,"",INDEX($D$1:$P$1,MATCH(MIN(D1720:P1720),D1720:P1720,0)))</f>
        <v/>
      </c>
      <c r="V1720" s="8" t="n">
        <v>102</v>
      </c>
      <c r="W1720" s="10" t="n">
        <v>1</v>
      </c>
    </row>
    <row r="1721">
      <c r="A1721" s="7" t="inlineStr">
        <is>
          <t>MAT-32-373</t>
        </is>
      </c>
      <c r="B1721" s="4" t="inlineStr">
        <is>
          <t>Reducción bushing de bronce 1/2" x 3/8"</t>
        </is>
      </c>
      <c r="C1721" s="7" t="inlineStr">
        <is>
          <t>unidad</t>
        </is>
      </c>
      <c r="D1721" s="8" t="n"/>
      <c r="E1721" s="8" t="n">
        <v>81</v>
      </c>
      <c r="F1721" s="8" t="n"/>
      <c r="G1721" s="8" t="n"/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>
        <f>IF(COUNT(D1721:P1721)=0,"",MIN(D1721:P1721))</f>
        <v/>
      </c>
      <c r="R1721" s="8">
        <f>IF(COUNT(D1721:P1721)=0,"",MEDIAN(D1721:P1721))</f>
        <v/>
      </c>
      <c r="S1721" s="8">
        <f>IF(COUNT(D1721:P1721)=0,"",MAX(D1721:P1721))</f>
        <v/>
      </c>
      <c r="T1721" s="9">
        <f>IF(OR(Q1721="",Q1721=0),"",(S1721-Q1721)/Q1721)</f>
        <v/>
      </c>
      <c r="U1721" s="7">
        <f>IF(COUNT(D1721:P1721)=0,"",INDEX($D$1:$P$1,MATCH(MIN(D1721:P1721),D1721:P1721,0)))</f>
        <v/>
      </c>
      <c r="V1721" s="8" t="n">
        <v>81</v>
      </c>
      <c r="W1721" s="10" t="n">
        <v>1</v>
      </c>
    </row>
    <row r="1722">
      <c r="A1722" s="7" t="inlineStr">
        <is>
          <t>MAT-32-374</t>
        </is>
      </c>
      <c r="B1722" s="4" t="inlineStr">
        <is>
          <t>Reducción bushing de bronce 1/4" x 1/8"</t>
        </is>
      </c>
      <c r="C1722" s="7" t="inlineStr">
        <is>
          <t>unidad</t>
        </is>
      </c>
      <c r="D1722" s="8" t="n"/>
      <c r="E1722" s="8" t="n">
        <v>27.47</v>
      </c>
      <c r="F1722" s="8" t="n"/>
      <c r="G1722" s="8" t="n"/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>
        <f>IF(COUNT(D1722:P1722)=0,"",MIN(D1722:P1722))</f>
        <v/>
      </c>
      <c r="R1722" s="8">
        <f>IF(COUNT(D1722:P1722)=0,"",MEDIAN(D1722:P1722))</f>
        <v/>
      </c>
      <c r="S1722" s="8">
        <f>IF(COUNT(D1722:P1722)=0,"",MAX(D1722:P1722))</f>
        <v/>
      </c>
      <c r="T1722" s="9">
        <f>IF(OR(Q1722="",Q1722=0),"",(S1722-Q1722)/Q1722)</f>
        <v/>
      </c>
      <c r="U1722" s="7">
        <f>IF(COUNT(D1722:P1722)=0,"",INDEX($D$1:$P$1,MATCH(MIN(D1722:P1722),D1722:P1722,0)))</f>
        <v/>
      </c>
      <c r="V1722" s="8" t="n">
        <v>27.47</v>
      </c>
      <c r="W1722" s="10" t="n">
        <v>1</v>
      </c>
    </row>
    <row r="1723">
      <c r="A1723" s="7" t="inlineStr">
        <is>
          <t>MAT-32-375</t>
        </is>
      </c>
      <c r="B1723" s="4" t="inlineStr">
        <is>
          <t>Reducción bushing de bronce 1/4" x 3/8"</t>
        </is>
      </c>
      <c r="C1723" s="7" t="inlineStr">
        <is>
          <t>unidad</t>
        </is>
      </c>
      <c r="D1723" s="8" t="n"/>
      <c r="E1723" s="8" t="n"/>
      <c r="F1723" s="8" t="n"/>
      <c r="G1723" s="8" t="n">
        <v>132</v>
      </c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>
        <f>IF(COUNT(D1723:P1723)=0,"",MIN(D1723:P1723))</f>
        <v/>
      </c>
      <c r="R1723" s="8">
        <f>IF(COUNT(D1723:P1723)=0,"",MEDIAN(D1723:P1723))</f>
        <v/>
      </c>
      <c r="S1723" s="8">
        <f>IF(COUNT(D1723:P1723)=0,"",MAX(D1723:P1723))</f>
        <v/>
      </c>
      <c r="T1723" s="9">
        <f>IF(OR(Q1723="",Q1723=0),"",(S1723-Q1723)/Q1723)</f>
        <v/>
      </c>
      <c r="U1723" s="7">
        <f>IF(COUNT(D1723:P1723)=0,"",INDEX($D$1:$P$1,MATCH(MIN(D1723:P1723),D1723:P1723,0)))</f>
        <v/>
      </c>
      <c r="V1723" s="8" t="n">
        <v>132</v>
      </c>
      <c r="W1723" s="10" t="n">
        <v>1</v>
      </c>
    </row>
    <row r="1724">
      <c r="A1724" s="7" t="inlineStr">
        <is>
          <t>MAT-32-376</t>
        </is>
      </c>
      <c r="B1724" s="4" t="inlineStr">
        <is>
          <t>Reducción bushing de bronce 1/8" x 1/4"</t>
        </is>
      </c>
      <c r="C1724" s="7" t="inlineStr">
        <is>
          <t>unidad</t>
        </is>
      </c>
      <c r="D1724" s="8" t="n"/>
      <c r="E1724" s="8" t="n"/>
      <c r="F1724" s="8" t="n"/>
      <c r="G1724" s="8" t="n">
        <v>101</v>
      </c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>
        <f>IF(COUNT(D1724:P1724)=0,"",MIN(D1724:P1724))</f>
        <v/>
      </c>
      <c r="R1724" s="8">
        <f>IF(COUNT(D1724:P1724)=0,"",MEDIAN(D1724:P1724))</f>
        <v/>
      </c>
      <c r="S1724" s="8">
        <f>IF(COUNT(D1724:P1724)=0,"",MAX(D1724:P1724))</f>
        <v/>
      </c>
      <c r="T1724" s="9">
        <f>IF(OR(Q1724="",Q1724=0),"",(S1724-Q1724)/Q1724)</f>
        <v/>
      </c>
      <c r="U1724" s="7">
        <f>IF(COUNT(D1724:P1724)=0,"",INDEX($D$1:$P$1,MATCH(MIN(D1724:P1724),D1724:P1724,0)))</f>
        <v/>
      </c>
      <c r="V1724" s="8" t="n">
        <v>101</v>
      </c>
      <c r="W1724" s="10" t="n">
        <v>1</v>
      </c>
    </row>
    <row r="1725">
      <c r="A1725" s="7" t="inlineStr">
        <is>
          <t>MAT-32-377</t>
        </is>
      </c>
      <c r="B1725" s="4" t="inlineStr">
        <is>
          <t>Reducción bushing de bronce 1/8" x 3/8"</t>
        </is>
      </c>
      <c r="C1725" s="7" t="inlineStr">
        <is>
          <t>unidad</t>
        </is>
      </c>
      <c r="D1725" s="8" t="n"/>
      <c r="E1725" s="8" t="n"/>
      <c r="F1725" s="8" t="n"/>
      <c r="G1725" s="8" t="n">
        <v>77</v>
      </c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>
        <f>IF(COUNT(D1725:P1725)=0,"",MIN(D1725:P1725))</f>
        <v/>
      </c>
      <c r="R1725" s="8">
        <f>IF(COUNT(D1725:P1725)=0,"",MEDIAN(D1725:P1725))</f>
        <v/>
      </c>
      <c r="S1725" s="8">
        <f>IF(COUNT(D1725:P1725)=0,"",MAX(D1725:P1725))</f>
        <v/>
      </c>
      <c r="T1725" s="9">
        <f>IF(OR(Q1725="",Q1725=0),"",(S1725-Q1725)/Q1725)</f>
        <v/>
      </c>
      <c r="U1725" s="7">
        <f>IF(COUNT(D1725:P1725)=0,"",INDEX($D$1:$P$1,MATCH(MIN(D1725:P1725),D1725:P1725,0)))</f>
        <v/>
      </c>
      <c r="V1725" s="8" t="n">
        <v>77</v>
      </c>
      <c r="W1725" s="10" t="n">
        <v>1</v>
      </c>
    </row>
    <row r="1726">
      <c r="A1726" s="7" t="inlineStr">
        <is>
          <t>MAT-32-378</t>
        </is>
      </c>
      <c r="B1726" s="4" t="inlineStr">
        <is>
          <t>Reducción bushing de bronce 1" x 3/4"</t>
        </is>
      </c>
      <c r="C1726" s="7" t="inlineStr">
        <is>
          <t>unidad</t>
        </is>
      </c>
      <c r="D1726" s="8" t="n"/>
      <c r="E1726" s="8" t="n">
        <v>202</v>
      </c>
      <c r="F1726" s="8" t="n"/>
      <c r="G1726" s="8" t="n"/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>
        <f>IF(COUNT(D1726:P1726)=0,"",MIN(D1726:P1726))</f>
        <v/>
      </c>
      <c r="R1726" s="8">
        <f>IF(COUNT(D1726:P1726)=0,"",MEDIAN(D1726:P1726))</f>
        <v/>
      </c>
      <c r="S1726" s="8">
        <f>IF(COUNT(D1726:P1726)=0,"",MAX(D1726:P1726))</f>
        <v/>
      </c>
      <c r="T1726" s="9">
        <f>IF(OR(Q1726="",Q1726=0),"",(S1726-Q1726)/Q1726)</f>
        <v/>
      </c>
      <c r="U1726" s="7">
        <f>IF(COUNT(D1726:P1726)=0,"",INDEX($D$1:$P$1,MATCH(MIN(D1726:P1726),D1726:P1726,0)))</f>
        <v/>
      </c>
      <c r="V1726" s="8" t="n">
        <v>202</v>
      </c>
      <c r="W1726" s="10" t="n">
        <v>1</v>
      </c>
    </row>
    <row r="1727">
      <c r="A1727" s="7" t="inlineStr">
        <is>
          <t>MAT-32-379</t>
        </is>
      </c>
      <c r="B1727" s="4" t="inlineStr">
        <is>
          <t>Reducción bushing de bronce 3/4" x 1/2"</t>
        </is>
      </c>
      <c r="C1727" s="7" t="inlineStr">
        <is>
          <t>unidad</t>
        </is>
      </c>
      <c r="D1727" s="8" t="n"/>
      <c r="E1727" s="8" t="n">
        <v>97.88</v>
      </c>
      <c r="F1727" s="8" t="n"/>
      <c r="G1727" s="8" t="n"/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>
        <f>IF(COUNT(D1727:P1727)=0,"",MIN(D1727:P1727))</f>
        <v/>
      </c>
      <c r="R1727" s="8">
        <f>IF(COUNT(D1727:P1727)=0,"",MEDIAN(D1727:P1727))</f>
        <v/>
      </c>
      <c r="S1727" s="8">
        <f>IF(COUNT(D1727:P1727)=0,"",MAX(D1727:P1727))</f>
        <v/>
      </c>
      <c r="T1727" s="9">
        <f>IF(OR(Q1727="",Q1727=0),"",(S1727-Q1727)/Q1727)</f>
        <v/>
      </c>
      <c r="U1727" s="7">
        <f>IF(COUNT(D1727:P1727)=0,"",INDEX($D$1:$P$1,MATCH(MIN(D1727:P1727),D1727:P1727,0)))</f>
        <v/>
      </c>
      <c r="V1727" s="8" t="n">
        <v>97.88</v>
      </c>
      <c r="W1727" s="10" t="n">
        <v>1</v>
      </c>
    </row>
    <row r="1728">
      <c r="A1728" s="7" t="inlineStr">
        <is>
          <t>MAT-32-380</t>
        </is>
      </c>
      <c r="B1728" s="4" t="inlineStr">
        <is>
          <t>Reducción bushing de bronce 3/4" x 3/8"</t>
        </is>
      </c>
      <c r="C1728" s="7" t="inlineStr">
        <is>
          <t>unidad</t>
        </is>
      </c>
      <c r="D1728" s="8" t="n"/>
      <c r="E1728" s="8" t="n">
        <v>137</v>
      </c>
      <c r="F1728" s="8" t="n"/>
      <c r="G1728" s="8" t="n"/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>
        <f>IF(COUNT(D1728:P1728)=0,"",MIN(D1728:P1728))</f>
        <v/>
      </c>
      <c r="R1728" s="8">
        <f>IF(COUNT(D1728:P1728)=0,"",MEDIAN(D1728:P1728))</f>
        <v/>
      </c>
      <c r="S1728" s="8">
        <f>IF(COUNT(D1728:P1728)=0,"",MAX(D1728:P1728))</f>
        <v/>
      </c>
      <c r="T1728" s="9">
        <f>IF(OR(Q1728="",Q1728=0),"",(S1728-Q1728)/Q1728)</f>
        <v/>
      </c>
      <c r="U1728" s="7">
        <f>IF(COUNT(D1728:P1728)=0,"",INDEX($D$1:$P$1,MATCH(MIN(D1728:P1728),D1728:P1728,0)))</f>
        <v/>
      </c>
      <c r="V1728" s="8" t="n">
        <v>137</v>
      </c>
      <c r="W1728" s="10" t="n">
        <v>1</v>
      </c>
    </row>
    <row r="1729">
      <c r="A1729" s="7" t="inlineStr">
        <is>
          <t>MAT-32-381</t>
        </is>
      </c>
      <c r="B1729" s="4" t="inlineStr">
        <is>
          <t>Reducción bushing de bronce 3/8"</t>
        </is>
      </c>
      <c r="C1729" s="7" t="inlineStr">
        <is>
          <t>unidad</t>
        </is>
      </c>
      <c r="D1729" s="8" t="n"/>
      <c r="E1729" s="8" t="n">
        <v>78.73999999999999</v>
      </c>
      <c r="F1729" s="8" t="n"/>
      <c r="G1729" s="8" t="n"/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>
        <f>IF(COUNT(D1729:P1729)=0,"",MIN(D1729:P1729))</f>
        <v/>
      </c>
      <c r="R1729" s="8">
        <f>IF(COUNT(D1729:P1729)=0,"",MEDIAN(D1729:P1729))</f>
        <v/>
      </c>
      <c r="S1729" s="8">
        <f>IF(COUNT(D1729:P1729)=0,"",MAX(D1729:P1729))</f>
        <v/>
      </c>
      <c r="T1729" s="9">
        <f>IF(OR(Q1729="",Q1729=0),"",(S1729-Q1729)/Q1729)</f>
        <v/>
      </c>
      <c r="U1729" s="7">
        <f>IF(COUNT(D1729:P1729)=0,"",INDEX($D$1:$P$1,MATCH(MIN(D1729:P1729),D1729:P1729,0)))</f>
        <v/>
      </c>
      <c r="V1729" s="8" t="n">
        <v>78.73999999999999</v>
      </c>
      <c r="W1729" s="10" t="n">
        <v>1</v>
      </c>
    </row>
    <row r="1730">
      <c r="A1730" s="7" t="inlineStr">
        <is>
          <t>MAT-32-382</t>
        </is>
      </c>
      <c r="B1730" s="4" t="inlineStr">
        <is>
          <t>Reducción bushing de bronce 3/8" x 1/8"</t>
        </is>
      </c>
      <c r="C1730" s="7" t="inlineStr">
        <is>
          <t>unidad</t>
        </is>
      </c>
      <c r="D1730" s="8" t="n"/>
      <c r="E1730" s="8" t="n">
        <v>57</v>
      </c>
      <c r="F1730" s="8" t="n"/>
      <c r="G1730" s="8" t="n"/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>
        <f>IF(COUNT(D1730:P1730)=0,"",MIN(D1730:P1730))</f>
        <v/>
      </c>
      <c r="R1730" s="8">
        <f>IF(COUNT(D1730:P1730)=0,"",MEDIAN(D1730:P1730))</f>
        <v/>
      </c>
      <c r="S1730" s="8">
        <f>IF(COUNT(D1730:P1730)=0,"",MAX(D1730:P1730))</f>
        <v/>
      </c>
      <c r="T1730" s="9">
        <f>IF(OR(Q1730="",Q1730=0),"",(S1730-Q1730)/Q1730)</f>
        <v/>
      </c>
      <c r="U1730" s="7">
        <f>IF(COUNT(D1730:P1730)=0,"",INDEX($D$1:$P$1,MATCH(MIN(D1730:P1730),D1730:P1730,0)))</f>
        <v/>
      </c>
      <c r="V1730" s="8" t="n">
        <v>57</v>
      </c>
      <c r="W1730" s="10" t="n">
        <v>1</v>
      </c>
    </row>
    <row r="1731">
      <c r="A1731" s="7" t="inlineStr">
        <is>
          <t>MAT-32-383</t>
        </is>
      </c>
      <c r="B1731" s="4" t="inlineStr">
        <is>
          <t>Reducción bushing de CPVC 1" x 1/2"</t>
        </is>
      </c>
      <c r="C1731" s="7" t="inlineStr">
        <is>
          <t>unidad</t>
        </is>
      </c>
      <c r="D1731" s="8" t="n"/>
      <c r="E1731" s="8" t="n">
        <v>45.68</v>
      </c>
      <c r="F1731" s="8" t="n"/>
      <c r="G1731" s="8" t="n"/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>
        <f>IF(COUNT(D1731:P1731)=0,"",MIN(D1731:P1731))</f>
        <v/>
      </c>
      <c r="R1731" s="8">
        <f>IF(COUNT(D1731:P1731)=0,"",MEDIAN(D1731:P1731))</f>
        <v/>
      </c>
      <c r="S1731" s="8">
        <f>IF(COUNT(D1731:P1731)=0,"",MAX(D1731:P1731))</f>
        <v/>
      </c>
      <c r="T1731" s="9">
        <f>IF(OR(Q1731="",Q1731=0),"",(S1731-Q1731)/Q1731)</f>
        <v/>
      </c>
      <c r="U1731" s="7">
        <f>IF(COUNT(D1731:P1731)=0,"",INDEX($D$1:$P$1,MATCH(MIN(D1731:P1731),D1731:P1731,0)))</f>
        <v/>
      </c>
      <c r="V1731" s="8" t="n">
        <v>45.68</v>
      </c>
      <c r="W1731" s="10" t="n">
        <v>1</v>
      </c>
    </row>
    <row r="1732">
      <c r="A1732" s="7" t="inlineStr">
        <is>
          <t>MAT-32-384</t>
        </is>
      </c>
      <c r="B1732" s="4" t="inlineStr">
        <is>
          <t>Reducción bushing de CPVC 1" x 3/4"</t>
        </is>
      </c>
      <c r="C1732" s="7" t="inlineStr">
        <is>
          <t>unidad</t>
        </is>
      </c>
      <c r="D1732" s="8" t="n"/>
      <c r="E1732" s="8" t="n">
        <v>13.97</v>
      </c>
      <c r="F1732" s="8" t="n"/>
      <c r="G1732" s="8" t="n"/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>
        <f>IF(COUNT(D1732:P1732)=0,"",MIN(D1732:P1732))</f>
        <v/>
      </c>
      <c r="R1732" s="8">
        <f>IF(COUNT(D1732:P1732)=0,"",MEDIAN(D1732:P1732))</f>
        <v/>
      </c>
      <c r="S1732" s="8">
        <f>IF(COUNT(D1732:P1732)=0,"",MAX(D1732:P1732))</f>
        <v/>
      </c>
      <c r="T1732" s="9">
        <f>IF(OR(Q1732="",Q1732=0),"",(S1732-Q1732)/Q1732)</f>
        <v/>
      </c>
      <c r="U1732" s="7">
        <f>IF(COUNT(D1732:P1732)=0,"",INDEX($D$1:$P$1,MATCH(MIN(D1732:P1732),D1732:P1732,0)))</f>
        <v/>
      </c>
      <c r="V1732" s="8" t="n">
        <v>13.97</v>
      </c>
      <c r="W1732" s="10" t="n">
        <v>1</v>
      </c>
    </row>
    <row r="1733">
      <c r="A1733" s="7" t="inlineStr">
        <is>
          <t>MAT-32-385</t>
        </is>
      </c>
      <c r="B1733" s="4" t="inlineStr">
        <is>
          <t>Reducción bushing de CPVC 2" x 1"</t>
        </is>
      </c>
      <c r="C1733" s="7" t="inlineStr">
        <is>
          <t>unidad</t>
        </is>
      </c>
      <c r="D1733" s="8" t="n"/>
      <c r="E1733" s="8" t="n">
        <v>322</v>
      </c>
      <c r="F1733" s="8" t="n"/>
      <c r="G1733" s="8" t="n"/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>
        <f>IF(COUNT(D1733:P1733)=0,"",MIN(D1733:P1733))</f>
        <v/>
      </c>
      <c r="R1733" s="8">
        <f>IF(COUNT(D1733:P1733)=0,"",MEDIAN(D1733:P1733))</f>
        <v/>
      </c>
      <c r="S1733" s="8">
        <f>IF(COUNT(D1733:P1733)=0,"",MAX(D1733:P1733))</f>
        <v/>
      </c>
      <c r="T1733" s="9">
        <f>IF(OR(Q1733="",Q1733=0),"",(S1733-Q1733)/Q1733)</f>
        <v/>
      </c>
      <c r="U1733" s="7">
        <f>IF(COUNT(D1733:P1733)=0,"",INDEX($D$1:$P$1,MATCH(MIN(D1733:P1733),D1733:P1733,0)))</f>
        <v/>
      </c>
      <c r="V1733" s="8" t="n">
        <v>322</v>
      </c>
      <c r="W1733" s="10" t="n">
        <v>1</v>
      </c>
    </row>
    <row r="1734">
      <c r="A1734" s="7" t="inlineStr">
        <is>
          <t>MAT-32-386</t>
        </is>
      </c>
      <c r="B1734" s="4" t="inlineStr">
        <is>
          <t>Reducción bushing de CPVC 3/4" x 1/2"</t>
        </is>
      </c>
      <c r="C1734" s="7" t="inlineStr">
        <is>
          <t>unidad</t>
        </is>
      </c>
      <c r="D1734" s="8" t="n"/>
      <c r="E1734" s="8" t="n">
        <v>10.62</v>
      </c>
      <c r="F1734" s="8" t="n"/>
      <c r="G1734" s="8" t="n"/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>
        <f>IF(COUNT(D1734:P1734)=0,"",MIN(D1734:P1734))</f>
        <v/>
      </c>
      <c r="R1734" s="8">
        <f>IF(COUNT(D1734:P1734)=0,"",MEDIAN(D1734:P1734))</f>
        <v/>
      </c>
      <c r="S1734" s="8">
        <f>IF(COUNT(D1734:P1734)=0,"",MAX(D1734:P1734))</f>
        <v/>
      </c>
      <c r="T1734" s="9">
        <f>IF(OR(Q1734="",Q1734=0),"",(S1734-Q1734)/Q1734)</f>
        <v/>
      </c>
      <c r="U1734" s="7">
        <f>IF(COUNT(D1734:P1734)=0,"",INDEX($D$1:$P$1,MATCH(MIN(D1734:P1734),D1734:P1734,0)))</f>
        <v/>
      </c>
      <c r="V1734" s="8" t="n">
        <v>10.62</v>
      </c>
      <c r="W1734" s="10" t="n">
        <v>1</v>
      </c>
    </row>
    <row r="1735">
      <c r="A1735" s="7" t="inlineStr">
        <is>
          <t>MAT-32-387</t>
        </is>
      </c>
      <c r="B1735" s="4" t="inlineStr">
        <is>
          <t>Reducción bushing de HG 1 1/2" x 1 1/4"</t>
        </is>
      </c>
      <c r="C1735" s="7" t="inlineStr">
        <is>
          <t>unidad</t>
        </is>
      </c>
      <c r="D1735" s="8" t="n"/>
      <c r="E1735" s="8" t="n">
        <v>125</v>
      </c>
      <c r="F1735" s="8" t="n"/>
      <c r="G1735" s="8" t="n">
        <v>247</v>
      </c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>
        <f>IF(COUNT(D1735:P1735)=0,"",MIN(D1735:P1735))</f>
        <v/>
      </c>
      <c r="R1735" s="8">
        <f>IF(COUNT(D1735:P1735)=0,"",MEDIAN(D1735:P1735))</f>
        <v/>
      </c>
      <c r="S1735" s="8">
        <f>IF(COUNT(D1735:P1735)=0,"",MAX(D1735:P1735))</f>
        <v/>
      </c>
      <c r="T1735" s="9">
        <f>IF(OR(Q1735="",Q1735=0),"",(S1735-Q1735)/Q1735)</f>
        <v/>
      </c>
      <c r="U1735" s="7">
        <f>IF(COUNT(D1735:P1735)=0,"",INDEX($D$1:$P$1,MATCH(MIN(D1735:P1735),D1735:P1735,0)))</f>
        <v/>
      </c>
      <c r="V1735" s="8" t="n">
        <v>186</v>
      </c>
      <c r="W1735" s="10" t="n">
        <v>2</v>
      </c>
    </row>
    <row r="1736">
      <c r="A1736" s="7" t="inlineStr">
        <is>
          <t>MAT-32-388</t>
        </is>
      </c>
      <c r="B1736" s="4" t="inlineStr">
        <is>
          <t>Reducción bushing de HG 1 1/2" x 1/2"</t>
        </is>
      </c>
      <c r="C1736" s="7" t="inlineStr">
        <is>
          <t>unidad</t>
        </is>
      </c>
      <c r="D1736" s="8" t="n"/>
      <c r="E1736" s="8" t="n">
        <v>76</v>
      </c>
      <c r="F1736" s="8" t="n"/>
      <c r="G1736" s="8" t="n">
        <v>103</v>
      </c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>
        <f>IF(COUNT(D1736:P1736)=0,"",MIN(D1736:P1736))</f>
        <v/>
      </c>
      <c r="R1736" s="8">
        <f>IF(COUNT(D1736:P1736)=0,"",MEDIAN(D1736:P1736))</f>
        <v/>
      </c>
      <c r="S1736" s="8">
        <f>IF(COUNT(D1736:P1736)=0,"",MAX(D1736:P1736))</f>
        <v/>
      </c>
      <c r="T1736" s="9">
        <f>IF(OR(Q1736="",Q1736=0),"",(S1736-Q1736)/Q1736)</f>
        <v/>
      </c>
      <c r="U1736" s="7">
        <f>IF(COUNT(D1736:P1736)=0,"",INDEX($D$1:$P$1,MATCH(MIN(D1736:P1736),D1736:P1736,0)))</f>
        <v/>
      </c>
      <c r="V1736" s="8" t="n">
        <v>89.5</v>
      </c>
      <c r="W1736" s="10" t="n">
        <v>2</v>
      </c>
    </row>
    <row r="1737">
      <c r="A1737" s="7" t="inlineStr">
        <is>
          <t>MAT-32-389</t>
        </is>
      </c>
      <c r="B1737" s="4" t="inlineStr">
        <is>
          <t>Reducción bushing de HG 1 1/2" x 1"</t>
        </is>
      </c>
      <c r="C1737" s="7" t="inlineStr">
        <is>
          <t>unidad</t>
        </is>
      </c>
      <c r="D1737" s="8" t="n"/>
      <c r="E1737" s="8" t="n">
        <v>67</v>
      </c>
      <c r="F1737" s="8" t="n"/>
      <c r="G1737" s="8" t="n">
        <v>214</v>
      </c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>
        <f>IF(COUNT(D1737:P1737)=0,"",MIN(D1737:P1737))</f>
        <v/>
      </c>
      <c r="R1737" s="8">
        <f>IF(COUNT(D1737:P1737)=0,"",MEDIAN(D1737:P1737))</f>
        <v/>
      </c>
      <c r="S1737" s="8">
        <f>IF(COUNT(D1737:P1737)=0,"",MAX(D1737:P1737))</f>
        <v/>
      </c>
      <c r="T1737" s="9">
        <f>IF(OR(Q1737="",Q1737=0),"",(S1737-Q1737)/Q1737)</f>
        <v/>
      </c>
      <c r="U1737" s="7">
        <f>IF(COUNT(D1737:P1737)=0,"",INDEX($D$1:$P$1,MATCH(MIN(D1737:P1737),D1737:P1737,0)))</f>
        <v/>
      </c>
      <c r="V1737" s="8" t="n">
        <v>140.5</v>
      </c>
      <c r="W1737" s="10" t="n">
        <v>2</v>
      </c>
    </row>
    <row r="1738">
      <c r="A1738" s="7" t="inlineStr">
        <is>
          <t>MAT-32-390</t>
        </is>
      </c>
      <c r="B1738" s="4" t="inlineStr">
        <is>
          <t>Reducción bushing de HG 1 1/2" x 3/4"</t>
        </is>
      </c>
      <c r="C1738" s="7" t="inlineStr">
        <is>
          <t>unidad</t>
        </is>
      </c>
      <c r="D1738" s="8" t="n"/>
      <c r="E1738" s="8" t="n">
        <v>110</v>
      </c>
      <c r="F1738" s="8" t="n"/>
      <c r="G1738" s="8" t="n">
        <v>87</v>
      </c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>
        <f>IF(COUNT(D1738:P1738)=0,"",MIN(D1738:P1738))</f>
        <v/>
      </c>
      <c r="R1738" s="8">
        <f>IF(COUNT(D1738:P1738)=0,"",MEDIAN(D1738:P1738))</f>
        <v/>
      </c>
      <c r="S1738" s="8">
        <f>IF(COUNT(D1738:P1738)=0,"",MAX(D1738:P1738))</f>
        <v/>
      </c>
      <c r="T1738" s="9">
        <f>IF(OR(Q1738="",Q1738=0),"",(S1738-Q1738)/Q1738)</f>
        <v/>
      </c>
      <c r="U1738" s="7">
        <f>IF(COUNT(D1738:P1738)=0,"",INDEX($D$1:$P$1,MATCH(MIN(D1738:P1738),D1738:P1738,0)))</f>
        <v/>
      </c>
      <c r="V1738" s="8" t="n">
        <v>98.5</v>
      </c>
      <c r="W1738" s="10" t="n">
        <v>2</v>
      </c>
    </row>
    <row r="1739">
      <c r="A1739" s="7" t="inlineStr">
        <is>
          <t>MAT-32-391</t>
        </is>
      </c>
      <c r="B1739" s="4" t="inlineStr">
        <is>
          <t>Reducción bushing de HG 1 1/4" x 1/2"</t>
        </is>
      </c>
      <c r="C1739" s="7" t="inlineStr">
        <is>
          <t>unidad</t>
        </is>
      </c>
      <c r="D1739" s="8" t="n"/>
      <c r="E1739" s="8" t="n">
        <v>87</v>
      </c>
      <c r="F1739" s="8" t="n"/>
      <c r="G1739" s="8" t="n">
        <v>61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>
        <f>IF(COUNT(D1739:P1739)=0,"",MIN(D1739:P1739))</f>
        <v/>
      </c>
      <c r="R1739" s="8">
        <f>IF(COUNT(D1739:P1739)=0,"",MEDIAN(D1739:P1739))</f>
        <v/>
      </c>
      <c r="S1739" s="8">
        <f>IF(COUNT(D1739:P1739)=0,"",MAX(D1739:P1739))</f>
        <v/>
      </c>
      <c r="T1739" s="9">
        <f>IF(OR(Q1739="",Q1739=0),"",(S1739-Q1739)/Q1739)</f>
        <v/>
      </c>
      <c r="U1739" s="7">
        <f>IF(COUNT(D1739:P1739)=0,"",INDEX($D$1:$P$1,MATCH(MIN(D1739:P1739),D1739:P1739,0)))</f>
        <v/>
      </c>
      <c r="V1739" s="8" t="n">
        <v>74</v>
      </c>
      <c r="W1739" s="10" t="n">
        <v>2</v>
      </c>
    </row>
    <row r="1740">
      <c r="A1740" s="7" t="inlineStr">
        <is>
          <t>MAT-32-392</t>
        </is>
      </c>
      <c r="B1740" s="4" t="inlineStr">
        <is>
          <t>Reducción bushing de HG 1 1/4" x 1"</t>
        </is>
      </c>
      <c r="C1740" s="7" t="inlineStr">
        <is>
          <t>unidad</t>
        </is>
      </c>
      <c r="D1740" s="8" t="n"/>
      <c r="E1740" s="8" t="n">
        <v>51</v>
      </c>
      <c r="F1740" s="8" t="n"/>
      <c r="G1740" s="8" t="n">
        <v>198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>
        <f>IF(COUNT(D1740:P1740)=0,"",MIN(D1740:P1740))</f>
        <v/>
      </c>
      <c r="R1740" s="8">
        <f>IF(COUNT(D1740:P1740)=0,"",MEDIAN(D1740:P1740))</f>
        <v/>
      </c>
      <c r="S1740" s="8">
        <f>IF(COUNT(D1740:P1740)=0,"",MAX(D1740:P1740))</f>
        <v/>
      </c>
      <c r="T1740" s="9">
        <f>IF(OR(Q1740="",Q1740=0),"",(S1740-Q1740)/Q1740)</f>
        <v/>
      </c>
      <c r="U1740" s="7">
        <f>IF(COUNT(D1740:P1740)=0,"",INDEX($D$1:$P$1,MATCH(MIN(D1740:P1740),D1740:P1740,0)))</f>
        <v/>
      </c>
      <c r="V1740" s="8" t="n">
        <v>124.5</v>
      </c>
      <c r="W1740" s="10" t="n">
        <v>2</v>
      </c>
    </row>
    <row r="1741">
      <c r="A1741" s="7" t="inlineStr">
        <is>
          <t>MAT-32-393</t>
        </is>
      </c>
      <c r="B1741" s="4" t="inlineStr">
        <is>
          <t>Reducción bushing de HG 1 1/4" x 3/4"</t>
        </is>
      </c>
      <c r="C1741" s="7" t="inlineStr">
        <is>
          <t>unidad</t>
        </is>
      </c>
      <c r="D1741" s="8" t="n"/>
      <c r="E1741" s="8" t="n">
        <v>50</v>
      </c>
      <c r="F1741" s="8" t="n"/>
      <c r="G1741" s="8" t="n"/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>
        <f>IF(COUNT(D1741:P1741)=0,"",MIN(D1741:P1741))</f>
        <v/>
      </c>
      <c r="R1741" s="8">
        <f>IF(COUNT(D1741:P1741)=0,"",MEDIAN(D1741:P1741))</f>
        <v/>
      </c>
      <c r="S1741" s="8">
        <f>IF(COUNT(D1741:P1741)=0,"",MAX(D1741:P1741))</f>
        <v/>
      </c>
      <c r="T1741" s="9">
        <f>IF(OR(Q1741="",Q1741=0),"",(S1741-Q1741)/Q1741)</f>
        <v/>
      </c>
      <c r="U1741" s="7">
        <f>IF(COUNT(D1741:P1741)=0,"",INDEX($D$1:$P$1,MATCH(MIN(D1741:P1741),D1741:P1741,0)))</f>
        <v/>
      </c>
      <c r="V1741" s="8" t="n">
        <v>50</v>
      </c>
      <c r="W1741" s="10" t="n">
        <v>1</v>
      </c>
    </row>
    <row r="1742">
      <c r="A1742" s="7" t="inlineStr">
        <is>
          <t>MAT-32-394</t>
        </is>
      </c>
      <c r="B1742" s="4" t="inlineStr">
        <is>
          <t>Reducción bushing de HG 1/2" x 1/4"</t>
        </is>
      </c>
      <c r="C1742" s="7" t="inlineStr">
        <is>
          <t>unidad</t>
        </is>
      </c>
      <c r="D1742" s="8" t="n"/>
      <c r="E1742" s="8" t="n"/>
      <c r="F1742" s="8" t="n"/>
      <c r="G1742" s="8" t="n">
        <v>80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>
        <f>IF(COUNT(D1742:P1742)=0,"",MIN(D1742:P1742))</f>
        <v/>
      </c>
      <c r="R1742" s="8">
        <f>IF(COUNT(D1742:P1742)=0,"",MEDIAN(D1742:P1742))</f>
        <v/>
      </c>
      <c r="S1742" s="8">
        <f>IF(COUNT(D1742:P1742)=0,"",MAX(D1742:P1742))</f>
        <v/>
      </c>
      <c r="T1742" s="9">
        <f>IF(OR(Q1742="",Q1742=0),"",(S1742-Q1742)/Q1742)</f>
        <v/>
      </c>
      <c r="U1742" s="7">
        <f>IF(COUNT(D1742:P1742)=0,"",INDEX($D$1:$P$1,MATCH(MIN(D1742:P1742),D1742:P1742,0)))</f>
        <v/>
      </c>
      <c r="V1742" s="8" t="n">
        <v>80</v>
      </c>
      <c r="W1742" s="10" t="n">
        <v>1</v>
      </c>
    </row>
    <row r="1743">
      <c r="A1743" s="7" t="inlineStr">
        <is>
          <t>MAT-32-395</t>
        </is>
      </c>
      <c r="B1743" s="4" t="inlineStr">
        <is>
          <t>Reducción bushing de HG 1/2" x 3/8"</t>
        </is>
      </c>
      <c r="C1743" s="7" t="inlineStr">
        <is>
          <t>unidad</t>
        </is>
      </c>
      <c r="D1743" s="8" t="n"/>
      <c r="E1743" s="8" t="n">
        <v>25</v>
      </c>
      <c r="F1743" s="8" t="n"/>
      <c r="G1743" s="8" t="n">
        <v>65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>
        <f>IF(COUNT(D1743:P1743)=0,"",MIN(D1743:P1743))</f>
        <v/>
      </c>
      <c r="R1743" s="8">
        <f>IF(COUNT(D1743:P1743)=0,"",MEDIAN(D1743:P1743))</f>
        <v/>
      </c>
      <c r="S1743" s="8">
        <f>IF(COUNT(D1743:P1743)=0,"",MAX(D1743:P1743))</f>
        <v/>
      </c>
      <c r="T1743" s="9">
        <f>IF(OR(Q1743="",Q1743=0),"",(S1743-Q1743)/Q1743)</f>
        <v/>
      </c>
      <c r="U1743" s="7">
        <f>IF(COUNT(D1743:P1743)=0,"",INDEX($D$1:$P$1,MATCH(MIN(D1743:P1743),D1743:P1743,0)))</f>
        <v/>
      </c>
      <c r="V1743" s="8" t="n">
        <v>45</v>
      </c>
      <c r="W1743" s="10" t="n">
        <v>2</v>
      </c>
    </row>
    <row r="1744">
      <c r="A1744" s="7" t="inlineStr">
        <is>
          <t>MAT-32-396</t>
        </is>
      </c>
      <c r="B1744" s="4" t="inlineStr">
        <is>
          <t>Reducción bushing de HG 1" x 1/2"</t>
        </is>
      </c>
      <c r="C1744" s="7" t="inlineStr">
        <is>
          <t>unidad</t>
        </is>
      </c>
      <c r="D1744" s="8" t="n"/>
      <c r="E1744" s="8" t="n">
        <v>40</v>
      </c>
      <c r="F1744" s="8" t="n"/>
      <c r="G1744" s="8" t="n">
        <v>92</v>
      </c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>
        <f>IF(COUNT(D1744:P1744)=0,"",MIN(D1744:P1744))</f>
        <v/>
      </c>
      <c r="R1744" s="8">
        <f>IF(COUNT(D1744:P1744)=0,"",MEDIAN(D1744:P1744))</f>
        <v/>
      </c>
      <c r="S1744" s="8">
        <f>IF(COUNT(D1744:P1744)=0,"",MAX(D1744:P1744))</f>
        <v/>
      </c>
      <c r="T1744" s="9">
        <f>IF(OR(Q1744="",Q1744=0),"",(S1744-Q1744)/Q1744)</f>
        <v/>
      </c>
      <c r="U1744" s="7">
        <f>IF(COUNT(D1744:P1744)=0,"",INDEX($D$1:$P$1,MATCH(MIN(D1744:P1744),D1744:P1744,0)))</f>
        <v/>
      </c>
      <c r="V1744" s="8" t="n">
        <v>66</v>
      </c>
      <c r="W1744" s="10" t="n">
        <v>2</v>
      </c>
    </row>
    <row r="1745">
      <c r="A1745" s="7" t="inlineStr">
        <is>
          <t>MAT-32-397</t>
        </is>
      </c>
      <c r="B1745" s="4" t="inlineStr">
        <is>
          <t>Reducción bushing de HG 1" x 1/4"</t>
        </is>
      </c>
      <c r="C1745" s="7" t="inlineStr">
        <is>
          <t>unidad</t>
        </is>
      </c>
      <c r="D1745" s="8" t="n"/>
      <c r="E1745" s="8" t="n">
        <v>58.94</v>
      </c>
      <c r="F1745" s="8" t="n"/>
      <c r="G1745" s="8" t="n"/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>
        <f>IF(COUNT(D1745:P1745)=0,"",MIN(D1745:P1745))</f>
        <v/>
      </c>
      <c r="R1745" s="8">
        <f>IF(COUNT(D1745:P1745)=0,"",MEDIAN(D1745:P1745))</f>
        <v/>
      </c>
      <c r="S1745" s="8">
        <f>IF(COUNT(D1745:P1745)=0,"",MAX(D1745:P1745))</f>
        <v/>
      </c>
      <c r="T1745" s="9">
        <f>IF(OR(Q1745="",Q1745=0),"",(S1745-Q1745)/Q1745)</f>
        <v/>
      </c>
      <c r="U1745" s="7">
        <f>IF(COUNT(D1745:P1745)=0,"",INDEX($D$1:$P$1,MATCH(MIN(D1745:P1745),D1745:P1745,0)))</f>
        <v/>
      </c>
      <c r="V1745" s="8" t="n">
        <v>58.94</v>
      </c>
      <c r="W1745" s="10" t="n">
        <v>1</v>
      </c>
    </row>
    <row r="1746">
      <c r="A1746" s="7" t="inlineStr">
        <is>
          <t>MAT-32-398</t>
        </is>
      </c>
      <c r="B1746" s="4" t="inlineStr">
        <is>
          <t>Reducción bushing de HG 1" x 3/4"</t>
        </is>
      </c>
      <c r="C1746" s="7" t="inlineStr">
        <is>
          <t>unidad</t>
        </is>
      </c>
      <c r="D1746" s="8" t="n"/>
      <c r="E1746" s="8" t="n">
        <v>31</v>
      </c>
      <c r="F1746" s="8" t="n"/>
      <c r="G1746" s="8" t="n">
        <v>97</v>
      </c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>
        <f>IF(COUNT(D1746:P1746)=0,"",MIN(D1746:P1746))</f>
        <v/>
      </c>
      <c r="R1746" s="8">
        <f>IF(COUNT(D1746:P1746)=0,"",MEDIAN(D1746:P1746))</f>
        <v/>
      </c>
      <c r="S1746" s="8">
        <f>IF(COUNT(D1746:P1746)=0,"",MAX(D1746:P1746))</f>
        <v/>
      </c>
      <c r="T1746" s="9">
        <f>IF(OR(Q1746="",Q1746=0),"",(S1746-Q1746)/Q1746)</f>
        <v/>
      </c>
      <c r="U1746" s="7">
        <f>IF(COUNT(D1746:P1746)=0,"",INDEX($D$1:$P$1,MATCH(MIN(D1746:P1746),D1746:P1746,0)))</f>
        <v/>
      </c>
      <c r="V1746" s="8" t="n">
        <v>64</v>
      </c>
      <c r="W1746" s="10" t="n">
        <v>2</v>
      </c>
    </row>
    <row r="1747">
      <c r="A1747" s="7" t="inlineStr">
        <is>
          <t>MAT-32-399</t>
        </is>
      </c>
      <c r="B1747" s="4" t="inlineStr">
        <is>
          <t>Reducción bushing de HG 2 1/2" x 2"</t>
        </is>
      </c>
      <c r="C1747" s="7" t="inlineStr">
        <is>
          <t>unidad</t>
        </is>
      </c>
      <c r="D1747" s="8" t="n"/>
      <c r="E1747" s="8" t="n">
        <v>52.64</v>
      </c>
      <c r="F1747" s="8" t="n"/>
      <c r="G1747" s="8" t="n"/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>
        <f>IF(COUNT(D1747:P1747)=0,"",MIN(D1747:P1747))</f>
        <v/>
      </c>
      <c r="R1747" s="8">
        <f>IF(COUNT(D1747:P1747)=0,"",MEDIAN(D1747:P1747))</f>
        <v/>
      </c>
      <c r="S1747" s="8">
        <f>IF(COUNT(D1747:P1747)=0,"",MAX(D1747:P1747))</f>
        <v/>
      </c>
      <c r="T1747" s="9">
        <f>IF(OR(Q1747="",Q1747=0),"",(S1747-Q1747)/Q1747)</f>
        <v/>
      </c>
      <c r="U1747" s="7">
        <f>IF(COUNT(D1747:P1747)=0,"",INDEX($D$1:$P$1,MATCH(MIN(D1747:P1747),D1747:P1747,0)))</f>
        <v/>
      </c>
      <c r="V1747" s="8" t="n">
        <v>52.64</v>
      </c>
      <c r="W1747" s="10" t="n">
        <v>1</v>
      </c>
    </row>
    <row r="1748">
      <c r="A1748" s="7" t="inlineStr">
        <is>
          <t>MAT-32-400</t>
        </is>
      </c>
      <c r="B1748" s="4" t="inlineStr">
        <is>
          <t>Reducción bushing de HG 2" x 1 1/2"</t>
        </is>
      </c>
      <c r="C1748" s="7" t="inlineStr">
        <is>
          <t>unidad</t>
        </is>
      </c>
      <c r="D1748" s="8" t="n"/>
      <c r="E1748" s="8" t="n">
        <v>94</v>
      </c>
      <c r="F1748" s="8" t="n"/>
      <c r="G1748" s="8" t="n">
        <v>189</v>
      </c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>
        <f>IF(COUNT(D1748:P1748)=0,"",MIN(D1748:P1748))</f>
        <v/>
      </c>
      <c r="R1748" s="8">
        <f>IF(COUNT(D1748:P1748)=0,"",MEDIAN(D1748:P1748))</f>
        <v/>
      </c>
      <c r="S1748" s="8">
        <f>IF(COUNT(D1748:P1748)=0,"",MAX(D1748:P1748))</f>
        <v/>
      </c>
      <c r="T1748" s="9">
        <f>IF(OR(Q1748="",Q1748=0),"",(S1748-Q1748)/Q1748)</f>
        <v/>
      </c>
      <c r="U1748" s="7">
        <f>IF(COUNT(D1748:P1748)=0,"",INDEX($D$1:$P$1,MATCH(MIN(D1748:P1748),D1748:P1748,0)))</f>
        <v/>
      </c>
      <c r="V1748" s="8" t="n">
        <v>141.5</v>
      </c>
      <c r="W1748" s="10" t="n">
        <v>2</v>
      </c>
    </row>
    <row r="1749">
      <c r="A1749" s="7" t="inlineStr">
        <is>
          <t>MAT-32-401</t>
        </is>
      </c>
      <c r="B1749" s="4" t="inlineStr">
        <is>
          <t>Reducción bushing de HG 2" x 1 1/4"</t>
        </is>
      </c>
      <c r="C1749" s="7" t="inlineStr">
        <is>
          <t>unidad</t>
        </is>
      </c>
      <c r="D1749" s="8" t="n"/>
      <c r="E1749" s="8" t="n">
        <v>95</v>
      </c>
      <c r="F1749" s="8" t="n"/>
      <c r="G1749" s="8" t="n"/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>
        <f>IF(COUNT(D1749:P1749)=0,"",MIN(D1749:P1749))</f>
        <v/>
      </c>
      <c r="R1749" s="8">
        <f>IF(COUNT(D1749:P1749)=0,"",MEDIAN(D1749:P1749))</f>
        <v/>
      </c>
      <c r="S1749" s="8">
        <f>IF(COUNT(D1749:P1749)=0,"",MAX(D1749:P1749))</f>
        <v/>
      </c>
      <c r="T1749" s="9">
        <f>IF(OR(Q1749="",Q1749=0),"",(S1749-Q1749)/Q1749)</f>
        <v/>
      </c>
      <c r="U1749" s="7">
        <f>IF(COUNT(D1749:P1749)=0,"",INDEX($D$1:$P$1,MATCH(MIN(D1749:P1749),D1749:P1749,0)))</f>
        <v/>
      </c>
      <c r="V1749" s="8" t="n">
        <v>95</v>
      </c>
      <c r="W1749" s="10" t="n">
        <v>1</v>
      </c>
    </row>
    <row r="1750">
      <c r="A1750" s="7" t="inlineStr">
        <is>
          <t>MAT-32-402</t>
        </is>
      </c>
      <c r="B1750" s="4" t="inlineStr">
        <is>
          <t>Reducción bushing de HG 2" x 1/2"</t>
        </is>
      </c>
      <c r="C1750" s="7" t="inlineStr">
        <is>
          <t>unidad</t>
        </is>
      </c>
      <c r="D1750" s="8" t="n"/>
      <c r="E1750" s="8" t="n">
        <v>140</v>
      </c>
      <c r="F1750" s="8" t="n"/>
      <c r="G1750" s="8" t="n"/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>
        <f>IF(COUNT(D1750:P1750)=0,"",MIN(D1750:P1750))</f>
        <v/>
      </c>
      <c r="R1750" s="8">
        <f>IF(COUNT(D1750:P1750)=0,"",MEDIAN(D1750:P1750))</f>
        <v/>
      </c>
      <c r="S1750" s="8">
        <f>IF(COUNT(D1750:P1750)=0,"",MAX(D1750:P1750))</f>
        <v/>
      </c>
      <c r="T1750" s="9">
        <f>IF(OR(Q1750="",Q1750=0),"",(S1750-Q1750)/Q1750)</f>
        <v/>
      </c>
      <c r="U1750" s="7">
        <f>IF(COUNT(D1750:P1750)=0,"",INDEX($D$1:$P$1,MATCH(MIN(D1750:P1750),D1750:P1750,0)))</f>
        <v/>
      </c>
      <c r="V1750" s="8" t="n">
        <v>140</v>
      </c>
      <c r="W1750" s="10" t="n">
        <v>1</v>
      </c>
    </row>
    <row r="1751">
      <c r="A1751" s="7" t="inlineStr">
        <is>
          <t>MAT-32-403</t>
        </is>
      </c>
      <c r="B1751" s="4" t="inlineStr">
        <is>
          <t>Reducción bushing de HG 2" x 1"</t>
        </is>
      </c>
      <c r="C1751" s="7" t="inlineStr">
        <is>
          <t>unidad</t>
        </is>
      </c>
      <c r="D1751" s="8" t="n"/>
      <c r="E1751" s="8" t="n">
        <v>95</v>
      </c>
      <c r="F1751" s="8" t="n"/>
      <c r="G1751" s="8" t="n"/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>
        <f>IF(COUNT(D1751:P1751)=0,"",MIN(D1751:P1751))</f>
        <v/>
      </c>
      <c r="R1751" s="8">
        <f>IF(COUNT(D1751:P1751)=0,"",MEDIAN(D1751:P1751))</f>
        <v/>
      </c>
      <c r="S1751" s="8">
        <f>IF(COUNT(D1751:P1751)=0,"",MAX(D1751:P1751))</f>
        <v/>
      </c>
      <c r="T1751" s="9">
        <f>IF(OR(Q1751="",Q1751=0),"",(S1751-Q1751)/Q1751)</f>
        <v/>
      </c>
      <c r="U1751" s="7">
        <f>IF(COUNT(D1751:P1751)=0,"",INDEX($D$1:$P$1,MATCH(MIN(D1751:P1751),D1751:P1751,0)))</f>
        <v/>
      </c>
      <c r="V1751" s="8" t="n">
        <v>95</v>
      </c>
      <c r="W1751" s="10" t="n">
        <v>1</v>
      </c>
    </row>
    <row r="1752">
      <c r="A1752" s="7" t="inlineStr">
        <is>
          <t>MAT-32-404</t>
        </is>
      </c>
      <c r="B1752" s="4" t="inlineStr">
        <is>
          <t>Reducción bushing de HG 3/4" x 1/2"</t>
        </is>
      </c>
      <c r="C1752" s="7" t="inlineStr">
        <is>
          <t>unidad</t>
        </is>
      </c>
      <c r="D1752" s="8" t="n"/>
      <c r="E1752" s="8" t="n">
        <v>25</v>
      </c>
      <c r="F1752" s="8" t="n"/>
      <c r="G1752" s="8" t="n">
        <v>75</v>
      </c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>
        <f>IF(COUNT(D1752:P1752)=0,"",MIN(D1752:P1752))</f>
        <v/>
      </c>
      <c r="R1752" s="8">
        <f>IF(COUNT(D1752:P1752)=0,"",MEDIAN(D1752:P1752))</f>
        <v/>
      </c>
      <c r="S1752" s="8">
        <f>IF(COUNT(D1752:P1752)=0,"",MAX(D1752:P1752))</f>
        <v/>
      </c>
      <c r="T1752" s="9">
        <f>IF(OR(Q1752="",Q1752=0),"",(S1752-Q1752)/Q1752)</f>
        <v/>
      </c>
      <c r="U1752" s="7">
        <f>IF(COUNT(D1752:P1752)=0,"",INDEX($D$1:$P$1,MATCH(MIN(D1752:P1752),D1752:P1752,0)))</f>
        <v/>
      </c>
      <c r="V1752" s="8" t="n">
        <v>50</v>
      </c>
      <c r="W1752" s="10" t="n">
        <v>2</v>
      </c>
    </row>
    <row r="1753">
      <c r="A1753" s="7" t="inlineStr">
        <is>
          <t>MAT-32-405</t>
        </is>
      </c>
      <c r="B1753" s="4" t="inlineStr">
        <is>
          <t>Reducción bushing de HG 3/4" x 1/4"</t>
        </is>
      </c>
      <c r="C1753" s="7" t="inlineStr">
        <is>
          <t>unidad</t>
        </is>
      </c>
      <c r="D1753" s="8" t="n"/>
      <c r="E1753" s="8" t="n">
        <v>25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>
        <f>IF(COUNT(D1753:P1753)=0,"",MIN(D1753:P1753))</f>
        <v/>
      </c>
      <c r="R1753" s="8">
        <f>IF(COUNT(D1753:P1753)=0,"",MEDIAN(D1753:P1753))</f>
        <v/>
      </c>
      <c r="S1753" s="8">
        <f>IF(COUNT(D1753:P1753)=0,"",MAX(D1753:P1753))</f>
        <v/>
      </c>
      <c r="T1753" s="9">
        <f>IF(OR(Q1753="",Q1753=0),"",(S1753-Q1753)/Q1753)</f>
        <v/>
      </c>
      <c r="U1753" s="7">
        <f>IF(COUNT(D1753:P1753)=0,"",INDEX($D$1:$P$1,MATCH(MIN(D1753:P1753),D1753:P1753,0)))</f>
        <v/>
      </c>
      <c r="V1753" s="8" t="n">
        <v>25</v>
      </c>
      <c r="W1753" s="10" t="n">
        <v>1</v>
      </c>
    </row>
    <row r="1754">
      <c r="A1754" s="7" t="inlineStr">
        <is>
          <t>MAT-32-406</t>
        </is>
      </c>
      <c r="B1754" s="4" t="inlineStr">
        <is>
          <t>Reducción bushing de HG 3/4" x 3/8"</t>
        </is>
      </c>
      <c r="C1754" s="7" t="inlineStr">
        <is>
          <t>unidad</t>
        </is>
      </c>
      <c r="D1754" s="8" t="n"/>
      <c r="E1754" s="8" t="n">
        <v>67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>
        <f>IF(COUNT(D1754:P1754)=0,"",MIN(D1754:P1754))</f>
        <v/>
      </c>
      <c r="R1754" s="8">
        <f>IF(COUNT(D1754:P1754)=0,"",MEDIAN(D1754:P1754))</f>
        <v/>
      </c>
      <c r="S1754" s="8">
        <f>IF(COUNT(D1754:P1754)=0,"",MAX(D1754:P1754))</f>
        <v/>
      </c>
      <c r="T1754" s="9">
        <f>IF(OR(Q1754="",Q1754=0),"",(S1754-Q1754)/Q1754)</f>
        <v/>
      </c>
      <c r="U1754" s="7">
        <f>IF(COUNT(D1754:P1754)=0,"",INDEX($D$1:$P$1,MATCH(MIN(D1754:P1754),D1754:P1754,0)))</f>
        <v/>
      </c>
      <c r="V1754" s="8" t="n">
        <v>67</v>
      </c>
      <c r="W1754" s="10" t="n">
        <v>1</v>
      </c>
    </row>
    <row r="1755">
      <c r="A1755" s="7" t="inlineStr">
        <is>
          <t>MAT-32-407</t>
        </is>
      </c>
      <c r="B1755" s="4" t="inlineStr">
        <is>
          <t>Reducción bushing de HG 3/8" x 1/4"</t>
        </is>
      </c>
      <c r="C1755" s="7" t="inlineStr">
        <is>
          <t>unidad</t>
        </is>
      </c>
      <c r="D1755" s="8" t="n"/>
      <c r="E1755" s="8" t="n">
        <v>34</v>
      </c>
      <c r="F1755" s="8" t="n"/>
      <c r="G1755" s="8" t="n"/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>
        <f>IF(COUNT(D1755:P1755)=0,"",MIN(D1755:P1755))</f>
        <v/>
      </c>
      <c r="R1755" s="8">
        <f>IF(COUNT(D1755:P1755)=0,"",MEDIAN(D1755:P1755))</f>
        <v/>
      </c>
      <c r="S1755" s="8">
        <f>IF(COUNT(D1755:P1755)=0,"",MAX(D1755:P1755))</f>
        <v/>
      </c>
      <c r="T1755" s="9">
        <f>IF(OR(Q1755="",Q1755=0),"",(S1755-Q1755)/Q1755)</f>
        <v/>
      </c>
      <c r="U1755" s="7">
        <f>IF(COUNT(D1755:P1755)=0,"",INDEX($D$1:$P$1,MATCH(MIN(D1755:P1755),D1755:P1755,0)))</f>
        <v/>
      </c>
      <c r="V1755" s="8" t="n">
        <v>34</v>
      </c>
      <c r="W1755" s="10" t="n">
        <v>1</v>
      </c>
    </row>
    <row r="1756">
      <c r="A1756" s="7" t="inlineStr">
        <is>
          <t>MAT-32-408</t>
        </is>
      </c>
      <c r="B1756" s="4" t="inlineStr">
        <is>
          <t>Reducción bushing de HG 3" x 2"</t>
        </is>
      </c>
      <c r="C1756" s="7" t="inlineStr">
        <is>
          <t>unidad</t>
        </is>
      </c>
      <c r="D1756" s="8" t="n"/>
      <c r="E1756" s="8" t="n">
        <v>261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>
        <f>IF(COUNT(D1756:P1756)=0,"",MIN(D1756:P1756))</f>
        <v/>
      </c>
      <c r="R1756" s="8">
        <f>IF(COUNT(D1756:P1756)=0,"",MEDIAN(D1756:P1756))</f>
        <v/>
      </c>
      <c r="S1756" s="8">
        <f>IF(COUNT(D1756:P1756)=0,"",MAX(D1756:P1756))</f>
        <v/>
      </c>
      <c r="T1756" s="9">
        <f>IF(OR(Q1756="",Q1756=0),"",(S1756-Q1756)/Q1756)</f>
        <v/>
      </c>
      <c r="U1756" s="7">
        <f>IF(COUNT(D1756:P1756)=0,"",INDEX($D$1:$P$1,MATCH(MIN(D1756:P1756),D1756:P1756,0)))</f>
        <v/>
      </c>
      <c r="V1756" s="8" t="n">
        <v>261</v>
      </c>
      <c r="W1756" s="10" t="n">
        <v>1</v>
      </c>
    </row>
    <row r="1757">
      <c r="A1757" s="7" t="inlineStr">
        <is>
          <t>MAT-32-409</t>
        </is>
      </c>
      <c r="B1757" s="4" t="inlineStr">
        <is>
          <t>Reducción bushing de HG 4" x 3"</t>
        </is>
      </c>
      <c r="C1757" s="7" t="inlineStr">
        <is>
          <t>unidad</t>
        </is>
      </c>
      <c r="D1757" s="8" t="n"/>
      <c r="E1757" s="8" t="n">
        <v>454</v>
      </c>
      <c r="F1757" s="8" t="n"/>
      <c r="G1757" s="8" t="n"/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>
        <f>IF(COUNT(D1757:P1757)=0,"",MIN(D1757:P1757))</f>
        <v/>
      </c>
      <c r="R1757" s="8">
        <f>IF(COUNT(D1757:P1757)=0,"",MEDIAN(D1757:P1757))</f>
        <v/>
      </c>
      <c r="S1757" s="8">
        <f>IF(COUNT(D1757:P1757)=0,"",MAX(D1757:P1757))</f>
        <v/>
      </c>
      <c r="T1757" s="9">
        <f>IF(OR(Q1757="",Q1757=0),"",(S1757-Q1757)/Q1757)</f>
        <v/>
      </c>
      <c r="U1757" s="7">
        <f>IF(COUNT(D1757:P1757)=0,"",INDEX($D$1:$P$1,MATCH(MIN(D1757:P1757),D1757:P1757,0)))</f>
        <v/>
      </c>
      <c r="V1757" s="8" t="n">
        <v>454</v>
      </c>
      <c r="W1757" s="10" t="n">
        <v>1</v>
      </c>
    </row>
    <row r="1758">
      <c r="A1758" s="7" t="inlineStr">
        <is>
          <t>MAT-32-410</t>
        </is>
      </c>
      <c r="B1758" s="4" t="inlineStr">
        <is>
          <t>Reducción bushing de PVC drenaje 2" x 1/2"</t>
        </is>
      </c>
      <c r="C1758" s="7" t="inlineStr">
        <is>
          <t>unidad</t>
        </is>
      </c>
      <c r="D1758" s="8" t="n"/>
      <c r="E1758" s="8" t="n"/>
      <c r="F1758" s="8" t="n"/>
      <c r="G1758" s="8" t="n">
        <v>64</v>
      </c>
      <c r="H1758" s="8" t="n"/>
      <c r="I1758" s="8" t="n"/>
      <c r="J1758" s="8" t="n"/>
      <c r="K1758" s="8" t="n"/>
      <c r="L1758" s="8" t="n"/>
      <c r="M1758" s="8" t="n">
        <v>12.26</v>
      </c>
      <c r="N1758" s="8" t="n"/>
      <c r="O1758" s="8" t="n"/>
      <c r="P1758" s="8" t="n"/>
      <c r="Q1758" s="8">
        <f>IF(COUNT(D1758:P1758)=0,"",MIN(D1758:P1758))</f>
        <v/>
      </c>
      <c r="R1758" s="8">
        <f>IF(COUNT(D1758:P1758)=0,"",MEDIAN(D1758:P1758))</f>
        <v/>
      </c>
      <c r="S1758" s="8">
        <f>IF(COUNT(D1758:P1758)=0,"",MAX(D1758:P1758))</f>
        <v/>
      </c>
      <c r="T1758" s="9">
        <f>IF(OR(Q1758="",Q1758=0),"",(S1758-Q1758)/Q1758)</f>
        <v/>
      </c>
      <c r="U1758" s="7">
        <f>IF(COUNT(D1758:P1758)=0,"",INDEX($D$1:$P$1,MATCH(MIN(D1758:P1758),D1758:P1758,0)))</f>
        <v/>
      </c>
      <c r="V1758" s="8" t="n">
        <v>39.23</v>
      </c>
      <c r="W1758" s="10" t="n">
        <v>2</v>
      </c>
    </row>
    <row r="1759">
      <c r="A1759" s="7" t="inlineStr">
        <is>
          <t>MAT-32-411</t>
        </is>
      </c>
      <c r="B1759" s="4" t="inlineStr">
        <is>
          <t>Reducción bushing de PVC drenaje 2" x 1"</t>
        </is>
      </c>
      <c r="C1759" s="7" t="inlineStr">
        <is>
          <t>unidad</t>
        </is>
      </c>
      <c r="D1759" s="8" t="n"/>
      <c r="E1759" s="8" t="n"/>
      <c r="F1759" s="8" t="n"/>
      <c r="G1759" s="8" t="n"/>
      <c r="H1759" s="8" t="n"/>
      <c r="I1759" s="8" t="n"/>
      <c r="J1759" s="8" t="n"/>
      <c r="K1759" s="8" t="n"/>
      <c r="L1759" s="8" t="n"/>
      <c r="M1759" s="8" t="n">
        <v>14.24</v>
      </c>
      <c r="N1759" s="8" t="n"/>
      <c r="O1759" s="8" t="n"/>
      <c r="P1759" s="8" t="n"/>
      <c r="Q1759" s="8">
        <f>IF(COUNT(D1759:P1759)=0,"",MIN(D1759:P1759))</f>
        <v/>
      </c>
      <c r="R1759" s="8">
        <f>IF(COUNT(D1759:P1759)=0,"",MEDIAN(D1759:P1759))</f>
        <v/>
      </c>
      <c r="S1759" s="8">
        <f>IF(COUNT(D1759:P1759)=0,"",MAX(D1759:P1759))</f>
        <v/>
      </c>
      <c r="T1759" s="9">
        <f>IF(OR(Q1759="",Q1759=0),"",(S1759-Q1759)/Q1759)</f>
        <v/>
      </c>
      <c r="U1759" s="7">
        <f>IF(COUNT(D1759:P1759)=0,"",INDEX($D$1:$P$1,MATCH(MIN(D1759:P1759),D1759:P1759,0)))</f>
        <v/>
      </c>
      <c r="V1759" s="8" t="n">
        <v>16.8</v>
      </c>
      <c r="W1759" s="10" t="n">
        <v>1</v>
      </c>
    </row>
    <row r="1760">
      <c r="A1760" s="7" t="inlineStr">
        <is>
          <t>MAT-32-412</t>
        </is>
      </c>
      <c r="B1760" s="4" t="inlineStr">
        <is>
          <t>Reducción bushing de PVC drenaje 2" x 3/4"</t>
        </is>
      </c>
      <c r="C1760" s="7" t="inlineStr">
        <is>
          <t>unidad</t>
        </is>
      </c>
      <c r="D1760" s="8" t="n"/>
      <c r="E1760" s="8" t="n"/>
      <c r="F1760" s="8" t="n"/>
      <c r="G1760" s="8" t="n"/>
      <c r="H1760" s="8" t="n"/>
      <c r="I1760" s="8" t="n"/>
      <c r="J1760" s="8" t="n"/>
      <c r="K1760" s="8" t="n"/>
      <c r="L1760" s="8" t="n"/>
      <c r="M1760" s="8" t="n">
        <v>13.83</v>
      </c>
      <c r="N1760" s="8" t="n"/>
      <c r="O1760" s="8" t="n"/>
      <c r="P1760" s="8" t="n"/>
      <c r="Q1760" s="8">
        <f>IF(COUNT(D1760:P1760)=0,"",MIN(D1760:P1760))</f>
        <v/>
      </c>
      <c r="R1760" s="8">
        <f>IF(COUNT(D1760:P1760)=0,"",MEDIAN(D1760:P1760))</f>
        <v/>
      </c>
      <c r="S1760" s="8">
        <f>IF(COUNT(D1760:P1760)=0,"",MAX(D1760:P1760))</f>
        <v/>
      </c>
      <c r="T1760" s="9">
        <f>IF(OR(Q1760="",Q1760=0),"",(S1760-Q1760)/Q1760)</f>
        <v/>
      </c>
      <c r="U1760" s="7">
        <f>IF(COUNT(D1760:P1760)=0,"",INDEX($D$1:$P$1,MATCH(MIN(D1760:P1760),D1760:P1760,0)))</f>
        <v/>
      </c>
      <c r="V1760" s="8" t="n">
        <v>16.32</v>
      </c>
      <c r="W1760" s="10" t="n">
        <v>1</v>
      </c>
    </row>
    <row r="1761">
      <c r="A1761" s="7" t="inlineStr">
        <is>
          <t>MAT-32-413</t>
        </is>
      </c>
      <c r="B1761" s="4" t="inlineStr">
        <is>
          <t>Reducción bushing de PVC drenaje 3" x 2"</t>
        </is>
      </c>
      <c r="C1761" s="7" t="inlineStr">
        <is>
          <t>unidad</t>
        </is>
      </c>
      <c r="D1761" s="8" t="n"/>
      <c r="E1761" s="8" t="n"/>
      <c r="F1761" s="8" t="n"/>
      <c r="G1761" s="8" t="n"/>
      <c r="H1761" s="8" t="n"/>
      <c r="I1761" s="8" t="n"/>
      <c r="J1761" s="8" t="n"/>
      <c r="K1761" s="8" t="n"/>
      <c r="L1761" s="8" t="n"/>
      <c r="M1761" s="8" t="n">
        <v>33.21</v>
      </c>
      <c r="N1761" s="8" t="n"/>
      <c r="O1761" s="8" t="n"/>
      <c r="P1761" s="8" t="n"/>
      <c r="Q1761" s="8">
        <f>IF(COUNT(D1761:P1761)=0,"",MIN(D1761:P1761))</f>
        <v/>
      </c>
      <c r="R1761" s="8">
        <f>IF(COUNT(D1761:P1761)=0,"",MEDIAN(D1761:P1761))</f>
        <v/>
      </c>
      <c r="S1761" s="8">
        <f>IF(COUNT(D1761:P1761)=0,"",MAX(D1761:P1761))</f>
        <v/>
      </c>
      <c r="T1761" s="9">
        <f>IF(OR(Q1761="",Q1761=0),"",(S1761-Q1761)/Q1761)</f>
        <v/>
      </c>
      <c r="U1761" s="7">
        <f>IF(COUNT(D1761:P1761)=0,"",INDEX($D$1:$P$1,MATCH(MIN(D1761:P1761),D1761:P1761,0)))</f>
        <v/>
      </c>
      <c r="V1761" s="8" t="n">
        <v>39.19</v>
      </c>
      <c r="W1761" s="10" t="n">
        <v>1</v>
      </c>
    </row>
    <row r="1762">
      <c r="A1762" s="7" t="inlineStr">
        <is>
          <t>MAT-32-414</t>
        </is>
      </c>
      <c r="B1762" s="4" t="inlineStr">
        <is>
          <t>Reducción bushing de PVC drenaje 4" x 2"</t>
        </is>
      </c>
      <c r="C1762" s="7" t="inlineStr">
        <is>
          <t>unidad</t>
        </is>
      </c>
      <c r="D1762" s="8" t="n"/>
      <c r="E1762" s="8" t="n"/>
      <c r="F1762" s="8" t="n"/>
      <c r="G1762" s="8" t="n"/>
      <c r="H1762" s="8" t="n"/>
      <c r="I1762" s="8" t="n"/>
      <c r="J1762" s="8" t="n"/>
      <c r="K1762" s="8" t="n"/>
      <c r="L1762" s="8" t="n"/>
      <c r="M1762" s="8" t="n">
        <v>64.3</v>
      </c>
      <c r="N1762" s="8" t="n"/>
      <c r="O1762" s="8" t="n"/>
      <c r="P1762" s="8" t="n"/>
      <c r="Q1762" s="8">
        <f>IF(COUNT(D1762:P1762)=0,"",MIN(D1762:P1762))</f>
        <v/>
      </c>
      <c r="R1762" s="8">
        <f>IF(COUNT(D1762:P1762)=0,"",MEDIAN(D1762:P1762))</f>
        <v/>
      </c>
      <c r="S1762" s="8">
        <f>IF(COUNT(D1762:P1762)=0,"",MAX(D1762:P1762))</f>
        <v/>
      </c>
      <c r="T1762" s="9">
        <f>IF(OR(Q1762="",Q1762=0),"",(S1762-Q1762)/Q1762)</f>
        <v/>
      </c>
      <c r="U1762" s="7">
        <f>IF(COUNT(D1762:P1762)=0,"",INDEX($D$1:$P$1,MATCH(MIN(D1762:P1762),D1762:P1762,0)))</f>
        <v/>
      </c>
      <c r="V1762" s="8" t="n">
        <v>75.87</v>
      </c>
      <c r="W1762" s="10" t="n">
        <v>1</v>
      </c>
    </row>
    <row r="1763">
      <c r="A1763" s="7" t="inlineStr">
        <is>
          <t>MAT-32-415</t>
        </is>
      </c>
      <c r="B1763" s="4" t="inlineStr">
        <is>
          <t>Reducción bushing de PVC drenaje 4" x 3"</t>
        </is>
      </c>
      <c r="C1763" s="7" t="inlineStr">
        <is>
          <t>unidad</t>
        </is>
      </c>
      <c r="D1763" s="8" t="n"/>
      <c r="E1763" s="8" t="n"/>
      <c r="F1763" s="8" t="n"/>
      <c r="G1763" s="8" t="n"/>
      <c r="H1763" s="8" t="n"/>
      <c r="I1763" s="8" t="n"/>
      <c r="J1763" s="8" t="n"/>
      <c r="K1763" s="8" t="n"/>
      <c r="L1763" s="8" t="n"/>
      <c r="M1763" s="8" t="n">
        <v>63.9</v>
      </c>
      <c r="N1763" s="8" t="n"/>
      <c r="O1763" s="8" t="n"/>
      <c r="P1763" s="8" t="n"/>
      <c r="Q1763" s="8">
        <f>IF(COUNT(D1763:P1763)=0,"",MIN(D1763:P1763))</f>
        <v/>
      </c>
      <c r="R1763" s="8">
        <f>IF(COUNT(D1763:P1763)=0,"",MEDIAN(D1763:P1763))</f>
        <v/>
      </c>
      <c r="S1763" s="8">
        <f>IF(COUNT(D1763:P1763)=0,"",MAX(D1763:P1763))</f>
        <v/>
      </c>
      <c r="T1763" s="9">
        <f>IF(OR(Q1763="",Q1763=0),"",(S1763-Q1763)/Q1763)</f>
        <v/>
      </c>
      <c r="U1763" s="7">
        <f>IF(COUNT(D1763:P1763)=0,"",INDEX($D$1:$P$1,MATCH(MIN(D1763:P1763),D1763:P1763,0)))</f>
        <v/>
      </c>
      <c r="V1763" s="8" t="n">
        <v>75.40000000000001</v>
      </c>
      <c r="W1763" s="10" t="n">
        <v>1</v>
      </c>
    </row>
    <row r="1764">
      <c r="A1764" s="7" t="inlineStr">
        <is>
          <t>MAT-32-416</t>
        </is>
      </c>
      <c r="B1764" s="4" t="inlineStr">
        <is>
          <t>Reducción bushing de PVC drenaje 6" x 4"</t>
        </is>
      </c>
      <c r="C1764" s="7" t="inlineStr">
        <is>
          <t>unidad</t>
        </is>
      </c>
      <c r="D1764" s="8" t="n"/>
      <c r="E1764" s="8" t="n">
        <v>132</v>
      </c>
      <c r="F1764" s="8" t="n"/>
      <c r="G1764" s="8" t="n"/>
      <c r="H1764" s="8" t="n"/>
      <c r="I1764" s="8" t="n"/>
      <c r="J1764" s="8" t="n"/>
      <c r="K1764" s="8" t="n"/>
      <c r="L1764" s="8" t="n"/>
      <c r="M1764" s="8" t="n">
        <v>237.3</v>
      </c>
      <c r="N1764" s="8" t="n"/>
      <c r="O1764" s="8" t="n"/>
      <c r="P1764" s="8" t="n"/>
      <c r="Q1764" s="8">
        <f>IF(COUNT(D1764:P1764)=0,"",MIN(D1764:P1764))</f>
        <v/>
      </c>
      <c r="R1764" s="8">
        <f>IF(COUNT(D1764:P1764)=0,"",MEDIAN(D1764:P1764))</f>
        <v/>
      </c>
      <c r="S1764" s="8">
        <f>IF(COUNT(D1764:P1764)=0,"",MAX(D1764:P1764))</f>
        <v/>
      </c>
      <c r="T1764" s="9">
        <f>IF(OR(Q1764="",Q1764=0),"",(S1764-Q1764)/Q1764)</f>
        <v/>
      </c>
      <c r="U1764" s="7">
        <f>IF(COUNT(D1764:P1764)=0,"",INDEX($D$1:$P$1,MATCH(MIN(D1764:P1764),D1764:P1764,0)))</f>
        <v/>
      </c>
      <c r="V1764" s="8" t="n">
        <v>280.01</v>
      </c>
      <c r="W1764" s="10" t="n">
        <v>2</v>
      </c>
    </row>
    <row r="1765">
      <c r="A1765" s="7" t="inlineStr">
        <is>
          <t>MAT-32-417</t>
        </is>
      </c>
      <c r="B1765" s="4" t="inlineStr">
        <is>
          <t>Reducción bushing de PVC drenaje 8" x 4"</t>
        </is>
      </c>
      <c r="C1765" s="7" t="inlineStr">
        <is>
          <t>unidad</t>
        </is>
      </c>
      <c r="D1765" s="8" t="n"/>
      <c r="E1765" s="8" t="n"/>
      <c r="F1765" s="8" t="n"/>
      <c r="G1765" s="8" t="n"/>
      <c r="H1765" s="8" t="n"/>
      <c r="I1765" s="8" t="n"/>
      <c r="J1765" s="8" t="n"/>
      <c r="K1765" s="8" t="n"/>
      <c r="L1765" s="8" t="n"/>
      <c r="M1765" s="8" t="n">
        <v>2126.7</v>
      </c>
      <c r="N1765" s="8" t="n"/>
      <c r="O1765" s="8" t="n"/>
      <c r="P1765" s="8" t="n"/>
      <c r="Q1765" s="8">
        <f>IF(COUNT(D1765:P1765)=0,"",MIN(D1765:P1765))</f>
        <v/>
      </c>
      <c r="R1765" s="8">
        <f>IF(COUNT(D1765:P1765)=0,"",MEDIAN(D1765:P1765))</f>
        <v/>
      </c>
      <c r="S1765" s="8">
        <f>IF(COUNT(D1765:P1765)=0,"",MAX(D1765:P1765))</f>
        <v/>
      </c>
      <c r="T1765" s="9">
        <f>IF(OR(Q1765="",Q1765=0),"",(S1765-Q1765)/Q1765)</f>
        <v/>
      </c>
      <c r="U1765" s="7">
        <f>IF(COUNT(D1765:P1765)=0,"",INDEX($D$1:$P$1,MATCH(MIN(D1765:P1765),D1765:P1765,0)))</f>
        <v/>
      </c>
      <c r="V1765" s="8" t="n">
        <v>2509.51</v>
      </c>
      <c r="W1765" s="10" t="n">
        <v>1</v>
      </c>
    </row>
    <row r="1766">
      <c r="A1766" s="7" t="inlineStr">
        <is>
          <t>MAT-32-418</t>
        </is>
      </c>
      <c r="B1766" s="4" t="inlineStr">
        <is>
          <t>Reducción bushing de PVC drenaje 8" x 6"</t>
        </is>
      </c>
      <c r="C1766" s="7" t="inlineStr">
        <is>
          <t>unidad</t>
        </is>
      </c>
      <c r="D1766" s="8" t="n"/>
      <c r="E1766" s="8" t="n"/>
      <c r="F1766" s="8" t="n"/>
      <c r="G1766" s="8" t="n"/>
      <c r="H1766" s="8" t="n"/>
      <c r="I1766" s="8" t="n"/>
      <c r="J1766" s="8" t="n"/>
      <c r="K1766" s="8" t="n"/>
      <c r="L1766" s="8" t="n"/>
      <c r="M1766" s="8" t="n">
        <v>1626</v>
      </c>
      <c r="N1766" s="8" t="n"/>
      <c r="O1766" s="8" t="n"/>
      <c r="P1766" s="8" t="n"/>
      <c r="Q1766" s="8">
        <f>IF(COUNT(D1766:P1766)=0,"",MIN(D1766:P1766))</f>
        <v/>
      </c>
      <c r="R1766" s="8">
        <f>IF(COUNT(D1766:P1766)=0,"",MEDIAN(D1766:P1766))</f>
        <v/>
      </c>
      <c r="S1766" s="8">
        <f>IF(COUNT(D1766:P1766)=0,"",MAX(D1766:P1766))</f>
        <v/>
      </c>
      <c r="T1766" s="9">
        <f>IF(OR(Q1766="",Q1766=0),"",(S1766-Q1766)/Q1766)</f>
        <v/>
      </c>
      <c r="U1766" s="7">
        <f>IF(COUNT(D1766:P1766)=0,"",INDEX($D$1:$P$1,MATCH(MIN(D1766:P1766),D1766:P1766,0)))</f>
        <v/>
      </c>
      <c r="V1766" s="8" t="n">
        <v>1918.68</v>
      </c>
      <c r="W1766" s="10" t="n">
        <v>1</v>
      </c>
    </row>
    <row r="1767">
      <c r="A1767" s="7" t="inlineStr">
        <is>
          <t>MAT-32-419</t>
        </is>
      </c>
      <c r="B1767" s="4" t="inlineStr">
        <is>
          <t>Reducción bushing de PVC 1 1/2" x 1"</t>
        </is>
      </c>
      <c r="C1767" s="7" t="inlineStr">
        <is>
          <t>unidad</t>
        </is>
      </c>
      <c r="D1767" s="8" t="n"/>
      <c r="E1767" s="8" t="n"/>
      <c r="F1767" s="8" t="n"/>
      <c r="G1767" s="8" t="n">
        <v>87</v>
      </c>
      <c r="H1767" s="8" t="n"/>
      <c r="I1767" s="8" t="n"/>
      <c r="J1767" s="8" t="n"/>
      <c r="K1767" s="8" t="n"/>
      <c r="L1767" s="8" t="n"/>
      <c r="M1767" s="8" t="n"/>
      <c r="N1767" s="8" t="n"/>
      <c r="O1767" s="8" t="n"/>
      <c r="P1767" s="8" t="n"/>
      <c r="Q1767" s="8">
        <f>IF(COUNT(D1767:P1767)=0,"",MIN(D1767:P1767))</f>
        <v/>
      </c>
      <c r="R1767" s="8">
        <f>IF(COUNT(D1767:P1767)=0,"",MEDIAN(D1767:P1767))</f>
        <v/>
      </c>
      <c r="S1767" s="8">
        <f>IF(COUNT(D1767:P1767)=0,"",MAX(D1767:P1767))</f>
        <v/>
      </c>
      <c r="T1767" s="9">
        <f>IF(OR(Q1767="",Q1767=0),"",(S1767-Q1767)/Q1767)</f>
        <v/>
      </c>
      <c r="U1767" s="7">
        <f>IF(COUNT(D1767:P1767)=0,"",INDEX($D$1:$P$1,MATCH(MIN(D1767:P1767),D1767:P1767,0)))</f>
        <v/>
      </c>
      <c r="V1767" s="8" t="n">
        <v>87</v>
      </c>
      <c r="W1767" s="10" t="n">
        <v>1</v>
      </c>
    </row>
    <row r="1768">
      <c r="A1768" s="7" t="inlineStr">
        <is>
          <t>MAT-32-420</t>
        </is>
      </c>
      <c r="B1768" s="4" t="inlineStr">
        <is>
          <t>Reducción bushing de PVC 1 1/2" x 3/4"</t>
        </is>
      </c>
      <c r="C1768" s="7" t="inlineStr">
        <is>
          <t>unidad</t>
        </is>
      </c>
      <c r="D1768" s="8" t="n"/>
      <c r="E1768" s="8" t="n">
        <v>30</v>
      </c>
      <c r="F1768" s="8" t="n"/>
      <c r="G1768" s="8" t="n">
        <v>85</v>
      </c>
      <c r="H1768" s="8" t="n"/>
      <c r="I1768" s="8" t="n"/>
      <c r="J1768" s="8" t="n"/>
      <c r="K1768" s="8" t="n"/>
      <c r="L1768" s="8" t="n"/>
      <c r="M1768" s="8" t="n"/>
      <c r="N1768" s="8" t="n"/>
      <c r="O1768" s="8" t="n"/>
      <c r="P1768" s="8" t="n"/>
      <c r="Q1768" s="8">
        <f>IF(COUNT(D1768:P1768)=0,"",MIN(D1768:P1768))</f>
        <v/>
      </c>
      <c r="R1768" s="8">
        <f>IF(COUNT(D1768:P1768)=0,"",MEDIAN(D1768:P1768))</f>
        <v/>
      </c>
      <c r="S1768" s="8">
        <f>IF(COUNT(D1768:P1768)=0,"",MAX(D1768:P1768))</f>
        <v/>
      </c>
      <c r="T1768" s="9">
        <f>IF(OR(Q1768="",Q1768=0),"",(S1768-Q1768)/Q1768)</f>
        <v/>
      </c>
      <c r="U1768" s="7">
        <f>IF(COUNT(D1768:P1768)=0,"",INDEX($D$1:$P$1,MATCH(MIN(D1768:P1768),D1768:P1768,0)))</f>
        <v/>
      </c>
      <c r="V1768" s="8" t="n">
        <v>57.5</v>
      </c>
      <c r="W1768" s="10" t="n">
        <v>2</v>
      </c>
    </row>
    <row r="1769">
      <c r="A1769" s="7" t="inlineStr">
        <is>
          <t>MAT-32-421</t>
        </is>
      </c>
      <c r="B1769" s="4" t="inlineStr">
        <is>
          <t>Reducción bushing de PVC 1" x 1/2"</t>
        </is>
      </c>
      <c r="C1769" s="7" t="inlineStr">
        <is>
          <t>unidad</t>
        </is>
      </c>
      <c r="D1769" s="8" t="n"/>
      <c r="E1769" s="8" t="n"/>
      <c r="F1769" s="8" t="n"/>
      <c r="G1769" s="8" t="n">
        <v>35</v>
      </c>
      <c r="H1769" s="8" t="n"/>
      <c r="I1769" s="8" t="n"/>
      <c r="J1769" s="8" t="n"/>
      <c r="K1769" s="8" t="n"/>
      <c r="L1769" s="8" t="n"/>
      <c r="M1769" s="8" t="n"/>
      <c r="N1769" s="8" t="n"/>
      <c r="O1769" s="8" t="n"/>
      <c r="P1769" s="8" t="n"/>
      <c r="Q1769" s="8">
        <f>IF(COUNT(D1769:P1769)=0,"",MIN(D1769:P1769))</f>
        <v/>
      </c>
      <c r="R1769" s="8">
        <f>IF(COUNT(D1769:P1769)=0,"",MEDIAN(D1769:P1769))</f>
        <v/>
      </c>
      <c r="S1769" s="8">
        <f>IF(COUNT(D1769:P1769)=0,"",MAX(D1769:P1769))</f>
        <v/>
      </c>
      <c r="T1769" s="9">
        <f>IF(OR(Q1769="",Q1769=0),"",(S1769-Q1769)/Q1769)</f>
        <v/>
      </c>
      <c r="U1769" s="7">
        <f>IF(COUNT(D1769:P1769)=0,"",INDEX($D$1:$P$1,MATCH(MIN(D1769:P1769),D1769:P1769,0)))</f>
        <v/>
      </c>
      <c r="V1769" s="8" t="n">
        <v>35</v>
      </c>
      <c r="W1769" s="10" t="n">
        <v>1</v>
      </c>
    </row>
    <row r="1770">
      <c r="A1770" s="7" t="inlineStr">
        <is>
          <t>MAT-32-422</t>
        </is>
      </c>
      <c r="B1770" s="4" t="inlineStr">
        <is>
          <t>Reducción bushing de PVC 1" x 3/4"</t>
        </is>
      </c>
      <c r="C1770" s="7" t="inlineStr">
        <is>
          <t>unidad</t>
        </is>
      </c>
      <c r="D1770" s="8" t="n"/>
      <c r="E1770" s="8" t="n">
        <v>12.88</v>
      </c>
      <c r="F1770" s="8" t="n"/>
      <c r="G1770" s="8" t="n">
        <v>26</v>
      </c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>
        <f>IF(COUNT(D1770:P1770)=0,"",MIN(D1770:P1770))</f>
        <v/>
      </c>
      <c r="R1770" s="8">
        <f>IF(COUNT(D1770:P1770)=0,"",MEDIAN(D1770:P1770))</f>
        <v/>
      </c>
      <c r="S1770" s="8">
        <f>IF(COUNT(D1770:P1770)=0,"",MAX(D1770:P1770))</f>
        <v/>
      </c>
      <c r="T1770" s="9">
        <f>IF(OR(Q1770="",Q1770=0),"",(S1770-Q1770)/Q1770)</f>
        <v/>
      </c>
      <c r="U1770" s="7">
        <f>IF(COUNT(D1770:P1770)=0,"",INDEX($D$1:$P$1,MATCH(MIN(D1770:P1770),D1770:P1770,0)))</f>
        <v/>
      </c>
      <c r="V1770" s="8" t="n">
        <v>19.44</v>
      </c>
      <c r="W1770" s="10" t="n">
        <v>2</v>
      </c>
    </row>
    <row r="1771">
      <c r="A1771" s="7" t="inlineStr">
        <is>
          <t>MAT-32-423</t>
        </is>
      </c>
      <c r="B1771" s="4" t="inlineStr">
        <is>
          <t>Reducción bushing de PVC 2" x 1 1/2"</t>
        </is>
      </c>
      <c r="C1771" s="7" t="inlineStr">
        <is>
          <t>unidad</t>
        </is>
      </c>
      <c r="D1771" s="8" t="n"/>
      <c r="E1771" s="8" t="n">
        <v>53</v>
      </c>
      <c r="F1771" s="8" t="n"/>
      <c r="G1771" s="8" t="n">
        <v>65</v>
      </c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>
        <f>IF(COUNT(D1771:P1771)=0,"",MIN(D1771:P1771))</f>
        <v/>
      </c>
      <c r="R1771" s="8">
        <f>IF(COUNT(D1771:P1771)=0,"",MEDIAN(D1771:P1771))</f>
        <v/>
      </c>
      <c r="S1771" s="8">
        <f>IF(COUNT(D1771:P1771)=0,"",MAX(D1771:P1771))</f>
        <v/>
      </c>
      <c r="T1771" s="9">
        <f>IF(OR(Q1771="",Q1771=0),"",(S1771-Q1771)/Q1771)</f>
        <v/>
      </c>
      <c r="U1771" s="7">
        <f>IF(COUNT(D1771:P1771)=0,"",INDEX($D$1:$P$1,MATCH(MIN(D1771:P1771),D1771:P1771,0)))</f>
        <v/>
      </c>
      <c r="V1771" s="8" t="n">
        <v>59</v>
      </c>
      <c r="W1771" s="10" t="n">
        <v>2</v>
      </c>
    </row>
    <row r="1772">
      <c r="A1772" s="7" t="inlineStr">
        <is>
          <t>MAT-32-424</t>
        </is>
      </c>
      <c r="B1772" s="4" t="inlineStr">
        <is>
          <t>Reducción bushing de PVC 2" x 1"</t>
        </is>
      </c>
      <c r="C1772" s="7" t="inlineStr">
        <is>
          <t>unidad</t>
        </is>
      </c>
      <c r="D1772" s="8" t="n"/>
      <c r="E1772" s="8" t="n"/>
      <c r="F1772" s="8" t="n"/>
      <c r="G1772" s="8" t="n">
        <v>64</v>
      </c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>
        <f>IF(COUNT(D1772:P1772)=0,"",MIN(D1772:P1772))</f>
        <v/>
      </c>
      <c r="R1772" s="8">
        <f>IF(COUNT(D1772:P1772)=0,"",MEDIAN(D1772:P1772))</f>
        <v/>
      </c>
      <c r="S1772" s="8">
        <f>IF(COUNT(D1772:P1772)=0,"",MAX(D1772:P1772))</f>
        <v/>
      </c>
      <c r="T1772" s="9">
        <f>IF(OR(Q1772="",Q1772=0),"",(S1772-Q1772)/Q1772)</f>
        <v/>
      </c>
      <c r="U1772" s="7">
        <f>IF(COUNT(D1772:P1772)=0,"",INDEX($D$1:$P$1,MATCH(MIN(D1772:P1772),D1772:P1772,0)))</f>
        <v/>
      </c>
      <c r="V1772" s="8" t="n">
        <v>64</v>
      </c>
      <c r="W1772" s="10" t="n">
        <v>1</v>
      </c>
    </row>
    <row r="1773">
      <c r="A1773" s="7" t="inlineStr">
        <is>
          <t>MAT-32-425</t>
        </is>
      </c>
      <c r="B1773" s="4" t="inlineStr">
        <is>
          <t>Reducción bushing de PVC 2" x 3/4"</t>
        </is>
      </c>
      <c r="C1773" s="7" t="inlineStr">
        <is>
          <t>unidad</t>
        </is>
      </c>
      <c r="D1773" s="8" t="n"/>
      <c r="E1773" s="8" t="n"/>
      <c r="F1773" s="8" t="n"/>
      <c r="G1773" s="8" t="n">
        <v>41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>
        <f>IF(COUNT(D1773:P1773)=0,"",MIN(D1773:P1773))</f>
        <v/>
      </c>
      <c r="R1773" s="8">
        <f>IF(COUNT(D1773:P1773)=0,"",MEDIAN(D1773:P1773))</f>
        <v/>
      </c>
      <c r="S1773" s="8">
        <f>IF(COUNT(D1773:P1773)=0,"",MAX(D1773:P1773))</f>
        <v/>
      </c>
      <c r="T1773" s="9">
        <f>IF(OR(Q1773="",Q1773=0),"",(S1773-Q1773)/Q1773)</f>
        <v/>
      </c>
      <c r="U1773" s="7">
        <f>IF(COUNT(D1773:P1773)=0,"",INDEX($D$1:$P$1,MATCH(MIN(D1773:P1773),D1773:P1773,0)))</f>
        <v/>
      </c>
      <c r="V1773" s="8" t="n">
        <v>41</v>
      </c>
      <c r="W1773" s="10" t="n">
        <v>1</v>
      </c>
    </row>
    <row r="1774">
      <c r="A1774" s="7" t="inlineStr">
        <is>
          <t>MAT-32-426</t>
        </is>
      </c>
      <c r="B1774" s="4" t="inlineStr">
        <is>
          <t>Reducción bushing de PVC 3/4" x 1/2"</t>
        </is>
      </c>
      <c r="C1774" s="7" t="inlineStr">
        <is>
          <t>unidad</t>
        </is>
      </c>
      <c r="D1774" s="8" t="n"/>
      <c r="E1774" s="8" t="n"/>
      <c r="F1774" s="8" t="n"/>
      <c r="G1774" s="8" t="n">
        <v>20</v>
      </c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>
        <f>IF(COUNT(D1774:P1774)=0,"",MIN(D1774:P1774))</f>
        <v/>
      </c>
      <c r="R1774" s="8">
        <f>IF(COUNT(D1774:P1774)=0,"",MEDIAN(D1774:P1774))</f>
        <v/>
      </c>
      <c r="S1774" s="8">
        <f>IF(COUNT(D1774:P1774)=0,"",MAX(D1774:P1774))</f>
        <v/>
      </c>
      <c r="T1774" s="9">
        <f>IF(OR(Q1774="",Q1774=0),"",(S1774-Q1774)/Q1774)</f>
        <v/>
      </c>
      <c r="U1774" s="7">
        <f>IF(COUNT(D1774:P1774)=0,"",INDEX($D$1:$P$1,MATCH(MIN(D1774:P1774),D1774:P1774,0)))</f>
        <v/>
      </c>
      <c r="V1774" s="8" t="n">
        <v>20</v>
      </c>
      <c r="W1774" s="10" t="n">
        <v>1</v>
      </c>
    </row>
    <row r="1775">
      <c r="A1775" s="7" t="inlineStr">
        <is>
          <t>MAT-32-427</t>
        </is>
      </c>
      <c r="B1775" s="4" t="inlineStr">
        <is>
          <t>Reducción bushing de PVC 3" x 2"</t>
        </is>
      </c>
      <c r="C1775" s="7" t="inlineStr">
        <is>
          <t>unidad</t>
        </is>
      </c>
      <c r="D1775" s="8" t="n"/>
      <c r="E1775" s="8" t="n"/>
      <c r="F1775" s="8" t="n"/>
      <c r="G1775" s="8" t="n">
        <v>210</v>
      </c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>
        <f>IF(COUNT(D1775:P1775)=0,"",MIN(D1775:P1775))</f>
        <v/>
      </c>
      <c r="R1775" s="8">
        <f>IF(COUNT(D1775:P1775)=0,"",MEDIAN(D1775:P1775))</f>
        <v/>
      </c>
      <c r="S1775" s="8">
        <f>IF(COUNT(D1775:P1775)=0,"",MAX(D1775:P1775))</f>
        <v/>
      </c>
      <c r="T1775" s="9">
        <f>IF(OR(Q1775="",Q1775=0),"",(S1775-Q1775)/Q1775)</f>
        <v/>
      </c>
      <c r="U1775" s="7">
        <f>IF(COUNT(D1775:P1775)=0,"",INDEX($D$1:$P$1,MATCH(MIN(D1775:P1775),D1775:P1775,0)))</f>
        <v/>
      </c>
      <c r="V1775" s="8" t="n">
        <v>210</v>
      </c>
      <c r="W1775" s="10" t="n">
        <v>1</v>
      </c>
    </row>
    <row r="1776">
      <c r="A1776" s="7" t="inlineStr">
        <is>
          <t>MAT-32-428</t>
        </is>
      </c>
      <c r="B1776" s="4" t="inlineStr">
        <is>
          <t>Reducción bushing de PVC 4" x 2"</t>
        </is>
      </c>
      <c r="C1776" s="7" t="inlineStr">
        <is>
          <t>unidad</t>
        </is>
      </c>
      <c r="D1776" s="8" t="n"/>
      <c r="E1776" s="8" t="n"/>
      <c r="F1776" s="8" t="n"/>
      <c r="G1776" s="8" t="n">
        <v>175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>
        <f>IF(COUNT(D1776:P1776)=0,"",MIN(D1776:P1776))</f>
        <v/>
      </c>
      <c r="R1776" s="8">
        <f>IF(COUNT(D1776:P1776)=0,"",MEDIAN(D1776:P1776))</f>
        <v/>
      </c>
      <c r="S1776" s="8">
        <f>IF(COUNT(D1776:P1776)=0,"",MAX(D1776:P1776))</f>
        <v/>
      </c>
      <c r="T1776" s="9">
        <f>IF(OR(Q1776="",Q1776=0),"",(S1776-Q1776)/Q1776)</f>
        <v/>
      </c>
      <c r="U1776" s="7">
        <f>IF(COUNT(D1776:P1776)=0,"",INDEX($D$1:$P$1,MATCH(MIN(D1776:P1776),D1776:P1776,0)))</f>
        <v/>
      </c>
      <c r="V1776" s="8" t="n">
        <v>175</v>
      </c>
      <c r="W1776" s="10" t="n">
        <v>1</v>
      </c>
    </row>
    <row r="1777">
      <c r="A1777" s="7" t="inlineStr">
        <is>
          <t>MAT-32-429</t>
        </is>
      </c>
      <c r="B1777" s="4" t="inlineStr">
        <is>
          <t>Reducción bushing de PVC 4" x 3"</t>
        </is>
      </c>
      <c r="C1777" s="7" t="inlineStr">
        <is>
          <t>unidad</t>
        </is>
      </c>
      <c r="D1777" s="8" t="n"/>
      <c r="E1777" s="8" t="n"/>
      <c r="F1777" s="8" t="n"/>
      <c r="G1777" s="8" t="n">
        <v>195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>
        <f>IF(COUNT(D1777:P1777)=0,"",MIN(D1777:P1777))</f>
        <v/>
      </c>
      <c r="R1777" s="8">
        <f>IF(COUNT(D1777:P1777)=0,"",MEDIAN(D1777:P1777))</f>
        <v/>
      </c>
      <c r="S1777" s="8">
        <f>IF(COUNT(D1777:P1777)=0,"",MAX(D1777:P1777))</f>
        <v/>
      </c>
      <c r="T1777" s="9">
        <f>IF(OR(Q1777="",Q1777=0),"",(S1777-Q1777)/Q1777)</f>
        <v/>
      </c>
      <c r="U1777" s="7">
        <f>IF(COUNT(D1777:P1777)=0,"",INDEX($D$1:$P$1,MATCH(MIN(D1777:P1777),D1777:P1777,0)))</f>
        <v/>
      </c>
      <c r="V1777" s="8" t="n">
        <v>195</v>
      </c>
      <c r="W1777" s="10" t="n">
        <v>1</v>
      </c>
    </row>
    <row r="1778">
      <c r="A1778" s="7" t="inlineStr">
        <is>
          <t>MAT-32-430</t>
        </is>
      </c>
      <c r="B1778" s="4" t="inlineStr">
        <is>
          <t>Reducción bushing de PVC 6" x 3"</t>
        </is>
      </c>
      <c r="C1778" s="7" t="inlineStr">
        <is>
          <t>unidad</t>
        </is>
      </c>
      <c r="D1778" s="8" t="n"/>
      <c r="E1778" s="8" t="n">
        <v>1430</v>
      </c>
      <c r="F1778" s="8" t="n"/>
      <c r="G1778" s="8" t="n"/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>
        <f>IF(COUNT(D1778:P1778)=0,"",MIN(D1778:P1778))</f>
        <v/>
      </c>
      <c r="R1778" s="8">
        <f>IF(COUNT(D1778:P1778)=0,"",MEDIAN(D1778:P1778))</f>
        <v/>
      </c>
      <c r="S1778" s="8">
        <f>IF(COUNT(D1778:P1778)=0,"",MAX(D1778:P1778))</f>
        <v/>
      </c>
      <c r="T1778" s="9">
        <f>IF(OR(Q1778="",Q1778=0),"",(S1778-Q1778)/Q1778)</f>
        <v/>
      </c>
      <c r="U1778" s="7">
        <f>IF(COUNT(D1778:P1778)=0,"",INDEX($D$1:$P$1,MATCH(MIN(D1778:P1778),D1778:P1778,0)))</f>
        <v/>
      </c>
      <c r="V1778" s="8" t="n">
        <v>1430</v>
      </c>
      <c r="W1778" s="10" t="n">
        <v>1</v>
      </c>
    </row>
    <row r="1779">
      <c r="A1779" s="7" t="inlineStr">
        <is>
          <t>MAT-32-431</t>
        </is>
      </c>
      <c r="B1779" s="4" t="inlineStr">
        <is>
          <t>Reducción bushing de PVC 6" x 4"</t>
        </is>
      </c>
      <c r="C1779" s="7" t="inlineStr">
        <is>
          <t>unidad</t>
        </is>
      </c>
      <c r="D1779" s="8" t="n"/>
      <c r="E1779" s="8" t="n"/>
      <c r="F1779" s="8" t="n"/>
      <c r="G1779" s="8" t="n">
        <v>702</v>
      </c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>
        <f>IF(COUNT(D1779:P1779)=0,"",MIN(D1779:P1779))</f>
        <v/>
      </c>
      <c r="R1779" s="8">
        <f>IF(COUNT(D1779:P1779)=0,"",MEDIAN(D1779:P1779))</f>
        <v/>
      </c>
      <c r="S1779" s="8">
        <f>IF(COUNT(D1779:P1779)=0,"",MAX(D1779:P1779))</f>
        <v/>
      </c>
      <c r="T1779" s="9">
        <f>IF(OR(Q1779="",Q1779=0),"",(S1779-Q1779)/Q1779)</f>
        <v/>
      </c>
      <c r="U1779" s="7">
        <f>IF(COUNT(D1779:P1779)=0,"",INDEX($D$1:$P$1,MATCH(MIN(D1779:P1779),D1779:P1779,0)))</f>
        <v/>
      </c>
      <c r="V1779" s="8" t="n">
        <v>702</v>
      </c>
      <c r="W1779" s="10" t="n">
        <v>1</v>
      </c>
    </row>
    <row r="1780">
      <c r="A1780" s="7" t="inlineStr">
        <is>
          <t>MAT-32-432</t>
        </is>
      </c>
      <c r="B1780" s="4" t="inlineStr">
        <is>
          <t>Reducción bushing de PVC presión 1 1/2" x 1/2"</t>
        </is>
      </c>
      <c r="C1780" s="7" t="inlineStr">
        <is>
          <t>unidad</t>
        </is>
      </c>
      <c r="D1780" s="8" t="n"/>
      <c r="E1780" s="8" t="n"/>
      <c r="F1780" s="8" t="n"/>
      <c r="G1780" s="8" t="n"/>
      <c r="H1780" s="8" t="n"/>
      <c r="I1780" s="8" t="n"/>
      <c r="J1780" s="8" t="n"/>
      <c r="K1780" s="8" t="n"/>
      <c r="L1780" s="8" t="n"/>
      <c r="M1780" s="8" t="n">
        <v>22.75</v>
      </c>
      <c r="N1780" s="8" t="n"/>
      <c r="O1780" s="8" t="n"/>
      <c r="P1780" s="8" t="n"/>
      <c r="Q1780" s="8">
        <f>IF(COUNT(D1780:P1780)=0,"",MIN(D1780:P1780))</f>
        <v/>
      </c>
      <c r="R1780" s="8">
        <f>IF(COUNT(D1780:P1780)=0,"",MEDIAN(D1780:P1780))</f>
        <v/>
      </c>
      <c r="S1780" s="8">
        <f>IF(COUNT(D1780:P1780)=0,"",MAX(D1780:P1780))</f>
        <v/>
      </c>
      <c r="T1780" s="9">
        <f>IF(OR(Q1780="",Q1780=0),"",(S1780-Q1780)/Q1780)</f>
        <v/>
      </c>
      <c r="U1780" s="7">
        <f>IF(COUNT(D1780:P1780)=0,"",INDEX($D$1:$P$1,MATCH(MIN(D1780:P1780),D1780:P1780,0)))</f>
        <v/>
      </c>
      <c r="V1780" s="8" t="n">
        <v>26.85</v>
      </c>
      <c r="W1780" s="10" t="n">
        <v>1</v>
      </c>
    </row>
    <row r="1781">
      <c r="A1781" s="7" t="inlineStr">
        <is>
          <t>MAT-32-433</t>
        </is>
      </c>
      <c r="B1781" s="4" t="inlineStr">
        <is>
          <t>Reducción bushing de PVC presión 1 1/2" x 1"</t>
        </is>
      </c>
      <c r="C1781" s="7" t="inlineStr">
        <is>
          <t>unidad</t>
        </is>
      </c>
      <c r="D1781" s="8" t="n"/>
      <c r="E1781" s="8" t="n"/>
      <c r="F1781" s="8" t="n"/>
      <c r="G1781" s="8" t="n"/>
      <c r="H1781" s="8" t="n"/>
      <c r="I1781" s="8" t="n"/>
      <c r="J1781" s="8" t="n"/>
      <c r="K1781" s="8" t="n"/>
      <c r="L1781" s="8" t="n"/>
      <c r="M1781" s="8" t="n">
        <v>22.38</v>
      </c>
      <c r="N1781" s="8" t="n"/>
      <c r="O1781" s="8" t="n"/>
      <c r="P1781" s="8" t="n"/>
      <c r="Q1781" s="8">
        <f>IF(COUNT(D1781:P1781)=0,"",MIN(D1781:P1781))</f>
        <v/>
      </c>
      <c r="R1781" s="8">
        <f>IF(COUNT(D1781:P1781)=0,"",MEDIAN(D1781:P1781))</f>
        <v/>
      </c>
      <c r="S1781" s="8">
        <f>IF(COUNT(D1781:P1781)=0,"",MAX(D1781:P1781))</f>
        <v/>
      </c>
      <c r="T1781" s="9">
        <f>IF(OR(Q1781="",Q1781=0),"",(S1781-Q1781)/Q1781)</f>
        <v/>
      </c>
      <c r="U1781" s="7">
        <f>IF(COUNT(D1781:P1781)=0,"",INDEX($D$1:$P$1,MATCH(MIN(D1781:P1781),D1781:P1781,0)))</f>
        <v/>
      </c>
      <c r="V1781" s="8" t="n">
        <v>26.41</v>
      </c>
      <c r="W1781" s="10" t="n">
        <v>1</v>
      </c>
    </row>
    <row r="1782">
      <c r="A1782" s="7" t="inlineStr">
        <is>
          <t>MAT-32-434</t>
        </is>
      </c>
      <c r="B1782" s="4" t="inlineStr">
        <is>
          <t>Reducción bushing de PVC presión 1 1/2" x 3/4"</t>
        </is>
      </c>
      <c r="C1782" s="7" t="inlineStr">
        <is>
          <t>unidad</t>
        </is>
      </c>
      <c r="D1782" s="8" t="n"/>
      <c r="E1782" s="8" t="n">
        <v>10.48</v>
      </c>
      <c r="F1782" s="8" t="n"/>
      <c r="G1782" s="8" t="n"/>
      <c r="H1782" s="8" t="n"/>
      <c r="I1782" s="8" t="n"/>
      <c r="J1782" s="8" t="n"/>
      <c r="K1782" s="8" t="n"/>
      <c r="L1782" s="8" t="n"/>
      <c r="M1782" s="8" t="n">
        <v>18.1</v>
      </c>
      <c r="N1782" s="8" t="n"/>
      <c r="O1782" s="8" t="n"/>
      <c r="P1782" s="8" t="n"/>
      <c r="Q1782" s="8">
        <f>IF(COUNT(D1782:P1782)=0,"",MIN(D1782:P1782))</f>
        <v/>
      </c>
      <c r="R1782" s="8">
        <f>IF(COUNT(D1782:P1782)=0,"",MEDIAN(D1782:P1782))</f>
        <v/>
      </c>
      <c r="S1782" s="8">
        <f>IF(COUNT(D1782:P1782)=0,"",MAX(D1782:P1782))</f>
        <v/>
      </c>
      <c r="T1782" s="9">
        <f>IF(OR(Q1782="",Q1782=0),"",(S1782-Q1782)/Q1782)</f>
        <v/>
      </c>
      <c r="U1782" s="7">
        <f>IF(COUNT(D1782:P1782)=0,"",INDEX($D$1:$P$1,MATCH(MIN(D1782:P1782),D1782:P1782,0)))</f>
        <v/>
      </c>
      <c r="V1782" s="8" t="n">
        <v>21.36</v>
      </c>
      <c r="W1782" s="10" t="n">
        <v>2</v>
      </c>
    </row>
    <row r="1783">
      <c r="A1783" s="7" t="inlineStr">
        <is>
          <t>MAT-32-435</t>
        </is>
      </c>
      <c r="B1783" s="4" t="inlineStr">
        <is>
          <t>Reducción bushing de PVC presión 12" x 8"</t>
        </is>
      </c>
      <c r="C1783" s="7" t="inlineStr">
        <is>
          <t>unidad</t>
        </is>
      </c>
      <c r="D1783" s="8" t="n"/>
      <c r="E1783" s="8" t="n">
        <v>15891.21</v>
      </c>
      <c r="F1783" s="8" t="n"/>
      <c r="G1783" s="8" t="n"/>
      <c r="H1783" s="8" t="n"/>
      <c r="I1783" s="8" t="n"/>
      <c r="J1783" s="8" t="n"/>
      <c r="K1783" s="8" t="n"/>
      <c r="L1783" s="8" t="n"/>
      <c r="M1783" s="8" t="n"/>
      <c r="N1783" s="8" t="n"/>
      <c r="O1783" s="8" t="n"/>
      <c r="P1783" s="8" t="n"/>
      <c r="Q1783" s="8">
        <f>IF(COUNT(D1783:P1783)=0,"",MIN(D1783:P1783))</f>
        <v/>
      </c>
      <c r="R1783" s="8">
        <f>IF(COUNT(D1783:P1783)=0,"",MEDIAN(D1783:P1783))</f>
        <v/>
      </c>
      <c r="S1783" s="8">
        <f>IF(COUNT(D1783:P1783)=0,"",MAX(D1783:P1783))</f>
        <v/>
      </c>
      <c r="T1783" s="9">
        <f>IF(OR(Q1783="",Q1783=0),"",(S1783-Q1783)/Q1783)</f>
        <v/>
      </c>
      <c r="U1783" s="7">
        <f>IF(COUNT(D1783:P1783)=0,"",INDEX($D$1:$P$1,MATCH(MIN(D1783:P1783),D1783:P1783,0)))</f>
        <v/>
      </c>
      <c r="V1783" s="8" t="n">
        <v>15891.21</v>
      </c>
      <c r="W1783" s="10" t="n">
        <v>1</v>
      </c>
    </row>
    <row r="1784">
      <c r="A1784" s="7" t="inlineStr">
        <is>
          <t>MAT-32-436</t>
        </is>
      </c>
      <c r="B1784" s="4" t="inlineStr">
        <is>
          <t>Reducción bushing de PVC presión 1" x 1/2"</t>
        </is>
      </c>
      <c r="C1784" s="7" t="inlineStr">
        <is>
          <t>unidad</t>
        </is>
      </c>
      <c r="D1784" s="8" t="n"/>
      <c r="E1784" s="8" t="n"/>
      <c r="F1784" s="8" t="n"/>
      <c r="G1784" s="8" t="n"/>
      <c r="H1784" s="8" t="n"/>
      <c r="I1784" s="8" t="n"/>
      <c r="J1784" s="8" t="n"/>
      <c r="K1784" s="8" t="n"/>
      <c r="L1784" s="8" t="n"/>
      <c r="M1784" s="8" t="n">
        <v>8.949999999999999</v>
      </c>
      <c r="N1784" s="8" t="n"/>
      <c r="O1784" s="8" t="n"/>
      <c r="P1784" s="8" t="n"/>
      <c r="Q1784" s="8">
        <f>IF(COUNT(D1784:P1784)=0,"",MIN(D1784:P1784))</f>
        <v/>
      </c>
      <c r="R1784" s="8">
        <f>IF(COUNT(D1784:P1784)=0,"",MEDIAN(D1784:P1784))</f>
        <v/>
      </c>
      <c r="S1784" s="8">
        <f>IF(COUNT(D1784:P1784)=0,"",MAX(D1784:P1784))</f>
        <v/>
      </c>
      <c r="T1784" s="9">
        <f>IF(OR(Q1784="",Q1784=0),"",(S1784-Q1784)/Q1784)</f>
        <v/>
      </c>
      <c r="U1784" s="7">
        <f>IF(COUNT(D1784:P1784)=0,"",INDEX($D$1:$P$1,MATCH(MIN(D1784:P1784),D1784:P1784,0)))</f>
        <v/>
      </c>
      <c r="V1784" s="8" t="n">
        <v>10.56</v>
      </c>
      <c r="W1784" s="10" t="n">
        <v>1</v>
      </c>
    </row>
    <row r="1785">
      <c r="A1785" s="7" t="inlineStr">
        <is>
          <t>MAT-32-437</t>
        </is>
      </c>
      <c r="B1785" s="4" t="inlineStr">
        <is>
          <t>Reducción bushing de PVC presión 1" x 3/4"</t>
        </is>
      </c>
      <c r="C1785" s="7" t="inlineStr">
        <is>
          <t>unidad</t>
        </is>
      </c>
      <c r="D1785" s="8" t="n"/>
      <c r="E1785" s="8" t="n"/>
      <c r="F1785" s="8" t="n"/>
      <c r="G1785" s="8" t="n"/>
      <c r="H1785" s="8" t="n"/>
      <c r="I1785" s="8" t="n"/>
      <c r="J1785" s="8" t="n"/>
      <c r="K1785" s="8" t="n"/>
      <c r="L1785" s="8" t="n"/>
      <c r="M1785" s="8" t="n">
        <v>7.03</v>
      </c>
      <c r="N1785" s="8" t="n"/>
      <c r="O1785" s="8" t="n"/>
      <c r="P1785" s="8" t="n"/>
      <c r="Q1785" s="8">
        <f>IF(COUNT(D1785:P1785)=0,"",MIN(D1785:P1785))</f>
        <v/>
      </c>
      <c r="R1785" s="8">
        <f>IF(COUNT(D1785:P1785)=0,"",MEDIAN(D1785:P1785))</f>
        <v/>
      </c>
      <c r="S1785" s="8">
        <f>IF(COUNT(D1785:P1785)=0,"",MAX(D1785:P1785))</f>
        <v/>
      </c>
      <c r="T1785" s="9">
        <f>IF(OR(Q1785="",Q1785=0),"",(S1785-Q1785)/Q1785)</f>
        <v/>
      </c>
      <c r="U1785" s="7">
        <f>IF(COUNT(D1785:P1785)=0,"",INDEX($D$1:$P$1,MATCH(MIN(D1785:P1785),D1785:P1785,0)))</f>
        <v/>
      </c>
      <c r="V1785" s="8" t="n">
        <v>8.300000000000001</v>
      </c>
      <c r="W1785" s="10" t="n">
        <v>1</v>
      </c>
    </row>
    <row r="1786">
      <c r="A1786" s="7" t="inlineStr">
        <is>
          <t>MAT-32-438</t>
        </is>
      </c>
      <c r="B1786" s="4" t="inlineStr">
        <is>
          <t>Reducción bushing de PVC presión 2" x 1 1/2"</t>
        </is>
      </c>
      <c r="C1786" s="7" t="inlineStr">
        <is>
          <t>unidad</t>
        </is>
      </c>
      <c r="D1786" s="8" t="n"/>
      <c r="E1786" s="8" t="n"/>
      <c r="F1786" s="8" t="n"/>
      <c r="G1786" s="8" t="n"/>
      <c r="H1786" s="8" t="n"/>
      <c r="I1786" s="8" t="n"/>
      <c r="J1786" s="8" t="n"/>
      <c r="K1786" s="8" t="n"/>
      <c r="L1786" s="8" t="n"/>
      <c r="M1786" s="8" t="n">
        <v>19.43</v>
      </c>
      <c r="N1786" s="8" t="n"/>
      <c r="O1786" s="8" t="n"/>
      <c r="P1786" s="8" t="n"/>
      <c r="Q1786" s="8">
        <f>IF(COUNT(D1786:P1786)=0,"",MIN(D1786:P1786))</f>
        <v/>
      </c>
      <c r="R1786" s="8">
        <f>IF(COUNT(D1786:P1786)=0,"",MEDIAN(D1786:P1786))</f>
        <v/>
      </c>
      <c r="S1786" s="8">
        <f>IF(COUNT(D1786:P1786)=0,"",MAX(D1786:P1786))</f>
        <v/>
      </c>
      <c r="T1786" s="9">
        <f>IF(OR(Q1786="",Q1786=0),"",(S1786-Q1786)/Q1786)</f>
        <v/>
      </c>
      <c r="U1786" s="7">
        <f>IF(COUNT(D1786:P1786)=0,"",INDEX($D$1:$P$1,MATCH(MIN(D1786:P1786),D1786:P1786,0)))</f>
        <v/>
      </c>
      <c r="V1786" s="8" t="n">
        <v>22.93</v>
      </c>
      <c r="W1786" s="10" t="n">
        <v>1</v>
      </c>
    </row>
    <row r="1787">
      <c r="A1787" s="7" t="inlineStr">
        <is>
          <t>MAT-32-439</t>
        </is>
      </c>
      <c r="B1787" s="4" t="inlineStr">
        <is>
          <t>Reducción bushing de PVC presión 2" x 1/2"</t>
        </is>
      </c>
      <c r="C1787" s="7" t="inlineStr">
        <is>
          <t>unidad</t>
        </is>
      </c>
      <c r="D1787" s="8" t="n"/>
      <c r="E1787" s="8" t="n"/>
      <c r="F1787" s="8" t="n"/>
      <c r="G1787" s="8" t="n"/>
      <c r="H1787" s="8" t="n"/>
      <c r="I1787" s="8" t="n"/>
      <c r="J1787" s="8" t="n"/>
      <c r="K1787" s="8" t="n"/>
      <c r="L1787" s="8" t="n"/>
      <c r="M1787" s="8" t="n">
        <v>26.14</v>
      </c>
      <c r="N1787" s="8" t="n"/>
      <c r="O1787" s="8" t="n"/>
      <c r="P1787" s="8" t="n"/>
      <c r="Q1787" s="8">
        <f>IF(COUNT(D1787:P1787)=0,"",MIN(D1787:P1787))</f>
        <v/>
      </c>
      <c r="R1787" s="8">
        <f>IF(COUNT(D1787:P1787)=0,"",MEDIAN(D1787:P1787))</f>
        <v/>
      </c>
      <c r="S1787" s="8">
        <f>IF(COUNT(D1787:P1787)=0,"",MAX(D1787:P1787))</f>
        <v/>
      </c>
      <c r="T1787" s="9">
        <f>IF(OR(Q1787="",Q1787=0),"",(S1787-Q1787)/Q1787)</f>
        <v/>
      </c>
      <c r="U1787" s="7">
        <f>IF(COUNT(D1787:P1787)=0,"",INDEX($D$1:$P$1,MATCH(MIN(D1787:P1787),D1787:P1787,0)))</f>
        <v/>
      </c>
      <c r="V1787" s="8" t="n">
        <v>30.85</v>
      </c>
      <c r="W1787" s="10" t="n">
        <v>1</v>
      </c>
    </row>
    <row r="1788">
      <c r="A1788" s="7" t="inlineStr">
        <is>
          <t>MAT-32-440</t>
        </is>
      </c>
      <c r="B1788" s="4" t="inlineStr">
        <is>
          <t>Reducción bushing de PVC presión 2" x 1"</t>
        </is>
      </c>
      <c r="C1788" s="7" t="inlineStr">
        <is>
          <t>unidad</t>
        </is>
      </c>
      <c r="D1788" s="8" t="n"/>
      <c r="E1788" s="8" t="n"/>
      <c r="F1788" s="8" t="n"/>
      <c r="G1788" s="8" t="n"/>
      <c r="H1788" s="8" t="n"/>
      <c r="I1788" s="8" t="n"/>
      <c r="J1788" s="8" t="n"/>
      <c r="K1788" s="8" t="n"/>
      <c r="L1788" s="8" t="n"/>
      <c r="M1788" s="8" t="n">
        <v>28.15</v>
      </c>
      <c r="N1788" s="8" t="n"/>
      <c r="O1788" s="8" t="n"/>
      <c r="P1788" s="8" t="n"/>
      <c r="Q1788" s="8">
        <f>IF(COUNT(D1788:P1788)=0,"",MIN(D1788:P1788))</f>
        <v/>
      </c>
      <c r="R1788" s="8">
        <f>IF(COUNT(D1788:P1788)=0,"",MEDIAN(D1788:P1788))</f>
        <v/>
      </c>
      <c r="S1788" s="8">
        <f>IF(COUNT(D1788:P1788)=0,"",MAX(D1788:P1788))</f>
        <v/>
      </c>
      <c r="T1788" s="9">
        <f>IF(OR(Q1788="",Q1788=0),"",(S1788-Q1788)/Q1788)</f>
        <v/>
      </c>
      <c r="U1788" s="7">
        <f>IF(COUNT(D1788:P1788)=0,"",INDEX($D$1:$P$1,MATCH(MIN(D1788:P1788),D1788:P1788,0)))</f>
        <v/>
      </c>
      <c r="V1788" s="8" t="n">
        <v>33.22</v>
      </c>
      <c r="W1788" s="10" t="n">
        <v>1</v>
      </c>
    </row>
    <row r="1789">
      <c r="A1789" s="7" t="inlineStr">
        <is>
          <t>MAT-32-441</t>
        </is>
      </c>
      <c r="B1789" s="4" t="inlineStr">
        <is>
          <t>Reducción bushing de PVC presión 2" x 3/4"</t>
        </is>
      </c>
      <c r="C1789" s="7" t="inlineStr">
        <is>
          <t>unidad</t>
        </is>
      </c>
      <c r="D1789" s="8" t="n"/>
      <c r="E1789" s="8" t="n"/>
      <c r="F1789" s="8" t="n"/>
      <c r="G1789" s="8" t="n"/>
      <c r="H1789" s="8" t="n"/>
      <c r="I1789" s="8" t="n"/>
      <c r="J1789" s="8" t="n"/>
      <c r="K1789" s="8" t="n"/>
      <c r="L1789" s="8" t="n"/>
      <c r="M1789" s="8" t="n">
        <v>34.19</v>
      </c>
      <c r="N1789" s="8" t="n"/>
      <c r="O1789" s="8" t="n"/>
      <c r="P1789" s="8" t="n"/>
      <c r="Q1789" s="8">
        <f>IF(COUNT(D1789:P1789)=0,"",MIN(D1789:P1789))</f>
        <v/>
      </c>
      <c r="R1789" s="8">
        <f>IF(COUNT(D1789:P1789)=0,"",MEDIAN(D1789:P1789))</f>
        <v/>
      </c>
      <c r="S1789" s="8">
        <f>IF(COUNT(D1789:P1789)=0,"",MAX(D1789:P1789))</f>
        <v/>
      </c>
      <c r="T1789" s="9">
        <f>IF(OR(Q1789="",Q1789=0),"",(S1789-Q1789)/Q1789)</f>
        <v/>
      </c>
      <c r="U1789" s="7">
        <f>IF(COUNT(D1789:P1789)=0,"",INDEX($D$1:$P$1,MATCH(MIN(D1789:P1789),D1789:P1789,0)))</f>
        <v/>
      </c>
      <c r="V1789" s="8" t="n">
        <v>40.34</v>
      </c>
      <c r="W1789" s="10" t="n">
        <v>1</v>
      </c>
    </row>
    <row r="1790">
      <c r="A1790" s="7" t="inlineStr">
        <is>
          <t>MAT-32-442</t>
        </is>
      </c>
      <c r="B1790" s="4" t="inlineStr">
        <is>
          <t>Reducción bushing de PVC presión 3/4" x 1/2"</t>
        </is>
      </c>
      <c r="C1790" s="7" t="inlineStr">
        <is>
          <t>unidad</t>
        </is>
      </c>
      <c r="D1790" s="8" t="n"/>
      <c r="E1790" s="8" t="n"/>
      <c r="F1790" s="8" t="n"/>
      <c r="G1790" s="8" t="n"/>
      <c r="H1790" s="8" t="n"/>
      <c r="I1790" s="8" t="n"/>
      <c r="J1790" s="8" t="n"/>
      <c r="K1790" s="8" t="n"/>
      <c r="L1790" s="8" t="n"/>
      <c r="M1790" s="8" t="n">
        <v>4.2</v>
      </c>
      <c r="N1790" s="8" t="n"/>
      <c r="O1790" s="8" t="n"/>
      <c r="P1790" s="8" t="n"/>
      <c r="Q1790" s="8">
        <f>IF(COUNT(D1790:P1790)=0,"",MIN(D1790:P1790))</f>
        <v/>
      </c>
      <c r="R1790" s="8">
        <f>IF(COUNT(D1790:P1790)=0,"",MEDIAN(D1790:P1790))</f>
        <v/>
      </c>
      <c r="S1790" s="8">
        <f>IF(COUNT(D1790:P1790)=0,"",MAX(D1790:P1790))</f>
        <v/>
      </c>
      <c r="T1790" s="9">
        <f>IF(OR(Q1790="",Q1790=0),"",(S1790-Q1790)/Q1790)</f>
        <v/>
      </c>
      <c r="U1790" s="7">
        <f>IF(COUNT(D1790:P1790)=0,"",INDEX($D$1:$P$1,MATCH(MIN(D1790:P1790),D1790:P1790,0)))</f>
        <v/>
      </c>
      <c r="V1790" s="8" t="n">
        <v>4.96</v>
      </c>
      <c r="W1790" s="10" t="n">
        <v>1</v>
      </c>
    </row>
    <row r="1791">
      <c r="A1791" s="7" t="inlineStr">
        <is>
          <t>MAT-32-443</t>
        </is>
      </c>
      <c r="B1791" s="4" t="inlineStr">
        <is>
          <t>Reducción bushing de PVC presión 3" x 1 1/2"</t>
        </is>
      </c>
      <c r="C1791" s="7" t="inlineStr">
        <is>
          <t>unidad</t>
        </is>
      </c>
      <c r="D1791" s="8" t="n"/>
      <c r="E1791" s="8" t="n">
        <v>61.64</v>
      </c>
      <c r="F1791" s="8" t="n"/>
      <c r="G1791" s="8" t="n"/>
      <c r="H1791" s="8" t="n"/>
      <c r="I1791" s="8" t="n"/>
      <c r="J1791" s="8" t="n"/>
      <c r="K1791" s="8" t="n"/>
      <c r="L1791" s="8" t="n"/>
      <c r="M1791" s="8" t="n"/>
      <c r="N1791" s="8" t="n"/>
      <c r="O1791" s="8" t="n"/>
      <c r="P1791" s="8" t="n"/>
      <c r="Q1791" s="8">
        <f>IF(COUNT(D1791:P1791)=0,"",MIN(D1791:P1791))</f>
        <v/>
      </c>
      <c r="R1791" s="8">
        <f>IF(COUNT(D1791:P1791)=0,"",MEDIAN(D1791:P1791))</f>
        <v/>
      </c>
      <c r="S1791" s="8">
        <f>IF(COUNT(D1791:P1791)=0,"",MAX(D1791:P1791))</f>
        <v/>
      </c>
      <c r="T1791" s="9">
        <f>IF(OR(Q1791="",Q1791=0),"",(S1791-Q1791)/Q1791)</f>
        <v/>
      </c>
      <c r="U1791" s="7">
        <f>IF(COUNT(D1791:P1791)=0,"",INDEX($D$1:$P$1,MATCH(MIN(D1791:P1791),D1791:P1791,0)))</f>
        <v/>
      </c>
      <c r="V1791" s="8" t="n">
        <v>205.82</v>
      </c>
      <c r="W1791" s="10" t="n">
        <v>1</v>
      </c>
    </row>
    <row r="1792">
      <c r="A1792" s="7" t="inlineStr">
        <is>
          <t>MAT-32-444</t>
        </is>
      </c>
      <c r="B1792" s="4" t="inlineStr">
        <is>
          <t>Reducción bushing de PVC presión 3" x 1"</t>
        </is>
      </c>
      <c r="C1792" s="7" t="inlineStr">
        <is>
          <t>unidad</t>
        </is>
      </c>
      <c r="D1792" s="8" t="n"/>
      <c r="E1792" s="8" t="n">
        <v>350</v>
      </c>
      <c r="F1792" s="8" t="n"/>
      <c r="G1792" s="8" t="n"/>
      <c r="H1792" s="8" t="n"/>
      <c r="I1792" s="8" t="n"/>
      <c r="J1792" s="8" t="n"/>
      <c r="K1792" s="8" t="n"/>
      <c r="L1792" s="8" t="n"/>
      <c r="M1792" s="8" t="n"/>
      <c r="N1792" s="8" t="n"/>
      <c r="O1792" s="8" t="n"/>
      <c r="P1792" s="8" t="n"/>
      <c r="Q1792" s="8">
        <f>IF(COUNT(D1792:P1792)=0,"",MIN(D1792:P1792))</f>
        <v/>
      </c>
      <c r="R1792" s="8">
        <f>IF(COUNT(D1792:P1792)=0,"",MEDIAN(D1792:P1792))</f>
        <v/>
      </c>
      <c r="S1792" s="8">
        <f>IF(COUNT(D1792:P1792)=0,"",MAX(D1792:P1792))</f>
        <v/>
      </c>
      <c r="T1792" s="9">
        <f>IF(OR(Q1792="",Q1792=0),"",(S1792-Q1792)/Q1792)</f>
        <v/>
      </c>
      <c r="U1792" s="7">
        <f>IF(COUNT(D1792:P1792)=0,"",INDEX($D$1:$P$1,MATCH(MIN(D1792:P1792),D1792:P1792,0)))</f>
        <v/>
      </c>
      <c r="V1792" s="8" t="n">
        <v>350</v>
      </c>
      <c r="W1792" s="10" t="n">
        <v>1</v>
      </c>
    </row>
    <row r="1793">
      <c r="A1793" s="7" t="inlineStr">
        <is>
          <t>MAT-32-445</t>
        </is>
      </c>
      <c r="B1793" s="4" t="inlineStr">
        <is>
          <t>Reducción bushing de PVC presión 4" x 2"</t>
        </is>
      </c>
      <c r="C1793" s="7" t="inlineStr">
        <is>
          <t>unidad</t>
        </is>
      </c>
      <c r="D1793" s="8" t="n"/>
      <c r="E1793" s="8" t="n">
        <v>195</v>
      </c>
      <c r="F1793" s="8" t="n"/>
      <c r="G1793" s="8" t="n"/>
      <c r="H1793" s="8" t="n"/>
      <c r="I1793" s="8" t="n"/>
      <c r="J1793" s="8" t="n"/>
      <c r="K1793" s="8" t="n"/>
      <c r="L1793" s="8" t="n"/>
      <c r="M1793" s="8" t="n"/>
      <c r="N1793" s="8" t="n"/>
      <c r="O1793" s="8" t="n"/>
      <c r="P1793" s="8" t="n"/>
      <c r="Q1793" s="8">
        <f>IF(COUNT(D1793:P1793)=0,"",MIN(D1793:P1793))</f>
        <v/>
      </c>
      <c r="R1793" s="8">
        <f>IF(COUNT(D1793:P1793)=0,"",MEDIAN(D1793:P1793))</f>
        <v/>
      </c>
      <c r="S1793" s="8">
        <f>IF(COUNT(D1793:P1793)=0,"",MAX(D1793:P1793))</f>
        <v/>
      </c>
      <c r="T1793" s="9">
        <f>IF(OR(Q1793="",Q1793=0),"",(S1793-Q1793)/Q1793)</f>
        <v/>
      </c>
      <c r="U1793" s="7">
        <f>IF(COUNT(D1793:P1793)=0,"",INDEX($D$1:$P$1,MATCH(MIN(D1793:P1793),D1793:P1793,0)))</f>
        <v/>
      </c>
      <c r="V1793" s="8" t="n">
        <v>195</v>
      </c>
      <c r="W1793" s="10" t="n">
        <v>1</v>
      </c>
    </row>
    <row r="1794">
      <c r="A1794" s="7" t="inlineStr">
        <is>
          <t>MAT-32-446</t>
        </is>
      </c>
      <c r="B1794" s="4" t="inlineStr">
        <is>
          <t>Reducción bushing de PVC presión 6" x 4"</t>
        </is>
      </c>
      <c r="C1794" s="7" t="inlineStr">
        <is>
          <t>unidad</t>
        </is>
      </c>
      <c r="D1794" s="8" t="n"/>
      <c r="E1794" s="8" t="n">
        <v>136</v>
      </c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 t="n"/>
      <c r="P1794" s="8" t="n"/>
      <c r="Q1794" s="8">
        <f>IF(COUNT(D1794:P1794)=0,"",MIN(D1794:P1794))</f>
        <v/>
      </c>
      <c r="R1794" s="8">
        <f>IF(COUNT(D1794:P1794)=0,"",MEDIAN(D1794:P1794))</f>
        <v/>
      </c>
      <c r="S1794" s="8">
        <f>IF(COUNT(D1794:P1794)=0,"",MAX(D1794:P1794))</f>
        <v/>
      </c>
      <c r="T1794" s="9">
        <f>IF(OR(Q1794="",Q1794=0),"",(S1794-Q1794)/Q1794)</f>
        <v/>
      </c>
      <c r="U1794" s="7">
        <f>IF(COUNT(D1794:P1794)=0,"",INDEX($D$1:$P$1,MATCH(MIN(D1794:P1794),D1794:P1794,0)))</f>
        <v/>
      </c>
      <c r="V1794" s="8" t="n">
        <v>435.5</v>
      </c>
      <c r="W1794" s="10" t="n">
        <v>1</v>
      </c>
    </row>
    <row r="1795">
      <c r="A1795" s="7" t="inlineStr">
        <is>
          <t>MAT-32-447</t>
        </is>
      </c>
      <c r="B1795" s="4" t="inlineStr">
        <is>
          <t>Reducción bushing de PVC presión 8" x 6"</t>
        </is>
      </c>
      <c r="C1795" s="7" t="inlineStr">
        <is>
          <t>unidad</t>
        </is>
      </c>
      <c r="D1795" s="8" t="n"/>
      <c r="E1795" s="8" t="n">
        <v>3880</v>
      </c>
      <c r="F1795" s="8" t="n"/>
      <c r="G1795" s="8" t="n"/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>
        <f>IF(COUNT(D1795:P1795)=0,"",MIN(D1795:P1795))</f>
        <v/>
      </c>
      <c r="R1795" s="8">
        <f>IF(COUNT(D1795:P1795)=0,"",MEDIAN(D1795:P1795))</f>
        <v/>
      </c>
      <c r="S1795" s="8">
        <f>IF(COUNT(D1795:P1795)=0,"",MAX(D1795:P1795))</f>
        <v/>
      </c>
      <c r="T1795" s="9">
        <f>IF(OR(Q1795="",Q1795=0),"",(S1795-Q1795)/Q1795)</f>
        <v/>
      </c>
      <c r="U1795" s="7">
        <f>IF(COUNT(D1795:P1795)=0,"",INDEX($D$1:$P$1,MATCH(MIN(D1795:P1795),D1795:P1795,0)))</f>
        <v/>
      </c>
      <c r="V1795" s="8" t="n">
        <v>3880</v>
      </c>
      <c r="W1795" s="10" t="n">
        <v>1</v>
      </c>
    </row>
    <row r="1796">
      <c r="A1796" s="7" t="inlineStr">
        <is>
          <t>MAT-32-448</t>
        </is>
      </c>
      <c r="B1796" s="4" t="inlineStr">
        <is>
          <t>Reducción de cobre 1 3/8" x 5/8"</t>
        </is>
      </c>
      <c r="C1796" s="7" t="inlineStr">
        <is>
          <t>unidad</t>
        </is>
      </c>
      <c r="D1796" s="8" t="n"/>
      <c r="E1796" s="8" t="n">
        <v>121</v>
      </c>
      <c r="F1796" s="8" t="n"/>
      <c r="G1796" s="8" t="n"/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>
        <f>IF(COUNT(D1796:P1796)=0,"",MIN(D1796:P1796))</f>
        <v/>
      </c>
      <c r="R1796" s="8">
        <f>IF(COUNT(D1796:P1796)=0,"",MEDIAN(D1796:P1796))</f>
        <v/>
      </c>
      <c r="S1796" s="8">
        <f>IF(COUNT(D1796:P1796)=0,"",MAX(D1796:P1796))</f>
        <v/>
      </c>
      <c r="T1796" s="9">
        <f>IF(OR(Q1796="",Q1796=0),"",(S1796-Q1796)/Q1796)</f>
        <v/>
      </c>
      <c r="U1796" s="7">
        <f>IF(COUNT(D1796:P1796)=0,"",INDEX($D$1:$P$1,MATCH(MIN(D1796:P1796),D1796:P1796,0)))</f>
        <v/>
      </c>
      <c r="V1796" s="8" t="n">
        <v>121</v>
      </c>
      <c r="W1796" s="10" t="n">
        <v>1</v>
      </c>
    </row>
    <row r="1797">
      <c r="A1797" s="7" t="inlineStr">
        <is>
          <t>MAT-32-449</t>
        </is>
      </c>
      <c r="B1797" s="4" t="inlineStr">
        <is>
          <t>Reducción de cobre 1 5/8" x 1 1/8"</t>
        </is>
      </c>
      <c r="C1797" s="7" t="inlineStr">
        <is>
          <t>unidad</t>
        </is>
      </c>
      <c r="D1797" s="8" t="n"/>
      <c r="E1797" s="8" t="n">
        <v>159</v>
      </c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>
        <f>IF(COUNT(D1797:P1797)=0,"",MIN(D1797:P1797))</f>
        <v/>
      </c>
      <c r="R1797" s="8">
        <f>IF(COUNT(D1797:P1797)=0,"",MEDIAN(D1797:P1797))</f>
        <v/>
      </c>
      <c r="S1797" s="8">
        <f>IF(COUNT(D1797:P1797)=0,"",MAX(D1797:P1797))</f>
        <v/>
      </c>
      <c r="T1797" s="9">
        <f>IF(OR(Q1797="",Q1797=0),"",(S1797-Q1797)/Q1797)</f>
        <v/>
      </c>
      <c r="U1797" s="7">
        <f>IF(COUNT(D1797:P1797)=0,"",INDEX($D$1:$P$1,MATCH(MIN(D1797:P1797),D1797:P1797,0)))</f>
        <v/>
      </c>
      <c r="V1797" s="8" t="n">
        <v>159</v>
      </c>
      <c r="W1797" s="10" t="n">
        <v>1</v>
      </c>
    </row>
    <row r="1798">
      <c r="A1798" s="7" t="inlineStr">
        <is>
          <t>MAT-32-450</t>
        </is>
      </c>
      <c r="B1798" s="4" t="inlineStr">
        <is>
          <t>Reducción de cobre 7/8" x 5/8"</t>
        </is>
      </c>
      <c r="C1798" s="7" t="inlineStr">
        <is>
          <t>unidad</t>
        </is>
      </c>
      <c r="D1798" s="8" t="n"/>
      <c r="E1798" s="8" t="n">
        <v>48.07</v>
      </c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>
        <f>IF(COUNT(D1798:P1798)=0,"",MIN(D1798:P1798))</f>
        <v/>
      </c>
      <c r="R1798" s="8">
        <f>IF(COUNT(D1798:P1798)=0,"",MEDIAN(D1798:P1798))</f>
        <v/>
      </c>
      <c r="S1798" s="8">
        <f>IF(COUNT(D1798:P1798)=0,"",MAX(D1798:P1798))</f>
        <v/>
      </c>
      <c r="T1798" s="9">
        <f>IF(OR(Q1798="",Q1798=0),"",(S1798-Q1798)/Q1798)</f>
        <v/>
      </c>
      <c r="U1798" s="7">
        <f>IF(COUNT(D1798:P1798)=0,"",INDEX($D$1:$P$1,MATCH(MIN(D1798:P1798),D1798:P1798,0)))</f>
        <v/>
      </c>
      <c r="V1798" s="8" t="n">
        <v>48.07</v>
      </c>
      <c r="W1798" s="10" t="n">
        <v>1</v>
      </c>
    </row>
    <row r="1799">
      <c r="A1799" s="7" t="inlineStr">
        <is>
          <t>MAT-32-451</t>
        </is>
      </c>
      <c r="B1799" s="4" t="inlineStr">
        <is>
          <t>Reducción de HG 1 1/2" x 1 1/4"</t>
        </is>
      </c>
      <c r="C1799" s="7" t="inlineStr">
        <is>
          <t>unidad</t>
        </is>
      </c>
      <c r="D1799" s="8" t="n"/>
      <c r="E1799" s="8" t="n">
        <v>120</v>
      </c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>
        <f>IF(COUNT(D1799:P1799)=0,"",MIN(D1799:P1799))</f>
        <v/>
      </c>
      <c r="R1799" s="8">
        <f>IF(COUNT(D1799:P1799)=0,"",MEDIAN(D1799:P1799))</f>
        <v/>
      </c>
      <c r="S1799" s="8">
        <f>IF(COUNT(D1799:P1799)=0,"",MAX(D1799:P1799))</f>
        <v/>
      </c>
      <c r="T1799" s="9">
        <f>IF(OR(Q1799="",Q1799=0),"",(S1799-Q1799)/Q1799)</f>
        <v/>
      </c>
      <c r="U1799" s="7">
        <f>IF(COUNT(D1799:P1799)=0,"",INDEX($D$1:$P$1,MATCH(MIN(D1799:P1799),D1799:P1799,0)))</f>
        <v/>
      </c>
      <c r="V1799" s="8" t="n">
        <v>120</v>
      </c>
      <c r="W1799" s="10" t="n">
        <v>1</v>
      </c>
    </row>
    <row r="1800">
      <c r="A1800" s="7" t="inlineStr">
        <is>
          <t>MAT-32-452</t>
        </is>
      </c>
      <c r="B1800" s="4" t="inlineStr">
        <is>
          <t>Reducción de HG 1 1/2" x 1/2"</t>
        </is>
      </c>
      <c r="C1800" s="7" t="inlineStr">
        <is>
          <t>unidad</t>
        </is>
      </c>
      <c r="D1800" s="8" t="n"/>
      <c r="E1800" s="8" t="n">
        <v>83</v>
      </c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>
        <f>IF(COUNT(D1800:P1800)=0,"",MIN(D1800:P1800))</f>
        <v/>
      </c>
      <c r="R1800" s="8">
        <f>IF(COUNT(D1800:P1800)=0,"",MEDIAN(D1800:P1800))</f>
        <v/>
      </c>
      <c r="S1800" s="8">
        <f>IF(COUNT(D1800:P1800)=0,"",MAX(D1800:P1800))</f>
        <v/>
      </c>
      <c r="T1800" s="9">
        <f>IF(OR(Q1800="",Q1800=0),"",(S1800-Q1800)/Q1800)</f>
        <v/>
      </c>
      <c r="U1800" s="7">
        <f>IF(COUNT(D1800:P1800)=0,"",INDEX($D$1:$P$1,MATCH(MIN(D1800:P1800),D1800:P1800,0)))</f>
        <v/>
      </c>
      <c r="V1800" s="8" t="n">
        <v>83</v>
      </c>
      <c r="W1800" s="10" t="n">
        <v>1</v>
      </c>
    </row>
    <row r="1801">
      <c r="A1801" s="7" t="inlineStr">
        <is>
          <t>MAT-32-453</t>
        </is>
      </c>
      <c r="B1801" s="4" t="inlineStr">
        <is>
          <t>Reducción de HG 1 1/2" x 1"</t>
        </is>
      </c>
      <c r="C1801" s="7" t="inlineStr">
        <is>
          <t>unidad</t>
        </is>
      </c>
      <c r="D1801" s="8" t="n"/>
      <c r="E1801" s="8" t="n">
        <v>113</v>
      </c>
      <c r="F1801" s="8" t="n"/>
      <c r="G1801" s="8" t="n">
        <v>237</v>
      </c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>
        <f>IF(COUNT(D1801:P1801)=0,"",MIN(D1801:P1801))</f>
        <v/>
      </c>
      <c r="R1801" s="8">
        <f>IF(COUNT(D1801:P1801)=0,"",MEDIAN(D1801:P1801))</f>
        <v/>
      </c>
      <c r="S1801" s="8">
        <f>IF(COUNT(D1801:P1801)=0,"",MAX(D1801:P1801))</f>
        <v/>
      </c>
      <c r="T1801" s="9">
        <f>IF(OR(Q1801="",Q1801=0),"",(S1801-Q1801)/Q1801)</f>
        <v/>
      </c>
      <c r="U1801" s="7">
        <f>IF(COUNT(D1801:P1801)=0,"",INDEX($D$1:$P$1,MATCH(MIN(D1801:P1801),D1801:P1801,0)))</f>
        <v/>
      </c>
      <c r="V1801" s="8" t="n">
        <v>175</v>
      </c>
      <c r="W1801" s="10" t="n">
        <v>2</v>
      </c>
    </row>
    <row r="1802">
      <c r="A1802" s="7" t="inlineStr">
        <is>
          <t>MAT-32-454</t>
        </is>
      </c>
      <c r="B1802" s="4" t="inlineStr">
        <is>
          <t>Reducción de HG 1 1/4" x 1"</t>
        </is>
      </c>
      <c r="C1802" s="7" t="inlineStr">
        <is>
          <t>unidad</t>
        </is>
      </c>
      <c r="D1802" s="8" t="n"/>
      <c r="E1802" s="8" t="n">
        <v>62</v>
      </c>
      <c r="F1802" s="8" t="n"/>
      <c r="G1802" s="8" t="n"/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>
        <f>IF(COUNT(D1802:P1802)=0,"",MIN(D1802:P1802))</f>
        <v/>
      </c>
      <c r="R1802" s="8">
        <f>IF(COUNT(D1802:P1802)=0,"",MEDIAN(D1802:P1802))</f>
        <v/>
      </c>
      <c r="S1802" s="8">
        <f>IF(COUNT(D1802:P1802)=0,"",MAX(D1802:P1802))</f>
        <v/>
      </c>
      <c r="T1802" s="9">
        <f>IF(OR(Q1802="",Q1802=0),"",(S1802-Q1802)/Q1802)</f>
        <v/>
      </c>
      <c r="U1802" s="7">
        <f>IF(COUNT(D1802:P1802)=0,"",INDEX($D$1:$P$1,MATCH(MIN(D1802:P1802),D1802:P1802,0)))</f>
        <v/>
      </c>
      <c r="V1802" s="8" t="n">
        <v>62</v>
      </c>
      <c r="W1802" s="10" t="n">
        <v>1</v>
      </c>
    </row>
    <row r="1803">
      <c r="A1803" s="7" t="inlineStr">
        <is>
          <t>MAT-32-455</t>
        </is>
      </c>
      <c r="B1803" s="4" t="inlineStr">
        <is>
          <t>Reducción de HG 1/2" x 1/4"</t>
        </is>
      </c>
      <c r="C1803" s="7" t="inlineStr">
        <is>
          <t>unidad</t>
        </is>
      </c>
      <c r="D1803" s="8" t="n"/>
      <c r="E1803" s="8" t="n">
        <v>36.34</v>
      </c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>
        <f>IF(COUNT(D1803:P1803)=0,"",MIN(D1803:P1803))</f>
        <v/>
      </c>
      <c r="R1803" s="8">
        <f>IF(COUNT(D1803:P1803)=0,"",MEDIAN(D1803:P1803))</f>
        <v/>
      </c>
      <c r="S1803" s="8">
        <f>IF(COUNT(D1803:P1803)=0,"",MAX(D1803:P1803))</f>
        <v/>
      </c>
      <c r="T1803" s="9">
        <f>IF(OR(Q1803="",Q1803=0),"",(S1803-Q1803)/Q1803)</f>
        <v/>
      </c>
      <c r="U1803" s="7">
        <f>IF(COUNT(D1803:P1803)=0,"",INDEX($D$1:$P$1,MATCH(MIN(D1803:P1803),D1803:P1803,0)))</f>
        <v/>
      </c>
      <c r="V1803" s="8" t="n">
        <v>36.34</v>
      </c>
      <c r="W1803" s="10" t="n">
        <v>1</v>
      </c>
    </row>
    <row r="1804">
      <c r="A1804" s="7" t="inlineStr">
        <is>
          <t>MAT-32-456</t>
        </is>
      </c>
      <c r="B1804" s="4" t="inlineStr">
        <is>
          <t>Reducción de HG 1/2" x 3/8"</t>
        </is>
      </c>
      <c r="C1804" s="7" t="inlineStr">
        <is>
          <t>unidad</t>
        </is>
      </c>
      <c r="D1804" s="8" t="n"/>
      <c r="E1804" s="8" t="n">
        <v>36.25</v>
      </c>
      <c r="F1804" s="8" t="n"/>
      <c r="G1804" s="8" t="n">
        <v>70</v>
      </c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>
        <f>IF(COUNT(D1804:P1804)=0,"",MIN(D1804:P1804))</f>
        <v/>
      </c>
      <c r="R1804" s="8">
        <f>IF(COUNT(D1804:P1804)=0,"",MEDIAN(D1804:P1804))</f>
        <v/>
      </c>
      <c r="S1804" s="8">
        <f>IF(COUNT(D1804:P1804)=0,"",MAX(D1804:P1804))</f>
        <v/>
      </c>
      <c r="T1804" s="9">
        <f>IF(OR(Q1804="",Q1804=0),"",(S1804-Q1804)/Q1804)</f>
        <v/>
      </c>
      <c r="U1804" s="7">
        <f>IF(COUNT(D1804:P1804)=0,"",INDEX($D$1:$P$1,MATCH(MIN(D1804:P1804),D1804:P1804,0)))</f>
        <v/>
      </c>
      <c r="V1804" s="8" t="n">
        <v>53.13</v>
      </c>
      <c r="W1804" s="10" t="n">
        <v>2</v>
      </c>
    </row>
    <row r="1805">
      <c r="A1805" s="7" t="inlineStr">
        <is>
          <t>MAT-32-457</t>
        </is>
      </c>
      <c r="B1805" s="4" t="inlineStr">
        <is>
          <t>Reducción de HG 1" x 1/2"</t>
        </is>
      </c>
      <c r="C1805" s="7" t="inlineStr">
        <is>
          <t>unidad</t>
        </is>
      </c>
      <c r="D1805" s="8" t="n"/>
      <c r="E1805" s="8" t="n">
        <v>47</v>
      </c>
      <c r="F1805" s="8" t="n"/>
      <c r="G1805" s="8" t="n">
        <v>95</v>
      </c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>
        <f>IF(COUNT(D1805:P1805)=0,"",MIN(D1805:P1805))</f>
        <v/>
      </c>
      <c r="R1805" s="8">
        <f>IF(COUNT(D1805:P1805)=0,"",MEDIAN(D1805:P1805))</f>
        <v/>
      </c>
      <c r="S1805" s="8">
        <f>IF(COUNT(D1805:P1805)=0,"",MAX(D1805:P1805))</f>
        <v/>
      </c>
      <c r="T1805" s="9">
        <f>IF(OR(Q1805="",Q1805=0),"",(S1805-Q1805)/Q1805)</f>
        <v/>
      </c>
      <c r="U1805" s="7">
        <f>IF(COUNT(D1805:P1805)=0,"",INDEX($D$1:$P$1,MATCH(MIN(D1805:P1805),D1805:P1805,0)))</f>
        <v/>
      </c>
      <c r="V1805" s="8" t="n">
        <v>71</v>
      </c>
      <c r="W1805" s="10" t="n">
        <v>2</v>
      </c>
    </row>
    <row r="1806">
      <c r="A1806" s="7" t="inlineStr">
        <is>
          <t>MAT-32-458</t>
        </is>
      </c>
      <c r="B1806" s="4" t="inlineStr">
        <is>
          <t>Reducción de HG 1" x 3/4"</t>
        </is>
      </c>
      <c r="C1806" s="7" t="inlineStr">
        <is>
          <t>unidad</t>
        </is>
      </c>
      <c r="D1806" s="8" t="n"/>
      <c r="E1806" s="8" t="n">
        <v>47.96</v>
      </c>
      <c r="F1806" s="8" t="n"/>
      <c r="G1806" s="8" t="n">
        <v>101</v>
      </c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>
        <f>IF(COUNT(D1806:P1806)=0,"",MIN(D1806:P1806))</f>
        <v/>
      </c>
      <c r="R1806" s="8">
        <f>IF(COUNT(D1806:P1806)=0,"",MEDIAN(D1806:P1806))</f>
        <v/>
      </c>
      <c r="S1806" s="8">
        <f>IF(COUNT(D1806:P1806)=0,"",MAX(D1806:P1806))</f>
        <v/>
      </c>
      <c r="T1806" s="9">
        <f>IF(OR(Q1806="",Q1806=0),"",(S1806-Q1806)/Q1806)</f>
        <v/>
      </c>
      <c r="U1806" s="7">
        <f>IF(COUNT(D1806:P1806)=0,"",INDEX($D$1:$P$1,MATCH(MIN(D1806:P1806),D1806:P1806,0)))</f>
        <v/>
      </c>
      <c r="V1806" s="8" t="n">
        <v>74.48</v>
      </c>
      <c r="W1806" s="10" t="n">
        <v>2</v>
      </c>
    </row>
    <row r="1807">
      <c r="A1807" s="7" t="inlineStr">
        <is>
          <t>MAT-32-459</t>
        </is>
      </c>
      <c r="B1807" s="4" t="inlineStr">
        <is>
          <t>Reducción de HG 2" x 1 1/2"</t>
        </is>
      </c>
      <c r="C1807" s="7" t="inlineStr">
        <is>
          <t>unidad</t>
        </is>
      </c>
      <c r="D1807" s="8" t="n"/>
      <c r="E1807" s="8" t="n">
        <v>135</v>
      </c>
      <c r="F1807" s="8" t="n"/>
      <c r="G1807" s="8" t="n"/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>
        <f>IF(COUNT(D1807:P1807)=0,"",MIN(D1807:P1807))</f>
        <v/>
      </c>
      <c r="R1807" s="8">
        <f>IF(COUNT(D1807:P1807)=0,"",MEDIAN(D1807:P1807))</f>
        <v/>
      </c>
      <c r="S1807" s="8">
        <f>IF(COUNT(D1807:P1807)=0,"",MAX(D1807:P1807))</f>
        <v/>
      </c>
      <c r="T1807" s="9">
        <f>IF(OR(Q1807="",Q1807=0),"",(S1807-Q1807)/Q1807)</f>
        <v/>
      </c>
      <c r="U1807" s="7">
        <f>IF(COUNT(D1807:P1807)=0,"",INDEX($D$1:$P$1,MATCH(MIN(D1807:P1807),D1807:P1807,0)))</f>
        <v/>
      </c>
      <c r="V1807" s="8" t="n">
        <v>135</v>
      </c>
      <c r="W1807" s="10" t="n">
        <v>1</v>
      </c>
    </row>
    <row r="1808">
      <c r="A1808" s="7" t="inlineStr">
        <is>
          <t>MAT-32-460</t>
        </is>
      </c>
      <c r="B1808" s="4" t="inlineStr">
        <is>
          <t>Reducción de HG 2" x 1"</t>
        </is>
      </c>
      <c r="C1808" s="7" t="inlineStr">
        <is>
          <t>unidad</t>
        </is>
      </c>
      <c r="D1808" s="8" t="n"/>
      <c r="E1808" s="8" t="n">
        <v>117</v>
      </c>
      <c r="F1808" s="8" t="n"/>
      <c r="G1808" s="8" t="n"/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>
        <f>IF(COUNT(D1808:P1808)=0,"",MIN(D1808:P1808))</f>
        <v/>
      </c>
      <c r="R1808" s="8">
        <f>IF(COUNT(D1808:P1808)=0,"",MEDIAN(D1808:P1808))</f>
        <v/>
      </c>
      <c r="S1808" s="8">
        <f>IF(COUNT(D1808:P1808)=0,"",MAX(D1808:P1808))</f>
        <v/>
      </c>
      <c r="T1808" s="9">
        <f>IF(OR(Q1808="",Q1808=0),"",(S1808-Q1808)/Q1808)</f>
        <v/>
      </c>
      <c r="U1808" s="7">
        <f>IF(COUNT(D1808:P1808)=0,"",INDEX($D$1:$P$1,MATCH(MIN(D1808:P1808),D1808:P1808,0)))</f>
        <v/>
      </c>
      <c r="V1808" s="8" t="n">
        <v>117</v>
      </c>
      <c r="W1808" s="10" t="n">
        <v>1</v>
      </c>
    </row>
    <row r="1809">
      <c r="A1809" s="7" t="inlineStr">
        <is>
          <t>MAT-32-461</t>
        </is>
      </c>
      <c r="B1809" s="4" t="inlineStr">
        <is>
          <t>Reducción de HG 3/4" x 1/2"</t>
        </is>
      </c>
      <c r="C1809" s="7" t="inlineStr">
        <is>
          <t>unidad</t>
        </is>
      </c>
      <c r="D1809" s="8" t="n"/>
      <c r="E1809" s="8" t="n">
        <v>34</v>
      </c>
      <c r="F1809" s="8" t="n"/>
      <c r="G1809" s="8" t="n"/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>
        <f>IF(COUNT(D1809:P1809)=0,"",MIN(D1809:P1809))</f>
        <v/>
      </c>
      <c r="R1809" s="8">
        <f>IF(COUNT(D1809:P1809)=0,"",MEDIAN(D1809:P1809))</f>
        <v/>
      </c>
      <c r="S1809" s="8">
        <f>IF(COUNT(D1809:P1809)=0,"",MAX(D1809:P1809))</f>
        <v/>
      </c>
      <c r="T1809" s="9">
        <f>IF(OR(Q1809="",Q1809=0),"",(S1809-Q1809)/Q1809)</f>
        <v/>
      </c>
      <c r="U1809" s="7">
        <f>IF(COUNT(D1809:P1809)=0,"",INDEX($D$1:$P$1,MATCH(MIN(D1809:P1809),D1809:P1809,0)))</f>
        <v/>
      </c>
      <c r="V1809" s="8" t="n">
        <v>34</v>
      </c>
      <c r="W1809" s="10" t="n">
        <v>1</v>
      </c>
    </row>
    <row r="1810">
      <c r="A1810" s="7" t="inlineStr">
        <is>
          <t>MAT-32-462</t>
        </is>
      </c>
      <c r="B1810" s="4" t="inlineStr">
        <is>
          <t>Reducción de HG 3/4" x 3/8"</t>
        </is>
      </c>
      <c r="C1810" s="7" t="inlineStr">
        <is>
          <t>unidad</t>
        </is>
      </c>
      <c r="D1810" s="8" t="n"/>
      <c r="E1810" s="8" t="n">
        <v>26.32</v>
      </c>
      <c r="F1810" s="8" t="n"/>
      <c r="G1810" s="8" t="n"/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>
        <f>IF(COUNT(D1810:P1810)=0,"",MIN(D1810:P1810))</f>
        <v/>
      </c>
      <c r="R1810" s="8">
        <f>IF(COUNT(D1810:P1810)=0,"",MEDIAN(D1810:P1810))</f>
        <v/>
      </c>
      <c r="S1810" s="8">
        <f>IF(COUNT(D1810:P1810)=0,"",MAX(D1810:P1810))</f>
        <v/>
      </c>
      <c r="T1810" s="9">
        <f>IF(OR(Q1810="",Q1810=0),"",(S1810-Q1810)/Q1810)</f>
        <v/>
      </c>
      <c r="U1810" s="7">
        <f>IF(COUNT(D1810:P1810)=0,"",INDEX($D$1:$P$1,MATCH(MIN(D1810:P1810),D1810:P1810,0)))</f>
        <v/>
      </c>
      <c r="V1810" s="8" t="n">
        <v>26.32</v>
      </c>
      <c r="W1810" s="10" t="n">
        <v>1</v>
      </c>
    </row>
    <row r="1811">
      <c r="A1811" s="7" t="inlineStr">
        <is>
          <t>MAT-32-463</t>
        </is>
      </c>
      <c r="B1811" s="4" t="inlineStr">
        <is>
          <t>Reducción de HG 3" x 2"</t>
        </is>
      </c>
      <c r="C1811" s="7" t="inlineStr">
        <is>
          <t>unidad</t>
        </is>
      </c>
      <c r="D1811" s="8" t="n"/>
      <c r="E1811" s="8" t="n">
        <v>440</v>
      </c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>
        <f>IF(COUNT(D1811:P1811)=0,"",MIN(D1811:P1811))</f>
        <v/>
      </c>
      <c r="R1811" s="8">
        <f>IF(COUNT(D1811:P1811)=0,"",MEDIAN(D1811:P1811))</f>
        <v/>
      </c>
      <c r="S1811" s="8">
        <f>IF(COUNT(D1811:P1811)=0,"",MAX(D1811:P1811))</f>
        <v/>
      </c>
      <c r="T1811" s="9">
        <f>IF(OR(Q1811="",Q1811=0),"",(S1811-Q1811)/Q1811)</f>
        <v/>
      </c>
      <c r="U1811" s="7">
        <f>IF(COUNT(D1811:P1811)=0,"",INDEX($D$1:$P$1,MATCH(MIN(D1811:P1811),D1811:P1811,0)))</f>
        <v/>
      </c>
      <c r="V1811" s="8" t="n">
        <v>440</v>
      </c>
      <c r="W1811" s="10" t="n">
        <v>1</v>
      </c>
    </row>
    <row r="1812">
      <c r="A1812" s="7" t="inlineStr">
        <is>
          <t>MAT-32-464</t>
        </is>
      </c>
      <c r="B1812" s="4" t="inlineStr">
        <is>
          <t>Reducción de plástico 1 1/2" x 1"</t>
        </is>
      </c>
      <c r="C1812" s="7" t="inlineStr">
        <is>
          <t>unidad</t>
        </is>
      </c>
      <c r="D1812" s="8" t="n"/>
      <c r="E1812" s="8" t="n">
        <v>7.36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>
        <f>IF(COUNT(D1812:P1812)=0,"",MIN(D1812:P1812))</f>
        <v/>
      </c>
      <c r="R1812" s="8">
        <f>IF(COUNT(D1812:P1812)=0,"",MEDIAN(D1812:P1812))</f>
        <v/>
      </c>
      <c r="S1812" s="8">
        <f>IF(COUNT(D1812:P1812)=0,"",MAX(D1812:P1812))</f>
        <v/>
      </c>
      <c r="T1812" s="9">
        <f>IF(OR(Q1812="",Q1812=0),"",(S1812-Q1812)/Q1812)</f>
        <v/>
      </c>
      <c r="U1812" s="7">
        <f>IF(COUNT(D1812:P1812)=0,"",INDEX($D$1:$P$1,MATCH(MIN(D1812:P1812),D1812:P1812,0)))</f>
        <v/>
      </c>
      <c r="V1812" s="8" t="n">
        <v>7.36</v>
      </c>
      <c r="W1812" s="10" t="n">
        <v>1</v>
      </c>
    </row>
    <row r="1813">
      <c r="A1813" s="7" t="inlineStr">
        <is>
          <t>MAT-32-465</t>
        </is>
      </c>
      <c r="B1813" s="4" t="inlineStr">
        <is>
          <t>Reducción de plástico 1 1/2" x 7/8"</t>
        </is>
      </c>
      <c r="C1813" s="7" t="inlineStr">
        <is>
          <t>unidad</t>
        </is>
      </c>
      <c r="D1813" s="8" t="n"/>
      <c r="E1813" s="8" t="n">
        <v>3.5</v>
      </c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>
        <f>IF(COUNT(D1813:P1813)=0,"",MIN(D1813:P1813))</f>
        <v/>
      </c>
      <c r="R1813" s="8">
        <f>IF(COUNT(D1813:P1813)=0,"",MEDIAN(D1813:P1813))</f>
        <v/>
      </c>
      <c r="S1813" s="8">
        <f>IF(COUNT(D1813:P1813)=0,"",MAX(D1813:P1813))</f>
        <v/>
      </c>
      <c r="T1813" s="9">
        <f>IF(OR(Q1813="",Q1813=0),"",(S1813-Q1813)/Q1813)</f>
        <v/>
      </c>
      <c r="U1813" s="7">
        <f>IF(COUNT(D1813:P1813)=0,"",INDEX($D$1:$P$1,MATCH(MIN(D1813:P1813),D1813:P1813,0)))</f>
        <v/>
      </c>
      <c r="V1813" s="8" t="n">
        <v>3.5</v>
      </c>
      <c r="W1813" s="10" t="n">
        <v>1</v>
      </c>
    </row>
    <row r="1814">
      <c r="A1814" s="7" t="inlineStr">
        <is>
          <t>MAT-32-466</t>
        </is>
      </c>
      <c r="B1814" s="4" t="inlineStr">
        <is>
          <t>Reducción de plástico 1 1/4" x 1/2"</t>
        </is>
      </c>
      <c r="C1814" s="7" t="inlineStr">
        <is>
          <t>unidad</t>
        </is>
      </c>
      <c r="D1814" s="8" t="n"/>
      <c r="E1814" s="8" t="n">
        <v>10.35</v>
      </c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 t="n"/>
      <c r="P1814" s="8" t="n"/>
      <c r="Q1814" s="8">
        <f>IF(COUNT(D1814:P1814)=0,"",MIN(D1814:P1814))</f>
        <v/>
      </c>
      <c r="R1814" s="8">
        <f>IF(COUNT(D1814:P1814)=0,"",MEDIAN(D1814:P1814))</f>
        <v/>
      </c>
      <c r="S1814" s="8">
        <f>IF(COUNT(D1814:P1814)=0,"",MAX(D1814:P1814))</f>
        <v/>
      </c>
      <c r="T1814" s="9">
        <f>IF(OR(Q1814="",Q1814=0),"",(S1814-Q1814)/Q1814)</f>
        <v/>
      </c>
      <c r="U1814" s="7">
        <f>IF(COUNT(D1814:P1814)=0,"",INDEX($D$1:$P$1,MATCH(MIN(D1814:P1814),D1814:P1814,0)))</f>
        <v/>
      </c>
      <c r="V1814" s="8" t="n">
        <v>10.35</v>
      </c>
      <c r="W1814" s="10" t="n">
        <v>1</v>
      </c>
    </row>
    <row r="1815">
      <c r="A1815" s="7" t="inlineStr">
        <is>
          <t>MAT-32-467</t>
        </is>
      </c>
      <c r="B1815" s="4" t="inlineStr">
        <is>
          <t>Reducción de plástico 1 1/4" x 3/4"</t>
        </is>
      </c>
      <c r="C1815" s="7" t="inlineStr">
        <is>
          <t>unidad</t>
        </is>
      </c>
      <c r="D1815" s="8" t="n"/>
      <c r="E1815" s="8" t="n">
        <v>2.33</v>
      </c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>
        <f>IF(COUNT(D1815:P1815)=0,"",MIN(D1815:P1815))</f>
        <v/>
      </c>
      <c r="R1815" s="8">
        <f>IF(COUNT(D1815:P1815)=0,"",MEDIAN(D1815:P1815))</f>
        <v/>
      </c>
      <c r="S1815" s="8">
        <f>IF(COUNT(D1815:P1815)=0,"",MAX(D1815:P1815))</f>
        <v/>
      </c>
      <c r="T1815" s="9">
        <f>IF(OR(Q1815="",Q1815=0),"",(S1815-Q1815)/Q1815)</f>
        <v/>
      </c>
      <c r="U1815" s="7">
        <f>IF(COUNT(D1815:P1815)=0,"",INDEX($D$1:$P$1,MATCH(MIN(D1815:P1815),D1815:P1815,0)))</f>
        <v/>
      </c>
      <c r="V1815" s="8" t="n">
        <v>2.33</v>
      </c>
      <c r="W1815" s="10" t="n">
        <v>1</v>
      </c>
    </row>
    <row r="1816">
      <c r="A1816" s="7" t="inlineStr">
        <is>
          <t>MAT-32-468</t>
        </is>
      </c>
      <c r="B1816" s="4" t="inlineStr">
        <is>
          <t>Reducción de plástico 1 1/4" x 5/8"</t>
        </is>
      </c>
      <c r="C1816" s="7" t="inlineStr">
        <is>
          <t>unidad</t>
        </is>
      </c>
      <c r="D1816" s="8" t="n"/>
      <c r="E1816" s="8" t="n">
        <v>2.44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>
        <f>IF(COUNT(D1816:P1816)=0,"",MIN(D1816:P1816))</f>
        <v/>
      </c>
      <c r="R1816" s="8">
        <f>IF(COUNT(D1816:P1816)=0,"",MEDIAN(D1816:P1816))</f>
        <v/>
      </c>
      <c r="S1816" s="8">
        <f>IF(COUNT(D1816:P1816)=0,"",MAX(D1816:P1816))</f>
        <v/>
      </c>
      <c r="T1816" s="9">
        <f>IF(OR(Q1816="",Q1816=0),"",(S1816-Q1816)/Q1816)</f>
        <v/>
      </c>
      <c r="U1816" s="7">
        <f>IF(COUNT(D1816:P1816)=0,"",INDEX($D$1:$P$1,MATCH(MIN(D1816:P1816),D1816:P1816,0)))</f>
        <v/>
      </c>
      <c r="V1816" s="8" t="n">
        <v>2.44</v>
      </c>
      <c r="W1816" s="10" t="n">
        <v>1</v>
      </c>
    </row>
    <row r="1817">
      <c r="A1817" s="7" t="inlineStr">
        <is>
          <t>MAT-32-469</t>
        </is>
      </c>
      <c r="B1817" s="4" t="inlineStr">
        <is>
          <t>Reducción de plástico 1 1/4" x 7/8"</t>
        </is>
      </c>
      <c r="C1817" s="7" t="inlineStr">
        <is>
          <t>unidad</t>
        </is>
      </c>
      <c r="D1817" s="8" t="n"/>
      <c r="E1817" s="8" t="n">
        <v>8.800000000000001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>
        <f>IF(COUNT(D1817:P1817)=0,"",MIN(D1817:P1817))</f>
        <v/>
      </c>
      <c r="R1817" s="8">
        <f>IF(COUNT(D1817:P1817)=0,"",MEDIAN(D1817:P1817))</f>
        <v/>
      </c>
      <c r="S1817" s="8">
        <f>IF(COUNT(D1817:P1817)=0,"",MAX(D1817:P1817))</f>
        <v/>
      </c>
      <c r="T1817" s="9">
        <f>IF(OR(Q1817="",Q1817=0),"",(S1817-Q1817)/Q1817)</f>
        <v/>
      </c>
      <c r="U1817" s="7">
        <f>IF(COUNT(D1817:P1817)=0,"",INDEX($D$1:$P$1,MATCH(MIN(D1817:P1817),D1817:P1817,0)))</f>
        <v/>
      </c>
      <c r="V1817" s="8" t="n">
        <v>8.800000000000001</v>
      </c>
      <c r="W1817" s="10" t="n">
        <v>1</v>
      </c>
    </row>
    <row r="1818">
      <c r="A1818" s="7" t="inlineStr">
        <is>
          <t>MAT-32-470</t>
        </is>
      </c>
      <c r="B1818" s="4" t="inlineStr">
        <is>
          <t>Reducción de PPR 20 mm</t>
        </is>
      </c>
      <c r="C1818" s="7" t="inlineStr">
        <is>
          <t>unidad</t>
        </is>
      </c>
      <c r="D1818" s="8" t="n"/>
      <c r="E1818" s="8" t="n">
        <v>5.59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>
        <f>IF(COUNT(D1818:P1818)=0,"",MIN(D1818:P1818))</f>
        <v/>
      </c>
      <c r="R1818" s="8">
        <f>IF(COUNT(D1818:P1818)=0,"",MEDIAN(D1818:P1818))</f>
        <v/>
      </c>
      <c r="S1818" s="8">
        <f>IF(COUNT(D1818:P1818)=0,"",MAX(D1818:P1818))</f>
        <v/>
      </c>
      <c r="T1818" s="9">
        <f>IF(OR(Q1818="",Q1818=0),"",(S1818-Q1818)/Q1818)</f>
        <v/>
      </c>
      <c r="U1818" s="7">
        <f>IF(COUNT(D1818:P1818)=0,"",INDEX($D$1:$P$1,MATCH(MIN(D1818:P1818),D1818:P1818,0)))</f>
        <v/>
      </c>
      <c r="V1818" s="8" t="n">
        <v>6.84</v>
      </c>
      <c r="W1818" s="10" t="n">
        <v>1</v>
      </c>
    </row>
    <row r="1819">
      <c r="A1819" s="7" t="inlineStr">
        <is>
          <t>MAT-32-471</t>
        </is>
      </c>
      <c r="B1819" s="4" t="inlineStr">
        <is>
          <t>Reducción de PPR 25 mm</t>
        </is>
      </c>
      <c r="C1819" s="7" t="inlineStr">
        <is>
          <t>unidad</t>
        </is>
      </c>
      <c r="D1819" s="8" t="n"/>
      <c r="E1819" s="8" t="n">
        <v>7.98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>
        <f>IF(COUNT(D1819:P1819)=0,"",MIN(D1819:P1819))</f>
        <v/>
      </c>
      <c r="R1819" s="8">
        <f>IF(COUNT(D1819:P1819)=0,"",MEDIAN(D1819:P1819))</f>
        <v/>
      </c>
      <c r="S1819" s="8">
        <f>IF(COUNT(D1819:P1819)=0,"",MAX(D1819:P1819))</f>
        <v/>
      </c>
      <c r="T1819" s="9">
        <f>IF(OR(Q1819="",Q1819=0),"",(S1819-Q1819)/Q1819)</f>
        <v/>
      </c>
      <c r="U1819" s="7">
        <f>IF(COUNT(D1819:P1819)=0,"",INDEX($D$1:$P$1,MATCH(MIN(D1819:P1819),D1819:P1819,0)))</f>
        <v/>
      </c>
      <c r="V1819" s="8" t="n">
        <v>13.91</v>
      </c>
      <c r="W1819" s="10" t="n">
        <v>1</v>
      </c>
    </row>
    <row r="1820">
      <c r="A1820" s="7" t="inlineStr">
        <is>
          <t>MAT-32-472</t>
        </is>
      </c>
      <c r="B1820" s="4" t="inlineStr">
        <is>
          <t>Reducción de PPR 25 mm x 20 mm</t>
        </is>
      </c>
      <c r="C1820" s="7" t="inlineStr">
        <is>
          <t>unidad</t>
        </is>
      </c>
      <c r="D1820" s="8" t="n"/>
      <c r="E1820" s="8" t="n"/>
      <c r="F1820" s="8" t="n"/>
      <c r="G1820" s="8" t="n">
        <v>53</v>
      </c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>
        <f>IF(COUNT(D1820:P1820)=0,"",MIN(D1820:P1820))</f>
        <v/>
      </c>
      <c r="R1820" s="8">
        <f>IF(COUNT(D1820:P1820)=0,"",MEDIAN(D1820:P1820))</f>
        <v/>
      </c>
      <c r="S1820" s="8">
        <f>IF(COUNT(D1820:P1820)=0,"",MAX(D1820:P1820))</f>
        <v/>
      </c>
      <c r="T1820" s="9">
        <f>IF(OR(Q1820="",Q1820=0),"",(S1820-Q1820)/Q1820)</f>
        <v/>
      </c>
      <c r="U1820" s="7">
        <f>IF(COUNT(D1820:P1820)=0,"",INDEX($D$1:$P$1,MATCH(MIN(D1820:P1820),D1820:P1820,0)))</f>
        <v/>
      </c>
      <c r="V1820" s="8" t="n">
        <v>53</v>
      </c>
      <c r="W1820" s="10" t="n">
        <v>1</v>
      </c>
    </row>
    <row r="1821">
      <c r="A1821" s="7" t="inlineStr">
        <is>
          <t>MAT-32-473</t>
        </is>
      </c>
      <c r="B1821" s="4" t="inlineStr">
        <is>
          <t>Reducción de PPR 32 mm</t>
        </is>
      </c>
      <c r="C1821" s="7" t="inlineStr">
        <is>
          <t>unidad</t>
        </is>
      </c>
      <c r="D1821" s="8" t="n"/>
      <c r="E1821" s="8" t="n">
        <v>22.53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>
        <f>IF(COUNT(D1821:P1821)=0,"",MIN(D1821:P1821))</f>
        <v/>
      </c>
      <c r="R1821" s="8">
        <f>IF(COUNT(D1821:P1821)=0,"",MEDIAN(D1821:P1821))</f>
        <v/>
      </c>
      <c r="S1821" s="8">
        <f>IF(COUNT(D1821:P1821)=0,"",MAX(D1821:P1821))</f>
        <v/>
      </c>
      <c r="T1821" s="9">
        <f>IF(OR(Q1821="",Q1821=0),"",(S1821-Q1821)/Q1821)</f>
        <v/>
      </c>
      <c r="U1821" s="7">
        <f>IF(COUNT(D1821:P1821)=0,"",INDEX($D$1:$P$1,MATCH(MIN(D1821:P1821),D1821:P1821,0)))</f>
        <v/>
      </c>
      <c r="V1821" s="8" t="n">
        <v>22.53</v>
      </c>
      <c r="W1821" s="10" t="n">
        <v>1</v>
      </c>
    </row>
    <row r="1822">
      <c r="A1822" s="7" t="inlineStr">
        <is>
          <t>MAT-32-474</t>
        </is>
      </c>
      <c r="B1822" s="4" t="inlineStr">
        <is>
          <t>Reducción de PVC drenaje 1 1/2" x 1"</t>
        </is>
      </c>
      <c r="C1822" s="7" t="inlineStr">
        <is>
          <t>unidad</t>
        </is>
      </c>
      <c r="D1822" s="8" t="n"/>
      <c r="E1822" s="8" t="n">
        <v>15</v>
      </c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>
        <f>IF(COUNT(D1822:P1822)=0,"",MIN(D1822:P1822))</f>
        <v/>
      </c>
      <c r="R1822" s="8">
        <f>IF(COUNT(D1822:P1822)=0,"",MEDIAN(D1822:P1822))</f>
        <v/>
      </c>
      <c r="S1822" s="8">
        <f>IF(COUNT(D1822:P1822)=0,"",MAX(D1822:P1822))</f>
        <v/>
      </c>
      <c r="T1822" s="9">
        <f>IF(OR(Q1822="",Q1822=0),"",(S1822-Q1822)/Q1822)</f>
        <v/>
      </c>
      <c r="U1822" s="7">
        <f>IF(COUNT(D1822:P1822)=0,"",INDEX($D$1:$P$1,MATCH(MIN(D1822:P1822),D1822:P1822,0)))</f>
        <v/>
      </c>
      <c r="V1822" s="8" t="n">
        <v>15</v>
      </c>
      <c r="W1822" s="10" t="n">
        <v>1</v>
      </c>
    </row>
    <row r="1823">
      <c r="A1823" s="7" t="inlineStr">
        <is>
          <t>MAT-32-475</t>
        </is>
      </c>
      <c r="B1823" s="4" t="inlineStr">
        <is>
          <t>Reducción de PVC drenaje 2" x 1/2"</t>
        </is>
      </c>
      <c r="C1823" s="7" t="inlineStr">
        <is>
          <t>unidad</t>
        </is>
      </c>
      <c r="D1823" s="8" t="n"/>
      <c r="E1823" s="8" t="n">
        <v>14.69</v>
      </c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>
        <f>IF(COUNT(D1823:P1823)=0,"",MIN(D1823:P1823))</f>
        <v/>
      </c>
      <c r="R1823" s="8">
        <f>IF(COUNT(D1823:P1823)=0,"",MEDIAN(D1823:P1823))</f>
        <v/>
      </c>
      <c r="S1823" s="8">
        <f>IF(COUNT(D1823:P1823)=0,"",MAX(D1823:P1823))</f>
        <v/>
      </c>
      <c r="T1823" s="9">
        <f>IF(OR(Q1823="",Q1823=0),"",(S1823-Q1823)/Q1823)</f>
        <v/>
      </c>
      <c r="U1823" s="7">
        <f>IF(COUNT(D1823:P1823)=0,"",INDEX($D$1:$P$1,MATCH(MIN(D1823:P1823),D1823:P1823,0)))</f>
        <v/>
      </c>
      <c r="V1823" s="8" t="n">
        <v>14.69</v>
      </c>
      <c r="W1823" s="10" t="n">
        <v>1</v>
      </c>
    </row>
    <row r="1824">
      <c r="A1824" s="7" t="inlineStr">
        <is>
          <t>MAT-32-476</t>
        </is>
      </c>
      <c r="B1824" s="4" t="inlineStr">
        <is>
          <t>Reducción de PVC drenaje 2" x 1"</t>
        </is>
      </c>
      <c r="C1824" s="7" t="inlineStr">
        <is>
          <t>unidad</t>
        </is>
      </c>
      <c r="D1824" s="8" t="n"/>
      <c r="E1824" s="8" t="n">
        <v>14.96</v>
      </c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>
        <f>IF(COUNT(D1824:P1824)=0,"",MIN(D1824:P1824))</f>
        <v/>
      </c>
      <c r="R1824" s="8">
        <f>IF(COUNT(D1824:P1824)=0,"",MEDIAN(D1824:P1824))</f>
        <v/>
      </c>
      <c r="S1824" s="8">
        <f>IF(COUNT(D1824:P1824)=0,"",MAX(D1824:P1824))</f>
        <v/>
      </c>
      <c r="T1824" s="9">
        <f>IF(OR(Q1824="",Q1824=0),"",(S1824-Q1824)/Q1824)</f>
        <v/>
      </c>
      <c r="U1824" s="7">
        <f>IF(COUNT(D1824:P1824)=0,"",INDEX($D$1:$P$1,MATCH(MIN(D1824:P1824),D1824:P1824,0)))</f>
        <v/>
      </c>
      <c r="V1824" s="8" t="n">
        <v>14.96</v>
      </c>
      <c r="W1824" s="10" t="n">
        <v>1</v>
      </c>
    </row>
    <row r="1825">
      <c r="A1825" s="7" t="inlineStr">
        <is>
          <t>MAT-32-477</t>
        </is>
      </c>
      <c r="B1825" s="4" t="inlineStr">
        <is>
          <t>Reducción de PVC drenaje 2" x 3/4"</t>
        </is>
      </c>
      <c r="C1825" s="7" t="inlineStr">
        <is>
          <t>unidad</t>
        </is>
      </c>
      <c r="D1825" s="8" t="n"/>
      <c r="E1825" s="8" t="n">
        <v>14.52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>
        <f>IF(COUNT(D1825:P1825)=0,"",MIN(D1825:P1825))</f>
        <v/>
      </c>
      <c r="R1825" s="8">
        <f>IF(COUNT(D1825:P1825)=0,"",MEDIAN(D1825:P1825))</f>
        <v/>
      </c>
      <c r="S1825" s="8">
        <f>IF(COUNT(D1825:P1825)=0,"",MAX(D1825:P1825))</f>
        <v/>
      </c>
      <c r="T1825" s="9">
        <f>IF(OR(Q1825="",Q1825=0),"",(S1825-Q1825)/Q1825)</f>
        <v/>
      </c>
      <c r="U1825" s="7">
        <f>IF(COUNT(D1825:P1825)=0,"",INDEX($D$1:$P$1,MATCH(MIN(D1825:P1825),D1825:P1825,0)))</f>
        <v/>
      </c>
      <c r="V1825" s="8" t="n">
        <v>14.52</v>
      </c>
      <c r="W1825" s="10" t="n">
        <v>1</v>
      </c>
    </row>
    <row r="1826">
      <c r="A1826" s="7" t="inlineStr">
        <is>
          <t>MAT-32-478</t>
        </is>
      </c>
      <c r="B1826" s="4" t="inlineStr">
        <is>
          <t>Reducción de PVC drenaje 3" x 2"</t>
        </is>
      </c>
      <c r="C1826" s="7" t="inlineStr">
        <is>
          <t>unidad</t>
        </is>
      </c>
      <c r="D1826" s="8" t="n"/>
      <c r="E1826" s="8" t="n">
        <v>28.6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>
        <f>IF(COUNT(D1826:P1826)=0,"",MIN(D1826:P1826))</f>
        <v/>
      </c>
      <c r="R1826" s="8">
        <f>IF(COUNT(D1826:P1826)=0,"",MEDIAN(D1826:P1826))</f>
        <v/>
      </c>
      <c r="S1826" s="8">
        <f>IF(COUNT(D1826:P1826)=0,"",MAX(D1826:P1826))</f>
        <v/>
      </c>
      <c r="T1826" s="9">
        <f>IF(OR(Q1826="",Q1826=0),"",(S1826-Q1826)/Q1826)</f>
        <v/>
      </c>
      <c r="U1826" s="7">
        <f>IF(COUNT(D1826:P1826)=0,"",INDEX($D$1:$P$1,MATCH(MIN(D1826:P1826),D1826:P1826,0)))</f>
        <v/>
      </c>
      <c r="V1826" s="8" t="n">
        <v>31.93</v>
      </c>
      <c r="W1826" s="10" t="n">
        <v>1</v>
      </c>
    </row>
    <row r="1827">
      <c r="A1827" s="7" t="inlineStr">
        <is>
          <t>MAT-32-479</t>
        </is>
      </c>
      <c r="B1827" s="4" t="inlineStr">
        <is>
          <t>Reducción de PVC drenaje 4" x 2"</t>
        </is>
      </c>
      <c r="C1827" s="7" t="inlineStr">
        <is>
          <t>unidad</t>
        </is>
      </c>
      <c r="D1827" s="8" t="n"/>
      <c r="E1827" s="8" t="n">
        <v>57.06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>
        <f>IF(COUNT(D1827:P1827)=0,"",MIN(D1827:P1827))</f>
        <v/>
      </c>
      <c r="R1827" s="8">
        <f>IF(COUNT(D1827:P1827)=0,"",MEDIAN(D1827:P1827))</f>
        <v/>
      </c>
      <c r="S1827" s="8">
        <f>IF(COUNT(D1827:P1827)=0,"",MAX(D1827:P1827))</f>
        <v/>
      </c>
      <c r="T1827" s="9">
        <f>IF(OR(Q1827="",Q1827=0),"",(S1827-Q1827)/Q1827)</f>
        <v/>
      </c>
      <c r="U1827" s="7">
        <f>IF(COUNT(D1827:P1827)=0,"",INDEX($D$1:$P$1,MATCH(MIN(D1827:P1827),D1827:P1827,0)))</f>
        <v/>
      </c>
      <c r="V1827" s="8" t="n">
        <v>66.90000000000001</v>
      </c>
      <c r="W1827" s="10" t="n">
        <v>1</v>
      </c>
    </row>
    <row r="1828">
      <c r="A1828" s="7" t="inlineStr">
        <is>
          <t>MAT-32-480</t>
        </is>
      </c>
      <c r="B1828" s="4" t="inlineStr">
        <is>
          <t>Reducción de PVC drenaje 4" x 3"</t>
        </is>
      </c>
      <c r="C1828" s="7" t="inlineStr">
        <is>
          <t>unidad</t>
        </is>
      </c>
      <c r="D1828" s="8" t="n"/>
      <c r="E1828" s="8" t="n">
        <v>52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>
        <f>IF(COUNT(D1828:P1828)=0,"",MIN(D1828:P1828))</f>
        <v/>
      </c>
      <c r="R1828" s="8">
        <f>IF(COUNT(D1828:P1828)=0,"",MEDIAN(D1828:P1828))</f>
        <v/>
      </c>
      <c r="S1828" s="8">
        <f>IF(COUNT(D1828:P1828)=0,"",MAX(D1828:P1828))</f>
        <v/>
      </c>
      <c r="T1828" s="9">
        <f>IF(OR(Q1828="",Q1828=0),"",(S1828-Q1828)/Q1828)</f>
        <v/>
      </c>
      <c r="U1828" s="7">
        <f>IF(COUNT(D1828:P1828)=0,"",INDEX($D$1:$P$1,MATCH(MIN(D1828:P1828),D1828:P1828,0)))</f>
        <v/>
      </c>
      <c r="V1828" s="8" t="n">
        <v>59.26</v>
      </c>
      <c r="W1828" s="10" t="n">
        <v>1</v>
      </c>
    </row>
    <row r="1829">
      <c r="A1829" s="7" t="inlineStr">
        <is>
          <t>MAT-32-481</t>
        </is>
      </c>
      <c r="B1829" s="4" t="inlineStr">
        <is>
          <t>Reducción de PVC 1 1/2" x 1/2"</t>
        </is>
      </c>
      <c r="C1829" s="7" t="inlineStr">
        <is>
          <t>unidad</t>
        </is>
      </c>
      <c r="D1829" s="8" t="n"/>
      <c r="E1829" s="8" t="n"/>
      <c r="F1829" s="8" t="n"/>
      <c r="G1829" s="8" t="n">
        <v>63</v>
      </c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>
        <f>IF(COUNT(D1829:P1829)=0,"",MIN(D1829:P1829))</f>
        <v/>
      </c>
      <c r="R1829" s="8">
        <f>IF(COUNT(D1829:P1829)=0,"",MEDIAN(D1829:P1829))</f>
        <v/>
      </c>
      <c r="S1829" s="8">
        <f>IF(COUNT(D1829:P1829)=0,"",MAX(D1829:P1829))</f>
        <v/>
      </c>
      <c r="T1829" s="9">
        <f>IF(OR(Q1829="",Q1829=0),"",(S1829-Q1829)/Q1829)</f>
        <v/>
      </c>
      <c r="U1829" s="7">
        <f>IF(COUNT(D1829:P1829)=0,"",INDEX($D$1:$P$1,MATCH(MIN(D1829:P1829),D1829:P1829,0)))</f>
        <v/>
      </c>
      <c r="V1829" s="8" t="n">
        <v>63</v>
      </c>
      <c r="W1829" s="10" t="n">
        <v>1</v>
      </c>
    </row>
    <row r="1830">
      <c r="A1830" s="7" t="inlineStr">
        <is>
          <t>MAT-32-482</t>
        </is>
      </c>
      <c r="B1830" s="4" t="inlineStr">
        <is>
          <t>Reducción de PVC 1 1/2" x 1"</t>
        </is>
      </c>
      <c r="C1830" s="7" t="inlineStr">
        <is>
          <t>unidad</t>
        </is>
      </c>
      <c r="D1830" s="8" t="n"/>
      <c r="E1830" s="8" t="n"/>
      <c r="F1830" s="8" t="n"/>
      <c r="G1830" s="8" t="n">
        <v>111</v>
      </c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>
        <f>IF(COUNT(D1830:P1830)=0,"",MIN(D1830:P1830))</f>
        <v/>
      </c>
      <c r="R1830" s="8">
        <f>IF(COUNT(D1830:P1830)=0,"",MEDIAN(D1830:P1830))</f>
        <v/>
      </c>
      <c r="S1830" s="8">
        <f>IF(COUNT(D1830:P1830)=0,"",MAX(D1830:P1830))</f>
        <v/>
      </c>
      <c r="T1830" s="9">
        <f>IF(OR(Q1830="",Q1830=0),"",(S1830-Q1830)/Q1830)</f>
        <v/>
      </c>
      <c r="U1830" s="7">
        <f>IF(COUNT(D1830:P1830)=0,"",INDEX($D$1:$P$1,MATCH(MIN(D1830:P1830),D1830:P1830,0)))</f>
        <v/>
      </c>
      <c r="V1830" s="8" t="n">
        <v>111</v>
      </c>
      <c r="W1830" s="10" t="n">
        <v>1</v>
      </c>
    </row>
    <row r="1831">
      <c r="A1831" s="7" t="inlineStr">
        <is>
          <t>MAT-32-483</t>
        </is>
      </c>
      <c r="B1831" s="4" t="inlineStr">
        <is>
          <t>Reducción de PVC 1 1/2" x 3/4"</t>
        </is>
      </c>
      <c r="C1831" s="7" t="inlineStr">
        <is>
          <t>unidad</t>
        </is>
      </c>
      <c r="D1831" s="8" t="n"/>
      <c r="E1831" s="8" t="n"/>
      <c r="F1831" s="8" t="n"/>
      <c r="G1831" s="8" t="n">
        <v>85</v>
      </c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>
        <f>IF(COUNT(D1831:P1831)=0,"",MIN(D1831:P1831))</f>
        <v/>
      </c>
      <c r="R1831" s="8">
        <f>IF(COUNT(D1831:P1831)=0,"",MEDIAN(D1831:P1831))</f>
        <v/>
      </c>
      <c r="S1831" s="8">
        <f>IF(COUNT(D1831:P1831)=0,"",MAX(D1831:P1831))</f>
        <v/>
      </c>
      <c r="T1831" s="9">
        <f>IF(OR(Q1831="",Q1831=0),"",(S1831-Q1831)/Q1831)</f>
        <v/>
      </c>
      <c r="U1831" s="7">
        <f>IF(COUNT(D1831:P1831)=0,"",INDEX($D$1:$P$1,MATCH(MIN(D1831:P1831),D1831:P1831,0)))</f>
        <v/>
      </c>
      <c r="V1831" s="8" t="n">
        <v>85</v>
      </c>
      <c r="W1831" s="10" t="n">
        <v>1</v>
      </c>
    </row>
    <row r="1832">
      <c r="A1832" s="7" t="inlineStr">
        <is>
          <t>MAT-32-484</t>
        </is>
      </c>
      <c r="B1832" s="4" t="inlineStr">
        <is>
          <t>Reducción de PVC 12" x 8"</t>
        </is>
      </c>
      <c r="C1832" s="7" t="inlineStr">
        <is>
          <t>unidad</t>
        </is>
      </c>
      <c r="D1832" s="8" t="n"/>
      <c r="E1832" s="8" t="n">
        <v>13614</v>
      </c>
      <c r="F1832" s="8" t="n"/>
      <c r="G1832" s="8" t="n"/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>
        <f>IF(COUNT(D1832:P1832)=0,"",MIN(D1832:P1832))</f>
        <v/>
      </c>
      <c r="R1832" s="8">
        <f>IF(COUNT(D1832:P1832)=0,"",MEDIAN(D1832:P1832))</f>
        <v/>
      </c>
      <c r="S1832" s="8">
        <f>IF(COUNT(D1832:P1832)=0,"",MAX(D1832:P1832))</f>
        <v/>
      </c>
      <c r="T1832" s="9">
        <f>IF(OR(Q1832="",Q1832=0),"",(S1832-Q1832)/Q1832)</f>
        <v/>
      </c>
      <c r="U1832" s="7">
        <f>IF(COUNT(D1832:P1832)=0,"",INDEX($D$1:$P$1,MATCH(MIN(D1832:P1832),D1832:P1832,0)))</f>
        <v/>
      </c>
      <c r="V1832" s="8" t="n">
        <v>13614</v>
      </c>
      <c r="W1832" s="10" t="n">
        <v>1</v>
      </c>
    </row>
    <row r="1833">
      <c r="A1833" s="7" t="inlineStr">
        <is>
          <t>MAT-32-485</t>
        </is>
      </c>
      <c r="B1833" s="4" t="inlineStr">
        <is>
          <t>Reducción de PVC 16" x 12"</t>
        </is>
      </c>
      <c r="C1833" s="7" t="inlineStr">
        <is>
          <t>unidad</t>
        </is>
      </c>
      <c r="D1833" s="8" t="n"/>
      <c r="E1833" s="8" t="n">
        <v>9256.889999999999</v>
      </c>
      <c r="F1833" s="8" t="n"/>
      <c r="G1833" s="8" t="n"/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>
        <f>IF(COUNT(D1833:P1833)=0,"",MIN(D1833:P1833))</f>
        <v/>
      </c>
      <c r="R1833" s="8">
        <f>IF(COUNT(D1833:P1833)=0,"",MEDIAN(D1833:P1833))</f>
        <v/>
      </c>
      <c r="S1833" s="8">
        <f>IF(COUNT(D1833:P1833)=0,"",MAX(D1833:P1833))</f>
        <v/>
      </c>
      <c r="T1833" s="9">
        <f>IF(OR(Q1833="",Q1833=0),"",(S1833-Q1833)/Q1833)</f>
        <v/>
      </c>
      <c r="U1833" s="7">
        <f>IF(COUNT(D1833:P1833)=0,"",INDEX($D$1:$P$1,MATCH(MIN(D1833:P1833),D1833:P1833,0)))</f>
        <v/>
      </c>
      <c r="V1833" s="8" t="n">
        <v>9256.889999999999</v>
      </c>
      <c r="W1833" s="10" t="n">
        <v>1</v>
      </c>
    </row>
    <row r="1834">
      <c r="A1834" s="7" t="inlineStr">
        <is>
          <t>MAT-32-486</t>
        </is>
      </c>
      <c r="B1834" s="4" t="inlineStr">
        <is>
          <t>Reducción de PVC 2" x 1 1/2"</t>
        </is>
      </c>
      <c r="C1834" s="7" t="inlineStr">
        <is>
          <t>unidad</t>
        </is>
      </c>
      <c r="D1834" s="8" t="n"/>
      <c r="E1834" s="8" t="n"/>
      <c r="F1834" s="8" t="n"/>
      <c r="G1834" s="8" t="n">
        <v>234</v>
      </c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>
        <f>IF(COUNT(D1834:P1834)=0,"",MIN(D1834:P1834))</f>
        <v/>
      </c>
      <c r="R1834" s="8">
        <f>IF(COUNT(D1834:P1834)=0,"",MEDIAN(D1834:P1834))</f>
        <v/>
      </c>
      <c r="S1834" s="8">
        <f>IF(COUNT(D1834:P1834)=0,"",MAX(D1834:P1834))</f>
        <v/>
      </c>
      <c r="T1834" s="9">
        <f>IF(OR(Q1834="",Q1834=0),"",(S1834-Q1834)/Q1834)</f>
        <v/>
      </c>
      <c r="U1834" s="7">
        <f>IF(COUNT(D1834:P1834)=0,"",INDEX($D$1:$P$1,MATCH(MIN(D1834:P1834),D1834:P1834,0)))</f>
        <v/>
      </c>
      <c r="V1834" s="8" t="n">
        <v>234</v>
      </c>
      <c r="W1834" s="10" t="n">
        <v>1</v>
      </c>
    </row>
    <row r="1835">
      <c r="A1835" s="7" t="inlineStr">
        <is>
          <t>MAT-32-487</t>
        </is>
      </c>
      <c r="B1835" s="4" t="inlineStr">
        <is>
          <t>Reducción de PVC 3/4" x 1/2"</t>
        </is>
      </c>
      <c r="C1835" s="7" t="inlineStr">
        <is>
          <t>unidad</t>
        </is>
      </c>
      <c r="D1835" s="8" t="n"/>
      <c r="E1835" s="8" t="n">
        <v>5.77</v>
      </c>
      <c r="F1835" s="8" t="n"/>
      <c r="G1835" s="8" t="n">
        <v>46</v>
      </c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>
        <f>IF(COUNT(D1835:P1835)=0,"",MIN(D1835:P1835))</f>
        <v/>
      </c>
      <c r="R1835" s="8">
        <f>IF(COUNT(D1835:P1835)=0,"",MEDIAN(D1835:P1835))</f>
        <v/>
      </c>
      <c r="S1835" s="8">
        <f>IF(COUNT(D1835:P1835)=0,"",MAX(D1835:P1835))</f>
        <v/>
      </c>
      <c r="T1835" s="9">
        <f>IF(OR(Q1835="",Q1835=0),"",(S1835-Q1835)/Q1835)</f>
        <v/>
      </c>
      <c r="U1835" s="7">
        <f>IF(COUNT(D1835:P1835)=0,"",INDEX($D$1:$P$1,MATCH(MIN(D1835:P1835),D1835:P1835,0)))</f>
        <v/>
      </c>
      <c r="V1835" s="8" t="n">
        <v>21.47</v>
      </c>
      <c r="W1835" s="10" t="n">
        <v>2</v>
      </c>
    </row>
    <row r="1836">
      <c r="A1836" s="7" t="inlineStr">
        <is>
          <t>MAT-32-488</t>
        </is>
      </c>
      <c r="B1836" s="4" t="inlineStr">
        <is>
          <t>Reducción de PVC 4" x 2"</t>
        </is>
      </c>
      <c r="C1836" s="7" t="inlineStr">
        <is>
          <t>unidad</t>
        </is>
      </c>
      <c r="D1836" s="8" t="n"/>
      <c r="E1836" s="8" t="n">
        <v>348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>
        <f>IF(COUNT(D1836:P1836)=0,"",MIN(D1836:P1836))</f>
        <v/>
      </c>
      <c r="R1836" s="8">
        <f>IF(COUNT(D1836:P1836)=0,"",MEDIAN(D1836:P1836))</f>
        <v/>
      </c>
      <c r="S1836" s="8">
        <f>IF(COUNT(D1836:P1836)=0,"",MAX(D1836:P1836))</f>
        <v/>
      </c>
      <c r="T1836" s="9">
        <f>IF(OR(Q1836="",Q1836=0),"",(S1836-Q1836)/Q1836)</f>
        <v/>
      </c>
      <c r="U1836" s="7">
        <f>IF(COUNT(D1836:P1836)=0,"",INDEX($D$1:$P$1,MATCH(MIN(D1836:P1836),D1836:P1836,0)))</f>
        <v/>
      </c>
      <c r="V1836" s="8" t="n">
        <v>348</v>
      </c>
      <c r="W1836" s="10" t="n">
        <v>1</v>
      </c>
    </row>
    <row r="1837">
      <c r="A1837" s="7" t="inlineStr">
        <is>
          <t>MAT-32-489</t>
        </is>
      </c>
      <c r="B1837" s="4" t="inlineStr">
        <is>
          <t>Reducción de PVC 4" x 3"</t>
        </is>
      </c>
      <c r="C1837" s="7" t="inlineStr">
        <is>
          <t>unidad</t>
        </is>
      </c>
      <c r="D1837" s="8" t="n"/>
      <c r="E1837" s="8" t="n">
        <v>122</v>
      </c>
      <c r="F1837" s="8" t="n"/>
      <c r="G1837" s="8" t="n"/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>
        <f>IF(COUNT(D1837:P1837)=0,"",MIN(D1837:P1837))</f>
        <v/>
      </c>
      <c r="R1837" s="8">
        <f>IF(COUNT(D1837:P1837)=0,"",MEDIAN(D1837:P1837))</f>
        <v/>
      </c>
      <c r="S1837" s="8">
        <f>IF(COUNT(D1837:P1837)=0,"",MAX(D1837:P1837))</f>
        <v/>
      </c>
      <c r="T1837" s="9">
        <f>IF(OR(Q1837="",Q1837=0),"",(S1837-Q1837)/Q1837)</f>
        <v/>
      </c>
      <c r="U1837" s="7">
        <f>IF(COUNT(D1837:P1837)=0,"",INDEX($D$1:$P$1,MATCH(MIN(D1837:P1837),D1837:P1837,0)))</f>
        <v/>
      </c>
      <c r="V1837" s="8" t="n">
        <v>376</v>
      </c>
      <c r="W1837" s="10" t="n">
        <v>1</v>
      </c>
    </row>
    <row r="1838">
      <c r="A1838" s="7" t="inlineStr">
        <is>
          <t>MAT-32-490</t>
        </is>
      </c>
      <c r="B1838" s="4" t="inlineStr">
        <is>
          <t>Reducción de PVC presión 1 1/2"</t>
        </is>
      </c>
      <c r="C1838" s="7" t="inlineStr">
        <is>
          <t>unidad</t>
        </is>
      </c>
      <c r="D1838" s="8" t="n"/>
      <c r="E1838" s="8" t="n">
        <v>25.53</v>
      </c>
      <c r="F1838" s="8" t="n"/>
      <c r="G1838" s="8" t="n"/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>
        <f>IF(COUNT(D1838:P1838)=0,"",MIN(D1838:P1838))</f>
        <v/>
      </c>
      <c r="R1838" s="8">
        <f>IF(COUNT(D1838:P1838)=0,"",MEDIAN(D1838:P1838))</f>
        <v/>
      </c>
      <c r="S1838" s="8">
        <f>IF(COUNT(D1838:P1838)=0,"",MAX(D1838:P1838))</f>
        <v/>
      </c>
      <c r="T1838" s="9">
        <f>IF(OR(Q1838="",Q1838=0),"",(S1838-Q1838)/Q1838)</f>
        <v/>
      </c>
      <c r="U1838" s="7">
        <f>IF(COUNT(D1838:P1838)=0,"",INDEX($D$1:$P$1,MATCH(MIN(D1838:P1838),D1838:P1838,0)))</f>
        <v/>
      </c>
      <c r="V1838" s="8" t="n">
        <v>25.53</v>
      </c>
      <c r="W1838" s="10" t="n">
        <v>1</v>
      </c>
    </row>
    <row r="1839">
      <c r="A1839" s="7" t="inlineStr">
        <is>
          <t>MAT-32-491</t>
        </is>
      </c>
      <c r="B1839" s="4" t="inlineStr">
        <is>
          <t>Reducción de PVC presión 1 1/2" x 1/2"</t>
        </is>
      </c>
      <c r="C1839" s="7" t="inlineStr">
        <is>
          <t>unidad</t>
        </is>
      </c>
      <c r="D1839" s="8" t="n"/>
      <c r="E1839" s="8" t="n">
        <v>26.39</v>
      </c>
      <c r="F1839" s="8" t="n"/>
      <c r="G1839" s="8" t="n"/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>
        <f>IF(COUNT(D1839:P1839)=0,"",MIN(D1839:P1839))</f>
        <v/>
      </c>
      <c r="R1839" s="8">
        <f>IF(COUNT(D1839:P1839)=0,"",MEDIAN(D1839:P1839))</f>
        <v/>
      </c>
      <c r="S1839" s="8">
        <f>IF(COUNT(D1839:P1839)=0,"",MAX(D1839:P1839))</f>
        <v/>
      </c>
      <c r="T1839" s="9">
        <f>IF(OR(Q1839="",Q1839=0),"",(S1839-Q1839)/Q1839)</f>
        <v/>
      </c>
      <c r="U1839" s="7">
        <f>IF(COUNT(D1839:P1839)=0,"",INDEX($D$1:$P$1,MATCH(MIN(D1839:P1839),D1839:P1839,0)))</f>
        <v/>
      </c>
      <c r="V1839" s="8" t="n">
        <v>26.39</v>
      </c>
      <c r="W1839" s="10" t="n">
        <v>1</v>
      </c>
    </row>
    <row r="1840">
      <c r="A1840" s="7" t="inlineStr">
        <is>
          <t>MAT-32-492</t>
        </is>
      </c>
      <c r="B1840" s="4" t="inlineStr">
        <is>
          <t>Reducción de PVC presión 1" x 1/2"</t>
        </is>
      </c>
      <c r="C1840" s="7" t="inlineStr">
        <is>
          <t>unidad</t>
        </is>
      </c>
      <c r="D1840" s="8" t="n"/>
      <c r="E1840" s="8" t="n">
        <v>7.7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>
        <f>IF(COUNT(D1840:P1840)=0,"",MIN(D1840:P1840))</f>
        <v/>
      </c>
      <c r="R1840" s="8">
        <f>IF(COUNT(D1840:P1840)=0,"",MEDIAN(D1840:P1840))</f>
        <v/>
      </c>
      <c r="S1840" s="8">
        <f>IF(COUNT(D1840:P1840)=0,"",MAX(D1840:P1840))</f>
        <v/>
      </c>
      <c r="T1840" s="9">
        <f>IF(OR(Q1840="",Q1840=0),"",(S1840-Q1840)/Q1840)</f>
        <v/>
      </c>
      <c r="U1840" s="7">
        <f>IF(COUNT(D1840:P1840)=0,"",INDEX($D$1:$P$1,MATCH(MIN(D1840:P1840),D1840:P1840,0)))</f>
        <v/>
      </c>
      <c r="V1840" s="8" t="n">
        <v>9.130000000000001</v>
      </c>
      <c r="W1840" s="10" t="n">
        <v>1</v>
      </c>
    </row>
    <row r="1841">
      <c r="A1841" s="7" t="inlineStr">
        <is>
          <t>MAT-32-493</t>
        </is>
      </c>
      <c r="B1841" s="4" t="inlineStr">
        <is>
          <t>Reducción de PVC presión 1" x 3/4"</t>
        </is>
      </c>
      <c r="C1841" s="7" t="inlineStr">
        <is>
          <t>unidad</t>
        </is>
      </c>
      <c r="D1841" s="8" t="n"/>
      <c r="E1841" s="8" t="n">
        <v>6.11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>
        <f>IF(COUNT(D1841:P1841)=0,"",MIN(D1841:P1841))</f>
        <v/>
      </c>
      <c r="R1841" s="8">
        <f>IF(COUNT(D1841:P1841)=0,"",MEDIAN(D1841:P1841))</f>
        <v/>
      </c>
      <c r="S1841" s="8">
        <f>IF(COUNT(D1841:P1841)=0,"",MAX(D1841:P1841))</f>
        <v/>
      </c>
      <c r="T1841" s="9">
        <f>IF(OR(Q1841="",Q1841=0),"",(S1841-Q1841)/Q1841)</f>
        <v/>
      </c>
      <c r="U1841" s="7">
        <f>IF(COUNT(D1841:P1841)=0,"",INDEX($D$1:$P$1,MATCH(MIN(D1841:P1841),D1841:P1841,0)))</f>
        <v/>
      </c>
      <c r="V1841" s="8" t="n">
        <v>7.19</v>
      </c>
      <c r="W1841" s="10" t="n">
        <v>1</v>
      </c>
    </row>
    <row r="1842">
      <c r="A1842" s="7" t="inlineStr">
        <is>
          <t>MAT-32-494</t>
        </is>
      </c>
      <c r="B1842" s="4" t="inlineStr">
        <is>
          <t>Reducción de PVC presión 2" x 1 1/2"</t>
        </is>
      </c>
      <c r="C1842" s="7" t="inlineStr">
        <is>
          <t>unidad</t>
        </is>
      </c>
      <c r="D1842" s="8" t="n"/>
      <c r="E1842" s="8" t="n">
        <v>22.64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>
        <f>IF(COUNT(D1842:P1842)=0,"",MIN(D1842:P1842))</f>
        <v/>
      </c>
      <c r="R1842" s="8">
        <f>IF(COUNT(D1842:P1842)=0,"",MEDIAN(D1842:P1842))</f>
        <v/>
      </c>
      <c r="S1842" s="8">
        <f>IF(COUNT(D1842:P1842)=0,"",MAX(D1842:P1842))</f>
        <v/>
      </c>
      <c r="T1842" s="9">
        <f>IF(OR(Q1842="",Q1842=0),"",(S1842-Q1842)/Q1842)</f>
        <v/>
      </c>
      <c r="U1842" s="7">
        <f>IF(COUNT(D1842:P1842)=0,"",INDEX($D$1:$P$1,MATCH(MIN(D1842:P1842),D1842:P1842,0)))</f>
        <v/>
      </c>
      <c r="V1842" s="8" t="n">
        <v>22.64</v>
      </c>
      <c r="W1842" s="10" t="n">
        <v>1</v>
      </c>
    </row>
    <row r="1843">
      <c r="A1843" s="7" t="inlineStr">
        <is>
          <t>MAT-32-495</t>
        </is>
      </c>
      <c r="B1843" s="4" t="inlineStr">
        <is>
          <t>Reducción de PVC presión 2" x 1/2"</t>
        </is>
      </c>
      <c r="C1843" s="7" t="inlineStr">
        <is>
          <t>unidad</t>
        </is>
      </c>
      <c r="D1843" s="8" t="n"/>
      <c r="E1843" s="8" t="n">
        <v>20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>
        <f>IF(COUNT(D1843:P1843)=0,"",MIN(D1843:P1843))</f>
        <v/>
      </c>
      <c r="R1843" s="8">
        <f>IF(COUNT(D1843:P1843)=0,"",MEDIAN(D1843:P1843))</f>
        <v/>
      </c>
      <c r="S1843" s="8">
        <f>IF(COUNT(D1843:P1843)=0,"",MAX(D1843:P1843))</f>
        <v/>
      </c>
      <c r="T1843" s="9">
        <f>IF(OR(Q1843="",Q1843=0),"",(S1843-Q1843)/Q1843)</f>
        <v/>
      </c>
      <c r="U1843" s="7">
        <f>IF(COUNT(D1843:P1843)=0,"",INDEX($D$1:$P$1,MATCH(MIN(D1843:P1843),D1843:P1843,0)))</f>
        <v/>
      </c>
      <c r="V1843" s="8" t="n">
        <v>36.92</v>
      </c>
      <c r="W1843" s="10" t="n">
        <v>1</v>
      </c>
    </row>
    <row r="1844">
      <c r="A1844" s="7" t="inlineStr">
        <is>
          <t>MAT-32-496</t>
        </is>
      </c>
      <c r="B1844" s="4" t="inlineStr">
        <is>
          <t>Reducción de PVC presión 2" x 1"</t>
        </is>
      </c>
      <c r="C1844" s="7" t="inlineStr">
        <is>
          <t>unidad</t>
        </is>
      </c>
      <c r="D1844" s="8" t="n"/>
      <c r="E1844" s="8" t="n">
        <v>53.85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>
        <f>IF(COUNT(D1844:P1844)=0,"",MIN(D1844:P1844))</f>
        <v/>
      </c>
      <c r="R1844" s="8">
        <f>IF(COUNT(D1844:P1844)=0,"",MEDIAN(D1844:P1844))</f>
        <v/>
      </c>
      <c r="S1844" s="8">
        <f>IF(COUNT(D1844:P1844)=0,"",MAX(D1844:P1844))</f>
        <v/>
      </c>
      <c r="T1844" s="9">
        <f>IF(OR(Q1844="",Q1844=0),"",(S1844-Q1844)/Q1844)</f>
        <v/>
      </c>
      <c r="U1844" s="7">
        <f>IF(COUNT(D1844:P1844)=0,"",INDEX($D$1:$P$1,MATCH(MIN(D1844:P1844),D1844:P1844,0)))</f>
        <v/>
      </c>
      <c r="V1844" s="8" t="n">
        <v>53.85</v>
      </c>
      <c r="W1844" s="10" t="n">
        <v>1</v>
      </c>
    </row>
    <row r="1845">
      <c r="A1845" s="7" t="inlineStr">
        <is>
          <t>MAT-32-497</t>
        </is>
      </c>
      <c r="B1845" s="4" t="inlineStr">
        <is>
          <t>Reducción de PVC presión 2" x 3/4"</t>
        </is>
      </c>
      <c r="C1845" s="7" t="inlineStr">
        <is>
          <t>unidad</t>
        </is>
      </c>
      <c r="D1845" s="8" t="n"/>
      <c r="E1845" s="8" t="n">
        <v>53.61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>
        <f>IF(COUNT(D1845:P1845)=0,"",MIN(D1845:P1845))</f>
        <v/>
      </c>
      <c r="R1845" s="8">
        <f>IF(COUNT(D1845:P1845)=0,"",MEDIAN(D1845:P1845))</f>
        <v/>
      </c>
      <c r="S1845" s="8">
        <f>IF(COUNT(D1845:P1845)=0,"",MAX(D1845:P1845))</f>
        <v/>
      </c>
      <c r="T1845" s="9">
        <f>IF(OR(Q1845="",Q1845=0),"",(S1845-Q1845)/Q1845)</f>
        <v/>
      </c>
      <c r="U1845" s="7">
        <f>IF(COUNT(D1845:P1845)=0,"",INDEX($D$1:$P$1,MATCH(MIN(D1845:P1845),D1845:P1845,0)))</f>
        <v/>
      </c>
      <c r="V1845" s="8" t="n">
        <v>53.61</v>
      </c>
      <c r="W1845" s="10" t="n">
        <v>1</v>
      </c>
    </row>
    <row r="1846">
      <c r="A1846" s="7" t="inlineStr">
        <is>
          <t>MAT-32-498</t>
        </is>
      </c>
      <c r="B1846" s="4" t="inlineStr">
        <is>
          <t>Reducción de PVC presión 3/4" x 1/2"</t>
        </is>
      </c>
      <c r="C1846" s="7" t="inlineStr">
        <is>
          <t>unidad</t>
        </is>
      </c>
      <c r="D1846" s="8" t="n"/>
      <c r="E1846" s="8" t="n">
        <v>2.28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>
        <f>IF(COUNT(D1846:P1846)=0,"",MIN(D1846:P1846))</f>
        <v/>
      </c>
      <c r="R1846" s="8">
        <f>IF(COUNT(D1846:P1846)=0,"",MEDIAN(D1846:P1846))</f>
        <v/>
      </c>
      <c r="S1846" s="8">
        <f>IF(COUNT(D1846:P1846)=0,"",MAX(D1846:P1846))</f>
        <v/>
      </c>
      <c r="T1846" s="9">
        <f>IF(OR(Q1846="",Q1846=0),"",(S1846-Q1846)/Q1846)</f>
        <v/>
      </c>
      <c r="U1846" s="7">
        <f>IF(COUNT(D1846:P1846)=0,"",INDEX($D$1:$P$1,MATCH(MIN(D1846:P1846),D1846:P1846,0)))</f>
        <v/>
      </c>
      <c r="V1846" s="8" t="n">
        <v>3.09</v>
      </c>
      <c r="W1846" s="10" t="n">
        <v>1</v>
      </c>
    </row>
    <row r="1847">
      <c r="A1847" s="7" t="inlineStr">
        <is>
          <t>MAT-32-499</t>
        </is>
      </c>
      <c r="B1847" s="4" t="inlineStr">
        <is>
          <t>Reducción de PVC presión 3" x 2"</t>
        </is>
      </c>
      <c r="C1847" s="7" t="inlineStr">
        <is>
          <t>unidad</t>
        </is>
      </c>
      <c r="D1847" s="8" t="n"/>
      <c r="E1847" s="8" t="n">
        <v>104.52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>
        <f>IF(COUNT(D1847:P1847)=0,"",MIN(D1847:P1847))</f>
        <v/>
      </c>
      <c r="R1847" s="8">
        <f>IF(COUNT(D1847:P1847)=0,"",MEDIAN(D1847:P1847))</f>
        <v/>
      </c>
      <c r="S1847" s="8">
        <f>IF(COUNT(D1847:P1847)=0,"",MAX(D1847:P1847))</f>
        <v/>
      </c>
      <c r="T1847" s="9">
        <f>IF(OR(Q1847="",Q1847=0),"",(S1847-Q1847)/Q1847)</f>
        <v/>
      </c>
      <c r="U1847" s="7">
        <f>IF(COUNT(D1847:P1847)=0,"",INDEX($D$1:$P$1,MATCH(MIN(D1847:P1847),D1847:P1847,0)))</f>
        <v/>
      </c>
      <c r="V1847" s="8" t="n">
        <v>104.52</v>
      </c>
      <c r="W1847" s="10" t="n">
        <v>1</v>
      </c>
    </row>
    <row r="1848">
      <c r="A1848" s="7" t="inlineStr">
        <is>
          <t>MAT-32-500</t>
        </is>
      </c>
      <c r="B1848" s="4" t="inlineStr">
        <is>
          <t>Reducción de PVC presión 4" x 3"</t>
        </is>
      </c>
      <c r="C1848" s="7" t="inlineStr">
        <is>
          <t>unidad</t>
        </is>
      </c>
      <c r="D1848" s="8" t="n"/>
      <c r="E1848" s="8" t="n">
        <v>72.37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>
        <f>IF(COUNT(D1848:P1848)=0,"",MIN(D1848:P1848))</f>
        <v/>
      </c>
      <c r="R1848" s="8">
        <f>IF(COUNT(D1848:P1848)=0,"",MEDIAN(D1848:P1848))</f>
        <v/>
      </c>
      <c r="S1848" s="8">
        <f>IF(COUNT(D1848:P1848)=0,"",MAX(D1848:P1848))</f>
        <v/>
      </c>
      <c r="T1848" s="9">
        <f>IF(OR(Q1848="",Q1848=0),"",(S1848-Q1848)/Q1848)</f>
        <v/>
      </c>
      <c r="U1848" s="7">
        <f>IF(COUNT(D1848:P1848)=0,"",INDEX($D$1:$P$1,MATCH(MIN(D1848:P1848),D1848:P1848,0)))</f>
        <v/>
      </c>
      <c r="V1848" s="8" t="n">
        <v>158.69</v>
      </c>
      <c r="W1848" s="10" t="n">
        <v>1</v>
      </c>
    </row>
    <row r="1849">
      <c r="A1849" s="7" t="inlineStr">
        <is>
          <t>MAT-32-501</t>
        </is>
      </c>
      <c r="B1849" s="4" t="inlineStr">
        <is>
          <t>Tapón hembra de bronce 1/4"</t>
        </is>
      </c>
      <c r="C1849" s="7" t="inlineStr">
        <is>
          <t>unidad</t>
        </is>
      </c>
      <c r="D1849" s="8" t="n"/>
      <c r="E1849" s="8" t="n"/>
      <c r="F1849" s="8" t="n"/>
      <c r="G1849" s="8" t="n">
        <v>101</v>
      </c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>
        <f>IF(COUNT(D1849:P1849)=0,"",MIN(D1849:P1849))</f>
        <v/>
      </c>
      <c r="R1849" s="8">
        <f>IF(COUNT(D1849:P1849)=0,"",MEDIAN(D1849:P1849))</f>
        <v/>
      </c>
      <c r="S1849" s="8">
        <f>IF(COUNT(D1849:P1849)=0,"",MAX(D1849:P1849))</f>
        <v/>
      </c>
      <c r="T1849" s="9">
        <f>IF(OR(Q1849="",Q1849=0),"",(S1849-Q1849)/Q1849)</f>
        <v/>
      </c>
      <c r="U1849" s="7">
        <f>IF(COUNT(D1849:P1849)=0,"",INDEX($D$1:$P$1,MATCH(MIN(D1849:P1849),D1849:P1849,0)))</f>
        <v/>
      </c>
      <c r="V1849" s="8" t="n">
        <v>101</v>
      </c>
      <c r="W1849" s="10" t="n">
        <v>1</v>
      </c>
    </row>
    <row r="1850">
      <c r="A1850" s="7" t="inlineStr">
        <is>
          <t>MAT-32-502</t>
        </is>
      </c>
      <c r="B1850" s="4" t="inlineStr">
        <is>
          <t>Tapón hembra de bronce 3/4"</t>
        </is>
      </c>
      <c r="C1850" s="7" t="inlineStr">
        <is>
          <t>unidad</t>
        </is>
      </c>
      <c r="D1850" s="8" t="n"/>
      <c r="E1850" s="8" t="n">
        <v>100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>
        <f>IF(COUNT(D1850:P1850)=0,"",MIN(D1850:P1850))</f>
        <v/>
      </c>
      <c r="R1850" s="8">
        <f>IF(COUNT(D1850:P1850)=0,"",MEDIAN(D1850:P1850))</f>
        <v/>
      </c>
      <c r="S1850" s="8">
        <f>IF(COUNT(D1850:P1850)=0,"",MAX(D1850:P1850))</f>
        <v/>
      </c>
      <c r="T1850" s="9">
        <f>IF(OR(Q1850="",Q1850=0),"",(S1850-Q1850)/Q1850)</f>
        <v/>
      </c>
      <c r="U1850" s="7">
        <f>IF(COUNT(D1850:P1850)=0,"",INDEX($D$1:$P$1,MATCH(MIN(D1850:P1850),D1850:P1850,0)))</f>
        <v/>
      </c>
      <c r="V1850" s="8" t="n">
        <v>100</v>
      </c>
      <c r="W1850" s="10" t="n">
        <v>1</v>
      </c>
    </row>
    <row r="1851">
      <c r="A1851" s="7" t="inlineStr">
        <is>
          <t>MAT-32-503</t>
        </is>
      </c>
      <c r="B1851" s="4" t="inlineStr">
        <is>
          <t>Tapón hembra de bronce 3/8"</t>
        </is>
      </c>
      <c r="C1851" s="7" t="inlineStr">
        <is>
          <t>unidad</t>
        </is>
      </c>
      <c r="D1851" s="8" t="n"/>
      <c r="E1851" s="8" t="n"/>
      <c r="F1851" s="8" t="n"/>
      <c r="G1851" s="8" t="n">
        <v>170</v>
      </c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>
        <f>IF(COUNT(D1851:P1851)=0,"",MIN(D1851:P1851))</f>
        <v/>
      </c>
      <c r="R1851" s="8">
        <f>IF(COUNT(D1851:P1851)=0,"",MEDIAN(D1851:P1851))</f>
        <v/>
      </c>
      <c r="S1851" s="8">
        <f>IF(COUNT(D1851:P1851)=0,"",MAX(D1851:P1851))</f>
        <v/>
      </c>
      <c r="T1851" s="9">
        <f>IF(OR(Q1851="",Q1851=0),"",(S1851-Q1851)/Q1851)</f>
        <v/>
      </c>
      <c r="U1851" s="7">
        <f>IF(COUNT(D1851:P1851)=0,"",INDEX($D$1:$P$1,MATCH(MIN(D1851:P1851),D1851:P1851,0)))</f>
        <v/>
      </c>
      <c r="V1851" s="8" t="n">
        <v>170</v>
      </c>
      <c r="W1851" s="10" t="n">
        <v>1</v>
      </c>
    </row>
    <row r="1852">
      <c r="A1852" s="7" t="inlineStr">
        <is>
          <t>MAT-32-504</t>
        </is>
      </c>
      <c r="B1852" s="4" t="inlineStr">
        <is>
          <t>Tapón hembra de CPVC 1/2"</t>
        </is>
      </c>
      <c r="C1852" s="7" t="inlineStr">
        <is>
          <t>unidad</t>
        </is>
      </c>
      <c r="D1852" s="8" t="n"/>
      <c r="E1852" s="8" t="n">
        <v>5.78</v>
      </c>
      <c r="F1852" s="8" t="n"/>
      <c r="G1852" s="8" t="n"/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>
        <f>IF(COUNT(D1852:P1852)=0,"",MIN(D1852:P1852))</f>
        <v/>
      </c>
      <c r="R1852" s="8">
        <f>IF(COUNT(D1852:P1852)=0,"",MEDIAN(D1852:P1852))</f>
        <v/>
      </c>
      <c r="S1852" s="8">
        <f>IF(COUNT(D1852:P1852)=0,"",MAX(D1852:P1852))</f>
        <v/>
      </c>
      <c r="T1852" s="9">
        <f>IF(OR(Q1852="",Q1852=0),"",(S1852-Q1852)/Q1852)</f>
        <v/>
      </c>
      <c r="U1852" s="7">
        <f>IF(COUNT(D1852:P1852)=0,"",INDEX($D$1:$P$1,MATCH(MIN(D1852:P1852),D1852:P1852,0)))</f>
        <v/>
      </c>
      <c r="V1852" s="8" t="n">
        <v>5.78</v>
      </c>
      <c r="W1852" s="10" t="n">
        <v>1</v>
      </c>
    </row>
    <row r="1853">
      <c r="A1853" s="7" t="inlineStr">
        <is>
          <t>MAT-32-505</t>
        </is>
      </c>
      <c r="B1853" s="4" t="inlineStr">
        <is>
          <t>Tapón hembra de CPVC 1"</t>
        </is>
      </c>
      <c r="C1853" s="7" t="inlineStr">
        <is>
          <t>unidad</t>
        </is>
      </c>
      <c r="D1853" s="8" t="n"/>
      <c r="E1853" s="8" t="n">
        <v>21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>
        <f>IF(COUNT(D1853:P1853)=0,"",MIN(D1853:P1853))</f>
        <v/>
      </c>
      <c r="R1853" s="8">
        <f>IF(COUNT(D1853:P1853)=0,"",MEDIAN(D1853:P1853))</f>
        <v/>
      </c>
      <c r="S1853" s="8">
        <f>IF(COUNT(D1853:P1853)=0,"",MAX(D1853:P1853))</f>
        <v/>
      </c>
      <c r="T1853" s="9">
        <f>IF(OR(Q1853="",Q1853=0),"",(S1853-Q1853)/Q1853)</f>
        <v/>
      </c>
      <c r="U1853" s="7">
        <f>IF(COUNT(D1853:P1853)=0,"",INDEX($D$1:$P$1,MATCH(MIN(D1853:P1853),D1853:P1853,0)))</f>
        <v/>
      </c>
      <c r="V1853" s="8" t="n">
        <v>21</v>
      </c>
      <c r="W1853" s="10" t="n">
        <v>1</v>
      </c>
    </row>
    <row r="1854">
      <c r="A1854" s="7" t="inlineStr">
        <is>
          <t>MAT-32-506</t>
        </is>
      </c>
      <c r="B1854" s="4" t="inlineStr">
        <is>
          <t>Tapón hembra de CPVC 3/4"</t>
        </is>
      </c>
      <c r="C1854" s="7" t="inlineStr">
        <is>
          <t>unidad</t>
        </is>
      </c>
      <c r="D1854" s="8" t="n"/>
      <c r="E1854" s="8" t="n">
        <v>8.720000000000001</v>
      </c>
      <c r="F1854" s="8" t="n"/>
      <c r="G1854" s="8" t="n"/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>
        <f>IF(COUNT(D1854:P1854)=0,"",MIN(D1854:P1854))</f>
        <v/>
      </c>
      <c r="R1854" s="8">
        <f>IF(COUNT(D1854:P1854)=0,"",MEDIAN(D1854:P1854))</f>
        <v/>
      </c>
      <c r="S1854" s="8">
        <f>IF(COUNT(D1854:P1854)=0,"",MAX(D1854:P1854))</f>
        <v/>
      </c>
      <c r="T1854" s="9">
        <f>IF(OR(Q1854="",Q1854=0),"",(S1854-Q1854)/Q1854)</f>
        <v/>
      </c>
      <c r="U1854" s="7">
        <f>IF(COUNT(D1854:P1854)=0,"",INDEX($D$1:$P$1,MATCH(MIN(D1854:P1854),D1854:P1854,0)))</f>
        <v/>
      </c>
      <c r="V1854" s="8" t="n">
        <v>8.720000000000001</v>
      </c>
      <c r="W1854" s="10" t="n">
        <v>1</v>
      </c>
    </row>
    <row r="1855">
      <c r="A1855" s="7" t="inlineStr">
        <is>
          <t>MAT-32-507</t>
        </is>
      </c>
      <c r="B1855" s="4" t="inlineStr">
        <is>
          <t>Tapón hembra de HG 1 1/2"</t>
        </is>
      </c>
      <c r="C1855" s="7" t="inlineStr">
        <is>
          <t>unidad</t>
        </is>
      </c>
      <c r="D1855" s="8" t="n"/>
      <c r="E1855" s="8" t="n"/>
      <c r="F1855" s="8" t="n"/>
      <c r="G1855" s="8" t="n">
        <v>270</v>
      </c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>
        <f>IF(COUNT(D1855:P1855)=0,"",MIN(D1855:P1855))</f>
        <v/>
      </c>
      <c r="R1855" s="8">
        <f>IF(COUNT(D1855:P1855)=0,"",MEDIAN(D1855:P1855))</f>
        <v/>
      </c>
      <c r="S1855" s="8">
        <f>IF(COUNT(D1855:P1855)=0,"",MAX(D1855:P1855))</f>
        <v/>
      </c>
      <c r="T1855" s="9">
        <f>IF(OR(Q1855="",Q1855=0),"",(S1855-Q1855)/Q1855)</f>
        <v/>
      </c>
      <c r="U1855" s="7">
        <f>IF(COUNT(D1855:P1855)=0,"",INDEX($D$1:$P$1,MATCH(MIN(D1855:P1855),D1855:P1855,0)))</f>
        <v/>
      </c>
      <c r="V1855" s="8" t="n">
        <v>270</v>
      </c>
      <c r="W1855" s="10" t="n">
        <v>1</v>
      </c>
    </row>
    <row r="1856">
      <c r="A1856" s="7" t="inlineStr">
        <is>
          <t>MAT-32-508</t>
        </is>
      </c>
      <c r="B1856" s="4" t="inlineStr">
        <is>
          <t>Tapón hembra de HG 1/2"</t>
        </is>
      </c>
      <c r="C1856" s="7" t="inlineStr">
        <is>
          <t>unidad</t>
        </is>
      </c>
      <c r="D1856" s="8" t="n"/>
      <c r="E1856" s="8" t="n"/>
      <c r="F1856" s="8" t="n"/>
      <c r="G1856" s="8" t="n">
        <v>20</v>
      </c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>
        <f>IF(COUNT(D1856:P1856)=0,"",MIN(D1856:P1856))</f>
        <v/>
      </c>
      <c r="R1856" s="8">
        <f>IF(COUNT(D1856:P1856)=0,"",MEDIAN(D1856:P1856))</f>
        <v/>
      </c>
      <c r="S1856" s="8">
        <f>IF(COUNT(D1856:P1856)=0,"",MAX(D1856:P1856))</f>
        <v/>
      </c>
      <c r="T1856" s="9">
        <f>IF(OR(Q1856="",Q1856=0),"",(S1856-Q1856)/Q1856)</f>
        <v/>
      </c>
      <c r="U1856" s="7">
        <f>IF(COUNT(D1856:P1856)=0,"",INDEX($D$1:$P$1,MATCH(MIN(D1856:P1856),D1856:P1856,0)))</f>
        <v/>
      </c>
      <c r="V1856" s="8" t="n">
        <v>20</v>
      </c>
      <c r="W1856" s="10" t="n">
        <v>1</v>
      </c>
    </row>
    <row r="1857">
      <c r="A1857" s="7" t="inlineStr">
        <is>
          <t>MAT-32-509</t>
        </is>
      </c>
      <c r="B1857" s="4" t="inlineStr">
        <is>
          <t>Tapón hembra de HG 1/4"</t>
        </is>
      </c>
      <c r="C1857" s="7" t="inlineStr">
        <is>
          <t>unidad</t>
        </is>
      </c>
      <c r="D1857" s="8" t="n"/>
      <c r="E1857" s="8" t="n"/>
      <c r="F1857" s="8" t="n"/>
      <c r="G1857" s="8" t="n">
        <v>35</v>
      </c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>
        <f>IF(COUNT(D1857:P1857)=0,"",MIN(D1857:P1857))</f>
        <v/>
      </c>
      <c r="R1857" s="8">
        <f>IF(COUNT(D1857:P1857)=0,"",MEDIAN(D1857:P1857))</f>
        <v/>
      </c>
      <c r="S1857" s="8">
        <f>IF(COUNT(D1857:P1857)=0,"",MAX(D1857:P1857))</f>
        <v/>
      </c>
      <c r="T1857" s="9">
        <f>IF(OR(Q1857="",Q1857=0),"",(S1857-Q1857)/Q1857)</f>
        <v/>
      </c>
      <c r="U1857" s="7">
        <f>IF(COUNT(D1857:P1857)=0,"",INDEX($D$1:$P$1,MATCH(MIN(D1857:P1857),D1857:P1857,0)))</f>
        <v/>
      </c>
      <c r="V1857" s="8" t="n">
        <v>35</v>
      </c>
      <c r="W1857" s="10" t="n">
        <v>1</v>
      </c>
    </row>
    <row r="1858">
      <c r="A1858" s="7" t="inlineStr">
        <is>
          <t>MAT-32-510</t>
        </is>
      </c>
      <c r="B1858" s="4" t="inlineStr">
        <is>
          <t>Tapón hembra de HG 1"</t>
        </is>
      </c>
      <c r="C1858" s="7" t="inlineStr">
        <is>
          <t>unidad</t>
        </is>
      </c>
      <c r="D1858" s="8" t="n"/>
      <c r="E1858" s="8" t="n"/>
      <c r="F1858" s="8" t="n"/>
      <c r="G1858" s="8" t="n">
        <v>44</v>
      </c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>
        <f>IF(COUNT(D1858:P1858)=0,"",MIN(D1858:P1858))</f>
        <v/>
      </c>
      <c r="R1858" s="8">
        <f>IF(COUNT(D1858:P1858)=0,"",MEDIAN(D1858:P1858))</f>
        <v/>
      </c>
      <c r="S1858" s="8">
        <f>IF(COUNT(D1858:P1858)=0,"",MAX(D1858:P1858))</f>
        <v/>
      </c>
      <c r="T1858" s="9">
        <f>IF(OR(Q1858="",Q1858=0),"",(S1858-Q1858)/Q1858)</f>
        <v/>
      </c>
      <c r="U1858" s="7">
        <f>IF(COUNT(D1858:P1858)=0,"",INDEX($D$1:$P$1,MATCH(MIN(D1858:P1858),D1858:P1858,0)))</f>
        <v/>
      </c>
      <c r="V1858" s="8" t="n">
        <v>44</v>
      </c>
      <c r="W1858" s="10" t="n">
        <v>1</v>
      </c>
    </row>
    <row r="1859">
      <c r="A1859" s="7" t="inlineStr">
        <is>
          <t>MAT-32-511</t>
        </is>
      </c>
      <c r="B1859" s="4" t="inlineStr">
        <is>
          <t>Tapón hembra de HG 2"</t>
        </is>
      </c>
      <c r="C1859" s="7" t="inlineStr">
        <is>
          <t>unidad</t>
        </is>
      </c>
      <c r="D1859" s="8" t="n"/>
      <c r="E1859" s="8" t="n"/>
      <c r="F1859" s="8" t="n"/>
      <c r="G1859" s="8" t="n">
        <v>189</v>
      </c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>
        <f>IF(COUNT(D1859:P1859)=0,"",MIN(D1859:P1859))</f>
        <v/>
      </c>
      <c r="R1859" s="8">
        <f>IF(COUNT(D1859:P1859)=0,"",MEDIAN(D1859:P1859))</f>
        <v/>
      </c>
      <c r="S1859" s="8">
        <f>IF(COUNT(D1859:P1859)=0,"",MAX(D1859:P1859))</f>
        <v/>
      </c>
      <c r="T1859" s="9">
        <f>IF(OR(Q1859="",Q1859=0),"",(S1859-Q1859)/Q1859)</f>
        <v/>
      </c>
      <c r="U1859" s="7">
        <f>IF(COUNT(D1859:P1859)=0,"",INDEX($D$1:$P$1,MATCH(MIN(D1859:P1859),D1859:P1859,0)))</f>
        <v/>
      </c>
      <c r="V1859" s="8" t="n">
        <v>189</v>
      </c>
      <c r="W1859" s="10" t="n">
        <v>1</v>
      </c>
    </row>
    <row r="1860">
      <c r="A1860" s="7" t="inlineStr">
        <is>
          <t>MAT-32-513</t>
        </is>
      </c>
      <c r="B1860" s="4" t="inlineStr">
        <is>
          <t>Tapón hembra de PPR 25 mm</t>
        </is>
      </c>
      <c r="C1860" s="7" t="inlineStr">
        <is>
          <t>unidad</t>
        </is>
      </c>
      <c r="D1860" s="8" t="n"/>
      <c r="E1860" s="8" t="n">
        <v>4.16</v>
      </c>
      <c r="F1860" s="8" t="n"/>
      <c r="G1860" s="8" t="n"/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>
        <f>IF(COUNT(D1860:P1860)=0,"",MIN(D1860:P1860))</f>
        <v/>
      </c>
      <c r="R1860" s="8">
        <f>IF(COUNT(D1860:P1860)=0,"",MEDIAN(D1860:P1860))</f>
        <v/>
      </c>
      <c r="S1860" s="8">
        <f>IF(COUNT(D1860:P1860)=0,"",MAX(D1860:P1860))</f>
        <v/>
      </c>
      <c r="T1860" s="9">
        <f>IF(OR(Q1860="",Q1860=0),"",(S1860-Q1860)/Q1860)</f>
        <v/>
      </c>
      <c r="U1860" s="7">
        <f>IF(COUNT(D1860:P1860)=0,"",INDEX($D$1:$P$1,MATCH(MIN(D1860:P1860),D1860:P1860,0)))</f>
        <v/>
      </c>
      <c r="V1860" s="8" t="n">
        <v>4.16</v>
      </c>
      <c r="W1860" s="10" t="n">
        <v>1</v>
      </c>
    </row>
    <row r="1861">
      <c r="A1861" s="7" t="inlineStr">
        <is>
          <t>MAT-32-514</t>
        </is>
      </c>
      <c r="B1861" s="4" t="inlineStr">
        <is>
          <t>Tapón hembra de PPR 32 mm</t>
        </is>
      </c>
      <c r="C1861" s="7" t="inlineStr">
        <is>
          <t>unidad</t>
        </is>
      </c>
      <c r="D1861" s="8" t="n"/>
      <c r="E1861" s="8" t="n">
        <v>7.47</v>
      </c>
      <c r="F1861" s="8" t="n"/>
      <c r="G1861" s="8" t="n"/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>
        <f>IF(COUNT(D1861:P1861)=0,"",MIN(D1861:P1861))</f>
        <v/>
      </c>
      <c r="R1861" s="8">
        <f>IF(COUNT(D1861:P1861)=0,"",MEDIAN(D1861:P1861))</f>
        <v/>
      </c>
      <c r="S1861" s="8">
        <f>IF(COUNT(D1861:P1861)=0,"",MAX(D1861:P1861))</f>
        <v/>
      </c>
      <c r="T1861" s="9">
        <f>IF(OR(Q1861="",Q1861=0),"",(S1861-Q1861)/Q1861)</f>
        <v/>
      </c>
      <c r="U1861" s="7">
        <f>IF(COUNT(D1861:P1861)=0,"",INDEX($D$1:$P$1,MATCH(MIN(D1861:P1861),D1861:P1861,0)))</f>
        <v/>
      </c>
      <c r="V1861" s="8" t="n">
        <v>7.47</v>
      </c>
      <c r="W1861" s="10" t="n">
        <v>1</v>
      </c>
    </row>
    <row r="1862">
      <c r="A1862" s="7" t="inlineStr">
        <is>
          <t>MAT-32-515</t>
        </is>
      </c>
      <c r="B1862" s="4" t="inlineStr">
        <is>
          <t>Tapón hembra de PVC drenaje 2"</t>
        </is>
      </c>
      <c r="C1862" s="7" t="inlineStr">
        <is>
          <t>unidad</t>
        </is>
      </c>
      <c r="D1862" s="8" t="n"/>
      <c r="E1862" s="8" t="n">
        <v>45.68</v>
      </c>
      <c r="F1862" s="8" t="n"/>
      <c r="G1862" s="8" t="n"/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>
        <f>IF(COUNT(D1862:P1862)=0,"",MIN(D1862:P1862))</f>
        <v/>
      </c>
      <c r="R1862" s="8">
        <f>IF(COUNT(D1862:P1862)=0,"",MEDIAN(D1862:P1862))</f>
        <v/>
      </c>
      <c r="S1862" s="8">
        <f>IF(COUNT(D1862:P1862)=0,"",MAX(D1862:P1862))</f>
        <v/>
      </c>
      <c r="T1862" s="9">
        <f>IF(OR(Q1862="",Q1862=0),"",(S1862-Q1862)/Q1862)</f>
        <v/>
      </c>
      <c r="U1862" s="7">
        <f>IF(COUNT(D1862:P1862)=0,"",INDEX($D$1:$P$1,MATCH(MIN(D1862:P1862),D1862:P1862,0)))</f>
        <v/>
      </c>
      <c r="V1862" s="8" t="n">
        <v>45.68</v>
      </c>
      <c r="W1862" s="10" t="n">
        <v>1</v>
      </c>
    </row>
    <row r="1863">
      <c r="A1863" s="7" t="inlineStr">
        <is>
          <t>MAT-32-516</t>
        </is>
      </c>
      <c r="B1863" s="4" t="inlineStr">
        <is>
          <t>Tapón hembra de PVC drenaje 3"</t>
        </is>
      </c>
      <c r="C1863" s="7" t="inlineStr">
        <is>
          <t>unidad</t>
        </is>
      </c>
      <c r="D1863" s="8" t="n"/>
      <c r="E1863" s="8" t="n">
        <v>71</v>
      </c>
      <c r="F1863" s="8" t="n"/>
      <c r="G1863" s="8" t="n"/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>
        <f>IF(COUNT(D1863:P1863)=0,"",MIN(D1863:P1863))</f>
        <v/>
      </c>
      <c r="R1863" s="8">
        <f>IF(COUNT(D1863:P1863)=0,"",MEDIAN(D1863:P1863))</f>
        <v/>
      </c>
      <c r="S1863" s="8">
        <f>IF(COUNT(D1863:P1863)=0,"",MAX(D1863:P1863))</f>
        <v/>
      </c>
      <c r="T1863" s="9">
        <f>IF(OR(Q1863="",Q1863=0),"",(S1863-Q1863)/Q1863)</f>
        <v/>
      </c>
      <c r="U1863" s="7">
        <f>IF(COUNT(D1863:P1863)=0,"",INDEX($D$1:$P$1,MATCH(MIN(D1863:P1863),D1863:P1863,0)))</f>
        <v/>
      </c>
      <c r="V1863" s="8" t="n">
        <v>71</v>
      </c>
      <c r="W1863" s="10" t="n">
        <v>1</v>
      </c>
    </row>
    <row r="1864">
      <c r="A1864" s="7" t="inlineStr">
        <is>
          <t>MAT-32-517</t>
        </is>
      </c>
      <c r="B1864" s="4" t="inlineStr">
        <is>
          <t>Tapón hembra de PVC drenaje 4"</t>
        </is>
      </c>
      <c r="C1864" s="7" t="inlineStr">
        <is>
          <t>unidad</t>
        </is>
      </c>
      <c r="D1864" s="8" t="n"/>
      <c r="E1864" s="8" t="n">
        <v>112</v>
      </c>
      <c r="F1864" s="8" t="n"/>
      <c r="G1864" s="8" t="n"/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>
        <f>IF(COUNT(D1864:P1864)=0,"",MIN(D1864:P1864))</f>
        <v/>
      </c>
      <c r="R1864" s="8">
        <f>IF(COUNT(D1864:P1864)=0,"",MEDIAN(D1864:P1864))</f>
        <v/>
      </c>
      <c r="S1864" s="8">
        <f>IF(COUNT(D1864:P1864)=0,"",MAX(D1864:P1864))</f>
        <v/>
      </c>
      <c r="T1864" s="9">
        <f>IF(OR(Q1864="",Q1864=0),"",(S1864-Q1864)/Q1864)</f>
        <v/>
      </c>
      <c r="U1864" s="7">
        <f>IF(COUNT(D1864:P1864)=0,"",INDEX($D$1:$P$1,MATCH(MIN(D1864:P1864),D1864:P1864,0)))</f>
        <v/>
      </c>
      <c r="V1864" s="8" t="n">
        <v>112</v>
      </c>
      <c r="W1864" s="10" t="n">
        <v>1</v>
      </c>
    </row>
    <row r="1865">
      <c r="A1865" s="7" t="inlineStr">
        <is>
          <t>MAT-32-518</t>
        </is>
      </c>
      <c r="B1865" s="4" t="inlineStr">
        <is>
          <t>Tapón hembra de PVC 1/2"</t>
        </is>
      </c>
      <c r="C1865" s="7" t="inlineStr">
        <is>
          <t>unidad</t>
        </is>
      </c>
      <c r="D1865" s="8" t="n"/>
      <c r="E1865" s="8" t="n">
        <v>4.22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>
        <f>IF(COUNT(D1865:P1865)=0,"",MIN(D1865:P1865))</f>
        <v/>
      </c>
      <c r="R1865" s="8">
        <f>IF(COUNT(D1865:P1865)=0,"",MEDIAN(D1865:P1865))</f>
        <v/>
      </c>
      <c r="S1865" s="8">
        <f>IF(COUNT(D1865:P1865)=0,"",MAX(D1865:P1865))</f>
        <v/>
      </c>
      <c r="T1865" s="9">
        <f>IF(OR(Q1865="",Q1865=0),"",(S1865-Q1865)/Q1865)</f>
        <v/>
      </c>
      <c r="U1865" s="7">
        <f>IF(COUNT(D1865:P1865)=0,"",INDEX($D$1:$P$1,MATCH(MIN(D1865:P1865),D1865:P1865,0)))</f>
        <v/>
      </c>
      <c r="V1865" s="8" t="n">
        <v>4.22</v>
      </c>
      <c r="W1865" s="10" t="n">
        <v>1</v>
      </c>
    </row>
    <row r="1866">
      <c r="A1866" s="7" t="inlineStr">
        <is>
          <t>MAT-32-519</t>
        </is>
      </c>
      <c r="B1866" s="4" t="inlineStr">
        <is>
          <t>Tapón hembra de PVC 12"</t>
        </is>
      </c>
      <c r="C1866" s="7" t="inlineStr">
        <is>
          <t>unidad</t>
        </is>
      </c>
      <c r="D1866" s="8" t="n"/>
      <c r="E1866" s="8" t="n">
        <v>8495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>
        <f>IF(COUNT(D1866:P1866)=0,"",MIN(D1866:P1866))</f>
        <v/>
      </c>
      <c r="R1866" s="8">
        <f>IF(COUNT(D1866:P1866)=0,"",MEDIAN(D1866:P1866))</f>
        <v/>
      </c>
      <c r="S1866" s="8">
        <f>IF(COUNT(D1866:P1866)=0,"",MAX(D1866:P1866))</f>
        <v/>
      </c>
      <c r="T1866" s="9">
        <f>IF(OR(Q1866="",Q1866=0),"",(S1866-Q1866)/Q1866)</f>
        <v/>
      </c>
      <c r="U1866" s="7">
        <f>IF(COUNT(D1866:P1866)=0,"",INDEX($D$1:$P$1,MATCH(MIN(D1866:P1866),D1866:P1866,0)))</f>
        <v/>
      </c>
      <c r="V1866" s="8" t="n">
        <v>8495</v>
      </c>
      <c r="W1866" s="10" t="n">
        <v>1</v>
      </c>
    </row>
    <row r="1867">
      <c r="A1867" s="7" t="inlineStr">
        <is>
          <t>MAT-32-520</t>
        </is>
      </c>
      <c r="B1867" s="4" t="inlineStr">
        <is>
          <t>Tapón hembra de PVC 8"</t>
        </is>
      </c>
      <c r="C1867" s="7" t="inlineStr">
        <is>
          <t>unidad</t>
        </is>
      </c>
      <c r="D1867" s="8" t="n"/>
      <c r="E1867" s="8" t="n">
        <v>840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>
        <f>IF(COUNT(D1867:P1867)=0,"",MIN(D1867:P1867))</f>
        <v/>
      </c>
      <c r="R1867" s="8">
        <f>IF(COUNT(D1867:P1867)=0,"",MEDIAN(D1867:P1867))</f>
        <v/>
      </c>
      <c r="S1867" s="8">
        <f>IF(COUNT(D1867:P1867)=0,"",MAX(D1867:P1867))</f>
        <v/>
      </c>
      <c r="T1867" s="9">
        <f>IF(OR(Q1867="",Q1867=0),"",(S1867-Q1867)/Q1867)</f>
        <v/>
      </c>
      <c r="U1867" s="7">
        <f>IF(COUNT(D1867:P1867)=0,"",INDEX($D$1:$P$1,MATCH(MIN(D1867:P1867),D1867:P1867,0)))</f>
        <v/>
      </c>
      <c r="V1867" s="8" t="n">
        <v>840</v>
      </c>
      <c r="W1867" s="10" t="n">
        <v>1</v>
      </c>
    </row>
    <row r="1868">
      <c r="A1868" s="7" t="inlineStr">
        <is>
          <t>MAT-32-521</t>
        </is>
      </c>
      <c r="B1868" s="4" t="inlineStr">
        <is>
          <t>Tapón hembra de PVC presión 1 1/2"</t>
        </is>
      </c>
      <c r="C1868" s="7" t="inlineStr">
        <is>
          <t>unidad</t>
        </is>
      </c>
      <c r="D1868" s="8" t="n"/>
      <c r="E1868" s="8" t="n">
        <v>11.93</v>
      </c>
      <c r="F1868" s="8" t="n"/>
      <c r="G1868" s="8" t="n">
        <v>50</v>
      </c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>
        <f>IF(COUNT(D1868:P1868)=0,"",MIN(D1868:P1868))</f>
        <v/>
      </c>
      <c r="R1868" s="8">
        <f>IF(COUNT(D1868:P1868)=0,"",MEDIAN(D1868:P1868))</f>
        <v/>
      </c>
      <c r="S1868" s="8">
        <f>IF(COUNT(D1868:P1868)=0,"",MAX(D1868:P1868))</f>
        <v/>
      </c>
      <c r="T1868" s="9">
        <f>IF(OR(Q1868="",Q1868=0),"",(S1868-Q1868)/Q1868)</f>
        <v/>
      </c>
      <c r="U1868" s="7">
        <f>IF(COUNT(D1868:P1868)=0,"",INDEX($D$1:$P$1,MATCH(MIN(D1868:P1868),D1868:P1868,0)))</f>
        <v/>
      </c>
      <c r="V1868" s="8" t="n">
        <v>16.56</v>
      </c>
      <c r="W1868" s="10" t="n">
        <v>2</v>
      </c>
    </row>
    <row r="1869">
      <c r="A1869" s="7" t="inlineStr">
        <is>
          <t>MAT-32-522</t>
        </is>
      </c>
      <c r="B1869" s="4" t="inlineStr">
        <is>
          <t>Tapón hembra de PVC presión 1/2"</t>
        </is>
      </c>
      <c r="C1869" s="7" t="inlineStr">
        <is>
          <t>unidad</t>
        </is>
      </c>
      <c r="D1869" s="8" t="n"/>
      <c r="E1869" s="8" t="n">
        <v>2.21</v>
      </c>
      <c r="F1869" s="8" t="n"/>
      <c r="G1869" s="8" t="n">
        <v>18</v>
      </c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>
        <f>IF(COUNT(D1869:P1869)=0,"",MIN(D1869:P1869))</f>
        <v/>
      </c>
      <c r="R1869" s="8">
        <f>IF(COUNT(D1869:P1869)=0,"",MEDIAN(D1869:P1869))</f>
        <v/>
      </c>
      <c r="S1869" s="8">
        <f>IF(COUNT(D1869:P1869)=0,"",MAX(D1869:P1869))</f>
        <v/>
      </c>
      <c r="T1869" s="9">
        <f>IF(OR(Q1869="",Q1869=0),"",(S1869-Q1869)/Q1869)</f>
        <v/>
      </c>
      <c r="U1869" s="7">
        <f>IF(COUNT(D1869:P1869)=0,"",INDEX($D$1:$P$1,MATCH(MIN(D1869:P1869),D1869:P1869,0)))</f>
        <v/>
      </c>
      <c r="V1869" s="8" t="n">
        <v>10.85</v>
      </c>
      <c r="W1869" s="10" t="n">
        <v>2</v>
      </c>
    </row>
    <row r="1870">
      <c r="A1870" s="7" t="inlineStr">
        <is>
          <t>MAT-32-523</t>
        </is>
      </c>
      <c r="B1870" s="4" t="inlineStr">
        <is>
          <t>Tapón hembra de PVC presión 1"</t>
        </is>
      </c>
      <c r="C1870" s="7" t="inlineStr">
        <is>
          <t>unidad</t>
        </is>
      </c>
      <c r="D1870" s="8" t="n"/>
      <c r="E1870" s="8" t="n">
        <v>5.41</v>
      </c>
      <c r="F1870" s="8" t="n"/>
      <c r="G1870" s="8" t="n">
        <v>35</v>
      </c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>
        <f>IF(COUNT(D1870:P1870)=0,"",MIN(D1870:P1870))</f>
        <v/>
      </c>
      <c r="R1870" s="8">
        <f>IF(COUNT(D1870:P1870)=0,"",MEDIAN(D1870:P1870))</f>
        <v/>
      </c>
      <c r="S1870" s="8">
        <f>IF(COUNT(D1870:P1870)=0,"",MAX(D1870:P1870))</f>
        <v/>
      </c>
      <c r="T1870" s="9">
        <f>IF(OR(Q1870="",Q1870=0),"",(S1870-Q1870)/Q1870)</f>
        <v/>
      </c>
      <c r="U1870" s="7">
        <f>IF(COUNT(D1870:P1870)=0,"",INDEX($D$1:$P$1,MATCH(MIN(D1870:P1870),D1870:P1870,0)))</f>
        <v/>
      </c>
      <c r="V1870" s="8" t="n">
        <v>21.98</v>
      </c>
      <c r="W1870" s="10" t="n">
        <v>2</v>
      </c>
    </row>
    <row r="1871">
      <c r="A1871" s="7" t="inlineStr">
        <is>
          <t>MAT-32-524</t>
        </is>
      </c>
      <c r="B1871" s="4" t="inlineStr">
        <is>
          <t>Tapón hembra de PVC presión 2"</t>
        </is>
      </c>
      <c r="C1871" s="7" t="inlineStr">
        <is>
          <t>unidad</t>
        </is>
      </c>
      <c r="D1871" s="8" t="n"/>
      <c r="E1871" s="8" t="n">
        <v>17.57</v>
      </c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>
        <f>IF(COUNT(D1871:P1871)=0,"",MIN(D1871:P1871))</f>
        <v/>
      </c>
      <c r="R1871" s="8">
        <f>IF(COUNT(D1871:P1871)=0,"",MEDIAN(D1871:P1871))</f>
        <v/>
      </c>
      <c r="S1871" s="8">
        <f>IF(COUNT(D1871:P1871)=0,"",MAX(D1871:P1871))</f>
        <v/>
      </c>
      <c r="T1871" s="9">
        <f>IF(OR(Q1871="",Q1871=0),"",(S1871-Q1871)/Q1871)</f>
        <v/>
      </c>
      <c r="U1871" s="7">
        <f>IF(COUNT(D1871:P1871)=0,"",INDEX($D$1:$P$1,MATCH(MIN(D1871:P1871),D1871:P1871,0)))</f>
        <v/>
      </c>
      <c r="V1871" s="8" t="n">
        <v>22.44</v>
      </c>
      <c r="W1871" s="10" t="n">
        <v>1</v>
      </c>
    </row>
    <row r="1872">
      <c r="A1872" s="7" t="inlineStr">
        <is>
          <t>MAT-32-525</t>
        </is>
      </c>
      <c r="B1872" s="4" t="inlineStr">
        <is>
          <t>Tapón hembra de PVC presión 3/4"</t>
        </is>
      </c>
      <c r="C1872" s="7" t="inlineStr">
        <is>
          <t>unidad</t>
        </is>
      </c>
      <c r="D1872" s="8" t="n"/>
      <c r="E1872" s="8" t="n">
        <v>3.6</v>
      </c>
      <c r="F1872" s="8" t="n"/>
      <c r="G1872" s="8" t="n">
        <v>20</v>
      </c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>
        <f>IF(COUNT(D1872:P1872)=0,"",MIN(D1872:P1872))</f>
        <v/>
      </c>
      <c r="R1872" s="8">
        <f>IF(COUNT(D1872:P1872)=0,"",MEDIAN(D1872:P1872))</f>
        <v/>
      </c>
      <c r="S1872" s="8">
        <f>IF(COUNT(D1872:P1872)=0,"",MAX(D1872:P1872))</f>
        <v/>
      </c>
      <c r="T1872" s="9">
        <f>IF(OR(Q1872="",Q1872=0),"",(S1872-Q1872)/Q1872)</f>
        <v/>
      </c>
      <c r="U1872" s="7">
        <f>IF(COUNT(D1872:P1872)=0,"",INDEX($D$1:$P$1,MATCH(MIN(D1872:P1872),D1872:P1872,0)))</f>
        <v/>
      </c>
      <c r="V1872" s="8" t="n">
        <v>5.17</v>
      </c>
      <c r="W1872" s="10" t="n">
        <v>2</v>
      </c>
    </row>
    <row r="1873">
      <c r="A1873" s="7" t="inlineStr">
        <is>
          <t>MAT-32-526</t>
        </is>
      </c>
      <c r="B1873" s="4" t="inlineStr">
        <is>
          <t>Tapón hembra de PVC presión 3"</t>
        </is>
      </c>
      <c r="C1873" s="7" t="inlineStr">
        <is>
          <t>unidad</t>
        </is>
      </c>
      <c r="D1873" s="8" t="n"/>
      <c r="E1873" s="8" t="n">
        <v>50</v>
      </c>
      <c r="F1873" s="8" t="n"/>
      <c r="G1873" s="8" t="n">
        <v>205</v>
      </c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>
        <f>IF(COUNT(D1873:P1873)=0,"",MIN(D1873:P1873))</f>
        <v/>
      </c>
      <c r="R1873" s="8">
        <f>IF(COUNT(D1873:P1873)=0,"",MEDIAN(D1873:P1873))</f>
        <v/>
      </c>
      <c r="S1873" s="8">
        <f>IF(COUNT(D1873:P1873)=0,"",MAX(D1873:P1873))</f>
        <v/>
      </c>
      <c r="T1873" s="9">
        <f>IF(OR(Q1873="",Q1873=0),"",(S1873-Q1873)/Q1873)</f>
        <v/>
      </c>
      <c r="U1873" s="7">
        <f>IF(COUNT(D1873:P1873)=0,"",INDEX($D$1:$P$1,MATCH(MIN(D1873:P1873),D1873:P1873,0)))</f>
        <v/>
      </c>
      <c r="V1873" s="8" t="n">
        <v>74.88</v>
      </c>
      <c r="W1873" s="10" t="n">
        <v>2</v>
      </c>
    </row>
    <row r="1874">
      <c r="A1874" s="7" t="inlineStr">
        <is>
          <t>MAT-32-527</t>
        </is>
      </c>
      <c r="B1874" s="4" t="inlineStr">
        <is>
          <t>Tapón hembra de PVC presión 4"</t>
        </is>
      </c>
      <c r="C1874" s="7" t="inlineStr">
        <is>
          <t>unidad</t>
        </is>
      </c>
      <c r="D1874" s="8" t="n"/>
      <c r="E1874" s="8" t="n">
        <v>81.05</v>
      </c>
      <c r="F1874" s="8" t="n"/>
      <c r="G1874" s="8" t="n"/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>
        <f>IF(COUNT(D1874:P1874)=0,"",MIN(D1874:P1874))</f>
        <v/>
      </c>
      <c r="R1874" s="8">
        <f>IF(COUNT(D1874:P1874)=0,"",MEDIAN(D1874:P1874))</f>
        <v/>
      </c>
      <c r="S1874" s="8">
        <f>IF(COUNT(D1874:P1874)=0,"",MAX(D1874:P1874))</f>
        <v/>
      </c>
      <c r="T1874" s="9">
        <f>IF(OR(Q1874="",Q1874=0),"",(S1874-Q1874)/Q1874)</f>
        <v/>
      </c>
      <c r="U1874" s="7">
        <f>IF(COUNT(D1874:P1874)=0,"",INDEX($D$1:$P$1,MATCH(MIN(D1874:P1874),D1874:P1874,0)))</f>
        <v/>
      </c>
      <c r="V1874" s="8" t="n">
        <v>102.64</v>
      </c>
      <c r="W1874" s="10" t="n">
        <v>1</v>
      </c>
    </row>
    <row r="1875">
      <c r="A1875" s="7" t="inlineStr">
        <is>
          <t>MAT-32-528</t>
        </is>
      </c>
      <c r="B1875" s="4" t="inlineStr">
        <is>
          <t>Tapón hembra de PVC presión 6"</t>
        </is>
      </c>
      <c r="C1875" s="7" t="inlineStr">
        <is>
          <t>unidad</t>
        </is>
      </c>
      <c r="D1875" s="8" t="n"/>
      <c r="E1875" s="8" t="n">
        <v>309</v>
      </c>
      <c r="F1875" s="8" t="n"/>
      <c r="G1875" s="8" t="n"/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>
        <f>IF(COUNT(D1875:P1875)=0,"",MIN(D1875:P1875))</f>
        <v/>
      </c>
      <c r="R1875" s="8">
        <f>IF(COUNT(D1875:P1875)=0,"",MEDIAN(D1875:P1875))</f>
        <v/>
      </c>
      <c r="S1875" s="8">
        <f>IF(COUNT(D1875:P1875)=0,"",MAX(D1875:P1875))</f>
        <v/>
      </c>
      <c r="T1875" s="9">
        <f>IF(OR(Q1875="",Q1875=0),"",(S1875-Q1875)/Q1875)</f>
        <v/>
      </c>
      <c r="U1875" s="7">
        <f>IF(COUNT(D1875:P1875)=0,"",INDEX($D$1:$P$1,MATCH(MIN(D1875:P1875),D1875:P1875,0)))</f>
        <v/>
      </c>
      <c r="V1875" s="8" t="n">
        <v>379.5</v>
      </c>
      <c r="W1875" s="10" t="n">
        <v>1</v>
      </c>
    </row>
    <row r="1876">
      <c r="A1876" s="7" t="inlineStr">
        <is>
          <t>MAT-32-529</t>
        </is>
      </c>
      <c r="B1876" s="4" t="inlineStr">
        <is>
          <t>Tapón macho de bronce 1/2"</t>
        </is>
      </c>
      <c r="C1876" s="7" t="inlineStr">
        <is>
          <t>unidad</t>
        </is>
      </c>
      <c r="D1876" s="8" t="n"/>
      <c r="E1876" s="8" t="n">
        <v>80</v>
      </c>
      <c r="F1876" s="8" t="n"/>
      <c r="G1876" s="8" t="n"/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>
        <f>IF(COUNT(D1876:P1876)=0,"",MIN(D1876:P1876))</f>
        <v/>
      </c>
      <c r="R1876" s="8">
        <f>IF(COUNT(D1876:P1876)=0,"",MEDIAN(D1876:P1876))</f>
        <v/>
      </c>
      <c r="S1876" s="8">
        <f>IF(COUNT(D1876:P1876)=0,"",MAX(D1876:P1876))</f>
        <v/>
      </c>
      <c r="T1876" s="9">
        <f>IF(OR(Q1876="",Q1876=0),"",(S1876-Q1876)/Q1876)</f>
        <v/>
      </c>
      <c r="U1876" s="7">
        <f>IF(COUNT(D1876:P1876)=0,"",INDEX($D$1:$P$1,MATCH(MIN(D1876:P1876),D1876:P1876,0)))</f>
        <v/>
      </c>
      <c r="V1876" s="8" t="n">
        <v>80</v>
      </c>
      <c r="W1876" s="10" t="n">
        <v>1</v>
      </c>
    </row>
    <row r="1877">
      <c r="A1877" s="7" t="inlineStr">
        <is>
          <t>MAT-32-530</t>
        </is>
      </c>
      <c r="B1877" s="4" t="inlineStr">
        <is>
          <t>Tapón macho de bronce 1/4"</t>
        </is>
      </c>
      <c r="C1877" s="7" t="inlineStr">
        <is>
          <t>unidad</t>
        </is>
      </c>
      <c r="D1877" s="8" t="n"/>
      <c r="E1877" s="8" t="n">
        <v>21.58</v>
      </c>
      <c r="F1877" s="8" t="n"/>
      <c r="G1877" s="8" t="n"/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>
        <f>IF(COUNT(D1877:P1877)=0,"",MIN(D1877:P1877))</f>
        <v/>
      </c>
      <c r="R1877" s="8">
        <f>IF(COUNT(D1877:P1877)=0,"",MEDIAN(D1877:P1877))</f>
        <v/>
      </c>
      <c r="S1877" s="8">
        <f>IF(COUNT(D1877:P1877)=0,"",MAX(D1877:P1877))</f>
        <v/>
      </c>
      <c r="T1877" s="9">
        <f>IF(OR(Q1877="",Q1877=0),"",(S1877-Q1877)/Q1877)</f>
        <v/>
      </c>
      <c r="U1877" s="7">
        <f>IF(COUNT(D1877:P1877)=0,"",INDEX($D$1:$P$1,MATCH(MIN(D1877:P1877),D1877:P1877,0)))</f>
        <v/>
      </c>
      <c r="V1877" s="8" t="n">
        <v>29.29</v>
      </c>
      <c r="W1877" s="10" t="n">
        <v>1</v>
      </c>
    </row>
    <row r="1878">
      <c r="A1878" s="7" t="inlineStr">
        <is>
          <t>MAT-32-531</t>
        </is>
      </c>
      <c r="B1878" s="4" t="inlineStr">
        <is>
          <t>Tapón macho de bronce 1/8"</t>
        </is>
      </c>
      <c r="C1878" s="7" t="inlineStr">
        <is>
          <t>unidad</t>
        </is>
      </c>
      <c r="D1878" s="8" t="n"/>
      <c r="E1878" s="8" t="n">
        <v>40.2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>
        <f>IF(COUNT(D1878:P1878)=0,"",MIN(D1878:P1878))</f>
        <v/>
      </c>
      <c r="R1878" s="8">
        <f>IF(COUNT(D1878:P1878)=0,"",MEDIAN(D1878:P1878))</f>
        <v/>
      </c>
      <c r="S1878" s="8">
        <f>IF(COUNT(D1878:P1878)=0,"",MAX(D1878:P1878))</f>
        <v/>
      </c>
      <c r="T1878" s="9">
        <f>IF(OR(Q1878="",Q1878=0),"",(S1878-Q1878)/Q1878)</f>
        <v/>
      </c>
      <c r="U1878" s="7">
        <f>IF(COUNT(D1878:P1878)=0,"",INDEX($D$1:$P$1,MATCH(MIN(D1878:P1878),D1878:P1878,0)))</f>
        <v/>
      </c>
      <c r="V1878" s="8" t="n">
        <v>40.2</v>
      </c>
      <c r="W1878" s="10" t="n">
        <v>1</v>
      </c>
    </row>
    <row r="1879">
      <c r="A1879" s="7" t="inlineStr">
        <is>
          <t>MAT-32-532</t>
        </is>
      </c>
      <c r="B1879" s="4" t="inlineStr">
        <is>
          <t>Tapón macho de bronce 3/4"</t>
        </is>
      </c>
      <c r="C1879" s="7" t="inlineStr">
        <is>
          <t>unidad</t>
        </is>
      </c>
      <c r="D1879" s="8" t="n"/>
      <c r="E1879" s="8" t="n">
        <v>140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>
        <f>IF(COUNT(D1879:P1879)=0,"",MIN(D1879:P1879))</f>
        <v/>
      </c>
      <c r="R1879" s="8">
        <f>IF(COUNT(D1879:P1879)=0,"",MEDIAN(D1879:P1879))</f>
        <v/>
      </c>
      <c r="S1879" s="8">
        <f>IF(COUNT(D1879:P1879)=0,"",MAX(D1879:P1879))</f>
        <v/>
      </c>
      <c r="T1879" s="9">
        <f>IF(OR(Q1879="",Q1879=0),"",(S1879-Q1879)/Q1879)</f>
        <v/>
      </c>
      <c r="U1879" s="7">
        <f>IF(COUNT(D1879:P1879)=0,"",INDEX($D$1:$P$1,MATCH(MIN(D1879:P1879),D1879:P1879,0)))</f>
        <v/>
      </c>
      <c r="V1879" s="8" t="n">
        <v>140</v>
      </c>
      <c r="W1879" s="10" t="n">
        <v>1</v>
      </c>
    </row>
    <row r="1880">
      <c r="A1880" s="7" t="inlineStr">
        <is>
          <t>MAT-32-533</t>
        </is>
      </c>
      <c r="B1880" s="4" t="inlineStr">
        <is>
          <t>Tapón macho de HG 1 1/2"</t>
        </is>
      </c>
      <c r="C1880" s="7" t="inlineStr">
        <is>
          <t>unidad</t>
        </is>
      </c>
      <c r="D1880" s="8" t="n"/>
      <c r="E1880" s="8" t="n">
        <v>58</v>
      </c>
      <c r="F1880" s="8" t="n"/>
      <c r="G1880" s="8" t="n">
        <v>100</v>
      </c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>
        <f>IF(COUNT(D1880:P1880)=0,"",MIN(D1880:P1880))</f>
        <v/>
      </c>
      <c r="R1880" s="8">
        <f>IF(COUNT(D1880:P1880)=0,"",MEDIAN(D1880:P1880))</f>
        <v/>
      </c>
      <c r="S1880" s="8">
        <f>IF(COUNT(D1880:P1880)=0,"",MAX(D1880:P1880))</f>
        <v/>
      </c>
      <c r="T1880" s="9">
        <f>IF(OR(Q1880="",Q1880=0),"",(S1880-Q1880)/Q1880)</f>
        <v/>
      </c>
      <c r="U1880" s="7">
        <f>IF(COUNT(D1880:P1880)=0,"",INDEX($D$1:$P$1,MATCH(MIN(D1880:P1880),D1880:P1880,0)))</f>
        <v/>
      </c>
      <c r="V1880" s="8" t="n">
        <v>79</v>
      </c>
      <c r="W1880" s="10" t="n">
        <v>2</v>
      </c>
    </row>
    <row r="1881">
      <c r="A1881" s="7" t="inlineStr">
        <is>
          <t>MAT-32-534</t>
        </is>
      </c>
      <c r="B1881" s="4" t="inlineStr">
        <is>
          <t>Tapón macho de HG 1 1/4"</t>
        </is>
      </c>
      <c r="C1881" s="7" t="inlineStr">
        <is>
          <t>unidad</t>
        </is>
      </c>
      <c r="D1881" s="8" t="n"/>
      <c r="E1881" s="8" t="n">
        <v>41.54</v>
      </c>
      <c r="F1881" s="8" t="n"/>
      <c r="G1881" s="8" t="n">
        <v>141</v>
      </c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>
        <f>IF(COUNT(D1881:P1881)=0,"",MIN(D1881:P1881))</f>
        <v/>
      </c>
      <c r="R1881" s="8">
        <f>IF(COUNT(D1881:P1881)=0,"",MEDIAN(D1881:P1881))</f>
        <v/>
      </c>
      <c r="S1881" s="8">
        <f>IF(COUNT(D1881:P1881)=0,"",MAX(D1881:P1881))</f>
        <v/>
      </c>
      <c r="T1881" s="9">
        <f>IF(OR(Q1881="",Q1881=0),"",(S1881-Q1881)/Q1881)</f>
        <v/>
      </c>
      <c r="U1881" s="7">
        <f>IF(COUNT(D1881:P1881)=0,"",INDEX($D$1:$P$1,MATCH(MIN(D1881:P1881),D1881:P1881,0)))</f>
        <v/>
      </c>
      <c r="V1881" s="8" t="n">
        <v>91.27</v>
      </c>
      <c r="W1881" s="10" t="n">
        <v>2</v>
      </c>
    </row>
    <row r="1882">
      <c r="A1882" s="7" t="inlineStr">
        <is>
          <t>MAT-32-535</t>
        </is>
      </c>
      <c r="B1882" s="4" t="inlineStr">
        <is>
          <t>Tapón macho de HG 1/2"</t>
        </is>
      </c>
      <c r="C1882" s="7" t="inlineStr">
        <is>
          <t>unidad</t>
        </is>
      </c>
      <c r="D1882" s="8" t="n"/>
      <c r="E1882" s="8" t="n">
        <v>22</v>
      </c>
      <c r="F1882" s="8" t="n"/>
      <c r="G1882" s="8" t="n">
        <v>15</v>
      </c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>
        <f>IF(COUNT(D1882:P1882)=0,"",MIN(D1882:P1882))</f>
        <v/>
      </c>
      <c r="R1882" s="8">
        <f>IF(COUNT(D1882:P1882)=0,"",MEDIAN(D1882:P1882))</f>
        <v/>
      </c>
      <c r="S1882" s="8">
        <f>IF(COUNT(D1882:P1882)=0,"",MAX(D1882:P1882))</f>
        <v/>
      </c>
      <c r="T1882" s="9">
        <f>IF(OR(Q1882="",Q1882=0),"",(S1882-Q1882)/Q1882)</f>
        <v/>
      </c>
      <c r="U1882" s="7">
        <f>IF(COUNT(D1882:P1882)=0,"",INDEX($D$1:$P$1,MATCH(MIN(D1882:P1882),D1882:P1882,0)))</f>
        <v/>
      </c>
      <c r="V1882" s="8" t="n">
        <v>18.5</v>
      </c>
      <c r="W1882" s="10" t="n">
        <v>2</v>
      </c>
    </row>
    <row r="1883">
      <c r="A1883" s="7" t="inlineStr">
        <is>
          <t>MAT-32-536</t>
        </is>
      </c>
      <c r="B1883" s="4" t="inlineStr">
        <is>
          <t>Tapón macho de HG 1/4"</t>
        </is>
      </c>
      <c r="C1883" s="7" t="inlineStr">
        <is>
          <t>unidad</t>
        </is>
      </c>
      <c r="D1883" s="8" t="n"/>
      <c r="E1883" s="8" t="n">
        <v>19.18</v>
      </c>
      <c r="F1883" s="8" t="n"/>
      <c r="G1883" s="8" t="n">
        <v>23</v>
      </c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>
        <f>IF(COUNT(D1883:P1883)=0,"",MIN(D1883:P1883))</f>
        <v/>
      </c>
      <c r="R1883" s="8">
        <f>IF(COUNT(D1883:P1883)=0,"",MEDIAN(D1883:P1883))</f>
        <v/>
      </c>
      <c r="S1883" s="8">
        <f>IF(COUNT(D1883:P1883)=0,"",MAX(D1883:P1883))</f>
        <v/>
      </c>
      <c r="T1883" s="9">
        <f>IF(OR(Q1883="",Q1883=0),"",(S1883-Q1883)/Q1883)</f>
        <v/>
      </c>
      <c r="U1883" s="7">
        <f>IF(COUNT(D1883:P1883)=0,"",INDEX($D$1:$P$1,MATCH(MIN(D1883:P1883),D1883:P1883,0)))</f>
        <v/>
      </c>
      <c r="V1883" s="8" t="n">
        <v>21.09</v>
      </c>
      <c r="W1883" s="10" t="n">
        <v>2</v>
      </c>
    </row>
    <row r="1884">
      <c r="A1884" s="7" t="inlineStr">
        <is>
          <t>MAT-32-537</t>
        </is>
      </c>
      <c r="B1884" s="4" t="inlineStr">
        <is>
          <t>Tapón macho de HG 1"</t>
        </is>
      </c>
      <c r="C1884" s="7" t="inlineStr">
        <is>
          <t>unidad</t>
        </is>
      </c>
      <c r="D1884" s="8" t="n"/>
      <c r="E1884" s="8" t="n">
        <v>35.11</v>
      </c>
      <c r="F1884" s="8" t="n"/>
      <c r="G1884" s="8" t="n">
        <v>101</v>
      </c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>
        <f>IF(COUNT(D1884:P1884)=0,"",MIN(D1884:P1884))</f>
        <v/>
      </c>
      <c r="R1884" s="8">
        <f>IF(COUNT(D1884:P1884)=0,"",MEDIAN(D1884:P1884))</f>
        <v/>
      </c>
      <c r="S1884" s="8">
        <f>IF(COUNT(D1884:P1884)=0,"",MAX(D1884:P1884))</f>
        <v/>
      </c>
      <c r="T1884" s="9">
        <f>IF(OR(Q1884="",Q1884=0),"",(S1884-Q1884)/Q1884)</f>
        <v/>
      </c>
      <c r="U1884" s="7">
        <f>IF(COUNT(D1884:P1884)=0,"",INDEX($D$1:$P$1,MATCH(MIN(D1884:P1884),D1884:P1884,0)))</f>
        <v/>
      </c>
      <c r="V1884" s="8" t="n">
        <v>68.06</v>
      </c>
      <c r="W1884" s="10" t="n">
        <v>2</v>
      </c>
    </row>
    <row r="1885">
      <c r="A1885" s="7" t="inlineStr">
        <is>
          <t>MAT-32-538</t>
        </is>
      </c>
      <c r="B1885" s="4" t="inlineStr">
        <is>
          <t>Tapón macho de HG 2"</t>
        </is>
      </c>
      <c r="C1885" s="7" t="inlineStr">
        <is>
          <t>unidad</t>
        </is>
      </c>
      <c r="D1885" s="8" t="n"/>
      <c r="E1885" s="8" t="n">
        <v>105</v>
      </c>
      <c r="F1885" s="8" t="n"/>
      <c r="G1885" s="8" t="n"/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>
        <f>IF(COUNT(D1885:P1885)=0,"",MIN(D1885:P1885))</f>
        <v/>
      </c>
      <c r="R1885" s="8">
        <f>IF(COUNT(D1885:P1885)=0,"",MEDIAN(D1885:P1885))</f>
        <v/>
      </c>
      <c r="S1885" s="8">
        <f>IF(COUNT(D1885:P1885)=0,"",MAX(D1885:P1885))</f>
        <v/>
      </c>
      <c r="T1885" s="9">
        <f>IF(OR(Q1885="",Q1885=0),"",(S1885-Q1885)/Q1885)</f>
        <v/>
      </c>
      <c r="U1885" s="7">
        <f>IF(COUNT(D1885:P1885)=0,"",INDEX($D$1:$P$1,MATCH(MIN(D1885:P1885),D1885:P1885,0)))</f>
        <v/>
      </c>
      <c r="V1885" s="8" t="n">
        <v>105</v>
      </c>
      <c r="W1885" s="10" t="n">
        <v>1</v>
      </c>
    </row>
    <row r="1886">
      <c r="A1886" s="7" t="inlineStr">
        <is>
          <t>MAT-32-539</t>
        </is>
      </c>
      <c r="B1886" s="4" t="inlineStr">
        <is>
          <t>Tapón macho de HG 3/4"</t>
        </is>
      </c>
      <c r="C1886" s="7" t="inlineStr">
        <is>
          <t>unidad</t>
        </is>
      </c>
      <c r="D1886" s="8" t="n"/>
      <c r="E1886" s="8" t="n">
        <v>25.87</v>
      </c>
      <c r="F1886" s="8" t="n"/>
      <c r="G1886" s="8" t="n">
        <v>33</v>
      </c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>
        <f>IF(COUNT(D1886:P1886)=0,"",MIN(D1886:P1886))</f>
        <v/>
      </c>
      <c r="R1886" s="8">
        <f>IF(COUNT(D1886:P1886)=0,"",MEDIAN(D1886:P1886))</f>
        <v/>
      </c>
      <c r="S1886" s="8">
        <f>IF(COUNT(D1886:P1886)=0,"",MAX(D1886:P1886))</f>
        <v/>
      </c>
      <c r="T1886" s="9">
        <f>IF(OR(Q1886="",Q1886=0),"",(S1886-Q1886)/Q1886)</f>
        <v/>
      </c>
      <c r="U1886" s="7">
        <f>IF(COUNT(D1886:P1886)=0,"",INDEX($D$1:$P$1,MATCH(MIN(D1886:P1886),D1886:P1886,0)))</f>
        <v/>
      </c>
      <c r="V1886" s="8" t="n">
        <v>29.44</v>
      </c>
      <c r="W1886" s="10" t="n">
        <v>2</v>
      </c>
    </row>
    <row r="1887">
      <c r="A1887" s="7" t="inlineStr">
        <is>
          <t>MAT-32-540</t>
        </is>
      </c>
      <c r="B1887" s="4" t="inlineStr">
        <is>
          <t>Tapón macho de HG 3/8"</t>
        </is>
      </c>
      <c r="C1887" s="7" t="inlineStr">
        <is>
          <t>unidad</t>
        </is>
      </c>
      <c r="D1887" s="8" t="n"/>
      <c r="E1887" s="8" t="n">
        <v>21.1</v>
      </c>
      <c r="F1887" s="8" t="n"/>
      <c r="G1887" s="8" t="n">
        <v>22</v>
      </c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>
        <f>IF(COUNT(D1887:P1887)=0,"",MIN(D1887:P1887))</f>
        <v/>
      </c>
      <c r="R1887" s="8">
        <f>IF(COUNT(D1887:P1887)=0,"",MEDIAN(D1887:P1887))</f>
        <v/>
      </c>
      <c r="S1887" s="8">
        <f>IF(COUNT(D1887:P1887)=0,"",MAX(D1887:P1887))</f>
        <v/>
      </c>
      <c r="T1887" s="9">
        <f>IF(OR(Q1887="",Q1887=0),"",(S1887-Q1887)/Q1887)</f>
        <v/>
      </c>
      <c r="U1887" s="7">
        <f>IF(COUNT(D1887:P1887)=0,"",INDEX($D$1:$P$1,MATCH(MIN(D1887:P1887),D1887:P1887,0)))</f>
        <v/>
      </c>
      <c r="V1887" s="8" t="n">
        <v>21.55</v>
      </c>
      <c r="W1887" s="10" t="n">
        <v>2</v>
      </c>
    </row>
    <row r="1888">
      <c r="A1888" s="7" t="inlineStr">
        <is>
          <t>MAT-32-541</t>
        </is>
      </c>
      <c r="B1888" s="4" t="inlineStr">
        <is>
          <t>Tapón macho de HG 3"</t>
        </is>
      </c>
      <c r="C1888" s="7" t="inlineStr">
        <is>
          <t>unidad</t>
        </is>
      </c>
      <c r="D1888" s="8" t="n"/>
      <c r="E1888" s="8" t="n">
        <v>220</v>
      </c>
      <c r="F1888" s="8" t="n"/>
      <c r="G1888" s="8" t="n">
        <v>206</v>
      </c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>
        <f>IF(COUNT(D1888:P1888)=0,"",MIN(D1888:P1888))</f>
        <v/>
      </c>
      <c r="R1888" s="8">
        <f>IF(COUNT(D1888:P1888)=0,"",MEDIAN(D1888:P1888))</f>
        <v/>
      </c>
      <c r="S1888" s="8">
        <f>IF(COUNT(D1888:P1888)=0,"",MAX(D1888:P1888))</f>
        <v/>
      </c>
      <c r="T1888" s="9">
        <f>IF(OR(Q1888="",Q1888=0),"",(S1888-Q1888)/Q1888)</f>
        <v/>
      </c>
      <c r="U1888" s="7">
        <f>IF(COUNT(D1888:P1888)=0,"",INDEX($D$1:$P$1,MATCH(MIN(D1888:P1888),D1888:P1888,0)))</f>
        <v/>
      </c>
      <c r="V1888" s="8" t="n">
        <v>213</v>
      </c>
      <c r="W1888" s="10" t="n">
        <v>2</v>
      </c>
    </row>
    <row r="1889">
      <c r="A1889" s="7" t="inlineStr">
        <is>
          <t>MAT-32-542</t>
        </is>
      </c>
      <c r="B1889" s="4" t="inlineStr">
        <is>
          <t>Tapón macho de PPR 20 mm</t>
        </is>
      </c>
      <c r="C1889" s="7" t="inlineStr">
        <is>
          <t>unidad</t>
        </is>
      </c>
      <c r="D1889" s="8" t="n"/>
      <c r="E1889" s="8" t="n">
        <v>4.66</v>
      </c>
      <c r="F1889" s="8" t="n"/>
      <c r="G1889" s="8" t="n"/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>
        <f>IF(COUNT(D1889:P1889)=0,"",MIN(D1889:P1889))</f>
        <v/>
      </c>
      <c r="R1889" s="8">
        <f>IF(COUNT(D1889:P1889)=0,"",MEDIAN(D1889:P1889))</f>
        <v/>
      </c>
      <c r="S1889" s="8">
        <f>IF(COUNT(D1889:P1889)=0,"",MAX(D1889:P1889))</f>
        <v/>
      </c>
      <c r="T1889" s="9">
        <f>IF(OR(Q1889="",Q1889=0),"",(S1889-Q1889)/Q1889)</f>
        <v/>
      </c>
      <c r="U1889" s="7">
        <f>IF(COUNT(D1889:P1889)=0,"",INDEX($D$1:$P$1,MATCH(MIN(D1889:P1889),D1889:P1889,0)))</f>
        <v/>
      </c>
      <c r="V1889" s="8" t="n">
        <v>4.66</v>
      </c>
      <c r="W1889" s="10" t="n">
        <v>1</v>
      </c>
    </row>
    <row r="1890">
      <c r="A1890" s="7" t="inlineStr">
        <is>
          <t>MAT-32-543</t>
        </is>
      </c>
      <c r="B1890" s="4" t="inlineStr">
        <is>
          <t>Tapón macho de PPR 25 mm</t>
        </is>
      </c>
      <c r="C1890" s="7" t="inlineStr">
        <is>
          <t>unidad</t>
        </is>
      </c>
      <c r="D1890" s="8" t="n"/>
      <c r="E1890" s="8" t="n">
        <v>8.23</v>
      </c>
      <c r="F1890" s="8" t="n"/>
      <c r="G1890" s="8" t="n"/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>
        <f>IF(COUNT(D1890:P1890)=0,"",MIN(D1890:P1890))</f>
        <v/>
      </c>
      <c r="R1890" s="8">
        <f>IF(COUNT(D1890:P1890)=0,"",MEDIAN(D1890:P1890))</f>
        <v/>
      </c>
      <c r="S1890" s="8">
        <f>IF(COUNT(D1890:P1890)=0,"",MAX(D1890:P1890))</f>
        <v/>
      </c>
      <c r="T1890" s="9">
        <f>IF(OR(Q1890="",Q1890=0),"",(S1890-Q1890)/Q1890)</f>
        <v/>
      </c>
      <c r="U1890" s="7">
        <f>IF(COUNT(D1890:P1890)=0,"",INDEX($D$1:$P$1,MATCH(MIN(D1890:P1890),D1890:P1890,0)))</f>
        <v/>
      </c>
      <c r="V1890" s="8" t="n">
        <v>8.23</v>
      </c>
      <c r="W1890" s="10" t="n">
        <v>1</v>
      </c>
    </row>
    <row r="1891">
      <c r="A1891" s="7" t="inlineStr">
        <is>
          <t>MAT-32-544</t>
        </is>
      </c>
      <c r="B1891" s="4" t="inlineStr">
        <is>
          <t>Tapón macho de PPR 32 mm</t>
        </is>
      </c>
      <c r="C1891" s="7" t="inlineStr">
        <is>
          <t>unidad</t>
        </is>
      </c>
      <c r="D1891" s="8" t="n"/>
      <c r="E1891" s="8" t="n">
        <v>10.98</v>
      </c>
      <c r="F1891" s="8" t="n"/>
      <c r="G1891" s="8" t="n"/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>
        <f>IF(COUNT(D1891:P1891)=0,"",MIN(D1891:P1891))</f>
        <v/>
      </c>
      <c r="R1891" s="8">
        <f>IF(COUNT(D1891:P1891)=0,"",MEDIAN(D1891:P1891))</f>
        <v/>
      </c>
      <c r="S1891" s="8">
        <f>IF(COUNT(D1891:P1891)=0,"",MAX(D1891:P1891))</f>
        <v/>
      </c>
      <c r="T1891" s="9">
        <f>IF(OR(Q1891="",Q1891=0),"",(S1891-Q1891)/Q1891)</f>
        <v/>
      </c>
      <c r="U1891" s="7">
        <f>IF(COUNT(D1891:P1891)=0,"",INDEX($D$1:$P$1,MATCH(MIN(D1891:P1891),D1891:P1891,0)))</f>
        <v/>
      </c>
      <c r="V1891" s="8" t="n">
        <v>10.98</v>
      </c>
      <c r="W1891" s="10" t="n">
        <v>1</v>
      </c>
    </row>
    <row r="1892">
      <c r="A1892" s="7" t="inlineStr">
        <is>
          <t>MAT-32-545</t>
        </is>
      </c>
      <c r="B1892" s="4" t="inlineStr">
        <is>
          <t>Tapón macho de PVC 1 1/2"</t>
        </is>
      </c>
      <c r="C1892" s="7" t="inlineStr">
        <is>
          <t>unidad</t>
        </is>
      </c>
      <c r="D1892" s="8" t="n"/>
      <c r="E1892" s="8" t="n">
        <v>30.65</v>
      </c>
      <c r="F1892" s="8" t="n"/>
      <c r="G1892" s="8" t="n"/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>
        <f>IF(COUNT(D1892:P1892)=0,"",MIN(D1892:P1892))</f>
        <v/>
      </c>
      <c r="R1892" s="8">
        <f>IF(COUNT(D1892:P1892)=0,"",MEDIAN(D1892:P1892))</f>
        <v/>
      </c>
      <c r="S1892" s="8">
        <f>IF(COUNT(D1892:P1892)=0,"",MAX(D1892:P1892))</f>
        <v/>
      </c>
      <c r="T1892" s="9">
        <f>IF(OR(Q1892="",Q1892=0),"",(S1892-Q1892)/Q1892)</f>
        <v/>
      </c>
      <c r="U1892" s="7">
        <f>IF(COUNT(D1892:P1892)=0,"",INDEX($D$1:$P$1,MATCH(MIN(D1892:P1892),D1892:P1892,0)))</f>
        <v/>
      </c>
      <c r="V1892" s="8" t="n">
        <v>30.65</v>
      </c>
      <c r="W1892" s="10" t="n">
        <v>1</v>
      </c>
    </row>
    <row r="1893">
      <c r="A1893" s="7" t="inlineStr">
        <is>
          <t>MAT-32-546</t>
        </is>
      </c>
      <c r="B1893" s="4" t="inlineStr">
        <is>
          <t>Tapón macho de PVC 1"</t>
        </is>
      </c>
      <c r="C1893" s="7" t="inlineStr">
        <is>
          <t>unidad</t>
        </is>
      </c>
      <c r="D1893" s="8" t="n"/>
      <c r="E1893" s="8" t="n">
        <v>5.61</v>
      </c>
      <c r="F1893" s="8" t="n"/>
      <c r="G1893" s="8" t="n">
        <v>62</v>
      </c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>
        <f>IF(COUNT(D1893:P1893)=0,"",MIN(D1893:P1893))</f>
        <v/>
      </c>
      <c r="R1893" s="8">
        <f>IF(COUNT(D1893:P1893)=0,"",MEDIAN(D1893:P1893))</f>
        <v/>
      </c>
      <c r="S1893" s="8">
        <f>IF(COUNT(D1893:P1893)=0,"",MAX(D1893:P1893))</f>
        <v/>
      </c>
      <c r="T1893" s="9">
        <f>IF(OR(Q1893="",Q1893=0),"",(S1893-Q1893)/Q1893)</f>
        <v/>
      </c>
      <c r="U1893" s="7">
        <f>IF(COUNT(D1893:P1893)=0,"",INDEX($D$1:$P$1,MATCH(MIN(D1893:P1893),D1893:P1893,0)))</f>
        <v/>
      </c>
      <c r="V1893" s="8" t="n">
        <v>35.11</v>
      </c>
      <c r="W1893" s="10" t="n">
        <v>2</v>
      </c>
    </row>
    <row r="1894">
      <c r="A1894" s="7" t="inlineStr">
        <is>
          <t>MAT-32-547</t>
        </is>
      </c>
      <c r="B1894" s="4" t="inlineStr">
        <is>
          <t>Tapón macho de PVC 2"</t>
        </is>
      </c>
      <c r="C1894" s="7" t="inlineStr">
        <is>
          <t>unidad</t>
        </is>
      </c>
      <c r="D1894" s="8" t="n"/>
      <c r="E1894" s="8" t="n">
        <v>31</v>
      </c>
      <c r="F1894" s="8" t="n"/>
      <c r="G1894" s="8" t="n"/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>
        <f>IF(COUNT(D1894:P1894)=0,"",MIN(D1894:P1894))</f>
        <v/>
      </c>
      <c r="R1894" s="8">
        <f>IF(COUNT(D1894:P1894)=0,"",MEDIAN(D1894:P1894))</f>
        <v/>
      </c>
      <c r="S1894" s="8">
        <f>IF(COUNT(D1894:P1894)=0,"",MAX(D1894:P1894))</f>
        <v/>
      </c>
      <c r="T1894" s="9">
        <f>IF(OR(Q1894="",Q1894=0),"",(S1894-Q1894)/Q1894)</f>
        <v/>
      </c>
      <c r="U1894" s="7">
        <f>IF(COUNT(D1894:P1894)=0,"",INDEX($D$1:$P$1,MATCH(MIN(D1894:P1894),D1894:P1894,0)))</f>
        <v/>
      </c>
      <c r="V1894" s="8" t="n">
        <v>31</v>
      </c>
      <c r="W1894" s="10" t="n">
        <v>1</v>
      </c>
    </row>
    <row r="1895">
      <c r="A1895" s="7" t="inlineStr">
        <is>
          <t>MAT-32-548</t>
        </is>
      </c>
      <c r="B1895" s="4" t="inlineStr">
        <is>
          <t>Tapón macho de PVC 3/4"</t>
        </is>
      </c>
      <c r="C1895" s="7" t="inlineStr">
        <is>
          <t>unidad</t>
        </is>
      </c>
      <c r="D1895" s="8" t="n"/>
      <c r="E1895" s="8" t="n">
        <v>3.57</v>
      </c>
      <c r="F1895" s="8" t="n"/>
      <c r="G1895" s="8" t="n"/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>
        <f>IF(COUNT(D1895:P1895)=0,"",MIN(D1895:P1895))</f>
        <v/>
      </c>
      <c r="R1895" s="8">
        <f>IF(COUNT(D1895:P1895)=0,"",MEDIAN(D1895:P1895))</f>
        <v/>
      </c>
      <c r="S1895" s="8">
        <f>IF(COUNT(D1895:P1895)=0,"",MAX(D1895:P1895))</f>
        <v/>
      </c>
      <c r="T1895" s="9">
        <f>IF(OR(Q1895="",Q1895=0),"",(S1895-Q1895)/Q1895)</f>
        <v/>
      </c>
      <c r="U1895" s="7">
        <f>IF(COUNT(D1895:P1895)=0,"",INDEX($D$1:$P$1,MATCH(MIN(D1895:P1895),D1895:P1895,0)))</f>
        <v/>
      </c>
      <c r="V1895" s="8" t="n">
        <v>7.04</v>
      </c>
      <c r="W1895" s="10" t="n">
        <v>1</v>
      </c>
    </row>
    <row r="1896">
      <c r="A1896" s="7" t="inlineStr">
        <is>
          <t>MAT-32-549</t>
        </is>
      </c>
      <c r="B1896" s="4" t="inlineStr">
        <is>
          <t>Tapón de HG 1 1/2"</t>
        </is>
      </c>
      <c r="C1896" s="7" t="inlineStr">
        <is>
          <t>unidad</t>
        </is>
      </c>
      <c r="D1896" s="8" t="n"/>
      <c r="E1896" s="8" t="n">
        <v>71</v>
      </c>
      <c r="F1896" s="8" t="n"/>
      <c r="G1896" s="8" t="n"/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>
        <f>IF(COUNT(D1896:P1896)=0,"",MIN(D1896:P1896))</f>
        <v/>
      </c>
      <c r="R1896" s="8">
        <f>IF(COUNT(D1896:P1896)=0,"",MEDIAN(D1896:P1896))</f>
        <v/>
      </c>
      <c r="S1896" s="8">
        <f>IF(COUNT(D1896:P1896)=0,"",MAX(D1896:P1896))</f>
        <v/>
      </c>
      <c r="T1896" s="9">
        <f>IF(OR(Q1896="",Q1896=0),"",(S1896-Q1896)/Q1896)</f>
        <v/>
      </c>
      <c r="U1896" s="7">
        <f>IF(COUNT(D1896:P1896)=0,"",INDEX($D$1:$P$1,MATCH(MIN(D1896:P1896),D1896:P1896,0)))</f>
        <v/>
      </c>
      <c r="V1896" s="8" t="n">
        <v>71</v>
      </c>
      <c r="W1896" s="10" t="n">
        <v>1</v>
      </c>
    </row>
    <row r="1897">
      <c r="A1897" s="7" t="inlineStr">
        <is>
          <t>MAT-32-550</t>
        </is>
      </c>
      <c r="B1897" s="4" t="inlineStr">
        <is>
          <t>Tapón de HG 1/2"</t>
        </is>
      </c>
      <c r="C1897" s="7" t="inlineStr">
        <is>
          <t>unidad</t>
        </is>
      </c>
      <c r="D1897" s="8" t="n"/>
      <c r="E1897" s="8" t="n">
        <v>47.69</v>
      </c>
      <c r="F1897" s="8" t="n"/>
      <c r="G1897" s="8" t="n"/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>
        <f>IF(COUNT(D1897:P1897)=0,"",MIN(D1897:P1897))</f>
        <v/>
      </c>
      <c r="R1897" s="8">
        <f>IF(COUNT(D1897:P1897)=0,"",MEDIAN(D1897:P1897))</f>
        <v/>
      </c>
      <c r="S1897" s="8">
        <f>IF(COUNT(D1897:P1897)=0,"",MAX(D1897:P1897))</f>
        <v/>
      </c>
      <c r="T1897" s="9">
        <f>IF(OR(Q1897="",Q1897=0),"",(S1897-Q1897)/Q1897)</f>
        <v/>
      </c>
      <c r="U1897" s="7">
        <f>IF(COUNT(D1897:P1897)=0,"",INDEX($D$1:$P$1,MATCH(MIN(D1897:P1897),D1897:P1897,0)))</f>
        <v/>
      </c>
      <c r="V1897" s="8" t="n">
        <v>47.69</v>
      </c>
      <c r="W1897" s="10" t="n">
        <v>1</v>
      </c>
    </row>
    <row r="1898">
      <c r="A1898" s="7" t="inlineStr">
        <is>
          <t>MAT-32-551</t>
        </is>
      </c>
      <c r="B1898" s="4" t="inlineStr">
        <is>
          <t>Tapón de HG 1"</t>
        </is>
      </c>
      <c r="C1898" s="7" t="inlineStr">
        <is>
          <t>unidad</t>
        </is>
      </c>
      <c r="D1898" s="8" t="n"/>
      <c r="E1898" s="8" t="n">
        <v>35.13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>
        <f>IF(COUNT(D1898:P1898)=0,"",MIN(D1898:P1898))</f>
        <v/>
      </c>
      <c r="R1898" s="8">
        <f>IF(COUNT(D1898:P1898)=0,"",MEDIAN(D1898:P1898))</f>
        <v/>
      </c>
      <c r="S1898" s="8">
        <f>IF(COUNT(D1898:P1898)=0,"",MAX(D1898:P1898))</f>
        <v/>
      </c>
      <c r="T1898" s="9">
        <f>IF(OR(Q1898="",Q1898=0),"",(S1898-Q1898)/Q1898)</f>
        <v/>
      </c>
      <c r="U1898" s="7">
        <f>IF(COUNT(D1898:P1898)=0,"",INDEX($D$1:$P$1,MATCH(MIN(D1898:P1898),D1898:P1898,0)))</f>
        <v/>
      </c>
      <c r="V1898" s="8" t="n">
        <v>35.13</v>
      </c>
      <c r="W1898" s="10" t="n">
        <v>1</v>
      </c>
    </row>
    <row r="1899">
      <c r="A1899" s="7" t="inlineStr">
        <is>
          <t>MAT-32-552</t>
        </is>
      </c>
      <c r="B1899" s="4" t="inlineStr">
        <is>
          <t>Tapón de HG 2"</t>
        </is>
      </c>
      <c r="C1899" s="7" t="inlineStr">
        <is>
          <t>unidad</t>
        </is>
      </c>
      <c r="D1899" s="8" t="n"/>
      <c r="E1899" s="8" t="n">
        <v>88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>
        <f>IF(COUNT(D1899:P1899)=0,"",MIN(D1899:P1899))</f>
        <v/>
      </c>
      <c r="R1899" s="8">
        <f>IF(COUNT(D1899:P1899)=0,"",MEDIAN(D1899:P1899))</f>
        <v/>
      </c>
      <c r="S1899" s="8">
        <f>IF(COUNT(D1899:P1899)=0,"",MAX(D1899:P1899))</f>
        <v/>
      </c>
      <c r="T1899" s="9">
        <f>IF(OR(Q1899="",Q1899=0),"",(S1899-Q1899)/Q1899)</f>
        <v/>
      </c>
      <c r="U1899" s="7">
        <f>IF(COUNT(D1899:P1899)=0,"",INDEX($D$1:$P$1,MATCH(MIN(D1899:P1899),D1899:P1899,0)))</f>
        <v/>
      </c>
      <c r="V1899" s="8" t="n">
        <v>88</v>
      </c>
      <c r="W1899" s="10" t="n">
        <v>1</v>
      </c>
    </row>
    <row r="1900">
      <c r="A1900" s="7" t="inlineStr">
        <is>
          <t>MAT-32-553</t>
        </is>
      </c>
      <c r="B1900" s="4" t="inlineStr">
        <is>
          <t>Tapón de HG 3/4"</t>
        </is>
      </c>
      <c r="C1900" s="7" t="inlineStr">
        <is>
          <t>unidad</t>
        </is>
      </c>
      <c r="D1900" s="8" t="n"/>
      <c r="E1900" s="8" t="n">
        <v>25.2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>
        <f>IF(COUNT(D1900:P1900)=0,"",MIN(D1900:P1900))</f>
        <v/>
      </c>
      <c r="R1900" s="8">
        <f>IF(COUNT(D1900:P1900)=0,"",MEDIAN(D1900:P1900))</f>
        <v/>
      </c>
      <c r="S1900" s="8">
        <f>IF(COUNT(D1900:P1900)=0,"",MAX(D1900:P1900))</f>
        <v/>
      </c>
      <c r="T1900" s="9">
        <f>IF(OR(Q1900="",Q1900=0),"",(S1900-Q1900)/Q1900)</f>
        <v/>
      </c>
      <c r="U1900" s="7">
        <f>IF(COUNT(D1900:P1900)=0,"",INDEX($D$1:$P$1,MATCH(MIN(D1900:P1900),D1900:P1900,0)))</f>
        <v/>
      </c>
      <c r="V1900" s="8" t="n">
        <v>25.2</v>
      </c>
      <c r="W1900" s="10" t="n">
        <v>1</v>
      </c>
    </row>
    <row r="1901">
      <c r="A1901" s="7" t="inlineStr">
        <is>
          <t>MAT-32-554</t>
        </is>
      </c>
      <c r="B1901" s="4" t="inlineStr">
        <is>
          <t>Tapón de HG 3/8"</t>
        </is>
      </c>
      <c r="C1901" s="7" t="inlineStr">
        <is>
          <t>unidad</t>
        </is>
      </c>
      <c r="D1901" s="8" t="n"/>
      <c r="E1901" s="8" t="n">
        <v>28.78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>
        <f>IF(COUNT(D1901:P1901)=0,"",MIN(D1901:P1901))</f>
        <v/>
      </c>
      <c r="R1901" s="8">
        <f>IF(COUNT(D1901:P1901)=0,"",MEDIAN(D1901:P1901))</f>
        <v/>
      </c>
      <c r="S1901" s="8">
        <f>IF(COUNT(D1901:P1901)=0,"",MAX(D1901:P1901))</f>
        <v/>
      </c>
      <c r="T1901" s="9">
        <f>IF(OR(Q1901="",Q1901=0),"",(S1901-Q1901)/Q1901)</f>
        <v/>
      </c>
      <c r="U1901" s="7">
        <f>IF(COUNT(D1901:P1901)=0,"",INDEX($D$1:$P$1,MATCH(MIN(D1901:P1901),D1901:P1901,0)))</f>
        <v/>
      </c>
      <c r="V1901" s="8" t="n">
        <v>28.78</v>
      </c>
      <c r="W1901" s="10" t="n">
        <v>1</v>
      </c>
    </row>
    <row r="1902">
      <c r="A1902" s="7" t="inlineStr">
        <is>
          <t>MAT-32-555</t>
        </is>
      </c>
      <c r="B1902" s="4" t="inlineStr">
        <is>
          <t>Tapón de HG 3"</t>
        </is>
      </c>
      <c r="C1902" s="7" t="inlineStr">
        <is>
          <t>unidad</t>
        </is>
      </c>
      <c r="D1902" s="8" t="n"/>
      <c r="E1902" s="8" t="n">
        <v>281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>
        <f>IF(COUNT(D1902:P1902)=0,"",MIN(D1902:P1902))</f>
        <v/>
      </c>
      <c r="R1902" s="8">
        <f>IF(COUNT(D1902:P1902)=0,"",MEDIAN(D1902:P1902))</f>
        <v/>
      </c>
      <c r="S1902" s="8">
        <f>IF(COUNT(D1902:P1902)=0,"",MAX(D1902:P1902))</f>
        <v/>
      </c>
      <c r="T1902" s="9">
        <f>IF(OR(Q1902="",Q1902=0),"",(S1902-Q1902)/Q1902)</f>
        <v/>
      </c>
      <c r="U1902" s="7">
        <f>IF(COUNT(D1902:P1902)=0,"",INDEX($D$1:$P$1,MATCH(MIN(D1902:P1902),D1902:P1902,0)))</f>
        <v/>
      </c>
      <c r="V1902" s="8" t="n">
        <v>281</v>
      </c>
      <c r="W1902" s="10" t="n">
        <v>1</v>
      </c>
    </row>
    <row r="1903">
      <c r="A1903" s="7" t="inlineStr">
        <is>
          <t>MAT-32-556</t>
        </is>
      </c>
      <c r="B1903" s="4" t="inlineStr">
        <is>
          <t>Tapón de HG 4"</t>
        </is>
      </c>
      <c r="C1903" s="7" t="inlineStr">
        <is>
          <t>unidad</t>
        </is>
      </c>
      <c r="D1903" s="8" t="n"/>
      <c r="E1903" s="8" t="n">
        <v>454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>
        <f>IF(COUNT(D1903:P1903)=0,"",MIN(D1903:P1903))</f>
        <v/>
      </c>
      <c r="R1903" s="8">
        <f>IF(COUNT(D1903:P1903)=0,"",MEDIAN(D1903:P1903))</f>
        <v/>
      </c>
      <c r="S1903" s="8">
        <f>IF(COUNT(D1903:P1903)=0,"",MAX(D1903:P1903))</f>
        <v/>
      </c>
      <c r="T1903" s="9">
        <f>IF(OR(Q1903="",Q1903=0),"",(S1903-Q1903)/Q1903)</f>
        <v/>
      </c>
      <c r="U1903" s="7">
        <f>IF(COUNT(D1903:P1903)=0,"",INDEX($D$1:$P$1,MATCH(MIN(D1903:P1903),D1903:P1903,0)))</f>
        <v/>
      </c>
      <c r="V1903" s="8" t="n">
        <v>454</v>
      </c>
      <c r="W1903" s="10" t="n">
        <v>1</v>
      </c>
    </row>
    <row r="1904">
      <c r="A1904" s="7" t="inlineStr">
        <is>
          <t>MAT-32-557</t>
        </is>
      </c>
      <c r="B1904" s="4" t="inlineStr">
        <is>
          <t>Tapón de plástico 1 1/2"</t>
        </is>
      </c>
      <c r="C1904" s="7" t="inlineStr">
        <is>
          <t>unidad</t>
        </is>
      </c>
      <c r="D1904" s="8" t="n"/>
      <c r="E1904" s="8" t="n">
        <v>8.5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>
        <f>IF(COUNT(D1904:P1904)=0,"",MIN(D1904:P1904))</f>
        <v/>
      </c>
      <c r="R1904" s="8">
        <f>IF(COUNT(D1904:P1904)=0,"",MEDIAN(D1904:P1904))</f>
        <v/>
      </c>
      <c r="S1904" s="8">
        <f>IF(COUNT(D1904:P1904)=0,"",MAX(D1904:P1904))</f>
        <v/>
      </c>
      <c r="T1904" s="9">
        <f>IF(OR(Q1904="",Q1904=0),"",(S1904-Q1904)/Q1904)</f>
        <v/>
      </c>
      <c r="U1904" s="7">
        <f>IF(COUNT(D1904:P1904)=0,"",INDEX($D$1:$P$1,MATCH(MIN(D1904:P1904),D1904:P1904,0)))</f>
        <v/>
      </c>
      <c r="V1904" s="8" t="n">
        <v>9.25</v>
      </c>
      <c r="W1904" s="10" t="n">
        <v>1</v>
      </c>
    </row>
    <row r="1905">
      <c r="A1905" s="7" t="inlineStr">
        <is>
          <t>MAT-32-558</t>
        </is>
      </c>
      <c r="B1905" s="4" t="inlineStr">
        <is>
          <t>Tapón de plástico 16"</t>
        </is>
      </c>
      <c r="C1905" s="7" t="inlineStr">
        <is>
          <t>unidad</t>
        </is>
      </c>
      <c r="D1905" s="8" t="n"/>
      <c r="E1905" s="8" t="n">
        <v>211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>
        <f>IF(COUNT(D1905:P1905)=0,"",MIN(D1905:P1905))</f>
        <v/>
      </c>
      <c r="R1905" s="8">
        <f>IF(COUNT(D1905:P1905)=0,"",MEDIAN(D1905:P1905))</f>
        <v/>
      </c>
      <c r="S1905" s="8">
        <f>IF(COUNT(D1905:P1905)=0,"",MAX(D1905:P1905))</f>
        <v/>
      </c>
      <c r="T1905" s="9">
        <f>IF(OR(Q1905="",Q1905=0),"",(S1905-Q1905)/Q1905)</f>
        <v/>
      </c>
      <c r="U1905" s="7">
        <f>IF(COUNT(D1905:P1905)=0,"",INDEX($D$1:$P$1,MATCH(MIN(D1905:P1905),D1905:P1905,0)))</f>
        <v/>
      </c>
      <c r="V1905" s="8" t="n">
        <v>211</v>
      </c>
      <c r="W1905" s="10" t="n">
        <v>1</v>
      </c>
    </row>
    <row r="1906">
      <c r="A1906" s="7" t="inlineStr">
        <is>
          <t>MAT-32-559</t>
        </is>
      </c>
      <c r="B1906" s="4" t="inlineStr">
        <is>
          <t>Tapón de plástico 1"</t>
        </is>
      </c>
      <c r="C1906" s="7" t="inlineStr">
        <is>
          <t>unidad</t>
        </is>
      </c>
      <c r="D1906" s="8" t="n"/>
      <c r="E1906" s="8" t="n">
        <v>3.9</v>
      </c>
      <c r="F1906" s="8" t="n"/>
      <c r="G1906" s="8" t="n"/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>
        <f>IF(COUNT(D1906:P1906)=0,"",MIN(D1906:P1906))</f>
        <v/>
      </c>
      <c r="R1906" s="8">
        <f>IF(COUNT(D1906:P1906)=0,"",MEDIAN(D1906:P1906))</f>
        <v/>
      </c>
      <c r="S1906" s="8">
        <f>IF(COUNT(D1906:P1906)=0,"",MAX(D1906:P1906))</f>
        <v/>
      </c>
      <c r="T1906" s="9">
        <f>IF(OR(Q1906="",Q1906=0),"",(S1906-Q1906)/Q1906)</f>
        <v/>
      </c>
      <c r="U1906" s="7">
        <f>IF(COUNT(D1906:P1906)=0,"",INDEX($D$1:$P$1,MATCH(MIN(D1906:P1906),D1906:P1906,0)))</f>
        <v/>
      </c>
      <c r="V1906" s="8" t="n">
        <v>5.27</v>
      </c>
      <c r="W1906" s="10" t="n">
        <v>1</v>
      </c>
    </row>
    <row r="1907">
      <c r="A1907" s="7" t="inlineStr">
        <is>
          <t>MAT-32-560</t>
        </is>
      </c>
      <c r="B1907" s="4" t="inlineStr">
        <is>
          <t>Tapón de plástico 2"</t>
        </is>
      </c>
      <c r="C1907" s="7" t="inlineStr">
        <is>
          <t>unidad</t>
        </is>
      </c>
      <c r="D1907" s="8" t="n"/>
      <c r="E1907" s="8" t="n">
        <v>5.25</v>
      </c>
      <c r="F1907" s="8" t="n"/>
      <c r="G1907" s="8" t="n"/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>
        <f>IF(COUNT(D1907:P1907)=0,"",MIN(D1907:P1907))</f>
        <v/>
      </c>
      <c r="R1907" s="8">
        <f>IF(COUNT(D1907:P1907)=0,"",MEDIAN(D1907:P1907))</f>
        <v/>
      </c>
      <c r="S1907" s="8">
        <f>IF(COUNT(D1907:P1907)=0,"",MAX(D1907:P1907))</f>
        <v/>
      </c>
      <c r="T1907" s="9">
        <f>IF(OR(Q1907="",Q1907=0),"",(S1907-Q1907)/Q1907)</f>
        <v/>
      </c>
      <c r="U1907" s="7">
        <f>IF(COUNT(D1907:P1907)=0,"",INDEX($D$1:$P$1,MATCH(MIN(D1907:P1907),D1907:P1907,0)))</f>
        <v/>
      </c>
      <c r="V1907" s="8" t="n">
        <v>5.25</v>
      </c>
      <c r="W1907" s="10" t="n">
        <v>1</v>
      </c>
    </row>
    <row r="1908">
      <c r="A1908" s="7" t="inlineStr">
        <is>
          <t>MAT-32-561</t>
        </is>
      </c>
      <c r="B1908" s="4" t="inlineStr">
        <is>
          <t>Tapón de plástico 3/4"</t>
        </is>
      </c>
      <c r="C1908" s="7" t="inlineStr">
        <is>
          <t>unidad</t>
        </is>
      </c>
      <c r="D1908" s="8" t="n"/>
      <c r="E1908" s="8" t="n">
        <v>4.48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>
        <f>IF(COUNT(D1908:P1908)=0,"",MIN(D1908:P1908))</f>
        <v/>
      </c>
      <c r="R1908" s="8">
        <f>IF(COUNT(D1908:P1908)=0,"",MEDIAN(D1908:P1908))</f>
        <v/>
      </c>
      <c r="S1908" s="8">
        <f>IF(COUNT(D1908:P1908)=0,"",MAX(D1908:P1908))</f>
        <v/>
      </c>
      <c r="T1908" s="9">
        <f>IF(OR(Q1908="",Q1908=0),"",(S1908-Q1908)/Q1908)</f>
        <v/>
      </c>
      <c r="U1908" s="7">
        <f>IF(COUNT(D1908:P1908)=0,"",INDEX($D$1:$P$1,MATCH(MIN(D1908:P1908),D1908:P1908,0)))</f>
        <v/>
      </c>
      <c r="V1908" s="8" t="n">
        <v>4.48</v>
      </c>
      <c r="W1908" s="10" t="n">
        <v>1</v>
      </c>
    </row>
    <row r="1909">
      <c r="A1909" s="7" t="inlineStr">
        <is>
          <t>MAT-32-562</t>
        </is>
      </c>
      <c r="B1909" s="4" t="inlineStr">
        <is>
          <t>Tapón de PVC 1 1/2"</t>
        </is>
      </c>
      <c r="C1909" s="7" t="inlineStr">
        <is>
          <t>unidad</t>
        </is>
      </c>
      <c r="D1909" s="8" t="n"/>
      <c r="E1909" s="8" t="n"/>
      <c r="F1909" s="8" t="n"/>
      <c r="G1909" s="8" t="n">
        <v>101</v>
      </c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>
        <f>IF(COUNT(D1909:P1909)=0,"",MIN(D1909:P1909))</f>
        <v/>
      </c>
      <c r="R1909" s="8">
        <f>IF(COUNT(D1909:P1909)=0,"",MEDIAN(D1909:P1909))</f>
        <v/>
      </c>
      <c r="S1909" s="8">
        <f>IF(COUNT(D1909:P1909)=0,"",MAX(D1909:P1909))</f>
        <v/>
      </c>
      <c r="T1909" s="9">
        <f>IF(OR(Q1909="",Q1909=0),"",(S1909-Q1909)/Q1909)</f>
        <v/>
      </c>
      <c r="U1909" s="7">
        <f>IF(COUNT(D1909:P1909)=0,"",INDEX($D$1:$P$1,MATCH(MIN(D1909:P1909),D1909:P1909,0)))</f>
        <v/>
      </c>
      <c r="V1909" s="8" t="n">
        <v>101</v>
      </c>
      <c r="W1909" s="10" t="n">
        <v>1</v>
      </c>
    </row>
    <row r="1910">
      <c r="A1910" s="7" t="inlineStr">
        <is>
          <t>MAT-32-563</t>
        </is>
      </c>
      <c r="B1910" s="4" t="inlineStr">
        <is>
          <t>Tapón de PVC 2"</t>
        </is>
      </c>
      <c r="C1910" s="7" t="inlineStr">
        <is>
          <t>unidad</t>
        </is>
      </c>
      <c r="D1910" s="8" t="n"/>
      <c r="E1910" s="8" t="n"/>
      <c r="F1910" s="8" t="n"/>
      <c r="G1910" s="8" t="n">
        <v>135</v>
      </c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>
        <f>IF(COUNT(D1910:P1910)=0,"",MIN(D1910:P1910))</f>
        <v/>
      </c>
      <c r="R1910" s="8">
        <f>IF(COUNT(D1910:P1910)=0,"",MEDIAN(D1910:P1910))</f>
        <v/>
      </c>
      <c r="S1910" s="8">
        <f>IF(COUNT(D1910:P1910)=0,"",MAX(D1910:P1910))</f>
        <v/>
      </c>
      <c r="T1910" s="9">
        <f>IF(OR(Q1910="",Q1910=0),"",(S1910-Q1910)/Q1910)</f>
        <v/>
      </c>
      <c r="U1910" s="7">
        <f>IF(COUNT(D1910:P1910)=0,"",INDEX($D$1:$P$1,MATCH(MIN(D1910:P1910),D1910:P1910,0)))</f>
        <v/>
      </c>
      <c r="V1910" s="8" t="n">
        <v>135</v>
      </c>
      <c r="W1910" s="10" t="n">
        <v>1</v>
      </c>
    </row>
    <row r="1911">
      <c r="A1911" s="7" t="inlineStr">
        <is>
          <t>MAT-32-564</t>
        </is>
      </c>
      <c r="B1911" s="4" t="inlineStr">
        <is>
          <t>Tapón de PVC 3"</t>
        </is>
      </c>
      <c r="C1911" s="7" t="inlineStr">
        <is>
          <t>unidad</t>
        </is>
      </c>
      <c r="D1911" s="8" t="n"/>
      <c r="E1911" s="8" t="n"/>
      <c r="F1911" s="8" t="n"/>
      <c r="G1911" s="8" t="n">
        <v>263</v>
      </c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>
        <f>IF(COUNT(D1911:P1911)=0,"",MIN(D1911:P1911))</f>
        <v/>
      </c>
      <c r="R1911" s="8">
        <f>IF(COUNT(D1911:P1911)=0,"",MEDIAN(D1911:P1911))</f>
        <v/>
      </c>
      <c r="S1911" s="8">
        <f>IF(COUNT(D1911:P1911)=0,"",MAX(D1911:P1911))</f>
        <v/>
      </c>
      <c r="T1911" s="9">
        <f>IF(OR(Q1911="",Q1911=0),"",(S1911-Q1911)/Q1911)</f>
        <v/>
      </c>
      <c r="U1911" s="7">
        <f>IF(COUNT(D1911:P1911)=0,"",INDEX($D$1:$P$1,MATCH(MIN(D1911:P1911),D1911:P1911,0)))</f>
        <v/>
      </c>
      <c r="V1911" s="8" t="n">
        <v>263</v>
      </c>
      <c r="W1911" s="10" t="n">
        <v>1</v>
      </c>
    </row>
    <row r="1912">
      <c r="A1912" s="7" t="inlineStr">
        <is>
          <t>MAT-32-565</t>
        </is>
      </c>
      <c r="B1912" s="4" t="inlineStr">
        <is>
          <t>Tapón de PVC 4"</t>
        </is>
      </c>
      <c r="C1912" s="7" t="inlineStr">
        <is>
          <t>unidad</t>
        </is>
      </c>
      <c r="D1912" s="8" t="n"/>
      <c r="E1912" s="8" t="n"/>
      <c r="F1912" s="8" t="n"/>
      <c r="G1912" s="8" t="n">
        <v>372</v>
      </c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>
        <f>IF(COUNT(D1912:P1912)=0,"",MIN(D1912:P1912))</f>
        <v/>
      </c>
      <c r="R1912" s="8">
        <f>IF(COUNT(D1912:P1912)=0,"",MEDIAN(D1912:P1912))</f>
        <v/>
      </c>
      <c r="S1912" s="8">
        <f>IF(COUNT(D1912:P1912)=0,"",MAX(D1912:P1912))</f>
        <v/>
      </c>
      <c r="T1912" s="9">
        <f>IF(OR(Q1912="",Q1912=0),"",(S1912-Q1912)/Q1912)</f>
        <v/>
      </c>
      <c r="U1912" s="7">
        <f>IF(COUNT(D1912:P1912)=0,"",INDEX($D$1:$P$1,MATCH(MIN(D1912:P1912),D1912:P1912,0)))</f>
        <v/>
      </c>
      <c r="V1912" s="8" t="n">
        <v>372</v>
      </c>
      <c r="W1912" s="10" t="n">
        <v>1</v>
      </c>
    </row>
    <row r="1913">
      <c r="A1913" s="7" t="inlineStr">
        <is>
          <t>MAT-32-566</t>
        </is>
      </c>
      <c r="B1913" s="4" t="inlineStr">
        <is>
          <t>Tapón de PVC 6"</t>
        </is>
      </c>
      <c r="C1913" s="7" t="inlineStr">
        <is>
          <t>unidad</t>
        </is>
      </c>
      <c r="D1913" s="8" t="n"/>
      <c r="E1913" s="8" t="n">
        <v>279</v>
      </c>
      <c r="F1913" s="8" t="n"/>
      <c r="G1913" s="8" t="n"/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>
        <f>IF(COUNT(D1913:P1913)=0,"",MIN(D1913:P1913))</f>
        <v/>
      </c>
      <c r="R1913" s="8">
        <f>IF(COUNT(D1913:P1913)=0,"",MEDIAN(D1913:P1913))</f>
        <v/>
      </c>
      <c r="S1913" s="8">
        <f>IF(COUNT(D1913:P1913)=0,"",MAX(D1913:P1913))</f>
        <v/>
      </c>
      <c r="T1913" s="9">
        <f>IF(OR(Q1913="",Q1913=0),"",(S1913-Q1913)/Q1913)</f>
        <v/>
      </c>
      <c r="U1913" s="7">
        <f>IF(COUNT(D1913:P1913)=0,"",INDEX($D$1:$P$1,MATCH(MIN(D1913:P1913),D1913:P1913,0)))</f>
        <v/>
      </c>
      <c r="V1913" s="8" t="n">
        <v>374.5</v>
      </c>
      <c r="W1913" s="10" t="n">
        <v>1</v>
      </c>
    </row>
    <row r="1914">
      <c r="A1914" s="7" t="inlineStr">
        <is>
          <t>MAT-32-567</t>
        </is>
      </c>
      <c r="B1914" s="4" t="inlineStr">
        <is>
          <t>Tapón de PVC presión 1 1/2"</t>
        </is>
      </c>
      <c r="C1914" s="7" t="inlineStr">
        <is>
          <t>unidad</t>
        </is>
      </c>
      <c r="D1914" s="8" t="n"/>
      <c r="E1914" s="8" t="n">
        <v>24.74</v>
      </c>
      <c r="F1914" s="8" t="n"/>
      <c r="G1914" s="8" t="n"/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>
        <f>IF(COUNT(D1914:P1914)=0,"",MIN(D1914:P1914))</f>
        <v/>
      </c>
      <c r="R1914" s="8">
        <f>IF(COUNT(D1914:P1914)=0,"",MEDIAN(D1914:P1914))</f>
        <v/>
      </c>
      <c r="S1914" s="8">
        <f>IF(COUNT(D1914:P1914)=0,"",MAX(D1914:P1914))</f>
        <v/>
      </c>
      <c r="T1914" s="9">
        <f>IF(OR(Q1914="",Q1914=0),"",(S1914-Q1914)/Q1914)</f>
        <v/>
      </c>
      <c r="U1914" s="7">
        <f>IF(COUNT(D1914:P1914)=0,"",INDEX($D$1:$P$1,MATCH(MIN(D1914:P1914),D1914:P1914,0)))</f>
        <v/>
      </c>
      <c r="V1914" s="8" t="n">
        <v>24.74</v>
      </c>
      <c r="W1914" s="10" t="n">
        <v>1</v>
      </c>
    </row>
    <row r="1915">
      <c r="A1915" s="7" t="inlineStr">
        <is>
          <t>MAT-32-568</t>
        </is>
      </c>
      <c r="B1915" s="4" t="inlineStr">
        <is>
          <t>Tapón de PVC presión 2"</t>
        </is>
      </c>
      <c r="C1915" s="7" t="inlineStr">
        <is>
          <t>unidad</t>
        </is>
      </c>
      <c r="D1915" s="8" t="n"/>
      <c r="E1915" s="8" t="n">
        <v>28.27</v>
      </c>
      <c r="F1915" s="8" t="n"/>
      <c r="G1915" s="8" t="n"/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>
        <f>IF(COUNT(D1915:P1915)=0,"",MIN(D1915:P1915))</f>
        <v/>
      </c>
      <c r="R1915" s="8">
        <f>IF(COUNT(D1915:P1915)=0,"",MEDIAN(D1915:P1915))</f>
        <v/>
      </c>
      <c r="S1915" s="8">
        <f>IF(COUNT(D1915:P1915)=0,"",MAX(D1915:P1915))</f>
        <v/>
      </c>
      <c r="T1915" s="9">
        <f>IF(OR(Q1915="",Q1915=0),"",(S1915-Q1915)/Q1915)</f>
        <v/>
      </c>
      <c r="U1915" s="7">
        <f>IF(COUNT(D1915:P1915)=0,"",INDEX($D$1:$P$1,MATCH(MIN(D1915:P1915),D1915:P1915,0)))</f>
        <v/>
      </c>
      <c r="V1915" s="8" t="n">
        <v>34.88</v>
      </c>
      <c r="W1915" s="10" t="n">
        <v>1</v>
      </c>
    </row>
    <row r="1916">
      <c r="A1916" s="7" t="inlineStr">
        <is>
          <t>MAT-32-569</t>
        </is>
      </c>
      <c r="B1916" s="4" t="inlineStr">
        <is>
          <t>Tapón de PVC presión 3"</t>
        </is>
      </c>
      <c r="C1916" s="7" t="inlineStr">
        <is>
          <t>unidad</t>
        </is>
      </c>
      <c r="D1916" s="8" t="n"/>
      <c r="E1916" s="8" t="n">
        <v>100.24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>
        <f>IF(COUNT(D1916:P1916)=0,"",MIN(D1916:P1916))</f>
        <v/>
      </c>
      <c r="R1916" s="8">
        <f>IF(COUNT(D1916:P1916)=0,"",MEDIAN(D1916:P1916))</f>
        <v/>
      </c>
      <c r="S1916" s="8">
        <f>IF(COUNT(D1916:P1916)=0,"",MAX(D1916:P1916))</f>
        <v/>
      </c>
      <c r="T1916" s="9">
        <f>IF(OR(Q1916="",Q1916=0),"",(S1916-Q1916)/Q1916)</f>
        <v/>
      </c>
      <c r="U1916" s="7">
        <f>IF(COUNT(D1916:P1916)=0,"",INDEX($D$1:$P$1,MATCH(MIN(D1916:P1916),D1916:P1916,0)))</f>
        <v/>
      </c>
      <c r="V1916" s="8" t="n">
        <v>100.24</v>
      </c>
      <c r="W1916" s="10" t="n">
        <v>1</v>
      </c>
    </row>
    <row r="1917">
      <c r="A1917" s="7" t="inlineStr">
        <is>
          <t>MAT-32-570</t>
        </is>
      </c>
      <c r="B1917" s="4" t="inlineStr">
        <is>
          <t>Tapón de PVC presión 4"</t>
        </is>
      </c>
      <c r="C1917" s="7" t="inlineStr">
        <is>
          <t>unidad</t>
        </is>
      </c>
      <c r="D1917" s="8" t="n"/>
      <c r="E1917" s="8" t="n">
        <v>159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>
        <f>IF(COUNT(D1917:P1917)=0,"",MIN(D1917:P1917))</f>
        <v/>
      </c>
      <c r="R1917" s="8">
        <f>IF(COUNT(D1917:P1917)=0,"",MEDIAN(D1917:P1917))</f>
        <v/>
      </c>
      <c r="S1917" s="8">
        <f>IF(COUNT(D1917:P1917)=0,"",MAX(D1917:P1917))</f>
        <v/>
      </c>
      <c r="T1917" s="9">
        <f>IF(OR(Q1917="",Q1917=0),"",(S1917-Q1917)/Q1917)</f>
        <v/>
      </c>
      <c r="U1917" s="7">
        <f>IF(COUNT(D1917:P1917)=0,"",INDEX($D$1:$P$1,MATCH(MIN(D1917:P1917),D1917:P1917,0)))</f>
        <v/>
      </c>
      <c r="V1917" s="8" t="n">
        <v>159</v>
      </c>
      <c r="W1917" s="10" t="n">
        <v>1</v>
      </c>
    </row>
    <row r="1918">
      <c r="A1918" s="7" t="inlineStr">
        <is>
          <t>MAT-32-571</t>
        </is>
      </c>
      <c r="B1918" s="4" t="inlineStr">
        <is>
          <t>Tee de bronce 1/2"</t>
        </is>
      </c>
      <c r="C1918" s="7" t="inlineStr">
        <is>
          <t>unidad</t>
        </is>
      </c>
      <c r="D1918" s="8" t="n"/>
      <c r="E1918" s="8" t="n">
        <v>150</v>
      </c>
      <c r="F1918" s="8" t="n"/>
      <c r="G1918" s="8" t="n"/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>
        <f>IF(COUNT(D1918:P1918)=0,"",MIN(D1918:P1918))</f>
        <v/>
      </c>
      <c r="R1918" s="8">
        <f>IF(COUNT(D1918:P1918)=0,"",MEDIAN(D1918:P1918))</f>
        <v/>
      </c>
      <c r="S1918" s="8">
        <f>IF(COUNT(D1918:P1918)=0,"",MAX(D1918:P1918))</f>
        <v/>
      </c>
      <c r="T1918" s="9">
        <f>IF(OR(Q1918="",Q1918=0),"",(S1918-Q1918)/Q1918)</f>
        <v/>
      </c>
      <c r="U1918" s="7">
        <f>IF(COUNT(D1918:P1918)=0,"",INDEX($D$1:$P$1,MATCH(MIN(D1918:P1918),D1918:P1918,0)))</f>
        <v/>
      </c>
      <c r="V1918" s="8" t="n">
        <v>150</v>
      </c>
      <c r="W1918" s="10" t="n">
        <v>1</v>
      </c>
    </row>
    <row r="1919">
      <c r="A1919" s="7" t="inlineStr">
        <is>
          <t>MAT-32-572</t>
        </is>
      </c>
      <c r="B1919" s="4" t="inlineStr">
        <is>
          <t>Tee de bronce 1/4"</t>
        </is>
      </c>
      <c r="C1919" s="7" t="inlineStr">
        <is>
          <t>unidad</t>
        </is>
      </c>
      <c r="D1919" s="8" t="n"/>
      <c r="E1919" s="8" t="n">
        <v>52</v>
      </c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>
        <f>IF(COUNT(D1919:P1919)=0,"",MIN(D1919:P1919))</f>
        <v/>
      </c>
      <c r="R1919" s="8">
        <f>IF(COUNT(D1919:P1919)=0,"",MEDIAN(D1919:P1919))</f>
        <v/>
      </c>
      <c r="S1919" s="8">
        <f>IF(COUNT(D1919:P1919)=0,"",MAX(D1919:P1919))</f>
        <v/>
      </c>
      <c r="T1919" s="9">
        <f>IF(OR(Q1919="",Q1919=0),"",(S1919-Q1919)/Q1919)</f>
        <v/>
      </c>
      <c r="U1919" s="7">
        <f>IF(COUNT(D1919:P1919)=0,"",INDEX($D$1:$P$1,MATCH(MIN(D1919:P1919),D1919:P1919,0)))</f>
        <v/>
      </c>
      <c r="V1919" s="8" t="n">
        <v>85.5</v>
      </c>
      <c r="W1919" s="10" t="n">
        <v>1</v>
      </c>
    </row>
    <row r="1920">
      <c r="A1920" s="7" t="inlineStr">
        <is>
          <t>MAT-32-573</t>
        </is>
      </c>
      <c r="B1920" s="4" t="inlineStr">
        <is>
          <t>Tee de bronce 12"</t>
        </is>
      </c>
      <c r="C1920" s="7" t="inlineStr">
        <is>
          <t>unidad</t>
        </is>
      </c>
      <c r="D1920" s="8" t="n"/>
      <c r="E1920" s="8" t="n">
        <v>686</v>
      </c>
      <c r="F1920" s="8" t="n"/>
      <c r="G1920" s="8" t="n"/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>
        <f>IF(COUNT(D1920:P1920)=0,"",MIN(D1920:P1920))</f>
        <v/>
      </c>
      <c r="R1920" s="8">
        <f>IF(COUNT(D1920:P1920)=0,"",MEDIAN(D1920:P1920))</f>
        <v/>
      </c>
      <c r="S1920" s="8">
        <f>IF(COUNT(D1920:P1920)=0,"",MAX(D1920:P1920))</f>
        <v/>
      </c>
      <c r="T1920" s="9">
        <f>IF(OR(Q1920="",Q1920=0),"",(S1920-Q1920)/Q1920)</f>
        <v/>
      </c>
      <c r="U1920" s="7">
        <f>IF(COUNT(D1920:P1920)=0,"",INDEX($D$1:$P$1,MATCH(MIN(D1920:P1920),D1920:P1920,0)))</f>
        <v/>
      </c>
      <c r="V1920" s="8" t="n">
        <v>686</v>
      </c>
      <c r="W1920" s="10" t="n">
        <v>1</v>
      </c>
    </row>
    <row r="1921">
      <c r="A1921" s="7" t="inlineStr">
        <is>
          <t>MAT-32-574</t>
        </is>
      </c>
      <c r="B1921" s="4" t="inlineStr">
        <is>
          <t>Tee de bronce 15"</t>
        </is>
      </c>
      <c r="C1921" s="7" t="inlineStr">
        <is>
          <t>unidad</t>
        </is>
      </c>
      <c r="D1921" s="8" t="n"/>
      <c r="E1921" s="8" t="n">
        <v>473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>
        <f>IF(COUNT(D1921:P1921)=0,"",MIN(D1921:P1921))</f>
        <v/>
      </c>
      <c r="R1921" s="8">
        <f>IF(COUNT(D1921:P1921)=0,"",MEDIAN(D1921:P1921))</f>
        <v/>
      </c>
      <c r="S1921" s="8">
        <f>IF(COUNT(D1921:P1921)=0,"",MAX(D1921:P1921))</f>
        <v/>
      </c>
      <c r="T1921" s="9">
        <f>IF(OR(Q1921="",Q1921=0),"",(S1921-Q1921)/Q1921)</f>
        <v/>
      </c>
      <c r="U1921" s="7">
        <f>IF(COUNT(D1921:P1921)=0,"",INDEX($D$1:$P$1,MATCH(MIN(D1921:P1921),D1921:P1921,0)))</f>
        <v/>
      </c>
      <c r="V1921" s="8" t="n">
        <v>605</v>
      </c>
      <c r="W1921" s="10" t="n">
        <v>1</v>
      </c>
    </row>
    <row r="1922">
      <c r="A1922" s="7" t="inlineStr">
        <is>
          <t>MAT-32-575</t>
        </is>
      </c>
      <c r="B1922" s="4" t="inlineStr">
        <is>
          <t>Tee de bronce 18"</t>
        </is>
      </c>
      <c r="C1922" s="7" t="inlineStr">
        <is>
          <t>unidad</t>
        </is>
      </c>
      <c r="D1922" s="8" t="n"/>
      <c r="E1922" s="8" t="n">
        <v>207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>
        <f>IF(COUNT(D1922:P1922)=0,"",MIN(D1922:P1922))</f>
        <v/>
      </c>
      <c r="R1922" s="8">
        <f>IF(COUNT(D1922:P1922)=0,"",MEDIAN(D1922:P1922))</f>
        <v/>
      </c>
      <c r="S1922" s="8">
        <f>IF(COUNT(D1922:P1922)=0,"",MAX(D1922:P1922))</f>
        <v/>
      </c>
      <c r="T1922" s="9">
        <f>IF(OR(Q1922="",Q1922=0),"",(S1922-Q1922)/Q1922)</f>
        <v/>
      </c>
      <c r="U1922" s="7">
        <f>IF(COUNT(D1922:P1922)=0,"",INDEX($D$1:$P$1,MATCH(MIN(D1922:P1922),D1922:P1922,0)))</f>
        <v/>
      </c>
      <c r="V1922" s="8" t="n">
        <v>702</v>
      </c>
      <c r="W1922" s="10" t="n">
        <v>1</v>
      </c>
    </row>
    <row r="1923">
      <c r="A1923" s="7" t="inlineStr">
        <is>
          <t>MAT-32-576</t>
        </is>
      </c>
      <c r="B1923" s="4" t="inlineStr">
        <is>
          <t>Tee de bronce 25"</t>
        </is>
      </c>
      <c r="C1923" s="7" t="inlineStr">
        <is>
          <t>unidad</t>
        </is>
      </c>
      <c r="D1923" s="8" t="n"/>
      <c r="E1923" s="8" t="n">
        <v>1255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>
        <f>IF(COUNT(D1923:P1923)=0,"",MIN(D1923:P1923))</f>
        <v/>
      </c>
      <c r="R1923" s="8">
        <f>IF(COUNT(D1923:P1923)=0,"",MEDIAN(D1923:P1923))</f>
        <v/>
      </c>
      <c r="S1923" s="8">
        <f>IF(COUNT(D1923:P1923)=0,"",MAX(D1923:P1923))</f>
        <v/>
      </c>
      <c r="T1923" s="9">
        <f>IF(OR(Q1923="",Q1923=0),"",(S1923-Q1923)/Q1923)</f>
        <v/>
      </c>
      <c r="U1923" s="7">
        <f>IF(COUNT(D1923:P1923)=0,"",INDEX($D$1:$P$1,MATCH(MIN(D1923:P1923),D1923:P1923,0)))</f>
        <v/>
      </c>
      <c r="V1923" s="8" t="n">
        <v>1255</v>
      </c>
      <c r="W1923" s="10" t="n">
        <v>1</v>
      </c>
    </row>
    <row r="1924">
      <c r="A1924" s="7" t="inlineStr">
        <is>
          <t>MAT-32-577</t>
        </is>
      </c>
      <c r="B1924" s="4" t="inlineStr">
        <is>
          <t>Tee de bronce 3/8"</t>
        </is>
      </c>
      <c r="C1924" s="7" t="inlineStr">
        <is>
          <t>unidad</t>
        </is>
      </c>
      <c r="D1924" s="8" t="n"/>
      <c r="E1924" s="8" t="n">
        <v>78</v>
      </c>
      <c r="F1924" s="8" t="n"/>
      <c r="G1924" s="8" t="n">
        <v>186</v>
      </c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>
        <f>IF(COUNT(D1924:P1924)=0,"",MIN(D1924:P1924))</f>
        <v/>
      </c>
      <c r="R1924" s="8">
        <f>IF(COUNT(D1924:P1924)=0,"",MEDIAN(D1924:P1924))</f>
        <v/>
      </c>
      <c r="S1924" s="8">
        <f>IF(COUNT(D1924:P1924)=0,"",MAX(D1924:P1924))</f>
        <v/>
      </c>
      <c r="T1924" s="9">
        <f>IF(OR(Q1924="",Q1924=0),"",(S1924-Q1924)/Q1924)</f>
        <v/>
      </c>
      <c r="U1924" s="7">
        <f>IF(COUNT(D1924:P1924)=0,"",INDEX($D$1:$P$1,MATCH(MIN(D1924:P1924),D1924:P1924,0)))</f>
        <v/>
      </c>
      <c r="V1924" s="8" t="n">
        <v>179</v>
      </c>
      <c r="W1924" s="10" t="n">
        <v>2</v>
      </c>
    </row>
    <row r="1925">
      <c r="A1925" s="7" t="inlineStr">
        <is>
          <t>MAT-32-578</t>
        </is>
      </c>
      <c r="B1925" s="4" t="inlineStr">
        <is>
          <t>Tee de bronce 32"</t>
        </is>
      </c>
      <c r="C1925" s="7" t="inlineStr">
        <is>
          <t>unidad</t>
        </is>
      </c>
      <c r="D1925" s="8" t="n"/>
      <c r="E1925" s="8" t="n">
        <v>2108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>
        <f>IF(COUNT(D1925:P1925)=0,"",MIN(D1925:P1925))</f>
        <v/>
      </c>
      <c r="R1925" s="8">
        <f>IF(COUNT(D1925:P1925)=0,"",MEDIAN(D1925:P1925))</f>
        <v/>
      </c>
      <c r="S1925" s="8">
        <f>IF(COUNT(D1925:P1925)=0,"",MAX(D1925:P1925))</f>
        <v/>
      </c>
      <c r="T1925" s="9">
        <f>IF(OR(Q1925="",Q1925=0),"",(S1925-Q1925)/Q1925)</f>
        <v/>
      </c>
      <c r="U1925" s="7">
        <f>IF(COUNT(D1925:P1925)=0,"",INDEX($D$1:$P$1,MATCH(MIN(D1925:P1925),D1925:P1925,0)))</f>
        <v/>
      </c>
      <c r="V1925" s="8" t="n">
        <v>2108</v>
      </c>
      <c r="W1925" s="10" t="n">
        <v>1</v>
      </c>
    </row>
    <row r="1926">
      <c r="A1926" s="7" t="inlineStr">
        <is>
          <t>MAT-32-579</t>
        </is>
      </c>
      <c r="B1926" s="4" t="inlineStr">
        <is>
          <t>Tee de cobre 1 1/8"</t>
        </is>
      </c>
      <c r="C1926" s="7" t="inlineStr">
        <is>
          <t>unidad</t>
        </is>
      </c>
      <c r="D1926" s="8" t="n"/>
      <c r="E1926" s="8" t="n">
        <v>143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>
        <f>IF(COUNT(D1926:P1926)=0,"",MIN(D1926:P1926))</f>
        <v/>
      </c>
      <c r="R1926" s="8">
        <f>IF(COUNT(D1926:P1926)=0,"",MEDIAN(D1926:P1926))</f>
        <v/>
      </c>
      <c r="S1926" s="8">
        <f>IF(COUNT(D1926:P1926)=0,"",MAX(D1926:P1926))</f>
        <v/>
      </c>
      <c r="T1926" s="9">
        <f>IF(OR(Q1926="",Q1926=0),"",(S1926-Q1926)/Q1926)</f>
        <v/>
      </c>
      <c r="U1926" s="7">
        <f>IF(COUNT(D1926:P1926)=0,"",INDEX($D$1:$P$1,MATCH(MIN(D1926:P1926),D1926:P1926,0)))</f>
        <v/>
      </c>
      <c r="V1926" s="8" t="n">
        <v>143</v>
      </c>
      <c r="W1926" s="10" t="n">
        <v>1</v>
      </c>
    </row>
    <row r="1927">
      <c r="A1927" s="7" t="inlineStr">
        <is>
          <t>MAT-32-580</t>
        </is>
      </c>
      <c r="B1927" s="4" t="inlineStr">
        <is>
          <t>Tee de cobre 1/2"</t>
        </is>
      </c>
      <c r="C1927" s="7" t="inlineStr">
        <is>
          <t>unidad</t>
        </is>
      </c>
      <c r="D1927" s="8" t="n"/>
      <c r="E1927" s="8" t="n">
        <v>66</v>
      </c>
      <c r="F1927" s="8" t="n"/>
      <c r="G1927" s="8" t="n"/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>
        <f>IF(COUNT(D1927:P1927)=0,"",MIN(D1927:P1927))</f>
        <v/>
      </c>
      <c r="R1927" s="8">
        <f>IF(COUNT(D1927:P1927)=0,"",MEDIAN(D1927:P1927))</f>
        <v/>
      </c>
      <c r="S1927" s="8">
        <f>IF(COUNT(D1927:P1927)=0,"",MAX(D1927:P1927))</f>
        <v/>
      </c>
      <c r="T1927" s="9">
        <f>IF(OR(Q1927="",Q1927=0),"",(S1927-Q1927)/Q1927)</f>
        <v/>
      </c>
      <c r="U1927" s="7">
        <f>IF(COUNT(D1927:P1927)=0,"",INDEX($D$1:$P$1,MATCH(MIN(D1927:P1927),D1927:P1927,0)))</f>
        <v/>
      </c>
      <c r="V1927" s="8" t="n">
        <v>66</v>
      </c>
      <c r="W1927" s="10" t="n">
        <v>1</v>
      </c>
    </row>
    <row r="1928">
      <c r="A1928" s="7" t="inlineStr">
        <is>
          <t>MAT-32-581</t>
        </is>
      </c>
      <c r="B1928" s="4" t="inlineStr">
        <is>
          <t>Tee de cobre 1 3/8"</t>
        </is>
      </c>
      <c r="C1928" s="7" t="inlineStr">
        <is>
          <t>unidad</t>
        </is>
      </c>
      <c r="D1928" s="8" t="n"/>
      <c r="E1928" s="8" t="n">
        <v>293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>
        <f>IF(COUNT(D1928:P1928)=0,"",MIN(D1928:P1928))</f>
        <v/>
      </c>
      <c r="R1928" s="8">
        <f>IF(COUNT(D1928:P1928)=0,"",MEDIAN(D1928:P1928))</f>
        <v/>
      </c>
      <c r="S1928" s="8">
        <f>IF(COUNT(D1928:P1928)=0,"",MAX(D1928:P1928))</f>
        <v/>
      </c>
      <c r="T1928" s="9">
        <f>IF(OR(Q1928="",Q1928=0),"",(S1928-Q1928)/Q1928)</f>
        <v/>
      </c>
      <c r="U1928" s="7">
        <f>IF(COUNT(D1928:P1928)=0,"",INDEX($D$1:$P$1,MATCH(MIN(D1928:P1928),D1928:P1928,0)))</f>
        <v/>
      </c>
      <c r="V1928" s="8" t="n">
        <v>293</v>
      </c>
      <c r="W1928" s="10" t="n">
        <v>1</v>
      </c>
    </row>
    <row r="1929">
      <c r="A1929" s="7" t="inlineStr">
        <is>
          <t>MAT-32-582</t>
        </is>
      </c>
      <c r="B1929" s="4" t="inlineStr">
        <is>
          <t>Tee de cobre 3/4"</t>
        </is>
      </c>
      <c r="C1929" s="7" t="inlineStr">
        <is>
          <t>unidad</t>
        </is>
      </c>
      <c r="D1929" s="8" t="n"/>
      <c r="E1929" s="8" t="n">
        <v>237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>
        <f>IF(COUNT(D1929:P1929)=0,"",MIN(D1929:P1929))</f>
        <v/>
      </c>
      <c r="R1929" s="8">
        <f>IF(COUNT(D1929:P1929)=0,"",MEDIAN(D1929:P1929))</f>
        <v/>
      </c>
      <c r="S1929" s="8">
        <f>IF(COUNT(D1929:P1929)=0,"",MAX(D1929:P1929))</f>
        <v/>
      </c>
      <c r="T1929" s="9">
        <f>IF(OR(Q1929="",Q1929=0),"",(S1929-Q1929)/Q1929)</f>
        <v/>
      </c>
      <c r="U1929" s="7">
        <f>IF(COUNT(D1929:P1929)=0,"",INDEX($D$1:$P$1,MATCH(MIN(D1929:P1929),D1929:P1929,0)))</f>
        <v/>
      </c>
      <c r="V1929" s="8" t="n">
        <v>237</v>
      </c>
      <c r="W1929" s="10" t="n">
        <v>1</v>
      </c>
    </row>
    <row r="1930">
      <c r="A1930" s="7" t="inlineStr">
        <is>
          <t>MAT-32-583</t>
        </is>
      </c>
      <c r="B1930" s="4" t="inlineStr">
        <is>
          <t>Tee de cobre 3/8"</t>
        </is>
      </c>
      <c r="C1930" s="7" t="inlineStr">
        <is>
          <t>unidad</t>
        </is>
      </c>
      <c r="D1930" s="8" t="n"/>
      <c r="E1930" s="8" t="n"/>
      <c r="F1930" s="8" t="n"/>
      <c r="G1930" s="8" t="n">
        <v>256</v>
      </c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>
        <f>IF(COUNT(D1930:P1930)=0,"",MIN(D1930:P1930))</f>
        <v/>
      </c>
      <c r="R1930" s="8">
        <f>IF(COUNT(D1930:P1930)=0,"",MEDIAN(D1930:P1930))</f>
        <v/>
      </c>
      <c r="S1930" s="8">
        <f>IF(COUNT(D1930:P1930)=0,"",MAX(D1930:P1930))</f>
        <v/>
      </c>
      <c r="T1930" s="9">
        <f>IF(OR(Q1930="",Q1930=0),"",(S1930-Q1930)/Q1930)</f>
        <v/>
      </c>
      <c r="U1930" s="7">
        <f>IF(COUNT(D1930:P1930)=0,"",INDEX($D$1:$P$1,MATCH(MIN(D1930:P1930),D1930:P1930,0)))</f>
        <v/>
      </c>
      <c r="V1930" s="8" t="n">
        <v>256</v>
      </c>
      <c r="W1930" s="10" t="n">
        <v>1</v>
      </c>
    </row>
    <row r="1931">
      <c r="A1931" s="7" t="inlineStr">
        <is>
          <t>MAT-32-584</t>
        </is>
      </c>
      <c r="B1931" s="4" t="inlineStr">
        <is>
          <t>Tee de cobre 7/8"</t>
        </is>
      </c>
      <c r="C1931" s="7" t="inlineStr">
        <is>
          <t>unidad</t>
        </is>
      </c>
      <c r="D1931" s="8" t="n"/>
      <c r="E1931" s="8" t="n">
        <v>257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>
        <f>IF(COUNT(D1931:P1931)=0,"",MIN(D1931:P1931))</f>
        <v/>
      </c>
      <c r="R1931" s="8">
        <f>IF(COUNT(D1931:P1931)=0,"",MEDIAN(D1931:P1931))</f>
        <v/>
      </c>
      <c r="S1931" s="8">
        <f>IF(COUNT(D1931:P1931)=0,"",MAX(D1931:P1931))</f>
        <v/>
      </c>
      <c r="T1931" s="9">
        <f>IF(OR(Q1931="",Q1931=0),"",(S1931-Q1931)/Q1931)</f>
        <v/>
      </c>
      <c r="U1931" s="7">
        <f>IF(COUNT(D1931:P1931)=0,"",INDEX($D$1:$P$1,MATCH(MIN(D1931:P1931),D1931:P1931,0)))</f>
        <v/>
      </c>
      <c r="V1931" s="8" t="n">
        <v>257</v>
      </c>
      <c r="W1931" s="10" t="n">
        <v>1</v>
      </c>
    </row>
    <row r="1932">
      <c r="A1932" s="7" t="inlineStr">
        <is>
          <t>MAT-32-585</t>
        </is>
      </c>
      <c r="B1932" s="4" t="inlineStr">
        <is>
          <t>Tee de CPVC 1/2"</t>
        </is>
      </c>
      <c r="C1932" s="7" t="inlineStr">
        <is>
          <t>unidad</t>
        </is>
      </c>
      <c r="D1932" s="8" t="n"/>
      <c r="E1932" s="8" t="n">
        <v>10.34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>
        <f>IF(COUNT(D1932:P1932)=0,"",MIN(D1932:P1932))</f>
        <v/>
      </c>
      <c r="R1932" s="8">
        <f>IF(COUNT(D1932:P1932)=0,"",MEDIAN(D1932:P1932))</f>
        <v/>
      </c>
      <c r="S1932" s="8">
        <f>IF(COUNT(D1932:P1932)=0,"",MAX(D1932:P1932))</f>
        <v/>
      </c>
      <c r="T1932" s="9">
        <f>IF(OR(Q1932="",Q1932=0),"",(S1932-Q1932)/Q1932)</f>
        <v/>
      </c>
      <c r="U1932" s="7">
        <f>IF(COUNT(D1932:P1932)=0,"",INDEX($D$1:$P$1,MATCH(MIN(D1932:P1932),D1932:P1932,0)))</f>
        <v/>
      </c>
      <c r="V1932" s="8" t="n">
        <v>10.34</v>
      </c>
      <c r="W1932" s="10" t="n">
        <v>1</v>
      </c>
    </row>
    <row r="1933">
      <c r="A1933" s="7" t="inlineStr">
        <is>
          <t>MAT-32-586</t>
        </is>
      </c>
      <c r="B1933" s="4" t="inlineStr">
        <is>
          <t>Tee de CPVC 1"</t>
        </is>
      </c>
      <c r="C1933" s="7" t="inlineStr">
        <is>
          <t>unidad</t>
        </is>
      </c>
      <c r="D1933" s="8" t="n"/>
      <c r="E1933" s="8" t="n">
        <v>40.95</v>
      </c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>
        <f>IF(COUNT(D1933:P1933)=0,"",MIN(D1933:P1933))</f>
        <v/>
      </c>
      <c r="R1933" s="8">
        <f>IF(COUNT(D1933:P1933)=0,"",MEDIAN(D1933:P1933))</f>
        <v/>
      </c>
      <c r="S1933" s="8">
        <f>IF(COUNT(D1933:P1933)=0,"",MAX(D1933:P1933))</f>
        <v/>
      </c>
      <c r="T1933" s="9">
        <f>IF(OR(Q1933="",Q1933=0),"",(S1933-Q1933)/Q1933)</f>
        <v/>
      </c>
      <c r="U1933" s="7">
        <f>IF(COUNT(D1933:P1933)=0,"",INDEX($D$1:$P$1,MATCH(MIN(D1933:P1933),D1933:P1933,0)))</f>
        <v/>
      </c>
      <c r="V1933" s="8" t="n">
        <v>40.95</v>
      </c>
      <c r="W1933" s="10" t="n">
        <v>1</v>
      </c>
    </row>
    <row r="1934">
      <c r="A1934" s="7" t="inlineStr">
        <is>
          <t>MAT-32-587</t>
        </is>
      </c>
      <c r="B1934" s="4" t="inlineStr">
        <is>
          <t>Tee de CPVC 3/4"</t>
        </is>
      </c>
      <c r="C1934" s="7" t="inlineStr">
        <is>
          <t>unidad</t>
        </is>
      </c>
      <c r="D1934" s="8" t="n"/>
      <c r="E1934" s="8" t="n">
        <v>27.04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>
        <f>IF(COUNT(D1934:P1934)=0,"",MIN(D1934:P1934))</f>
        <v/>
      </c>
      <c r="R1934" s="8">
        <f>IF(COUNT(D1934:P1934)=0,"",MEDIAN(D1934:P1934))</f>
        <v/>
      </c>
      <c r="S1934" s="8">
        <f>IF(COUNT(D1934:P1934)=0,"",MAX(D1934:P1934))</f>
        <v/>
      </c>
      <c r="T1934" s="9">
        <f>IF(OR(Q1934="",Q1934=0),"",(S1934-Q1934)/Q1934)</f>
        <v/>
      </c>
      <c r="U1934" s="7">
        <f>IF(COUNT(D1934:P1934)=0,"",INDEX($D$1:$P$1,MATCH(MIN(D1934:P1934),D1934:P1934,0)))</f>
        <v/>
      </c>
      <c r="V1934" s="8" t="n">
        <v>27.04</v>
      </c>
      <c r="W1934" s="10" t="n">
        <v>1</v>
      </c>
    </row>
    <row r="1935">
      <c r="A1935" s="7" t="inlineStr">
        <is>
          <t>MAT-32-588</t>
        </is>
      </c>
      <c r="B1935" s="4" t="inlineStr">
        <is>
          <t>Tee de HG 1 1/2"</t>
        </is>
      </c>
      <c r="C1935" s="7" t="inlineStr">
        <is>
          <t>unidad</t>
        </is>
      </c>
      <c r="D1935" s="8" t="n"/>
      <c r="E1935" s="8" t="n">
        <v>143</v>
      </c>
      <c r="F1935" s="8" t="n"/>
      <c r="G1935" s="8" t="n">
        <v>277</v>
      </c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>
        <f>IF(COUNT(D1935:P1935)=0,"",MIN(D1935:P1935))</f>
        <v/>
      </c>
      <c r="R1935" s="8">
        <f>IF(COUNT(D1935:P1935)=0,"",MEDIAN(D1935:P1935))</f>
        <v/>
      </c>
      <c r="S1935" s="8">
        <f>IF(COUNT(D1935:P1935)=0,"",MAX(D1935:P1935))</f>
        <v/>
      </c>
      <c r="T1935" s="9">
        <f>IF(OR(Q1935="",Q1935=0),"",(S1935-Q1935)/Q1935)</f>
        <v/>
      </c>
      <c r="U1935" s="7">
        <f>IF(COUNT(D1935:P1935)=0,"",INDEX($D$1:$P$1,MATCH(MIN(D1935:P1935),D1935:P1935,0)))</f>
        <v/>
      </c>
      <c r="V1935" s="8" t="n">
        <v>210</v>
      </c>
      <c r="W1935" s="10" t="n">
        <v>2</v>
      </c>
    </row>
    <row r="1936">
      <c r="A1936" s="7" t="inlineStr">
        <is>
          <t>MAT-32-589</t>
        </is>
      </c>
      <c r="B1936" s="4" t="inlineStr">
        <is>
          <t>Tee de HG 1 1/4"</t>
        </is>
      </c>
      <c r="C1936" s="7" t="inlineStr">
        <is>
          <t>unidad</t>
        </is>
      </c>
      <c r="D1936" s="8" t="n"/>
      <c r="E1936" s="8" t="n">
        <v>119</v>
      </c>
      <c r="F1936" s="8" t="n"/>
      <c r="G1936" s="8" t="n"/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>
        <f>IF(COUNT(D1936:P1936)=0,"",MIN(D1936:P1936))</f>
        <v/>
      </c>
      <c r="R1936" s="8">
        <f>IF(COUNT(D1936:P1936)=0,"",MEDIAN(D1936:P1936))</f>
        <v/>
      </c>
      <c r="S1936" s="8">
        <f>IF(COUNT(D1936:P1936)=0,"",MAX(D1936:P1936))</f>
        <v/>
      </c>
      <c r="T1936" s="9">
        <f>IF(OR(Q1936="",Q1936=0),"",(S1936-Q1936)/Q1936)</f>
        <v/>
      </c>
      <c r="U1936" s="7">
        <f>IF(COUNT(D1936:P1936)=0,"",INDEX($D$1:$P$1,MATCH(MIN(D1936:P1936),D1936:P1936,0)))</f>
        <v/>
      </c>
      <c r="V1936" s="8" t="n">
        <v>119</v>
      </c>
      <c r="W1936" s="10" t="n">
        <v>1</v>
      </c>
    </row>
    <row r="1937">
      <c r="A1937" s="7" t="inlineStr">
        <is>
          <t>MAT-32-590</t>
        </is>
      </c>
      <c r="B1937" s="4" t="inlineStr">
        <is>
          <t>Tee de HG 1/2"</t>
        </is>
      </c>
      <c r="C1937" s="7" t="inlineStr">
        <is>
          <t>unidad</t>
        </is>
      </c>
      <c r="D1937" s="8" t="n"/>
      <c r="E1937" s="8" t="n">
        <v>34</v>
      </c>
      <c r="F1937" s="8" t="n"/>
      <c r="G1937" s="8" t="n">
        <v>40</v>
      </c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>
        <f>IF(COUNT(D1937:P1937)=0,"",MIN(D1937:P1937))</f>
        <v/>
      </c>
      <c r="R1937" s="8">
        <f>IF(COUNT(D1937:P1937)=0,"",MEDIAN(D1937:P1937))</f>
        <v/>
      </c>
      <c r="S1937" s="8">
        <f>IF(COUNT(D1937:P1937)=0,"",MAX(D1937:P1937))</f>
        <v/>
      </c>
      <c r="T1937" s="9">
        <f>IF(OR(Q1937="",Q1937=0),"",(S1937-Q1937)/Q1937)</f>
        <v/>
      </c>
      <c r="U1937" s="7">
        <f>IF(COUNT(D1937:P1937)=0,"",INDEX($D$1:$P$1,MATCH(MIN(D1937:P1937),D1937:P1937,0)))</f>
        <v/>
      </c>
      <c r="V1937" s="8" t="n">
        <v>37</v>
      </c>
      <c r="W1937" s="10" t="n">
        <v>2</v>
      </c>
    </row>
    <row r="1938">
      <c r="A1938" s="7" t="inlineStr">
        <is>
          <t>MAT-32-591</t>
        </is>
      </c>
      <c r="B1938" s="4" t="inlineStr">
        <is>
          <t>Tee de HG 1/4"</t>
        </is>
      </c>
      <c r="C1938" s="7" t="inlineStr">
        <is>
          <t>unidad</t>
        </is>
      </c>
      <c r="D1938" s="8" t="n"/>
      <c r="E1938" s="8" t="n">
        <v>37</v>
      </c>
      <c r="F1938" s="8" t="n"/>
      <c r="G1938" s="8" t="n">
        <v>130</v>
      </c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>
        <f>IF(COUNT(D1938:P1938)=0,"",MIN(D1938:P1938))</f>
        <v/>
      </c>
      <c r="R1938" s="8">
        <f>IF(COUNT(D1938:P1938)=0,"",MEDIAN(D1938:P1938))</f>
        <v/>
      </c>
      <c r="S1938" s="8">
        <f>IF(COUNT(D1938:P1938)=0,"",MAX(D1938:P1938))</f>
        <v/>
      </c>
      <c r="T1938" s="9">
        <f>IF(OR(Q1938="",Q1938=0),"",(S1938-Q1938)/Q1938)</f>
        <v/>
      </c>
      <c r="U1938" s="7">
        <f>IF(COUNT(D1938:P1938)=0,"",INDEX($D$1:$P$1,MATCH(MIN(D1938:P1938),D1938:P1938,0)))</f>
        <v/>
      </c>
      <c r="V1938" s="8" t="n">
        <v>83.5</v>
      </c>
      <c r="W1938" s="10" t="n">
        <v>2</v>
      </c>
    </row>
    <row r="1939">
      <c r="A1939" s="7" t="inlineStr">
        <is>
          <t>MAT-32-592</t>
        </is>
      </c>
      <c r="B1939" s="4" t="inlineStr">
        <is>
          <t>Tee de HG 1"</t>
        </is>
      </c>
      <c r="C1939" s="7" t="inlineStr">
        <is>
          <t>unidad</t>
        </is>
      </c>
      <c r="D1939" s="8" t="n"/>
      <c r="E1939" s="8" t="n">
        <v>77</v>
      </c>
      <c r="F1939" s="8" t="n"/>
      <c r="G1939" s="8" t="n">
        <v>160</v>
      </c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>
        <f>IF(COUNT(D1939:P1939)=0,"",MIN(D1939:P1939))</f>
        <v/>
      </c>
      <c r="R1939" s="8">
        <f>IF(COUNT(D1939:P1939)=0,"",MEDIAN(D1939:P1939))</f>
        <v/>
      </c>
      <c r="S1939" s="8">
        <f>IF(COUNT(D1939:P1939)=0,"",MAX(D1939:P1939))</f>
        <v/>
      </c>
      <c r="T1939" s="9">
        <f>IF(OR(Q1939="",Q1939=0),"",(S1939-Q1939)/Q1939)</f>
        <v/>
      </c>
      <c r="U1939" s="7">
        <f>IF(COUNT(D1939:P1939)=0,"",INDEX($D$1:$P$1,MATCH(MIN(D1939:P1939),D1939:P1939,0)))</f>
        <v/>
      </c>
      <c r="V1939" s="8" t="n">
        <v>118.5</v>
      </c>
      <c r="W1939" s="10" t="n">
        <v>2</v>
      </c>
    </row>
    <row r="1940">
      <c r="A1940" s="7" t="inlineStr">
        <is>
          <t>MAT-32-593</t>
        </is>
      </c>
      <c r="B1940" s="4" t="inlineStr">
        <is>
          <t>Tee de HG 2 1/2"</t>
        </is>
      </c>
      <c r="C1940" s="7" t="inlineStr">
        <is>
          <t>unidad</t>
        </is>
      </c>
      <c r="D1940" s="8" t="n"/>
      <c r="E1940" s="8" t="n">
        <v>526</v>
      </c>
      <c r="F1940" s="8" t="n"/>
      <c r="G1940" s="8" t="n"/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>
        <f>IF(COUNT(D1940:P1940)=0,"",MIN(D1940:P1940))</f>
        <v/>
      </c>
      <c r="R1940" s="8">
        <f>IF(COUNT(D1940:P1940)=0,"",MEDIAN(D1940:P1940))</f>
        <v/>
      </c>
      <c r="S1940" s="8">
        <f>IF(COUNT(D1940:P1940)=0,"",MAX(D1940:P1940))</f>
        <v/>
      </c>
      <c r="T1940" s="9">
        <f>IF(OR(Q1940="",Q1940=0),"",(S1940-Q1940)/Q1940)</f>
        <v/>
      </c>
      <c r="U1940" s="7">
        <f>IF(COUNT(D1940:P1940)=0,"",INDEX($D$1:$P$1,MATCH(MIN(D1940:P1940),D1940:P1940,0)))</f>
        <v/>
      </c>
      <c r="V1940" s="8" t="n">
        <v>526</v>
      </c>
      <c r="W1940" s="10" t="n">
        <v>1</v>
      </c>
    </row>
    <row r="1941">
      <c r="A1941" s="7" t="inlineStr">
        <is>
          <t>MAT-32-594</t>
        </is>
      </c>
      <c r="B1941" s="4" t="inlineStr">
        <is>
          <t>Tee de HG 2"</t>
        </is>
      </c>
      <c r="C1941" s="7" t="inlineStr">
        <is>
          <t>unidad</t>
        </is>
      </c>
      <c r="D1941" s="8" t="n"/>
      <c r="E1941" s="8" t="n">
        <v>212</v>
      </c>
      <c r="F1941" s="8" t="n"/>
      <c r="G1941" s="8" t="n">
        <v>383</v>
      </c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>
        <f>IF(COUNT(D1941:P1941)=0,"",MIN(D1941:P1941))</f>
        <v/>
      </c>
      <c r="R1941" s="8">
        <f>IF(COUNT(D1941:P1941)=0,"",MEDIAN(D1941:P1941))</f>
        <v/>
      </c>
      <c r="S1941" s="8">
        <f>IF(COUNT(D1941:P1941)=0,"",MAX(D1941:P1941))</f>
        <v/>
      </c>
      <c r="T1941" s="9">
        <f>IF(OR(Q1941="",Q1941=0),"",(S1941-Q1941)/Q1941)</f>
        <v/>
      </c>
      <c r="U1941" s="7">
        <f>IF(COUNT(D1941:P1941)=0,"",INDEX($D$1:$P$1,MATCH(MIN(D1941:P1941),D1941:P1941,0)))</f>
        <v/>
      </c>
      <c r="V1941" s="8" t="n">
        <v>297.5</v>
      </c>
      <c r="W1941" s="10" t="n">
        <v>2</v>
      </c>
    </row>
    <row r="1942">
      <c r="A1942" s="7" t="inlineStr">
        <is>
          <t>MAT-32-595</t>
        </is>
      </c>
      <c r="B1942" s="4" t="inlineStr">
        <is>
          <t>Tee de HG 3/4"</t>
        </is>
      </c>
      <c r="C1942" s="7" t="inlineStr">
        <is>
          <t>unidad</t>
        </is>
      </c>
      <c r="D1942" s="8" t="n"/>
      <c r="E1942" s="8" t="n">
        <v>49</v>
      </c>
      <c r="F1942" s="8" t="n"/>
      <c r="G1942" s="8" t="n">
        <v>95</v>
      </c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>
        <f>IF(COUNT(D1942:P1942)=0,"",MIN(D1942:P1942))</f>
        <v/>
      </c>
      <c r="R1942" s="8">
        <f>IF(COUNT(D1942:P1942)=0,"",MEDIAN(D1942:P1942))</f>
        <v/>
      </c>
      <c r="S1942" s="8">
        <f>IF(COUNT(D1942:P1942)=0,"",MAX(D1942:P1942))</f>
        <v/>
      </c>
      <c r="T1942" s="9">
        <f>IF(OR(Q1942="",Q1942=0),"",(S1942-Q1942)/Q1942)</f>
        <v/>
      </c>
      <c r="U1942" s="7">
        <f>IF(COUNT(D1942:P1942)=0,"",INDEX($D$1:$P$1,MATCH(MIN(D1942:P1942),D1942:P1942,0)))</f>
        <v/>
      </c>
      <c r="V1942" s="8" t="n">
        <v>72</v>
      </c>
      <c r="W1942" s="10" t="n">
        <v>2</v>
      </c>
    </row>
    <row r="1943">
      <c r="A1943" s="7" t="inlineStr">
        <is>
          <t>MAT-32-596</t>
        </is>
      </c>
      <c r="B1943" s="4" t="inlineStr">
        <is>
          <t>Tee de HG 3/8"</t>
        </is>
      </c>
      <c r="C1943" s="7" t="inlineStr">
        <is>
          <t>unidad</t>
        </is>
      </c>
      <c r="D1943" s="8" t="n"/>
      <c r="E1943" s="8" t="n">
        <v>42.23</v>
      </c>
      <c r="F1943" s="8" t="n"/>
      <c r="G1943" s="8" t="n">
        <v>58</v>
      </c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>
        <f>IF(COUNT(D1943:P1943)=0,"",MIN(D1943:P1943))</f>
        <v/>
      </c>
      <c r="R1943" s="8">
        <f>IF(COUNT(D1943:P1943)=0,"",MEDIAN(D1943:P1943))</f>
        <v/>
      </c>
      <c r="S1943" s="8">
        <f>IF(COUNT(D1943:P1943)=0,"",MAX(D1943:P1943))</f>
        <v/>
      </c>
      <c r="T1943" s="9">
        <f>IF(OR(Q1943="",Q1943=0),"",(S1943-Q1943)/Q1943)</f>
        <v/>
      </c>
      <c r="U1943" s="7">
        <f>IF(COUNT(D1943:P1943)=0,"",INDEX($D$1:$P$1,MATCH(MIN(D1943:P1943),D1943:P1943,0)))</f>
        <v/>
      </c>
      <c r="V1943" s="8" t="n">
        <v>50.11</v>
      </c>
      <c r="W1943" s="10" t="n">
        <v>2</v>
      </c>
    </row>
    <row r="1944">
      <c r="A1944" s="7" t="inlineStr">
        <is>
          <t>MAT-32-597</t>
        </is>
      </c>
      <c r="B1944" s="4" t="inlineStr">
        <is>
          <t>Tee de HG 3"</t>
        </is>
      </c>
      <c r="C1944" s="7" t="inlineStr">
        <is>
          <t>unidad</t>
        </is>
      </c>
      <c r="D1944" s="8" t="n"/>
      <c r="E1944" s="8" t="n">
        <v>603</v>
      </c>
      <c r="F1944" s="8" t="n"/>
      <c r="G1944" s="8" t="n"/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>
        <f>IF(COUNT(D1944:P1944)=0,"",MIN(D1944:P1944))</f>
        <v/>
      </c>
      <c r="R1944" s="8">
        <f>IF(COUNT(D1944:P1944)=0,"",MEDIAN(D1944:P1944))</f>
        <v/>
      </c>
      <c r="S1944" s="8">
        <f>IF(COUNT(D1944:P1944)=0,"",MAX(D1944:P1944))</f>
        <v/>
      </c>
      <c r="T1944" s="9">
        <f>IF(OR(Q1944="",Q1944=0),"",(S1944-Q1944)/Q1944)</f>
        <v/>
      </c>
      <c r="U1944" s="7">
        <f>IF(COUNT(D1944:P1944)=0,"",INDEX($D$1:$P$1,MATCH(MIN(D1944:P1944),D1944:P1944,0)))</f>
        <v/>
      </c>
      <c r="V1944" s="8" t="n">
        <v>603</v>
      </c>
      <c r="W1944" s="10" t="n">
        <v>1</v>
      </c>
    </row>
    <row r="1945">
      <c r="A1945" s="7" t="inlineStr">
        <is>
          <t>MAT-32-598</t>
        </is>
      </c>
      <c r="B1945" s="4" t="inlineStr">
        <is>
          <t>Tee de HG 4"</t>
        </is>
      </c>
      <c r="C1945" s="7" t="inlineStr">
        <is>
          <t>unidad</t>
        </is>
      </c>
      <c r="D1945" s="8" t="n"/>
      <c r="E1945" s="8" t="n">
        <v>1187</v>
      </c>
      <c r="F1945" s="8" t="n"/>
      <c r="G1945" s="8" t="n"/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>
        <f>IF(COUNT(D1945:P1945)=0,"",MIN(D1945:P1945))</f>
        <v/>
      </c>
      <c r="R1945" s="8">
        <f>IF(COUNT(D1945:P1945)=0,"",MEDIAN(D1945:P1945))</f>
        <v/>
      </c>
      <c r="S1945" s="8">
        <f>IF(COUNT(D1945:P1945)=0,"",MAX(D1945:P1945))</f>
        <v/>
      </c>
      <c r="T1945" s="9">
        <f>IF(OR(Q1945="",Q1945=0),"",(S1945-Q1945)/Q1945)</f>
        <v/>
      </c>
      <c r="U1945" s="7">
        <f>IF(COUNT(D1945:P1945)=0,"",INDEX($D$1:$P$1,MATCH(MIN(D1945:P1945),D1945:P1945,0)))</f>
        <v/>
      </c>
      <c r="V1945" s="8" t="n">
        <v>1187</v>
      </c>
      <c r="W1945" s="10" t="n">
        <v>1</v>
      </c>
    </row>
    <row r="1946">
      <c r="A1946" s="7" t="inlineStr">
        <is>
          <t>MAT-32-599</t>
        </is>
      </c>
      <c r="B1946" s="4" t="inlineStr">
        <is>
          <t>Tee de niquelado 1/2"</t>
        </is>
      </c>
      <c r="C1946" s="7" t="inlineStr">
        <is>
          <t>unidad</t>
        </is>
      </c>
      <c r="D1946" s="8" t="n"/>
      <c r="E1946" s="8" t="n"/>
      <c r="F1946" s="8" t="n"/>
      <c r="G1946" s="8" t="n">
        <v>444</v>
      </c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>
        <f>IF(COUNT(D1946:P1946)=0,"",MIN(D1946:P1946))</f>
        <v/>
      </c>
      <c r="R1946" s="8">
        <f>IF(COUNT(D1946:P1946)=0,"",MEDIAN(D1946:P1946))</f>
        <v/>
      </c>
      <c r="S1946" s="8">
        <f>IF(COUNT(D1946:P1946)=0,"",MAX(D1946:P1946))</f>
        <v/>
      </c>
      <c r="T1946" s="9">
        <f>IF(OR(Q1946="",Q1946=0),"",(S1946-Q1946)/Q1946)</f>
        <v/>
      </c>
      <c r="U1946" s="7">
        <f>IF(COUNT(D1946:P1946)=0,"",INDEX($D$1:$P$1,MATCH(MIN(D1946:P1946),D1946:P1946,0)))</f>
        <v/>
      </c>
      <c r="V1946" s="8" t="n">
        <v>444</v>
      </c>
      <c r="W1946" s="10" t="n">
        <v>1</v>
      </c>
    </row>
    <row r="1947">
      <c r="A1947" s="7" t="inlineStr">
        <is>
          <t>MAT-32-600</t>
        </is>
      </c>
      <c r="B1947" s="4" t="inlineStr">
        <is>
          <t>Tee de plástico 63"</t>
        </is>
      </c>
      <c r="C1947" s="7" t="inlineStr">
        <is>
          <t>unidad</t>
        </is>
      </c>
      <c r="D1947" s="8" t="n"/>
      <c r="E1947" s="8" t="n">
        <v>1020</v>
      </c>
      <c r="F1947" s="8" t="n"/>
      <c r="G1947" s="8" t="n"/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>
        <f>IF(COUNT(D1947:P1947)=0,"",MIN(D1947:P1947))</f>
        <v/>
      </c>
      <c r="R1947" s="8">
        <f>IF(COUNT(D1947:P1947)=0,"",MEDIAN(D1947:P1947))</f>
        <v/>
      </c>
      <c r="S1947" s="8">
        <f>IF(COUNT(D1947:P1947)=0,"",MAX(D1947:P1947))</f>
        <v/>
      </c>
      <c r="T1947" s="9">
        <f>IF(OR(Q1947="",Q1947=0),"",(S1947-Q1947)/Q1947)</f>
        <v/>
      </c>
      <c r="U1947" s="7">
        <f>IF(COUNT(D1947:P1947)=0,"",INDEX($D$1:$P$1,MATCH(MIN(D1947:P1947),D1947:P1947,0)))</f>
        <v/>
      </c>
      <c r="V1947" s="8" t="n">
        <v>1020</v>
      </c>
      <c r="W1947" s="10" t="n">
        <v>1</v>
      </c>
    </row>
    <row r="1948">
      <c r="A1948" s="7" t="inlineStr">
        <is>
          <t>MAT-32-601</t>
        </is>
      </c>
      <c r="B1948" s="4" t="inlineStr">
        <is>
          <t>Tee de PPR 20 mm</t>
        </is>
      </c>
      <c r="C1948" s="7" t="inlineStr">
        <is>
          <t>unidad</t>
        </is>
      </c>
      <c r="D1948" s="8" t="n"/>
      <c r="E1948" s="8" t="n">
        <v>7.98</v>
      </c>
      <c r="F1948" s="8" t="n"/>
      <c r="G1948" s="8" t="n">
        <v>55</v>
      </c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>
        <f>IF(COUNT(D1948:P1948)=0,"",MIN(D1948:P1948))</f>
        <v/>
      </c>
      <c r="R1948" s="8">
        <f>IF(COUNT(D1948:P1948)=0,"",MEDIAN(D1948:P1948))</f>
        <v/>
      </c>
      <c r="S1948" s="8">
        <f>IF(COUNT(D1948:P1948)=0,"",MAX(D1948:P1948))</f>
        <v/>
      </c>
      <c r="T1948" s="9">
        <f>IF(OR(Q1948="",Q1948=0),"",(S1948-Q1948)/Q1948)</f>
        <v/>
      </c>
      <c r="U1948" s="7">
        <f>IF(COUNT(D1948:P1948)=0,"",INDEX($D$1:$P$1,MATCH(MIN(D1948:P1948),D1948:P1948,0)))</f>
        <v/>
      </c>
      <c r="V1948" s="8" t="n">
        <v>28.95</v>
      </c>
      <c r="W1948" s="10" t="n">
        <v>2</v>
      </c>
    </row>
    <row r="1949">
      <c r="A1949" s="7" t="inlineStr">
        <is>
          <t>MAT-32-602</t>
        </is>
      </c>
      <c r="B1949" s="4" t="inlineStr">
        <is>
          <t>Tee de PPR 25 mm</t>
        </is>
      </c>
      <c r="C1949" s="7" t="inlineStr">
        <is>
          <t>unidad</t>
        </is>
      </c>
      <c r="D1949" s="8" t="n"/>
      <c r="E1949" s="8" t="n">
        <v>12.12</v>
      </c>
      <c r="F1949" s="8" t="n"/>
      <c r="G1949" s="8" t="n">
        <v>50</v>
      </c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>
        <f>IF(COUNT(D1949:P1949)=0,"",MIN(D1949:P1949))</f>
        <v/>
      </c>
      <c r="R1949" s="8">
        <f>IF(COUNT(D1949:P1949)=0,"",MEDIAN(D1949:P1949))</f>
        <v/>
      </c>
      <c r="S1949" s="8">
        <f>IF(COUNT(D1949:P1949)=0,"",MAX(D1949:P1949))</f>
        <v/>
      </c>
      <c r="T1949" s="9">
        <f>IF(OR(Q1949="",Q1949=0),"",(S1949-Q1949)/Q1949)</f>
        <v/>
      </c>
      <c r="U1949" s="7">
        <f>IF(COUNT(D1949:P1949)=0,"",INDEX($D$1:$P$1,MATCH(MIN(D1949:P1949),D1949:P1949,0)))</f>
        <v/>
      </c>
      <c r="V1949" s="8" t="n">
        <v>29.36</v>
      </c>
      <c r="W1949" s="10" t="n">
        <v>2</v>
      </c>
    </row>
    <row r="1950">
      <c r="A1950" s="7" t="inlineStr">
        <is>
          <t>MAT-32-603</t>
        </is>
      </c>
      <c r="B1950" s="4" t="inlineStr">
        <is>
          <t>Tee de PPR 32 mm</t>
        </is>
      </c>
      <c r="C1950" s="7" t="inlineStr">
        <is>
          <t>unidad</t>
        </is>
      </c>
      <c r="D1950" s="8" t="n"/>
      <c r="E1950" s="8" t="n">
        <v>19.4</v>
      </c>
      <c r="F1950" s="8" t="n"/>
      <c r="G1950" s="8" t="n">
        <v>75</v>
      </c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>
        <f>IF(COUNT(D1950:P1950)=0,"",MIN(D1950:P1950))</f>
        <v/>
      </c>
      <c r="R1950" s="8">
        <f>IF(COUNT(D1950:P1950)=0,"",MEDIAN(D1950:P1950))</f>
        <v/>
      </c>
      <c r="S1950" s="8">
        <f>IF(COUNT(D1950:P1950)=0,"",MAX(D1950:P1950))</f>
        <v/>
      </c>
      <c r="T1950" s="9">
        <f>IF(OR(Q1950="",Q1950=0),"",(S1950-Q1950)/Q1950)</f>
        <v/>
      </c>
      <c r="U1950" s="7">
        <f>IF(COUNT(D1950:P1950)=0,"",INDEX($D$1:$P$1,MATCH(MIN(D1950:P1950),D1950:P1950,0)))</f>
        <v/>
      </c>
      <c r="V1950" s="8" t="n">
        <v>51.19</v>
      </c>
      <c r="W1950" s="10" t="n">
        <v>2</v>
      </c>
    </row>
    <row r="1951">
      <c r="A1951" s="7" t="inlineStr">
        <is>
          <t>MAT-32-604</t>
        </is>
      </c>
      <c r="B1951" s="4" t="inlineStr">
        <is>
          <t>Tee de PPR 50 mm</t>
        </is>
      </c>
      <c r="C1951" s="7" t="inlineStr">
        <is>
          <t>unidad</t>
        </is>
      </c>
      <c r="D1951" s="8" t="n"/>
      <c r="E1951" s="8" t="n">
        <v>63.12</v>
      </c>
      <c r="F1951" s="8" t="n"/>
      <c r="G1951" s="8" t="n"/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>
        <f>IF(COUNT(D1951:P1951)=0,"",MIN(D1951:P1951))</f>
        <v/>
      </c>
      <c r="R1951" s="8">
        <f>IF(COUNT(D1951:P1951)=0,"",MEDIAN(D1951:P1951))</f>
        <v/>
      </c>
      <c r="S1951" s="8">
        <f>IF(COUNT(D1951:P1951)=0,"",MAX(D1951:P1951))</f>
        <v/>
      </c>
      <c r="T1951" s="9">
        <f>IF(OR(Q1951="",Q1951=0),"",(S1951-Q1951)/Q1951)</f>
        <v/>
      </c>
      <c r="U1951" s="7">
        <f>IF(COUNT(D1951:P1951)=0,"",INDEX($D$1:$P$1,MATCH(MIN(D1951:P1951),D1951:P1951,0)))</f>
        <v/>
      </c>
      <c r="V1951" s="8" t="n">
        <v>63.12</v>
      </c>
      <c r="W1951" s="10" t="n">
        <v>1</v>
      </c>
    </row>
    <row r="1952">
      <c r="A1952" s="7" t="inlineStr">
        <is>
          <t>MAT-32-605</t>
        </is>
      </c>
      <c r="B1952" s="4" t="inlineStr">
        <is>
          <t>Tee de PVC drenaje 1 1/2"</t>
        </is>
      </c>
      <c r="C1952" s="7" t="inlineStr">
        <is>
          <t>unidad</t>
        </is>
      </c>
      <c r="D1952" s="8" t="n"/>
      <c r="E1952" s="8" t="n">
        <v>22.5</v>
      </c>
      <c r="F1952" s="8" t="n"/>
      <c r="G1952" s="8" t="n">
        <v>86</v>
      </c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>
        <f>IF(COUNT(D1952:P1952)=0,"",MIN(D1952:P1952))</f>
        <v/>
      </c>
      <c r="R1952" s="8">
        <f>IF(COUNT(D1952:P1952)=0,"",MEDIAN(D1952:P1952))</f>
        <v/>
      </c>
      <c r="S1952" s="8">
        <f>IF(COUNT(D1952:P1952)=0,"",MAX(D1952:P1952))</f>
        <v/>
      </c>
      <c r="T1952" s="9">
        <f>IF(OR(Q1952="",Q1952=0),"",(S1952-Q1952)/Q1952)</f>
        <v/>
      </c>
      <c r="U1952" s="7">
        <f>IF(COUNT(D1952:P1952)=0,"",INDEX($D$1:$P$1,MATCH(MIN(D1952:P1952),D1952:P1952,0)))</f>
        <v/>
      </c>
      <c r="V1952" s="8" t="n">
        <v>31.55</v>
      </c>
      <c r="W1952" s="10" t="n">
        <v>2</v>
      </c>
    </row>
    <row r="1953">
      <c r="A1953" s="7" t="inlineStr">
        <is>
          <t>MAT-32-606</t>
        </is>
      </c>
      <c r="B1953" s="4" t="inlineStr">
        <is>
          <t>Tee de PVC drenaje 2"</t>
        </is>
      </c>
      <c r="C1953" s="7" t="inlineStr">
        <is>
          <t>unidad</t>
        </is>
      </c>
      <c r="D1953" s="8" t="n"/>
      <c r="E1953" s="8" t="n">
        <v>33.78</v>
      </c>
      <c r="F1953" s="8" t="n"/>
      <c r="G1953" s="8" t="n">
        <v>135</v>
      </c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>
        <f>IF(COUNT(D1953:P1953)=0,"",MIN(D1953:P1953))</f>
        <v/>
      </c>
      <c r="R1953" s="8">
        <f>IF(COUNT(D1953:P1953)=0,"",MEDIAN(D1953:P1953))</f>
        <v/>
      </c>
      <c r="S1953" s="8">
        <f>IF(COUNT(D1953:P1953)=0,"",MAX(D1953:P1953))</f>
        <v/>
      </c>
      <c r="T1953" s="9">
        <f>IF(OR(Q1953="",Q1953=0),"",(S1953-Q1953)/Q1953)</f>
        <v/>
      </c>
      <c r="U1953" s="7">
        <f>IF(COUNT(D1953:P1953)=0,"",INDEX($D$1:$P$1,MATCH(MIN(D1953:P1953),D1953:P1953,0)))</f>
        <v/>
      </c>
      <c r="V1953" s="8" t="n">
        <v>47.64</v>
      </c>
      <c r="W1953" s="10" t="n">
        <v>2</v>
      </c>
    </row>
    <row r="1954">
      <c r="A1954" s="7" t="inlineStr">
        <is>
          <t>MAT-32-607</t>
        </is>
      </c>
      <c r="B1954" s="4" t="inlineStr">
        <is>
          <t>Tee de PVC drenaje 3"</t>
        </is>
      </c>
      <c r="C1954" s="7" t="inlineStr">
        <is>
          <t>unidad</t>
        </is>
      </c>
      <c r="D1954" s="8" t="n"/>
      <c r="E1954" s="8" t="n">
        <v>108</v>
      </c>
      <c r="F1954" s="8" t="n"/>
      <c r="G1954" s="8" t="n">
        <v>194</v>
      </c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>
        <f>IF(COUNT(D1954:P1954)=0,"",MIN(D1954:P1954))</f>
        <v/>
      </c>
      <c r="R1954" s="8">
        <f>IF(COUNT(D1954:P1954)=0,"",MEDIAN(D1954:P1954))</f>
        <v/>
      </c>
      <c r="S1954" s="8">
        <f>IF(COUNT(D1954:P1954)=0,"",MAX(D1954:P1954))</f>
        <v/>
      </c>
      <c r="T1954" s="9">
        <f>IF(OR(Q1954="",Q1954=0),"",(S1954-Q1954)/Q1954)</f>
        <v/>
      </c>
      <c r="U1954" s="7">
        <f>IF(COUNT(D1954:P1954)=0,"",INDEX($D$1:$P$1,MATCH(MIN(D1954:P1954),D1954:P1954,0)))</f>
        <v/>
      </c>
      <c r="V1954" s="8" t="n">
        <v>153.5</v>
      </c>
      <c r="W1954" s="10" t="n">
        <v>2</v>
      </c>
    </row>
    <row r="1955">
      <c r="A1955" s="7" t="inlineStr">
        <is>
          <t>MAT-32-608</t>
        </is>
      </c>
      <c r="B1955" s="4" t="inlineStr">
        <is>
          <t>Tee de PVC drenaje 3" x 2"</t>
        </is>
      </c>
      <c r="C1955" s="7" t="inlineStr">
        <is>
          <t>unidad</t>
        </is>
      </c>
      <c r="D1955" s="8" t="n"/>
      <c r="E1955" s="8" t="n">
        <v>84.17</v>
      </c>
      <c r="F1955" s="8" t="n"/>
      <c r="G1955" s="8" t="n"/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>
        <f>IF(COUNT(D1955:P1955)=0,"",MIN(D1955:P1955))</f>
        <v/>
      </c>
      <c r="R1955" s="8">
        <f>IF(COUNT(D1955:P1955)=0,"",MEDIAN(D1955:P1955))</f>
        <v/>
      </c>
      <c r="S1955" s="8">
        <f>IF(COUNT(D1955:P1955)=0,"",MAX(D1955:P1955))</f>
        <v/>
      </c>
      <c r="T1955" s="9">
        <f>IF(OR(Q1955="",Q1955=0),"",(S1955-Q1955)/Q1955)</f>
        <v/>
      </c>
      <c r="U1955" s="7">
        <f>IF(COUNT(D1955:P1955)=0,"",INDEX($D$1:$P$1,MATCH(MIN(D1955:P1955),D1955:P1955,0)))</f>
        <v/>
      </c>
      <c r="V1955" s="8" t="n">
        <v>84.17</v>
      </c>
      <c r="W1955" s="10" t="n">
        <v>1</v>
      </c>
    </row>
    <row r="1956">
      <c r="A1956" s="7" t="inlineStr">
        <is>
          <t>MAT-32-609</t>
        </is>
      </c>
      <c r="B1956" s="4" t="inlineStr">
        <is>
          <t>Tee de PVC drenaje 4"</t>
        </is>
      </c>
      <c r="C1956" s="7" t="inlineStr">
        <is>
          <t>unidad</t>
        </is>
      </c>
      <c r="D1956" s="8" t="n"/>
      <c r="E1956" s="8" t="n">
        <v>139</v>
      </c>
      <c r="F1956" s="8" t="n"/>
      <c r="G1956" s="8" t="n">
        <v>260</v>
      </c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>
        <f>IF(COUNT(D1956:P1956)=0,"",MIN(D1956:P1956))</f>
        <v/>
      </c>
      <c r="R1956" s="8">
        <f>IF(COUNT(D1956:P1956)=0,"",MEDIAN(D1956:P1956))</f>
        <v/>
      </c>
      <c r="S1956" s="8">
        <f>IF(COUNT(D1956:P1956)=0,"",MAX(D1956:P1956))</f>
        <v/>
      </c>
      <c r="T1956" s="9">
        <f>IF(OR(Q1956="",Q1956=0),"",(S1956-Q1956)/Q1956)</f>
        <v/>
      </c>
      <c r="U1956" s="7">
        <f>IF(COUNT(D1956:P1956)=0,"",INDEX($D$1:$P$1,MATCH(MIN(D1956:P1956),D1956:P1956,0)))</f>
        <v/>
      </c>
      <c r="V1956" s="8" t="n">
        <v>227.32</v>
      </c>
      <c r="W1956" s="10" t="n">
        <v>2</v>
      </c>
    </row>
    <row r="1957">
      <c r="A1957" s="7" t="inlineStr">
        <is>
          <t>MAT-32-610</t>
        </is>
      </c>
      <c r="B1957" s="4" t="inlineStr">
        <is>
          <t>Tee de PVC drenaje 4" x 2"</t>
        </is>
      </c>
      <c r="C1957" s="7" t="inlineStr">
        <is>
          <t>unidad</t>
        </is>
      </c>
      <c r="D1957" s="8" t="n"/>
      <c r="E1957" s="8" t="n">
        <v>88.56</v>
      </c>
      <c r="F1957" s="8" t="n"/>
      <c r="G1957" s="8" t="n"/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>
        <f>IF(COUNT(D1957:P1957)=0,"",MIN(D1957:P1957))</f>
        <v/>
      </c>
      <c r="R1957" s="8">
        <f>IF(COUNT(D1957:P1957)=0,"",MEDIAN(D1957:P1957))</f>
        <v/>
      </c>
      <c r="S1957" s="8">
        <f>IF(COUNT(D1957:P1957)=0,"",MAX(D1957:P1957))</f>
        <v/>
      </c>
      <c r="T1957" s="9">
        <f>IF(OR(Q1957="",Q1957=0),"",(S1957-Q1957)/Q1957)</f>
        <v/>
      </c>
      <c r="U1957" s="7">
        <f>IF(COUNT(D1957:P1957)=0,"",INDEX($D$1:$P$1,MATCH(MIN(D1957:P1957),D1957:P1957,0)))</f>
        <v/>
      </c>
      <c r="V1957" s="8" t="n">
        <v>100.25</v>
      </c>
      <c r="W1957" s="10" t="n">
        <v>1</v>
      </c>
    </row>
    <row r="1958">
      <c r="A1958" s="7" t="inlineStr">
        <is>
          <t>MAT-32-611</t>
        </is>
      </c>
      <c r="B1958" s="4" t="inlineStr">
        <is>
          <t>Tee de PVC drenaje 4" x 3"</t>
        </is>
      </c>
      <c r="C1958" s="7" t="inlineStr">
        <is>
          <t>unidad</t>
        </is>
      </c>
      <c r="D1958" s="8" t="n"/>
      <c r="E1958" s="8" t="n">
        <v>153.77</v>
      </c>
      <c r="F1958" s="8" t="n"/>
      <c r="G1958" s="8" t="n"/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>
        <f>IF(COUNT(D1958:P1958)=0,"",MIN(D1958:P1958))</f>
        <v/>
      </c>
      <c r="R1958" s="8">
        <f>IF(COUNT(D1958:P1958)=0,"",MEDIAN(D1958:P1958))</f>
        <v/>
      </c>
      <c r="S1958" s="8">
        <f>IF(COUNT(D1958:P1958)=0,"",MAX(D1958:P1958))</f>
        <v/>
      </c>
      <c r="T1958" s="9">
        <f>IF(OR(Q1958="",Q1958=0),"",(S1958-Q1958)/Q1958)</f>
        <v/>
      </c>
      <c r="U1958" s="7">
        <f>IF(COUNT(D1958:P1958)=0,"",INDEX($D$1:$P$1,MATCH(MIN(D1958:P1958),D1958:P1958,0)))</f>
        <v/>
      </c>
      <c r="V1958" s="8" t="n">
        <v>153.77</v>
      </c>
      <c r="W1958" s="10" t="n">
        <v>1</v>
      </c>
    </row>
    <row r="1959">
      <c r="A1959" s="7" t="inlineStr">
        <is>
          <t>MAT-32-612</t>
        </is>
      </c>
      <c r="B1959" s="4" t="inlineStr">
        <is>
          <t>Tee de PVC drenaje 6"</t>
        </is>
      </c>
      <c r="C1959" s="7" t="inlineStr">
        <is>
          <t>unidad</t>
        </is>
      </c>
      <c r="D1959" s="8" t="n"/>
      <c r="E1959" s="8" t="n">
        <v>291</v>
      </c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>
        <f>IF(COUNT(D1959:P1959)=0,"",MIN(D1959:P1959))</f>
        <v/>
      </c>
      <c r="R1959" s="8">
        <f>IF(COUNT(D1959:P1959)=0,"",MEDIAN(D1959:P1959))</f>
        <v/>
      </c>
      <c r="S1959" s="8">
        <f>IF(COUNT(D1959:P1959)=0,"",MAX(D1959:P1959))</f>
        <v/>
      </c>
      <c r="T1959" s="9">
        <f>IF(OR(Q1959="",Q1959=0),"",(S1959-Q1959)/Q1959)</f>
        <v/>
      </c>
      <c r="U1959" s="7">
        <f>IF(COUNT(D1959:P1959)=0,"",INDEX($D$1:$P$1,MATCH(MIN(D1959:P1959),D1959:P1959,0)))</f>
        <v/>
      </c>
      <c r="V1959" s="8" t="n">
        <v>458</v>
      </c>
      <c r="W1959" s="10" t="n">
        <v>1</v>
      </c>
    </row>
    <row r="1960">
      <c r="A1960" s="7" t="inlineStr">
        <is>
          <t>MAT-32-613</t>
        </is>
      </c>
      <c r="B1960" s="4" t="inlineStr">
        <is>
          <t>Tee de PVC 1 1/2"</t>
        </is>
      </c>
      <c r="C1960" s="7" t="inlineStr">
        <is>
          <t>unidad</t>
        </is>
      </c>
      <c r="D1960" s="8" t="n"/>
      <c r="E1960" s="8" t="n">
        <v>92</v>
      </c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>
        <f>IF(COUNT(D1960:P1960)=0,"",MIN(D1960:P1960))</f>
        <v/>
      </c>
      <c r="R1960" s="8">
        <f>IF(COUNT(D1960:P1960)=0,"",MEDIAN(D1960:P1960))</f>
        <v/>
      </c>
      <c r="S1960" s="8">
        <f>IF(COUNT(D1960:P1960)=0,"",MAX(D1960:P1960))</f>
        <v/>
      </c>
      <c r="T1960" s="9">
        <f>IF(OR(Q1960="",Q1960=0),"",(S1960-Q1960)/Q1960)</f>
        <v/>
      </c>
      <c r="U1960" s="7">
        <f>IF(COUNT(D1960:P1960)=0,"",INDEX($D$1:$P$1,MATCH(MIN(D1960:P1960),D1960:P1960,0)))</f>
        <v/>
      </c>
      <c r="V1960" s="8" t="n">
        <v>100</v>
      </c>
      <c r="W1960" s="10" t="n">
        <v>1</v>
      </c>
    </row>
    <row r="1961">
      <c r="A1961" s="7" t="inlineStr">
        <is>
          <t>MAT-32-614</t>
        </is>
      </c>
      <c r="B1961" s="4" t="inlineStr">
        <is>
          <t>Tee de PVC 1"</t>
        </is>
      </c>
      <c r="C1961" s="7" t="inlineStr">
        <is>
          <t>unidad</t>
        </is>
      </c>
      <c r="D1961" s="8" t="n"/>
      <c r="E1961" s="8" t="n">
        <v>48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>
        <f>IF(COUNT(D1961:P1961)=0,"",MIN(D1961:P1961))</f>
        <v/>
      </c>
      <c r="R1961" s="8">
        <f>IF(COUNT(D1961:P1961)=0,"",MEDIAN(D1961:P1961))</f>
        <v/>
      </c>
      <c r="S1961" s="8">
        <f>IF(COUNT(D1961:P1961)=0,"",MAX(D1961:P1961))</f>
        <v/>
      </c>
      <c r="T1961" s="9">
        <f>IF(OR(Q1961="",Q1961=0),"",(S1961-Q1961)/Q1961)</f>
        <v/>
      </c>
      <c r="U1961" s="7">
        <f>IF(COUNT(D1961:P1961)=0,"",INDEX($D$1:$P$1,MATCH(MIN(D1961:P1961),D1961:P1961,0)))</f>
        <v/>
      </c>
      <c r="V1961" s="8" t="n">
        <v>48</v>
      </c>
      <c r="W1961" s="10" t="n">
        <v>1</v>
      </c>
    </row>
    <row r="1962">
      <c r="A1962" s="7" t="inlineStr">
        <is>
          <t>MAT-32-615</t>
        </is>
      </c>
      <c r="B1962" s="4" t="inlineStr">
        <is>
          <t>Tee de PVC 1" x 3/4"</t>
        </is>
      </c>
      <c r="C1962" s="7" t="inlineStr">
        <is>
          <t>unidad</t>
        </is>
      </c>
      <c r="D1962" s="8" t="n"/>
      <c r="E1962" s="8" t="n">
        <v>37.36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>
        <f>IF(COUNT(D1962:P1962)=0,"",MIN(D1962:P1962))</f>
        <v/>
      </c>
      <c r="R1962" s="8">
        <f>IF(COUNT(D1962:P1962)=0,"",MEDIAN(D1962:P1962))</f>
        <v/>
      </c>
      <c r="S1962" s="8">
        <f>IF(COUNT(D1962:P1962)=0,"",MAX(D1962:P1962))</f>
        <v/>
      </c>
      <c r="T1962" s="9">
        <f>IF(OR(Q1962="",Q1962=0),"",(S1962-Q1962)/Q1962)</f>
        <v/>
      </c>
      <c r="U1962" s="7">
        <f>IF(COUNT(D1962:P1962)=0,"",INDEX($D$1:$P$1,MATCH(MIN(D1962:P1962),D1962:P1962,0)))</f>
        <v/>
      </c>
      <c r="V1962" s="8" t="n">
        <v>37.36</v>
      </c>
      <c r="W1962" s="10" t="n">
        <v>1</v>
      </c>
    </row>
    <row r="1963">
      <c r="A1963" s="7" t="inlineStr">
        <is>
          <t>MAT-32-616</t>
        </is>
      </c>
      <c r="B1963" s="4" t="inlineStr">
        <is>
          <t>Tee de PVC 2"</t>
        </is>
      </c>
      <c r="C1963" s="7" t="inlineStr">
        <is>
          <t>unidad</t>
        </is>
      </c>
      <c r="D1963" s="8" t="n"/>
      <c r="E1963" s="8" t="n">
        <v>165</v>
      </c>
      <c r="F1963" s="8" t="n"/>
      <c r="G1963" s="8" t="n"/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>
        <f>IF(COUNT(D1963:P1963)=0,"",MIN(D1963:P1963))</f>
        <v/>
      </c>
      <c r="R1963" s="8">
        <f>IF(COUNT(D1963:P1963)=0,"",MEDIAN(D1963:P1963))</f>
        <v/>
      </c>
      <c r="S1963" s="8">
        <f>IF(COUNT(D1963:P1963)=0,"",MAX(D1963:P1963))</f>
        <v/>
      </c>
      <c r="T1963" s="9">
        <f>IF(OR(Q1963="",Q1963=0),"",(S1963-Q1963)/Q1963)</f>
        <v/>
      </c>
      <c r="U1963" s="7">
        <f>IF(COUNT(D1963:P1963)=0,"",INDEX($D$1:$P$1,MATCH(MIN(D1963:P1963),D1963:P1963,0)))</f>
        <v/>
      </c>
      <c r="V1963" s="8" t="n">
        <v>165</v>
      </c>
      <c r="W1963" s="10" t="n">
        <v>1</v>
      </c>
    </row>
    <row r="1964">
      <c r="A1964" s="7" t="inlineStr">
        <is>
          <t>MAT-32-617</t>
        </is>
      </c>
      <c r="B1964" s="4" t="inlineStr">
        <is>
          <t>Tee de PVC 3/4"</t>
        </is>
      </c>
      <c r="C1964" s="7" t="inlineStr">
        <is>
          <t>unidad</t>
        </is>
      </c>
      <c r="D1964" s="8" t="n"/>
      <c r="E1964" s="8" t="n">
        <v>33.35</v>
      </c>
      <c r="F1964" s="8" t="n"/>
      <c r="G1964" s="8" t="n"/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>
        <f>IF(COUNT(D1964:P1964)=0,"",MIN(D1964:P1964))</f>
        <v/>
      </c>
      <c r="R1964" s="8">
        <f>IF(COUNT(D1964:P1964)=0,"",MEDIAN(D1964:P1964))</f>
        <v/>
      </c>
      <c r="S1964" s="8">
        <f>IF(COUNT(D1964:P1964)=0,"",MAX(D1964:P1964))</f>
        <v/>
      </c>
      <c r="T1964" s="9">
        <f>IF(OR(Q1964="",Q1964=0),"",(S1964-Q1964)/Q1964)</f>
        <v/>
      </c>
      <c r="U1964" s="7">
        <f>IF(COUNT(D1964:P1964)=0,"",INDEX($D$1:$P$1,MATCH(MIN(D1964:P1964),D1964:P1964,0)))</f>
        <v/>
      </c>
      <c r="V1964" s="8" t="n">
        <v>46.68</v>
      </c>
      <c r="W1964" s="10" t="n">
        <v>1</v>
      </c>
    </row>
    <row r="1965">
      <c r="A1965" s="7" t="inlineStr">
        <is>
          <t>MAT-32-618</t>
        </is>
      </c>
      <c r="B1965" s="4" t="inlineStr">
        <is>
          <t>Tee de PVC 3"</t>
        </is>
      </c>
      <c r="C1965" s="7" t="inlineStr">
        <is>
          <t>unidad</t>
        </is>
      </c>
      <c r="D1965" s="8" t="n"/>
      <c r="E1965" s="8" t="n">
        <v>502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>
        <f>IF(COUNT(D1965:P1965)=0,"",MIN(D1965:P1965))</f>
        <v/>
      </c>
      <c r="R1965" s="8">
        <f>IF(COUNT(D1965:P1965)=0,"",MEDIAN(D1965:P1965))</f>
        <v/>
      </c>
      <c r="S1965" s="8">
        <f>IF(COUNT(D1965:P1965)=0,"",MAX(D1965:P1965))</f>
        <v/>
      </c>
      <c r="T1965" s="9">
        <f>IF(OR(Q1965="",Q1965=0),"",(S1965-Q1965)/Q1965)</f>
        <v/>
      </c>
      <c r="U1965" s="7">
        <f>IF(COUNT(D1965:P1965)=0,"",INDEX($D$1:$P$1,MATCH(MIN(D1965:P1965),D1965:P1965,0)))</f>
        <v/>
      </c>
      <c r="V1965" s="8" t="n">
        <v>502</v>
      </c>
      <c r="W1965" s="10" t="n">
        <v>1</v>
      </c>
    </row>
    <row r="1966">
      <c r="A1966" s="7" t="inlineStr">
        <is>
          <t>MAT-32-619</t>
        </is>
      </c>
      <c r="B1966" s="4" t="inlineStr">
        <is>
          <t>Tee de PVC presión 1 1/2"</t>
        </is>
      </c>
      <c r="C1966" s="7" t="inlineStr">
        <is>
          <t>unidad</t>
        </is>
      </c>
      <c r="D1966" s="8" t="n"/>
      <c r="E1966" s="8" t="n">
        <v>45.97</v>
      </c>
      <c r="F1966" s="8" t="n"/>
      <c r="G1966" s="8" t="n">
        <v>135</v>
      </c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>
        <f>IF(COUNT(D1966:P1966)=0,"",MIN(D1966:P1966))</f>
        <v/>
      </c>
      <c r="R1966" s="8">
        <f>IF(COUNT(D1966:P1966)=0,"",MEDIAN(D1966:P1966))</f>
        <v/>
      </c>
      <c r="S1966" s="8">
        <f>IF(COUNT(D1966:P1966)=0,"",MAX(D1966:P1966))</f>
        <v/>
      </c>
      <c r="T1966" s="9">
        <f>IF(OR(Q1966="",Q1966=0),"",(S1966-Q1966)/Q1966)</f>
        <v/>
      </c>
      <c r="U1966" s="7">
        <f>IF(COUNT(D1966:P1966)=0,"",INDEX($D$1:$P$1,MATCH(MIN(D1966:P1966),D1966:P1966,0)))</f>
        <v/>
      </c>
      <c r="V1966" s="8" t="n">
        <v>54.48</v>
      </c>
      <c r="W1966" s="10" t="n">
        <v>2</v>
      </c>
    </row>
    <row r="1967">
      <c r="A1967" s="7" t="inlineStr">
        <is>
          <t>MAT-32-620</t>
        </is>
      </c>
      <c r="B1967" s="4" t="inlineStr">
        <is>
          <t>Tee de PVC presión 1/2"</t>
        </is>
      </c>
      <c r="C1967" s="7" t="inlineStr">
        <is>
          <t>unidad</t>
        </is>
      </c>
      <c r="D1967" s="8" t="n"/>
      <c r="E1967" s="8" t="n">
        <v>8.140000000000001</v>
      </c>
      <c r="F1967" s="8" t="n"/>
      <c r="G1967" s="8" t="n">
        <v>28</v>
      </c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>
        <f>IF(COUNT(D1967:P1967)=0,"",MIN(D1967:P1967))</f>
        <v/>
      </c>
      <c r="R1967" s="8">
        <f>IF(COUNT(D1967:P1967)=0,"",MEDIAN(D1967:P1967))</f>
        <v/>
      </c>
      <c r="S1967" s="8">
        <f>IF(COUNT(D1967:P1967)=0,"",MAX(D1967:P1967))</f>
        <v/>
      </c>
      <c r="T1967" s="9">
        <f>IF(OR(Q1967="",Q1967=0),"",(S1967-Q1967)/Q1967)</f>
        <v/>
      </c>
      <c r="U1967" s="7">
        <f>IF(COUNT(D1967:P1967)=0,"",INDEX($D$1:$P$1,MATCH(MIN(D1967:P1967),D1967:P1967,0)))</f>
        <v/>
      </c>
      <c r="V1967" s="8" t="n">
        <v>13.68</v>
      </c>
      <c r="W1967" s="10" t="n">
        <v>2</v>
      </c>
    </row>
    <row r="1968">
      <c r="A1968" s="7" t="inlineStr">
        <is>
          <t>MAT-32-621</t>
        </is>
      </c>
      <c r="B1968" s="4" t="inlineStr">
        <is>
          <t>Tee de PVC presión 1"</t>
        </is>
      </c>
      <c r="C1968" s="7" t="inlineStr">
        <is>
          <t>unidad</t>
        </is>
      </c>
      <c r="D1968" s="8" t="n"/>
      <c r="E1968" s="8" t="n">
        <v>16</v>
      </c>
      <c r="F1968" s="8" t="n"/>
      <c r="G1968" s="8" t="n">
        <v>55</v>
      </c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>
        <f>IF(COUNT(D1968:P1968)=0,"",MIN(D1968:P1968))</f>
        <v/>
      </c>
      <c r="R1968" s="8">
        <f>IF(COUNT(D1968:P1968)=0,"",MEDIAN(D1968:P1968))</f>
        <v/>
      </c>
      <c r="S1968" s="8">
        <f>IF(COUNT(D1968:P1968)=0,"",MAX(D1968:P1968))</f>
        <v/>
      </c>
      <c r="T1968" s="9">
        <f>IF(OR(Q1968="",Q1968=0),"",(S1968-Q1968)/Q1968)</f>
        <v/>
      </c>
      <c r="U1968" s="7">
        <f>IF(COUNT(D1968:P1968)=0,"",INDEX($D$1:$P$1,MATCH(MIN(D1968:P1968),D1968:P1968,0)))</f>
        <v/>
      </c>
      <c r="V1968" s="8" t="n">
        <v>27.06</v>
      </c>
      <c r="W1968" s="10" t="n">
        <v>2</v>
      </c>
    </row>
    <row r="1969">
      <c r="A1969" s="7" t="inlineStr">
        <is>
          <t>MAT-32-622</t>
        </is>
      </c>
      <c r="B1969" s="4" t="inlineStr">
        <is>
          <t>Tee de PVC presión 2"</t>
        </is>
      </c>
      <c r="C1969" s="7" t="inlineStr">
        <is>
          <t>unidad</t>
        </is>
      </c>
      <c r="D1969" s="8" t="n"/>
      <c r="E1969" s="8" t="n">
        <v>45.98</v>
      </c>
      <c r="F1969" s="8" t="n"/>
      <c r="G1969" s="8" t="n">
        <v>195</v>
      </c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>
        <f>IF(COUNT(D1969:P1969)=0,"",MIN(D1969:P1969))</f>
        <v/>
      </c>
      <c r="R1969" s="8">
        <f>IF(COUNT(D1969:P1969)=0,"",MEDIAN(D1969:P1969))</f>
        <v/>
      </c>
      <c r="S1969" s="8">
        <f>IF(COUNT(D1969:P1969)=0,"",MAX(D1969:P1969))</f>
        <v/>
      </c>
      <c r="T1969" s="9">
        <f>IF(OR(Q1969="",Q1969=0),"",(S1969-Q1969)/Q1969)</f>
        <v/>
      </c>
      <c r="U1969" s="7">
        <f>IF(COUNT(D1969:P1969)=0,"",INDEX($D$1:$P$1,MATCH(MIN(D1969:P1969),D1969:P1969,0)))</f>
        <v/>
      </c>
      <c r="V1969" s="8" t="n">
        <v>82.48999999999999</v>
      </c>
      <c r="W1969" s="10" t="n">
        <v>2</v>
      </c>
    </row>
    <row r="1970">
      <c r="A1970" s="7" t="inlineStr">
        <is>
          <t>MAT-32-623</t>
        </is>
      </c>
      <c r="B1970" s="4" t="inlineStr">
        <is>
          <t>Tee de PVC presión 3/4"</t>
        </is>
      </c>
      <c r="C1970" s="7" t="inlineStr">
        <is>
          <t>unidad</t>
        </is>
      </c>
      <c r="D1970" s="8" t="n"/>
      <c r="E1970" s="8" t="n">
        <v>8.83</v>
      </c>
      <c r="F1970" s="8" t="n"/>
      <c r="G1970" s="8" t="n">
        <v>35</v>
      </c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>
        <f>IF(COUNT(D1970:P1970)=0,"",MIN(D1970:P1970))</f>
        <v/>
      </c>
      <c r="R1970" s="8">
        <f>IF(COUNT(D1970:P1970)=0,"",MEDIAN(D1970:P1970))</f>
        <v/>
      </c>
      <c r="S1970" s="8">
        <f>IF(COUNT(D1970:P1970)=0,"",MAX(D1970:P1970))</f>
        <v/>
      </c>
      <c r="T1970" s="9">
        <f>IF(OR(Q1970="",Q1970=0),"",(S1970-Q1970)/Q1970)</f>
        <v/>
      </c>
      <c r="U1970" s="7">
        <f>IF(COUNT(D1970:P1970)=0,"",INDEX($D$1:$P$1,MATCH(MIN(D1970:P1970),D1970:P1970,0)))</f>
        <v/>
      </c>
      <c r="V1970" s="8" t="n">
        <v>17.7</v>
      </c>
      <c r="W1970" s="10" t="n">
        <v>2</v>
      </c>
    </row>
    <row r="1971">
      <c r="A1971" s="7" t="inlineStr">
        <is>
          <t>MAT-32-624</t>
        </is>
      </c>
      <c r="B1971" s="4" t="inlineStr">
        <is>
          <t>Tee de PVC presión 3"</t>
        </is>
      </c>
      <c r="C1971" s="7" t="inlineStr">
        <is>
          <t>unidad</t>
        </is>
      </c>
      <c r="D1971" s="8" t="n"/>
      <c r="E1971" s="8" t="n">
        <v>169</v>
      </c>
      <c r="F1971" s="8" t="n"/>
      <c r="G1971" s="8" t="n">
        <v>453</v>
      </c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>
        <f>IF(COUNT(D1971:P1971)=0,"",MIN(D1971:P1971))</f>
        <v/>
      </c>
      <c r="R1971" s="8">
        <f>IF(COUNT(D1971:P1971)=0,"",MEDIAN(D1971:P1971))</f>
        <v/>
      </c>
      <c r="S1971" s="8">
        <f>IF(COUNT(D1971:P1971)=0,"",MAX(D1971:P1971))</f>
        <v/>
      </c>
      <c r="T1971" s="9">
        <f>IF(OR(Q1971="",Q1971=0),"",(S1971-Q1971)/Q1971)</f>
        <v/>
      </c>
      <c r="U1971" s="7">
        <f>IF(COUNT(D1971:P1971)=0,"",INDEX($D$1:$P$1,MATCH(MIN(D1971:P1971),D1971:P1971,0)))</f>
        <v/>
      </c>
      <c r="V1971" s="8" t="n">
        <v>235.03</v>
      </c>
      <c r="W1971" s="10" t="n">
        <v>2</v>
      </c>
    </row>
    <row r="1972">
      <c r="A1972" s="7" t="inlineStr">
        <is>
          <t>MAT-32-625</t>
        </is>
      </c>
      <c r="B1972" s="4" t="inlineStr">
        <is>
          <t>Tee de PVC presión 4"</t>
        </is>
      </c>
      <c r="C1972" s="7" t="inlineStr">
        <is>
          <t>unidad</t>
        </is>
      </c>
      <c r="D1972" s="8" t="n"/>
      <c r="E1972" s="8" t="n">
        <v>278</v>
      </c>
      <c r="F1972" s="8" t="n"/>
      <c r="G1972" s="8" t="n"/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>
        <f>IF(COUNT(D1972:P1972)=0,"",MIN(D1972:P1972))</f>
        <v/>
      </c>
      <c r="R1972" s="8">
        <f>IF(COUNT(D1972:P1972)=0,"",MEDIAN(D1972:P1972))</f>
        <v/>
      </c>
      <c r="S1972" s="8">
        <f>IF(COUNT(D1972:P1972)=0,"",MAX(D1972:P1972))</f>
        <v/>
      </c>
      <c r="T1972" s="9">
        <f>IF(OR(Q1972="",Q1972=0),"",(S1972-Q1972)/Q1972)</f>
        <v/>
      </c>
      <c r="U1972" s="7">
        <f>IF(COUNT(D1972:P1972)=0,"",INDEX($D$1:$P$1,MATCH(MIN(D1972:P1972),D1972:P1972,0)))</f>
        <v/>
      </c>
      <c r="V1972" s="8" t="n">
        <v>336.44</v>
      </c>
      <c r="W1972" s="10" t="n">
        <v>1</v>
      </c>
    </row>
    <row r="1973">
      <c r="A1973" s="7" t="inlineStr">
        <is>
          <t>MAT-32-626</t>
        </is>
      </c>
      <c r="B1973" s="4" t="inlineStr">
        <is>
          <t>Tee de PVC presión 4" x 3"</t>
        </is>
      </c>
      <c r="C1973" s="7" t="inlineStr">
        <is>
          <t>unidad</t>
        </is>
      </c>
      <c r="D1973" s="8" t="n"/>
      <c r="E1973" s="8" t="n">
        <v>687.34</v>
      </c>
      <c r="F1973" s="8" t="n"/>
      <c r="G1973" s="8" t="n"/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>
        <f>IF(COUNT(D1973:P1973)=0,"",MIN(D1973:P1973))</f>
        <v/>
      </c>
      <c r="R1973" s="8">
        <f>IF(COUNT(D1973:P1973)=0,"",MEDIAN(D1973:P1973))</f>
        <v/>
      </c>
      <c r="S1973" s="8">
        <f>IF(COUNT(D1973:P1973)=0,"",MAX(D1973:P1973))</f>
        <v/>
      </c>
      <c r="T1973" s="9">
        <f>IF(OR(Q1973="",Q1973=0),"",(S1973-Q1973)/Q1973)</f>
        <v/>
      </c>
      <c r="U1973" s="7">
        <f>IF(COUNT(D1973:P1973)=0,"",INDEX($D$1:$P$1,MATCH(MIN(D1973:P1973),D1973:P1973,0)))</f>
        <v/>
      </c>
      <c r="V1973" s="8" t="n">
        <v>687.34</v>
      </c>
      <c r="W1973" s="10" t="n">
        <v>1</v>
      </c>
    </row>
    <row r="1974">
      <c r="A1974" s="7" t="inlineStr">
        <is>
          <t>MAT-32-627</t>
        </is>
      </c>
      <c r="B1974" s="4" t="inlineStr">
        <is>
          <t>Tee de PVC presión 6"</t>
        </is>
      </c>
      <c r="C1974" s="7" t="inlineStr">
        <is>
          <t>unidad</t>
        </is>
      </c>
      <c r="D1974" s="8" t="n"/>
      <c r="E1974" s="8" t="n">
        <v>915</v>
      </c>
      <c r="F1974" s="8" t="n"/>
      <c r="G1974" s="8" t="n"/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>
        <f>IF(COUNT(D1974:P1974)=0,"",MIN(D1974:P1974))</f>
        <v/>
      </c>
      <c r="R1974" s="8">
        <f>IF(COUNT(D1974:P1974)=0,"",MEDIAN(D1974:P1974))</f>
        <v/>
      </c>
      <c r="S1974" s="8">
        <f>IF(COUNT(D1974:P1974)=0,"",MAX(D1974:P1974))</f>
        <v/>
      </c>
      <c r="T1974" s="9">
        <f>IF(OR(Q1974="",Q1974=0),"",(S1974-Q1974)/Q1974)</f>
        <v/>
      </c>
      <c r="U1974" s="7">
        <f>IF(COUNT(D1974:P1974)=0,"",INDEX($D$1:$P$1,MATCH(MIN(D1974:P1974),D1974:P1974,0)))</f>
        <v/>
      </c>
      <c r="V1974" s="8" t="n">
        <v>1002.5</v>
      </c>
      <c r="W1974" s="10" t="n">
        <v>1</v>
      </c>
    </row>
    <row r="1975">
      <c r="A1975" s="7" t="inlineStr">
        <is>
          <t>MAT-32-628</t>
        </is>
      </c>
      <c r="B1975" s="4" t="inlineStr">
        <is>
          <t>Tee de PVC presión 8"</t>
        </is>
      </c>
      <c r="C1975" s="7" t="inlineStr">
        <is>
          <t>unidad</t>
        </is>
      </c>
      <c r="D1975" s="8" t="n"/>
      <c r="E1975" s="8" t="n">
        <v>8379</v>
      </c>
      <c r="F1975" s="8" t="n"/>
      <c r="G1975" s="8" t="n"/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>
        <f>IF(COUNT(D1975:P1975)=0,"",MIN(D1975:P1975))</f>
        <v/>
      </c>
      <c r="R1975" s="8">
        <f>IF(COUNT(D1975:P1975)=0,"",MEDIAN(D1975:P1975))</f>
        <v/>
      </c>
      <c r="S1975" s="8">
        <f>IF(COUNT(D1975:P1975)=0,"",MAX(D1975:P1975))</f>
        <v/>
      </c>
      <c r="T1975" s="9">
        <f>IF(OR(Q1975="",Q1975=0),"",(S1975-Q1975)/Q1975)</f>
        <v/>
      </c>
      <c r="U1975" s="7">
        <f>IF(COUNT(D1975:P1975)=0,"",INDEX($D$1:$P$1,MATCH(MIN(D1975:P1975),D1975:P1975,0)))</f>
        <v/>
      </c>
      <c r="V1975" s="8" t="n">
        <v>8379</v>
      </c>
      <c r="W1975" s="10" t="n">
        <v>1</v>
      </c>
    </row>
    <row r="1976">
      <c r="A1976" s="7" t="inlineStr">
        <is>
          <t>MAT-32-629</t>
        </is>
      </c>
      <c r="B1976" s="4" t="inlineStr">
        <is>
          <t>Tee reducida de PPR 25 mm</t>
        </is>
      </c>
      <c r="C1976" s="7" t="inlineStr">
        <is>
          <t>unidad</t>
        </is>
      </c>
      <c r="D1976" s="8" t="n"/>
      <c r="E1976" s="8" t="n"/>
      <c r="F1976" s="8" t="n"/>
      <c r="G1976" s="8" t="n">
        <v>45</v>
      </c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>
        <f>IF(COUNT(D1976:P1976)=0,"",MIN(D1976:P1976))</f>
        <v/>
      </c>
      <c r="R1976" s="8">
        <f>IF(COUNT(D1976:P1976)=0,"",MEDIAN(D1976:P1976))</f>
        <v/>
      </c>
      <c r="S1976" s="8">
        <f>IF(COUNT(D1976:P1976)=0,"",MAX(D1976:P1976))</f>
        <v/>
      </c>
      <c r="T1976" s="9">
        <f>IF(OR(Q1976="",Q1976=0),"",(S1976-Q1976)/Q1976)</f>
        <v/>
      </c>
      <c r="U1976" s="7">
        <f>IF(COUNT(D1976:P1976)=0,"",INDEX($D$1:$P$1,MATCH(MIN(D1976:P1976),D1976:P1976,0)))</f>
        <v/>
      </c>
      <c r="V1976" s="8" t="n">
        <v>45</v>
      </c>
      <c r="W1976" s="10" t="n">
        <v>1</v>
      </c>
    </row>
    <row r="1977">
      <c r="A1977" s="7" t="inlineStr">
        <is>
          <t>MAT-32-630</t>
        </is>
      </c>
      <c r="B1977" s="4" t="inlineStr">
        <is>
          <t>Tee reducida de PVC 1" x 3/4"</t>
        </is>
      </c>
      <c r="C1977" s="7" t="inlineStr">
        <is>
          <t>unidad</t>
        </is>
      </c>
      <c r="D1977" s="8" t="n"/>
      <c r="E1977" s="8" t="n"/>
      <c r="F1977" s="8" t="n"/>
      <c r="G1977" s="8" t="n">
        <v>144</v>
      </c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>
        <f>IF(COUNT(D1977:P1977)=0,"",MIN(D1977:P1977))</f>
        <v/>
      </c>
      <c r="R1977" s="8">
        <f>IF(COUNT(D1977:P1977)=0,"",MEDIAN(D1977:P1977))</f>
        <v/>
      </c>
      <c r="S1977" s="8">
        <f>IF(COUNT(D1977:P1977)=0,"",MAX(D1977:P1977))</f>
        <v/>
      </c>
      <c r="T1977" s="9">
        <f>IF(OR(Q1977="",Q1977=0),"",(S1977-Q1977)/Q1977)</f>
        <v/>
      </c>
      <c r="U1977" s="7">
        <f>IF(COUNT(D1977:P1977)=0,"",INDEX($D$1:$P$1,MATCH(MIN(D1977:P1977),D1977:P1977,0)))</f>
        <v/>
      </c>
      <c r="V1977" s="8" t="n">
        <v>144</v>
      </c>
      <c r="W1977" s="10" t="n">
        <v>1</v>
      </c>
    </row>
    <row r="1978">
      <c r="A1978" s="7" t="inlineStr">
        <is>
          <t>MAT-32-631</t>
        </is>
      </c>
      <c r="B1978" s="4" t="inlineStr">
        <is>
          <t>Terminal de bronce 1/2"</t>
        </is>
      </c>
      <c r="C1978" s="7" t="inlineStr">
        <is>
          <t>unidad</t>
        </is>
      </c>
      <c r="D1978" s="8" t="n"/>
      <c r="E1978" s="8" t="n"/>
      <c r="F1978" s="8" t="n"/>
      <c r="G1978" s="8" t="n">
        <v>235</v>
      </c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>
        <f>IF(COUNT(D1978:P1978)=0,"",MIN(D1978:P1978))</f>
        <v/>
      </c>
      <c r="R1978" s="8">
        <f>IF(COUNT(D1978:P1978)=0,"",MEDIAN(D1978:P1978))</f>
        <v/>
      </c>
      <c r="S1978" s="8">
        <f>IF(COUNT(D1978:P1978)=0,"",MAX(D1978:P1978))</f>
        <v/>
      </c>
      <c r="T1978" s="9">
        <f>IF(OR(Q1978="",Q1978=0),"",(S1978-Q1978)/Q1978)</f>
        <v/>
      </c>
      <c r="U1978" s="7">
        <f>IF(COUNT(D1978:P1978)=0,"",INDEX($D$1:$P$1,MATCH(MIN(D1978:P1978),D1978:P1978,0)))</f>
        <v/>
      </c>
      <c r="V1978" s="8" t="n">
        <v>235</v>
      </c>
      <c r="W1978" s="10" t="n">
        <v>1</v>
      </c>
    </row>
    <row r="1979">
      <c r="A1979" s="7" t="inlineStr">
        <is>
          <t>MAT-32-632</t>
        </is>
      </c>
      <c r="B1979" s="4" t="inlineStr">
        <is>
          <t>Terminal de bronce 3/4"</t>
        </is>
      </c>
      <c r="C1979" s="7" t="inlineStr">
        <is>
          <t>unidad</t>
        </is>
      </c>
      <c r="D1979" s="8" t="n"/>
      <c r="E1979" s="8" t="n"/>
      <c r="F1979" s="8" t="n"/>
      <c r="G1979" s="8" t="n">
        <v>275</v>
      </c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>
        <f>IF(COUNT(D1979:P1979)=0,"",MIN(D1979:P1979))</f>
        <v/>
      </c>
      <c r="R1979" s="8">
        <f>IF(COUNT(D1979:P1979)=0,"",MEDIAN(D1979:P1979))</f>
        <v/>
      </c>
      <c r="S1979" s="8">
        <f>IF(COUNT(D1979:P1979)=0,"",MAX(D1979:P1979))</f>
        <v/>
      </c>
      <c r="T1979" s="9">
        <f>IF(OR(Q1979="",Q1979=0),"",(S1979-Q1979)/Q1979)</f>
        <v/>
      </c>
      <c r="U1979" s="7">
        <f>IF(COUNT(D1979:P1979)=0,"",INDEX($D$1:$P$1,MATCH(MIN(D1979:P1979),D1979:P1979,0)))</f>
        <v/>
      </c>
      <c r="V1979" s="8" t="n">
        <v>275</v>
      </c>
      <c r="W1979" s="10" t="n">
        <v>1</v>
      </c>
    </row>
    <row r="1980">
      <c r="A1980" s="7" t="inlineStr">
        <is>
          <t>MAT-32-633</t>
        </is>
      </c>
      <c r="B1980" s="4" t="inlineStr">
        <is>
          <t>Terminal de bronce 5/8"</t>
        </is>
      </c>
      <c r="C1980" s="7" t="inlineStr">
        <is>
          <t>unidad</t>
        </is>
      </c>
      <c r="D1980" s="8" t="n"/>
      <c r="E1980" s="8" t="n"/>
      <c r="F1980" s="8" t="n"/>
      <c r="G1980" s="8" t="n">
        <v>335</v>
      </c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>
        <f>IF(COUNT(D1980:P1980)=0,"",MIN(D1980:P1980))</f>
        <v/>
      </c>
      <c r="R1980" s="8">
        <f>IF(COUNT(D1980:P1980)=0,"",MEDIAN(D1980:P1980))</f>
        <v/>
      </c>
      <c r="S1980" s="8">
        <f>IF(COUNT(D1980:P1980)=0,"",MAX(D1980:P1980))</f>
        <v/>
      </c>
      <c r="T1980" s="9">
        <f>IF(OR(Q1980="",Q1980=0),"",(S1980-Q1980)/Q1980)</f>
        <v/>
      </c>
      <c r="U1980" s="7">
        <f>IF(COUNT(D1980:P1980)=0,"",INDEX($D$1:$P$1,MATCH(MIN(D1980:P1980),D1980:P1980,0)))</f>
        <v/>
      </c>
      <c r="V1980" s="8" t="n">
        <v>335</v>
      </c>
      <c r="W1980" s="10" t="n">
        <v>1</v>
      </c>
    </row>
    <row r="1981">
      <c r="A1981" s="7" t="inlineStr">
        <is>
          <t>MAT-32-634</t>
        </is>
      </c>
      <c r="B1981" s="4" t="inlineStr">
        <is>
          <t>Terminal de cobre 1"</t>
        </is>
      </c>
      <c r="C1981" s="7" t="inlineStr">
        <is>
          <t>unidad</t>
        </is>
      </c>
      <c r="D1981" s="8" t="n"/>
      <c r="E1981" s="8" t="n"/>
      <c r="F1981" s="8" t="n"/>
      <c r="G1981" s="8" t="n">
        <v>319</v>
      </c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>
        <f>IF(COUNT(D1981:P1981)=0,"",MIN(D1981:P1981))</f>
        <v/>
      </c>
      <c r="R1981" s="8">
        <f>IF(COUNT(D1981:P1981)=0,"",MEDIAN(D1981:P1981))</f>
        <v/>
      </c>
      <c r="S1981" s="8">
        <f>IF(COUNT(D1981:P1981)=0,"",MAX(D1981:P1981))</f>
        <v/>
      </c>
      <c r="T1981" s="9">
        <f>IF(OR(Q1981="",Q1981=0),"",(S1981-Q1981)/Q1981)</f>
        <v/>
      </c>
      <c r="U1981" s="7">
        <f>IF(COUNT(D1981:P1981)=0,"",INDEX($D$1:$P$1,MATCH(MIN(D1981:P1981),D1981:P1981,0)))</f>
        <v/>
      </c>
      <c r="V1981" s="8" t="n">
        <v>319</v>
      </c>
      <c r="W1981" s="10" t="n">
        <v>1</v>
      </c>
    </row>
    <row r="1982">
      <c r="A1982" s="7" t="inlineStr">
        <is>
          <t>MAT-32-635</t>
        </is>
      </c>
      <c r="B1982" s="4" t="inlineStr">
        <is>
          <t>Terminal de manguera 1/2"</t>
        </is>
      </c>
      <c r="C1982" s="7" t="inlineStr">
        <is>
          <t>unidad</t>
        </is>
      </c>
      <c r="D1982" s="8" t="n"/>
      <c r="E1982" s="8" t="n"/>
      <c r="F1982" s="8" t="n"/>
      <c r="G1982" s="8" t="n">
        <v>131</v>
      </c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>
        <f>IF(COUNT(D1982:P1982)=0,"",MIN(D1982:P1982))</f>
        <v/>
      </c>
      <c r="R1982" s="8">
        <f>IF(COUNT(D1982:P1982)=0,"",MEDIAN(D1982:P1982))</f>
        <v/>
      </c>
      <c r="S1982" s="8">
        <f>IF(COUNT(D1982:P1982)=0,"",MAX(D1982:P1982))</f>
        <v/>
      </c>
      <c r="T1982" s="9">
        <f>IF(OR(Q1982="",Q1982=0),"",(S1982-Q1982)/Q1982)</f>
        <v/>
      </c>
      <c r="U1982" s="7">
        <f>IF(COUNT(D1982:P1982)=0,"",INDEX($D$1:$P$1,MATCH(MIN(D1982:P1982),D1982:P1982,0)))</f>
        <v/>
      </c>
      <c r="V1982" s="8" t="n">
        <v>165.5</v>
      </c>
      <c r="W1982" s="10" t="n">
        <v>1</v>
      </c>
    </row>
    <row r="1983">
      <c r="A1983" s="7" t="inlineStr">
        <is>
          <t>MAT-32-636</t>
        </is>
      </c>
      <c r="B1983" s="4" t="inlineStr">
        <is>
          <t>Terminal de manguera 3/4"</t>
        </is>
      </c>
      <c r="C1983" s="7" t="inlineStr">
        <is>
          <t>unidad</t>
        </is>
      </c>
      <c r="D1983" s="8" t="n"/>
      <c r="E1983" s="8" t="n"/>
      <c r="F1983" s="8" t="n"/>
      <c r="G1983" s="8" t="n">
        <v>247</v>
      </c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>
        <f>IF(COUNT(D1983:P1983)=0,"",MIN(D1983:P1983))</f>
        <v/>
      </c>
      <c r="R1983" s="8">
        <f>IF(COUNT(D1983:P1983)=0,"",MEDIAN(D1983:P1983))</f>
        <v/>
      </c>
      <c r="S1983" s="8">
        <f>IF(COUNT(D1983:P1983)=0,"",MAX(D1983:P1983))</f>
        <v/>
      </c>
      <c r="T1983" s="9">
        <f>IF(OR(Q1983="",Q1983=0),"",(S1983-Q1983)/Q1983)</f>
        <v/>
      </c>
      <c r="U1983" s="7">
        <f>IF(COUNT(D1983:P1983)=0,"",INDEX($D$1:$P$1,MATCH(MIN(D1983:P1983),D1983:P1983,0)))</f>
        <v/>
      </c>
      <c r="V1983" s="8" t="n">
        <v>247</v>
      </c>
      <c r="W1983" s="10" t="n">
        <v>1</v>
      </c>
    </row>
    <row r="1984">
      <c r="A1984" s="7" t="inlineStr">
        <is>
          <t>MAT-32-637</t>
        </is>
      </c>
      <c r="B1984" s="4" t="inlineStr">
        <is>
          <t>Terminal de manguera 5/8"</t>
        </is>
      </c>
      <c r="C1984" s="7" t="inlineStr">
        <is>
          <t>unidad</t>
        </is>
      </c>
      <c r="D1984" s="8" t="n"/>
      <c r="E1984" s="8" t="n"/>
      <c r="F1984" s="8" t="n"/>
      <c r="G1984" s="8" t="n">
        <v>233</v>
      </c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>
        <f>IF(COUNT(D1984:P1984)=0,"",MIN(D1984:P1984))</f>
        <v/>
      </c>
      <c r="R1984" s="8">
        <f>IF(COUNT(D1984:P1984)=0,"",MEDIAN(D1984:P1984))</f>
        <v/>
      </c>
      <c r="S1984" s="8">
        <f>IF(COUNT(D1984:P1984)=0,"",MAX(D1984:P1984))</f>
        <v/>
      </c>
      <c r="T1984" s="9">
        <f>IF(OR(Q1984="",Q1984=0),"",(S1984-Q1984)/Q1984)</f>
        <v/>
      </c>
      <c r="U1984" s="7">
        <f>IF(COUNT(D1984:P1984)=0,"",INDEX($D$1:$P$1,MATCH(MIN(D1984:P1984),D1984:P1984,0)))</f>
        <v/>
      </c>
      <c r="V1984" s="8" t="n">
        <v>233</v>
      </c>
      <c r="W1984" s="10" t="n">
        <v>1</v>
      </c>
    </row>
    <row r="1985">
      <c r="A1985" s="7" t="inlineStr">
        <is>
          <t>MAT-32-638</t>
        </is>
      </c>
      <c r="B1985" s="4" t="inlineStr">
        <is>
          <t>Terminal de manguera 5"</t>
        </is>
      </c>
      <c r="C1985" s="7" t="inlineStr">
        <is>
          <t>unidad</t>
        </is>
      </c>
      <c r="D1985" s="8" t="n"/>
      <c r="E1985" s="8" t="n"/>
      <c r="F1985" s="8" t="n"/>
      <c r="G1985" s="8" t="n">
        <v>295</v>
      </c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>
        <f>IF(COUNT(D1985:P1985)=0,"",MIN(D1985:P1985))</f>
        <v/>
      </c>
      <c r="R1985" s="8">
        <f>IF(COUNT(D1985:P1985)=0,"",MEDIAN(D1985:P1985))</f>
        <v/>
      </c>
      <c r="S1985" s="8">
        <f>IF(COUNT(D1985:P1985)=0,"",MAX(D1985:P1985))</f>
        <v/>
      </c>
      <c r="T1985" s="9">
        <f>IF(OR(Q1985="",Q1985=0),"",(S1985-Q1985)/Q1985)</f>
        <v/>
      </c>
      <c r="U1985" s="7">
        <f>IF(COUNT(D1985:P1985)=0,"",INDEX($D$1:$P$1,MATCH(MIN(D1985:P1985),D1985:P1985,0)))</f>
        <v/>
      </c>
      <c r="V1985" s="8" t="n">
        <v>295</v>
      </c>
      <c r="W1985" s="10" t="n">
        <v>1</v>
      </c>
    </row>
    <row r="1986">
      <c r="A1986" s="7" t="inlineStr">
        <is>
          <t>MAT-32-639</t>
        </is>
      </c>
      <c r="B1986" s="4" t="inlineStr">
        <is>
          <t>Unión de bronce 0.19"</t>
        </is>
      </c>
      <c r="C1986" s="7" t="inlineStr">
        <is>
          <t>unidad</t>
        </is>
      </c>
      <c r="D1986" s="8" t="n"/>
      <c r="E1986" s="8" t="n">
        <v>35.78</v>
      </c>
      <c r="F1986" s="8" t="n"/>
      <c r="G1986" s="8" t="n"/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>
        <f>IF(COUNT(D1986:P1986)=0,"",MIN(D1986:P1986))</f>
        <v/>
      </c>
      <c r="R1986" s="8">
        <f>IF(COUNT(D1986:P1986)=0,"",MEDIAN(D1986:P1986))</f>
        <v/>
      </c>
      <c r="S1986" s="8">
        <f>IF(COUNT(D1986:P1986)=0,"",MAX(D1986:P1986))</f>
        <v/>
      </c>
      <c r="T1986" s="9">
        <f>IF(OR(Q1986="",Q1986=0),"",(S1986-Q1986)/Q1986)</f>
        <v/>
      </c>
      <c r="U1986" s="7">
        <f>IF(COUNT(D1986:P1986)=0,"",INDEX($D$1:$P$1,MATCH(MIN(D1986:P1986),D1986:P1986,0)))</f>
        <v/>
      </c>
      <c r="V1986" s="8" t="n">
        <v>35.78</v>
      </c>
      <c r="W1986" s="10" t="n">
        <v>1</v>
      </c>
    </row>
    <row r="1987">
      <c r="A1987" s="7" t="inlineStr">
        <is>
          <t>MAT-32-640</t>
        </is>
      </c>
      <c r="B1987" s="4" t="inlineStr">
        <is>
          <t>Unión de bronce 1/2"</t>
        </is>
      </c>
      <c r="C1987" s="7" t="inlineStr">
        <is>
          <t>unidad</t>
        </is>
      </c>
      <c r="D1987" s="8" t="n"/>
      <c r="E1987" s="8" t="n">
        <v>66.19</v>
      </c>
      <c r="F1987" s="8" t="n"/>
      <c r="G1987" s="8" t="n">
        <v>165</v>
      </c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>
        <f>IF(COUNT(D1987:P1987)=0,"",MIN(D1987:P1987))</f>
        <v/>
      </c>
      <c r="R1987" s="8">
        <f>IF(COUNT(D1987:P1987)=0,"",MEDIAN(D1987:P1987))</f>
        <v/>
      </c>
      <c r="S1987" s="8">
        <f>IF(COUNT(D1987:P1987)=0,"",MAX(D1987:P1987))</f>
        <v/>
      </c>
      <c r="T1987" s="9">
        <f>IF(OR(Q1987="",Q1987=0),"",(S1987-Q1987)/Q1987)</f>
        <v/>
      </c>
      <c r="U1987" s="7">
        <f>IF(COUNT(D1987:P1987)=0,"",INDEX($D$1:$P$1,MATCH(MIN(D1987:P1987),D1987:P1987,0)))</f>
        <v/>
      </c>
      <c r="V1987" s="8" t="n">
        <v>115.6</v>
      </c>
      <c r="W1987" s="10" t="n">
        <v>2</v>
      </c>
    </row>
    <row r="1988">
      <c r="A1988" s="7" t="inlineStr">
        <is>
          <t>MAT-32-641</t>
        </is>
      </c>
      <c r="B1988" s="4" t="inlineStr">
        <is>
          <t>Unión de bronce 1/4"</t>
        </is>
      </c>
      <c r="C1988" s="7" t="inlineStr">
        <is>
          <t>unidad</t>
        </is>
      </c>
      <c r="D1988" s="8" t="n"/>
      <c r="E1988" s="8" t="n">
        <v>28</v>
      </c>
      <c r="F1988" s="8" t="n"/>
      <c r="G1988" s="8" t="n"/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>
        <f>IF(COUNT(D1988:P1988)=0,"",MIN(D1988:P1988))</f>
        <v/>
      </c>
      <c r="R1988" s="8">
        <f>IF(COUNT(D1988:P1988)=0,"",MEDIAN(D1988:P1988))</f>
        <v/>
      </c>
      <c r="S1988" s="8">
        <f>IF(COUNT(D1988:P1988)=0,"",MAX(D1988:P1988))</f>
        <v/>
      </c>
      <c r="T1988" s="9">
        <f>IF(OR(Q1988="",Q1988=0),"",(S1988-Q1988)/Q1988)</f>
        <v/>
      </c>
      <c r="U1988" s="7">
        <f>IF(COUNT(D1988:P1988)=0,"",INDEX($D$1:$P$1,MATCH(MIN(D1988:P1988),D1988:P1988,0)))</f>
        <v/>
      </c>
      <c r="V1988" s="8" t="n">
        <v>69</v>
      </c>
      <c r="W1988" s="10" t="n">
        <v>1</v>
      </c>
    </row>
    <row r="1989">
      <c r="A1989" s="7" t="inlineStr">
        <is>
          <t>MAT-32-642</t>
        </is>
      </c>
      <c r="B1989" s="4" t="inlineStr">
        <is>
          <t>Unión de bronce 1/8"</t>
        </is>
      </c>
      <c r="C1989" s="7" t="inlineStr">
        <is>
          <t>unidad</t>
        </is>
      </c>
      <c r="D1989" s="8" t="n"/>
      <c r="E1989" s="8" t="n">
        <v>16</v>
      </c>
      <c r="F1989" s="8" t="n"/>
      <c r="G1989" s="8" t="n"/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>
        <f>IF(COUNT(D1989:P1989)=0,"",MIN(D1989:P1989))</f>
        <v/>
      </c>
      <c r="R1989" s="8">
        <f>IF(COUNT(D1989:P1989)=0,"",MEDIAN(D1989:P1989))</f>
        <v/>
      </c>
      <c r="S1989" s="8">
        <f>IF(COUNT(D1989:P1989)=0,"",MAX(D1989:P1989))</f>
        <v/>
      </c>
      <c r="T1989" s="9">
        <f>IF(OR(Q1989="",Q1989=0),"",(S1989-Q1989)/Q1989)</f>
        <v/>
      </c>
      <c r="U1989" s="7">
        <f>IF(COUNT(D1989:P1989)=0,"",INDEX($D$1:$P$1,MATCH(MIN(D1989:P1989),D1989:P1989,0)))</f>
        <v/>
      </c>
      <c r="V1989" s="8" t="n">
        <v>16</v>
      </c>
      <c r="W1989" s="10" t="n">
        <v>1</v>
      </c>
    </row>
    <row r="1990">
      <c r="A1990" s="7" t="inlineStr">
        <is>
          <t>MAT-32-643</t>
        </is>
      </c>
      <c r="B1990" s="4" t="inlineStr">
        <is>
          <t>Unión de bronce 12"</t>
        </is>
      </c>
      <c r="C1990" s="7" t="inlineStr">
        <is>
          <t>unidad</t>
        </is>
      </c>
      <c r="D1990" s="8" t="n"/>
      <c r="E1990" s="8" t="n">
        <v>346</v>
      </c>
      <c r="F1990" s="8" t="n"/>
      <c r="G1990" s="8" t="n"/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>
        <f>IF(COUNT(D1990:P1990)=0,"",MIN(D1990:P1990))</f>
        <v/>
      </c>
      <c r="R1990" s="8">
        <f>IF(COUNT(D1990:P1990)=0,"",MEDIAN(D1990:P1990))</f>
        <v/>
      </c>
      <c r="S1990" s="8">
        <f>IF(COUNT(D1990:P1990)=0,"",MAX(D1990:P1990))</f>
        <v/>
      </c>
      <c r="T1990" s="9">
        <f>IF(OR(Q1990="",Q1990=0),"",(S1990-Q1990)/Q1990)</f>
        <v/>
      </c>
      <c r="U1990" s="7">
        <f>IF(COUNT(D1990:P1990)=0,"",INDEX($D$1:$P$1,MATCH(MIN(D1990:P1990),D1990:P1990,0)))</f>
        <v/>
      </c>
      <c r="V1990" s="8" t="n">
        <v>346</v>
      </c>
      <c r="W1990" s="10" t="n">
        <v>1</v>
      </c>
    </row>
    <row r="1991">
      <c r="A1991" s="7" t="inlineStr">
        <is>
          <t>MAT-32-644</t>
        </is>
      </c>
      <c r="B1991" s="4" t="inlineStr">
        <is>
          <t>Unión de bronce 15"</t>
        </is>
      </c>
      <c r="C1991" s="7" t="inlineStr">
        <is>
          <t>unidad</t>
        </is>
      </c>
      <c r="D1991" s="8" t="n"/>
      <c r="E1991" s="8" t="n">
        <v>375</v>
      </c>
      <c r="F1991" s="8" t="n"/>
      <c r="G1991" s="8" t="n"/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>
        <f>IF(COUNT(D1991:P1991)=0,"",MIN(D1991:P1991))</f>
        <v/>
      </c>
      <c r="R1991" s="8">
        <f>IF(COUNT(D1991:P1991)=0,"",MEDIAN(D1991:P1991))</f>
        <v/>
      </c>
      <c r="S1991" s="8">
        <f>IF(COUNT(D1991:P1991)=0,"",MAX(D1991:P1991))</f>
        <v/>
      </c>
      <c r="T1991" s="9">
        <f>IF(OR(Q1991="",Q1991=0),"",(S1991-Q1991)/Q1991)</f>
        <v/>
      </c>
      <c r="U1991" s="7">
        <f>IF(COUNT(D1991:P1991)=0,"",INDEX($D$1:$P$1,MATCH(MIN(D1991:P1991),D1991:P1991,0)))</f>
        <v/>
      </c>
      <c r="V1991" s="8" t="n">
        <v>375</v>
      </c>
      <c r="W1991" s="10" t="n">
        <v>1</v>
      </c>
    </row>
    <row r="1992">
      <c r="A1992" s="7" t="inlineStr">
        <is>
          <t>MAT-32-645</t>
        </is>
      </c>
      <c r="B1992" s="4" t="inlineStr">
        <is>
          <t>Unión de bronce 18"</t>
        </is>
      </c>
      <c r="C1992" s="7" t="inlineStr">
        <is>
          <t>unidad</t>
        </is>
      </c>
      <c r="D1992" s="8" t="n"/>
      <c r="E1992" s="8" t="n">
        <v>413</v>
      </c>
      <c r="F1992" s="8" t="n"/>
      <c r="G1992" s="8" t="n"/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>
        <f>IF(COUNT(D1992:P1992)=0,"",MIN(D1992:P1992))</f>
        <v/>
      </c>
      <c r="R1992" s="8">
        <f>IF(COUNT(D1992:P1992)=0,"",MEDIAN(D1992:P1992))</f>
        <v/>
      </c>
      <c r="S1992" s="8">
        <f>IF(COUNT(D1992:P1992)=0,"",MAX(D1992:P1992))</f>
        <v/>
      </c>
      <c r="T1992" s="9">
        <f>IF(OR(Q1992="",Q1992=0),"",(S1992-Q1992)/Q1992)</f>
        <v/>
      </c>
      <c r="U1992" s="7">
        <f>IF(COUNT(D1992:P1992)=0,"",INDEX($D$1:$P$1,MATCH(MIN(D1992:P1992),D1992:P1992,0)))</f>
        <v/>
      </c>
      <c r="V1992" s="8" t="n">
        <v>413</v>
      </c>
      <c r="W1992" s="10" t="n">
        <v>1</v>
      </c>
    </row>
    <row r="1993">
      <c r="A1993" s="7" t="inlineStr">
        <is>
          <t>MAT-32-646</t>
        </is>
      </c>
      <c r="B1993" s="4" t="inlineStr">
        <is>
          <t>Unión de bronce 25"</t>
        </is>
      </c>
      <c r="C1993" s="7" t="inlineStr">
        <is>
          <t>unidad</t>
        </is>
      </c>
      <c r="D1993" s="8" t="n"/>
      <c r="E1993" s="8" t="n">
        <v>796</v>
      </c>
      <c r="F1993" s="8" t="n"/>
      <c r="G1993" s="8" t="n"/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>
        <f>IF(COUNT(D1993:P1993)=0,"",MIN(D1993:P1993))</f>
        <v/>
      </c>
      <c r="R1993" s="8">
        <f>IF(COUNT(D1993:P1993)=0,"",MEDIAN(D1993:P1993))</f>
        <v/>
      </c>
      <c r="S1993" s="8">
        <f>IF(COUNT(D1993:P1993)=0,"",MAX(D1993:P1993))</f>
        <v/>
      </c>
      <c r="T1993" s="9">
        <f>IF(OR(Q1993="",Q1993=0),"",(S1993-Q1993)/Q1993)</f>
        <v/>
      </c>
      <c r="U1993" s="7">
        <f>IF(COUNT(D1993:P1993)=0,"",INDEX($D$1:$P$1,MATCH(MIN(D1993:P1993),D1993:P1993,0)))</f>
        <v/>
      </c>
      <c r="V1993" s="8" t="n">
        <v>796</v>
      </c>
      <c r="W1993" s="10" t="n">
        <v>1</v>
      </c>
    </row>
    <row r="1994">
      <c r="A1994" s="7" t="inlineStr">
        <is>
          <t>MAT-32-647</t>
        </is>
      </c>
      <c r="B1994" s="4" t="inlineStr">
        <is>
          <t>Unión de bronce 3/8"</t>
        </is>
      </c>
      <c r="C1994" s="7" t="inlineStr">
        <is>
          <t>unidad</t>
        </is>
      </c>
      <c r="D1994" s="8" t="n"/>
      <c r="E1994" s="8" t="n">
        <v>44</v>
      </c>
      <c r="F1994" s="8" t="n"/>
      <c r="G1994" s="8" t="n">
        <v>147</v>
      </c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>
        <f>IF(COUNT(D1994:P1994)=0,"",MIN(D1994:P1994))</f>
        <v/>
      </c>
      <c r="R1994" s="8">
        <f>IF(COUNT(D1994:P1994)=0,"",MEDIAN(D1994:P1994))</f>
        <v/>
      </c>
      <c r="S1994" s="8">
        <f>IF(COUNT(D1994:P1994)=0,"",MAX(D1994:P1994))</f>
        <v/>
      </c>
      <c r="T1994" s="9">
        <f>IF(OR(Q1994="",Q1994=0),"",(S1994-Q1994)/Q1994)</f>
        <v/>
      </c>
      <c r="U1994" s="7">
        <f>IF(COUNT(D1994:P1994)=0,"",INDEX($D$1:$P$1,MATCH(MIN(D1994:P1994),D1994:P1994,0)))</f>
        <v/>
      </c>
      <c r="V1994" s="8" t="n">
        <v>118</v>
      </c>
      <c r="W1994" s="10" t="n">
        <v>2</v>
      </c>
    </row>
    <row r="1995">
      <c r="A1995" s="7" t="inlineStr">
        <is>
          <t>MAT-32-648</t>
        </is>
      </c>
      <c r="B1995" s="4" t="inlineStr">
        <is>
          <t>Unión de bronce 32 mm</t>
        </is>
      </c>
      <c r="C1995" s="7" t="inlineStr">
        <is>
          <t>unidad</t>
        </is>
      </c>
      <c r="D1995" s="8" t="n"/>
      <c r="E1995" s="8" t="n">
        <v>906</v>
      </c>
      <c r="F1995" s="8" t="n"/>
      <c r="G1995" s="8" t="n"/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>
        <f>IF(COUNT(D1995:P1995)=0,"",MIN(D1995:P1995))</f>
        <v/>
      </c>
      <c r="R1995" s="8">
        <f>IF(COUNT(D1995:P1995)=0,"",MEDIAN(D1995:P1995))</f>
        <v/>
      </c>
      <c r="S1995" s="8">
        <f>IF(COUNT(D1995:P1995)=0,"",MAX(D1995:P1995))</f>
        <v/>
      </c>
      <c r="T1995" s="9">
        <f>IF(OR(Q1995="",Q1995=0),"",(S1995-Q1995)/Q1995)</f>
        <v/>
      </c>
      <c r="U1995" s="7">
        <f>IF(COUNT(D1995:P1995)=0,"",INDEX($D$1:$P$1,MATCH(MIN(D1995:P1995),D1995:P1995,0)))</f>
        <v/>
      </c>
      <c r="V1995" s="8" t="n">
        <v>906</v>
      </c>
      <c r="W1995" s="10" t="n">
        <v>1</v>
      </c>
    </row>
    <row r="1996">
      <c r="A1996" s="7" t="inlineStr">
        <is>
          <t>MAT-32-649</t>
        </is>
      </c>
      <c r="B1996" s="4" t="inlineStr">
        <is>
          <t>Unión de plástico 1/2"</t>
        </is>
      </c>
      <c r="C1996" s="7" t="inlineStr">
        <is>
          <t>unidad</t>
        </is>
      </c>
      <c r="D1996" s="8" t="n"/>
      <c r="E1996" s="8" t="n">
        <v>111</v>
      </c>
      <c r="F1996" s="8" t="n"/>
      <c r="G1996" s="8" t="n">
        <v>180</v>
      </c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>
        <f>IF(COUNT(D1996:P1996)=0,"",MIN(D1996:P1996))</f>
        <v/>
      </c>
      <c r="R1996" s="8">
        <f>IF(COUNT(D1996:P1996)=0,"",MEDIAN(D1996:P1996))</f>
        <v/>
      </c>
      <c r="S1996" s="8">
        <f>IF(COUNT(D1996:P1996)=0,"",MAX(D1996:P1996))</f>
        <v/>
      </c>
      <c r="T1996" s="9">
        <f>IF(OR(Q1996="",Q1996=0),"",(S1996-Q1996)/Q1996)</f>
        <v/>
      </c>
      <c r="U1996" s="7">
        <f>IF(COUNT(D1996:P1996)=0,"",INDEX($D$1:$P$1,MATCH(MIN(D1996:P1996),D1996:P1996,0)))</f>
        <v/>
      </c>
      <c r="V1996" s="8" t="n">
        <v>145.5</v>
      </c>
      <c r="W1996" s="10" t="n">
        <v>2</v>
      </c>
    </row>
    <row r="1997">
      <c r="A1997" s="7" t="inlineStr">
        <is>
          <t>MAT-32-650</t>
        </is>
      </c>
      <c r="B1997" s="4" t="inlineStr">
        <is>
          <t>Unión de plástico 5/8"</t>
        </is>
      </c>
      <c r="C1997" s="7" t="inlineStr">
        <is>
          <t>unidad</t>
        </is>
      </c>
      <c r="D1997" s="8" t="n"/>
      <c r="E1997" s="8" t="n">
        <v>131</v>
      </c>
      <c r="F1997" s="8" t="n"/>
      <c r="G1997" s="8" t="n"/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>
        <f>IF(COUNT(D1997:P1997)=0,"",MIN(D1997:P1997))</f>
        <v/>
      </c>
      <c r="R1997" s="8">
        <f>IF(COUNT(D1997:P1997)=0,"",MEDIAN(D1997:P1997))</f>
        <v/>
      </c>
      <c r="S1997" s="8">
        <f>IF(COUNT(D1997:P1997)=0,"",MAX(D1997:P1997))</f>
        <v/>
      </c>
      <c r="T1997" s="9">
        <f>IF(OR(Q1997="",Q1997=0),"",(S1997-Q1997)/Q1997)</f>
        <v/>
      </c>
      <c r="U1997" s="7">
        <f>IF(COUNT(D1997:P1997)=0,"",INDEX($D$1:$P$1,MATCH(MIN(D1997:P1997),D1997:P1997,0)))</f>
        <v/>
      </c>
      <c r="V1997" s="8" t="n">
        <v>131</v>
      </c>
      <c r="W1997" s="10" t="n">
        <v>1</v>
      </c>
    </row>
    <row r="1998">
      <c r="A1998" s="7" t="inlineStr">
        <is>
          <t>MAT-32-651</t>
        </is>
      </c>
      <c r="B1998" s="4" t="inlineStr">
        <is>
          <t>Unión universal de CPVC 1/2"</t>
        </is>
      </c>
      <c r="C1998" s="7" t="inlineStr">
        <is>
          <t>unidad</t>
        </is>
      </c>
      <c r="D1998" s="8" t="n"/>
      <c r="E1998" s="8" t="n">
        <v>31.5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>
        <f>IF(COUNT(D1998:P1998)=0,"",MIN(D1998:P1998))</f>
        <v/>
      </c>
      <c r="R1998" s="8">
        <f>IF(COUNT(D1998:P1998)=0,"",MEDIAN(D1998:P1998))</f>
        <v/>
      </c>
      <c r="S1998" s="8">
        <f>IF(COUNT(D1998:P1998)=0,"",MAX(D1998:P1998))</f>
        <v/>
      </c>
      <c r="T1998" s="9">
        <f>IF(OR(Q1998="",Q1998=0),"",(S1998-Q1998)/Q1998)</f>
        <v/>
      </c>
      <c r="U1998" s="7">
        <f>IF(COUNT(D1998:P1998)=0,"",INDEX($D$1:$P$1,MATCH(MIN(D1998:P1998),D1998:P1998,0)))</f>
        <v/>
      </c>
      <c r="V1998" s="8" t="n">
        <v>31.5</v>
      </c>
      <c r="W1998" s="10" t="n">
        <v>1</v>
      </c>
    </row>
    <row r="1999">
      <c r="A1999" s="7" t="inlineStr">
        <is>
          <t>MAT-32-652</t>
        </is>
      </c>
      <c r="B1999" s="4" t="inlineStr">
        <is>
          <t>Unión universal de CPVC 1"</t>
        </is>
      </c>
      <c r="C1999" s="7" t="inlineStr">
        <is>
          <t>unidad</t>
        </is>
      </c>
      <c r="D1999" s="8" t="n"/>
      <c r="E1999" s="8" t="n">
        <v>150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>
        <f>IF(COUNT(D1999:P1999)=0,"",MIN(D1999:P1999))</f>
        <v/>
      </c>
      <c r="R1999" s="8">
        <f>IF(COUNT(D1999:P1999)=0,"",MEDIAN(D1999:P1999))</f>
        <v/>
      </c>
      <c r="S1999" s="8">
        <f>IF(COUNT(D1999:P1999)=0,"",MAX(D1999:P1999))</f>
        <v/>
      </c>
      <c r="T1999" s="9">
        <f>IF(OR(Q1999="",Q1999=0),"",(S1999-Q1999)/Q1999)</f>
        <v/>
      </c>
      <c r="U1999" s="7">
        <f>IF(COUNT(D1999:P1999)=0,"",INDEX($D$1:$P$1,MATCH(MIN(D1999:P1999),D1999:P1999,0)))</f>
        <v/>
      </c>
      <c r="V1999" s="8" t="n">
        <v>150</v>
      </c>
      <c r="W1999" s="10" t="n">
        <v>1</v>
      </c>
    </row>
    <row r="2000">
      <c r="A2000" s="7" t="inlineStr">
        <is>
          <t>MAT-32-653</t>
        </is>
      </c>
      <c r="B2000" s="4" t="inlineStr">
        <is>
          <t>Unión universal de CPVC 3/4"</t>
        </is>
      </c>
      <c r="C2000" s="7" t="inlineStr">
        <is>
          <t>unidad</t>
        </is>
      </c>
      <c r="D2000" s="8" t="n"/>
      <c r="E2000" s="8" t="n">
        <v>100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>
        <f>IF(COUNT(D2000:P2000)=0,"",MIN(D2000:P2000))</f>
        <v/>
      </c>
      <c r="R2000" s="8">
        <f>IF(COUNT(D2000:P2000)=0,"",MEDIAN(D2000:P2000))</f>
        <v/>
      </c>
      <c r="S2000" s="8">
        <f>IF(COUNT(D2000:P2000)=0,"",MAX(D2000:P2000))</f>
        <v/>
      </c>
      <c r="T2000" s="9">
        <f>IF(OR(Q2000="",Q2000=0),"",(S2000-Q2000)/Q2000)</f>
        <v/>
      </c>
      <c r="U2000" s="7">
        <f>IF(COUNT(D2000:P2000)=0,"",INDEX($D$1:$P$1,MATCH(MIN(D2000:P2000),D2000:P2000,0)))</f>
        <v/>
      </c>
      <c r="V2000" s="8" t="n">
        <v>100</v>
      </c>
      <c r="W2000" s="10" t="n">
        <v>1</v>
      </c>
    </row>
    <row r="2001">
      <c r="A2001" s="7" t="inlineStr">
        <is>
          <t>MAT-32-654</t>
        </is>
      </c>
      <c r="B2001" s="4" t="inlineStr">
        <is>
          <t>Unión universal de HG 1 1/2"</t>
        </is>
      </c>
      <c r="C2001" s="7" t="inlineStr">
        <is>
          <t>unidad</t>
        </is>
      </c>
      <c r="D2001" s="8" t="n"/>
      <c r="E2001" s="8" t="n">
        <v>350</v>
      </c>
      <c r="F2001" s="8" t="n"/>
      <c r="G2001" s="8" t="n">
        <v>525</v>
      </c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>
        <f>IF(COUNT(D2001:P2001)=0,"",MIN(D2001:P2001))</f>
        <v/>
      </c>
      <c r="R2001" s="8">
        <f>IF(COUNT(D2001:P2001)=0,"",MEDIAN(D2001:P2001))</f>
        <v/>
      </c>
      <c r="S2001" s="8">
        <f>IF(COUNT(D2001:P2001)=0,"",MAX(D2001:P2001))</f>
        <v/>
      </c>
      <c r="T2001" s="9">
        <f>IF(OR(Q2001="",Q2001=0),"",(S2001-Q2001)/Q2001)</f>
        <v/>
      </c>
      <c r="U2001" s="7">
        <f>IF(COUNT(D2001:P2001)=0,"",INDEX($D$1:$P$1,MATCH(MIN(D2001:P2001),D2001:P2001,0)))</f>
        <v/>
      </c>
      <c r="V2001" s="8" t="n">
        <v>437.5</v>
      </c>
      <c r="W2001" s="10" t="n">
        <v>2</v>
      </c>
    </row>
    <row r="2002">
      <c r="A2002" s="7" t="inlineStr">
        <is>
          <t>MAT-32-655</t>
        </is>
      </c>
      <c r="B2002" s="4" t="inlineStr">
        <is>
          <t>Unión universal de HG 1 1/4"</t>
        </is>
      </c>
      <c r="C2002" s="7" t="inlineStr">
        <is>
          <t>unidad</t>
        </is>
      </c>
      <c r="D2002" s="8" t="n"/>
      <c r="E2002" s="8" t="n">
        <v>249</v>
      </c>
      <c r="F2002" s="8" t="n"/>
      <c r="G2002" s="8" t="n">
        <v>422</v>
      </c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>
        <f>IF(COUNT(D2002:P2002)=0,"",MIN(D2002:P2002))</f>
        <v/>
      </c>
      <c r="R2002" s="8">
        <f>IF(COUNT(D2002:P2002)=0,"",MEDIAN(D2002:P2002))</f>
        <v/>
      </c>
      <c r="S2002" s="8">
        <f>IF(COUNT(D2002:P2002)=0,"",MAX(D2002:P2002))</f>
        <v/>
      </c>
      <c r="T2002" s="9">
        <f>IF(OR(Q2002="",Q2002=0),"",(S2002-Q2002)/Q2002)</f>
        <v/>
      </c>
      <c r="U2002" s="7">
        <f>IF(COUNT(D2002:P2002)=0,"",INDEX($D$1:$P$1,MATCH(MIN(D2002:P2002),D2002:P2002,0)))</f>
        <v/>
      </c>
      <c r="V2002" s="8" t="n">
        <v>335.5</v>
      </c>
      <c r="W2002" s="10" t="n">
        <v>2</v>
      </c>
    </row>
    <row r="2003">
      <c r="A2003" s="7" t="inlineStr">
        <is>
          <t>MAT-32-656</t>
        </is>
      </c>
      <c r="B2003" s="4" t="inlineStr">
        <is>
          <t>Unión universal de HG 1/2"</t>
        </is>
      </c>
      <c r="C2003" s="7" t="inlineStr">
        <is>
          <t>unidad</t>
        </is>
      </c>
      <c r="D2003" s="8" t="n"/>
      <c r="E2003" s="8" t="n">
        <v>115</v>
      </c>
      <c r="F2003" s="8" t="n"/>
      <c r="G2003" s="8" t="n">
        <v>170</v>
      </c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>
        <f>IF(COUNT(D2003:P2003)=0,"",MIN(D2003:P2003))</f>
        <v/>
      </c>
      <c r="R2003" s="8">
        <f>IF(COUNT(D2003:P2003)=0,"",MEDIAN(D2003:P2003))</f>
        <v/>
      </c>
      <c r="S2003" s="8">
        <f>IF(COUNT(D2003:P2003)=0,"",MAX(D2003:P2003))</f>
        <v/>
      </c>
      <c r="T2003" s="9">
        <f>IF(OR(Q2003="",Q2003=0),"",(S2003-Q2003)/Q2003)</f>
        <v/>
      </c>
      <c r="U2003" s="7">
        <f>IF(COUNT(D2003:P2003)=0,"",INDEX($D$1:$P$1,MATCH(MIN(D2003:P2003),D2003:P2003,0)))</f>
        <v/>
      </c>
      <c r="V2003" s="8" t="n">
        <v>142.5</v>
      </c>
      <c r="W2003" s="10" t="n">
        <v>2</v>
      </c>
    </row>
    <row r="2004">
      <c r="A2004" s="7" t="inlineStr">
        <is>
          <t>MAT-32-657</t>
        </is>
      </c>
      <c r="B2004" s="4" t="inlineStr">
        <is>
          <t>Unión universal de HG 1/4"</t>
        </is>
      </c>
      <c r="C2004" s="7" t="inlineStr">
        <is>
          <t>unidad</t>
        </is>
      </c>
      <c r="D2004" s="8" t="n"/>
      <c r="E2004" s="8" t="n"/>
      <c r="F2004" s="8" t="n"/>
      <c r="G2004" s="8" t="n">
        <v>44</v>
      </c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>
        <f>IF(COUNT(D2004:P2004)=0,"",MIN(D2004:P2004))</f>
        <v/>
      </c>
      <c r="R2004" s="8">
        <f>IF(COUNT(D2004:P2004)=0,"",MEDIAN(D2004:P2004))</f>
        <v/>
      </c>
      <c r="S2004" s="8">
        <f>IF(COUNT(D2004:P2004)=0,"",MAX(D2004:P2004))</f>
        <v/>
      </c>
      <c r="T2004" s="9">
        <f>IF(OR(Q2004="",Q2004=0),"",(S2004-Q2004)/Q2004)</f>
        <v/>
      </c>
      <c r="U2004" s="7">
        <f>IF(COUNT(D2004:P2004)=0,"",INDEX($D$1:$P$1,MATCH(MIN(D2004:P2004),D2004:P2004,0)))</f>
        <v/>
      </c>
      <c r="V2004" s="8" t="n">
        <v>44</v>
      </c>
      <c r="W2004" s="10" t="n">
        <v>1</v>
      </c>
    </row>
    <row r="2005">
      <c r="A2005" s="7" t="inlineStr">
        <is>
          <t>MAT-32-658</t>
        </is>
      </c>
      <c r="B2005" s="4" t="inlineStr">
        <is>
          <t>Unión universal de HG 1"</t>
        </is>
      </c>
      <c r="C2005" s="7" t="inlineStr">
        <is>
          <t>unidad</t>
        </is>
      </c>
      <c r="D2005" s="8" t="n"/>
      <c r="E2005" s="8" t="n">
        <v>174</v>
      </c>
      <c r="F2005" s="8" t="n"/>
      <c r="G2005" s="8" t="n"/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>
        <f>IF(COUNT(D2005:P2005)=0,"",MIN(D2005:P2005))</f>
        <v/>
      </c>
      <c r="R2005" s="8">
        <f>IF(COUNT(D2005:P2005)=0,"",MEDIAN(D2005:P2005))</f>
        <v/>
      </c>
      <c r="S2005" s="8">
        <f>IF(COUNT(D2005:P2005)=0,"",MAX(D2005:P2005))</f>
        <v/>
      </c>
      <c r="T2005" s="9">
        <f>IF(OR(Q2005="",Q2005=0),"",(S2005-Q2005)/Q2005)</f>
        <v/>
      </c>
      <c r="U2005" s="7">
        <f>IF(COUNT(D2005:P2005)=0,"",INDEX($D$1:$P$1,MATCH(MIN(D2005:P2005),D2005:P2005,0)))</f>
        <v/>
      </c>
      <c r="V2005" s="8" t="n">
        <v>174</v>
      </c>
      <c r="W2005" s="10" t="n">
        <v>1</v>
      </c>
    </row>
    <row r="2006">
      <c r="A2006" s="7" t="inlineStr">
        <is>
          <t>MAT-32-659</t>
        </is>
      </c>
      <c r="B2006" s="4" t="inlineStr">
        <is>
          <t>Unión universal de HG 2"</t>
        </is>
      </c>
      <c r="C2006" s="7" t="inlineStr">
        <is>
          <t>unidad</t>
        </is>
      </c>
      <c r="D2006" s="8" t="n"/>
      <c r="E2006" s="8" t="n">
        <v>450</v>
      </c>
      <c r="F2006" s="8" t="n"/>
      <c r="G2006" s="8" t="n">
        <v>827</v>
      </c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>
        <f>IF(COUNT(D2006:P2006)=0,"",MIN(D2006:P2006))</f>
        <v/>
      </c>
      <c r="R2006" s="8">
        <f>IF(COUNT(D2006:P2006)=0,"",MEDIAN(D2006:P2006))</f>
        <v/>
      </c>
      <c r="S2006" s="8">
        <f>IF(COUNT(D2006:P2006)=0,"",MAX(D2006:P2006))</f>
        <v/>
      </c>
      <c r="T2006" s="9">
        <f>IF(OR(Q2006="",Q2006=0),"",(S2006-Q2006)/Q2006)</f>
        <v/>
      </c>
      <c r="U2006" s="7">
        <f>IF(COUNT(D2006:P2006)=0,"",INDEX($D$1:$P$1,MATCH(MIN(D2006:P2006),D2006:P2006,0)))</f>
        <v/>
      </c>
      <c r="V2006" s="8" t="n">
        <v>638.5</v>
      </c>
      <c r="W2006" s="10" t="n">
        <v>2</v>
      </c>
    </row>
    <row r="2007">
      <c r="A2007" s="7" t="inlineStr">
        <is>
          <t>MAT-32-660</t>
        </is>
      </c>
      <c r="B2007" s="4" t="inlineStr">
        <is>
          <t>Unión universal de HG 3/4"</t>
        </is>
      </c>
      <c r="C2007" s="7" t="inlineStr">
        <is>
          <t>unidad</t>
        </is>
      </c>
      <c r="D2007" s="8" t="n"/>
      <c r="E2007" s="8" t="n">
        <v>180</v>
      </c>
      <c r="F2007" s="8" t="n"/>
      <c r="G2007" s="8" t="n">
        <v>162</v>
      </c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>
        <f>IF(COUNT(D2007:P2007)=0,"",MIN(D2007:P2007))</f>
        <v/>
      </c>
      <c r="R2007" s="8">
        <f>IF(COUNT(D2007:P2007)=0,"",MEDIAN(D2007:P2007))</f>
        <v/>
      </c>
      <c r="S2007" s="8">
        <f>IF(COUNT(D2007:P2007)=0,"",MAX(D2007:P2007))</f>
        <v/>
      </c>
      <c r="T2007" s="9">
        <f>IF(OR(Q2007="",Q2007=0),"",(S2007-Q2007)/Q2007)</f>
        <v/>
      </c>
      <c r="U2007" s="7">
        <f>IF(COUNT(D2007:P2007)=0,"",INDEX($D$1:$P$1,MATCH(MIN(D2007:P2007),D2007:P2007,0)))</f>
        <v/>
      </c>
      <c r="V2007" s="8" t="n">
        <v>171</v>
      </c>
      <c r="W2007" s="10" t="n">
        <v>2</v>
      </c>
    </row>
    <row r="2008">
      <c r="A2008" s="7" t="inlineStr">
        <is>
          <t>MAT-32-661</t>
        </is>
      </c>
      <c r="B2008" s="4" t="inlineStr">
        <is>
          <t>Unión universal de HG 3/8"</t>
        </is>
      </c>
      <c r="C2008" s="7" t="inlineStr">
        <is>
          <t>unidad</t>
        </is>
      </c>
      <c r="D2008" s="8" t="n"/>
      <c r="E2008" s="8" t="n"/>
      <c r="F2008" s="8" t="n"/>
      <c r="G2008" s="8" t="n">
        <v>12</v>
      </c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>
        <f>IF(COUNT(D2008:P2008)=0,"",MIN(D2008:P2008))</f>
        <v/>
      </c>
      <c r="R2008" s="8">
        <f>IF(COUNT(D2008:P2008)=0,"",MEDIAN(D2008:P2008))</f>
        <v/>
      </c>
      <c r="S2008" s="8">
        <f>IF(COUNT(D2008:P2008)=0,"",MAX(D2008:P2008))</f>
        <v/>
      </c>
      <c r="T2008" s="9">
        <f>IF(OR(Q2008="",Q2008=0),"",(S2008-Q2008)/Q2008)</f>
        <v/>
      </c>
      <c r="U2008" s="7">
        <f>IF(COUNT(D2008:P2008)=0,"",INDEX($D$1:$P$1,MATCH(MIN(D2008:P2008),D2008:P2008,0)))</f>
        <v/>
      </c>
      <c r="V2008" s="8" t="n">
        <v>12</v>
      </c>
      <c r="W2008" s="10" t="n">
        <v>1</v>
      </c>
    </row>
    <row r="2009">
      <c r="A2009" s="7" t="inlineStr">
        <is>
          <t>MAT-32-662</t>
        </is>
      </c>
      <c r="B2009" s="4" t="inlineStr">
        <is>
          <t>Unión universal de HG 3"</t>
        </is>
      </c>
      <c r="C2009" s="7" t="inlineStr">
        <is>
          <t>unidad</t>
        </is>
      </c>
      <c r="D2009" s="8" t="n"/>
      <c r="E2009" s="8" t="n">
        <v>1376</v>
      </c>
      <c r="F2009" s="8" t="n"/>
      <c r="G2009" s="8" t="n"/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>
        <f>IF(COUNT(D2009:P2009)=0,"",MIN(D2009:P2009))</f>
        <v/>
      </c>
      <c r="R2009" s="8">
        <f>IF(COUNT(D2009:P2009)=0,"",MEDIAN(D2009:P2009))</f>
        <v/>
      </c>
      <c r="S2009" s="8">
        <f>IF(COUNT(D2009:P2009)=0,"",MAX(D2009:P2009))</f>
        <v/>
      </c>
      <c r="T2009" s="9">
        <f>IF(OR(Q2009="",Q2009=0),"",(S2009-Q2009)/Q2009)</f>
        <v/>
      </c>
      <c r="U2009" s="7">
        <f>IF(COUNT(D2009:P2009)=0,"",INDEX($D$1:$P$1,MATCH(MIN(D2009:P2009),D2009:P2009,0)))</f>
        <v/>
      </c>
      <c r="V2009" s="8" t="n">
        <v>1376</v>
      </c>
      <c r="W2009" s="10" t="n">
        <v>1</v>
      </c>
    </row>
    <row r="2010">
      <c r="A2010" s="7" t="inlineStr">
        <is>
          <t>MAT-32-663</t>
        </is>
      </c>
      <c r="B2010" s="4" t="inlineStr">
        <is>
          <t>Unión universal de HG 4"</t>
        </is>
      </c>
      <c r="C2010" s="7" t="inlineStr">
        <is>
          <t>unidad</t>
        </is>
      </c>
      <c r="D2010" s="8" t="n"/>
      <c r="E2010" s="8" t="n">
        <v>1835</v>
      </c>
      <c r="F2010" s="8" t="n"/>
      <c r="G2010" s="8" t="n"/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>
        <f>IF(COUNT(D2010:P2010)=0,"",MIN(D2010:P2010))</f>
        <v/>
      </c>
      <c r="R2010" s="8">
        <f>IF(COUNT(D2010:P2010)=0,"",MEDIAN(D2010:P2010))</f>
        <v/>
      </c>
      <c r="S2010" s="8">
        <f>IF(COUNT(D2010:P2010)=0,"",MAX(D2010:P2010))</f>
        <v/>
      </c>
      <c r="T2010" s="9">
        <f>IF(OR(Q2010="",Q2010=0),"",(S2010-Q2010)/Q2010)</f>
        <v/>
      </c>
      <c r="U2010" s="7">
        <f>IF(COUNT(D2010:P2010)=0,"",INDEX($D$1:$P$1,MATCH(MIN(D2010:P2010),D2010:P2010,0)))</f>
        <v/>
      </c>
      <c r="V2010" s="8" t="n">
        <v>1835</v>
      </c>
      <c r="W2010" s="10" t="n">
        <v>1</v>
      </c>
    </row>
    <row r="2011">
      <c r="A2011" s="7" t="inlineStr">
        <is>
          <t>MAT-32-664</t>
        </is>
      </c>
      <c r="B2011" s="4" t="inlineStr">
        <is>
          <t>Unión universal de PPR 20 mm</t>
        </is>
      </c>
      <c r="C2011" s="7" t="inlineStr">
        <is>
          <t>unidad</t>
        </is>
      </c>
      <c r="D2011" s="8" t="n"/>
      <c r="E2011" s="8" t="n">
        <v>25.14</v>
      </c>
      <c r="F2011" s="8" t="n"/>
      <c r="G2011" s="8" t="n"/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>
        <f>IF(COUNT(D2011:P2011)=0,"",MIN(D2011:P2011))</f>
        <v/>
      </c>
      <c r="R2011" s="8">
        <f>IF(COUNT(D2011:P2011)=0,"",MEDIAN(D2011:P2011))</f>
        <v/>
      </c>
      <c r="S2011" s="8">
        <f>IF(COUNT(D2011:P2011)=0,"",MAX(D2011:P2011))</f>
        <v/>
      </c>
      <c r="T2011" s="9">
        <f>IF(OR(Q2011="",Q2011=0),"",(S2011-Q2011)/Q2011)</f>
        <v/>
      </c>
      <c r="U2011" s="7">
        <f>IF(COUNT(D2011:P2011)=0,"",INDEX($D$1:$P$1,MATCH(MIN(D2011:P2011),D2011:P2011,0)))</f>
        <v/>
      </c>
      <c r="V2011" s="8" t="n">
        <v>25.14</v>
      </c>
      <c r="W2011" s="10" t="n">
        <v>1</v>
      </c>
    </row>
    <row r="2012">
      <c r="A2012" s="7" t="inlineStr">
        <is>
          <t>MAT-32-665</t>
        </is>
      </c>
      <c r="B2012" s="4" t="inlineStr">
        <is>
          <t>Unión universal de PPR 25 mm</t>
        </is>
      </c>
      <c r="C2012" s="7" t="inlineStr">
        <is>
          <t>unidad</t>
        </is>
      </c>
      <c r="D2012" s="8" t="n"/>
      <c r="E2012" s="8" t="n">
        <v>33.14</v>
      </c>
      <c r="F2012" s="8" t="n"/>
      <c r="G2012" s="8" t="n">
        <v>166</v>
      </c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>
        <f>IF(COUNT(D2012:P2012)=0,"",MIN(D2012:P2012))</f>
        <v/>
      </c>
      <c r="R2012" s="8">
        <f>IF(COUNT(D2012:P2012)=0,"",MEDIAN(D2012:P2012))</f>
        <v/>
      </c>
      <c r="S2012" s="8">
        <f>IF(COUNT(D2012:P2012)=0,"",MAX(D2012:P2012))</f>
        <v/>
      </c>
      <c r="T2012" s="9">
        <f>IF(OR(Q2012="",Q2012=0),"",(S2012-Q2012)/Q2012)</f>
        <v/>
      </c>
      <c r="U2012" s="7">
        <f>IF(COUNT(D2012:P2012)=0,"",INDEX($D$1:$P$1,MATCH(MIN(D2012:P2012),D2012:P2012,0)))</f>
        <v/>
      </c>
      <c r="V2012" s="8" t="n">
        <v>99.56999999999999</v>
      </c>
      <c r="W2012" s="10" t="n">
        <v>2</v>
      </c>
    </row>
    <row r="2013">
      <c r="A2013" s="7" t="inlineStr">
        <is>
          <t>MAT-32-666</t>
        </is>
      </c>
      <c r="B2013" s="4" t="inlineStr">
        <is>
          <t>Unión universal de PPR 32 mm</t>
        </is>
      </c>
      <c r="C2013" s="7" t="inlineStr">
        <is>
          <t>unidad</t>
        </is>
      </c>
      <c r="D2013" s="8" t="n"/>
      <c r="E2013" s="8" t="n">
        <v>50.46</v>
      </c>
      <c r="F2013" s="8" t="n"/>
      <c r="G2013" s="8" t="n"/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>
        <f>IF(COUNT(D2013:P2013)=0,"",MIN(D2013:P2013))</f>
        <v/>
      </c>
      <c r="R2013" s="8">
        <f>IF(COUNT(D2013:P2013)=0,"",MEDIAN(D2013:P2013))</f>
        <v/>
      </c>
      <c r="S2013" s="8">
        <f>IF(COUNT(D2013:P2013)=0,"",MAX(D2013:P2013))</f>
        <v/>
      </c>
      <c r="T2013" s="9">
        <f>IF(OR(Q2013="",Q2013=0),"",(S2013-Q2013)/Q2013)</f>
        <v/>
      </c>
      <c r="U2013" s="7">
        <f>IF(COUNT(D2013:P2013)=0,"",INDEX($D$1:$P$1,MATCH(MIN(D2013:P2013),D2013:P2013,0)))</f>
        <v/>
      </c>
      <c r="V2013" s="8" t="n">
        <v>50.46</v>
      </c>
      <c r="W2013" s="10" t="n">
        <v>1</v>
      </c>
    </row>
    <row r="2014">
      <c r="A2014" s="7" t="inlineStr">
        <is>
          <t>MAT-32-667</t>
        </is>
      </c>
      <c r="B2014" s="4" t="inlineStr">
        <is>
          <t>Unión universal de PPR 50 mm</t>
        </is>
      </c>
      <c r="C2014" s="7" t="inlineStr">
        <is>
          <t>unidad</t>
        </is>
      </c>
      <c r="D2014" s="8" t="n"/>
      <c r="E2014" s="8" t="n">
        <v>120</v>
      </c>
      <c r="F2014" s="8" t="n"/>
      <c r="G2014" s="8" t="n"/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>
        <f>IF(COUNT(D2014:P2014)=0,"",MIN(D2014:P2014))</f>
        <v/>
      </c>
      <c r="R2014" s="8">
        <f>IF(COUNT(D2014:P2014)=0,"",MEDIAN(D2014:P2014))</f>
        <v/>
      </c>
      <c r="S2014" s="8">
        <f>IF(COUNT(D2014:P2014)=0,"",MAX(D2014:P2014))</f>
        <v/>
      </c>
      <c r="T2014" s="9">
        <f>IF(OR(Q2014="",Q2014=0),"",(S2014-Q2014)/Q2014)</f>
        <v/>
      </c>
      <c r="U2014" s="7">
        <f>IF(COUNT(D2014:P2014)=0,"",INDEX($D$1:$P$1,MATCH(MIN(D2014:P2014),D2014:P2014,0)))</f>
        <v/>
      </c>
      <c r="V2014" s="8" t="n">
        <v>120</v>
      </c>
      <c r="W2014" s="10" t="n">
        <v>1</v>
      </c>
    </row>
    <row r="2015">
      <c r="A2015" s="7" t="inlineStr">
        <is>
          <t>MAT-32-668</t>
        </is>
      </c>
      <c r="B2015" s="4" t="inlineStr">
        <is>
          <t>Unión universal de PVC 1 1/2"</t>
        </is>
      </c>
      <c r="C2015" s="7" t="inlineStr">
        <is>
          <t>unidad</t>
        </is>
      </c>
      <c r="D2015" s="8" t="n"/>
      <c r="E2015" s="8" t="n">
        <v>74.06</v>
      </c>
      <c r="F2015" s="8" t="n"/>
      <c r="G2015" s="8" t="n"/>
      <c r="H2015" s="8" t="n"/>
      <c r="I2015" s="8" t="n"/>
      <c r="J2015" s="8" t="n"/>
      <c r="K2015" s="8" t="n"/>
      <c r="L2015" s="8" t="n"/>
      <c r="M2015" s="8" t="n">
        <v>103</v>
      </c>
      <c r="N2015" s="8" t="n"/>
      <c r="O2015" s="8" t="n"/>
      <c r="P2015" s="8" t="n"/>
      <c r="Q2015" s="8">
        <f>IF(COUNT(D2015:P2015)=0,"",MIN(D2015:P2015))</f>
        <v/>
      </c>
      <c r="R2015" s="8">
        <f>IF(COUNT(D2015:P2015)=0,"",MEDIAN(D2015:P2015))</f>
        <v/>
      </c>
      <c r="S2015" s="8">
        <f>IF(COUNT(D2015:P2015)=0,"",MAX(D2015:P2015))</f>
        <v/>
      </c>
      <c r="T2015" s="9">
        <f>IF(OR(Q2015="",Q2015=0),"",(S2015-Q2015)/Q2015)</f>
        <v/>
      </c>
      <c r="U2015" s="7">
        <f>IF(COUNT(D2015:P2015)=0,"",INDEX($D$1:$P$1,MATCH(MIN(D2015:P2015),D2015:P2015,0)))</f>
        <v/>
      </c>
      <c r="V2015" s="8" t="n">
        <v>104.52</v>
      </c>
      <c r="W2015" s="10" t="n">
        <v>2</v>
      </c>
    </row>
    <row r="2016">
      <c r="A2016" s="7" t="inlineStr">
        <is>
          <t>MAT-32-669</t>
        </is>
      </c>
      <c r="B2016" s="4" t="inlineStr">
        <is>
          <t>Unión universal de PVC 1/2"</t>
        </is>
      </c>
      <c r="C2016" s="7" t="inlineStr">
        <is>
          <t>unidad</t>
        </is>
      </c>
      <c r="D2016" s="8" t="n"/>
      <c r="E2016" s="8" t="n">
        <v>17.7</v>
      </c>
      <c r="F2016" s="8" t="n"/>
      <c r="G2016" s="8" t="n">
        <v>75</v>
      </c>
      <c r="H2016" s="8" t="n"/>
      <c r="I2016" s="8" t="n"/>
      <c r="J2016" s="8" t="n"/>
      <c r="K2016" s="8" t="n"/>
      <c r="L2016" s="8" t="n"/>
      <c r="M2016" s="8" t="n">
        <v>22.87</v>
      </c>
      <c r="N2016" s="8" t="n"/>
      <c r="O2016" s="8" t="n"/>
      <c r="P2016" s="8" t="n"/>
      <c r="Q2016" s="8">
        <f>IF(COUNT(D2016:P2016)=0,"",MIN(D2016:P2016))</f>
        <v/>
      </c>
      <c r="R2016" s="8">
        <f>IF(COUNT(D2016:P2016)=0,"",MEDIAN(D2016:P2016))</f>
        <v/>
      </c>
      <c r="S2016" s="8">
        <f>IF(COUNT(D2016:P2016)=0,"",MAX(D2016:P2016))</f>
        <v/>
      </c>
      <c r="T2016" s="9">
        <f>IF(OR(Q2016="",Q2016=0),"",(S2016-Q2016)/Q2016)</f>
        <v/>
      </c>
      <c r="U2016" s="7">
        <f>IF(COUNT(D2016:P2016)=0,"",INDEX($D$1:$P$1,MATCH(MIN(D2016:P2016),D2016:P2016,0)))</f>
        <v/>
      </c>
      <c r="V2016" s="8" t="n">
        <v>30.27</v>
      </c>
      <c r="W2016" s="10" t="n">
        <v>3</v>
      </c>
    </row>
    <row r="2017">
      <c r="A2017" s="7" t="inlineStr">
        <is>
          <t>MAT-32-670</t>
        </is>
      </c>
      <c r="B2017" s="4" t="inlineStr">
        <is>
          <t>Unión universal de PVC 1"</t>
        </is>
      </c>
      <c r="C2017" s="7" t="inlineStr">
        <is>
          <t>unidad</t>
        </is>
      </c>
      <c r="D2017" s="8" t="n"/>
      <c r="E2017" s="8" t="n">
        <v>37</v>
      </c>
      <c r="F2017" s="8" t="n"/>
      <c r="G2017" s="8" t="n">
        <v>135</v>
      </c>
      <c r="H2017" s="8" t="n"/>
      <c r="I2017" s="8" t="n"/>
      <c r="J2017" s="8" t="n"/>
      <c r="K2017" s="8" t="n"/>
      <c r="L2017" s="8" t="n"/>
      <c r="M2017" s="8" t="n">
        <v>41.92</v>
      </c>
      <c r="N2017" s="8" t="n"/>
      <c r="O2017" s="8" t="n"/>
      <c r="P2017" s="8" t="n"/>
      <c r="Q2017" s="8">
        <f>IF(COUNT(D2017:P2017)=0,"",MIN(D2017:P2017))</f>
        <v/>
      </c>
      <c r="R2017" s="8">
        <f>IF(COUNT(D2017:P2017)=0,"",MEDIAN(D2017:P2017))</f>
        <v/>
      </c>
      <c r="S2017" s="8">
        <f>IF(COUNT(D2017:P2017)=0,"",MAX(D2017:P2017))</f>
        <v/>
      </c>
      <c r="T2017" s="9">
        <f>IF(OR(Q2017="",Q2017=0),"",(S2017-Q2017)/Q2017)</f>
        <v/>
      </c>
      <c r="U2017" s="7">
        <f>IF(COUNT(D2017:P2017)=0,"",INDEX($D$1:$P$1,MATCH(MIN(D2017:P2017),D2017:P2017,0)))</f>
        <v/>
      </c>
      <c r="V2017" s="8" t="n">
        <v>49.47</v>
      </c>
      <c r="W2017" s="10" t="n">
        <v>3</v>
      </c>
    </row>
    <row r="2018">
      <c r="A2018" s="7" t="inlineStr">
        <is>
          <t>MAT-32-671</t>
        </is>
      </c>
      <c r="B2018" s="4" t="inlineStr">
        <is>
          <t>Unión universal de PVC 2"</t>
        </is>
      </c>
      <c r="C2018" s="7" t="inlineStr">
        <is>
          <t>unidad</t>
        </is>
      </c>
      <c r="D2018" s="8" t="n"/>
      <c r="E2018" s="8" t="n">
        <v>125.07</v>
      </c>
      <c r="F2018" s="8" t="n"/>
      <c r="G2018" s="8" t="n">
        <v>232</v>
      </c>
      <c r="H2018" s="8" t="n"/>
      <c r="I2018" s="8" t="n"/>
      <c r="J2018" s="8" t="n"/>
      <c r="K2018" s="8" t="n"/>
      <c r="L2018" s="8" t="n"/>
      <c r="M2018" s="8" t="n">
        <v>137</v>
      </c>
      <c r="N2018" s="8" t="n"/>
      <c r="O2018" s="8" t="n"/>
      <c r="P2018" s="8" t="n"/>
      <c r="Q2018" s="8">
        <f>IF(COUNT(D2018:P2018)=0,"",MIN(D2018:P2018))</f>
        <v/>
      </c>
      <c r="R2018" s="8">
        <f>IF(COUNT(D2018:P2018)=0,"",MEDIAN(D2018:P2018))</f>
        <v/>
      </c>
      <c r="S2018" s="8">
        <f>IF(COUNT(D2018:P2018)=0,"",MAX(D2018:P2018))</f>
        <v/>
      </c>
      <c r="T2018" s="9">
        <f>IF(OR(Q2018="",Q2018=0),"",(S2018-Q2018)/Q2018)</f>
        <v/>
      </c>
      <c r="U2018" s="7">
        <f>IF(COUNT(D2018:P2018)=0,"",INDEX($D$1:$P$1,MATCH(MIN(D2018:P2018),D2018:P2018,0)))</f>
        <v/>
      </c>
      <c r="V2018" s="8" t="n">
        <v>161.66</v>
      </c>
      <c r="W2018" s="10" t="n">
        <v>3</v>
      </c>
    </row>
    <row r="2019">
      <c r="A2019" s="7" t="inlineStr">
        <is>
          <t>MAT-32-672</t>
        </is>
      </c>
      <c r="B2019" s="4" t="inlineStr">
        <is>
          <t>Unión universal de PVC 3/4"</t>
        </is>
      </c>
      <c r="C2019" s="7" t="inlineStr">
        <is>
          <t>unidad</t>
        </is>
      </c>
      <c r="D2019" s="8" t="n"/>
      <c r="E2019" s="8" t="n">
        <v>23.2</v>
      </c>
      <c r="F2019" s="8" t="n"/>
      <c r="G2019" s="8" t="n">
        <v>95</v>
      </c>
      <c r="H2019" s="8" t="n"/>
      <c r="I2019" s="8" t="n"/>
      <c r="J2019" s="8" t="n"/>
      <c r="K2019" s="8" t="n"/>
      <c r="L2019" s="8" t="n"/>
      <c r="M2019" s="8" t="n">
        <v>28.17</v>
      </c>
      <c r="N2019" s="8" t="n"/>
      <c r="O2019" s="8" t="n"/>
      <c r="P2019" s="8" t="n"/>
      <c r="Q2019" s="8">
        <f>IF(COUNT(D2019:P2019)=0,"",MIN(D2019:P2019))</f>
        <v/>
      </c>
      <c r="R2019" s="8">
        <f>IF(COUNT(D2019:P2019)=0,"",MEDIAN(D2019:P2019))</f>
        <v/>
      </c>
      <c r="S2019" s="8">
        <f>IF(COUNT(D2019:P2019)=0,"",MAX(D2019:P2019))</f>
        <v/>
      </c>
      <c r="T2019" s="9">
        <f>IF(OR(Q2019="",Q2019=0),"",(S2019-Q2019)/Q2019)</f>
        <v/>
      </c>
      <c r="U2019" s="7">
        <f>IF(COUNT(D2019:P2019)=0,"",INDEX($D$1:$P$1,MATCH(MIN(D2019:P2019),D2019:P2019,0)))</f>
        <v/>
      </c>
      <c r="V2019" s="8" t="n">
        <v>33.24</v>
      </c>
      <c r="W2019" s="10" t="n">
        <v>3</v>
      </c>
    </row>
    <row r="2020">
      <c r="A2020" s="7" t="inlineStr">
        <is>
          <t>MAT-32-673</t>
        </is>
      </c>
      <c r="B2020" s="4" t="inlineStr">
        <is>
          <t>Unión universal de PVC 3"</t>
        </is>
      </c>
      <c r="C2020" s="7" t="inlineStr">
        <is>
          <t>unidad</t>
        </is>
      </c>
      <c r="D2020" s="8" t="n"/>
      <c r="E2020" s="8" t="n">
        <v>645</v>
      </c>
      <c r="F2020" s="8" t="n"/>
      <c r="G2020" s="8" t="n"/>
      <c r="H2020" s="8" t="n"/>
      <c r="I2020" s="8" t="n"/>
      <c r="J2020" s="8" t="n"/>
      <c r="K2020" s="8" t="n"/>
      <c r="L2020" s="8" t="n"/>
      <c r="M2020" s="8" t="n">
        <v>450</v>
      </c>
      <c r="N2020" s="8" t="n"/>
      <c r="O2020" s="8" t="n"/>
      <c r="P2020" s="8" t="n"/>
      <c r="Q2020" s="8">
        <f>IF(COUNT(D2020:P2020)=0,"",MIN(D2020:P2020))</f>
        <v/>
      </c>
      <c r="R2020" s="8">
        <f>IF(COUNT(D2020:P2020)=0,"",MEDIAN(D2020:P2020))</f>
        <v/>
      </c>
      <c r="S2020" s="8">
        <f>IF(COUNT(D2020:P2020)=0,"",MAX(D2020:P2020))</f>
        <v/>
      </c>
      <c r="T2020" s="9">
        <f>IF(OR(Q2020="",Q2020=0),"",(S2020-Q2020)/Q2020)</f>
        <v/>
      </c>
      <c r="U2020" s="7">
        <f>IF(COUNT(D2020:P2020)=0,"",INDEX($D$1:$P$1,MATCH(MIN(D2020:P2020),D2020:P2020,0)))</f>
        <v/>
      </c>
      <c r="V2020" s="8" t="n">
        <v>588</v>
      </c>
      <c r="W2020" s="10" t="n">
        <v>2</v>
      </c>
    </row>
    <row r="2021">
      <c r="A2021" s="7" t="inlineStr">
        <is>
          <t>MAT-32-674</t>
        </is>
      </c>
      <c r="B2021" s="4" t="inlineStr">
        <is>
          <t>Unión universal de PVC 4"</t>
        </is>
      </c>
      <c r="C2021" s="7" t="inlineStr">
        <is>
          <t>unidad</t>
        </is>
      </c>
      <c r="D2021" s="8" t="n"/>
      <c r="E2021" s="8" t="n">
        <v>895</v>
      </c>
      <c r="F2021" s="8" t="n"/>
      <c r="G2021" s="8" t="n"/>
      <c r="H2021" s="8" t="n"/>
      <c r="I2021" s="8" t="n"/>
      <c r="J2021" s="8" t="n"/>
      <c r="K2021" s="8" t="n"/>
      <c r="L2021" s="8" t="n"/>
      <c r="M2021" s="8" t="n"/>
      <c r="N2021" s="8" t="n"/>
      <c r="O2021" s="8" t="n"/>
      <c r="P2021" s="8" t="n"/>
      <c r="Q2021" s="8">
        <f>IF(COUNT(D2021:P2021)=0,"",MIN(D2021:P2021))</f>
        <v/>
      </c>
      <c r="R2021" s="8">
        <f>IF(COUNT(D2021:P2021)=0,"",MEDIAN(D2021:P2021))</f>
        <v/>
      </c>
      <c r="S2021" s="8">
        <f>IF(COUNT(D2021:P2021)=0,"",MAX(D2021:P2021))</f>
        <v/>
      </c>
      <c r="T2021" s="9">
        <f>IF(OR(Q2021="",Q2021=0),"",(S2021-Q2021)/Q2021)</f>
        <v/>
      </c>
      <c r="U2021" s="7">
        <f>IF(COUNT(D2021:P2021)=0,"",INDEX($D$1:$P$1,MATCH(MIN(D2021:P2021),D2021:P2021,0)))</f>
        <v/>
      </c>
      <c r="V2021" s="8" t="n">
        <v>1256</v>
      </c>
      <c r="W2021" s="10" t="n">
        <v>1</v>
      </c>
    </row>
    <row r="2022">
      <c r="A2022" s="7" t="inlineStr">
        <is>
          <t>MAT-32-675</t>
        </is>
      </c>
      <c r="B2022" s="4" t="inlineStr">
        <is>
          <t>Unión universal de PVC SCH-80 1"</t>
        </is>
      </c>
      <c r="C2022" s="7" t="inlineStr">
        <is>
          <t>unidad</t>
        </is>
      </c>
      <c r="D2022" s="8" t="n"/>
      <c r="E2022" s="8" t="n"/>
      <c r="F2022" s="8" t="n"/>
      <c r="G2022" s="8" t="n"/>
      <c r="H2022" s="8" t="n"/>
      <c r="I2022" s="8" t="n"/>
      <c r="J2022" s="8" t="n"/>
      <c r="K2022" s="8" t="n"/>
      <c r="L2022" s="8" t="n"/>
      <c r="M2022" s="8" t="n">
        <v>83.29000000000001</v>
      </c>
      <c r="N2022" s="8" t="n"/>
      <c r="O2022" s="8" t="n"/>
      <c r="P2022" s="8" t="n"/>
      <c r="Q2022" s="8">
        <f>IF(COUNT(D2022:P2022)=0,"",MIN(D2022:P2022))</f>
        <v/>
      </c>
      <c r="R2022" s="8">
        <f>IF(COUNT(D2022:P2022)=0,"",MEDIAN(D2022:P2022))</f>
        <v/>
      </c>
      <c r="S2022" s="8">
        <f>IF(COUNT(D2022:P2022)=0,"",MAX(D2022:P2022))</f>
        <v/>
      </c>
      <c r="T2022" s="9">
        <f>IF(OR(Q2022="",Q2022=0),"",(S2022-Q2022)/Q2022)</f>
        <v/>
      </c>
      <c r="U2022" s="7">
        <f>IF(COUNT(D2022:P2022)=0,"",INDEX($D$1:$P$1,MATCH(MIN(D2022:P2022),D2022:P2022,0)))</f>
        <v/>
      </c>
      <c r="V2022" s="8" t="n">
        <v>98.28</v>
      </c>
      <c r="W2022" s="10" t="n">
        <v>1</v>
      </c>
    </row>
    <row r="2023">
      <c r="A2023" s="7" t="inlineStr">
        <is>
          <t>MAT-32-676</t>
        </is>
      </c>
      <c r="B2023" s="4" t="inlineStr">
        <is>
          <t>Yee de PVC drenaje 1 1/2"</t>
        </is>
      </c>
      <c r="C2023" s="7" t="inlineStr">
        <is>
          <t>unidad</t>
        </is>
      </c>
      <c r="D2023" s="8" t="n"/>
      <c r="E2023" s="8" t="n">
        <v>39.9</v>
      </c>
      <c r="F2023" s="8" t="n"/>
      <c r="G2023" s="8" t="n">
        <v>47</v>
      </c>
      <c r="H2023" s="8" t="n"/>
      <c r="I2023" s="8" t="n"/>
      <c r="J2023" s="8" t="n"/>
      <c r="K2023" s="8" t="n"/>
      <c r="L2023" s="8" t="n"/>
      <c r="M2023" s="8" t="n"/>
      <c r="N2023" s="8" t="n"/>
      <c r="O2023" s="8" t="n"/>
      <c r="P2023" s="8" t="n"/>
      <c r="Q2023" s="8">
        <f>IF(COUNT(D2023:P2023)=0,"",MIN(D2023:P2023))</f>
        <v/>
      </c>
      <c r="R2023" s="8">
        <f>IF(COUNT(D2023:P2023)=0,"",MEDIAN(D2023:P2023))</f>
        <v/>
      </c>
      <c r="S2023" s="8">
        <f>IF(COUNT(D2023:P2023)=0,"",MAX(D2023:P2023))</f>
        <v/>
      </c>
      <c r="T2023" s="9">
        <f>IF(OR(Q2023="",Q2023=0),"",(S2023-Q2023)/Q2023)</f>
        <v/>
      </c>
      <c r="U2023" s="7">
        <f>IF(COUNT(D2023:P2023)=0,"",INDEX($D$1:$P$1,MATCH(MIN(D2023:P2023),D2023:P2023,0)))</f>
        <v/>
      </c>
      <c r="V2023" s="8" t="n">
        <v>43.45</v>
      </c>
      <c r="W2023" s="10" t="n">
        <v>2</v>
      </c>
    </row>
    <row r="2024">
      <c r="A2024" s="7" t="inlineStr">
        <is>
          <t>MAT-32-677</t>
        </is>
      </c>
      <c r="B2024" s="4" t="inlineStr">
        <is>
          <t>Yee de PVC drenaje 2"</t>
        </is>
      </c>
      <c r="C2024" s="7" t="inlineStr">
        <is>
          <t>unidad</t>
        </is>
      </c>
      <c r="D2024" s="8" t="n"/>
      <c r="E2024" s="8" t="n">
        <v>39.22</v>
      </c>
      <c r="F2024" s="8" t="n"/>
      <c r="G2024" s="8" t="n">
        <v>145</v>
      </c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>
        <f>IF(COUNT(D2024:P2024)=0,"",MIN(D2024:P2024))</f>
        <v/>
      </c>
      <c r="R2024" s="8">
        <f>IF(COUNT(D2024:P2024)=0,"",MEDIAN(D2024:P2024))</f>
        <v/>
      </c>
      <c r="S2024" s="8">
        <f>IF(COUNT(D2024:P2024)=0,"",MAX(D2024:P2024))</f>
        <v/>
      </c>
      <c r="T2024" s="9">
        <f>IF(OR(Q2024="",Q2024=0),"",(S2024-Q2024)/Q2024)</f>
        <v/>
      </c>
      <c r="U2024" s="7">
        <f>IF(COUNT(D2024:P2024)=0,"",INDEX($D$1:$P$1,MATCH(MIN(D2024:P2024),D2024:P2024,0)))</f>
        <v/>
      </c>
      <c r="V2024" s="8" t="n">
        <v>46.1</v>
      </c>
      <c r="W2024" s="10" t="n">
        <v>2</v>
      </c>
    </row>
    <row r="2025">
      <c r="A2025" s="7" t="inlineStr">
        <is>
          <t>MAT-32-678</t>
        </is>
      </c>
      <c r="B2025" s="4" t="inlineStr">
        <is>
          <t>Yee de PVC drenaje 3"</t>
        </is>
      </c>
      <c r="C2025" s="7" t="inlineStr">
        <is>
          <t>unidad</t>
        </is>
      </c>
      <c r="D2025" s="8" t="n"/>
      <c r="E2025" s="8" t="n">
        <v>76.79000000000001</v>
      </c>
      <c r="F2025" s="8" t="n"/>
      <c r="G2025" s="8" t="n"/>
      <c r="H2025" s="8" t="n"/>
      <c r="I2025" s="8" t="n"/>
      <c r="J2025" s="8" t="n"/>
      <c r="K2025" s="8" t="n"/>
      <c r="L2025" s="8" t="n"/>
      <c r="M2025" s="8" t="n"/>
      <c r="N2025" s="8" t="n"/>
      <c r="O2025" s="8" t="n"/>
      <c r="P2025" s="8" t="n"/>
      <c r="Q2025" s="8">
        <f>IF(COUNT(D2025:P2025)=0,"",MIN(D2025:P2025))</f>
        <v/>
      </c>
      <c r="R2025" s="8">
        <f>IF(COUNT(D2025:P2025)=0,"",MEDIAN(D2025:P2025))</f>
        <v/>
      </c>
      <c r="S2025" s="8">
        <f>IF(COUNT(D2025:P2025)=0,"",MAX(D2025:P2025))</f>
        <v/>
      </c>
      <c r="T2025" s="9">
        <f>IF(OR(Q2025="",Q2025=0),"",(S2025-Q2025)/Q2025)</f>
        <v/>
      </c>
      <c r="U2025" s="7">
        <f>IF(COUNT(D2025:P2025)=0,"",INDEX($D$1:$P$1,MATCH(MIN(D2025:P2025),D2025:P2025,0)))</f>
        <v/>
      </c>
      <c r="V2025" s="8" t="n">
        <v>113.54</v>
      </c>
      <c r="W2025" s="10" t="n">
        <v>1</v>
      </c>
    </row>
    <row r="2026">
      <c r="A2026" s="7" t="inlineStr">
        <is>
          <t>MAT-32-679</t>
        </is>
      </c>
      <c r="B2026" s="4" t="inlineStr">
        <is>
          <t>Yee de PVC drenaje 3" x 2"</t>
        </is>
      </c>
      <c r="C2026" s="7" t="inlineStr">
        <is>
          <t>unidad</t>
        </is>
      </c>
      <c r="D2026" s="8" t="n"/>
      <c r="E2026" s="8" t="n">
        <v>89.56999999999999</v>
      </c>
      <c r="F2026" s="8" t="n"/>
      <c r="G2026" s="8" t="n">
        <v>205</v>
      </c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>
        <f>IF(COUNT(D2026:P2026)=0,"",MIN(D2026:P2026))</f>
        <v/>
      </c>
      <c r="R2026" s="8">
        <f>IF(COUNT(D2026:P2026)=0,"",MEDIAN(D2026:P2026))</f>
        <v/>
      </c>
      <c r="S2026" s="8">
        <f>IF(COUNT(D2026:P2026)=0,"",MAX(D2026:P2026))</f>
        <v/>
      </c>
      <c r="T2026" s="9">
        <f>IF(OR(Q2026="",Q2026=0),"",(S2026-Q2026)/Q2026)</f>
        <v/>
      </c>
      <c r="U2026" s="7">
        <f>IF(COUNT(D2026:P2026)=0,"",INDEX($D$1:$P$1,MATCH(MIN(D2026:P2026),D2026:P2026,0)))</f>
        <v/>
      </c>
      <c r="V2026" s="8" t="n">
        <v>147.29</v>
      </c>
      <c r="W2026" s="10" t="n">
        <v>2</v>
      </c>
    </row>
    <row r="2027">
      <c r="A2027" s="7" t="inlineStr">
        <is>
          <t>MAT-32-680</t>
        </is>
      </c>
      <c r="B2027" s="4" t="inlineStr">
        <is>
          <t>Yee de PVC drenaje 4"</t>
        </is>
      </c>
      <c r="C2027" s="7" t="inlineStr">
        <is>
          <t>unidad</t>
        </is>
      </c>
      <c r="D2027" s="8" t="n"/>
      <c r="E2027" s="8" t="n">
        <v>160</v>
      </c>
      <c r="F2027" s="8" t="n"/>
      <c r="G2027" s="8" t="n">
        <v>425</v>
      </c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>
        <f>IF(COUNT(D2027:P2027)=0,"",MIN(D2027:P2027))</f>
        <v/>
      </c>
      <c r="R2027" s="8">
        <f>IF(COUNT(D2027:P2027)=0,"",MEDIAN(D2027:P2027))</f>
        <v/>
      </c>
      <c r="S2027" s="8">
        <f>IF(COUNT(D2027:P2027)=0,"",MAX(D2027:P2027))</f>
        <v/>
      </c>
      <c r="T2027" s="9">
        <f>IF(OR(Q2027="",Q2027=0),"",(S2027-Q2027)/Q2027)</f>
        <v/>
      </c>
      <c r="U2027" s="7">
        <f>IF(COUNT(D2027:P2027)=0,"",INDEX($D$1:$P$1,MATCH(MIN(D2027:P2027),D2027:P2027,0)))</f>
        <v/>
      </c>
      <c r="V2027" s="8" t="n">
        <v>224.26</v>
      </c>
      <c r="W2027" s="10" t="n">
        <v>2</v>
      </c>
    </row>
    <row r="2028">
      <c r="A2028" s="7" t="inlineStr">
        <is>
          <t>MAT-32-681</t>
        </is>
      </c>
      <c r="B2028" s="4" t="inlineStr">
        <is>
          <t>Yee de PVC drenaje 4" x 2"</t>
        </is>
      </c>
      <c r="C2028" s="7" t="inlineStr">
        <is>
          <t>unidad</t>
        </is>
      </c>
      <c r="D2028" s="8" t="n"/>
      <c r="E2028" s="8" t="n">
        <v>97</v>
      </c>
      <c r="F2028" s="8" t="n"/>
      <c r="G2028" s="8" t="n">
        <v>265</v>
      </c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>
        <f>IF(COUNT(D2028:P2028)=0,"",MIN(D2028:P2028))</f>
        <v/>
      </c>
      <c r="R2028" s="8">
        <f>IF(COUNT(D2028:P2028)=0,"",MEDIAN(D2028:P2028))</f>
        <v/>
      </c>
      <c r="S2028" s="8">
        <f>IF(COUNT(D2028:P2028)=0,"",MAX(D2028:P2028))</f>
        <v/>
      </c>
      <c r="T2028" s="9">
        <f>IF(OR(Q2028="",Q2028=0),"",(S2028-Q2028)/Q2028)</f>
        <v/>
      </c>
      <c r="U2028" s="7">
        <f>IF(COUNT(D2028:P2028)=0,"",INDEX($D$1:$P$1,MATCH(MIN(D2028:P2028),D2028:P2028,0)))</f>
        <v/>
      </c>
      <c r="V2028" s="8" t="n">
        <v>120.22</v>
      </c>
      <c r="W2028" s="10" t="n">
        <v>2</v>
      </c>
    </row>
    <row r="2029">
      <c r="A2029" s="7" t="inlineStr">
        <is>
          <t>MAT-32-682</t>
        </is>
      </c>
      <c r="B2029" s="4" t="inlineStr">
        <is>
          <t>Yee de PVC drenaje 4" x 3"</t>
        </is>
      </c>
      <c r="C2029" s="7" t="inlineStr">
        <is>
          <t>unidad</t>
        </is>
      </c>
      <c r="D2029" s="8" t="n"/>
      <c r="E2029" s="8" t="n">
        <v>191.92</v>
      </c>
      <c r="F2029" s="8" t="n"/>
      <c r="G2029" s="8" t="n"/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>
        <f>IF(COUNT(D2029:P2029)=0,"",MIN(D2029:P2029))</f>
        <v/>
      </c>
      <c r="R2029" s="8">
        <f>IF(COUNT(D2029:P2029)=0,"",MEDIAN(D2029:P2029))</f>
        <v/>
      </c>
      <c r="S2029" s="8">
        <f>IF(COUNT(D2029:P2029)=0,"",MAX(D2029:P2029))</f>
        <v/>
      </c>
      <c r="T2029" s="9">
        <f>IF(OR(Q2029="",Q2029=0),"",(S2029-Q2029)/Q2029)</f>
        <v/>
      </c>
      <c r="U2029" s="7">
        <f>IF(COUNT(D2029:P2029)=0,"",INDEX($D$1:$P$1,MATCH(MIN(D2029:P2029),D2029:P2029,0)))</f>
        <v/>
      </c>
      <c r="V2029" s="8" t="n">
        <v>191.92</v>
      </c>
      <c r="W2029" s="10" t="n">
        <v>1</v>
      </c>
    </row>
    <row r="2030">
      <c r="A2030" s="7" t="inlineStr">
        <is>
          <t>MAT-32-683</t>
        </is>
      </c>
      <c r="B2030" s="4" t="inlineStr">
        <is>
          <t>Yee de PVC drenaje 6"</t>
        </is>
      </c>
      <c r="C2030" s="7" t="inlineStr">
        <is>
          <t>unidad</t>
        </is>
      </c>
      <c r="D2030" s="8" t="n"/>
      <c r="E2030" s="8" t="n">
        <v>875</v>
      </c>
      <c r="F2030" s="8" t="n"/>
      <c r="G2030" s="8" t="n"/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>
        <f>IF(COUNT(D2030:P2030)=0,"",MIN(D2030:P2030))</f>
        <v/>
      </c>
      <c r="R2030" s="8">
        <f>IF(COUNT(D2030:P2030)=0,"",MEDIAN(D2030:P2030))</f>
        <v/>
      </c>
      <c r="S2030" s="8">
        <f>IF(COUNT(D2030:P2030)=0,"",MAX(D2030:P2030))</f>
        <v/>
      </c>
      <c r="T2030" s="9">
        <f>IF(OR(Q2030="",Q2030=0),"",(S2030-Q2030)/Q2030)</f>
        <v/>
      </c>
      <c r="U2030" s="7">
        <f>IF(COUNT(D2030:P2030)=0,"",INDEX($D$1:$P$1,MATCH(MIN(D2030:P2030),D2030:P2030,0)))</f>
        <v/>
      </c>
      <c r="V2030" s="8" t="n">
        <v>923.5</v>
      </c>
      <c r="W2030" s="10" t="n">
        <v>1</v>
      </c>
    </row>
    <row r="2031">
      <c r="A2031" s="7" t="inlineStr">
        <is>
          <t>MAT-32-684</t>
        </is>
      </c>
      <c r="B2031" s="4" t="inlineStr">
        <is>
          <t>Yee de PVC drenaje 6" x 4"</t>
        </is>
      </c>
      <c r="C2031" s="7" t="inlineStr">
        <is>
          <t>unidad</t>
        </is>
      </c>
      <c r="D2031" s="8" t="n"/>
      <c r="E2031" s="8" t="n">
        <v>855</v>
      </c>
      <c r="F2031" s="8" t="n"/>
      <c r="G2031" s="8" t="n"/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>
        <f>IF(COUNT(D2031:P2031)=0,"",MIN(D2031:P2031))</f>
        <v/>
      </c>
      <c r="R2031" s="8">
        <f>IF(COUNT(D2031:P2031)=0,"",MEDIAN(D2031:P2031))</f>
        <v/>
      </c>
      <c r="S2031" s="8">
        <f>IF(COUNT(D2031:P2031)=0,"",MAX(D2031:P2031))</f>
        <v/>
      </c>
      <c r="T2031" s="9">
        <f>IF(OR(Q2031="",Q2031=0),"",(S2031-Q2031)/Q2031)</f>
        <v/>
      </c>
      <c r="U2031" s="7">
        <f>IF(COUNT(D2031:P2031)=0,"",INDEX($D$1:$P$1,MATCH(MIN(D2031:P2031),D2031:P2031,0)))</f>
        <v/>
      </c>
      <c r="V2031" s="8" t="n">
        <v>855</v>
      </c>
      <c r="W2031" s="10" t="n">
        <v>1</v>
      </c>
    </row>
    <row r="2032">
      <c r="A2032" s="7" t="inlineStr">
        <is>
          <t>MAT-32-685</t>
        </is>
      </c>
      <c r="B2032" s="4" t="inlineStr">
        <is>
          <t>Yee de PVC drenaje 8" x 4"</t>
        </is>
      </c>
      <c r="C2032" s="7" t="inlineStr">
        <is>
          <t>unidad</t>
        </is>
      </c>
      <c r="D2032" s="8" t="n"/>
      <c r="E2032" s="8" t="n">
        <v>5151</v>
      </c>
      <c r="F2032" s="8" t="n"/>
      <c r="G2032" s="8" t="n"/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>
        <f>IF(COUNT(D2032:P2032)=0,"",MIN(D2032:P2032))</f>
        <v/>
      </c>
      <c r="R2032" s="8">
        <f>IF(COUNT(D2032:P2032)=0,"",MEDIAN(D2032:P2032))</f>
        <v/>
      </c>
      <c r="S2032" s="8">
        <f>IF(COUNT(D2032:P2032)=0,"",MAX(D2032:P2032))</f>
        <v/>
      </c>
      <c r="T2032" s="9">
        <f>IF(OR(Q2032="",Q2032=0),"",(S2032-Q2032)/Q2032)</f>
        <v/>
      </c>
      <c r="U2032" s="7">
        <f>IF(COUNT(D2032:P2032)=0,"",INDEX($D$1:$P$1,MATCH(MIN(D2032:P2032),D2032:P2032,0)))</f>
        <v/>
      </c>
      <c r="V2032" s="8" t="n">
        <v>5151</v>
      </c>
      <c r="W2032" s="10" t="n">
        <v>1</v>
      </c>
    </row>
    <row r="2033">
      <c r="A2033" s="7" t="inlineStr">
        <is>
          <t>MAT-32-686</t>
        </is>
      </c>
      <c r="B2033" s="4" t="inlineStr">
        <is>
          <t>Yee de PVC presión 3" x 2"</t>
        </is>
      </c>
      <c r="C2033" s="7" t="inlineStr">
        <is>
          <t>unidad</t>
        </is>
      </c>
      <c r="D2033" s="8" t="n"/>
      <c r="E2033" s="8" t="n">
        <v>546</v>
      </c>
      <c r="F2033" s="8" t="n"/>
      <c r="G2033" s="8" t="n"/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>
        <f>IF(COUNT(D2033:P2033)=0,"",MIN(D2033:P2033))</f>
        <v/>
      </c>
      <c r="R2033" s="8">
        <f>IF(COUNT(D2033:P2033)=0,"",MEDIAN(D2033:P2033))</f>
        <v/>
      </c>
      <c r="S2033" s="8">
        <f>IF(COUNT(D2033:P2033)=0,"",MAX(D2033:P2033))</f>
        <v/>
      </c>
      <c r="T2033" s="9">
        <f>IF(OR(Q2033="",Q2033=0),"",(S2033-Q2033)/Q2033)</f>
        <v/>
      </c>
      <c r="U2033" s="7">
        <f>IF(COUNT(D2033:P2033)=0,"",INDEX($D$1:$P$1,MATCH(MIN(D2033:P2033),D2033:P2033,0)))</f>
        <v/>
      </c>
      <c r="V2033" s="8" t="n">
        <v>546</v>
      </c>
      <c r="W2033" s="10" t="n">
        <v>1</v>
      </c>
    </row>
    <row r="2034">
      <c r="A2034" s="7" t="inlineStr">
        <is>
          <t>MAT-32-687</t>
        </is>
      </c>
      <c r="B2034" s="4" t="inlineStr">
        <is>
          <t>Yee de PVC presión 4" x 2"</t>
        </is>
      </c>
      <c r="C2034" s="7" t="inlineStr">
        <is>
          <t>unidad</t>
        </is>
      </c>
      <c r="D2034" s="8" t="n"/>
      <c r="E2034" s="8" t="n">
        <v>429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>
        <f>IF(COUNT(D2034:P2034)=0,"",MIN(D2034:P2034))</f>
        <v/>
      </c>
      <c r="R2034" s="8">
        <f>IF(COUNT(D2034:P2034)=0,"",MEDIAN(D2034:P2034))</f>
        <v/>
      </c>
      <c r="S2034" s="8">
        <f>IF(COUNT(D2034:P2034)=0,"",MAX(D2034:P2034))</f>
        <v/>
      </c>
      <c r="T2034" s="9">
        <f>IF(OR(Q2034="",Q2034=0),"",(S2034-Q2034)/Q2034)</f>
        <v/>
      </c>
      <c r="U2034" s="7">
        <f>IF(COUNT(D2034:P2034)=0,"",INDEX($D$1:$P$1,MATCH(MIN(D2034:P2034),D2034:P2034,0)))</f>
        <v/>
      </c>
      <c r="V2034" s="8" t="n">
        <v>429</v>
      </c>
      <c r="W2034" s="10" t="n">
        <v>1</v>
      </c>
    </row>
    <row r="2035">
      <c r="A2035" s="7" t="inlineStr">
        <is>
          <t>MAT-32-688</t>
        </is>
      </c>
      <c r="B2035" s="4" t="inlineStr">
        <is>
          <t>Llave de paso angular de latón 1/2"</t>
        </is>
      </c>
      <c r="C2035" s="7" t="inlineStr">
        <is>
          <t>unidad</t>
        </is>
      </c>
      <c r="D2035" s="8" t="n"/>
      <c r="E2035" s="8" t="n"/>
      <c r="F2035" s="8" t="n"/>
      <c r="G2035" s="8" t="n"/>
      <c r="H2035" s="8" t="n"/>
      <c r="I2035" s="8" t="n">
        <v>355</v>
      </c>
      <c r="J2035" s="8" t="n"/>
      <c r="K2035" s="8" t="n"/>
      <c r="L2035" s="8" t="n"/>
      <c r="M2035" s="8" t="n"/>
      <c r="N2035" s="8" t="n"/>
      <c r="O2035" s="8" t="n"/>
      <c r="P2035" s="8" t="n"/>
      <c r="Q2035" s="8">
        <f>IF(COUNT(D2035:P2035)=0,"",MIN(D2035:P2035))</f>
        <v/>
      </c>
      <c r="R2035" s="8">
        <f>IF(COUNT(D2035:P2035)=0,"",MEDIAN(D2035:P2035))</f>
        <v/>
      </c>
      <c r="S2035" s="8">
        <f>IF(COUNT(D2035:P2035)=0,"",MAX(D2035:P2035))</f>
        <v/>
      </c>
      <c r="T2035" s="9">
        <f>IF(OR(Q2035="",Q2035=0),"",(S2035-Q2035)/Q2035)</f>
        <v/>
      </c>
      <c r="U2035" s="7">
        <f>IF(COUNT(D2035:P2035)=0,"",INDEX($D$1:$P$1,MATCH(MIN(D2035:P2035),D2035:P2035,0)))</f>
        <v/>
      </c>
      <c r="V2035" s="8" t="n">
        <v>375</v>
      </c>
      <c r="W2035" s="10" t="n">
        <v>1</v>
      </c>
    </row>
    <row r="2036">
      <c r="A2036" s="7" t="inlineStr">
        <is>
          <t>MAT-32-689</t>
        </is>
      </c>
      <c r="B2036" s="4" t="inlineStr">
        <is>
          <t>Llave de paso angular de metal 1/2"</t>
        </is>
      </c>
      <c r="C2036" s="7" t="inlineStr">
        <is>
          <t>unidad</t>
        </is>
      </c>
      <c r="D2036" s="8" t="n"/>
      <c r="E2036" s="8" t="n"/>
      <c r="F2036" s="8" t="n"/>
      <c r="G2036" s="8" t="n">
        <v>271</v>
      </c>
      <c r="H2036" s="8" t="n"/>
      <c r="I2036" s="8" t="n">
        <v>140</v>
      </c>
      <c r="J2036" s="8" t="n"/>
      <c r="K2036" s="8" t="n"/>
      <c r="L2036" s="8" t="n"/>
      <c r="M2036" s="8" t="n"/>
      <c r="N2036" s="8" t="n"/>
      <c r="O2036" s="8" t="n"/>
      <c r="P2036" s="8" t="n"/>
      <c r="Q2036" s="8">
        <f>IF(COUNT(D2036:P2036)=0,"",MIN(D2036:P2036))</f>
        <v/>
      </c>
      <c r="R2036" s="8">
        <f>IF(COUNT(D2036:P2036)=0,"",MEDIAN(D2036:P2036))</f>
        <v/>
      </c>
      <c r="S2036" s="8">
        <f>IF(COUNT(D2036:P2036)=0,"",MAX(D2036:P2036))</f>
        <v/>
      </c>
      <c r="T2036" s="9">
        <f>IF(OR(Q2036="",Q2036=0),"",(S2036-Q2036)/Q2036)</f>
        <v/>
      </c>
      <c r="U2036" s="7">
        <f>IF(COUNT(D2036:P2036)=0,"",INDEX($D$1:$P$1,MATCH(MIN(D2036:P2036),D2036:P2036,0)))</f>
        <v/>
      </c>
      <c r="V2036" s="8" t="n">
        <v>271</v>
      </c>
      <c r="W2036" s="10" t="n">
        <v>2</v>
      </c>
    </row>
    <row r="2037">
      <c r="A2037" s="7" t="inlineStr">
        <is>
          <t>MAT-32-690</t>
        </is>
      </c>
      <c r="B2037" s="4" t="inlineStr">
        <is>
          <t>Llave de paso angular de metal 3/8"</t>
        </is>
      </c>
      <c r="C2037" s="7" t="inlineStr">
        <is>
          <t>unidad</t>
        </is>
      </c>
      <c r="D2037" s="8" t="n"/>
      <c r="E2037" s="8" t="n"/>
      <c r="F2037" s="8" t="n"/>
      <c r="G2037" s="8" t="n">
        <v>257</v>
      </c>
      <c r="H2037" s="8" t="n"/>
      <c r="I2037" s="8" t="n">
        <v>285</v>
      </c>
      <c r="J2037" s="8" t="n"/>
      <c r="K2037" s="8" t="n"/>
      <c r="L2037" s="8" t="n"/>
      <c r="M2037" s="8" t="n"/>
      <c r="N2037" s="8" t="n"/>
      <c r="O2037" s="8" t="n"/>
      <c r="P2037" s="8" t="n"/>
      <c r="Q2037" s="8">
        <f>IF(COUNT(D2037:P2037)=0,"",MIN(D2037:P2037))</f>
        <v/>
      </c>
      <c r="R2037" s="8">
        <f>IF(COUNT(D2037:P2037)=0,"",MEDIAN(D2037:P2037))</f>
        <v/>
      </c>
      <c r="S2037" s="8">
        <f>IF(COUNT(D2037:P2037)=0,"",MAX(D2037:P2037))</f>
        <v/>
      </c>
      <c r="T2037" s="9">
        <f>IF(OR(Q2037="",Q2037=0),"",(S2037-Q2037)/Q2037)</f>
        <v/>
      </c>
      <c r="U2037" s="7">
        <f>IF(COUNT(D2037:P2037)=0,"",INDEX($D$1:$P$1,MATCH(MIN(D2037:P2037),D2037:P2037,0)))</f>
        <v/>
      </c>
      <c r="V2037" s="8" t="n">
        <v>285</v>
      </c>
      <c r="W2037" s="10" t="n">
        <v>2</v>
      </c>
    </row>
    <row r="2038">
      <c r="A2038" s="7" t="inlineStr">
        <is>
          <t>MAT-32-691</t>
        </is>
      </c>
      <c r="B2038" s="4" t="inlineStr">
        <is>
          <t>Llave de paso bola de PPR 1/2"</t>
        </is>
      </c>
      <c r="C2038" s="7" t="inlineStr">
        <is>
          <t>unidad</t>
        </is>
      </c>
      <c r="D2038" s="8" t="n"/>
      <c r="E2038" s="8" t="n">
        <v>205</v>
      </c>
      <c r="F2038" s="8" t="n"/>
      <c r="G2038" s="8" t="n"/>
      <c r="H2038" s="8" t="n"/>
      <c r="I2038" s="8" t="n"/>
      <c r="J2038" s="8" t="n"/>
      <c r="K2038" s="8" t="n"/>
      <c r="L2038" s="8" t="n"/>
      <c r="M2038" s="8" t="n"/>
      <c r="N2038" s="8" t="n"/>
      <c r="O2038" s="8" t="n"/>
      <c r="P2038" s="8" t="n"/>
      <c r="Q2038" s="8">
        <f>IF(COUNT(D2038:P2038)=0,"",MIN(D2038:P2038))</f>
        <v/>
      </c>
      <c r="R2038" s="8">
        <f>IF(COUNT(D2038:P2038)=0,"",MEDIAN(D2038:P2038))</f>
        <v/>
      </c>
      <c r="S2038" s="8">
        <f>IF(COUNT(D2038:P2038)=0,"",MAX(D2038:P2038))</f>
        <v/>
      </c>
      <c r="T2038" s="9">
        <f>IF(OR(Q2038="",Q2038=0),"",(S2038-Q2038)/Q2038)</f>
        <v/>
      </c>
      <c r="U2038" s="7">
        <f>IF(COUNT(D2038:P2038)=0,"",INDEX($D$1:$P$1,MATCH(MIN(D2038:P2038),D2038:P2038,0)))</f>
        <v/>
      </c>
      <c r="V2038" s="8" t="n">
        <v>205</v>
      </c>
      <c r="W2038" s="10" t="n">
        <v>1</v>
      </c>
    </row>
    <row r="2039">
      <c r="A2039" s="7" t="inlineStr">
        <is>
          <t>MAT-32-692</t>
        </is>
      </c>
      <c r="B2039" s="4" t="inlineStr">
        <is>
          <t>Llave de paso bola de PPR 1"</t>
        </is>
      </c>
      <c r="C2039" s="7" t="inlineStr">
        <is>
          <t>unidad</t>
        </is>
      </c>
      <c r="D2039" s="8" t="n"/>
      <c r="E2039" s="8" t="n">
        <v>270</v>
      </c>
      <c r="F2039" s="8" t="n"/>
      <c r="G2039" s="8" t="n"/>
      <c r="H2039" s="8" t="n"/>
      <c r="I2039" s="8" t="n"/>
      <c r="J2039" s="8" t="n"/>
      <c r="K2039" s="8" t="n"/>
      <c r="L2039" s="8" t="n"/>
      <c r="M2039" s="8" t="n"/>
      <c r="N2039" s="8" t="n"/>
      <c r="O2039" s="8" t="n"/>
      <c r="P2039" s="8" t="n"/>
      <c r="Q2039" s="8">
        <f>IF(COUNT(D2039:P2039)=0,"",MIN(D2039:P2039))</f>
        <v/>
      </c>
      <c r="R2039" s="8">
        <f>IF(COUNT(D2039:P2039)=0,"",MEDIAN(D2039:P2039))</f>
        <v/>
      </c>
      <c r="S2039" s="8">
        <f>IF(COUNT(D2039:P2039)=0,"",MAX(D2039:P2039))</f>
        <v/>
      </c>
      <c r="T2039" s="9">
        <f>IF(OR(Q2039="",Q2039=0),"",(S2039-Q2039)/Q2039)</f>
        <v/>
      </c>
      <c r="U2039" s="7">
        <f>IF(COUNT(D2039:P2039)=0,"",INDEX($D$1:$P$1,MATCH(MIN(D2039:P2039),D2039:P2039,0)))</f>
        <v/>
      </c>
      <c r="V2039" s="8" t="n">
        <v>270</v>
      </c>
      <c r="W2039" s="10" t="n">
        <v>1</v>
      </c>
    </row>
    <row r="2040">
      <c r="A2040" s="7" t="inlineStr">
        <is>
          <t>MAT-32-693</t>
        </is>
      </c>
      <c r="B2040" s="4" t="inlineStr">
        <is>
          <t>Llave de paso bola de PPR 3/4"</t>
        </is>
      </c>
      <c r="C2040" s="7" t="inlineStr">
        <is>
          <t>unidad</t>
        </is>
      </c>
      <c r="D2040" s="8" t="n"/>
      <c r="E2040" s="8" t="n">
        <v>255</v>
      </c>
      <c r="F2040" s="8" t="n"/>
      <c r="G2040" s="8" t="n"/>
      <c r="H2040" s="8" t="n"/>
      <c r="I2040" s="8" t="n"/>
      <c r="J2040" s="8" t="n"/>
      <c r="K2040" s="8" t="n"/>
      <c r="L2040" s="8" t="n"/>
      <c r="M2040" s="8" t="n"/>
      <c r="N2040" s="8" t="n"/>
      <c r="O2040" s="8" t="n"/>
      <c r="P2040" s="8" t="n"/>
      <c r="Q2040" s="8">
        <f>IF(COUNT(D2040:P2040)=0,"",MIN(D2040:P2040))</f>
        <v/>
      </c>
      <c r="R2040" s="8">
        <f>IF(COUNT(D2040:P2040)=0,"",MEDIAN(D2040:P2040))</f>
        <v/>
      </c>
      <c r="S2040" s="8">
        <f>IF(COUNT(D2040:P2040)=0,"",MAX(D2040:P2040))</f>
        <v/>
      </c>
      <c r="T2040" s="9">
        <f>IF(OR(Q2040="",Q2040=0),"",(S2040-Q2040)/Q2040)</f>
        <v/>
      </c>
      <c r="U2040" s="7">
        <f>IF(COUNT(D2040:P2040)=0,"",INDEX($D$1:$P$1,MATCH(MIN(D2040:P2040),D2040:P2040,0)))</f>
        <v/>
      </c>
      <c r="V2040" s="8" t="n">
        <v>255</v>
      </c>
      <c r="W2040" s="10" t="n">
        <v>1</v>
      </c>
    </row>
    <row r="2041">
      <c r="A2041" s="7" t="inlineStr">
        <is>
          <t>MAT-32-694</t>
        </is>
      </c>
      <c r="B2041" s="4" t="inlineStr">
        <is>
          <t>Llave de paso bola de PVC 1"</t>
        </is>
      </c>
      <c r="C2041" s="7" t="inlineStr">
        <is>
          <t>unidad</t>
        </is>
      </c>
      <c r="D2041" s="8" t="n"/>
      <c r="E2041" s="8" t="n">
        <v>388</v>
      </c>
      <c r="F2041" s="8" t="n"/>
      <c r="G2041" s="8" t="n"/>
      <c r="H2041" s="8" t="n"/>
      <c r="I2041" s="8" t="n"/>
      <c r="J2041" s="8" t="n"/>
      <c r="K2041" s="8" t="n"/>
      <c r="L2041" s="8" t="n"/>
      <c r="M2041" s="8" t="n"/>
      <c r="N2041" s="8" t="n"/>
      <c r="O2041" s="8" t="n"/>
      <c r="P2041" s="8" t="n"/>
      <c r="Q2041" s="8">
        <f>IF(COUNT(D2041:P2041)=0,"",MIN(D2041:P2041))</f>
        <v/>
      </c>
      <c r="R2041" s="8">
        <f>IF(COUNT(D2041:P2041)=0,"",MEDIAN(D2041:P2041))</f>
        <v/>
      </c>
      <c r="S2041" s="8">
        <f>IF(COUNT(D2041:P2041)=0,"",MAX(D2041:P2041))</f>
        <v/>
      </c>
      <c r="T2041" s="9">
        <f>IF(OR(Q2041="",Q2041=0),"",(S2041-Q2041)/Q2041)</f>
        <v/>
      </c>
      <c r="U2041" s="7">
        <f>IF(COUNT(D2041:P2041)=0,"",INDEX($D$1:$P$1,MATCH(MIN(D2041:P2041),D2041:P2041,0)))</f>
        <v/>
      </c>
      <c r="V2041" s="8" t="n">
        <v>388</v>
      </c>
      <c r="W2041" s="10" t="n">
        <v>1</v>
      </c>
    </row>
    <row r="2042">
      <c r="A2042" s="7" t="inlineStr">
        <is>
          <t>MAT-32-695</t>
        </is>
      </c>
      <c r="B2042" s="4" t="inlineStr">
        <is>
          <t>Llave de paso bola de PVC 3/4"</t>
        </is>
      </c>
      <c r="C2042" s="7" t="inlineStr">
        <is>
          <t>unidad</t>
        </is>
      </c>
      <c r="D2042" s="8" t="n"/>
      <c r="E2042" s="8" t="n">
        <v>311</v>
      </c>
      <c r="F2042" s="8" t="n"/>
      <c r="G2042" s="8" t="n"/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>
        <f>IF(COUNT(D2042:P2042)=0,"",MIN(D2042:P2042))</f>
        <v/>
      </c>
      <c r="R2042" s="8">
        <f>IF(COUNT(D2042:P2042)=0,"",MEDIAN(D2042:P2042))</f>
        <v/>
      </c>
      <c r="S2042" s="8">
        <f>IF(COUNT(D2042:P2042)=0,"",MAX(D2042:P2042))</f>
        <v/>
      </c>
      <c r="T2042" s="9">
        <f>IF(OR(Q2042="",Q2042=0),"",(S2042-Q2042)/Q2042)</f>
        <v/>
      </c>
      <c r="U2042" s="7">
        <f>IF(COUNT(D2042:P2042)=0,"",INDEX($D$1:$P$1,MATCH(MIN(D2042:P2042),D2042:P2042,0)))</f>
        <v/>
      </c>
      <c r="V2042" s="8" t="n">
        <v>311</v>
      </c>
      <c r="W2042" s="10" t="n">
        <v>1</v>
      </c>
    </row>
    <row r="2043">
      <c r="A2043" s="7" t="inlineStr">
        <is>
          <t>MAT-32-696</t>
        </is>
      </c>
      <c r="B2043" s="4" t="inlineStr">
        <is>
          <t>Llave de paso compuerta de latón 1 1/2"</t>
        </is>
      </c>
      <c r="C2043" s="7" t="inlineStr">
        <is>
          <t>unidad</t>
        </is>
      </c>
      <c r="D2043" s="8" t="n"/>
      <c r="E2043" s="8" t="n"/>
      <c r="F2043" s="8" t="n"/>
      <c r="G2043" s="8" t="n"/>
      <c r="H2043" s="8" t="n"/>
      <c r="I2043" s="8" t="n">
        <v>1299</v>
      </c>
      <c r="J2043" s="8" t="n"/>
      <c r="K2043" s="8" t="n"/>
      <c r="L2043" s="8" t="n"/>
      <c r="M2043" s="8" t="n"/>
      <c r="N2043" s="8" t="n"/>
      <c r="O2043" s="8" t="n"/>
      <c r="P2043" s="8" t="n"/>
      <c r="Q2043" s="8">
        <f>IF(COUNT(D2043:P2043)=0,"",MIN(D2043:P2043))</f>
        <v/>
      </c>
      <c r="R2043" s="8">
        <f>IF(COUNT(D2043:P2043)=0,"",MEDIAN(D2043:P2043))</f>
        <v/>
      </c>
      <c r="S2043" s="8">
        <f>IF(COUNT(D2043:P2043)=0,"",MAX(D2043:P2043))</f>
        <v/>
      </c>
      <c r="T2043" s="9">
        <f>IF(OR(Q2043="",Q2043=0),"",(S2043-Q2043)/Q2043)</f>
        <v/>
      </c>
      <c r="U2043" s="7">
        <f>IF(COUNT(D2043:P2043)=0,"",INDEX($D$1:$P$1,MATCH(MIN(D2043:P2043),D2043:P2043,0)))</f>
        <v/>
      </c>
      <c r="V2043" s="8" t="n">
        <v>1299</v>
      </c>
      <c r="W2043" s="10" t="n">
        <v>1</v>
      </c>
    </row>
    <row r="2044">
      <c r="A2044" s="7" t="inlineStr">
        <is>
          <t>MAT-32-697</t>
        </is>
      </c>
      <c r="B2044" s="4" t="inlineStr">
        <is>
          <t>Llave de paso compuerta de latón 1 1/4"</t>
        </is>
      </c>
      <c r="C2044" s="7" t="inlineStr">
        <is>
          <t>unidad</t>
        </is>
      </c>
      <c r="D2044" s="8" t="n"/>
      <c r="E2044" s="8" t="n"/>
      <c r="F2044" s="8" t="n"/>
      <c r="G2044" s="8" t="n"/>
      <c r="H2044" s="8" t="n"/>
      <c r="I2044" s="8" t="n">
        <v>1075</v>
      </c>
      <c r="J2044" s="8" t="n"/>
      <c r="K2044" s="8" t="n"/>
      <c r="L2044" s="8" t="n"/>
      <c r="M2044" s="8" t="n"/>
      <c r="N2044" s="8" t="n"/>
      <c r="O2044" s="8" t="n"/>
      <c r="P2044" s="8" t="n"/>
      <c r="Q2044" s="8">
        <f>IF(COUNT(D2044:P2044)=0,"",MIN(D2044:P2044))</f>
        <v/>
      </c>
      <c r="R2044" s="8">
        <f>IF(COUNT(D2044:P2044)=0,"",MEDIAN(D2044:P2044))</f>
        <v/>
      </c>
      <c r="S2044" s="8">
        <f>IF(COUNT(D2044:P2044)=0,"",MAX(D2044:P2044))</f>
        <v/>
      </c>
      <c r="T2044" s="9">
        <f>IF(OR(Q2044="",Q2044=0),"",(S2044-Q2044)/Q2044)</f>
        <v/>
      </c>
      <c r="U2044" s="7">
        <f>IF(COUNT(D2044:P2044)=0,"",INDEX($D$1:$P$1,MATCH(MIN(D2044:P2044),D2044:P2044,0)))</f>
        <v/>
      </c>
      <c r="V2044" s="8" t="n">
        <v>1075</v>
      </c>
      <c r="W2044" s="10" t="n">
        <v>1</v>
      </c>
    </row>
    <row r="2045">
      <c r="A2045" s="7" t="inlineStr">
        <is>
          <t>MAT-32-698</t>
        </is>
      </c>
      <c r="B2045" s="4" t="inlineStr">
        <is>
          <t>Llave de paso compuerta de latón 1/2"</t>
        </is>
      </c>
      <c r="C2045" s="7" t="inlineStr">
        <is>
          <t>unidad</t>
        </is>
      </c>
      <c r="D2045" s="8" t="n"/>
      <c r="E2045" s="8" t="n"/>
      <c r="F2045" s="8" t="n"/>
      <c r="G2045" s="8" t="n"/>
      <c r="H2045" s="8" t="n"/>
      <c r="I2045" s="8" t="n">
        <v>355</v>
      </c>
      <c r="J2045" s="8" t="n"/>
      <c r="K2045" s="8" t="n"/>
      <c r="L2045" s="8" t="n"/>
      <c r="M2045" s="8" t="n"/>
      <c r="N2045" s="8" t="n"/>
      <c r="O2045" s="8" t="n"/>
      <c r="P2045" s="8" t="n"/>
      <c r="Q2045" s="8">
        <f>IF(COUNT(D2045:P2045)=0,"",MIN(D2045:P2045))</f>
        <v/>
      </c>
      <c r="R2045" s="8">
        <f>IF(COUNT(D2045:P2045)=0,"",MEDIAN(D2045:P2045))</f>
        <v/>
      </c>
      <c r="S2045" s="8">
        <f>IF(COUNT(D2045:P2045)=0,"",MAX(D2045:P2045))</f>
        <v/>
      </c>
      <c r="T2045" s="9">
        <f>IF(OR(Q2045="",Q2045=0),"",(S2045-Q2045)/Q2045)</f>
        <v/>
      </c>
      <c r="U2045" s="7">
        <f>IF(COUNT(D2045:P2045)=0,"",INDEX($D$1:$P$1,MATCH(MIN(D2045:P2045),D2045:P2045,0)))</f>
        <v/>
      </c>
      <c r="V2045" s="8" t="n">
        <v>355</v>
      </c>
      <c r="W2045" s="10" t="n">
        <v>1</v>
      </c>
    </row>
    <row r="2046">
      <c r="A2046" s="7" t="inlineStr">
        <is>
          <t>MAT-32-699</t>
        </is>
      </c>
      <c r="B2046" s="4" t="inlineStr">
        <is>
          <t>Llave de paso compuerta de latón 1"</t>
        </is>
      </c>
      <c r="C2046" s="7" t="inlineStr">
        <is>
          <t>unidad</t>
        </is>
      </c>
      <c r="D2046" s="8" t="n"/>
      <c r="E2046" s="8" t="n"/>
      <c r="F2046" s="8" t="n"/>
      <c r="G2046" s="8" t="n"/>
      <c r="H2046" s="8" t="n"/>
      <c r="I2046" s="8" t="n">
        <v>655</v>
      </c>
      <c r="J2046" s="8" t="n"/>
      <c r="K2046" s="8" t="n"/>
      <c r="L2046" s="8" t="n"/>
      <c r="M2046" s="8" t="n"/>
      <c r="N2046" s="8" t="n"/>
      <c r="O2046" s="8" t="n"/>
      <c r="P2046" s="8" t="n"/>
      <c r="Q2046" s="8">
        <f>IF(COUNT(D2046:P2046)=0,"",MIN(D2046:P2046))</f>
        <v/>
      </c>
      <c r="R2046" s="8">
        <f>IF(COUNT(D2046:P2046)=0,"",MEDIAN(D2046:P2046))</f>
        <v/>
      </c>
      <c r="S2046" s="8">
        <f>IF(COUNT(D2046:P2046)=0,"",MAX(D2046:P2046))</f>
        <v/>
      </c>
      <c r="T2046" s="9">
        <f>IF(OR(Q2046="",Q2046=0),"",(S2046-Q2046)/Q2046)</f>
        <v/>
      </c>
      <c r="U2046" s="7">
        <f>IF(COUNT(D2046:P2046)=0,"",INDEX($D$1:$P$1,MATCH(MIN(D2046:P2046),D2046:P2046,0)))</f>
        <v/>
      </c>
      <c r="V2046" s="8" t="n">
        <v>655</v>
      </c>
      <c r="W2046" s="10" t="n">
        <v>1</v>
      </c>
    </row>
    <row r="2047">
      <c r="A2047" s="7" t="inlineStr">
        <is>
          <t>MAT-32-700</t>
        </is>
      </c>
      <c r="B2047" s="4" t="inlineStr">
        <is>
          <t>Llave de paso compuerta de latón 2"</t>
        </is>
      </c>
      <c r="C2047" s="7" t="inlineStr">
        <is>
          <t>unidad</t>
        </is>
      </c>
      <c r="D2047" s="8" t="n"/>
      <c r="E2047" s="8" t="n"/>
      <c r="F2047" s="8" t="n"/>
      <c r="G2047" s="8" t="n"/>
      <c r="H2047" s="8" t="n"/>
      <c r="I2047" s="8" t="n">
        <v>1855</v>
      </c>
      <c r="J2047" s="8" t="n"/>
      <c r="K2047" s="8" t="n"/>
      <c r="L2047" s="8" t="n"/>
      <c r="M2047" s="8" t="n"/>
      <c r="N2047" s="8" t="n"/>
      <c r="O2047" s="8" t="n"/>
      <c r="P2047" s="8" t="n"/>
      <c r="Q2047" s="8">
        <f>IF(COUNT(D2047:P2047)=0,"",MIN(D2047:P2047))</f>
        <v/>
      </c>
      <c r="R2047" s="8">
        <f>IF(COUNT(D2047:P2047)=0,"",MEDIAN(D2047:P2047))</f>
        <v/>
      </c>
      <c r="S2047" s="8">
        <f>IF(COUNT(D2047:P2047)=0,"",MAX(D2047:P2047))</f>
        <v/>
      </c>
      <c r="T2047" s="9">
        <f>IF(OR(Q2047="",Q2047=0),"",(S2047-Q2047)/Q2047)</f>
        <v/>
      </c>
      <c r="U2047" s="7">
        <f>IF(COUNT(D2047:P2047)=0,"",INDEX($D$1:$P$1,MATCH(MIN(D2047:P2047),D2047:P2047,0)))</f>
        <v/>
      </c>
      <c r="V2047" s="8" t="n">
        <v>1855</v>
      </c>
      <c r="W2047" s="10" t="n">
        <v>1</v>
      </c>
    </row>
    <row r="2048">
      <c r="A2048" s="7" t="inlineStr">
        <is>
          <t>MAT-32-701</t>
        </is>
      </c>
      <c r="B2048" s="4" t="inlineStr">
        <is>
          <t>Llave de paso compuerta de latón 3/4"</t>
        </is>
      </c>
      <c r="C2048" s="7" t="inlineStr">
        <is>
          <t>unidad</t>
        </is>
      </c>
      <c r="D2048" s="8" t="n"/>
      <c r="E2048" s="8" t="n"/>
      <c r="F2048" s="8" t="n"/>
      <c r="G2048" s="8" t="n"/>
      <c r="H2048" s="8" t="n"/>
      <c r="I2048" s="8" t="n">
        <v>449</v>
      </c>
      <c r="J2048" s="8" t="n"/>
      <c r="K2048" s="8" t="n"/>
      <c r="L2048" s="8" t="n"/>
      <c r="M2048" s="8" t="n"/>
      <c r="N2048" s="8" t="n"/>
      <c r="O2048" s="8" t="n"/>
      <c r="P2048" s="8" t="n"/>
      <c r="Q2048" s="8">
        <f>IF(COUNT(D2048:P2048)=0,"",MIN(D2048:P2048))</f>
        <v/>
      </c>
      <c r="R2048" s="8">
        <f>IF(COUNT(D2048:P2048)=0,"",MEDIAN(D2048:P2048))</f>
        <v/>
      </c>
      <c r="S2048" s="8">
        <f>IF(COUNT(D2048:P2048)=0,"",MAX(D2048:P2048))</f>
        <v/>
      </c>
      <c r="T2048" s="9">
        <f>IF(OR(Q2048="",Q2048=0),"",(S2048-Q2048)/Q2048)</f>
        <v/>
      </c>
      <c r="U2048" s="7">
        <f>IF(COUNT(D2048:P2048)=0,"",INDEX($D$1:$P$1,MATCH(MIN(D2048:P2048),D2048:P2048,0)))</f>
        <v/>
      </c>
      <c r="V2048" s="8" t="n">
        <v>449</v>
      </c>
      <c r="W2048" s="10" t="n">
        <v>1</v>
      </c>
    </row>
    <row r="2049">
      <c r="A2049" s="7" t="inlineStr">
        <is>
          <t>MAT-32-702</t>
        </is>
      </c>
      <c r="B2049" s="4" t="inlineStr">
        <is>
          <t>Llave de paso de bola de CPVC 1/2"</t>
        </is>
      </c>
      <c r="C2049" s="7" t="inlineStr">
        <is>
          <t>unidad</t>
        </is>
      </c>
      <c r="D2049" s="8" t="n"/>
      <c r="E2049" s="8" t="n"/>
      <c r="F2049" s="8" t="n"/>
      <c r="G2049" s="8" t="n">
        <v>435</v>
      </c>
      <c r="H2049" s="8" t="n"/>
      <c r="I2049" s="8" t="n"/>
      <c r="J2049" s="8" t="n"/>
      <c r="K2049" s="8" t="n"/>
      <c r="L2049" s="8" t="n"/>
      <c r="M2049" s="8" t="n"/>
      <c r="N2049" s="8" t="n"/>
      <c r="O2049" s="8" t="n"/>
      <c r="P2049" s="8" t="n"/>
      <c r="Q2049" s="8">
        <f>IF(COUNT(D2049:P2049)=0,"",MIN(D2049:P2049))</f>
        <v/>
      </c>
      <c r="R2049" s="8">
        <f>IF(COUNT(D2049:P2049)=0,"",MEDIAN(D2049:P2049))</f>
        <v/>
      </c>
      <c r="S2049" s="8">
        <f>IF(COUNT(D2049:P2049)=0,"",MAX(D2049:P2049))</f>
        <v/>
      </c>
      <c r="T2049" s="9">
        <f>IF(OR(Q2049="",Q2049=0),"",(S2049-Q2049)/Q2049)</f>
        <v/>
      </c>
      <c r="U2049" s="7">
        <f>IF(COUNT(D2049:P2049)=0,"",INDEX($D$1:$P$1,MATCH(MIN(D2049:P2049),D2049:P2049,0)))</f>
        <v/>
      </c>
      <c r="V2049" s="8" t="n">
        <v>435</v>
      </c>
      <c r="W2049" s="10" t="n">
        <v>1</v>
      </c>
    </row>
    <row r="2050">
      <c r="A2050" s="7" t="inlineStr">
        <is>
          <t>MAT-32-703</t>
        </is>
      </c>
      <c r="B2050" s="4" t="inlineStr">
        <is>
          <t>Llave de paso de bola de metal 1 1/2"</t>
        </is>
      </c>
      <c r="C2050" s="7" t="inlineStr">
        <is>
          <t>unidad</t>
        </is>
      </c>
      <c r="D2050" s="8" t="n"/>
      <c r="E2050" s="8" t="n"/>
      <c r="F2050" s="8" t="n"/>
      <c r="G2050" s="8" t="n">
        <v>1961</v>
      </c>
      <c r="H2050" s="8" t="n"/>
      <c r="I2050" s="8" t="n"/>
      <c r="J2050" s="8" t="n"/>
      <c r="K2050" s="8" t="n"/>
      <c r="L2050" s="8" t="n"/>
      <c r="M2050" s="8" t="n"/>
      <c r="N2050" s="8" t="n"/>
      <c r="O2050" s="8" t="n"/>
      <c r="P2050" s="8" t="n"/>
      <c r="Q2050" s="8">
        <f>IF(COUNT(D2050:P2050)=0,"",MIN(D2050:P2050))</f>
        <v/>
      </c>
      <c r="R2050" s="8">
        <f>IF(COUNT(D2050:P2050)=0,"",MEDIAN(D2050:P2050))</f>
        <v/>
      </c>
      <c r="S2050" s="8">
        <f>IF(COUNT(D2050:P2050)=0,"",MAX(D2050:P2050))</f>
        <v/>
      </c>
      <c r="T2050" s="9">
        <f>IF(OR(Q2050="",Q2050=0),"",(S2050-Q2050)/Q2050)</f>
        <v/>
      </c>
      <c r="U2050" s="7">
        <f>IF(COUNT(D2050:P2050)=0,"",INDEX($D$1:$P$1,MATCH(MIN(D2050:P2050),D2050:P2050,0)))</f>
        <v/>
      </c>
      <c r="V2050" s="8" t="n">
        <v>1961</v>
      </c>
      <c r="W2050" s="10" t="n">
        <v>1</v>
      </c>
    </row>
    <row r="2051">
      <c r="A2051" s="7" t="inlineStr">
        <is>
          <t>MAT-32-704</t>
        </is>
      </c>
      <c r="B2051" s="4" t="inlineStr">
        <is>
          <t>Llave de paso de bola de metal 1/2"</t>
        </is>
      </c>
      <c r="C2051" s="7" t="inlineStr">
        <is>
          <t>unidad</t>
        </is>
      </c>
      <c r="D2051" s="8" t="n"/>
      <c r="E2051" s="8" t="n"/>
      <c r="F2051" s="8" t="n"/>
      <c r="G2051" s="8" t="n">
        <v>259</v>
      </c>
      <c r="H2051" s="8" t="n"/>
      <c r="I2051" s="8" t="n"/>
      <c r="J2051" s="8" t="n"/>
      <c r="K2051" s="8" t="n"/>
      <c r="L2051" s="8" t="n"/>
      <c r="M2051" s="8" t="n"/>
      <c r="N2051" s="8" t="n"/>
      <c r="O2051" s="8" t="n"/>
      <c r="P2051" s="8" t="n"/>
      <c r="Q2051" s="8">
        <f>IF(COUNT(D2051:P2051)=0,"",MIN(D2051:P2051))</f>
        <v/>
      </c>
      <c r="R2051" s="8">
        <f>IF(COUNT(D2051:P2051)=0,"",MEDIAN(D2051:P2051))</f>
        <v/>
      </c>
      <c r="S2051" s="8">
        <f>IF(COUNT(D2051:P2051)=0,"",MAX(D2051:P2051))</f>
        <v/>
      </c>
      <c r="T2051" s="9">
        <f>IF(OR(Q2051="",Q2051=0),"",(S2051-Q2051)/Q2051)</f>
        <v/>
      </c>
      <c r="U2051" s="7">
        <f>IF(COUNT(D2051:P2051)=0,"",INDEX($D$1:$P$1,MATCH(MIN(D2051:P2051),D2051:P2051,0)))</f>
        <v/>
      </c>
      <c r="V2051" s="8" t="n">
        <v>545</v>
      </c>
      <c r="W2051" s="10" t="n">
        <v>1</v>
      </c>
    </row>
    <row r="2052">
      <c r="A2052" s="7" t="inlineStr">
        <is>
          <t>MAT-32-705</t>
        </is>
      </c>
      <c r="B2052" s="4" t="inlineStr">
        <is>
          <t>Llave de paso de bola de metal 1/4"</t>
        </is>
      </c>
      <c r="C2052" s="7" t="inlineStr">
        <is>
          <t>unidad</t>
        </is>
      </c>
      <c r="D2052" s="8" t="n"/>
      <c r="E2052" s="8" t="n"/>
      <c r="F2052" s="8" t="n"/>
      <c r="G2052" s="8" t="n">
        <v>343</v>
      </c>
      <c r="H2052" s="8" t="n"/>
      <c r="I2052" s="8" t="n"/>
      <c r="J2052" s="8" t="n"/>
      <c r="K2052" s="8" t="n"/>
      <c r="L2052" s="8" t="n"/>
      <c r="M2052" s="8" t="n"/>
      <c r="N2052" s="8" t="n"/>
      <c r="O2052" s="8" t="n"/>
      <c r="P2052" s="8" t="n"/>
      <c r="Q2052" s="8">
        <f>IF(COUNT(D2052:P2052)=0,"",MIN(D2052:P2052))</f>
        <v/>
      </c>
      <c r="R2052" s="8">
        <f>IF(COUNT(D2052:P2052)=0,"",MEDIAN(D2052:P2052))</f>
        <v/>
      </c>
      <c r="S2052" s="8">
        <f>IF(COUNT(D2052:P2052)=0,"",MAX(D2052:P2052))</f>
        <v/>
      </c>
      <c r="T2052" s="9">
        <f>IF(OR(Q2052="",Q2052=0),"",(S2052-Q2052)/Q2052)</f>
        <v/>
      </c>
      <c r="U2052" s="7">
        <f>IF(COUNT(D2052:P2052)=0,"",INDEX($D$1:$P$1,MATCH(MIN(D2052:P2052),D2052:P2052,0)))</f>
        <v/>
      </c>
      <c r="V2052" s="8" t="n">
        <v>343</v>
      </c>
      <c r="W2052" s="10" t="n">
        <v>1</v>
      </c>
    </row>
    <row r="2053">
      <c r="A2053" s="7" t="inlineStr">
        <is>
          <t>MAT-32-706</t>
        </is>
      </c>
      <c r="B2053" s="4" t="inlineStr">
        <is>
          <t>Llave de paso de bola de metal 1"</t>
        </is>
      </c>
      <c r="C2053" s="7" t="inlineStr">
        <is>
          <t>unidad</t>
        </is>
      </c>
      <c r="D2053" s="8" t="n"/>
      <c r="E2053" s="8" t="n"/>
      <c r="F2053" s="8" t="n"/>
      <c r="G2053" s="8" t="n">
        <v>831</v>
      </c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>
        <f>IF(COUNT(D2053:P2053)=0,"",MIN(D2053:P2053))</f>
        <v/>
      </c>
      <c r="R2053" s="8">
        <f>IF(COUNT(D2053:P2053)=0,"",MEDIAN(D2053:P2053))</f>
        <v/>
      </c>
      <c r="S2053" s="8">
        <f>IF(COUNT(D2053:P2053)=0,"",MAX(D2053:P2053))</f>
        <v/>
      </c>
      <c r="T2053" s="9">
        <f>IF(OR(Q2053="",Q2053=0),"",(S2053-Q2053)/Q2053)</f>
        <v/>
      </c>
      <c r="U2053" s="7">
        <f>IF(COUNT(D2053:P2053)=0,"",INDEX($D$1:$P$1,MATCH(MIN(D2053:P2053),D2053:P2053,0)))</f>
        <v/>
      </c>
      <c r="V2053" s="8" t="n">
        <v>831</v>
      </c>
      <c r="W2053" s="10" t="n">
        <v>1</v>
      </c>
    </row>
    <row r="2054">
      <c r="A2054" s="7" t="inlineStr">
        <is>
          <t>MAT-32-707</t>
        </is>
      </c>
      <c r="B2054" s="4" t="inlineStr">
        <is>
          <t>Llave de paso de bola de metal 2"</t>
        </is>
      </c>
      <c r="C2054" s="7" t="inlineStr">
        <is>
          <t>unidad</t>
        </is>
      </c>
      <c r="D2054" s="8" t="n"/>
      <c r="E2054" s="8" t="n"/>
      <c r="F2054" s="8" t="n"/>
      <c r="G2054" s="8" t="n">
        <v>3227</v>
      </c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>
        <f>IF(COUNT(D2054:P2054)=0,"",MIN(D2054:P2054))</f>
        <v/>
      </c>
      <c r="R2054" s="8">
        <f>IF(COUNT(D2054:P2054)=0,"",MEDIAN(D2054:P2054))</f>
        <v/>
      </c>
      <c r="S2054" s="8">
        <f>IF(COUNT(D2054:P2054)=0,"",MAX(D2054:P2054))</f>
        <v/>
      </c>
      <c r="T2054" s="9">
        <f>IF(OR(Q2054="",Q2054=0),"",(S2054-Q2054)/Q2054)</f>
        <v/>
      </c>
      <c r="U2054" s="7">
        <f>IF(COUNT(D2054:P2054)=0,"",INDEX($D$1:$P$1,MATCH(MIN(D2054:P2054),D2054:P2054,0)))</f>
        <v/>
      </c>
      <c r="V2054" s="8" t="n">
        <v>3227</v>
      </c>
      <c r="W2054" s="10" t="n">
        <v>1</v>
      </c>
    </row>
    <row r="2055">
      <c r="A2055" s="7" t="inlineStr">
        <is>
          <t>MAT-32-708</t>
        </is>
      </c>
      <c r="B2055" s="4" t="inlineStr">
        <is>
          <t>Llave de paso de bola de metal 3/4"</t>
        </is>
      </c>
      <c r="C2055" s="7" t="inlineStr">
        <is>
          <t>unidad</t>
        </is>
      </c>
      <c r="D2055" s="8" t="n"/>
      <c r="E2055" s="8" t="n"/>
      <c r="F2055" s="8" t="n"/>
      <c r="G2055" s="8" t="n">
        <v>555</v>
      </c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>
        <f>IF(COUNT(D2055:P2055)=0,"",MIN(D2055:P2055))</f>
        <v/>
      </c>
      <c r="R2055" s="8">
        <f>IF(COUNT(D2055:P2055)=0,"",MEDIAN(D2055:P2055))</f>
        <v/>
      </c>
      <c r="S2055" s="8">
        <f>IF(COUNT(D2055:P2055)=0,"",MAX(D2055:P2055))</f>
        <v/>
      </c>
      <c r="T2055" s="9">
        <f>IF(OR(Q2055="",Q2055=0),"",(S2055-Q2055)/Q2055)</f>
        <v/>
      </c>
      <c r="U2055" s="7">
        <f>IF(COUNT(D2055:P2055)=0,"",INDEX($D$1:$P$1,MATCH(MIN(D2055:P2055),D2055:P2055,0)))</f>
        <v/>
      </c>
      <c r="V2055" s="8" t="n">
        <v>592.5</v>
      </c>
      <c r="W2055" s="10" t="n">
        <v>1</v>
      </c>
    </row>
    <row r="2056">
      <c r="A2056" s="7" t="inlineStr">
        <is>
          <t>MAT-32-709</t>
        </is>
      </c>
      <c r="B2056" s="4" t="inlineStr">
        <is>
          <t>Llave de paso de bola de metal 3/8"</t>
        </is>
      </c>
      <c r="C2056" s="7" t="inlineStr">
        <is>
          <t>unidad</t>
        </is>
      </c>
      <c r="D2056" s="8" t="n"/>
      <c r="E2056" s="8" t="n"/>
      <c r="F2056" s="8" t="n"/>
      <c r="G2056" s="8" t="n">
        <v>327</v>
      </c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>
        <f>IF(COUNT(D2056:P2056)=0,"",MIN(D2056:P2056))</f>
        <v/>
      </c>
      <c r="R2056" s="8">
        <f>IF(COUNT(D2056:P2056)=0,"",MEDIAN(D2056:P2056))</f>
        <v/>
      </c>
      <c r="S2056" s="8">
        <f>IF(COUNT(D2056:P2056)=0,"",MAX(D2056:P2056))</f>
        <v/>
      </c>
      <c r="T2056" s="9">
        <f>IF(OR(Q2056="",Q2056=0),"",(S2056-Q2056)/Q2056)</f>
        <v/>
      </c>
      <c r="U2056" s="7">
        <f>IF(COUNT(D2056:P2056)=0,"",INDEX($D$1:$P$1,MATCH(MIN(D2056:P2056),D2056:P2056,0)))</f>
        <v/>
      </c>
      <c r="V2056" s="8" t="n">
        <v>336</v>
      </c>
      <c r="W2056" s="10" t="n">
        <v>1</v>
      </c>
    </row>
    <row r="2057">
      <c r="A2057" s="7" t="inlineStr">
        <is>
          <t>MAT-32-710</t>
        </is>
      </c>
      <c r="B2057" s="4" t="inlineStr">
        <is>
          <t>Llave de paso de bola de PVC 1 1/2"</t>
        </is>
      </c>
      <c r="C2057" s="7" t="inlineStr">
        <is>
          <t>unidad</t>
        </is>
      </c>
      <c r="D2057" s="8" t="n"/>
      <c r="E2057" s="8" t="n"/>
      <c r="F2057" s="8" t="n"/>
      <c r="G2057" s="8" t="n">
        <v>465</v>
      </c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>
        <f>IF(COUNT(D2057:P2057)=0,"",MIN(D2057:P2057))</f>
        <v/>
      </c>
      <c r="R2057" s="8">
        <f>IF(COUNT(D2057:P2057)=0,"",MEDIAN(D2057:P2057))</f>
        <v/>
      </c>
      <c r="S2057" s="8">
        <f>IF(COUNT(D2057:P2057)=0,"",MAX(D2057:P2057))</f>
        <v/>
      </c>
      <c r="T2057" s="9">
        <f>IF(OR(Q2057="",Q2057=0),"",(S2057-Q2057)/Q2057)</f>
        <v/>
      </c>
      <c r="U2057" s="7">
        <f>IF(COUNT(D2057:P2057)=0,"",INDEX($D$1:$P$1,MATCH(MIN(D2057:P2057),D2057:P2057,0)))</f>
        <v/>
      </c>
      <c r="V2057" s="8" t="n">
        <v>465</v>
      </c>
      <c r="W2057" s="10" t="n">
        <v>1</v>
      </c>
    </row>
    <row r="2058">
      <c r="A2058" s="7" t="inlineStr">
        <is>
          <t>MAT-32-711</t>
        </is>
      </c>
      <c r="B2058" s="4" t="inlineStr">
        <is>
          <t>Llave de paso de bola de PVC 1/2"</t>
        </is>
      </c>
      <c r="C2058" s="7" t="inlineStr">
        <is>
          <t>unidad</t>
        </is>
      </c>
      <c r="D2058" s="8" t="n"/>
      <c r="E2058" s="8" t="n"/>
      <c r="F2058" s="8" t="n"/>
      <c r="G2058" s="8" t="n">
        <v>41</v>
      </c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>
        <f>IF(COUNT(D2058:P2058)=0,"",MIN(D2058:P2058))</f>
        <v/>
      </c>
      <c r="R2058" s="8">
        <f>IF(COUNT(D2058:P2058)=0,"",MEDIAN(D2058:P2058))</f>
        <v/>
      </c>
      <c r="S2058" s="8">
        <f>IF(COUNT(D2058:P2058)=0,"",MAX(D2058:P2058))</f>
        <v/>
      </c>
      <c r="T2058" s="9">
        <f>IF(OR(Q2058="",Q2058=0),"",(S2058-Q2058)/Q2058)</f>
        <v/>
      </c>
      <c r="U2058" s="7">
        <f>IF(COUNT(D2058:P2058)=0,"",INDEX($D$1:$P$1,MATCH(MIN(D2058:P2058),D2058:P2058,0)))</f>
        <v/>
      </c>
      <c r="V2058" s="8" t="n">
        <v>83</v>
      </c>
      <c r="W2058" s="10" t="n">
        <v>1</v>
      </c>
    </row>
    <row r="2059">
      <c r="A2059" s="7" t="inlineStr">
        <is>
          <t>MAT-32-712</t>
        </is>
      </c>
      <c r="B2059" s="4" t="inlineStr">
        <is>
          <t>Llave de paso de bola de PVC 1"</t>
        </is>
      </c>
      <c r="C2059" s="7" t="inlineStr">
        <is>
          <t>unidad</t>
        </is>
      </c>
      <c r="D2059" s="8" t="n"/>
      <c r="E2059" s="8" t="n"/>
      <c r="F2059" s="8" t="n"/>
      <c r="G2059" s="8" t="n">
        <v>170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>
        <f>IF(COUNT(D2059:P2059)=0,"",MIN(D2059:P2059))</f>
        <v/>
      </c>
      <c r="R2059" s="8">
        <f>IF(COUNT(D2059:P2059)=0,"",MEDIAN(D2059:P2059))</f>
        <v/>
      </c>
      <c r="S2059" s="8">
        <f>IF(COUNT(D2059:P2059)=0,"",MAX(D2059:P2059))</f>
        <v/>
      </c>
      <c r="T2059" s="9">
        <f>IF(OR(Q2059="",Q2059=0),"",(S2059-Q2059)/Q2059)</f>
        <v/>
      </c>
      <c r="U2059" s="7">
        <f>IF(COUNT(D2059:P2059)=0,"",INDEX($D$1:$P$1,MATCH(MIN(D2059:P2059),D2059:P2059,0)))</f>
        <v/>
      </c>
      <c r="V2059" s="8" t="n">
        <v>170</v>
      </c>
      <c r="W2059" s="10" t="n">
        <v>1</v>
      </c>
    </row>
    <row r="2060">
      <c r="A2060" s="7" t="inlineStr">
        <is>
          <t>MAT-32-713</t>
        </is>
      </c>
      <c r="B2060" s="4" t="inlineStr">
        <is>
          <t>Llave de paso de bola de PVC 2"</t>
        </is>
      </c>
      <c r="C2060" s="7" t="inlineStr">
        <is>
          <t>unidad</t>
        </is>
      </c>
      <c r="D2060" s="8" t="n"/>
      <c r="E2060" s="8" t="n"/>
      <c r="F2060" s="8" t="n"/>
      <c r="G2060" s="8" t="n">
        <v>616</v>
      </c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>
        <f>IF(COUNT(D2060:P2060)=0,"",MIN(D2060:P2060))</f>
        <v/>
      </c>
      <c r="R2060" s="8">
        <f>IF(COUNT(D2060:P2060)=0,"",MEDIAN(D2060:P2060))</f>
        <v/>
      </c>
      <c r="S2060" s="8">
        <f>IF(COUNT(D2060:P2060)=0,"",MAX(D2060:P2060))</f>
        <v/>
      </c>
      <c r="T2060" s="9">
        <f>IF(OR(Q2060="",Q2060=0),"",(S2060-Q2060)/Q2060)</f>
        <v/>
      </c>
      <c r="U2060" s="7">
        <f>IF(COUNT(D2060:P2060)=0,"",INDEX($D$1:$P$1,MATCH(MIN(D2060:P2060),D2060:P2060,0)))</f>
        <v/>
      </c>
      <c r="V2060" s="8" t="n">
        <v>616</v>
      </c>
      <c r="W2060" s="10" t="n">
        <v>1</v>
      </c>
    </row>
    <row r="2061">
      <c r="A2061" s="7" t="inlineStr">
        <is>
          <t>MAT-32-714</t>
        </is>
      </c>
      <c r="B2061" s="4" t="inlineStr">
        <is>
          <t>Llave de paso de bola de PVC 3/4"</t>
        </is>
      </c>
      <c r="C2061" s="7" t="inlineStr">
        <is>
          <t>unidad</t>
        </is>
      </c>
      <c r="D2061" s="8" t="n"/>
      <c r="E2061" s="8" t="n"/>
      <c r="F2061" s="8" t="n"/>
      <c r="G2061" s="8" t="n">
        <v>107</v>
      </c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>
        <f>IF(COUNT(D2061:P2061)=0,"",MIN(D2061:P2061))</f>
        <v/>
      </c>
      <c r="R2061" s="8">
        <f>IF(COUNT(D2061:P2061)=0,"",MEDIAN(D2061:P2061))</f>
        <v/>
      </c>
      <c r="S2061" s="8">
        <f>IF(COUNT(D2061:P2061)=0,"",MAX(D2061:P2061))</f>
        <v/>
      </c>
      <c r="T2061" s="9">
        <f>IF(OR(Q2061="",Q2061=0),"",(S2061-Q2061)/Q2061)</f>
        <v/>
      </c>
      <c r="U2061" s="7">
        <f>IF(COUNT(D2061:P2061)=0,"",INDEX($D$1:$P$1,MATCH(MIN(D2061:P2061),D2061:P2061,0)))</f>
        <v/>
      </c>
      <c r="V2061" s="8" t="n">
        <v>116</v>
      </c>
      <c r="W2061" s="10" t="n">
        <v>1</v>
      </c>
    </row>
    <row r="2062">
      <c r="A2062" s="7" t="inlineStr">
        <is>
          <t>MAT-32-715</t>
        </is>
      </c>
      <c r="B2062" s="4" t="inlineStr">
        <is>
          <t>Llave de paso de compuerta de metal 1 1/2"</t>
        </is>
      </c>
      <c r="C2062" s="7" t="inlineStr">
        <is>
          <t>unidad</t>
        </is>
      </c>
      <c r="D2062" s="8" t="n"/>
      <c r="E2062" s="8" t="n"/>
      <c r="F2062" s="8" t="n"/>
      <c r="G2062" s="8" t="n">
        <v>2262</v>
      </c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>
        <f>IF(COUNT(D2062:P2062)=0,"",MIN(D2062:P2062))</f>
        <v/>
      </c>
      <c r="R2062" s="8">
        <f>IF(COUNT(D2062:P2062)=0,"",MEDIAN(D2062:P2062))</f>
        <v/>
      </c>
      <c r="S2062" s="8">
        <f>IF(COUNT(D2062:P2062)=0,"",MAX(D2062:P2062))</f>
        <v/>
      </c>
      <c r="T2062" s="9">
        <f>IF(OR(Q2062="",Q2062=0),"",(S2062-Q2062)/Q2062)</f>
        <v/>
      </c>
      <c r="U2062" s="7">
        <f>IF(COUNT(D2062:P2062)=0,"",INDEX($D$1:$P$1,MATCH(MIN(D2062:P2062),D2062:P2062,0)))</f>
        <v/>
      </c>
      <c r="V2062" s="8" t="n">
        <v>2262</v>
      </c>
      <c r="W2062" s="10" t="n">
        <v>1</v>
      </c>
    </row>
    <row r="2063">
      <c r="A2063" s="7" t="inlineStr">
        <is>
          <t>MAT-32-716</t>
        </is>
      </c>
      <c r="B2063" s="4" t="inlineStr">
        <is>
          <t>Llave de paso de compuerta de metal 1/2"</t>
        </is>
      </c>
      <c r="C2063" s="7" t="inlineStr">
        <is>
          <t>unidad</t>
        </is>
      </c>
      <c r="D2063" s="8" t="n"/>
      <c r="E2063" s="8" t="n"/>
      <c r="F2063" s="8" t="n"/>
      <c r="G2063" s="8" t="n">
        <v>858</v>
      </c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>
        <f>IF(COUNT(D2063:P2063)=0,"",MIN(D2063:P2063))</f>
        <v/>
      </c>
      <c r="R2063" s="8">
        <f>IF(COUNT(D2063:P2063)=0,"",MEDIAN(D2063:P2063))</f>
        <v/>
      </c>
      <c r="S2063" s="8">
        <f>IF(COUNT(D2063:P2063)=0,"",MAX(D2063:P2063))</f>
        <v/>
      </c>
      <c r="T2063" s="9">
        <f>IF(OR(Q2063="",Q2063=0),"",(S2063-Q2063)/Q2063)</f>
        <v/>
      </c>
      <c r="U2063" s="7">
        <f>IF(COUNT(D2063:P2063)=0,"",INDEX($D$1:$P$1,MATCH(MIN(D2063:P2063),D2063:P2063,0)))</f>
        <v/>
      </c>
      <c r="V2063" s="8" t="n">
        <v>858</v>
      </c>
      <c r="W2063" s="10" t="n">
        <v>1</v>
      </c>
    </row>
    <row r="2064">
      <c r="A2064" s="7" t="inlineStr">
        <is>
          <t>MAT-32-717</t>
        </is>
      </c>
      <c r="B2064" s="4" t="inlineStr">
        <is>
          <t>Llave de paso de compuerta de metal 1"</t>
        </is>
      </c>
      <c r="C2064" s="7" t="inlineStr">
        <is>
          <t>unidad</t>
        </is>
      </c>
      <c r="D2064" s="8" t="n"/>
      <c r="E2064" s="8" t="n"/>
      <c r="F2064" s="8" t="n"/>
      <c r="G2064" s="8" t="n">
        <v>1595</v>
      </c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>
        <f>IF(COUNT(D2064:P2064)=0,"",MIN(D2064:P2064))</f>
        <v/>
      </c>
      <c r="R2064" s="8">
        <f>IF(COUNT(D2064:P2064)=0,"",MEDIAN(D2064:P2064))</f>
        <v/>
      </c>
      <c r="S2064" s="8">
        <f>IF(COUNT(D2064:P2064)=0,"",MAX(D2064:P2064))</f>
        <v/>
      </c>
      <c r="T2064" s="9">
        <f>IF(OR(Q2064="",Q2064=0),"",(S2064-Q2064)/Q2064)</f>
        <v/>
      </c>
      <c r="U2064" s="7">
        <f>IF(COUNT(D2064:P2064)=0,"",INDEX($D$1:$P$1,MATCH(MIN(D2064:P2064),D2064:P2064,0)))</f>
        <v/>
      </c>
      <c r="V2064" s="8" t="n">
        <v>1595</v>
      </c>
      <c r="W2064" s="10" t="n">
        <v>1</v>
      </c>
    </row>
    <row r="2065">
      <c r="A2065" s="7" t="inlineStr">
        <is>
          <t>MAT-32-718</t>
        </is>
      </c>
      <c r="B2065" s="4" t="inlineStr">
        <is>
          <t>Llave de paso de compuerta de metal 3/4"</t>
        </is>
      </c>
      <c r="C2065" s="7" t="inlineStr">
        <is>
          <t>unidad</t>
        </is>
      </c>
      <c r="D2065" s="8" t="n"/>
      <c r="E2065" s="8" t="n"/>
      <c r="F2065" s="8" t="n"/>
      <c r="G2065" s="8" t="n">
        <v>1248</v>
      </c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>
        <f>IF(COUNT(D2065:P2065)=0,"",MIN(D2065:P2065))</f>
        <v/>
      </c>
      <c r="R2065" s="8">
        <f>IF(COUNT(D2065:P2065)=0,"",MEDIAN(D2065:P2065))</f>
        <v/>
      </c>
      <c r="S2065" s="8">
        <f>IF(COUNT(D2065:P2065)=0,"",MAX(D2065:P2065))</f>
        <v/>
      </c>
      <c r="T2065" s="9">
        <f>IF(OR(Q2065="",Q2065=0),"",(S2065-Q2065)/Q2065)</f>
        <v/>
      </c>
      <c r="U2065" s="7">
        <f>IF(COUNT(D2065:P2065)=0,"",INDEX($D$1:$P$1,MATCH(MIN(D2065:P2065),D2065:P2065,0)))</f>
        <v/>
      </c>
      <c r="V2065" s="8" t="n">
        <v>1248</v>
      </c>
      <c r="W2065" s="10" t="n">
        <v>1</v>
      </c>
    </row>
    <row r="2066">
      <c r="A2066" s="7" t="inlineStr">
        <is>
          <t>MAT-32-719</t>
        </is>
      </c>
      <c r="B2066" s="4" t="inlineStr">
        <is>
          <t>Llave de paso de rosca macho de metal 1/2"</t>
        </is>
      </c>
      <c r="C2066" s="7" t="inlineStr">
        <is>
          <t>unidad</t>
        </is>
      </c>
      <c r="D2066" s="8" t="n"/>
      <c r="E2066" s="8" t="n"/>
      <c r="F2066" s="8" t="n"/>
      <c r="G2066" s="8" t="n">
        <v>338</v>
      </c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>
        <f>IF(COUNT(D2066:P2066)=0,"",MIN(D2066:P2066))</f>
        <v/>
      </c>
      <c r="R2066" s="8">
        <f>IF(COUNT(D2066:P2066)=0,"",MEDIAN(D2066:P2066))</f>
        <v/>
      </c>
      <c r="S2066" s="8">
        <f>IF(COUNT(D2066:P2066)=0,"",MAX(D2066:P2066))</f>
        <v/>
      </c>
      <c r="T2066" s="9">
        <f>IF(OR(Q2066="",Q2066=0),"",(S2066-Q2066)/Q2066)</f>
        <v/>
      </c>
      <c r="U2066" s="7">
        <f>IF(COUNT(D2066:P2066)=0,"",INDEX($D$1:$P$1,MATCH(MIN(D2066:P2066),D2066:P2066,0)))</f>
        <v/>
      </c>
      <c r="V2066" s="8" t="n">
        <v>875</v>
      </c>
      <c r="W2066" s="10" t="n">
        <v>1</v>
      </c>
    </row>
    <row r="2067">
      <c r="A2067" s="7" t="inlineStr">
        <is>
          <t>MAT-32-720</t>
        </is>
      </c>
      <c r="B2067" s="4" t="inlineStr">
        <is>
          <t>Llave de paso de rosca macho de metal 3/4"</t>
        </is>
      </c>
      <c r="C2067" s="7" t="inlineStr">
        <is>
          <t>unidad</t>
        </is>
      </c>
      <c r="D2067" s="8" t="n"/>
      <c r="E2067" s="8" t="n"/>
      <c r="F2067" s="8" t="n"/>
      <c r="G2067" s="8" t="n">
        <v>487</v>
      </c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>
        <f>IF(COUNT(D2067:P2067)=0,"",MIN(D2067:P2067))</f>
        <v/>
      </c>
      <c r="R2067" s="8">
        <f>IF(COUNT(D2067:P2067)=0,"",MEDIAN(D2067:P2067))</f>
        <v/>
      </c>
      <c r="S2067" s="8">
        <f>IF(COUNT(D2067:P2067)=0,"",MAX(D2067:P2067))</f>
        <v/>
      </c>
      <c r="T2067" s="9">
        <f>IF(OR(Q2067="",Q2067=0),"",(S2067-Q2067)/Q2067)</f>
        <v/>
      </c>
      <c r="U2067" s="7">
        <f>IF(COUNT(D2067:P2067)=0,"",INDEX($D$1:$P$1,MATCH(MIN(D2067:P2067),D2067:P2067,0)))</f>
        <v/>
      </c>
      <c r="V2067" s="8" t="n">
        <v>816</v>
      </c>
      <c r="W2067" s="10" t="n">
        <v>1</v>
      </c>
    </row>
    <row r="2068">
      <c r="A2068" s="7" t="inlineStr">
        <is>
          <t>MAT-32-721</t>
        </is>
      </c>
      <c r="B2068" s="4" t="inlineStr">
        <is>
          <t>Válvula de retención (cheque) 1 1/2"</t>
        </is>
      </c>
      <c r="C2068" s="7" t="inlineStr">
        <is>
          <t>unidad</t>
        </is>
      </c>
      <c r="D2068" s="8" t="n"/>
      <c r="E2068" s="8" t="n">
        <v>995</v>
      </c>
      <c r="F2068" s="8" t="n"/>
      <c r="G2068" s="8" t="n">
        <v>1757</v>
      </c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>
        <f>IF(COUNT(D2068:P2068)=0,"",MIN(D2068:P2068))</f>
        <v/>
      </c>
      <c r="R2068" s="8">
        <f>IF(COUNT(D2068:P2068)=0,"",MEDIAN(D2068:P2068))</f>
        <v/>
      </c>
      <c r="S2068" s="8">
        <f>IF(COUNT(D2068:P2068)=0,"",MAX(D2068:P2068))</f>
        <v/>
      </c>
      <c r="T2068" s="9">
        <f>IF(OR(Q2068="",Q2068=0),"",(S2068-Q2068)/Q2068)</f>
        <v/>
      </c>
      <c r="U2068" s="7">
        <f>IF(COUNT(D2068:P2068)=0,"",INDEX($D$1:$P$1,MATCH(MIN(D2068:P2068),D2068:P2068,0)))</f>
        <v/>
      </c>
      <c r="V2068" s="8" t="n">
        <v>1858</v>
      </c>
      <c r="W2068" s="10" t="n">
        <v>2</v>
      </c>
    </row>
    <row r="2069">
      <c r="A2069" s="7" t="inlineStr">
        <is>
          <t>MAT-32-722</t>
        </is>
      </c>
      <c r="B2069" s="4" t="inlineStr">
        <is>
          <t>Válvula de retención (cheque) 1 1/4"</t>
        </is>
      </c>
      <c r="C2069" s="7" t="inlineStr">
        <is>
          <t>unidad</t>
        </is>
      </c>
      <c r="D2069" s="8" t="n"/>
      <c r="E2069" s="8" t="n">
        <v>1394</v>
      </c>
      <c r="F2069" s="8" t="n"/>
      <c r="G2069" s="8" t="n"/>
      <c r="H2069" s="8" t="n"/>
      <c r="I2069" s="8" t="n"/>
      <c r="J2069" s="8" t="n"/>
      <c r="K2069" s="8" t="n"/>
      <c r="L2069" s="8" t="n"/>
      <c r="M2069" s="8" t="n"/>
      <c r="N2069" s="8" t="n"/>
      <c r="O2069" s="8" t="n"/>
      <c r="P2069" s="8" t="n"/>
      <c r="Q2069" s="8">
        <f>IF(COUNT(D2069:P2069)=0,"",MIN(D2069:P2069))</f>
        <v/>
      </c>
      <c r="R2069" s="8">
        <f>IF(COUNT(D2069:P2069)=0,"",MEDIAN(D2069:P2069))</f>
        <v/>
      </c>
      <c r="S2069" s="8">
        <f>IF(COUNT(D2069:P2069)=0,"",MAX(D2069:P2069))</f>
        <v/>
      </c>
      <c r="T2069" s="9">
        <f>IF(OR(Q2069="",Q2069=0),"",(S2069-Q2069)/Q2069)</f>
        <v/>
      </c>
      <c r="U2069" s="7">
        <f>IF(COUNT(D2069:P2069)=0,"",INDEX($D$1:$P$1,MATCH(MIN(D2069:P2069),D2069:P2069,0)))</f>
        <v/>
      </c>
      <c r="V2069" s="8" t="n">
        <v>1444.5</v>
      </c>
      <c r="W2069" s="10" t="n">
        <v>1</v>
      </c>
    </row>
    <row r="2070">
      <c r="A2070" s="7" t="inlineStr">
        <is>
          <t>MAT-32-723</t>
        </is>
      </c>
      <c r="B2070" s="4" t="inlineStr">
        <is>
          <t>Válvula de retención (cheque) 1/2"</t>
        </is>
      </c>
      <c r="C2070" s="7" t="inlineStr">
        <is>
          <t>unidad</t>
        </is>
      </c>
      <c r="D2070" s="8" t="n"/>
      <c r="E2070" s="8" t="n">
        <v>502</v>
      </c>
      <c r="F2070" s="8" t="n"/>
      <c r="G2070" s="8" t="n">
        <v>535</v>
      </c>
      <c r="H2070" s="8" t="n"/>
      <c r="I2070" s="8" t="n"/>
      <c r="J2070" s="8" t="n"/>
      <c r="K2070" s="8" t="n"/>
      <c r="L2070" s="8" t="n"/>
      <c r="M2070" s="8" t="n"/>
      <c r="N2070" s="8" t="n"/>
      <c r="O2070" s="8" t="n"/>
      <c r="P2070" s="8" t="n"/>
      <c r="Q2070" s="8">
        <f>IF(COUNT(D2070:P2070)=0,"",MIN(D2070:P2070))</f>
        <v/>
      </c>
      <c r="R2070" s="8">
        <f>IF(COUNT(D2070:P2070)=0,"",MEDIAN(D2070:P2070))</f>
        <v/>
      </c>
      <c r="S2070" s="8">
        <f>IF(COUNT(D2070:P2070)=0,"",MAX(D2070:P2070))</f>
        <v/>
      </c>
      <c r="T2070" s="9">
        <f>IF(OR(Q2070="",Q2070=0),"",(S2070-Q2070)/Q2070)</f>
        <v/>
      </c>
      <c r="U2070" s="7">
        <f>IF(COUNT(D2070:P2070)=0,"",INDEX($D$1:$P$1,MATCH(MIN(D2070:P2070),D2070:P2070,0)))</f>
        <v/>
      </c>
      <c r="V2070" s="8" t="n">
        <v>535</v>
      </c>
      <c r="W2070" s="10" t="n">
        <v>2</v>
      </c>
    </row>
    <row r="2071">
      <c r="A2071" s="7" t="inlineStr">
        <is>
          <t>MAT-32-724</t>
        </is>
      </c>
      <c r="B2071" s="4" t="inlineStr">
        <is>
          <t>Válvula de retención (cheque) 1"</t>
        </is>
      </c>
      <c r="C2071" s="7" t="inlineStr">
        <is>
          <t>unidad</t>
        </is>
      </c>
      <c r="D2071" s="8" t="n"/>
      <c r="E2071" s="8" t="n">
        <v>399</v>
      </c>
      <c r="F2071" s="8" t="n"/>
      <c r="G2071" s="8" t="n">
        <v>1048</v>
      </c>
      <c r="H2071" s="8" t="n"/>
      <c r="I2071" s="8" t="n"/>
      <c r="J2071" s="8" t="n"/>
      <c r="K2071" s="8" t="n"/>
      <c r="L2071" s="8" t="n"/>
      <c r="M2071" s="8" t="n"/>
      <c r="N2071" s="8" t="n"/>
      <c r="O2071" s="8" t="n"/>
      <c r="P2071" s="8" t="n"/>
      <c r="Q2071" s="8">
        <f>IF(COUNT(D2071:P2071)=0,"",MIN(D2071:P2071))</f>
        <v/>
      </c>
      <c r="R2071" s="8">
        <f>IF(COUNT(D2071:P2071)=0,"",MEDIAN(D2071:P2071))</f>
        <v/>
      </c>
      <c r="S2071" s="8">
        <f>IF(COUNT(D2071:P2071)=0,"",MAX(D2071:P2071))</f>
        <v/>
      </c>
      <c r="T2071" s="9">
        <f>IF(OR(Q2071="",Q2071=0),"",(S2071-Q2071)/Q2071)</f>
        <v/>
      </c>
      <c r="U2071" s="7">
        <f>IF(COUNT(D2071:P2071)=0,"",INDEX($D$1:$P$1,MATCH(MIN(D2071:P2071),D2071:P2071,0)))</f>
        <v/>
      </c>
      <c r="V2071" s="8" t="n">
        <v>955</v>
      </c>
      <c r="W2071" s="10" t="n">
        <v>2</v>
      </c>
    </row>
    <row r="2072">
      <c r="A2072" s="7" t="inlineStr">
        <is>
          <t>MAT-32-725</t>
        </is>
      </c>
      <c r="B2072" s="4" t="inlineStr">
        <is>
          <t>Válvula de retención (cheque) 2"</t>
        </is>
      </c>
      <c r="C2072" s="7" t="inlineStr">
        <is>
          <t>unidad</t>
        </is>
      </c>
      <c r="D2072" s="8" t="n"/>
      <c r="E2072" s="8" t="n">
        <v>435</v>
      </c>
      <c r="F2072" s="8" t="n"/>
      <c r="G2072" s="8" t="n">
        <v>2946</v>
      </c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>
        <f>IF(COUNT(D2072:P2072)=0,"",MIN(D2072:P2072))</f>
        <v/>
      </c>
      <c r="R2072" s="8">
        <f>IF(COUNT(D2072:P2072)=0,"",MEDIAN(D2072:P2072))</f>
        <v/>
      </c>
      <c r="S2072" s="8">
        <f>IF(COUNT(D2072:P2072)=0,"",MAX(D2072:P2072))</f>
        <v/>
      </c>
      <c r="T2072" s="9">
        <f>IF(OR(Q2072="",Q2072=0),"",(S2072-Q2072)/Q2072)</f>
        <v/>
      </c>
      <c r="U2072" s="7">
        <f>IF(COUNT(D2072:P2072)=0,"",INDEX($D$1:$P$1,MATCH(MIN(D2072:P2072),D2072:P2072,0)))</f>
        <v/>
      </c>
      <c r="V2072" s="8" t="n">
        <v>2864</v>
      </c>
      <c r="W2072" s="10" t="n">
        <v>2</v>
      </c>
    </row>
    <row r="2073">
      <c r="A2073" s="7" t="inlineStr">
        <is>
          <t>MAT-32-726</t>
        </is>
      </c>
      <c r="B2073" s="4" t="inlineStr">
        <is>
          <t>Válvula de retención (cheque) 3/4"</t>
        </is>
      </c>
      <c r="C2073" s="7" t="inlineStr">
        <is>
          <t>unidad</t>
        </is>
      </c>
      <c r="D2073" s="8" t="n"/>
      <c r="E2073" s="8" t="n">
        <v>586</v>
      </c>
      <c r="F2073" s="8" t="n"/>
      <c r="G2073" s="8" t="n">
        <v>695</v>
      </c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>
        <f>IF(COUNT(D2073:P2073)=0,"",MIN(D2073:P2073))</f>
        <v/>
      </c>
      <c r="R2073" s="8">
        <f>IF(COUNT(D2073:P2073)=0,"",MEDIAN(D2073:P2073))</f>
        <v/>
      </c>
      <c r="S2073" s="8">
        <f>IF(COUNT(D2073:P2073)=0,"",MAX(D2073:P2073))</f>
        <v/>
      </c>
      <c r="T2073" s="9">
        <f>IF(OR(Q2073="",Q2073=0),"",(S2073-Q2073)/Q2073)</f>
        <v/>
      </c>
      <c r="U2073" s="7">
        <f>IF(COUNT(D2073:P2073)=0,"",INDEX($D$1:$P$1,MATCH(MIN(D2073:P2073),D2073:P2073,0)))</f>
        <v/>
      </c>
      <c r="V2073" s="8" t="n">
        <v>695</v>
      </c>
      <c r="W2073" s="10" t="n">
        <v>2</v>
      </c>
    </row>
    <row r="2074">
      <c r="A2074" s="7" t="inlineStr">
        <is>
          <t>MAT-32-727</t>
        </is>
      </c>
      <c r="B2074" s="4" t="inlineStr">
        <is>
          <t>Válvula de retención (cheque) 3"</t>
        </is>
      </c>
      <c r="C2074" s="7" t="inlineStr">
        <is>
          <t>unidad</t>
        </is>
      </c>
      <c r="D2074" s="8" t="n"/>
      <c r="E2074" s="8" t="n">
        <v>6059</v>
      </c>
      <c r="F2074" s="8" t="n"/>
      <c r="G2074" s="8" t="n"/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>
        <f>IF(COUNT(D2074:P2074)=0,"",MIN(D2074:P2074))</f>
        <v/>
      </c>
      <c r="R2074" s="8">
        <f>IF(COUNT(D2074:P2074)=0,"",MEDIAN(D2074:P2074))</f>
        <v/>
      </c>
      <c r="S2074" s="8">
        <f>IF(COUNT(D2074:P2074)=0,"",MAX(D2074:P2074))</f>
        <v/>
      </c>
      <c r="T2074" s="9">
        <f>IF(OR(Q2074="",Q2074=0),"",(S2074-Q2074)/Q2074)</f>
        <v/>
      </c>
      <c r="U2074" s="7">
        <f>IF(COUNT(D2074:P2074)=0,"",INDEX($D$1:$P$1,MATCH(MIN(D2074:P2074),D2074:P2074,0)))</f>
        <v/>
      </c>
      <c r="V2074" s="8" t="n">
        <v>7885</v>
      </c>
      <c r="W2074" s="10" t="n">
        <v>1</v>
      </c>
    </row>
    <row r="2075">
      <c r="A2075" s="7" t="inlineStr">
        <is>
          <t>MAT-32-728</t>
        </is>
      </c>
      <c r="B2075" s="4" t="inlineStr">
        <is>
          <t>Válvula de retención (cheque) 4"</t>
        </is>
      </c>
      <c r="C2075" s="7" t="inlineStr">
        <is>
          <t>unidad</t>
        </is>
      </c>
      <c r="D2075" s="8" t="n"/>
      <c r="E2075" s="8" t="n">
        <v>12582</v>
      </c>
      <c r="F2075" s="8" t="n"/>
      <c r="G2075" s="8" t="n"/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>
        <f>IF(COUNT(D2075:P2075)=0,"",MIN(D2075:P2075))</f>
        <v/>
      </c>
      <c r="R2075" s="8">
        <f>IF(COUNT(D2075:P2075)=0,"",MEDIAN(D2075:P2075))</f>
        <v/>
      </c>
      <c r="S2075" s="8">
        <f>IF(COUNT(D2075:P2075)=0,"",MAX(D2075:P2075))</f>
        <v/>
      </c>
      <c r="T2075" s="9">
        <f>IF(OR(Q2075="",Q2075=0),"",(S2075-Q2075)/Q2075)</f>
        <v/>
      </c>
      <c r="U2075" s="7">
        <f>IF(COUNT(D2075:P2075)=0,"",INDEX($D$1:$P$1,MATCH(MIN(D2075:P2075),D2075:P2075,0)))</f>
        <v/>
      </c>
      <c r="V2075" s="8" t="n">
        <v>14372</v>
      </c>
      <c r="W2075" s="10" t="n">
        <v>1</v>
      </c>
    </row>
    <row r="2076">
      <c r="A2076" s="7" t="inlineStr">
        <is>
          <t>MAT-32-729</t>
        </is>
      </c>
      <c r="B2076" s="4" t="inlineStr">
        <is>
          <t>Válvula de cisterna con flotante 1/2"</t>
        </is>
      </c>
      <c r="C2076" s="7" t="inlineStr">
        <is>
          <t>unidad</t>
        </is>
      </c>
      <c r="D2076" s="8" t="n"/>
      <c r="E2076" s="8" t="n"/>
      <c r="F2076" s="8" t="n"/>
      <c r="G2076" s="8" t="n">
        <v>616</v>
      </c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>
        <f>IF(COUNT(D2076:P2076)=0,"",MIN(D2076:P2076))</f>
        <v/>
      </c>
      <c r="R2076" s="8">
        <f>IF(COUNT(D2076:P2076)=0,"",MEDIAN(D2076:P2076))</f>
        <v/>
      </c>
      <c r="S2076" s="8">
        <f>IF(COUNT(D2076:P2076)=0,"",MAX(D2076:P2076))</f>
        <v/>
      </c>
      <c r="T2076" s="9">
        <f>IF(OR(Q2076="",Q2076=0),"",(S2076-Q2076)/Q2076)</f>
        <v/>
      </c>
      <c r="U2076" s="7">
        <f>IF(COUNT(D2076:P2076)=0,"",INDEX($D$1:$P$1,MATCH(MIN(D2076:P2076),D2076:P2076,0)))</f>
        <v/>
      </c>
      <c r="V2076" s="8" t="n">
        <v>734.5</v>
      </c>
      <c r="W2076" s="10" t="n">
        <v>1</v>
      </c>
    </row>
    <row r="2077">
      <c r="A2077" s="7" t="inlineStr">
        <is>
          <t>MAT-32-730</t>
        </is>
      </c>
      <c r="B2077" s="4" t="inlineStr">
        <is>
          <t>Válvula de cisterna con flotante 3/4"</t>
        </is>
      </c>
      <c r="C2077" s="7" t="inlineStr">
        <is>
          <t>unidad</t>
        </is>
      </c>
      <c r="D2077" s="8" t="n"/>
      <c r="E2077" s="8" t="n"/>
      <c r="F2077" s="8" t="n"/>
      <c r="G2077" s="8" t="n">
        <v>615</v>
      </c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>
        <f>IF(COUNT(D2077:P2077)=0,"",MIN(D2077:P2077))</f>
        <v/>
      </c>
      <c r="R2077" s="8">
        <f>IF(COUNT(D2077:P2077)=0,"",MEDIAN(D2077:P2077))</f>
        <v/>
      </c>
      <c r="S2077" s="8">
        <f>IF(COUNT(D2077:P2077)=0,"",MAX(D2077:P2077))</f>
        <v/>
      </c>
      <c r="T2077" s="9">
        <f>IF(OR(Q2077="",Q2077=0),"",(S2077-Q2077)/Q2077)</f>
        <v/>
      </c>
      <c r="U2077" s="7">
        <f>IF(COUNT(D2077:P2077)=0,"",INDEX($D$1:$P$1,MATCH(MIN(D2077:P2077),D2077:P2077,0)))</f>
        <v/>
      </c>
      <c r="V2077" s="8" t="n">
        <v>943</v>
      </c>
      <c r="W2077" s="10" t="n">
        <v>1</v>
      </c>
    </row>
    <row r="2078">
      <c r="A2078" s="7" t="inlineStr">
        <is>
          <t>MAT-32-731</t>
        </is>
      </c>
      <c r="B2078" s="4" t="inlineStr">
        <is>
          <t>Rejilla de piso 10 x 10 cm</t>
        </is>
      </c>
      <c r="C2078" s="7" t="inlineStr">
        <is>
          <t>unidad</t>
        </is>
      </c>
      <c r="D2078" s="8" t="n"/>
      <c r="E2078" s="8" t="n"/>
      <c r="F2078" s="8" t="n"/>
      <c r="G2078" s="8" t="n">
        <v>306</v>
      </c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>
        <f>IF(COUNT(D2078:P2078)=0,"",MIN(D2078:P2078))</f>
        <v/>
      </c>
      <c r="R2078" s="8">
        <f>IF(COUNT(D2078:P2078)=0,"",MEDIAN(D2078:P2078))</f>
        <v/>
      </c>
      <c r="S2078" s="8">
        <f>IF(COUNT(D2078:P2078)=0,"",MAX(D2078:P2078))</f>
        <v/>
      </c>
      <c r="T2078" s="9">
        <f>IF(OR(Q2078="",Q2078=0),"",(S2078-Q2078)/Q2078)</f>
        <v/>
      </c>
      <c r="U2078" s="7">
        <f>IF(COUNT(D2078:P2078)=0,"",INDEX($D$1:$P$1,MATCH(MIN(D2078:P2078),D2078:P2078,0)))</f>
        <v/>
      </c>
      <c r="V2078" s="8" t="n">
        <v>310</v>
      </c>
      <c r="W2078" s="10" t="n">
        <v>1</v>
      </c>
    </row>
    <row r="2079">
      <c r="A2079" s="7" t="inlineStr">
        <is>
          <t>MAT-32-732</t>
        </is>
      </c>
      <c r="B2079" s="4" t="inlineStr">
        <is>
          <t>Rejilla de piso 100 x 100 cm</t>
        </is>
      </c>
      <c r="C2079" s="7" t="inlineStr">
        <is>
          <t>unidad</t>
        </is>
      </c>
      <c r="D2079" s="8" t="n"/>
      <c r="E2079" s="8" t="n"/>
      <c r="F2079" s="8" t="n"/>
      <c r="G2079" s="8" t="n">
        <v>1173</v>
      </c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>
        <f>IF(COUNT(D2079:P2079)=0,"",MIN(D2079:P2079))</f>
        <v/>
      </c>
      <c r="R2079" s="8">
        <f>IF(COUNT(D2079:P2079)=0,"",MEDIAN(D2079:P2079))</f>
        <v/>
      </c>
      <c r="S2079" s="8">
        <f>IF(COUNT(D2079:P2079)=0,"",MAX(D2079:P2079))</f>
        <v/>
      </c>
      <c r="T2079" s="9">
        <f>IF(OR(Q2079="",Q2079=0),"",(S2079-Q2079)/Q2079)</f>
        <v/>
      </c>
      <c r="U2079" s="7">
        <f>IF(COUNT(D2079:P2079)=0,"",INDEX($D$1:$P$1,MATCH(MIN(D2079:P2079),D2079:P2079,0)))</f>
        <v/>
      </c>
      <c r="V2079" s="8" t="n">
        <v>1173</v>
      </c>
      <c r="W2079" s="10" t="n">
        <v>1</v>
      </c>
    </row>
    <row r="2080">
      <c r="A2080" s="7" t="inlineStr">
        <is>
          <t>MAT-32-733</t>
        </is>
      </c>
      <c r="B2080" s="4" t="inlineStr">
        <is>
          <t>Rejilla de piso 10"</t>
        </is>
      </c>
      <c r="C2080" s="7" t="inlineStr">
        <is>
          <t>unidad</t>
        </is>
      </c>
      <c r="D2080" s="8" t="n"/>
      <c r="E2080" s="8" t="n"/>
      <c r="F2080" s="8" t="n"/>
      <c r="G2080" s="8" t="n">
        <v>968</v>
      </c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>
        <f>IF(COUNT(D2080:P2080)=0,"",MIN(D2080:P2080))</f>
        <v/>
      </c>
      <c r="R2080" s="8">
        <f>IF(COUNT(D2080:P2080)=0,"",MEDIAN(D2080:P2080))</f>
        <v/>
      </c>
      <c r="S2080" s="8">
        <f>IF(COUNT(D2080:P2080)=0,"",MAX(D2080:P2080))</f>
        <v/>
      </c>
      <c r="T2080" s="9">
        <f>IF(OR(Q2080="",Q2080=0),"",(S2080-Q2080)/Q2080)</f>
        <v/>
      </c>
      <c r="U2080" s="7">
        <f>IF(COUNT(D2080:P2080)=0,"",INDEX($D$1:$P$1,MATCH(MIN(D2080:P2080),D2080:P2080,0)))</f>
        <v/>
      </c>
      <c r="V2080" s="8" t="n">
        <v>1196</v>
      </c>
      <c r="W2080" s="10" t="n">
        <v>1</v>
      </c>
    </row>
    <row r="2081">
      <c r="A2081" s="7" t="inlineStr">
        <is>
          <t>MAT-32-734</t>
        </is>
      </c>
      <c r="B2081" s="4" t="inlineStr">
        <is>
          <t>Rejilla de piso 15 x 15 cm</t>
        </is>
      </c>
      <c r="C2081" s="7" t="inlineStr">
        <is>
          <t>unidad</t>
        </is>
      </c>
      <c r="D2081" s="8" t="n"/>
      <c r="E2081" s="8" t="n"/>
      <c r="F2081" s="8" t="n"/>
      <c r="G2081" s="8" t="n">
        <v>413</v>
      </c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>
        <f>IF(COUNT(D2081:P2081)=0,"",MIN(D2081:P2081))</f>
        <v/>
      </c>
      <c r="R2081" s="8">
        <f>IF(COUNT(D2081:P2081)=0,"",MEDIAN(D2081:P2081))</f>
        <v/>
      </c>
      <c r="S2081" s="8">
        <f>IF(COUNT(D2081:P2081)=0,"",MAX(D2081:P2081))</f>
        <v/>
      </c>
      <c r="T2081" s="9">
        <f>IF(OR(Q2081="",Q2081=0),"",(S2081-Q2081)/Q2081)</f>
        <v/>
      </c>
      <c r="U2081" s="7">
        <f>IF(COUNT(D2081:P2081)=0,"",INDEX($D$1:$P$1,MATCH(MIN(D2081:P2081),D2081:P2081,0)))</f>
        <v/>
      </c>
      <c r="V2081" s="8" t="n">
        <v>1233.5</v>
      </c>
      <c r="W2081" s="10" t="n">
        <v>1</v>
      </c>
    </row>
    <row r="2082">
      <c r="A2082" s="7" t="inlineStr">
        <is>
          <t>MAT-32-735</t>
        </is>
      </c>
      <c r="B2082" s="4" t="inlineStr">
        <is>
          <t>Rejilla de piso 20 x 20 cm</t>
        </is>
      </c>
      <c r="C2082" s="7" t="inlineStr">
        <is>
          <t>unidad</t>
        </is>
      </c>
      <c r="D2082" s="8" t="n"/>
      <c r="E2082" s="8" t="n"/>
      <c r="F2082" s="8" t="n"/>
      <c r="G2082" s="8" t="n">
        <v>572</v>
      </c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>
        <f>IF(COUNT(D2082:P2082)=0,"",MIN(D2082:P2082))</f>
        <v/>
      </c>
      <c r="R2082" s="8">
        <f>IF(COUNT(D2082:P2082)=0,"",MEDIAN(D2082:P2082))</f>
        <v/>
      </c>
      <c r="S2082" s="8">
        <f>IF(COUNT(D2082:P2082)=0,"",MAX(D2082:P2082))</f>
        <v/>
      </c>
      <c r="T2082" s="9">
        <f>IF(OR(Q2082="",Q2082=0),"",(S2082-Q2082)/Q2082)</f>
        <v/>
      </c>
      <c r="U2082" s="7">
        <f>IF(COUNT(D2082:P2082)=0,"",INDEX($D$1:$P$1,MATCH(MIN(D2082:P2082),D2082:P2082,0)))</f>
        <v/>
      </c>
      <c r="V2082" s="8" t="n">
        <v>572</v>
      </c>
      <c r="W2082" s="10" t="n">
        <v>1</v>
      </c>
    </row>
    <row r="2083">
      <c r="A2083" s="7" t="inlineStr">
        <is>
          <t>MAT-32-736</t>
        </is>
      </c>
      <c r="B2083" s="4" t="inlineStr">
        <is>
          <t>Rejilla de piso 2"</t>
        </is>
      </c>
      <c r="C2083" s="7" t="inlineStr">
        <is>
          <t>unidad</t>
        </is>
      </c>
      <c r="D2083" s="8" t="n"/>
      <c r="E2083" s="8" t="n"/>
      <c r="F2083" s="8" t="n"/>
      <c r="G2083" s="8" t="n">
        <v>199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>
        <f>IF(COUNT(D2083:P2083)=0,"",MIN(D2083:P2083))</f>
        <v/>
      </c>
      <c r="R2083" s="8">
        <f>IF(COUNT(D2083:P2083)=0,"",MEDIAN(D2083:P2083))</f>
        <v/>
      </c>
      <c r="S2083" s="8">
        <f>IF(COUNT(D2083:P2083)=0,"",MAX(D2083:P2083))</f>
        <v/>
      </c>
      <c r="T2083" s="9">
        <f>IF(OR(Q2083="",Q2083=0),"",(S2083-Q2083)/Q2083)</f>
        <v/>
      </c>
      <c r="U2083" s="7">
        <f>IF(COUNT(D2083:P2083)=0,"",INDEX($D$1:$P$1,MATCH(MIN(D2083:P2083),D2083:P2083,0)))</f>
        <v/>
      </c>
      <c r="V2083" s="8" t="n">
        <v>648</v>
      </c>
      <c r="W2083" s="10" t="n">
        <v>1</v>
      </c>
    </row>
    <row r="2084">
      <c r="A2084" s="7" t="inlineStr">
        <is>
          <t>MAT-32-737</t>
        </is>
      </c>
      <c r="B2084" s="4" t="inlineStr">
        <is>
          <t>Rejilla de piso 3 1/2"</t>
        </is>
      </c>
      <c r="C2084" s="7" t="inlineStr">
        <is>
          <t>unidad</t>
        </is>
      </c>
      <c r="D2084" s="8" t="n"/>
      <c r="E2084" s="8" t="n"/>
      <c r="F2084" s="8" t="n"/>
      <c r="G2084" s="8" t="n">
        <v>368</v>
      </c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>
        <f>IF(COUNT(D2084:P2084)=0,"",MIN(D2084:P2084))</f>
        <v/>
      </c>
      <c r="R2084" s="8">
        <f>IF(COUNT(D2084:P2084)=0,"",MEDIAN(D2084:P2084))</f>
        <v/>
      </c>
      <c r="S2084" s="8">
        <f>IF(COUNT(D2084:P2084)=0,"",MAX(D2084:P2084))</f>
        <v/>
      </c>
      <c r="T2084" s="9">
        <f>IF(OR(Q2084="",Q2084=0),"",(S2084-Q2084)/Q2084)</f>
        <v/>
      </c>
      <c r="U2084" s="7">
        <f>IF(COUNT(D2084:P2084)=0,"",INDEX($D$1:$P$1,MATCH(MIN(D2084:P2084),D2084:P2084,0)))</f>
        <v/>
      </c>
      <c r="V2084" s="8" t="n">
        <v>384.5</v>
      </c>
      <c r="W2084" s="10" t="n">
        <v>1</v>
      </c>
    </row>
    <row r="2085">
      <c r="A2085" s="7" t="inlineStr">
        <is>
          <t>MAT-32-738</t>
        </is>
      </c>
      <c r="B2085" s="4" t="inlineStr">
        <is>
          <t>Rejilla de piso 3"</t>
        </is>
      </c>
      <c r="C2085" s="7" t="inlineStr">
        <is>
          <t>unidad</t>
        </is>
      </c>
      <c r="D2085" s="8" t="n"/>
      <c r="E2085" s="8" t="n"/>
      <c r="F2085" s="8" t="n"/>
      <c r="G2085" s="8" t="n">
        <v>356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>
        <f>IF(COUNT(D2085:P2085)=0,"",MIN(D2085:P2085))</f>
        <v/>
      </c>
      <c r="R2085" s="8">
        <f>IF(COUNT(D2085:P2085)=0,"",MEDIAN(D2085:P2085))</f>
        <v/>
      </c>
      <c r="S2085" s="8">
        <f>IF(COUNT(D2085:P2085)=0,"",MAX(D2085:P2085))</f>
        <v/>
      </c>
      <c r="T2085" s="9">
        <f>IF(OR(Q2085="",Q2085=0),"",(S2085-Q2085)/Q2085)</f>
        <v/>
      </c>
      <c r="U2085" s="7">
        <f>IF(COUNT(D2085:P2085)=0,"",INDEX($D$1:$P$1,MATCH(MIN(D2085:P2085),D2085:P2085,0)))</f>
        <v/>
      </c>
      <c r="V2085" s="8" t="n">
        <v>460.5</v>
      </c>
      <c r="W2085" s="10" t="n">
        <v>1</v>
      </c>
    </row>
    <row r="2086">
      <c r="A2086" s="7" t="inlineStr">
        <is>
          <t>MAT-32-739</t>
        </is>
      </c>
      <c r="B2086" s="4" t="inlineStr">
        <is>
          <t>Rejilla de piso 4"</t>
        </is>
      </c>
      <c r="C2086" s="7" t="inlineStr">
        <is>
          <t>unidad</t>
        </is>
      </c>
      <c r="D2086" s="8" t="n"/>
      <c r="E2086" s="8" t="n"/>
      <c r="F2086" s="8" t="n"/>
      <c r="G2086" s="8" t="n">
        <v>453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>
        <f>IF(COUNT(D2086:P2086)=0,"",MIN(D2086:P2086))</f>
        <v/>
      </c>
      <c r="R2086" s="8">
        <f>IF(COUNT(D2086:P2086)=0,"",MEDIAN(D2086:P2086))</f>
        <v/>
      </c>
      <c r="S2086" s="8">
        <f>IF(COUNT(D2086:P2086)=0,"",MAX(D2086:P2086))</f>
        <v/>
      </c>
      <c r="T2086" s="9">
        <f>IF(OR(Q2086="",Q2086=0),"",(S2086-Q2086)/Q2086)</f>
        <v/>
      </c>
      <c r="U2086" s="7">
        <f>IF(COUNT(D2086:P2086)=0,"",INDEX($D$1:$P$1,MATCH(MIN(D2086:P2086),D2086:P2086,0)))</f>
        <v/>
      </c>
      <c r="V2086" s="8" t="n">
        <v>481.5</v>
      </c>
      <c r="W2086" s="10" t="n">
        <v>1</v>
      </c>
    </row>
    <row r="2087">
      <c r="A2087" s="7" t="inlineStr">
        <is>
          <t>MAT-32-740</t>
        </is>
      </c>
      <c r="B2087" s="4" t="inlineStr">
        <is>
          <t>Rejilla de piso 6 x 6"</t>
        </is>
      </c>
      <c r="C2087" s="7" t="inlineStr">
        <is>
          <t>unidad</t>
        </is>
      </c>
      <c r="D2087" s="8" t="n"/>
      <c r="E2087" s="8" t="n"/>
      <c r="F2087" s="8" t="n"/>
      <c r="G2087" s="8" t="n"/>
      <c r="H2087" s="8" t="n"/>
      <c r="I2087" s="8" t="n">
        <v>3129</v>
      </c>
      <c r="J2087" s="8" t="n"/>
      <c r="K2087" s="8" t="n"/>
      <c r="L2087" s="8" t="n"/>
      <c r="M2087" s="8" t="n"/>
      <c r="N2087" s="8" t="n"/>
      <c r="O2087" s="8" t="n"/>
      <c r="P2087" s="8" t="n"/>
      <c r="Q2087" s="8">
        <f>IF(COUNT(D2087:P2087)=0,"",MIN(D2087:P2087))</f>
        <v/>
      </c>
      <c r="R2087" s="8">
        <f>IF(COUNT(D2087:P2087)=0,"",MEDIAN(D2087:P2087))</f>
        <v/>
      </c>
      <c r="S2087" s="8">
        <f>IF(COUNT(D2087:P2087)=0,"",MAX(D2087:P2087))</f>
        <v/>
      </c>
      <c r="T2087" s="9">
        <f>IF(OR(Q2087="",Q2087=0),"",(S2087-Q2087)/Q2087)</f>
        <v/>
      </c>
      <c r="U2087" s="7">
        <f>IF(COUNT(D2087:P2087)=0,"",INDEX($D$1:$P$1,MATCH(MIN(D2087:P2087),D2087:P2087,0)))</f>
        <v/>
      </c>
      <c r="V2087" s="8" t="n">
        <v>3129</v>
      </c>
      <c r="W2087" s="10" t="n">
        <v>1</v>
      </c>
    </row>
    <row r="2088">
      <c r="A2088" s="7" t="inlineStr">
        <is>
          <t>MAT-32-741</t>
        </is>
      </c>
      <c r="B2088" s="4" t="inlineStr">
        <is>
          <t>Rejilla de piso 6"</t>
        </is>
      </c>
      <c r="C2088" s="7" t="inlineStr">
        <is>
          <t>unidad</t>
        </is>
      </c>
      <c r="D2088" s="8" t="n"/>
      <c r="E2088" s="8" t="n"/>
      <c r="F2088" s="8" t="n"/>
      <c r="G2088" s="8" t="n">
        <v>2403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>
        <f>IF(COUNT(D2088:P2088)=0,"",MIN(D2088:P2088))</f>
        <v/>
      </c>
      <c r="R2088" s="8">
        <f>IF(COUNT(D2088:P2088)=0,"",MEDIAN(D2088:P2088))</f>
        <v/>
      </c>
      <c r="S2088" s="8">
        <f>IF(COUNT(D2088:P2088)=0,"",MAX(D2088:P2088))</f>
        <v/>
      </c>
      <c r="T2088" s="9">
        <f>IF(OR(Q2088="",Q2088=0),"",(S2088-Q2088)/Q2088)</f>
        <v/>
      </c>
      <c r="U2088" s="7">
        <f>IF(COUNT(D2088:P2088)=0,"",INDEX($D$1:$P$1,MATCH(MIN(D2088:P2088),D2088:P2088,0)))</f>
        <v/>
      </c>
      <c r="V2088" s="8" t="n">
        <v>2403</v>
      </c>
      <c r="W2088" s="10" t="n">
        <v>1</v>
      </c>
    </row>
    <row r="2089">
      <c r="A2089" s="7" t="inlineStr">
        <is>
          <t>MAT-32-742</t>
        </is>
      </c>
      <c r="B2089" s="4" t="inlineStr">
        <is>
          <t>Rejilla de piso 80 x 80 cm</t>
        </is>
      </c>
      <c r="C2089" s="7" t="inlineStr">
        <is>
          <t>unidad</t>
        </is>
      </c>
      <c r="D2089" s="8" t="n"/>
      <c r="E2089" s="8" t="n"/>
      <c r="F2089" s="8" t="n"/>
      <c r="G2089" s="8" t="n">
        <v>865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>
        <f>IF(COUNT(D2089:P2089)=0,"",MIN(D2089:P2089))</f>
        <v/>
      </c>
      <c r="R2089" s="8">
        <f>IF(COUNT(D2089:P2089)=0,"",MEDIAN(D2089:P2089))</f>
        <v/>
      </c>
      <c r="S2089" s="8">
        <f>IF(COUNT(D2089:P2089)=0,"",MAX(D2089:P2089))</f>
        <v/>
      </c>
      <c r="T2089" s="9">
        <f>IF(OR(Q2089="",Q2089=0),"",(S2089-Q2089)/Q2089)</f>
        <v/>
      </c>
      <c r="U2089" s="7">
        <f>IF(COUNT(D2089:P2089)=0,"",INDEX($D$1:$P$1,MATCH(MIN(D2089:P2089),D2089:P2089,0)))</f>
        <v/>
      </c>
      <c r="V2089" s="8" t="n">
        <v>865</v>
      </c>
      <c r="W2089" s="10" t="n">
        <v>1</v>
      </c>
    </row>
    <row r="2090">
      <c r="A2090" s="7" t="inlineStr">
        <is>
          <t>MAT-32-743</t>
        </is>
      </c>
      <c r="B2090" s="4" t="inlineStr">
        <is>
          <t>Sifón de metal cromado para desagüe 1 1/4"</t>
        </is>
      </c>
      <c r="C2090" s="7" t="inlineStr">
        <is>
          <t>unidad</t>
        </is>
      </c>
      <c r="D2090" s="8" t="n"/>
      <c r="E2090" s="8" t="n"/>
      <c r="F2090" s="8" t="n"/>
      <c r="G2090" s="8" t="n">
        <v>1425</v>
      </c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>
        <f>IF(COUNT(D2090:P2090)=0,"",MIN(D2090:P2090))</f>
        <v/>
      </c>
      <c r="R2090" s="8">
        <f>IF(COUNT(D2090:P2090)=0,"",MEDIAN(D2090:P2090))</f>
        <v/>
      </c>
      <c r="S2090" s="8">
        <f>IF(COUNT(D2090:P2090)=0,"",MAX(D2090:P2090))</f>
        <v/>
      </c>
      <c r="T2090" s="9">
        <f>IF(OR(Q2090="",Q2090=0),"",(S2090-Q2090)/Q2090)</f>
        <v/>
      </c>
      <c r="U2090" s="7">
        <f>IF(COUNT(D2090:P2090)=0,"",INDEX($D$1:$P$1,MATCH(MIN(D2090:P2090),D2090:P2090,0)))</f>
        <v/>
      </c>
      <c r="V2090" s="8" t="n">
        <v>1425</v>
      </c>
      <c r="W2090" s="10" t="n">
        <v>1</v>
      </c>
    </row>
    <row r="2091">
      <c r="A2091" s="7" t="inlineStr">
        <is>
          <t>MAT-32-744</t>
        </is>
      </c>
      <c r="B2091" s="4" t="inlineStr">
        <is>
          <t>Sifón de PVC para desagüe 1 1/2"</t>
        </is>
      </c>
      <c r="C2091" s="7" t="inlineStr">
        <is>
          <t>unidad</t>
        </is>
      </c>
      <c r="D2091" s="8" t="n"/>
      <c r="E2091" s="8" t="n"/>
      <c r="F2091" s="8" t="n"/>
      <c r="G2091" s="8" t="n">
        <v>356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>
        <f>IF(COUNT(D2091:P2091)=0,"",MIN(D2091:P2091))</f>
        <v/>
      </c>
      <c r="R2091" s="8">
        <f>IF(COUNT(D2091:P2091)=0,"",MEDIAN(D2091:P2091))</f>
        <v/>
      </c>
      <c r="S2091" s="8">
        <f>IF(COUNT(D2091:P2091)=0,"",MAX(D2091:P2091))</f>
        <v/>
      </c>
      <c r="T2091" s="9">
        <f>IF(OR(Q2091="",Q2091=0),"",(S2091-Q2091)/Q2091)</f>
        <v/>
      </c>
      <c r="U2091" s="7">
        <f>IF(COUNT(D2091:P2091)=0,"",INDEX($D$1:$P$1,MATCH(MIN(D2091:P2091),D2091:P2091,0)))</f>
        <v/>
      </c>
      <c r="V2091" s="8" t="n">
        <v>501.5</v>
      </c>
      <c r="W2091" s="10" t="n">
        <v>1</v>
      </c>
    </row>
    <row r="2092">
      <c r="A2092" s="7" t="inlineStr">
        <is>
          <t>MAT-32-745</t>
        </is>
      </c>
      <c r="B2092" s="4" t="inlineStr">
        <is>
          <t>Sifón de PVC para desagüe 2"</t>
        </is>
      </c>
      <c r="C2092" s="7" t="inlineStr">
        <is>
          <t>unidad</t>
        </is>
      </c>
      <c r="D2092" s="8" t="n"/>
      <c r="E2092" s="8" t="n"/>
      <c r="F2092" s="8" t="n"/>
      <c r="G2092" s="8" t="n">
        <v>225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>
        <f>IF(COUNT(D2092:P2092)=0,"",MIN(D2092:P2092))</f>
        <v/>
      </c>
      <c r="R2092" s="8">
        <f>IF(COUNT(D2092:P2092)=0,"",MEDIAN(D2092:P2092))</f>
        <v/>
      </c>
      <c r="S2092" s="8">
        <f>IF(COUNT(D2092:P2092)=0,"",MAX(D2092:P2092))</f>
        <v/>
      </c>
      <c r="T2092" s="9">
        <f>IF(OR(Q2092="",Q2092=0),"",(S2092-Q2092)/Q2092)</f>
        <v/>
      </c>
      <c r="U2092" s="7">
        <f>IF(COUNT(D2092:P2092)=0,"",INDEX($D$1:$P$1,MATCH(MIN(D2092:P2092),D2092:P2092,0)))</f>
        <v/>
      </c>
      <c r="V2092" s="8" t="n">
        <v>225</v>
      </c>
      <c r="W2092" s="10" t="n">
        <v>1</v>
      </c>
    </row>
    <row r="2093">
      <c r="A2093" s="7" t="inlineStr">
        <is>
          <t>MAT-32-746</t>
        </is>
      </c>
      <c r="B2093" s="4" t="inlineStr">
        <is>
          <t>Sifón de PVC para fregadero 1 1/2"</t>
        </is>
      </c>
      <c r="C2093" s="7" t="inlineStr">
        <is>
          <t>unidad</t>
        </is>
      </c>
      <c r="D2093" s="8" t="n"/>
      <c r="E2093" s="8" t="n"/>
      <c r="F2093" s="8" t="n"/>
      <c r="G2093" s="8" t="n">
        <v>475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>
        <f>IF(COUNT(D2093:P2093)=0,"",MIN(D2093:P2093))</f>
        <v/>
      </c>
      <c r="R2093" s="8">
        <f>IF(COUNT(D2093:P2093)=0,"",MEDIAN(D2093:P2093))</f>
        <v/>
      </c>
      <c r="S2093" s="8">
        <f>IF(COUNT(D2093:P2093)=0,"",MAX(D2093:P2093))</f>
        <v/>
      </c>
      <c r="T2093" s="9">
        <f>IF(OR(Q2093="",Q2093=0),"",(S2093-Q2093)/Q2093)</f>
        <v/>
      </c>
      <c r="U2093" s="7">
        <f>IF(COUNT(D2093:P2093)=0,"",INDEX($D$1:$P$1,MATCH(MIN(D2093:P2093),D2093:P2093,0)))</f>
        <v/>
      </c>
      <c r="V2093" s="8" t="n">
        <v>475</v>
      </c>
      <c r="W2093" s="10" t="n">
        <v>1</v>
      </c>
    </row>
    <row r="2094">
      <c r="A2094" s="7" t="inlineStr">
        <is>
          <t>MAT-32-747</t>
        </is>
      </c>
      <c r="B2094" s="4" t="inlineStr">
        <is>
          <t>Sifón de PVC para fregadero 1 1/4"</t>
        </is>
      </c>
      <c r="C2094" s="7" t="inlineStr">
        <is>
          <t>unidad</t>
        </is>
      </c>
      <c r="D2094" s="8" t="n"/>
      <c r="E2094" s="8" t="n"/>
      <c r="F2094" s="8" t="n"/>
      <c r="G2094" s="8" t="n">
        <v>585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>
        <f>IF(COUNT(D2094:P2094)=0,"",MIN(D2094:P2094))</f>
        <v/>
      </c>
      <c r="R2094" s="8">
        <f>IF(COUNT(D2094:P2094)=0,"",MEDIAN(D2094:P2094))</f>
        <v/>
      </c>
      <c r="S2094" s="8">
        <f>IF(COUNT(D2094:P2094)=0,"",MAX(D2094:P2094))</f>
        <v/>
      </c>
      <c r="T2094" s="9">
        <f>IF(OR(Q2094="",Q2094=0),"",(S2094-Q2094)/Q2094)</f>
        <v/>
      </c>
      <c r="U2094" s="7">
        <f>IF(COUNT(D2094:P2094)=0,"",INDEX($D$1:$P$1,MATCH(MIN(D2094:P2094),D2094:P2094,0)))</f>
        <v/>
      </c>
      <c r="V2094" s="8" t="n">
        <v>585</v>
      </c>
      <c r="W2094" s="10" t="n">
        <v>1</v>
      </c>
    </row>
    <row r="2095">
      <c r="A2095" s="7" t="inlineStr">
        <is>
          <t>MAT-32-748</t>
        </is>
      </c>
      <c r="B2095" s="4" t="inlineStr">
        <is>
          <t>Sifón de metal para lavamanos 1 1/2"</t>
        </is>
      </c>
      <c r="C2095" s="7" t="inlineStr">
        <is>
          <t>unidad</t>
        </is>
      </c>
      <c r="D2095" s="8" t="n"/>
      <c r="E2095" s="8" t="n">
        <v>1252</v>
      </c>
      <c r="F2095" s="8" t="n"/>
      <c r="G2095" s="8" t="n"/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>
        <f>IF(COUNT(D2095:P2095)=0,"",MIN(D2095:P2095))</f>
        <v/>
      </c>
      <c r="R2095" s="8">
        <f>IF(COUNT(D2095:P2095)=0,"",MEDIAN(D2095:P2095))</f>
        <v/>
      </c>
      <c r="S2095" s="8">
        <f>IF(COUNT(D2095:P2095)=0,"",MAX(D2095:P2095))</f>
        <v/>
      </c>
      <c r="T2095" s="9">
        <f>IF(OR(Q2095="",Q2095=0),"",(S2095-Q2095)/Q2095)</f>
        <v/>
      </c>
      <c r="U2095" s="7">
        <f>IF(COUNT(D2095:P2095)=0,"",INDEX($D$1:$P$1,MATCH(MIN(D2095:P2095),D2095:P2095,0)))</f>
        <v/>
      </c>
      <c r="V2095" s="8" t="n">
        <v>1252</v>
      </c>
      <c r="W2095" s="10" t="n">
        <v>1</v>
      </c>
    </row>
    <row r="2096">
      <c r="A2096" s="7" t="inlineStr">
        <is>
          <t>MAT-32-749</t>
        </is>
      </c>
      <c r="B2096" s="4" t="inlineStr">
        <is>
          <t>Sifón de metal para lavamanos 1 1/4"</t>
        </is>
      </c>
      <c r="C2096" s="7" t="inlineStr">
        <is>
          <t>unidad</t>
        </is>
      </c>
      <c r="D2096" s="8" t="n"/>
      <c r="E2096" s="8" t="n">
        <v>1274</v>
      </c>
      <c r="F2096" s="8" t="n"/>
      <c r="G2096" s="8" t="n"/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>
        <f>IF(COUNT(D2096:P2096)=0,"",MIN(D2096:P2096))</f>
        <v/>
      </c>
      <c r="R2096" s="8">
        <f>IF(COUNT(D2096:P2096)=0,"",MEDIAN(D2096:P2096))</f>
        <v/>
      </c>
      <c r="S2096" s="8">
        <f>IF(COUNT(D2096:P2096)=0,"",MAX(D2096:P2096))</f>
        <v/>
      </c>
      <c r="T2096" s="9">
        <f>IF(OR(Q2096="",Q2096=0),"",(S2096-Q2096)/Q2096)</f>
        <v/>
      </c>
      <c r="U2096" s="7">
        <f>IF(COUNT(D2096:P2096)=0,"",INDEX($D$1:$P$1,MATCH(MIN(D2096:P2096),D2096:P2096,0)))</f>
        <v/>
      </c>
      <c r="V2096" s="8" t="n">
        <v>1274</v>
      </c>
      <c r="W2096" s="10" t="n">
        <v>1</v>
      </c>
    </row>
    <row r="2097">
      <c r="A2097" s="7" t="inlineStr">
        <is>
          <t>MAT-32-750</t>
        </is>
      </c>
      <c r="B2097" s="4" t="inlineStr">
        <is>
          <t>Sifón de metal para lavamanos 1/4"</t>
        </is>
      </c>
      <c r="C2097" s="7" t="inlineStr">
        <is>
          <t>unidad</t>
        </is>
      </c>
      <c r="D2097" s="8" t="n"/>
      <c r="E2097" s="8" t="n"/>
      <c r="F2097" s="8" t="n"/>
      <c r="G2097" s="8" t="n"/>
      <c r="H2097" s="8" t="n"/>
      <c r="I2097" s="8" t="n">
        <v>925</v>
      </c>
      <c r="J2097" s="8" t="n"/>
      <c r="K2097" s="8" t="n"/>
      <c r="L2097" s="8" t="n"/>
      <c r="M2097" s="8" t="n"/>
      <c r="N2097" s="8" t="n"/>
      <c r="O2097" s="8" t="n"/>
      <c r="P2097" s="8" t="n"/>
      <c r="Q2097" s="8">
        <f>IF(COUNT(D2097:P2097)=0,"",MIN(D2097:P2097))</f>
        <v/>
      </c>
      <c r="R2097" s="8">
        <f>IF(COUNT(D2097:P2097)=0,"",MEDIAN(D2097:P2097))</f>
        <v/>
      </c>
      <c r="S2097" s="8">
        <f>IF(COUNT(D2097:P2097)=0,"",MAX(D2097:P2097))</f>
        <v/>
      </c>
      <c r="T2097" s="9">
        <f>IF(OR(Q2097="",Q2097=0),"",(S2097-Q2097)/Q2097)</f>
        <v/>
      </c>
      <c r="U2097" s="7">
        <f>IF(COUNT(D2097:P2097)=0,"",INDEX($D$1:$P$1,MATCH(MIN(D2097:P2097),D2097:P2097,0)))</f>
        <v/>
      </c>
      <c r="V2097" s="8" t="n">
        <v>925</v>
      </c>
      <c r="W2097" s="10" t="n">
        <v>1</v>
      </c>
    </row>
    <row r="2098">
      <c r="A2098" s="7" t="inlineStr">
        <is>
          <t>MAT-32-751</t>
        </is>
      </c>
      <c r="B2098" s="4" t="inlineStr">
        <is>
          <t>Sifón de PVC para lavamanos 1 1/2"</t>
        </is>
      </c>
      <c r="C2098" s="7" t="inlineStr">
        <is>
          <t>unidad</t>
        </is>
      </c>
      <c r="D2098" s="8" t="n"/>
      <c r="E2098" s="8" t="n">
        <v>70.38</v>
      </c>
      <c r="F2098" s="8" t="n"/>
      <c r="G2098" s="8" t="n"/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>
        <f>IF(COUNT(D2098:P2098)=0,"",MIN(D2098:P2098))</f>
        <v/>
      </c>
      <c r="R2098" s="8">
        <f>IF(COUNT(D2098:P2098)=0,"",MEDIAN(D2098:P2098))</f>
        <v/>
      </c>
      <c r="S2098" s="8">
        <f>IF(COUNT(D2098:P2098)=0,"",MAX(D2098:P2098))</f>
        <v/>
      </c>
      <c r="T2098" s="9">
        <f>IF(OR(Q2098="",Q2098=0),"",(S2098-Q2098)/Q2098)</f>
        <v/>
      </c>
      <c r="U2098" s="7">
        <f>IF(COUNT(D2098:P2098)=0,"",INDEX($D$1:$P$1,MATCH(MIN(D2098:P2098),D2098:P2098,0)))</f>
        <v/>
      </c>
      <c r="V2098" s="8" t="n">
        <v>150</v>
      </c>
      <c r="W2098" s="10" t="n">
        <v>1</v>
      </c>
    </row>
    <row r="2099">
      <c r="A2099" s="7" t="inlineStr">
        <is>
          <t>MAT-32-752</t>
        </is>
      </c>
      <c r="B2099" s="4" t="inlineStr">
        <is>
          <t>Sifón de PVC para lavamanos 1 1/4"</t>
        </is>
      </c>
      <c r="C2099" s="7" t="inlineStr">
        <is>
          <t>unidad</t>
        </is>
      </c>
      <c r="D2099" s="8" t="n"/>
      <c r="E2099" s="8" t="n">
        <v>93.86</v>
      </c>
      <c r="F2099" s="8" t="n"/>
      <c r="G2099" s="8" t="n"/>
      <c r="H2099" s="8" t="n"/>
      <c r="I2099" s="8" t="n">
        <v>345</v>
      </c>
      <c r="J2099" s="8" t="n"/>
      <c r="K2099" s="8" t="n"/>
      <c r="L2099" s="8" t="n"/>
      <c r="M2099" s="8" t="n"/>
      <c r="N2099" s="8" t="n"/>
      <c r="O2099" s="8" t="n"/>
      <c r="P2099" s="8" t="n"/>
      <c r="Q2099" s="8">
        <f>IF(COUNT(D2099:P2099)=0,"",MIN(D2099:P2099))</f>
        <v/>
      </c>
      <c r="R2099" s="8">
        <f>IF(COUNT(D2099:P2099)=0,"",MEDIAN(D2099:P2099))</f>
        <v/>
      </c>
      <c r="S2099" s="8">
        <f>IF(COUNT(D2099:P2099)=0,"",MAX(D2099:P2099))</f>
        <v/>
      </c>
      <c r="T2099" s="9">
        <f>IF(OR(Q2099="",Q2099=0),"",(S2099-Q2099)/Q2099)</f>
        <v/>
      </c>
      <c r="U2099" s="7">
        <f>IF(COUNT(D2099:P2099)=0,"",INDEX($D$1:$P$1,MATCH(MIN(D2099:P2099),D2099:P2099,0)))</f>
        <v/>
      </c>
      <c r="V2099" s="8" t="n">
        <v>312.5</v>
      </c>
      <c r="W2099" s="10" t="n">
        <v>2</v>
      </c>
    </row>
    <row r="2100">
      <c r="A2100" s="7" t="inlineStr">
        <is>
          <t>MAT-32-753</t>
        </is>
      </c>
      <c r="B2100" s="4" t="inlineStr">
        <is>
          <t>Sifón de PVC para lavamanos 2"</t>
        </is>
      </c>
      <c r="C2100" s="7" t="inlineStr">
        <is>
          <t>unidad</t>
        </is>
      </c>
      <c r="D2100" s="8" t="n"/>
      <c r="E2100" s="8" t="n">
        <v>81.5</v>
      </c>
      <c r="F2100" s="8" t="n"/>
      <c r="G2100" s="8" t="n"/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>
        <f>IF(COUNT(D2100:P2100)=0,"",MIN(D2100:P2100))</f>
        <v/>
      </c>
      <c r="R2100" s="8">
        <f>IF(COUNT(D2100:P2100)=0,"",MEDIAN(D2100:P2100))</f>
        <v/>
      </c>
      <c r="S2100" s="8">
        <f>IF(COUNT(D2100:P2100)=0,"",MAX(D2100:P2100))</f>
        <v/>
      </c>
      <c r="T2100" s="9">
        <f>IF(OR(Q2100="",Q2100=0),"",(S2100-Q2100)/Q2100)</f>
        <v/>
      </c>
      <c r="U2100" s="7">
        <f>IF(COUNT(D2100:P2100)=0,"",INDEX($D$1:$P$1,MATCH(MIN(D2100:P2100),D2100:P2100,0)))</f>
        <v/>
      </c>
      <c r="V2100" s="8" t="n">
        <v>96.84999999999999</v>
      </c>
      <c r="W2100" s="10" t="n">
        <v>1</v>
      </c>
    </row>
    <row r="2101">
      <c r="A2101" s="7" t="inlineStr">
        <is>
          <t>MAT-32-754</t>
        </is>
      </c>
      <c r="B2101" s="4" t="inlineStr">
        <is>
          <t>Boquilla de desagüe de metal para fregadero</t>
        </is>
      </c>
      <c r="C2101" s="7" t="inlineStr">
        <is>
          <t>unidad</t>
        </is>
      </c>
      <c r="D2101" s="8" t="n"/>
      <c r="E2101" s="8" t="n"/>
      <c r="F2101" s="8" t="n"/>
      <c r="G2101" s="8" t="n">
        <v>470</v>
      </c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>
        <f>IF(COUNT(D2101:P2101)=0,"",MIN(D2101:P2101))</f>
        <v/>
      </c>
      <c r="R2101" s="8">
        <f>IF(COUNT(D2101:P2101)=0,"",MEDIAN(D2101:P2101))</f>
        <v/>
      </c>
      <c r="S2101" s="8">
        <f>IF(COUNT(D2101:P2101)=0,"",MAX(D2101:P2101))</f>
        <v/>
      </c>
      <c r="T2101" s="9">
        <f>IF(OR(Q2101="",Q2101=0),"",(S2101-Q2101)/Q2101)</f>
        <v/>
      </c>
      <c r="U2101" s="7">
        <f>IF(COUNT(D2101:P2101)=0,"",INDEX($D$1:$P$1,MATCH(MIN(D2101:P2101),D2101:P2101,0)))</f>
        <v/>
      </c>
      <c r="V2101" s="8" t="n">
        <v>470</v>
      </c>
      <c r="W2101" s="10" t="n">
        <v>1</v>
      </c>
    </row>
    <row r="2102">
      <c r="A2102" s="7" t="inlineStr">
        <is>
          <t>MAT-32-755</t>
        </is>
      </c>
      <c r="B2102" s="4" t="inlineStr">
        <is>
          <t>Boquilla de desagüe de plástico para fregadero</t>
        </is>
      </c>
      <c r="C2102" s="7" t="inlineStr">
        <is>
          <t>unidad</t>
        </is>
      </c>
      <c r="D2102" s="8" t="n"/>
      <c r="E2102" s="8" t="n"/>
      <c r="F2102" s="8" t="n">
        <v>713.65</v>
      </c>
      <c r="G2102" s="8" t="n">
        <v>285</v>
      </c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>
        <f>IF(COUNT(D2102:P2102)=0,"",MIN(D2102:P2102))</f>
        <v/>
      </c>
      <c r="R2102" s="8">
        <f>IF(COUNT(D2102:P2102)=0,"",MEDIAN(D2102:P2102))</f>
        <v/>
      </c>
      <c r="S2102" s="8">
        <f>IF(COUNT(D2102:P2102)=0,"",MAX(D2102:P2102))</f>
        <v/>
      </c>
      <c r="T2102" s="9">
        <f>IF(OR(Q2102="",Q2102=0),"",(S2102-Q2102)/Q2102)</f>
        <v/>
      </c>
      <c r="U2102" s="7">
        <f>IF(COUNT(D2102:P2102)=0,"",INDEX($D$1:$P$1,MATCH(MIN(D2102:P2102),D2102:P2102,0)))</f>
        <v/>
      </c>
      <c r="V2102" s="8" t="n">
        <v>563.55</v>
      </c>
      <c r="W2102" s="10" t="n">
        <v>2</v>
      </c>
    </row>
    <row r="2103">
      <c r="A2103" s="7" t="inlineStr">
        <is>
          <t>MAT-32-756</t>
        </is>
      </c>
      <c r="B2103" s="4" t="inlineStr">
        <is>
          <t>Boquilla de desagüe de metal para lavadero</t>
        </is>
      </c>
      <c r="C2103" s="7" t="inlineStr">
        <is>
          <t>unidad</t>
        </is>
      </c>
      <c r="D2103" s="8" t="n"/>
      <c r="E2103" s="8" t="n"/>
      <c r="F2103" s="8" t="n"/>
      <c r="G2103" s="8" t="n">
        <v>429</v>
      </c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>
        <f>IF(COUNT(D2103:P2103)=0,"",MIN(D2103:P2103))</f>
        <v/>
      </c>
      <c r="R2103" s="8">
        <f>IF(COUNT(D2103:P2103)=0,"",MEDIAN(D2103:P2103))</f>
        <v/>
      </c>
      <c r="S2103" s="8">
        <f>IF(COUNT(D2103:P2103)=0,"",MAX(D2103:P2103))</f>
        <v/>
      </c>
      <c r="T2103" s="9">
        <f>IF(OR(Q2103="",Q2103=0),"",(S2103-Q2103)/Q2103)</f>
        <v/>
      </c>
      <c r="U2103" s="7">
        <f>IF(COUNT(D2103:P2103)=0,"",INDEX($D$1:$P$1,MATCH(MIN(D2103:P2103),D2103:P2103,0)))</f>
        <v/>
      </c>
      <c r="V2103" s="8" t="n">
        <v>429</v>
      </c>
      <c r="W2103" s="10" t="n">
        <v>1</v>
      </c>
    </row>
    <row r="2104">
      <c r="A2104" s="7" t="inlineStr">
        <is>
          <t>MAT-32-757</t>
        </is>
      </c>
      <c r="B2104" s="4" t="inlineStr">
        <is>
          <t>Boquilla de desagüe de metal para lavamanos</t>
        </is>
      </c>
      <c r="C2104" s="7" t="inlineStr">
        <is>
          <t>unidad</t>
        </is>
      </c>
      <c r="D2104" s="8" t="n"/>
      <c r="E2104" s="8" t="n"/>
      <c r="F2104" s="8" t="n"/>
      <c r="G2104" s="8" t="n">
        <v>255</v>
      </c>
      <c r="H2104" s="8" t="n">
        <v>1500</v>
      </c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>
        <f>IF(COUNT(D2104:P2104)=0,"",MIN(D2104:P2104))</f>
        <v/>
      </c>
      <c r="R2104" s="8">
        <f>IF(COUNT(D2104:P2104)=0,"",MEDIAN(D2104:P2104))</f>
        <v/>
      </c>
      <c r="S2104" s="8">
        <f>IF(COUNT(D2104:P2104)=0,"",MAX(D2104:P2104))</f>
        <v/>
      </c>
      <c r="T2104" s="9">
        <f>IF(OR(Q2104="",Q2104=0),"",(S2104-Q2104)/Q2104)</f>
        <v/>
      </c>
      <c r="U2104" s="7">
        <f>IF(COUNT(D2104:P2104)=0,"",INDEX($D$1:$P$1,MATCH(MIN(D2104:P2104),D2104:P2104,0)))</f>
        <v/>
      </c>
      <c r="V2104" s="8" t="n">
        <v>1145</v>
      </c>
      <c r="W2104" s="10" t="n">
        <v>2</v>
      </c>
    </row>
    <row r="2105">
      <c r="A2105" s="7" t="inlineStr">
        <is>
          <t>MAT-32-758</t>
        </is>
      </c>
      <c r="B2105" s="4" t="inlineStr">
        <is>
          <t>Boquilla de desagüe de plástico para lavamanos</t>
        </is>
      </c>
      <c r="C2105" s="7" t="inlineStr">
        <is>
          <t>unidad</t>
        </is>
      </c>
      <c r="D2105" s="8" t="n"/>
      <c r="E2105" s="8" t="n"/>
      <c r="F2105" s="8" t="n">
        <v>367.2</v>
      </c>
      <c r="G2105" s="8" t="n"/>
      <c r="H2105" s="8" t="n">
        <v>265.5</v>
      </c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>
        <f>IF(COUNT(D2105:P2105)=0,"",MIN(D2105:P2105))</f>
        <v/>
      </c>
      <c r="R2105" s="8">
        <f>IF(COUNT(D2105:P2105)=0,"",MEDIAN(D2105:P2105))</f>
        <v/>
      </c>
      <c r="S2105" s="8">
        <f>IF(COUNT(D2105:P2105)=0,"",MAX(D2105:P2105))</f>
        <v/>
      </c>
      <c r="T2105" s="9">
        <f>IF(OR(Q2105="",Q2105=0),"",(S2105-Q2105)/Q2105)</f>
        <v/>
      </c>
      <c r="U2105" s="7">
        <f>IF(COUNT(D2105:P2105)=0,"",INDEX($D$1:$P$1,MATCH(MIN(D2105:P2105),D2105:P2105,0)))</f>
        <v/>
      </c>
      <c r="V2105" s="8" t="n">
        <v>955.51</v>
      </c>
      <c r="W2105" s="10" t="n">
        <v>2</v>
      </c>
    </row>
    <row r="2106">
      <c r="A2106" s="7" t="inlineStr">
        <is>
          <t>MAT-32-759</t>
        </is>
      </c>
      <c r="B2106" s="4" t="inlineStr">
        <is>
          <t>Manguera para bomba 24"</t>
        </is>
      </c>
      <c r="C2106" s="7" t="inlineStr">
        <is>
          <t>unidad</t>
        </is>
      </c>
      <c r="D2106" s="8" t="n"/>
      <c r="E2106" s="8" t="n"/>
      <c r="F2106" s="8" t="n"/>
      <c r="G2106" s="8" t="n">
        <v>970</v>
      </c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>
        <f>IF(COUNT(D2106:P2106)=0,"",MIN(D2106:P2106))</f>
        <v/>
      </c>
      <c r="R2106" s="8">
        <f>IF(COUNT(D2106:P2106)=0,"",MEDIAN(D2106:P2106))</f>
        <v/>
      </c>
      <c r="S2106" s="8">
        <f>IF(COUNT(D2106:P2106)=0,"",MAX(D2106:P2106))</f>
        <v/>
      </c>
      <c r="T2106" s="9">
        <f>IF(OR(Q2106="",Q2106=0),"",(S2106-Q2106)/Q2106)</f>
        <v/>
      </c>
      <c r="U2106" s="7">
        <f>IF(COUNT(D2106:P2106)=0,"",INDEX($D$1:$P$1,MATCH(MIN(D2106:P2106),D2106:P2106,0)))</f>
        <v/>
      </c>
      <c r="V2106" s="8" t="n">
        <v>970</v>
      </c>
      <c r="W2106" s="10" t="n">
        <v>1</v>
      </c>
    </row>
    <row r="2107">
      <c r="A2107" s="7" t="inlineStr">
        <is>
          <t>MAT-32-760</t>
        </is>
      </c>
      <c r="B2107" s="4" t="inlineStr">
        <is>
          <t>Manguera para bomba 36"</t>
        </is>
      </c>
      <c r="C2107" s="7" t="inlineStr">
        <is>
          <t>unidad</t>
        </is>
      </c>
      <c r="D2107" s="8" t="n"/>
      <c r="E2107" s="8" t="n"/>
      <c r="F2107" s="8" t="n"/>
      <c r="G2107" s="8" t="n">
        <v>475</v>
      </c>
      <c r="H2107" s="8" t="n"/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>
        <f>IF(COUNT(D2107:P2107)=0,"",MIN(D2107:P2107))</f>
        <v/>
      </c>
      <c r="R2107" s="8">
        <f>IF(COUNT(D2107:P2107)=0,"",MEDIAN(D2107:P2107))</f>
        <v/>
      </c>
      <c r="S2107" s="8">
        <f>IF(COUNT(D2107:P2107)=0,"",MAX(D2107:P2107))</f>
        <v/>
      </c>
      <c r="T2107" s="9">
        <f>IF(OR(Q2107="",Q2107=0),"",(S2107-Q2107)/Q2107)</f>
        <v/>
      </c>
      <c r="U2107" s="7">
        <f>IF(COUNT(D2107:P2107)=0,"",INDEX($D$1:$P$1,MATCH(MIN(D2107:P2107),D2107:P2107,0)))</f>
        <v/>
      </c>
      <c r="V2107" s="8" t="n">
        <v>475</v>
      </c>
      <c r="W2107" s="10" t="n">
        <v>1</v>
      </c>
    </row>
    <row r="2108">
      <c r="A2108" s="7" t="inlineStr">
        <is>
          <t>MAT-32-761</t>
        </is>
      </c>
      <c r="B2108" s="4" t="inlineStr">
        <is>
          <t>Manguera para calentador 24"</t>
        </is>
      </c>
      <c r="C2108" s="7" t="inlineStr">
        <is>
          <t>unidad</t>
        </is>
      </c>
      <c r="D2108" s="8" t="n"/>
      <c r="E2108" s="8" t="n"/>
      <c r="F2108" s="8" t="n"/>
      <c r="G2108" s="8" t="n">
        <v>895</v>
      </c>
      <c r="H2108" s="8" t="n"/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>
        <f>IF(COUNT(D2108:P2108)=0,"",MIN(D2108:P2108))</f>
        <v/>
      </c>
      <c r="R2108" s="8">
        <f>IF(COUNT(D2108:P2108)=0,"",MEDIAN(D2108:P2108))</f>
        <v/>
      </c>
      <c r="S2108" s="8">
        <f>IF(COUNT(D2108:P2108)=0,"",MAX(D2108:P2108))</f>
        <v/>
      </c>
      <c r="T2108" s="9">
        <f>IF(OR(Q2108="",Q2108=0),"",(S2108-Q2108)/Q2108)</f>
        <v/>
      </c>
      <c r="U2108" s="7">
        <f>IF(COUNT(D2108:P2108)=0,"",INDEX($D$1:$P$1,MATCH(MIN(D2108:P2108),D2108:P2108,0)))</f>
        <v/>
      </c>
      <c r="V2108" s="8" t="n">
        <v>895</v>
      </c>
      <c r="W2108" s="10" t="n">
        <v>1</v>
      </c>
    </row>
    <row r="2109">
      <c r="A2109" s="7" t="inlineStr">
        <is>
          <t>MAT-32-762</t>
        </is>
      </c>
      <c r="B2109" s="4" t="inlineStr">
        <is>
          <t>Manguera para calentador 3/4" x 1 pulgadas</t>
        </is>
      </c>
      <c r="C2109" s="7" t="inlineStr">
        <is>
          <t>unidad</t>
        </is>
      </c>
      <c r="D2109" s="8" t="n"/>
      <c r="E2109" s="8" t="n"/>
      <c r="F2109" s="8" t="n"/>
      <c r="G2109" s="8" t="n">
        <v>620</v>
      </c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>
        <f>IF(COUNT(D2109:P2109)=0,"",MIN(D2109:P2109))</f>
        <v/>
      </c>
      <c r="R2109" s="8">
        <f>IF(COUNT(D2109:P2109)=0,"",MEDIAN(D2109:P2109))</f>
        <v/>
      </c>
      <c r="S2109" s="8">
        <f>IF(COUNT(D2109:P2109)=0,"",MAX(D2109:P2109))</f>
        <v/>
      </c>
      <c r="T2109" s="9">
        <f>IF(OR(Q2109="",Q2109=0),"",(S2109-Q2109)/Q2109)</f>
        <v/>
      </c>
      <c r="U2109" s="7">
        <f>IF(COUNT(D2109:P2109)=0,"",INDEX($D$1:$P$1,MATCH(MIN(D2109:P2109),D2109:P2109,0)))</f>
        <v/>
      </c>
      <c r="V2109" s="8" t="n">
        <v>620</v>
      </c>
      <c r="W2109" s="10" t="n">
        <v>1</v>
      </c>
    </row>
    <row r="2110">
      <c r="A2110" s="7" t="inlineStr">
        <is>
          <t>MAT-32-763</t>
        </is>
      </c>
      <c r="B2110" s="4" t="inlineStr">
        <is>
          <t>Manguera para calentador 3/4" x 2 pulgadas</t>
        </is>
      </c>
      <c r="C2110" s="7" t="inlineStr">
        <is>
          <t>unidad</t>
        </is>
      </c>
      <c r="D2110" s="8" t="n"/>
      <c r="E2110" s="8" t="n"/>
      <c r="F2110" s="8" t="n"/>
      <c r="G2110" s="8" t="n">
        <v>685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>
        <f>IF(COUNT(D2110:P2110)=0,"",MIN(D2110:P2110))</f>
        <v/>
      </c>
      <c r="R2110" s="8">
        <f>IF(COUNT(D2110:P2110)=0,"",MEDIAN(D2110:P2110))</f>
        <v/>
      </c>
      <c r="S2110" s="8">
        <f>IF(COUNT(D2110:P2110)=0,"",MAX(D2110:P2110))</f>
        <v/>
      </c>
      <c r="T2110" s="9">
        <f>IF(OR(Q2110="",Q2110=0),"",(S2110-Q2110)/Q2110)</f>
        <v/>
      </c>
      <c r="U2110" s="7">
        <f>IF(COUNT(D2110:P2110)=0,"",INDEX($D$1:$P$1,MATCH(MIN(D2110:P2110),D2110:P2110,0)))</f>
        <v/>
      </c>
      <c r="V2110" s="8" t="n">
        <v>878</v>
      </c>
      <c r="W2110" s="10" t="n">
        <v>1</v>
      </c>
    </row>
    <row r="2111">
      <c r="A2111" s="7" t="inlineStr">
        <is>
          <t>MAT-32-764</t>
        </is>
      </c>
      <c r="B2111" s="4" t="inlineStr">
        <is>
          <t>Manguera para calentador 60"</t>
        </is>
      </c>
      <c r="C2111" s="7" t="inlineStr">
        <is>
          <t>unidad</t>
        </is>
      </c>
      <c r="D2111" s="8" t="n"/>
      <c r="E2111" s="8" t="n"/>
      <c r="F2111" s="8" t="n"/>
      <c r="G2111" s="8" t="n">
        <v>1094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>
        <f>IF(COUNT(D2111:P2111)=0,"",MIN(D2111:P2111))</f>
        <v/>
      </c>
      <c r="R2111" s="8">
        <f>IF(COUNT(D2111:P2111)=0,"",MEDIAN(D2111:P2111))</f>
        <v/>
      </c>
      <c r="S2111" s="8">
        <f>IF(COUNT(D2111:P2111)=0,"",MAX(D2111:P2111))</f>
        <v/>
      </c>
      <c r="T2111" s="9">
        <f>IF(OR(Q2111="",Q2111=0),"",(S2111-Q2111)/Q2111)</f>
        <v/>
      </c>
      <c r="U2111" s="7">
        <f>IF(COUNT(D2111:P2111)=0,"",INDEX($D$1:$P$1,MATCH(MIN(D2111:P2111),D2111:P2111,0)))</f>
        <v/>
      </c>
      <c r="V2111" s="8" t="n">
        <v>1094</v>
      </c>
      <c r="W2111" s="10" t="n">
        <v>1</v>
      </c>
    </row>
    <row r="2112">
      <c r="A2112" s="7" t="inlineStr">
        <is>
          <t>MAT-32-765</t>
        </is>
      </c>
      <c r="B2112" s="4" t="inlineStr">
        <is>
          <t>Manguera para gas 12"</t>
        </is>
      </c>
      <c r="C2112" s="7" t="inlineStr">
        <is>
          <t>unidad</t>
        </is>
      </c>
      <c r="D2112" s="8" t="n"/>
      <c r="E2112" s="8" t="n"/>
      <c r="F2112" s="8" t="n"/>
      <c r="G2112" s="8" t="n">
        <v>50</v>
      </c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>
        <f>IF(COUNT(D2112:P2112)=0,"",MIN(D2112:P2112))</f>
        <v/>
      </c>
      <c r="R2112" s="8">
        <f>IF(COUNT(D2112:P2112)=0,"",MEDIAN(D2112:P2112))</f>
        <v/>
      </c>
      <c r="S2112" s="8">
        <f>IF(COUNT(D2112:P2112)=0,"",MAX(D2112:P2112))</f>
        <v/>
      </c>
      <c r="T2112" s="9">
        <f>IF(OR(Q2112="",Q2112=0),"",(S2112-Q2112)/Q2112)</f>
        <v/>
      </c>
      <c r="U2112" s="7">
        <f>IF(COUNT(D2112:P2112)=0,"",INDEX($D$1:$P$1,MATCH(MIN(D2112:P2112),D2112:P2112,0)))</f>
        <v/>
      </c>
      <c r="V2112" s="8" t="n">
        <v>50</v>
      </c>
      <c r="W2112" s="10" t="n">
        <v>1</v>
      </c>
    </row>
    <row r="2113">
      <c r="A2113" s="7" t="inlineStr">
        <is>
          <t>MAT-32-766</t>
        </is>
      </c>
      <c r="B2113" s="4" t="inlineStr">
        <is>
          <t>Manguera para gas 18"</t>
        </is>
      </c>
      <c r="C2113" s="7" t="inlineStr">
        <is>
          <t>unidad</t>
        </is>
      </c>
      <c r="D2113" s="8" t="n"/>
      <c r="E2113" s="8" t="n"/>
      <c r="F2113" s="8" t="n"/>
      <c r="G2113" s="8" t="n">
        <v>65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>
        <f>IF(COUNT(D2113:P2113)=0,"",MIN(D2113:P2113))</f>
        <v/>
      </c>
      <c r="R2113" s="8">
        <f>IF(COUNT(D2113:P2113)=0,"",MEDIAN(D2113:P2113))</f>
        <v/>
      </c>
      <c r="S2113" s="8">
        <f>IF(COUNT(D2113:P2113)=0,"",MAX(D2113:P2113))</f>
        <v/>
      </c>
      <c r="T2113" s="9">
        <f>IF(OR(Q2113="",Q2113=0),"",(S2113-Q2113)/Q2113)</f>
        <v/>
      </c>
      <c r="U2113" s="7">
        <f>IF(COUNT(D2113:P2113)=0,"",INDEX($D$1:$P$1,MATCH(MIN(D2113:P2113),D2113:P2113,0)))</f>
        <v/>
      </c>
      <c r="V2113" s="8" t="n">
        <v>65</v>
      </c>
      <c r="W2113" s="10" t="n">
        <v>1</v>
      </c>
    </row>
    <row r="2114">
      <c r="A2114" s="7" t="inlineStr">
        <is>
          <t>MAT-32-767</t>
        </is>
      </c>
      <c r="B2114" s="4" t="inlineStr">
        <is>
          <t>Manguera para inodoro 16"</t>
        </is>
      </c>
      <c r="C2114" s="7" t="inlineStr">
        <is>
          <t>unidad</t>
        </is>
      </c>
      <c r="D2114" s="8" t="n"/>
      <c r="E2114" s="8" t="n"/>
      <c r="F2114" s="8" t="n"/>
      <c r="G2114" s="8" t="n">
        <v>250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>
        <f>IF(COUNT(D2114:P2114)=0,"",MIN(D2114:P2114))</f>
        <v/>
      </c>
      <c r="R2114" s="8">
        <f>IF(COUNT(D2114:P2114)=0,"",MEDIAN(D2114:P2114))</f>
        <v/>
      </c>
      <c r="S2114" s="8">
        <f>IF(COUNT(D2114:P2114)=0,"",MAX(D2114:P2114))</f>
        <v/>
      </c>
      <c r="T2114" s="9">
        <f>IF(OR(Q2114="",Q2114=0),"",(S2114-Q2114)/Q2114)</f>
        <v/>
      </c>
      <c r="U2114" s="7">
        <f>IF(COUNT(D2114:P2114)=0,"",INDEX($D$1:$P$1,MATCH(MIN(D2114:P2114),D2114:P2114,0)))</f>
        <v/>
      </c>
      <c r="V2114" s="8" t="n">
        <v>250</v>
      </c>
      <c r="W2114" s="10" t="n">
        <v>1</v>
      </c>
    </row>
    <row r="2115">
      <c r="A2115" s="7" t="inlineStr">
        <is>
          <t>MAT-32-768</t>
        </is>
      </c>
      <c r="B2115" s="4" t="inlineStr">
        <is>
          <t>Manguera para jardín 1/2"</t>
        </is>
      </c>
      <c r="C2115" s="7" t="inlineStr">
        <is>
          <t>unidad</t>
        </is>
      </c>
      <c r="D2115" s="8" t="n"/>
      <c r="E2115" s="8" t="n"/>
      <c r="F2115" s="8" t="n"/>
      <c r="G2115" s="8" t="n">
        <v>535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>
        <f>IF(COUNT(D2115:P2115)=0,"",MIN(D2115:P2115))</f>
        <v/>
      </c>
      <c r="R2115" s="8">
        <f>IF(COUNT(D2115:P2115)=0,"",MEDIAN(D2115:P2115))</f>
        <v/>
      </c>
      <c r="S2115" s="8">
        <f>IF(COUNT(D2115:P2115)=0,"",MAX(D2115:P2115))</f>
        <v/>
      </c>
      <c r="T2115" s="9">
        <f>IF(OR(Q2115="",Q2115=0),"",(S2115-Q2115)/Q2115)</f>
        <v/>
      </c>
      <c r="U2115" s="7">
        <f>IF(COUNT(D2115:P2115)=0,"",INDEX($D$1:$P$1,MATCH(MIN(D2115:P2115),D2115:P2115,0)))</f>
        <v/>
      </c>
      <c r="V2115" s="8" t="n">
        <v>1288</v>
      </c>
      <c r="W2115" s="10" t="n">
        <v>1</v>
      </c>
    </row>
    <row r="2116">
      <c r="A2116" s="7" t="inlineStr">
        <is>
          <t>MAT-32-769</t>
        </is>
      </c>
      <c r="B2116" s="4" t="inlineStr">
        <is>
          <t>Manguera para jardín 1/2" x 100 pies</t>
        </is>
      </c>
      <c r="C2116" s="7" t="inlineStr">
        <is>
          <t>unidad</t>
        </is>
      </c>
      <c r="D2116" s="8" t="n"/>
      <c r="E2116" s="8" t="n"/>
      <c r="F2116" s="8" t="n"/>
      <c r="G2116" s="8" t="n">
        <v>1475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>
        <f>IF(COUNT(D2116:P2116)=0,"",MIN(D2116:P2116))</f>
        <v/>
      </c>
      <c r="R2116" s="8">
        <f>IF(COUNT(D2116:P2116)=0,"",MEDIAN(D2116:P2116))</f>
        <v/>
      </c>
      <c r="S2116" s="8">
        <f>IF(COUNT(D2116:P2116)=0,"",MAX(D2116:P2116))</f>
        <v/>
      </c>
      <c r="T2116" s="9">
        <f>IF(OR(Q2116="",Q2116=0),"",(S2116-Q2116)/Q2116)</f>
        <v/>
      </c>
      <c r="U2116" s="7">
        <f>IF(COUNT(D2116:P2116)=0,"",INDEX($D$1:$P$1,MATCH(MIN(D2116:P2116),D2116:P2116,0)))</f>
        <v/>
      </c>
      <c r="V2116" s="8" t="n">
        <v>1475</v>
      </c>
      <c r="W2116" s="10" t="n">
        <v>1</v>
      </c>
    </row>
    <row r="2117">
      <c r="A2117" s="7" t="inlineStr">
        <is>
          <t>MAT-32-770</t>
        </is>
      </c>
      <c r="B2117" s="4" t="inlineStr">
        <is>
          <t>Manguera para jardín 1/2" x 25 pies</t>
        </is>
      </c>
      <c r="C2117" s="7" t="inlineStr">
        <is>
          <t>unidad</t>
        </is>
      </c>
      <c r="D2117" s="8" t="n"/>
      <c r="E2117" s="8" t="n"/>
      <c r="F2117" s="8" t="n"/>
      <c r="G2117" s="8" t="n">
        <v>544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>
        <f>IF(COUNT(D2117:P2117)=0,"",MIN(D2117:P2117))</f>
        <v/>
      </c>
      <c r="R2117" s="8">
        <f>IF(COUNT(D2117:P2117)=0,"",MEDIAN(D2117:P2117))</f>
        <v/>
      </c>
      <c r="S2117" s="8">
        <f>IF(COUNT(D2117:P2117)=0,"",MAX(D2117:P2117))</f>
        <v/>
      </c>
      <c r="T2117" s="9">
        <f>IF(OR(Q2117="",Q2117=0),"",(S2117-Q2117)/Q2117)</f>
        <v/>
      </c>
      <c r="U2117" s="7">
        <f>IF(COUNT(D2117:P2117)=0,"",INDEX($D$1:$P$1,MATCH(MIN(D2117:P2117),D2117:P2117,0)))</f>
        <v/>
      </c>
      <c r="V2117" s="8" t="n">
        <v>544</v>
      </c>
      <c r="W2117" s="10" t="n">
        <v>1</v>
      </c>
    </row>
    <row r="2118">
      <c r="A2118" s="7" t="inlineStr">
        <is>
          <t>MAT-32-771</t>
        </is>
      </c>
      <c r="B2118" s="4" t="inlineStr">
        <is>
          <t>Manguera para jardín 1/2" x 50 pies</t>
        </is>
      </c>
      <c r="C2118" s="7" t="inlineStr">
        <is>
          <t>unidad</t>
        </is>
      </c>
      <c r="D2118" s="8" t="n"/>
      <c r="E2118" s="8" t="n"/>
      <c r="F2118" s="8" t="n"/>
      <c r="G2118" s="8" t="n">
        <v>1042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>
        <f>IF(COUNT(D2118:P2118)=0,"",MIN(D2118:P2118))</f>
        <v/>
      </c>
      <c r="R2118" s="8">
        <f>IF(COUNT(D2118:P2118)=0,"",MEDIAN(D2118:P2118))</f>
        <v/>
      </c>
      <c r="S2118" s="8">
        <f>IF(COUNT(D2118:P2118)=0,"",MAX(D2118:P2118))</f>
        <v/>
      </c>
      <c r="T2118" s="9">
        <f>IF(OR(Q2118="",Q2118=0),"",(S2118-Q2118)/Q2118)</f>
        <v/>
      </c>
      <c r="U2118" s="7">
        <f>IF(COUNT(D2118:P2118)=0,"",INDEX($D$1:$P$1,MATCH(MIN(D2118:P2118),D2118:P2118,0)))</f>
        <v/>
      </c>
      <c r="V2118" s="8" t="n">
        <v>1042</v>
      </c>
      <c r="W2118" s="10" t="n">
        <v>1</v>
      </c>
    </row>
    <row r="2119">
      <c r="A2119" s="7" t="inlineStr">
        <is>
          <t>MAT-32-772</t>
        </is>
      </c>
      <c r="B2119" s="4" t="inlineStr">
        <is>
          <t>Manguera para jardín 5/8"</t>
        </is>
      </c>
      <c r="C2119" s="7" t="inlineStr">
        <is>
          <t>unidad</t>
        </is>
      </c>
      <c r="D2119" s="8" t="n"/>
      <c r="E2119" s="8" t="n"/>
      <c r="F2119" s="8" t="n"/>
      <c r="G2119" s="8" t="n">
        <v>2054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>
        <f>IF(COUNT(D2119:P2119)=0,"",MIN(D2119:P2119))</f>
        <v/>
      </c>
      <c r="R2119" s="8">
        <f>IF(COUNT(D2119:P2119)=0,"",MEDIAN(D2119:P2119))</f>
        <v/>
      </c>
      <c r="S2119" s="8">
        <f>IF(COUNT(D2119:P2119)=0,"",MAX(D2119:P2119))</f>
        <v/>
      </c>
      <c r="T2119" s="9">
        <f>IF(OR(Q2119="",Q2119=0),"",(S2119-Q2119)/Q2119)</f>
        <v/>
      </c>
      <c r="U2119" s="7">
        <f>IF(COUNT(D2119:P2119)=0,"",INDEX($D$1:$P$1,MATCH(MIN(D2119:P2119),D2119:P2119,0)))</f>
        <v/>
      </c>
      <c r="V2119" s="8" t="n">
        <v>2397</v>
      </c>
      <c r="W2119" s="10" t="n">
        <v>1</v>
      </c>
    </row>
    <row r="2120">
      <c r="A2120" s="7" t="inlineStr">
        <is>
          <t>MAT-32-773</t>
        </is>
      </c>
      <c r="B2120" s="4" t="inlineStr">
        <is>
          <t>Manguera para jardín 5/8" x 75 pies</t>
        </is>
      </c>
      <c r="C2120" s="7" t="inlineStr">
        <is>
          <t>unidad</t>
        </is>
      </c>
      <c r="D2120" s="8" t="n"/>
      <c r="E2120" s="8" t="n"/>
      <c r="F2120" s="8" t="n"/>
      <c r="G2120" s="8" t="n">
        <v>1365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>
        <f>IF(COUNT(D2120:P2120)=0,"",MIN(D2120:P2120))</f>
        <v/>
      </c>
      <c r="R2120" s="8">
        <f>IF(COUNT(D2120:P2120)=0,"",MEDIAN(D2120:P2120))</f>
        <v/>
      </c>
      <c r="S2120" s="8">
        <f>IF(COUNT(D2120:P2120)=0,"",MAX(D2120:P2120))</f>
        <v/>
      </c>
      <c r="T2120" s="9">
        <f>IF(OR(Q2120="",Q2120=0),"",(S2120-Q2120)/Q2120)</f>
        <v/>
      </c>
      <c r="U2120" s="7">
        <f>IF(COUNT(D2120:P2120)=0,"",INDEX($D$1:$P$1,MATCH(MIN(D2120:P2120),D2120:P2120,0)))</f>
        <v/>
      </c>
      <c r="V2120" s="8" t="n">
        <v>1365</v>
      </c>
      <c r="W2120" s="10" t="n">
        <v>1</v>
      </c>
    </row>
    <row r="2121">
      <c r="A2121" s="7" t="inlineStr">
        <is>
          <t>MAT-32-774</t>
        </is>
      </c>
      <c r="B2121" s="4" t="inlineStr">
        <is>
          <t>Manguera para lavadora 48"</t>
        </is>
      </c>
      <c r="C2121" s="7" t="inlineStr">
        <is>
          <t>unidad</t>
        </is>
      </c>
      <c r="D2121" s="8" t="n"/>
      <c r="E2121" s="8" t="n"/>
      <c r="F2121" s="8" t="n"/>
      <c r="G2121" s="8" t="n">
        <v>556</v>
      </c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>
        <f>IF(COUNT(D2121:P2121)=0,"",MIN(D2121:P2121))</f>
        <v/>
      </c>
      <c r="R2121" s="8">
        <f>IF(COUNT(D2121:P2121)=0,"",MEDIAN(D2121:P2121))</f>
        <v/>
      </c>
      <c r="S2121" s="8">
        <f>IF(COUNT(D2121:P2121)=0,"",MAX(D2121:P2121))</f>
        <v/>
      </c>
      <c r="T2121" s="9">
        <f>IF(OR(Q2121="",Q2121=0),"",(S2121-Q2121)/Q2121)</f>
        <v/>
      </c>
      <c r="U2121" s="7">
        <f>IF(COUNT(D2121:P2121)=0,"",INDEX($D$1:$P$1,MATCH(MIN(D2121:P2121),D2121:P2121,0)))</f>
        <v/>
      </c>
      <c r="V2121" s="8" t="n">
        <v>556</v>
      </c>
      <c r="W2121" s="10" t="n">
        <v>1</v>
      </c>
    </row>
    <row r="2122">
      <c r="A2122" s="7" t="inlineStr">
        <is>
          <t>MAT-32-775</t>
        </is>
      </c>
      <c r="B2122" s="4" t="inlineStr">
        <is>
          <t>Manguera para lavadora 60"</t>
        </is>
      </c>
      <c r="C2122" s="7" t="inlineStr">
        <is>
          <t>unidad</t>
        </is>
      </c>
      <c r="D2122" s="8" t="n"/>
      <c r="E2122" s="8" t="n"/>
      <c r="F2122" s="8" t="n"/>
      <c r="G2122" s="8" t="n">
        <v>410</v>
      </c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>
        <f>IF(COUNT(D2122:P2122)=0,"",MIN(D2122:P2122))</f>
        <v/>
      </c>
      <c r="R2122" s="8">
        <f>IF(COUNT(D2122:P2122)=0,"",MEDIAN(D2122:P2122))</f>
        <v/>
      </c>
      <c r="S2122" s="8">
        <f>IF(COUNT(D2122:P2122)=0,"",MAX(D2122:P2122))</f>
        <v/>
      </c>
      <c r="T2122" s="9">
        <f>IF(OR(Q2122="",Q2122=0),"",(S2122-Q2122)/Q2122)</f>
        <v/>
      </c>
      <c r="U2122" s="7">
        <f>IF(COUNT(D2122:P2122)=0,"",INDEX($D$1:$P$1,MATCH(MIN(D2122:P2122),D2122:P2122,0)))</f>
        <v/>
      </c>
      <c r="V2122" s="8" t="n">
        <v>410</v>
      </c>
      <c r="W2122" s="10" t="n">
        <v>1</v>
      </c>
    </row>
    <row r="2123">
      <c r="A2123" s="7" t="inlineStr">
        <is>
          <t>MAT-32-776</t>
        </is>
      </c>
      <c r="B2123" s="4" t="inlineStr">
        <is>
          <t>Manguera para lavadora 72"</t>
        </is>
      </c>
      <c r="C2123" s="7" t="inlineStr">
        <is>
          <t>unidad</t>
        </is>
      </c>
      <c r="D2123" s="8" t="n"/>
      <c r="E2123" s="8" t="n"/>
      <c r="F2123" s="8" t="n"/>
      <c r="G2123" s="8" t="n">
        <v>375</v>
      </c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>
        <f>IF(COUNT(D2123:P2123)=0,"",MIN(D2123:P2123))</f>
        <v/>
      </c>
      <c r="R2123" s="8">
        <f>IF(COUNT(D2123:P2123)=0,"",MEDIAN(D2123:P2123))</f>
        <v/>
      </c>
      <c r="S2123" s="8">
        <f>IF(COUNT(D2123:P2123)=0,"",MAX(D2123:P2123))</f>
        <v/>
      </c>
      <c r="T2123" s="9">
        <f>IF(OR(Q2123="",Q2123=0),"",(S2123-Q2123)/Q2123)</f>
        <v/>
      </c>
      <c r="U2123" s="7">
        <f>IF(COUNT(D2123:P2123)=0,"",INDEX($D$1:$P$1,MATCH(MIN(D2123:P2123),D2123:P2123,0)))</f>
        <v/>
      </c>
      <c r="V2123" s="8" t="n">
        <v>375</v>
      </c>
      <c r="W2123" s="10" t="n">
        <v>1</v>
      </c>
    </row>
    <row r="2124">
      <c r="A2124" s="7" t="inlineStr">
        <is>
          <t>MAT-32-777</t>
        </is>
      </c>
      <c r="B2124" s="4" t="inlineStr">
        <is>
          <t>Manguera para lavamanos 1/2"</t>
        </is>
      </c>
      <c r="C2124" s="7" t="inlineStr">
        <is>
          <t>unidad</t>
        </is>
      </c>
      <c r="D2124" s="8" t="n"/>
      <c r="E2124" s="8" t="n"/>
      <c r="F2124" s="8" t="n"/>
      <c r="G2124" s="8" t="n">
        <v>295</v>
      </c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>
        <f>IF(COUNT(D2124:P2124)=0,"",MIN(D2124:P2124))</f>
        <v/>
      </c>
      <c r="R2124" s="8">
        <f>IF(COUNT(D2124:P2124)=0,"",MEDIAN(D2124:P2124))</f>
        <v/>
      </c>
      <c r="S2124" s="8">
        <f>IF(COUNT(D2124:P2124)=0,"",MAX(D2124:P2124))</f>
        <v/>
      </c>
      <c r="T2124" s="9">
        <f>IF(OR(Q2124="",Q2124=0),"",(S2124-Q2124)/Q2124)</f>
        <v/>
      </c>
      <c r="U2124" s="7">
        <f>IF(COUNT(D2124:P2124)=0,"",INDEX($D$1:$P$1,MATCH(MIN(D2124:P2124),D2124:P2124,0)))</f>
        <v/>
      </c>
      <c r="V2124" s="8" t="n">
        <v>384</v>
      </c>
      <c r="W2124" s="10" t="n">
        <v>1</v>
      </c>
    </row>
    <row r="2125">
      <c r="A2125" s="7" t="inlineStr">
        <is>
          <t>MAT-32-778</t>
        </is>
      </c>
      <c r="B2125" s="4" t="inlineStr">
        <is>
          <t>Manguera para lavamanos 16"</t>
        </is>
      </c>
      <c r="C2125" s="7" t="inlineStr">
        <is>
          <t>unidad</t>
        </is>
      </c>
      <c r="D2125" s="8" t="n"/>
      <c r="E2125" s="8" t="n"/>
      <c r="F2125" s="8" t="n"/>
      <c r="G2125" s="8" t="n">
        <v>265</v>
      </c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>
        <f>IF(COUNT(D2125:P2125)=0,"",MIN(D2125:P2125))</f>
        <v/>
      </c>
      <c r="R2125" s="8">
        <f>IF(COUNT(D2125:P2125)=0,"",MEDIAN(D2125:P2125))</f>
        <v/>
      </c>
      <c r="S2125" s="8">
        <f>IF(COUNT(D2125:P2125)=0,"",MAX(D2125:P2125))</f>
        <v/>
      </c>
      <c r="T2125" s="9">
        <f>IF(OR(Q2125="",Q2125=0),"",(S2125-Q2125)/Q2125)</f>
        <v/>
      </c>
      <c r="U2125" s="7">
        <f>IF(COUNT(D2125:P2125)=0,"",INDEX($D$1:$P$1,MATCH(MIN(D2125:P2125),D2125:P2125,0)))</f>
        <v/>
      </c>
      <c r="V2125" s="8" t="n">
        <v>265</v>
      </c>
      <c r="W2125" s="10" t="n">
        <v>1</v>
      </c>
    </row>
    <row r="2126">
      <c r="A2126" s="7" t="inlineStr">
        <is>
          <t>MAT-32-779</t>
        </is>
      </c>
      <c r="B2126" s="4" t="inlineStr">
        <is>
          <t>Manguera para lavamanos 20"</t>
        </is>
      </c>
      <c r="C2126" s="7" t="inlineStr">
        <is>
          <t>unidad</t>
        </is>
      </c>
      <c r="D2126" s="8" t="n"/>
      <c r="E2126" s="8" t="n"/>
      <c r="F2126" s="8" t="n"/>
      <c r="G2126" s="8" t="n">
        <v>325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>
        <f>IF(COUNT(D2126:P2126)=0,"",MIN(D2126:P2126))</f>
        <v/>
      </c>
      <c r="R2126" s="8">
        <f>IF(COUNT(D2126:P2126)=0,"",MEDIAN(D2126:P2126))</f>
        <v/>
      </c>
      <c r="S2126" s="8">
        <f>IF(COUNT(D2126:P2126)=0,"",MAX(D2126:P2126))</f>
        <v/>
      </c>
      <c r="T2126" s="9">
        <f>IF(OR(Q2126="",Q2126=0),"",(S2126-Q2126)/Q2126)</f>
        <v/>
      </c>
      <c r="U2126" s="7">
        <f>IF(COUNT(D2126:P2126)=0,"",INDEX($D$1:$P$1,MATCH(MIN(D2126:P2126),D2126:P2126,0)))</f>
        <v/>
      </c>
      <c r="V2126" s="8" t="n">
        <v>325</v>
      </c>
      <c r="W2126" s="10" t="n">
        <v>1</v>
      </c>
    </row>
    <row r="2127">
      <c r="A2127" s="7" t="inlineStr">
        <is>
          <t>MAT-32-780</t>
        </is>
      </c>
      <c r="B2127" s="4" t="inlineStr">
        <is>
          <t>Manguera para lavamanos 22"</t>
        </is>
      </c>
      <c r="C2127" s="7" t="inlineStr">
        <is>
          <t>unidad</t>
        </is>
      </c>
      <c r="D2127" s="8" t="n"/>
      <c r="E2127" s="8" t="n"/>
      <c r="F2127" s="8" t="n"/>
      <c r="G2127" s="8" t="n">
        <v>365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>
        <f>IF(COUNT(D2127:P2127)=0,"",MIN(D2127:P2127))</f>
        <v/>
      </c>
      <c r="R2127" s="8">
        <f>IF(COUNT(D2127:P2127)=0,"",MEDIAN(D2127:P2127))</f>
        <v/>
      </c>
      <c r="S2127" s="8">
        <f>IF(COUNT(D2127:P2127)=0,"",MAX(D2127:P2127))</f>
        <v/>
      </c>
      <c r="T2127" s="9">
        <f>IF(OR(Q2127="",Q2127=0),"",(S2127-Q2127)/Q2127)</f>
        <v/>
      </c>
      <c r="U2127" s="7">
        <f>IF(COUNT(D2127:P2127)=0,"",INDEX($D$1:$P$1,MATCH(MIN(D2127:P2127),D2127:P2127,0)))</f>
        <v/>
      </c>
      <c r="V2127" s="8" t="n">
        <v>425</v>
      </c>
      <c r="W2127" s="10" t="n">
        <v>1</v>
      </c>
    </row>
    <row r="2128">
      <c r="A2128" s="7" t="inlineStr">
        <is>
          <t>MAT-32-781</t>
        </is>
      </c>
      <c r="B2128" s="4" t="inlineStr">
        <is>
          <t>Manguera para lavamanos 24"</t>
        </is>
      </c>
      <c r="C2128" s="7" t="inlineStr">
        <is>
          <t>unidad</t>
        </is>
      </c>
      <c r="D2128" s="8" t="n"/>
      <c r="E2128" s="8" t="n"/>
      <c r="F2128" s="8" t="n"/>
      <c r="G2128" s="8" t="n">
        <v>265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>
        <f>IF(COUNT(D2128:P2128)=0,"",MIN(D2128:P2128))</f>
        <v/>
      </c>
      <c r="R2128" s="8">
        <f>IF(COUNT(D2128:P2128)=0,"",MEDIAN(D2128:P2128))</f>
        <v/>
      </c>
      <c r="S2128" s="8">
        <f>IF(COUNT(D2128:P2128)=0,"",MAX(D2128:P2128))</f>
        <v/>
      </c>
      <c r="T2128" s="9">
        <f>IF(OR(Q2128="",Q2128=0),"",(S2128-Q2128)/Q2128)</f>
        <v/>
      </c>
      <c r="U2128" s="7">
        <f>IF(COUNT(D2128:P2128)=0,"",INDEX($D$1:$P$1,MATCH(MIN(D2128:P2128),D2128:P2128,0)))</f>
        <v/>
      </c>
      <c r="V2128" s="8" t="n">
        <v>279</v>
      </c>
      <c r="W2128" s="10" t="n">
        <v>1</v>
      </c>
    </row>
    <row r="2129">
      <c r="A2129" s="7" t="inlineStr">
        <is>
          <t>MAT-32-782</t>
        </is>
      </c>
      <c r="B2129" s="4" t="inlineStr">
        <is>
          <t>Manguera para lavamanos 3/8"</t>
        </is>
      </c>
      <c r="C2129" s="7" t="inlineStr">
        <is>
          <t>unidad</t>
        </is>
      </c>
      <c r="D2129" s="8" t="n"/>
      <c r="E2129" s="8" t="n"/>
      <c r="F2129" s="8" t="n"/>
      <c r="G2129" s="8" t="n">
        <v>505</v>
      </c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>
        <f>IF(COUNT(D2129:P2129)=0,"",MIN(D2129:P2129))</f>
        <v/>
      </c>
      <c r="R2129" s="8">
        <f>IF(COUNT(D2129:P2129)=0,"",MEDIAN(D2129:P2129))</f>
        <v/>
      </c>
      <c r="S2129" s="8">
        <f>IF(COUNT(D2129:P2129)=0,"",MAX(D2129:P2129))</f>
        <v/>
      </c>
      <c r="T2129" s="9">
        <f>IF(OR(Q2129="",Q2129=0),"",(S2129-Q2129)/Q2129)</f>
        <v/>
      </c>
      <c r="U2129" s="7">
        <f>IF(COUNT(D2129:P2129)=0,"",INDEX($D$1:$P$1,MATCH(MIN(D2129:P2129),D2129:P2129,0)))</f>
        <v/>
      </c>
      <c r="V2129" s="8" t="n">
        <v>505</v>
      </c>
      <c r="W2129" s="10" t="n">
        <v>1</v>
      </c>
    </row>
    <row r="2130">
      <c r="A2130" s="7" t="inlineStr">
        <is>
          <t>MAT-32-783</t>
        </is>
      </c>
      <c r="B2130" s="4" t="inlineStr">
        <is>
          <t>Manguera para lavamanos 3/8" x 32 pulgadas</t>
        </is>
      </c>
      <c r="C2130" s="7" t="inlineStr">
        <is>
          <t>unidad</t>
        </is>
      </c>
      <c r="D2130" s="8" t="n"/>
      <c r="E2130" s="8" t="n"/>
      <c r="F2130" s="8" t="n"/>
      <c r="G2130" s="8" t="n">
        <v>198</v>
      </c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>
        <f>IF(COUNT(D2130:P2130)=0,"",MIN(D2130:P2130))</f>
        <v/>
      </c>
      <c r="R2130" s="8">
        <f>IF(COUNT(D2130:P2130)=0,"",MEDIAN(D2130:P2130))</f>
        <v/>
      </c>
      <c r="S2130" s="8">
        <f>IF(COUNT(D2130:P2130)=0,"",MAX(D2130:P2130))</f>
        <v/>
      </c>
      <c r="T2130" s="9">
        <f>IF(OR(Q2130="",Q2130=0),"",(S2130-Q2130)/Q2130)</f>
        <v/>
      </c>
      <c r="U2130" s="7">
        <f>IF(COUNT(D2130:P2130)=0,"",INDEX($D$1:$P$1,MATCH(MIN(D2130:P2130),D2130:P2130,0)))</f>
        <v/>
      </c>
      <c r="V2130" s="8" t="n">
        <v>198</v>
      </c>
      <c r="W2130" s="10" t="n">
        <v>1</v>
      </c>
    </row>
    <row r="2131">
      <c r="A2131" s="7" t="inlineStr">
        <is>
          <t>MAT-32-784</t>
        </is>
      </c>
      <c r="B2131" s="4" t="inlineStr">
        <is>
          <t>Manguera para lavamanos 30"</t>
        </is>
      </c>
      <c r="C2131" s="7" t="inlineStr">
        <is>
          <t>unidad</t>
        </is>
      </c>
      <c r="D2131" s="8" t="n"/>
      <c r="E2131" s="8" t="n"/>
      <c r="F2131" s="8" t="n"/>
      <c r="G2131" s="8" t="n">
        <v>330</v>
      </c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>
        <f>IF(COUNT(D2131:P2131)=0,"",MIN(D2131:P2131))</f>
        <v/>
      </c>
      <c r="R2131" s="8">
        <f>IF(COUNT(D2131:P2131)=0,"",MEDIAN(D2131:P2131))</f>
        <v/>
      </c>
      <c r="S2131" s="8">
        <f>IF(COUNT(D2131:P2131)=0,"",MAX(D2131:P2131))</f>
        <v/>
      </c>
      <c r="T2131" s="9">
        <f>IF(OR(Q2131="",Q2131=0),"",(S2131-Q2131)/Q2131)</f>
        <v/>
      </c>
      <c r="U2131" s="7">
        <f>IF(COUNT(D2131:P2131)=0,"",INDEX($D$1:$P$1,MATCH(MIN(D2131:P2131),D2131:P2131,0)))</f>
        <v/>
      </c>
      <c r="V2131" s="8" t="n">
        <v>330</v>
      </c>
      <c r="W2131" s="10" t="n">
        <v>1</v>
      </c>
    </row>
    <row r="2132">
      <c r="A2132" s="7" t="inlineStr">
        <is>
          <t>MAT-32-785</t>
        </is>
      </c>
      <c r="B2132" s="4" t="inlineStr">
        <is>
          <t>Manguera para lavamanos 36"</t>
        </is>
      </c>
      <c r="C2132" s="7" t="inlineStr">
        <is>
          <t>unidad</t>
        </is>
      </c>
      <c r="D2132" s="8" t="n"/>
      <c r="E2132" s="8" t="n"/>
      <c r="F2132" s="8" t="n"/>
      <c r="G2132" s="8" t="n">
        <v>319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>
        <f>IF(COUNT(D2132:P2132)=0,"",MIN(D2132:P2132))</f>
        <v/>
      </c>
      <c r="R2132" s="8">
        <f>IF(COUNT(D2132:P2132)=0,"",MEDIAN(D2132:P2132))</f>
        <v/>
      </c>
      <c r="S2132" s="8">
        <f>IF(COUNT(D2132:P2132)=0,"",MAX(D2132:P2132))</f>
        <v/>
      </c>
      <c r="T2132" s="9">
        <f>IF(OR(Q2132="",Q2132=0),"",(S2132-Q2132)/Q2132)</f>
        <v/>
      </c>
      <c r="U2132" s="7">
        <f>IF(COUNT(D2132:P2132)=0,"",INDEX($D$1:$P$1,MATCH(MIN(D2132:P2132),D2132:P2132,0)))</f>
        <v/>
      </c>
      <c r="V2132" s="8" t="n">
        <v>319</v>
      </c>
      <c r="W2132" s="10" t="n">
        <v>1</v>
      </c>
    </row>
    <row r="2133">
      <c r="A2133" s="7" t="inlineStr">
        <is>
          <t>MAT-32-786</t>
        </is>
      </c>
      <c r="B2133" s="4" t="inlineStr">
        <is>
          <t>Manguera para mezcladora 3/8" x 20 pulgadas</t>
        </is>
      </c>
      <c r="C2133" s="7" t="inlineStr">
        <is>
          <t>unidad</t>
        </is>
      </c>
      <c r="D2133" s="8" t="n"/>
      <c r="E2133" s="8" t="n"/>
      <c r="F2133" s="8" t="n"/>
      <c r="G2133" s="8" t="n">
        <v>195</v>
      </c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>
        <f>IF(COUNT(D2133:P2133)=0,"",MIN(D2133:P2133))</f>
        <v/>
      </c>
      <c r="R2133" s="8">
        <f>IF(COUNT(D2133:P2133)=0,"",MEDIAN(D2133:P2133))</f>
        <v/>
      </c>
      <c r="S2133" s="8">
        <f>IF(COUNT(D2133:P2133)=0,"",MAX(D2133:P2133))</f>
        <v/>
      </c>
      <c r="T2133" s="9">
        <f>IF(OR(Q2133="",Q2133=0),"",(S2133-Q2133)/Q2133)</f>
        <v/>
      </c>
      <c r="U2133" s="7">
        <f>IF(COUNT(D2133:P2133)=0,"",INDEX($D$1:$P$1,MATCH(MIN(D2133:P2133),D2133:P2133,0)))</f>
        <v/>
      </c>
      <c r="V2133" s="8" t="n">
        <v>195</v>
      </c>
      <c r="W2133" s="10" t="n">
        <v>1</v>
      </c>
    </row>
    <row r="2134">
      <c r="A2134" s="7" t="inlineStr">
        <is>
          <t>MAT-32-787</t>
        </is>
      </c>
      <c r="B2134" s="4" t="inlineStr">
        <is>
          <t>Manguera para mezcladora 32"</t>
        </is>
      </c>
      <c r="C2134" s="7" t="inlineStr">
        <is>
          <t>unidad</t>
        </is>
      </c>
      <c r="D2134" s="8" t="n"/>
      <c r="E2134" s="8" t="n"/>
      <c r="F2134" s="8" t="n"/>
      <c r="G2134" s="8" t="n">
        <v>297</v>
      </c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>
        <f>IF(COUNT(D2134:P2134)=0,"",MIN(D2134:P2134))</f>
        <v/>
      </c>
      <c r="R2134" s="8">
        <f>IF(COUNT(D2134:P2134)=0,"",MEDIAN(D2134:P2134))</f>
        <v/>
      </c>
      <c r="S2134" s="8">
        <f>IF(COUNT(D2134:P2134)=0,"",MAX(D2134:P2134))</f>
        <v/>
      </c>
      <c r="T2134" s="9">
        <f>IF(OR(Q2134="",Q2134=0),"",(S2134-Q2134)/Q2134)</f>
        <v/>
      </c>
      <c r="U2134" s="7">
        <f>IF(COUNT(D2134:P2134)=0,"",INDEX($D$1:$P$1,MATCH(MIN(D2134:P2134),D2134:P2134,0)))</f>
        <v/>
      </c>
      <c r="V2134" s="8" t="n">
        <v>297</v>
      </c>
      <c r="W2134" s="10" t="n">
        <v>1</v>
      </c>
    </row>
    <row r="2135">
      <c r="A2135" s="7" t="inlineStr">
        <is>
          <t>MAT-32-788</t>
        </is>
      </c>
      <c r="B2135" s="4" t="inlineStr">
        <is>
          <t>Manguera para uso general, transparente 0.31"</t>
        </is>
      </c>
      <c r="C2135" s="7" t="inlineStr">
        <is>
          <t>unidad</t>
        </is>
      </c>
      <c r="D2135" s="8" t="n"/>
      <c r="E2135" s="8" t="n"/>
      <c r="F2135" s="8" t="n"/>
      <c r="G2135" s="8" t="n">
        <v>25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>
        <f>IF(COUNT(D2135:P2135)=0,"",MIN(D2135:P2135))</f>
        <v/>
      </c>
      <c r="R2135" s="8">
        <f>IF(COUNT(D2135:P2135)=0,"",MEDIAN(D2135:P2135))</f>
        <v/>
      </c>
      <c r="S2135" s="8">
        <f>IF(COUNT(D2135:P2135)=0,"",MAX(D2135:P2135))</f>
        <v/>
      </c>
      <c r="T2135" s="9">
        <f>IF(OR(Q2135="",Q2135=0),"",(S2135-Q2135)/Q2135)</f>
        <v/>
      </c>
      <c r="U2135" s="7">
        <f>IF(COUNT(D2135:P2135)=0,"",INDEX($D$1:$P$1,MATCH(MIN(D2135:P2135),D2135:P2135,0)))</f>
        <v/>
      </c>
      <c r="V2135" s="8" t="n">
        <v>25</v>
      </c>
      <c r="W2135" s="10" t="n">
        <v>1</v>
      </c>
    </row>
    <row r="2136">
      <c r="A2136" s="7" t="inlineStr">
        <is>
          <t>MAT-32-789</t>
        </is>
      </c>
      <c r="B2136" s="4" t="inlineStr">
        <is>
          <t>Manguera para uso general, transparente 1/2"</t>
        </is>
      </c>
      <c r="C2136" s="7" t="inlineStr">
        <is>
          <t>unidad</t>
        </is>
      </c>
      <c r="D2136" s="8" t="n"/>
      <c r="E2136" s="8" t="n"/>
      <c r="F2136" s="8" t="n"/>
      <c r="G2136" s="8" t="n">
        <v>40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>
        <f>IF(COUNT(D2136:P2136)=0,"",MIN(D2136:P2136))</f>
        <v/>
      </c>
      <c r="R2136" s="8">
        <f>IF(COUNT(D2136:P2136)=0,"",MEDIAN(D2136:P2136))</f>
        <v/>
      </c>
      <c r="S2136" s="8">
        <f>IF(COUNT(D2136:P2136)=0,"",MAX(D2136:P2136))</f>
        <v/>
      </c>
      <c r="T2136" s="9">
        <f>IF(OR(Q2136="",Q2136=0),"",(S2136-Q2136)/Q2136)</f>
        <v/>
      </c>
      <c r="U2136" s="7">
        <f>IF(COUNT(D2136:P2136)=0,"",INDEX($D$1:$P$1,MATCH(MIN(D2136:P2136),D2136:P2136,0)))</f>
        <v/>
      </c>
      <c r="V2136" s="8" t="n">
        <v>43.5</v>
      </c>
      <c r="W2136" s="10" t="n">
        <v>1</v>
      </c>
    </row>
    <row r="2137">
      <c r="A2137" s="7" t="inlineStr">
        <is>
          <t>MAT-32-790</t>
        </is>
      </c>
      <c r="B2137" s="4" t="inlineStr">
        <is>
          <t>Manguera para uso general, transparente 1/4"</t>
        </is>
      </c>
      <c r="C2137" s="7" t="inlineStr">
        <is>
          <t>unidad</t>
        </is>
      </c>
      <c r="D2137" s="8" t="n"/>
      <c r="E2137" s="8" t="n"/>
      <c r="F2137" s="8" t="n"/>
      <c r="G2137" s="8" t="n">
        <v>35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>
        <f>IF(COUNT(D2137:P2137)=0,"",MIN(D2137:P2137))</f>
        <v/>
      </c>
      <c r="R2137" s="8">
        <f>IF(COUNT(D2137:P2137)=0,"",MEDIAN(D2137:P2137))</f>
        <v/>
      </c>
      <c r="S2137" s="8">
        <f>IF(COUNT(D2137:P2137)=0,"",MAX(D2137:P2137))</f>
        <v/>
      </c>
      <c r="T2137" s="9">
        <f>IF(OR(Q2137="",Q2137=0),"",(S2137-Q2137)/Q2137)</f>
        <v/>
      </c>
      <c r="U2137" s="7">
        <f>IF(COUNT(D2137:P2137)=0,"",INDEX($D$1:$P$1,MATCH(MIN(D2137:P2137),D2137:P2137,0)))</f>
        <v/>
      </c>
      <c r="V2137" s="8" t="n">
        <v>35</v>
      </c>
      <c r="W2137" s="10" t="n">
        <v>1</v>
      </c>
    </row>
    <row r="2138">
      <c r="A2138" s="7" t="inlineStr">
        <is>
          <t>MAT-32-791</t>
        </is>
      </c>
      <c r="B2138" s="4" t="inlineStr">
        <is>
          <t>Manguera para uso general, transparente 1"</t>
        </is>
      </c>
      <c r="C2138" s="7" t="inlineStr">
        <is>
          <t>unidad</t>
        </is>
      </c>
      <c r="D2138" s="8" t="n"/>
      <c r="E2138" s="8" t="n"/>
      <c r="F2138" s="8" t="n"/>
      <c r="G2138" s="8" t="n">
        <v>100</v>
      </c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>
        <f>IF(COUNT(D2138:P2138)=0,"",MIN(D2138:P2138))</f>
        <v/>
      </c>
      <c r="R2138" s="8">
        <f>IF(COUNT(D2138:P2138)=0,"",MEDIAN(D2138:P2138))</f>
        <v/>
      </c>
      <c r="S2138" s="8">
        <f>IF(COUNT(D2138:P2138)=0,"",MAX(D2138:P2138))</f>
        <v/>
      </c>
      <c r="T2138" s="9">
        <f>IF(OR(Q2138="",Q2138=0),"",(S2138-Q2138)/Q2138)</f>
        <v/>
      </c>
      <c r="U2138" s="7">
        <f>IF(COUNT(D2138:P2138)=0,"",INDEX($D$1:$P$1,MATCH(MIN(D2138:P2138),D2138:P2138,0)))</f>
        <v/>
      </c>
      <c r="V2138" s="8" t="n">
        <v>100</v>
      </c>
      <c r="W2138" s="10" t="n">
        <v>1</v>
      </c>
    </row>
    <row r="2139">
      <c r="A2139" s="7" t="inlineStr">
        <is>
          <t>MAT-32-792</t>
        </is>
      </c>
      <c r="B2139" s="4" t="inlineStr">
        <is>
          <t>Manguera para uso general, transparente 3/4"</t>
        </is>
      </c>
      <c r="C2139" s="7" t="inlineStr">
        <is>
          <t>unidad</t>
        </is>
      </c>
      <c r="D2139" s="8" t="n"/>
      <c r="E2139" s="8" t="n"/>
      <c r="F2139" s="8" t="n"/>
      <c r="G2139" s="8" t="n">
        <v>36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>
        <f>IF(COUNT(D2139:P2139)=0,"",MIN(D2139:P2139))</f>
        <v/>
      </c>
      <c r="R2139" s="8">
        <f>IF(COUNT(D2139:P2139)=0,"",MEDIAN(D2139:P2139))</f>
        <v/>
      </c>
      <c r="S2139" s="8">
        <f>IF(COUNT(D2139:P2139)=0,"",MAX(D2139:P2139))</f>
        <v/>
      </c>
      <c r="T2139" s="9">
        <f>IF(OR(Q2139="",Q2139=0),"",(S2139-Q2139)/Q2139)</f>
        <v/>
      </c>
      <c r="U2139" s="7">
        <f>IF(COUNT(D2139:P2139)=0,"",INDEX($D$1:$P$1,MATCH(MIN(D2139:P2139),D2139:P2139,0)))</f>
        <v/>
      </c>
      <c r="V2139" s="8" t="n">
        <v>36</v>
      </c>
      <c r="W2139" s="10" t="n">
        <v>1</v>
      </c>
    </row>
    <row r="2140">
      <c r="A2140" s="7" t="inlineStr">
        <is>
          <t>MAT-32-793</t>
        </is>
      </c>
      <c r="B2140" s="4" t="inlineStr">
        <is>
          <t>Manguera para uso general, transparente 3/8"</t>
        </is>
      </c>
      <c r="C2140" s="7" t="inlineStr">
        <is>
          <t>unidad</t>
        </is>
      </c>
      <c r="D2140" s="8" t="n"/>
      <c r="E2140" s="8" t="n"/>
      <c r="F2140" s="8" t="n"/>
      <c r="G2140" s="8" t="n">
        <v>32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>
        <f>IF(COUNT(D2140:P2140)=0,"",MIN(D2140:P2140))</f>
        <v/>
      </c>
      <c r="R2140" s="8">
        <f>IF(COUNT(D2140:P2140)=0,"",MEDIAN(D2140:P2140))</f>
        <v/>
      </c>
      <c r="S2140" s="8">
        <f>IF(COUNT(D2140:P2140)=0,"",MAX(D2140:P2140))</f>
        <v/>
      </c>
      <c r="T2140" s="9">
        <f>IF(OR(Q2140="",Q2140=0),"",(S2140-Q2140)/Q2140)</f>
        <v/>
      </c>
      <c r="U2140" s="7">
        <f>IF(COUNT(D2140:P2140)=0,"",INDEX($D$1:$P$1,MATCH(MIN(D2140:P2140),D2140:P2140,0)))</f>
        <v/>
      </c>
      <c r="V2140" s="8" t="n">
        <v>32</v>
      </c>
      <c r="W2140" s="10" t="n">
        <v>1</v>
      </c>
    </row>
    <row r="2141">
      <c r="A2141" s="7" t="inlineStr">
        <is>
          <t>MAT-32-794</t>
        </is>
      </c>
      <c r="B2141" s="4" t="inlineStr">
        <is>
          <t>Cinta de teflón 1"</t>
        </is>
      </c>
      <c r="C2141" s="7" t="inlineStr">
        <is>
          <t>rollo</t>
        </is>
      </c>
      <c r="D2141" s="8" t="n"/>
      <c r="E2141" s="8" t="n"/>
      <c r="F2141" s="8" t="n"/>
      <c r="G2141" s="8" t="n">
        <v>75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>
        <f>IF(COUNT(D2141:P2141)=0,"",MIN(D2141:P2141))</f>
        <v/>
      </c>
      <c r="R2141" s="8">
        <f>IF(COUNT(D2141:P2141)=0,"",MEDIAN(D2141:P2141))</f>
        <v/>
      </c>
      <c r="S2141" s="8">
        <f>IF(COUNT(D2141:P2141)=0,"",MAX(D2141:P2141))</f>
        <v/>
      </c>
      <c r="T2141" s="9">
        <f>IF(OR(Q2141="",Q2141=0),"",(S2141-Q2141)/Q2141)</f>
        <v/>
      </c>
      <c r="U2141" s="7">
        <f>IF(COUNT(D2141:P2141)=0,"",INDEX($D$1:$P$1,MATCH(MIN(D2141:P2141),D2141:P2141,0)))</f>
        <v/>
      </c>
      <c r="V2141" s="8" t="n">
        <v>75</v>
      </c>
      <c r="W2141" s="10" t="n">
        <v>1</v>
      </c>
    </row>
    <row r="2142">
      <c r="A2142" s="7" t="inlineStr">
        <is>
          <t>MAT-32-795</t>
        </is>
      </c>
      <c r="B2142" s="4" t="inlineStr">
        <is>
          <t>Cinta de teflón 3/4"</t>
        </is>
      </c>
      <c r="C2142" s="7" t="inlineStr">
        <is>
          <t>rollo</t>
        </is>
      </c>
      <c r="D2142" s="8" t="n"/>
      <c r="E2142" s="8" t="n"/>
      <c r="F2142" s="8" t="n"/>
      <c r="G2142" s="8" t="n">
        <v>60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>
        <f>IF(COUNT(D2142:P2142)=0,"",MIN(D2142:P2142))</f>
        <v/>
      </c>
      <c r="R2142" s="8">
        <f>IF(COUNT(D2142:P2142)=0,"",MEDIAN(D2142:P2142))</f>
        <v/>
      </c>
      <c r="S2142" s="8">
        <f>IF(COUNT(D2142:P2142)=0,"",MAX(D2142:P2142))</f>
        <v/>
      </c>
      <c r="T2142" s="9">
        <f>IF(OR(Q2142="",Q2142=0),"",(S2142-Q2142)/Q2142)</f>
        <v/>
      </c>
      <c r="U2142" s="7">
        <f>IF(COUNT(D2142:P2142)=0,"",INDEX($D$1:$P$1,MATCH(MIN(D2142:P2142),D2142:P2142,0)))</f>
        <v/>
      </c>
      <c r="V2142" s="8" t="n">
        <v>117.5</v>
      </c>
      <c r="W2142" s="10" t="n">
        <v>1</v>
      </c>
    </row>
    <row r="2143">
      <c r="A2143" s="7" t="inlineStr">
        <is>
          <t>MAT-32-796</t>
        </is>
      </c>
      <c r="B2143" s="4" t="inlineStr">
        <is>
          <t>Cinta de plomero 0.19" x 15 pies</t>
        </is>
      </c>
      <c r="C2143" s="7" t="inlineStr">
        <is>
          <t>rollo</t>
        </is>
      </c>
      <c r="D2143" s="8" t="n"/>
      <c r="E2143" s="8" t="n"/>
      <c r="F2143" s="8" t="n"/>
      <c r="G2143" s="8" t="n">
        <v>304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>
        <f>IF(COUNT(D2143:P2143)=0,"",MIN(D2143:P2143))</f>
        <v/>
      </c>
      <c r="R2143" s="8">
        <f>IF(COUNT(D2143:P2143)=0,"",MEDIAN(D2143:P2143))</f>
        <v/>
      </c>
      <c r="S2143" s="8">
        <f>IF(COUNT(D2143:P2143)=0,"",MAX(D2143:P2143))</f>
        <v/>
      </c>
      <c r="T2143" s="9">
        <f>IF(OR(Q2143="",Q2143=0),"",(S2143-Q2143)/Q2143)</f>
        <v/>
      </c>
      <c r="U2143" s="7">
        <f>IF(COUNT(D2143:P2143)=0,"",INDEX($D$1:$P$1,MATCH(MIN(D2143:P2143),D2143:P2143,0)))</f>
        <v/>
      </c>
      <c r="V2143" s="8" t="n">
        <v>304</v>
      </c>
      <c r="W2143" s="10" t="n">
        <v>1</v>
      </c>
    </row>
    <row r="2144">
      <c r="A2144" s="7" t="inlineStr">
        <is>
          <t>MAT-32-797</t>
        </is>
      </c>
      <c r="B2144" s="4" t="inlineStr">
        <is>
          <t>Cinta de plomero 1/2" x 50 pies</t>
        </is>
      </c>
      <c r="C2144" s="7" t="inlineStr">
        <is>
          <t>rollo</t>
        </is>
      </c>
      <c r="D2144" s="8" t="n"/>
      <c r="E2144" s="8" t="n"/>
      <c r="F2144" s="8" t="n"/>
      <c r="G2144" s="8" t="n">
        <v>2525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>
        <f>IF(COUNT(D2144:P2144)=0,"",MIN(D2144:P2144))</f>
        <v/>
      </c>
      <c r="R2144" s="8">
        <f>IF(COUNT(D2144:P2144)=0,"",MEDIAN(D2144:P2144))</f>
        <v/>
      </c>
      <c r="S2144" s="8">
        <f>IF(COUNT(D2144:P2144)=0,"",MAX(D2144:P2144))</f>
        <v/>
      </c>
      <c r="T2144" s="9">
        <f>IF(OR(Q2144="",Q2144=0),"",(S2144-Q2144)/Q2144)</f>
        <v/>
      </c>
      <c r="U2144" s="7">
        <f>IF(COUNT(D2144:P2144)=0,"",INDEX($D$1:$P$1,MATCH(MIN(D2144:P2144),D2144:P2144,0)))</f>
        <v/>
      </c>
      <c r="V2144" s="8" t="n">
        <v>2525</v>
      </c>
      <c r="W2144" s="10" t="n">
        <v>1</v>
      </c>
    </row>
    <row r="2145">
      <c r="A2145" s="7" t="inlineStr">
        <is>
          <t>MAT-32-798</t>
        </is>
      </c>
      <c r="B2145" s="4" t="inlineStr">
        <is>
          <t>Cinta de plomero 1/8" x 25 pies</t>
        </is>
      </c>
      <c r="C2145" s="7" t="inlineStr">
        <is>
          <t>rollo</t>
        </is>
      </c>
      <c r="D2145" s="8" t="n"/>
      <c r="E2145" s="8" t="n"/>
      <c r="F2145" s="8" t="n"/>
      <c r="G2145" s="8" t="n">
        <v>412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>
        <f>IF(COUNT(D2145:P2145)=0,"",MIN(D2145:P2145))</f>
        <v/>
      </c>
      <c r="R2145" s="8">
        <f>IF(COUNT(D2145:P2145)=0,"",MEDIAN(D2145:P2145))</f>
        <v/>
      </c>
      <c r="S2145" s="8">
        <f>IF(COUNT(D2145:P2145)=0,"",MAX(D2145:P2145))</f>
        <v/>
      </c>
      <c r="T2145" s="9">
        <f>IF(OR(Q2145="",Q2145=0),"",(S2145-Q2145)/Q2145)</f>
        <v/>
      </c>
      <c r="U2145" s="7">
        <f>IF(COUNT(D2145:P2145)=0,"",INDEX($D$1:$P$1,MATCH(MIN(D2145:P2145),D2145:P2145,0)))</f>
        <v/>
      </c>
      <c r="V2145" s="8" t="n">
        <v>412</v>
      </c>
      <c r="W2145" s="10" t="n">
        <v>1</v>
      </c>
    </row>
    <row r="2146">
      <c r="A2146" s="7" t="inlineStr">
        <is>
          <t>MAT-32-799</t>
        </is>
      </c>
      <c r="B2146" s="4" t="inlineStr">
        <is>
          <t>Cemento solvente para PVC, 16 oz</t>
        </is>
      </c>
      <c r="C2146" s="7" t="inlineStr">
        <is>
          <t>envase</t>
        </is>
      </c>
      <c r="D2146" s="8" t="n"/>
      <c r="E2146" s="8" t="n"/>
      <c r="F2146" s="8" t="n"/>
      <c r="G2146" s="8" t="n">
        <v>979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>
        <f>IF(COUNT(D2146:P2146)=0,"",MIN(D2146:P2146))</f>
        <v/>
      </c>
      <c r="R2146" s="8">
        <f>IF(COUNT(D2146:P2146)=0,"",MEDIAN(D2146:P2146))</f>
        <v/>
      </c>
      <c r="S2146" s="8">
        <f>IF(COUNT(D2146:P2146)=0,"",MAX(D2146:P2146))</f>
        <v/>
      </c>
      <c r="T2146" s="9">
        <f>IF(OR(Q2146="",Q2146=0),"",(S2146-Q2146)/Q2146)</f>
        <v/>
      </c>
      <c r="U2146" s="7">
        <f>IF(COUNT(D2146:P2146)=0,"",INDEX($D$1:$P$1,MATCH(MIN(D2146:P2146),D2146:P2146,0)))</f>
        <v/>
      </c>
      <c r="V2146" s="8" t="n">
        <v>979</v>
      </c>
      <c r="W2146" s="10" t="n">
        <v>1</v>
      </c>
    </row>
    <row r="2147">
      <c r="A2147" s="7" t="inlineStr">
        <is>
          <t>MAT-32-800</t>
        </is>
      </c>
      <c r="B2147" s="4" t="inlineStr">
        <is>
          <t>Cemento solvente para PVC, 32 oz</t>
        </is>
      </c>
      <c r="C2147" s="7" t="inlineStr">
        <is>
          <t>envase</t>
        </is>
      </c>
      <c r="D2147" s="8" t="n"/>
      <c r="E2147" s="8" t="n"/>
      <c r="F2147" s="8" t="n"/>
      <c r="G2147" s="8" t="n">
        <v>1765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>
        <f>IF(COUNT(D2147:P2147)=0,"",MIN(D2147:P2147))</f>
        <v/>
      </c>
      <c r="R2147" s="8">
        <f>IF(COUNT(D2147:P2147)=0,"",MEDIAN(D2147:P2147))</f>
        <v/>
      </c>
      <c r="S2147" s="8">
        <f>IF(COUNT(D2147:P2147)=0,"",MAX(D2147:P2147))</f>
        <v/>
      </c>
      <c r="T2147" s="9">
        <f>IF(OR(Q2147="",Q2147=0),"",(S2147-Q2147)/Q2147)</f>
        <v/>
      </c>
      <c r="U2147" s="7">
        <f>IF(COUNT(D2147:P2147)=0,"",INDEX($D$1:$P$1,MATCH(MIN(D2147:P2147),D2147:P2147,0)))</f>
        <v/>
      </c>
      <c r="V2147" s="8" t="n">
        <v>1765</v>
      </c>
      <c r="W2147" s="10" t="n">
        <v>1</v>
      </c>
    </row>
    <row r="2148">
      <c r="A2148" s="7" t="inlineStr">
        <is>
          <t>MAT-32-801</t>
        </is>
      </c>
      <c r="B2148" s="4" t="inlineStr">
        <is>
          <t>Cemento solvente para PVC, 4 oz</t>
        </is>
      </c>
      <c r="C2148" s="7" t="inlineStr">
        <is>
          <t>envase</t>
        </is>
      </c>
      <c r="D2148" s="8" t="n"/>
      <c r="E2148" s="8" t="n"/>
      <c r="F2148" s="8" t="n"/>
      <c r="G2148" s="8" t="n">
        <v>335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>
        <f>IF(COUNT(D2148:P2148)=0,"",MIN(D2148:P2148))</f>
        <v/>
      </c>
      <c r="R2148" s="8">
        <f>IF(COUNT(D2148:P2148)=0,"",MEDIAN(D2148:P2148))</f>
        <v/>
      </c>
      <c r="S2148" s="8">
        <f>IF(COUNT(D2148:P2148)=0,"",MAX(D2148:P2148))</f>
        <v/>
      </c>
      <c r="T2148" s="9">
        <f>IF(OR(Q2148="",Q2148=0),"",(S2148-Q2148)/Q2148)</f>
        <v/>
      </c>
      <c r="U2148" s="7">
        <f>IF(COUNT(D2148:P2148)=0,"",INDEX($D$1:$P$1,MATCH(MIN(D2148:P2148),D2148:P2148,0)))</f>
        <v/>
      </c>
      <c r="V2148" s="8" t="n">
        <v>391.5</v>
      </c>
      <c r="W2148" s="10" t="n">
        <v>1</v>
      </c>
    </row>
    <row r="2149">
      <c r="A2149" s="7" t="inlineStr">
        <is>
          <t>MAT-32-802</t>
        </is>
      </c>
      <c r="B2149" s="4" t="inlineStr">
        <is>
          <t>Cemento solvente para PVC, 50 ml</t>
        </is>
      </c>
      <c r="C2149" s="7" t="inlineStr">
        <is>
          <t>envase</t>
        </is>
      </c>
      <c r="D2149" s="8" t="n"/>
      <c r="E2149" s="8" t="n"/>
      <c r="F2149" s="8" t="n"/>
      <c r="G2149" s="8" t="n">
        <v>205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>
        <f>IF(COUNT(D2149:P2149)=0,"",MIN(D2149:P2149))</f>
        <v/>
      </c>
      <c r="R2149" s="8">
        <f>IF(COUNT(D2149:P2149)=0,"",MEDIAN(D2149:P2149))</f>
        <v/>
      </c>
      <c r="S2149" s="8">
        <f>IF(COUNT(D2149:P2149)=0,"",MAX(D2149:P2149))</f>
        <v/>
      </c>
      <c r="T2149" s="9">
        <f>IF(OR(Q2149="",Q2149=0),"",(S2149-Q2149)/Q2149)</f>
        <v/>
      </c>
      <c r="U2149" s="7">
        <f>IF(COUNT(D2149:P2149)=0,"",INDEX($D$1:$P$1,MATCH(MIN(D2149:P2149),D2149:P2149,0)))</f>
        <v/>
      </c>
      <c r="V2149" s="8" t="n">
        <v>205</v>
      </c>
      <c r="W2149" s="10" t="n">
        <v>1</v>
      </c>
    </row>
    <row r="2150">
      <c r="A2150" s="7" t="inlineStr">
        <is>
          <t>MAT-32-803</t>
        </is>
      </c>
      <c r="B2150" s="4" t="inlineStr">
        <is>
          <t>Cemento solvente para PVC, 8 oz</t>
        </is>
      </c>
      <c r="C2150" s="7" t="inlineStr">
        <is>
          <t>envase</t>
        </is>
      </c>
      <c r="D2150" s="8" t="n"/>
      <c r="E2150" s="8" t="n"/>
      <c r="F2150" s="8" t="n"/>
      <c r="G2150" s="8" t="n">
        <v>473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>
        <f>IF(COUNT(D2150:P2150)=0,"",MIN(D2150:P2150))</f>
        <v/>
      </c>
      <c r="R2150" s="8">
        <f>IF(COUNT(D2150:P2150)=0,"",MEDIAN(D2150:P2150))</f>
        <v/>
      </c>
      <c r="S2150" s="8">
        <f>IF(COUNT(D2150:P2150)=0,"",MAX(D2150:P2150))</f>
        <v/>
      </c>
      <c r="T2150" s="9">
        <f>IF(OR(Q2150="",Q2150=0),"",(S2150-Q2150)/Q2150)</f>
        <v/>
      </c>
      <c r="U2150" s="7">
        <f>IF(COUNT(D2150:P2150)=0,"",INDEX($D$1:$P$1,MATCH(MIN(D2150:P2150),D2150:P2150,0)))</f>
        <v/>
      </c>
      <c r="V2150" s="8" t="n">
        <v>520</v>
      </c>
      <c r="W2150" s="10" t="n">
        <v>1</v>
      </c>
    </row>
    <row r="2151">
      <c r="A2151" s="7" t="inlineStr">
        <is>
          <t>MAT-33-001</t>
        </is>
      </c>
      <c r="B2151" s="4" t="inlineStr">
        <is>
          <t>Lámpara decorativa de mesa</t>
        </is>
      </c>
      <c r="C2151" s="7" t="inlineStr">
        <is>
          <t>unidad</t>
        </is>
      </c>
      <c r="D2151" s="8" t="n"/>
      <c r="E2151" s="8" t="n"/>
      <c r="F2151" s="8" t="n"/>
      <c r="G2151" s="8" t="n"/>
      <c r="H2151" s="8" t="n"/>
      <c r="I2151" s="8" t="n"/>
      <c r="J2151" s="8" t="n">
        <v>1200</v>
      </c>
      <c r="K2151" s="8" t="n"/>
      <c r="L2151" s="8" t="n"/>
      <c r="M2151" s="8" t="n"/>
      <c r="N2151" s="8" t="n"/>
      <c r="O2151" s="8" t="n">
        <v>23876.2</v>
      </c>
      <c r="P2151" s="8" t="n"/>
      <c r="Q2151" s="8">
        <f>IF(COUNT(D2151:P2151)=0,"",MIN(D2151:P2151))</f>
        <v/>
      </c>
      <c r="R2151" s="8">
        <f>IF(COUNT(D2151:P2151)=0,"",MEDIAN(D2151:P2151))</f>
        <v/>
      </c>
      <c r="S2151" s="8">
        <f>IF(COUNT(D2151:P2151)=0,"",MAX(D2151:P2151))</f>
        <v/>
      </c>
      <c r="T2151" s="9">
        <f>IF(OR(Q2151="",Q2151=0),"",(S2151-Q2151)/Q2151)</f>
        <v/>
      </c>
      <c r="U2151" s="7">
        <f>IF(COUNT(D2151:P2151)=0,"",INDEX($D$1:$P$1,MATCH(MIN(D2151:P2151),D2151:P2151,0)))</f>
        <v/>
      </c>
      <c r="V2151" s="8" t="n">
        <v>4000</v>
      </c>
      <c r="W2151" s="10" t="n">
        <v>2</v>
      </c>
    </row>
    <row r="2152">
      <c r="A2152" s="7" t="inlineStr">
        <is>
          <t>MAT-33-002</t>
        </is>
      </c>
      <c r="B2152" s="4" t="inlineStr">
        <is>
          <t>Lámpara decorativa de pared</t>
        </is>
      </c>
      <c r="C2152" s="7" t="inlineStr">
        <is>
          <t>unidad</t>
        </is>
      </c>
      <c r="D2152" s="8" t="n"/>
      <c r="E2152" s="8" t="n"/>
      <c r="F2152" s="8" t="n"/>
      <c r="G2152" s="8" t="n"/>
      <c r="H2152" s="8" t="n"/>
      <c r="I2152" s="8" t="n"/>
      <c r="J2152" s="8" t="n">
        <v>500</v>
      </c>
      <c r="K2152" s="8" t="n"/>
      <c r="L2152" s="8" t="n"/>
      <c r="M2152" s="8" t="n"/>
      <c r="N2152" s="8" t="n"/>
      <c r="O2152" s="8" t="n">
        <v>6686.38</v>
      </c>
      <c r="P2152" s="8" t="n"/>
      <c r="Q2152" s="8">
        <f>IF(COUNT(D2152:P2152)=0,"",MIN(D2152:P2152))</f>
        <v/>
      </c>
      <c r="R2152" s="8">
        <f>IF(COUNT(D2152:P2152)=0,"",MEDIAN(D2152:P2152))</f>
        <v/>
      </c>
      <c r="S2152" s="8">
        <f>IF(COUNT(D2152:P2152)=0,"",MAX(D2152:P2152))</f>
        <v/>
      </c>
      <c r="T2152" s="9">
        <f>IF(OR(Q2152="",Q2152=0),"",(S2152-Q2152)/Q2152)</f>
        <v/>
      </c>
      <c r="U2152" s="7">
        <f>IF(COUNT(D2152:P2152)=0,"",INDEX($D$1:$P$1,MATCH(MIN(D2152:P2152),D2152:P2152,0)))</f>
        <v/>
      </c>
      <c r="V2152" s="8" t="n">
        <v>2850</v>
      </c>
      <c r="W2152" s="10" t="n">
        <v>2</v>
      </c>
    </row>
    <row r="2153">
      <c r="A2153" s="7" t="inlineStr">
        <is>
          <t>MAT-33-003</t>
        </is>
      </c>
      <c r="B2153" s="4" t="inlineStr">
        <is>
          <t>Lámpara decorativa de pie</t>
        </is>
      </c>
      <c r="C2153" s="7" t="inlineStr">
        <is>
          <t>unidad</t>
        </is>
      </c>
      <c r="D2153" s="8" t="n"/>
      <c r="E2153" s="8" t="n"/>
      <c r="F2153" s="8" t="n"/>
      <c r="G2153" s="8" t="n"/>
      <c r="H2153" s="8" t="n"/>
      <c r="I2153" s="8" t="n"/>
      <c r="J2153" s="8" t="n">
        <v>4000</v>
      </c>
      <c r="K2153" s="8" t="n"/>
      <c r="L2153" s="8" t="n"/>
      <c r="M2153" s="8" t="n"/>
      <c r="N2153" s="8" t="n"/>
      <c r="O2153" s="8" t="n">
        <v>30467.44</v>
      </c>
      <c r="P2153" s="8" t="n"/>
      <c r="Q2153" s="8">
        <f>IF(COUNT(D2153:P2153)=0,"",MIN(D2153:P2153))</f>
        <v/>
      </c>
      <c r="R2153" s="8">
        <f>IF(COUNT(D2153:P2153)=0,"",MEDIAN(D2153:P2153))</f>
        <v/>
      </c>
      <c r="S2153" s="8">
        <f>IF(COUNT(D2153:P2153)=0,"",MAX(D2153:P2153))</f>
        <v/>
      </c>
      <c r="T2153" s="9">
        <f>IF(OR(Q2153="",Q2153=0),"",(S2153-Q2153)/Q2153)</f>
        <v/>
      </c>
      <c r="U2153" s="7">
        <f>IF(COUNT(D2153:P2153)=0,"",INDEX($D$1:$P$1,MATCH(MIN(D2153:P2153),D2153:P2153,0)))</f>
        <v/>
      </c>
      <c r="V2153" s="8" t="n">
        <v>8250</v>
      </c>
      <c r="W2153" s="10" t="n">
        <v>2</v>
      </c>
    </row>
    <row r="2154">
      <c r="A2154" s="7" t="inlineStr">
        <is>
          <t>MAT-33-004</t>
        </is>
      </c>
      <c r="B2154" s="4" t="inlineStr">
        <is>
          <t>Lámpara decorativa de techo</t>
        </is>
      </c>
      <c r="C2154" s="7" t="inlineStr">
        <is>
          <t>unidad</t>
        </is>
      </c>
      <c r="D2154" s="8" t="n"/>
      <c r="E2154" s="8" t="n"/>
      <c r="F2154" s="8" t="n"/>
      <c r="G2154" s="8" t="n"/>
      <c r="H2154" s="8" t="n"/>
      <c r="I2154" s="8" t="n"/>
      <c r="J2154" s="8" t="n">
        <v>1200</v>
      </c>
      <c r="K2154" s="8" t="n"/>
      <c r="L2154" s="8" t="n"/>
      <c r="M2154" s="8" t="n"/>
      <c r="N2154" s="8" t="n"/>
      <c r="O2154" s="8" t="n">
        <v>7689.1</v>
      </c>
      <c r="P2154" s="8" t="n"/>
      <c r="Q2154" s="8">
        <f>IF(COUNT(D2154:P2154)=0,"",MIN(D2154:P2154))</f>
        <v/>
      </c>
      <c r="R2154" s="8">
        <f>IF(COUNT(D2154:P2154)=0,"",MEDIAN(D2154:P2154))</f>
        <v/>
      </c>
      <c r="S2154" s="8">
        <f>IF(COUNT(D2154:P2154)=0,"",MAX(D2154:P2154))</f>
        <v/>
      </c>
      <c r="T2154" s="9">
        <f>IF(OR(Q2154="",Q2154=0),"",(S2154-Q2154)/Q2154)</f>
        <v/>
      </c>
      <c r="U2154" s="7">
        <f>IF(COUNT(D2154:P2154)=0,"",INDEX($D$1:$P$1,MATCH(MIN(D2154:P2154),D2154:P2154,0)))</f>
        <v/>
      </c>
      <c r="V2154" s="8" t="n">
        <v>6025</v>
      </c>
      <c r="W2154" s="10" t="n">
        <v>2</v>
      </c>
    </row>
    <row r="2156">
      <c r="A2156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157"/>
  </sheetData>
  <autoFilter ref="A2:W2154"/>
  <mergeCells count="2">
    <mergeCell ref="A2156:W2157"/>
    <mergeCell ref="A1:W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2026-09-11T01:10:42Z</dcterms:created>
  <dcterms:modified xsi:type="dcterms:W3CDTF">2026-09-11T01:10:43Z</dcterms:modified>
</cp:coreProperties>
</file>